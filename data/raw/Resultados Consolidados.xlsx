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Indicadores_Oportunidad_Mejora/data/raw/"/>
    </mc:Choice>
  </mc:AlternateContent>
  <xr:revisionPtr revIDLastSave="6177" documentId="8_{935C20A9-3B25-4E22-A41A-A77DB2ECB052}" xr6:coauthVersionLast="47" xr6:coauthVersionMax="47" xr10:uidLastSave="{5A1F2E0E-4E22-44CF-9355-917E5EEBDBFA}"/>
  <bookViews>
    <workbookView xWindow="-108" yWindow="-108" windowWidth="23256" windowHeight="12456" tabRatio="692" xr2:uid="{E2458CD7-6E56-4AAC-ADAB-972730991000}"/>
  </bookViews>
  <sheets>
    <sheet name="Consolidado Historico" sheetId="11" r:id="rId1"/>
    <sheet name="Consolidado Semestral" sheetId="14" r:id="rId2"/>
    <sheet name="Consolidado Cierres" sheetId="16" r:id="rId3"/>
  </sheets>
  <definedNames>
    <definedName name="_xlnm._FilterDatabase" localSheetId="2" hidden="1">'Consolidado Cierres'!$A$1:$Q$1425</definedName>
    <definedName name="_xlnm._FilterDatabase" localSheetId="0" hidden="1">'Consolidado Historico'!$A$1:$R$2551</definedName>
    <definedName name="_xlnm._FilterDatabase" localSheetId="1" hidden="1">'Consolidado Semestral'!$A$1:$Q$1576</definedName>
    <definedName name="Auditoría_Interna">#REF!</definedName>
    <definedName name="Autoevaluación_y_Autoregulación">#REF!</definedName>
    <definedName name="Bienestar_Institucional">#REF!</definedName>
    <definedName name="Comunicación_y_Posicionamiento_Estratégico">#REF!</definedName>
    <definedName name="Datos_y_Analítica">#REF!</definedName>
    <definedName name="Desarrollo_del_Talento_Humano">#REF!</definedName>
    <definedName name="Direccionamiento_Estratégico">#REF!</definedName>
    <definedName name="Docencia">#REF!</definedName>
    <definedName name="Experiencia_Institucional">#REF!</definedName>
    <definedName name="Extensión">#REF!</definedName>
    <definedName name="Gestión_Ambiental">#REF!</definedName>
    <definedName name="Gestión_de_Abastecimiento">#REF!</definedName>
    <definedName name="Gestión_de_la_Tecnología_e_Innovación_Digital">#REF!</definedName>
    <definedName name="Gestión_de_Portafolio_Institucional">#REF!</definedName>
    <definedName name="Gestión_de_Riesgos">#REF!</definedName>
    <definedName name="Gestión_de_Seguridad_y_Salud_en_el_Trabajo">#REF!</definedName>
    <definedName name="Gestión_Financiera">#REF!</definedName>
    <definedName name="Gestión_Jurídica_y_Normativa">#REF!</definedName>
    <definedName name="Gobierno_Institucional">#REF!</definedName>
    <definedName name="Infraestructura_y_Servicios_Administrativos">#REF!</definedName>
    <definedName name="Investigación_Innovación_y_Creación">#REF!</definedName>
    <definedName name="Mercadeo_Admisiones_y_Matrícula">#REF!</definedName>
    <definedName name="Opciones">#REF!</definedName>
    <definedName name="Planificación_y_Mejora_del_Sistema_Integrado">#REF!</definedName>
    <definedName name="Recursos_Académicos_y_de_Investigación">#REF!</definedName>
    <definedName name="Servicio_y_Permanencia">#REF!</definedName>
    <definedName name="Visibilidad_Nacional_e_Internacion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1" l="1"/>
  <c r="I2" i="11" s="1"/>
  <c r="G2" i="11"/>
  <c r="M1060" i="16"/>
  <c r="L1060" i="16"/>
  <c r="M1307" i="16"/>
  <c r="L1307" i="16"/>
  <c r="H1307" i="16"/>
  <c r="I1307" i="16" s="1"/>
  <c r="G1307" i="16"/>
  <c r="M1308" i="16"/>
  <c r="L1308" i="16"/>
  <c r="H1308" i="16"/>
  <c r="G1308" i="16"/>
  <c r="R1425" i="16"/>
  <c r="R1424" i="16"/>
  <c r="R1423" i="16"/>
  <c r="R1422" i="16"/>
  <c r="R1421" i="16"/>
  <c r="R1420" i="16"/>
  <c r="R1419" i="16"/>
  <c r="R1418" i="16"/>
  <c r="R1417" i="16"/>
  <c r="R1416" i="16"/>
  <c r="R1415" i="16"/>
  <c r="R1414" i="16"/>
  <c r="R1413" i="16"/>
  <c r="R1412" i="16"/>
  <c r="R1411" i="16"/>
  <c r="R1410" i="16"/>
  <c r="R1409" i="16"/>
  <c r="R1408" i="16"/>
  <c r="R1407" i="16"/>
  <c r="R1406" i="16"/>
  <c r="R1405" i="16"/>
  <c r="R1404" i="16"/>
  <c r="R1403" i="16"/>
  <c r="R1402" i="16"/>
  <c r="R1401" i="16"/>
  <c r="R1400" i="16"/>
  <c r="R1399" i="16"/>
  <c r="R1398" i="16"/>
  <c r="R1397" i="16"/>
  <c r="R1396" i="16"/>
  <c r="R1395" i="16"/>
  <c r="R1394" i="16"/>
  <c r="R1393" i="16"/>
  <c r="R1392" i="16"/>
  <c r="R1391" i="16"/>
  <c r="R1390" i="16"/>
  <c r="R1389" i="16"/>
  <c r="R1388" i="16"/>
  <c r="R1387" i="16"/>
  <c r="R1386" i="16"/>
  <c r="R1385" i="16"/>
  <c r="R1384" i="16"/>
  <c r="R1383" i="16"/>
  <c r="R1382" i="16"/>
  <c r="R1381" i="16"/>
  <c r="R1380" i="16"/>
  <c r="R1379" i="16"/>
  <c r="R1378" i="16"/>
  <c r="R1377" i="16"/>
  <c r="R1376" i="16"/>
  <c r="R1375" i="16"/>
  <c r="R1374" i="16"/>
  <c r="R1373" i="16"/>
  <c r="R1372" i="16"/>
  <c r="R1371" i="16"/>
  <c r="R1370" i="16"/>
  <c r="R1369" i="16"/>
  <c r="R1368" i="16"/>
  <c r="R1367" i="16"/>
  <c r="R1366" i="16"/>
  <c r="R1365" i="16"/>
  <c r="R1364" i="16"/>
  <c r="R1363" i="16"/>
  <c r="R1362" i="16"/>
  <c r="R1361" i="16"/>
  <c r="R1360" i="16"/>
  <c r="R1359" i="16"/>
  <c r="R1358" i="16"/>
  <c r="R1357" i="16"/>
  <c r="R1356" i="16"/>
  <c r="R1355" i="16"/>
  <c r="R1354" i="16"/>
  <c r="R1353" i="16"/>
  <c r="R1352" i="16"/>
  <c r="R1351" i="16"/>
  <c r="R1350" i="16"/>
  <c r="R1349" i="16"/>
  <c r="R1348" i="16"/>
  <c r="R1347" i="16"/>
  <c r="R1346" i="16"/>
  <c r="R1345" i="16"/>
  <c r="R1344" i="16"/>
  <c r="R1343" i="16"/>
  <c r="R1342" i="16"/>
  <c r="R1341" i="16"/>
  <c r="R1340" i="16"/>
  <c r="R1339" i="16"/>
  <c r="R1338" i="16"/>
  <c r="R1337" i="16"/>
  <c r="R1336" i="16"/>
  <c r="R1335" i="16"/>
  <c r="R1334" i="16"/>
  <c r="R1333" i="16"/>
  <c r="R1332" i="16"/>
  <c r="R1331" i="16"/>
  <c r="R1330" i="16"/>
  <c r="R1329" i="16"/>
  <c r="R1328" i="16"/>
  <c r="R1327" i="16"/>
  <c r="R1326" i="16"/>
  <c r="R1325" i="16"/>
  <c r="R1324" i="16"/>
  <c r="R1323" i="16"/>
  <c r="R1322" i="16"/>
  <c r="R1321" i="16"/>
  <c r="R1320" i="16"/>
  <c r="R1319" i="16"/>
  <c r="R1318" i="16"/>
  <c r="R1317" i="16"/>
  <c r="R1316" i="16"/>
  <c r="R1315" i="16"/>
  <c r="R1314" i="16"/>
  <c r="R1313" i="16"/>
  <c r="R1312" i="16"/>
  <c r="R1311" i="16"/>
  <c r="R1310" i="16"/>
  <c r="R1309" i="16"/>
  <c r="R1308" i="16"/>
  <c r="R1307" i="16"/>
  <c r="R1306" i="16"/>
  <c r="R1305" i="16"/>
  <c r="R1304" i="16"/>
  <c r="R1303" i="16"/>
  <c r="R1302" i="16"/>
  <c r="R1301" i="16"/>
  <c r="R1300" i="16"/>
  <c r="R1299" i="16"/>
  <c r="R1298" i="16"/>
  <c r="R1297" i="16"/>
  <c r="R1296" i="16"/>
  <c r="R1295" i="16"/>
  <c r="R1294" i="16"/>
  <c r="R1293" i="16"/>
  <c r="R1292" i="16"/>
  <c r="R1291" i="16"/>
  <c r="R1290" i="16"/>
  <c r="R1289" i="16"/>
  <c r="R1288" i="16"/>
  <c r="R1287" i="16"/>
  <c r="R1286" i="16"/>
  <c r="R1285" i="16"/>
  <c r="R1284" i="16"/>
  <c r="R1283" i="16"/>
  <c r="R1282" i="16"/>
  <c r="R1281" i="16"/>
  <c r="R1280" i="16"/>
  <c r="R1279" i="16"/>
  <c r="R1278" i="16"/>
  <c r="R1277" i="16"/>
  <c r="R1276" i="16"/>
  <c r="R1275" i="16"/>
  <c r="R1274" i="16"/>
  <c r="R1273" i="16"/>
  <c r="R1272" i="16"/>
  <c r="R1271" i="16"/>
  <c r="R1270" i="16"/>
  <c r="R1269" i="16"/>
  <c r="R1268" i="16"/>
  <c r="R1267" i="16"/>
  <c r="R1266" i="16"/>
  <c r="R1265" i="16"/>
  <c r="R1264" i="16"/>
  <c r="R1263" i="16"/>
  <c r="R1262" i="16"/>
  <c r="R1261" i="16"/>
  <c r="R1260" i="16"/>
  <c r="R1259" i="16"/>
  <c r="R1258" i="16"/>
  <c r="R1257" i="16"/>
  <c r="R1256" i="16"/>
  <c r="R1255" i="16"/>
  <c r="R1254" i="16"/>
  <c r="R1253" i="16"/>
  <c r="R1252" i="16"/>
  <c r="R1251" i="16"/>
  <c r="R1250" i="16"/>
  <c r="R1249" i="16"/>
  <c r="R1248" i="16"/>
  <c r="R1247" i="16"/>
  <c r="R1246" i="16"/>
  <c r="R1245" i="16"/>
  <c r="R1244" i="16"/>
  <c r="R1243" i="16"/>
  <c r="R1242" i="16"/>
  <c r="R1241" i="16"/>
  <c r="R1240" i="16"/>
  <c r="R1239" i="16"/>
  <c r="R1238" i="16"/>
  <c r="R1237" i="16"/>
  <c r="R1236" i="16"/>
  <c r="R1235" i="16"/>
  <c r="R1234" i="16"/>
  <c r="R1233" i="16"/>
  <c r="R1232" i="16"/>
  <c r="R1231" i="16"/>
  <c r="R1230" i="16"/>
  <c r="R1229" i="16"/>
  <c r="R1228" i="16"/>
  <c r="R1227" i="16"/>
  <c r="R1226" i="16"/>
  <c r="R1225" i="16"/>
  <c r="R1224" i="16"/>
  <c r="R1223" i="16"/>
  <c r="R1222" i="16"/>
  <c r="R1221" i="16"/>
  <c r="R1220" i="16"/>
  <c r="R1219" i="16"/>
  <c r="R1218" i="16"/>
  <c r="R1217" i="16"/>
  <c r="R1216" i="16"/>
  <c r="R1215" i="16"/>
  <c r="R1214" i="16"/>
  <c r="R1213" i="16"/>
  <c r="R1212" i="16"/>
  <c r="R1211" i="16"/>
  <c r="R1210" i="16"/>
  <c r="R1209" i="16"/>
  <c r="R1208" i="16"/>
  <c r="R1207" i="16"/>
  <c r="R1206" i="16"/>
  <c r="R1205" i="16"/>
  <c r="R1204" i="16"/>
  <c r="R1203" i="16"/>
  <c r="R1202" i="16"/>
  <c r="R1201" i="16"/>
  <c r="R1200" i="16"/>
  <c r="R1199" i="16"/>
  <c r="R1198" i="16"/>
  <c r="R1197" i="16"/>
  <c r="R1196" i="16"/>
  <c r="R1195" i="16"/>
  <c r="R1194" i="16"/>
  <c r="R1193" i="16"/>
  <c r="R1192" i="16"/>
  <c r="R1191" i="16"/>
  <c r="R1190" i="16"/>
  <c r="R1189" i="16"/>
  <c r="R1188" i="16"/>
  <c r="R1187" i="16"/>
  <c r="R1186" i="16"/>
  <c r="R1185" i="16"/>
  <c r="R1184" i="16"/>
  <c r="R1183" i="16"/>
  <c r="R1182" i="16"/>
  <c r="R1181" i="16"/>
  <c r="R1180" i="16"/>
  <c r="R1179" i="16"/>
  <c r="R1178" i="16"/>
  <c r="R1177" i="16"/>
  <c r="R1176" i="16"/>
  <c r="R1175" i="16"/>
  <c r="R1174" i="16"/>
  <c r="R1173" i="16"/>
  <c r="R1172" i="16"/>
  <c r="R1171" i="16"/>
  <c r="R1170" i="16"/>
  <c r="R1169" i="16"/>
  <c r="R1168" i="16"/>
  <c r="R1167" i="16"/>
  <c r="R1166" i="16"/>
  <c r="R1165" i="16"/>
  <c r="R1164" i="16"/>
  <c r="R1163" i="16"/>
  <c r="R1162" i="16"/>
  <c r="R1161" i="16"/>
  <c r="R1160" i="16"/>
  <c r="R1159" i="16"/>
  <c r="R1158" i="16"/>
  <c r="R1157" i="16"/>
  <c r="R1156" i="16"/>
  <c r="R1155" i="16"/>
  <c r="R1154" i="16"/>
  <c r="R1153" i="16"/>
  <c r="R1152" i="16"/>
  <c r="R1151" i="16"/>
  <c r="R1150" i="16"/>
  <c r="R1149" i="16"/>
  <c r="R1148" i="16"/>
  <c r="R1147" i="16"/>
  <c r="R1146" i="16"/>
  <c r="R1145" i="16"/>
  <c r="R1144" i="16"/>
  <c r="R1143" i="16"/>
  <c r="R1142" i="16"/>
  <c r="R1141" i="16"/>
  <c r="R1140" i="16"/>
  <c r="R1139" i="16"/>
  <c r="R1138" i="16"/>
  <c r="R1137" i="16"/>
  <c r="R1136" i="16"/>
  <c r="R1135" i="16"/>
  <c r="R1134" i="16"/>
  <c r="R1133" i="16"/>
  <c r="R1132" i="16"/>
  <c r="R1131" i="16"/>
  <c r="R1130" i="16"/>
  <c r="R1129" i="16"/>
  <c r="R1128" i="16"/>
  <c r="R1127" i="16"/>
  <c r="R1126" i="16"/>
  <c r="R1125" i="16"/>
  <c r="R1124" i="16"/>
  <c r="R1123" i="16"/>
  <c r="R1122" i="16"/>
  <c r="R1121" i="16"/>
  <c r="R1120" i="16"/>
  <c r="R1119" i="16"/>
  <c r="R1118" i="16"/>
  <c r="R1117" i="16"/>
  <c r="R1116" i="16"/>
  <c r="R1115" i="16"/>
  <c r="R1114" i="16"/>
  <c r="R1113" i="16"/>
  <c r="R1112" i="16"/>
  <c r="R1111" i="16"/>
  <c r="R1110" i="16"/>
  <c r="R1109" i="16"/>
  <c r="R1108" i="16"/>
  <c r="R1107" i="16"/>
  <c r="R1106" i="16"/>
  <c r="R1105" i="16"/>
  <c r="R1104" i="16"/>
  <c r="R1103" i="16"/>
  <c r="R1102" i="16"/>
  <c r="R1101" i="16"/>
  <c r="R1100" i="16"/>
  <c r="R1099" i="16"/>
  <c r="R1098" i="16"/>
  <c r="R1097" i="16"/>
  <c r="R1096" i="16"/>
  <c r="R1095" i="16"/>
  <c r="R1094" i="16"/>
  <c r="R1093" i="16"/>
  <c r="R1092" i="16"/>
  <c r="R1091" i="16"/>
  <c r="R1090" i="16"/>
  <c r="R1089" i="16"/>
  <c r="R1088" i="16"/>
  <c r="R1087" i="16"/>
  <c r="R1086" i="16"/>
  <c r="R1085" i="16"/>
  <c r="R1084" i="16"/>
  <c r="R1083" i="16"/>
  <c r="R1082" i="16"/>
  <c r="R1081" i="16"/>
  <c r="R1080" i="16"/>
  <c r="R1079" i="16"/>
  <c r="R1078" i="16"/>
  <c r="R1077" i="16"/>
  <c r="R1076" i="16"/>
  <c r="R1075" i="16"/>
  <c r="R1074" i="16"/>
  <c r="R1073" i="16"/>
  <c r="R1072" i="16"/>
  <c r="R1071" i="16"/>
  <c r="R1070" i="16"/>
  <c r="R1069" i="16"/>
  <c r="R1068" i="16"/>
  <c r="R1067" i="16"/>
  <c r="R1066" i="16"/>
  <c r="R1065" i="16"/>
  <c r="R1064" i="16"/>
  <c r="R1063" i="16"/>
  <c r="R1062" i="16"/>
  <c r="R1061" i="16"/>
  <c r="R1060" i="16"/>
  <c r="R1059" i="16"/>
  <c r="R1058" i="16"/>
  <c r="R1057" i="16"/>
  <c r="R1056" i="16"/>
  <c r="R1055" i="16"/>
  <c r="R1054" i="16"/>
  <c r="R1053" i="16"/>
  <c r="R1052" i="16"/>
  <c r="R1051" i="16"/>
  <c r="R1050" i="16"/>
  <c r="R1049" i="16"/>
  <c r="R1048" i="16"/>
  <c r="R1047" i="16"/>
  <c r="R1046" i="16"/>
  <c r="R1045" i="16"/>
  <c r="R1044" i="16"/>
  <c r="R1043" i="16"/>
  <c r="R1042" i="16"/>
  <c r="R1041" i="16"/>
  <c r="R1040" i="16"/>
  <c r="R1039" i="16"/>
  <c r="R1038" i="16"/>
  <c r="R1037" i="16"/>
  <c r="R1036" i="16"/>
  <c r="R1035" i="16"/>
  <c r="R1034" i="16"/>
  <c r="R1033" i="16"/>
  <c r="R1032" i="16"/>
  <c r="R1031" i="16"/>
  <c r="R1030" i="16"/>
  <c r="R1029" i="16"/>
  <c r="R1028" i="16"/>
  <c r="R1027" i="16"/>
  <c r="R1026" i="16"/>
  <c r="R1025" i="16"/>
  <c r="R1024" i="16"/>
  <c r="R1023" i="16"/>
  <c r="R1022" i="16"/>
  <c r="R1021" i="16"/>
  <c r="R1020" i="16"/>
  <c r="R1019" i="16"/>
  <c r="R1018" i="16"/>
  <c r="R1017" i="16"/>
  <c r="R1016" i="16"/>
  <c r="R1015" i="16"/>
  <c r="R1014" i="16"/>
  <c r="R1013" i="16"/>
  <c r="R1012" i="16"/>
  <c r="R1011" i="16"/>
  <c r="R1010" i="16"/>
  <c r="R1009" i="16"/>
  <c r="R1008" i="16"/>
  <c r="R1007" i="16"/>
  <c r="R1006" i="16"/>
  <c r="R1005" i="16"/>
  <c r="R1004" i="16"/>
  <c r="R1003" i="16"/>
  <c r="R1002" i="16"/>
  <c r="R1001" i="16"/>
  <c r="R1000" i="16"/>
  <c r="R999" i="16"/>
  <c r="R998" i="16"/>
  <c r="R997" i="16"/>
  <c r="R996" i="16"/>
  <c r="R995" i="16"/>
  <c r="R994" i="16"/>
  <c r="R993" i="16"/>
  <c r="R992" i="16"/>
  <c r="R991" i="16"/>
  <c r="R990" i="16"/>
  <c r="R989" i="16"/>
  <c r="R988" i="16"/>
  <c r="R987" i="16"/>
  <c r="R986" i="16"/>
  <c r="R985" i="16"/>
  <c r="R984" i="16"/>
  <c r="R983" i="16"/>
  <c r="R982" i="16"/>
  <c r="R981" i="16"/>
  <c r="R980" i="16"/>
  <c r="R979" i="16"/>
  <c r="R978" i="16"/>
  <c r="R977" i="16"/>
  <c r="R976" i="16"/>
  <c r="R975" i="16"/>
  <c r="R974" i="16"/>
  <c r="R973" i="16"/>
  <c r="R972" i="16"/>
  <c r="R971" i="16"/>
  <c r="R970" i="16"/>
  <c r="R969" i="16"/>
  <c r="R968" i="16"/>
  <c r="R967" i="16"/>
  <c r="R966" i="16"/>
  <c r="R965" i="16"/>
  <c r="R964" i="16"/>
  <c r="R963" i="16"/>
  <c r="R962" i="16"/>
  <c r="R961" i="16"/>
  <c r="R960" i="16"/>
  <c r="R959" i="16"/>
  <c r="R958" i="16"/>
  <c r="R957" i="16"/>
  <c r="R956" i="16"/>
  <c r="R955" i="16"/>
  <c r="R954" i="16"/>
  <c r="R953" i="16"/>
  <c r="R952" i="16"/>
  <c r="R951" i="16"/>
  <c r="R950" i="16"/>
  <c r="R949" i="16"/>
  <c r="R948" i="16"/>
  <c r="R947" i="16"/>
  <c r="R946" i="16"/>
  <c r="R945" i="16"/>
  <c r="R944" i="16"/>
  <c r="R943" i="16"/>
  <c r="R942" i="16"/>
  <c r="R941" i="16"/>
  <c r="R940" i="16"/>
  <c r="R939" i="16"/>
  <c r="R938" i="16"/>
  <c r="R937" i="16"/>
  <c r="R936" i="16"/>
  <c r="R935" i="16"/>
  <c r="R934" i="16"/>
  <c r="R933" i="16"/>
  <c r="R932" i="16"/>
  <c r="R931" i="16"/>
  <c r="R930" i="16"/>
  <c r="R929" i="16"/>
  <c r="R928" i="16"/>
  <c r="R927" i="16"/>
  <c r="R926" i="16"/>
  <c r="R925" i="16"/>
  <c r="R924" i="16"/>
  <c r="R923" i="16"/>
  <c r="R922" i="16"/>
  <c r="R921" i="16"/>
  <c r="R920" i="16"/>
  <c r="R919" i="16"/>
  <c r="R918" i="16"/>
  <c r="R917" i="16"/>
  <c r="R916" i="16"/>
  <c r="R915" i="16"/>
  <c r="R914" i="16"/>
  <c r="R913" i="16"/>
  <c r="R912" i="16"/>
  <c r="R911" i="16"/>
  <c r="R910" i="16"/>
  <c r="R909" i="16"/>
  <c r="R908" i="16"/>
  <c r="R907" i="16"/>
  <c r="R906" i="16"/>
  <c r="R905" i="16"/>
  <c r="R904" i="16"/>
  <c r="R903" i="16"/>
  <c r="R902" i="16"/>
  <c r="R901" i="16"/>
  <c r="R900" i="16"/>
  <c r="R899" i="16"/>
  <c r="R898" i="16"/>
  <c r="R897" i="16"/>
  <c r="R896" i="16"/>
  <c r="R895" i="16"/>
  <c r="R894" i="16"/>
  <c r="R893" i="16"/>
  <c r="R892" i="16"/>
  <c r="R891" i="16"/>
  <c r="R890" i="16"/>
  <c r="R889" i="16"/>
  <c r="R888" i="16"/>
  <c r="R887" i="16"/>
  <c r="R886" i="16"/>
  <c r="R885" i="16"/>
  <c r="R884" i="16"/>
  <c r="R883" i="16"/>
  <c r="R882" i="16"/>
  <c r="R881" i="16"/>
  <c r="R880" i="16"/>
  <c r="R879" i="16"/>
  <c r="R878" i="16"/>
  <c r="R877" i="16"/>
  <c r="R876" i="16"/>
  <c r="R875" i="16"/>
  <c r="R874" i="16"/>
  <c r="R873" i="16"/>
  <c r="R872" i="16"/>
  <c r="R871" i="16"/>
  <c r="R870" i="16"/>
  <c r="R869" i="16"/>
  <c r="R868" i="16"/>
  <c r="R867" i="16"/>
  <c r="R866" i="16"/>
  <c r="R865" i="16"/>
  <c r="R864" i="16"/>
  <c r="R863" i="16"/>
  <c r="R862" i="16"/>
  <c r="R861" i="16"/>
  <c r="R860" i="16"/>
  <c r="R859" i="16"/>
  <c r="R858" i="16"/>
  <c r="R857" i="16"/>
  <c r="R856" i="16"/>
  <c r="R855" i="16"/>
  <c r="R854" i="16"/>
  <c r="R853" i="16"/>
  <c r="R852" i="16"/>
  <c r="R851" i="16"/>
  <c r="R850" i="16"/>
  <c r="R849" i="16"/>
  <c r="R848" i="16"/>
  <c r="R847" i="16"/>
  <c r="R846" i="16"/>
  <c r="R845" i="16"/>
  <c r="R844" i="16"/>
  <c r="R843" i="16"/>
  <c r="R842" i="16"/>
  <c r="R841" i="16"/>
  <c r="R840" i="16"/>
  <c r="R839" i="16"/>
  <c r="R838" i="16"/>
  <c r="R837" i="16"/>
  <c r="R836" i="16"/>
  <c r="R835" i="16"/>
  <c r="R834" i="16"/>
  <c r="R833" i="16"/>
  <c r="R832" i="16"/>
  <c r="R831" i="16"/>
  <c r="R830" i="16"/>
  <c r="R829" i="16"/>
  <c r="R828" i="16"/>
  <c r="R827" i="16"/>
  <c r="R826" i="16"/>
  <c r="R825" i="16"/>
  <c r="R824" i="16"/>
  <c r="R823" i="16"/>
  <c r="R822" i="16"/>
  <c r="R821" i="16"/>
  <c r="R820" i="16"/>
  <c r="R819" i="16"/>
  <c r="R818" i="16"/>
  <c r="R817" i="16"/>
  <c r="R816" i="16"/>
  <c r="R815" i="16"/>
  <c r="R814" i="16"/>
  <c r="R813" i="16"/>
  <c r="R812" i="16"/>
  <c r="R811" i="16"/>
  <c r="R810" i="16"/>
  <c r="R809" i="16"/>
  <c r="R808" i="16"/>
  <c r="R807" i="16"/>
  <c r="R806" i="16"/>
  <c r="R805" i="16"/>
  <c r="R804" i="16"/>
  <c r="R803" i="16"/>
  <c r="R802" i="16"/>
  <c r="R801" i="16"/>
  <c r="R800" i="16"/>
  <c r="R799" i="16"/>
  <c r="R798" i="16"/>
  <c r="R797" i="16"/>
  <c r="R796" i="16"/>
  <c r="R795" i="16"/>
  <c r="R794" i="16"/>
  <c r="R793" i="16"/>
  <c r="R792" i="16"/>
  <c r="R791" i="16"/>
  <c r="R790" i="16"/>
  <c r="R789" i="16"/>
  <c r="R788" i="16"/>
  <c r="R787" i="16"/>
  <c r="R786" i="16"/>
  <c r="R785" i="16"/>
  <c r="R784" i="16"/>
  <c r="R783" i="16"/>
  <c r="R782" i="16"/>
  <c r="R781" i="16"/>
  <c r="R780" i="16"/>
  <c r="R779" i="16"/>
  <c r="R778" i="16"/>
  <c r="R777" i="16"/>
  <c r="R776" i="16"/>
  <c r="R775" i="16"/>
  <c r="R774" i="16"/>
  <c r="R773" i="16"/>
  <c r="R772" i="16"/>
  <c r="R771" i="16"/>
  <c r="R770" i="16"/>
  <c r="R769" i="16"/>
  <c r="R768" i="16"/>
  <c r="R767" i="16"/>
  <c r="R766" i="16"/>
  <c r="R765" i="16"/>
  <c r="R764" i="16"/>
  <c r="R763" i="16"/>
  <c r="R762" i="16"/>
  <c r="R761" i="16"/>
  <c r="R760" i="16"/>
  <c r="R759" i="16"/>
  <c r="R758" i="16"/>
  <c r="R757" i="16"/>
  <c r="R756" i="16"/>
  <c r="R755" i="16"/>
  <c r="R754" i="16"/>
  <c r="R753" i="16"/>
  <c r="R752" i="16"/>
  <c r="R751" i="16"/>
  <c r="R750" i="16"/>
  <c r="R749" i="16"/>
  <c r="R748" i="16"/>
  <c r="R747" i="16"/>
  <c r="R746" i="16"/>
  <c r="R745" i="16"/>
  <c r="R744" i="16"/>
  <c r="R743" i="16"/>
  <c r="R742" i="16"/>
  <c r="R741" i="16"/>
  <c r="R740" i="16"/>
  <c r="R739" i="16"/>
  <c r="R738" i="16"/>
  <c r="R737" i="16"/>
  <c r="R736" i="16"/>
  <c r="R735" i="16"/>
  <c r="R734" i="16"/>
  <c r="R733" i="16"/>
  <c r="R732" i="16"/>
  <c r="R731" i="16"/>
  <c r="R730" i="16"/>
  <c r="R729" i="16"/>
  <c r="R728" i="16"/>
  <c r="R727" i="16"/>
  <c r="R726" i="16"/>
  <c r="R725" i="16"/>
  <c r="R724" i="16"/>
  <c r="R723" i="16"/>
  <c r="R722" i="16"/>
  <c r="R721" i="16"/>
  <c r="R720" i="16"/>
  <c r="R719" i="16"/>
  <c r="R718" i="16"/>
  <c r="R717" i="16"/>
  <c r="R716" i="16"/>
  <c r="R715" i="16"/>
  <c r="R714" i="16"/>
  <c r="R713" i="16"/>
  <c r="R712" i="16"/>
  <c r="R711" i="16"/>
  <c r="R710" i="16"/>
  <c r="R709" i="16"/>
  <c r="R708" i="16"/>
  <c r="R707" i="16"/>
  <c r="R706" i="16"/>
  <c r="R705" i="16"/>
  <c r="R704" i="16"/>
  <c r="R703" i="16"/>
  <c r="R702" i="16"/>
  <c r="R701" i="16"/>
  <c r="R700" i="16"/>
  <c r="R699" i="16"/>
  <c r="R698" i="16"/>
  <c r="R697" i="16"/>
  <c r="R696" i="16"/>
  <c r="R695" i="16"/>
  <c r="R694" i="16"/>
  <c r="R693" i="16"/>
  <c r="R692" i="16"/>
  <c r="R691" i="16"/>
  <c r="R690" i="16"/>
  <c r="R689" i="16"/>
  <c r="R688" i="16"/>
  <c r="R687" i="16"/>
  <c r="R686" i="16"/>
  <c r="R685" i="16"/>
  <c r="R684" i="16"/>
  <c r="R683" i="16"/>
  <c r="R682" i="16"/>
  <c r="R681" i="16"/>
  <c r="R680" i="16"/>
  <c r="R679" i="16"/>
  <c r="R678" i="16"/>
  <c r="R677" i="16"/>
  <c r="R676" i="16"/>
  <c r="R675" i="16"/>
  <c r="R674" i="16"/>
  <c r="R673" i="16"/>
  <c r="R672" i="16"/>
  <c r="R671" i="16"/>
  <c r="R670" i="16"/>
  <c r="R669" i="16"/>
  <c r="R668" i="16"/>
  <c r="R667" i="16"/>
  <c r="R666" i="16"/>
  <c r="R665" i="16"/>
  <c r="R664" i="16"/>
  <c r="R663" i="16"/>
  <c r="R662" i="16"/>
  <c r="R661" i="16"/>
  <c r="R660" i="16"/>
  <c r="R659" i="16"/>
  <c r="R658" i="16"/>
  <c r="R657" i="16"/>
  <c r="R656" i="16"/>
  <c r="R655" i="16"/>
  <c r="R654" i="16"/>
  <c r="R653" i="16"/>
  <c r="R652" i="16"/>
  <c r="R651" i="16"/>
  <c r="R650" i="16"/>
  <c r="R649" i="16"/>
  <c r="R648" i="16"/>
  <c r="R647" i="16"/>
  <c r="R646" i="16"/>
  <c r="R645" i="16"/>
  <c r="R644" i="16"/>
  <c r="R643" i="16"/>
  <c r="R642" i="16"/>
  <c r="R641" i="16"/>
  <c r="R640" i="16"/>
  <c r="R639" i="16"/>
  <c r="R638" i="16"/>
  <c r="R637" i="16"/>
  <c r="R636" i="16"/>
  <c r="R635" i="16"/>
  <c r="R634" i="16"/>
  <c r="R633" i="16"/>
  <c r="R632" i="16"/>
  <c r="R631" i="16"/>
  <c r="R630" i="16"/>
  <c r="R629" i="16"/>
  <c r="R628" i="16"/>
  <c r="R627" i="16"/>
  <c r="R626" i="16"/>
  <c r="R625" i="16"/>
  <c r="R624" i="16"/>
  <c r="R623" i="16"/>
  <c r="R622" i="16"/>
  <c r="R621" i="16"/>
  <c r="R620" i="16"/>
  <c r="R619" i="16"/>
  <c r="R618" i="16"/>
  <c r="R617" i="16"/>
  <c r="R616" i="16"/>
  <c r="R615" i="16"/>
  <c r="R614" i="16"/>
  <c r="R613" i="16"/>
  <c r="R612" i="16"/>
  <c r="R611" i="16"/>
  <c r="R610" i="16"/>
  <c r="R609" i="16"/>
  <c r="R608" i="16"/>
  <c r="R607" i="16"/>
  <c r="R606" i="16"/>
  <c r="R605" i="16"/>
  <c r="R604" i="16"/>
  <c r="R603" i="16"/>
  <c r="R602" i="16"/>
  <c r="R601" i="16"/>
  <c r="R600" i="16"/>
  <c r="R599" i="16"/>
  <c r="R598" i="16"/>
  <c r="R597" i="16"/>
  <c r="R596" i="16"/>
  <c r="R595" i="16"/>
  <c r="R594" i="16"/>
  <c r="R593" i="16"/>
  <c r="R592" i="16"/>
  <c r="R591" i="16"/>
  <c r="R590" i="16"/>
  <c r="R589" i="16"/>
  <c r="R588" i="16"/>
  <c r="R587" i="16"/>
  <c r="R586" i="16"/>
  <c r="R585" i="16"/>
  <c r="R584" i="16"/>
  <c r="R583" i="16"/>
  <c r="R582" i="16"/>
  <c r="R581" i="16"/>
  <c r="R580" i="16"/>
  <c r="R579" i="16"/>
  <c r="R578" i="16"/>
  <c r="R577" i="16"/>
  <c r="R576" i="16"/>
  <c r="R575" i="16"/>
  <c r="R574" i="16"/>
  <c r="R573" i="16"/>
  <c r="R572" i="16"/>
  <c r="R571" i="16"/>
  <c r="R570" i="16"/>
  <c r="R569" i="16"/>
  <c r="R568" i="16"/>
  <c r="R567" i="16"/>
  <c r="R566" i="16"/>
  <c r="R565" i="16"/>
  <c r="R564" i="16"/>
  <c r="R563" i="16"/>
  <c r="R562" i="16"/>
  <c r="R561" i="16"/>
  <c r="R560" i="16"/>
  <c r="R559" i="16"/>
  <c r="R558" i="16"/>
  <c r="R557" i="16"/>
  <c r="R556" i="16"/>
  <c r="R555" i="16"/>
  <c r="R554" i="16"/>
  <c r="R553" i="16"/>
  <c r="R552" i="16"/>
  <c r="R551" i="16"/>
  <c r="R550" i="16"/>
  <c r="R549" i="16"/>
  <c r="R548" i="16"/>
  <c r="R547" i="16"/>
  <c r="R546" i="16"/>
  <c r="R545" i="16"/>
  <c r="R544" i="16"/>
  <c r="R543" i="16"/>
  <c r="R542" i="16"/>
  <c r="R541" i="16"/>
  <c r="R540" i="16"/>
  <c r="R539" i="16"/>
  <c r="R538" i="16"/>
  <c r="R537" i="16"/>
  <c r="R536" i="16"/>
  <c r="R535" i="16"/>
  <c r="R534" i="16"/>
  <c r="R533" i="16"/>
  <c r="R532" i="16"/>
  <c r="R531" i="16"/>
  <c r="R530" i="16"/>
  <c r="R529" i="16"/>
  <c r="R528" i="16"/>
  <c r="R527" i="16"/>
  <c r="R526" i="16"/>
  <c r="R525" i="16"/>
  <c r="R524" i="16"/>
  <c r="R523" i="16"/>
  <c r="R522" i="16"/>
  <c r="R521" i="16"/>
  <c r="R520" i="16"/>
  <c r="R519" i="16"/>
  <c r="R518" i="16"/>
  <c r="R517" i="16"/>
  <c r="R516" i="16"/>
  <c r="R515" i="16"/>
  <c r="R514" i="16"/>
  <c r="R513" i="16"/>
  <c r="R512" i="16"/>
  <c r="R511" i="16"/>
  <c r="R510" i="16"/>
  <c r="R509" i="16"/>
  <c r="R508" i="16"/>
  <c r="R507" i="16"/>
  <c r="R506" i="16"/>
  <c r="R505" i="16"/>
  <c r="R504" i="16"/>
  <c r="R503" i="16"/>
  <c r="R502" i="16"/>
  <c r="R501" i="16"/>
  <c r="R500" i="16"/>
  <c r="R499" i="16"/>
  <c r="R498" i="16"/>
  <c r="R497" i="16"/>
  <c r="R496" i="16"/>
  <c r="R495" i="16"/>
  <c r="R494" i="16"/>
  <c r="R493" i="16"/>
  <c r="R492" i="16"/>
  <c r="R491" i="16"/>
  <c r="R490" i="16"/>
  <c r="R489" i="16"/>
  <c r="R488" i="16"/>
  <c r="R487" i="16"/>
  <c r="R486" i="16"/>
  <c r="R485" i="16"/>
  <c r="R484" i="16"/>
  <c r="R483" i="16"/>
  <c r="R482" i="16"/>
  <c r="R481" i="16"/>
  <c r="R480" i="16"/>
  <c r="R479" i="16"/>
  <c r="R478" i="16"/>
  <c r="R477" i="16"/>
  <c r="R476" i="16"/>
  <c r="R475" i="16"/>
  <c r="R474" i="16"/>
  <c r="R473" i="16"/>
  <c r="R472" i="16"/>
  <c r="R471" i="16"/>
  <c r="R470" i="16"/>
  <c r="R469" i="16"/>
  <c r="R468" i="16"/>
  <c r="R467" i="16"/>
  <c r="R466" i="16"/>
  <c r="R465" i="16"/>
  <c r="R464" i="16"/>
  <c r="R463" i="16"/>
  <c r="R462" i="16"/>
  <c r="R461" i="16"/>
  <c r="R460" i="16"/>
  <c r="R459" i="16"/>
  <c r="R458" i="16"/>
  <c r="R457" i="16"/>
  <c r="R456" i="16"/>
  <c r="R455" i="16"/>
  <c r="R454" i="16"/>
  <c r="R453" i="16"/>
  <c r="R452" i="16"/>
  <c r="R451" i="16"/>
  <c r="R450" i="16"/>
  <c r="R449" i="16"/>
  <c r="R448" i="16"/>
  <c r="R447" i="16"/>
  <c r="R446" i="16"/>
  <c r="R445" i="16"/>
  <c r="R444" i="16"/>
  <c r="R443" i="16"/>
  <c r="R442" i="16"/>
  <c r="R441" i="16"/>
  <c r="R440" i="16"/>
  <c r="R439" i="16"/>
  <c r="R438" i="16"/>
  <c r="R437" i="16"/>
  <c r="R436" i="16"/>
  <c r="R435" i="16"/>
  <c r="R434" i="16"/>
  <c r="R433" i="16"/>
  <c r="R432" i="16"/>
  <c r="R431" i="16"/>
  <c r="R430" i="16"/>
  <c r="R429" i="16"/>
  <c r="R428" i="16"/>
  <c r="R427" i="16"/>
  <c r="R426" i="16"/>
  <c r="R425" i="16"/>
  <c r="R424" i="16"/>
  <c r="R423" i="16"/>
  <c r="R422" i="16"/>
  <c r="R421" i="16"/>
  <c r="R420" i="16"/>
  <c r="R419" i="16"/>
  <c r="R418" i="16"/>
  <c r="R417" i="16"/>
  <c r="R416" i="16"/>
  <c r="R415" i="16"/>
  <c r="R414" i="16"/>
  <c r="R413" i="16"/>
  <c r="R412" i="16"/>
  <c r="R411" i="16"/>
  <c r="R410" i="16"/>
  <c r="R409" i="16"/>
  <c r="R408" i="16"/>
  <c r="R407" i="16"/>
  <c r="R406" i="16"/>
  <c r="R405" i="16"/>
  <c r="R404" i="16"/>
  <c r="R403" i="16"/>
  <c r="R402" i="16"/>
  <c r="R401" i="16"/>
  <c r="R400" i="16"/>
  <c r="R399" i="16"/>
  <c r="R398" i="16"/>
  <c r="R397" i="16"/>
  <c r="R396" i="16"/>
  <c r="R395" i="16"/>
  <c r="R394" i="16"/>
  <c r="R393" i="16"/>
  <c r="R392" i="16"/>
  <c r="R391" i="16"/>
  <c r="R390" i="16"/>
  <c r="R389" i="16"/>
  <c r="R388" i="16"/>
  <c r="R387" i="16"/>
  <c r="R386" i="16"/>
  <c r="R385" i="16"/>
  <c r="R384" i="16"/>
  <c r="R383" i="16"/>
  <c r="R382" i="16"/>
  <c r="R381" i="16"/>
  <c r="R380" i="16"/>
  <c r="R379" i="16"/>
  <c r="R378" i="16"/>
  <c r="R377" i="16"/>
  <c r="R376" i="16"/>
  <c r="R375" i="16"/>
  <c r="R374" i="16"/>
  <c r="R373" i="16"/>
  <c r="R372" i="16"/>
  <c r="R371" i="16"/>
  <c r="R370" i="16"/>
  <c r="R369" i="16"/>
  <c r="R368" i="16"/>
  <c r="R367" i="16"/>
  <c r="R366" i="16"/>
  <c r="R365" i="16"/>
  <c r="R364" i="16"/>
  <c r="R363" i="16"/>
  <c r="R362" i="16"/>
  <c r="R361" i="16"/>
  <c r="R360" i="16"/>
  <c r="R359" i="16"/>
  <c r="R358" i="16"/>
  <c r="R357" i="16"/>
  <c r="R356" i="16"/>
  <c r="R355" i="16"/>
  <c r="R354" i="16"/>
  <c r="R353" i="16"/>
  <c r="R352" i="16"/>
  <c r="R351" i="16"/>
  <c r="R350" i="16"/>
  <c r="R349" i="16"/>
  <c r="R348" i="16"/>
  <c r="R347" i="16"/>
  <c r="R346" i="16"/>
  <c r="R345" i="16"/>
  <c r="R344" i="16"/>
  <c r="R343" i="16"/>
  <c r="R342" i="16"/>
  <c r="R341" i="16"/>
  <c r="R340" i="16"/>
  <c r="R339" i="16"/>
  <c r="R338" i="16"/>
  <c r="R337" i="16"/>
  <c r="R336" i="16"/>
  <c r="R335" i="16"/>
  <c r="R334" i="16"/>
  <c r="R333" i="16"/>
  <c r="R332" i="16"/>
  <c r="R331" i="16"/>
  <c r="R330" i="16"/>
  <c r="R329" i="16"/>
  <c r="R328" i="16"/>
  <c r="R327" i="16"/>
  <c r="R326" i="16"/>
  <c r="R325" i="16"/>
  <c r="R324" i="16"/>
  <c r="R323" i="16"/>
  <c r="R322" i="16"/>
  <c r="R321" i="16"/>
  <c r="R320" i="16"/>
  <c r="R319" i="16"/>
  <c r="R318" i="16"/>
  <c r="R317" i="16"/>
  <c r="R316" i="16"/>
  <c r="R315" i="16"/>
  <c r="R314" i="16"/>
  <c r="R313" i="16"/>
  <c r="R312" i="16"/>
  <c r="R311" i="16"/>
  <c r="R310" i="16"/>
  <c r="R309" i="16"/>
  <c r="R308" i="16"/>
  <c r="R307" i="16"/>
  <c r="R306" i="16"/>
  <c r="R305" i="16"/>
  <c r="R304" i="16"/>
  <c r="R303" i="16"/>
  <c r="R302" i="16"/>
  <c r="R301" i="16"/>
  <c r="R300" i="16"/>
  <c r="R299" i="16"/>
  <c r="R298" i="16"/>
  <c r="R297" i="16"/>
  <c r="R296" i="16"/>
  <c r="R295" i="16"/>
  <c r="R294" i="16"/>
  <c r="R293" i="16"/>
  <c r="R292" i="16"/>
  <c r="R291" i="16"/>
  <c r="R290" i="16"/>
  <c r="R289" i="16"/>
  <c r="R288" i="16"/>
  <c r="R287" i="16"/>
  <c r="R286" i="16"/>
  <c r="R285" i="16"/>
  <c r="R284" i="16"/>
  <c r="R283" i="16"/>
  <c r="R282" i="16"/>
  <c r="R281" i="16"/>
  <c r="R280" i="16"/>
  <c r="R279" i="16"/>
  <c r="R278" i="16"/>
  <c r="R277" i="16"/>
  <c r="R276" i="16"/>
  <c r="R275" i="16"/>
  <c r="R274" i="16"/>
  <c r="R273" i="16"/>
  <c r="R272" i="16"/>
  <c r="R271" i="16"/>
  <c r="R270" i="16"/>
  <c r="R269" i="16"/>
  <c r="R268" i="16"/>
  <c r="R267" i="16"/>
  <c r="R266" i="16"/>
  <c r="R265" i="16"/>
  <c r="R264" i="16"/>
  <c r="R263" i="16"/>
  <c r="R262" i="16"/>
  <c r="R261" i="16"/>
  <c r="R260" i="16"/>
  <c r="R259" i="16"/>
  <c r="R258" i="16"/>
  <c r="R257" i="16"/>
  <c r="R256" i="16"/>
  <c r="R255" i="16"/>
  <c r="R254" i="16"/>
  <c r="R253" i="16"/>
  <c r="R252" i="16"/>
  <c r="R251" i="16"/>
  <c r="R250" i="16"/>
  <c r="R249" i="16"/>
  <c r="R248" i="16"/>
  <c r="R247" i="16"/>
  <c r="R246" i="16"/>
  <c r="R245" i="16"/>
  <c r="R244" i="16"/>
  <c r="R243" i="16"/>
  <c r="R242" i="16"/>
  <c r="R241" i="16"/>
  <c r="R240" i="16"/>
  <c r="R239" i="16"/>
  <c r="R238" i="16"/>
  <c r="R237" i="16"/>
  <c r="R236" i="16"/>
  <c r="R235" i="16"/>
  <c r="R234" i="16"/>
  <c r="R233" i="16"/>
  <c r="R232" i="16"/>
  <c r="R231" i="16"/>
  <c r="R230" i="16"/>
  <c r="R229" i="16"/>
  <c r="R228" i="16"/>
  <c r="R227" i="16"/>
  <c r="R226" i="16"/>
  <c r="R225" i="16"/>
  <c r="R224" i="16"/>
  <c r="R223" i="16"/>
  <c r="R222" i="16"/>
  <c r="R221" i="16"/>
  <c r="R220" i="16"/>
  <c r="R219" i="16"/>
  <c r="R218" i="16"/>
  <c r="R217" i="16"/>
  <c r="R216" i="16"/>
  <c r="R215" i="16"/>
  <c r="R214" i="16"/>
  <c r="R213" i="16"/>
  <c r="R212" i="16"/>
  <c r="R211" i="16"/>
  <c r="R210" i="16"/>
  <c r="R209" i="16"/>
  <c r="R208" i="16"/>
  <c r="R207" i="16"/>
  <c r="R206" i="16"/>
  <c r="R205" i="16"/>
  <c r="R204" i="16"/>
  <c r="R203" i="16"/>
  <c r="R202" i="16"/>
  <c r="R201" i="16"/>
  <c r="R200" i="16"/>
  <c r="R199" i="16"/>
  <c r="R198" i="16"/>
  <c r="R197" i="16"/>
  <c r="R196" i="16"/>
  <c r="R195" i="16"/>
  <c r="R194" i="16"/>
  <c r="R193" i="16"/>
  <c r="R192" i="16"/>
  <c r="R191" i="16"/>
  <c r="R190" i="16"/>
  <c r="R189" i="16"/>
  <c r="R188" i="16"/>
  <c r="R187" i="16"/>
  <c r="R186" i="16"/>
  <c r="R185" i="16"/>
  <c r="R184" i="16"/>
  <c r="R183" i="16"/>
  <c r="R182" i="16"/>
  <c r="R181" i="16"/>
  <c r="R180" i="16"/>
  <c r="R179" i="16"/>
  <c r="R178" i="16"/>
  <c r="R177" i="16"/>
  <c r="R176" i="16"/>
  <c r="R175" i="16"/>
  <c r="R174" i="16"/>
  <c r="R173" i="16"/>
  <c r="R172" i="16"/>
  <c r="R171" i="16"/>
  <c r="R170" i="16"/>
  <c r="R169" i="16"/>
  <c r="R168" i="16"/>
  <c r="R167" i="16"/>
  <c r="R166" i="16"/>
  <c r="R165" i="16"/>
  <c r="R164" i="16"/>
  <c r="R163" i="16"/>
  <c r="R162" i="16"/>
  <c r="R161" i="16"/>
  <c r="R160" i="16"/>
  <c r="R159" i="16"/>
  <c r="R158" i="16"/>
  <c r="R157" i="16"/>
  <c r="R156" i="16"/>
  <c r="R155" i="16"/>
  <c r="R154" i="16"/>
  <c r="R153" i="16"/>
  <c r="R152" i="16"/>
  <c r="R151" i="16"/>
  <c r="R150" i="16"/>
  <c r="R149" i="16"/>
  <c r="R148" i="16"/>
  <c r="R147" i="16"/>
  <c r="R146" i="16"/>
  <c r="R145" i="16"/>
  <c r="R144" i="16"/>
  <c r="R143" i="16"/>
  <c r="R142" i="16"/>
  <c r="R141" i="16"/>
  <c r="R140" i="16"/>
  <c r="R139" i="16"/>
  <c r="R138" i="16"/>
  <c r="R137" i="16"/>
  <c r="R136" i="16"/>
  <c r="R135" i="16"/>
  <c r="R134" i="16"/>
  <c r="R133" i="16"/>
  <c r="R132" i="16"/>
  <c r="R131" i="16"/>
  <c r="R130" i="16"/>
  <c r="R129" i="16"/>
  <c r="R128" i="16"/>
  <c r="R127" i="16"/>
  <c r="R126" i="16"/>
  <c r="R125" i="16"/>
  <c r="R124" i="16"/>
  <c r="R123" i="16"/>
  <c r="R122" i="16"/>
  <c r="R121" i="16"/>
  <c r="R120" i="16"/>
  <c r="R119" i="16"/>
  <c r="R118" i="16"/>
  <c r="R117" i="16"/>
  <c r="R116" i="16"/>
  <c r="R115" i="16"/>
  <c r="R114" i="16"/>
  <c r="R113" i="16"/>
  <c r="R112" i="16"/>
  <c r="R111" i="16"/>
  <c r="R110" i="16"/>
  <c r="R109" i="16"/>
  <c r="R108" i="16"/>
  <c r="R107" i="16"/>
  <c r="R106" i="16"/>
  <c r="R105" i="16"/>
  <c r="R104" i="16"/>
  <c r="R103" i="16"/>
  <c r="R102" i="16"/>
  <c r="R101" i="16"/>
  <c r="R100" i="16"/>
  <c r="R99" i="16"/>
  <c r="R98" i="16"/>
  <c r="R97" i="16"/>
  <c r="R96" i="16"/>
  <c r="R95" i="16"/>
  <c r="R94" i="16"/>
  <c r="R93" i="16"/>
  <c r="R92" i="16"/>
  <c r="R91" i="16"/>
  <c r="R90" i="16"/>
  <c r="R89" i="16"/>
  <c r="R88" i="16"/>
  <c r="R87" i="16"/>
  <c r="R86" i="16"/>
  <c r="R85" i="16"/>
  <c r="R84" i="16"/>
  <c r="R83" i="16"/>
  <c r="R82" i="16"/>
  <c r="R81" i="16"/>
  <c r="R80" i="16"/>
  <c r="R79" i="16"/>
  <c r="R78" i="16"/>
  <c r="R77" i="16"/>
  <c r="R76" i="16"/>
  <c r="R75" i="16"/>
  <c r="R74" i="16"/>
  <c r="R73" i="16"/>
  <c r="R72" i="16"/>
  <c r="R71" i="16"/>
  <c r="R70" i="16"/>
  <c r="R69" i="16"/>
  <c r="R68" i="16"/>
  <c r="R67" i="16"/>
  <c r="R66" i="16"/>
  <c r="R65" i="16"/>
  <c r="R64" i="16"/>
  <c r="R63" i="16"/>
  <c r="R62" i="16"/>
  <c r="R61" i="16"/>
  <c r="R60" i="16"/>
  <c r="R59" i="16"/>
  <c r="R58" i="16"/>
  <c r="R57" i="16"/>
  <c r="R56" i="16"/>
  <c r="R55" i="16"/>
  <c r="R54" i="16"/>
  <c r="R53" i="16"/>
  <c r="R52" i="16"/>
  <c r="R51" i="16"/>
  <c r="R50" i="16"/>
  <c r="R49" i="16"/>
  <c r="R48" i="16"/>
  <c r="R47" i="16"/>
  <c r="R46" i="16"/>
  <c r="R45" i="16"/>
  <c r="R44" i="16"/>
  <c r="R43" i="16"/>
  <c r="R42" i="16"/>
  <c r="R41" i="16"/>
  <c r="R40" i="16"/>
  <c r="R39" i="16"/>
  <c r="R38" i="16"/>
  <c r="R37" i="16"/>
  <c r="R36" i="16"/>
  <c r="R35" i="16"/>
  <c r="R34" i="16"/>
  <c r="R33" i="16"/>
  <c r="R32" i="16"/>
  <c r="R31" i="16"/>
  <c r="R30" i="16"/>
  <c r="R29" i="16"/>
  <c r="R28" i="16"/>
  <c r="R27" i="16"/>
  <c r="R26" i="16"/>
  <c r="R25" i="16"/>
  <c r="R24" i="16"/>
  <c r="R23" i="16"/>
  <c r="R22" i="16"/>
  <c r="R21" i="16"/>
  <c r="R20" i="16"/>
  <c r="R19" i="16"/>
  <c r="R18" i="16"/>
  <c r="R17" i="16"/>
  <c r="R16" i="16"/>
  <c r="R15" i="16"/>
  <c r="R14" i="16"/>
  <c r="R13" i="16"/>
  <c r="R12" i="16"/>
  <c r="R11" i="16"/>
  <c r="R10" i="16"/>
  <c r="R9" i="16"/>
  <c r="R8" i="16"/>
  <c r="R7" i="16"/>
  <c r="R6" i="16"/>
  <c r="R5" i="16"/>
  <c r="R4" i="16"/>
  <c r="R3" i="16"/>
  <c r="H1164" i="16"/>
  <c r="G1164" i="16"/>
  <c r="M1172" i="16"/>
  <c r="L1172" i="16"/>
  <c r="H1172" i="16"/>
  <c r="G1172" i="16"/>
  <c r="K966" i="16"/>
  <c r="J966" i="16"/>
  <c r="K1043" i="16"/>
  <c r="J1043" i="16"/>
  <c r="K985" i="16"/>
  <c r="J985" i="16"/>
  <c r="K1058" i="16"/>
  <c r="J1058" i="16"/>
  <c r="K963" i="16"/>
  <c r="K1041" i="16"/>
  <c r="K1042" i="16"/>
  <c r="J1042" i="16"/>
  <c r="H1248" i="16"/>
  <c r="G1248" i="16"/>
  <c r="J962" i="16"/>
  <c r="K984" i="16"/>
  <c r="K1045" i="16"/>
  <c r="K1051" i="16"/>
  <c r="K962" i="16" s="1"/>
  <c r="K1050" i="16"/>
  <c r="K1048" i="16"/>
  <c r="K1054" i="16"/>
  <c r="L1054" i="16" s="1"/>
  <c r="K1055" i="16"/>
  <c r="I1308" i="16" l="1"/>
  <c r="I1248" i="16"/>
  <c r="I1164" i="16"/>
  <c r="I1172" i="16"/>
  <c r="J987" i="16"/>
  <c r="M1165" i="16"/>
  <c r="L1165" i="16"/>
  <c r="H1165" i="16"/>
  <c r="G1165" i="16"/>
  <c r="H1168" i="16"/>
  <c r="G1168" i="16"/>
  <c r="H1167" i="16"/>
  <c r="G1167" i="16"/>
  <c r="M1068" i="16"/>
  <c r="L1068" i="16"/>
  <c r="M1425" i="16"/>
  <c r="L1425" i="16"/>
  <c r="H1425" i="16"/>
  <c r="G1425" i="16"/>
  <c r="H1169" i="16"/>
  <c r="G1169" i="16"/>
  <c r="H1063" i="16"/>
  <c r="G1063" i="16"/>
  <c r="G103" i="16"/>
  <c r="H103" i="16"/>
  <c r="M1166" i="16"/>
  <c r="M1044" i="16"/>
  <c r="M979" i="16"/>
  <c r="L1166" i="16"/>
  <c r="L1044" i="16"/>
  <c r="L979" i="16"/>
  <c r="H1166" i="16"/>
  <c r="G1166" i="16"/>
  <c r="H1044" i="16"/>
  <c r="G1044" i="16"/>
  <c r="M935" i="16"/>
  <c r="L935" i="16"/>
  <c r="L967" i="16"/>
  <c r="M967" i="16"/>
  <c r="R2" i="16"/>
  <c r="I103" i="16" l="1"/>
  <c r="I1165" i="16"/>
  <c r="I1168" i="16"/>
  <c r="I1044" i="16"/>
  <c r="I1167" i="16"/>
  <c r="I1425" i="16"/>
  <c r="I1166" i="16"/>
  <c r="I1169" i="16"/>
  <c r="I1063" i="16"/>
  <c r="M1577" i="14"/>
  <c r="L1577" i="14"/>
  <c r="H1577" i="14"/>
  <c r="I1577" i="14" s="1"/>
  <c r="G1577" i="14"/>
  <c r="R1576" i="14"/>
  <c r="M1576" i="14"/>
  <c r="L1576" i="14"/>
  <c r="H1576" i="14"/>
  <c r="G1576" i="14"/>
  <c r="R1575" i="14"/>
  <c r="M1575" i="14"/>
  <c r="L1575" i="14"/>
  <c r="H1575" i="14"/>
  <c r="I1575" i="14" s="1"/>
  <c r="G1575" i="14"/>
  <c r="R1574" i="14"/>
  <c r="M1574" i="14"/>
  <c r="L1574" i="14"/>
  <c r="H1574" i="14"/>
  <c r="I1574" i="14" s="1"/>
  <c r="G1574" i="14"/>
  <c r="R1573" i="14"/>
  <c r="M1573" i="14"/>
  <c r="L1573" i="14"/>
  <c r="H1573" i="14"/>
  <c r="G1573" i="14"/>
  <c r="R1572" i="14"/>
  <c r="M1572" i="14"/>
  <c r="L1572" i="14"/>
  <c r="H1572" i="14"/>
  <c r="G1572" i="14"/>
  <c r="R1571" i="14"/>
  <c r="M1571" i="14"/>
  <c r="L1571" i="14"/>
  <c r="H1571" i="14"/>
  <c r="G1571" i="14"/>
  <c r="M1570" i="14"/>
  <c r="L1570" i="14"/>
  <c r="R1569" i="14"/>
  <c r="M1569" i="14"/>
  <c r="L1569" i="14"/>
  <c r="M1568" i="14"/>
  <c r="M1567" i="14"/>
  <c r="L1568" i="14"/>
  <c r="L1567" i="14"/>
  <c r="H1568" i="14"/>
  <c r="G1568" i="14"/>
  <c r="H1567" i="14"/>
  <c r="G1567" i="14"/>
  <c r="M1566" i="14"/>
  <c r="M1565" i="14"/>
  <c r="L1566" i="14"/>
  <c r="L1565" i="14"/>
  <c r="H1566" i="14"/>
  <c r="I1566" i="14" s="1"/>
  <c r="G1566" i="14"/>
  <c r="H1565" i="14"/>
  <c r="I1565" i="14" s="1"/>
  <c r="G1565" i="14"/>
  <c r="M1564" i="14"/>
  <c r="M1563" i="14"/>
  <c r="M1430" i="14"/>
  <c r="M1392" i="14"/>
  <c r="L1564" i="14"/>
  <c r="L1563" i="14"/>
  <c r="H1564" i="14"/>
  <c r="I1564" i="14" s="1"/>
  <c r="G1564" i="14"/>
  <c r="H1563" i="14"/>
  <c r="I1563" i="14" s="1"/>
  <c r="G1563" i="14"/>
  <c r="I1571" i="14" l="1"/>
  <c r="I1576" i="14"/>
  <c r="I1573" i="14"/>
  <c r="I1568" i="14"/>
  <c r="I1572" i="14"/>
  <c r="I1567" i="14"/>
  <c r="L1562" i="14"/>
  <c r="L1561" i="14"/>
  <c r="H1562" i="14"/>
  <c r="G1562" i="14"/>
  <c r="H1561" i="14"/>
  <c r="G1561" i="14"/>
  <c r="R1560" i="14"/>
  <c r="M1560" i="14"/>
  <c r="L1560" i="14"/>
  <c r="H1560" i="14"/>
  <c r="G1560" i="14"/>
  <c r="R1559" i="14"/>
  <c r="M1559" i="14"/>
  <c r="L1559" i="14"/>
  <c r="H1559" i="14"/>
  <c r="G1559" i="14"/>
  <c r="R1558" i="14"/>
  <c r="M1558" i="14"/>
  <c r="L1558" i="14"/>
  <c r="H1558" i="14"/>
  <c r="G1558" i="14"/>
  <c r="M1094" i="16"/>
  <c r="M1093" i="16"/>
  <c r="M1092" i="16"/>
  <c r="M1091" i="16"/>
  <c r="M1090" i="16"/>
  <c r="M1089" i="16"/>
  <c r="M1088" i="16"/>
  <c r="M1087" i="16"/>
  <c r="M1086" i="16"/>
  <c r="M1085" i="16"/>
  <c r="M1084" i="16"/>
  <c r="M1083" i="16"/>
  <c r="M1082" i="16"/>
  <c r="M1081" i="16"/>
  <c r="M1080" i="16"/>
  <c r="M1079" i="16"/>
  <c r="M1078" i="16"/>
  <c r="M1077" i="16"/>
  <c r="M1076" i="16"/>
  <c r="M1075" i="16"/>
  <c r="M1074" i="16"/>
  <c r="M1073" i="16"/>
  <c r="M1072" i="16"/>
  <c r="M1071" i="16"/>
  <c r="M1070" i="16"/>
  <c r="M1069" i="16"/>
  <c r="M1067" i="16"/>
  <c r="M1066" i="16"/>
  <c r="M1065" i="16"/>
  <c r="M1064" i="16"/>
  <c r="M1063" i="16"/>
  <c r="M1062" i="16"/>
  <c r="M1061" i="16"/>
  <c r="M1059" i="16"/>
  <c r="M1058" i="16"/>
  <c r="M1057" i="16"/>
  <c r="M1056" i="16"/>
  <c r="M1055" i="16"/>
  <c r="M1054" i="16"/>
  <c r="M1053" i="16"/>
  <c r="M1052" i="16"/>
  <c r="M1051" i="16"/>
  <c r="M1050" i="16"/>
  <c r="M1049" i="16"/>
  <c r="M1048" i="16"/>
  <c r="M1047" i="16"/>
  <c r="M1046" i="16"/>
  <c r="M1045" i="16"/>
  <c r="M1043" i="16"/>
  <c r="M1042" i="16"/>
  <c r="M1041" i="16"/>
  <c r="M1040" i="16"/>
  <c r="M1039" i="16"/>
  <c r="M1038" i="16"/>
  <c r="M1037" i="16"/>
  <c r="M1036" i="16"/>
  <c r="M1035" i="16"/>
  <c r="L1094" i="16"/>
  <c r="L1093" i="16"/>
  <c r="L1092" i="16"/>
  <c r="L1091" i="16"/>
  <c r="L1090" i="16"/>
  <c r="L1089" i="16"/>
  <c r="L1088" i="16"/>
  <c r="L1087" i="16"/>
  <c r="L1086" i="16"/>
  <c r="L1085" i="16"/>
  <c r="L1084" i="16"/>
  <c r="L1083" i="16"/>
  <c r="L1082" i="16"/>
  <c r="L1081" i="16"/>
  <c r="L1080" i="16"/>
  <c r="L1079" i="16"/>
  <c r="L1078" i="16"/>
  <c r="L1077" i="16"/>
  <c r="L1076" i="16"/>
  <c r="L1075" i="16"/>
  <c r="L1074" i="16"/>
  <c r="L1073" i="16"/>
  <c r="L1072" i="16"/>
  <c r="L1071" i="16"/>
  <c r="L1070" i="16"/>
  <c r="L1069" i="16"/>
  <c r="L1067" i="16"/>
  <c r="L1066" i="16"/>
  <c r="L1065" i="16"/>
  <c r="L1064" i="16"/>
  <c r="L1063" i="16"/>
  <c r="L1062" i="16"/>
  <c r="L1061" i="16"/>
  <c r="L1059" i="16"/>
  <c r="L1058" i="16"/>
  <c r="L1057" i="16"/>
  <c r="L1056" i="16"/>
  <c r="L1055" i="16"/>
  <c r="L1053" i="16"/>
  <c r="L1052" i="16"/>
  <c r="L1051" i="16"/>
  <c r="L1050" i="16"/>
  <c r="L1049" i="16"/>
  <c r="L1048" i="16"/>
  <c r="L1047" i="16"/>
  <c r="L1046" i="16"/>
  <c r="L1045" i="16"/>
  <c r="L1043" i="16"/>
  <c r="L1042" i="16"/>
  <c r="L1041" i="16"/>
  <c r="L1040" i="16"/>
  <c r="L1039" i="16"/>
  <c r="L1038" i="16"/>
  <c r="L1037" i="16"/>
  <c r="L1036" i="16"/>
  <c r="L1035" i="16"/>
  <c r="L362" i="16"/>
  <c r="L359" i="16"/>
  <c r="L358" i="16"/>
  <c r="J1548" i="14"/>
  <c r="I1561" i="14" l="1"/>
  <c r="I1558" i="14"/>
  <c r="I1562" i="14"/>
  <c r="I1560" i="14"/>
  <c r="I1559" i="14"/>
  <c r="M1028" i="16"/>
  <c r="L1028" i="16"/>
  <c r="M1027" i="16"/>
  <c r="L1027" i="16"/>
  <c r="M1026" i="16"/>
  <c r="L1026" i="16"/>
  <c r="M1025" i="16"/>
  <c r="L1025" i="16"/>
  <c r="M1024" i="16"/>
  <c r="L1024" i="16"/>
  <c r="M1023" i="16"/>
  <c r="L1023" i="16"/>
  <c r="M1022" i="16"/>
  <c r="L1022" i="16"/>
  <c r="M1021" i="16"/>
  <c r="L1021" i="16"/>
  <c r="M1020" i="16"/>
  <c r="L1020" i="16"/>
  <c r="M1019" i="16"/>
  <c r="L1019" i="16"/>
  <c r="M1018" i="16"/>
  <c r="L1018" i="16"/>
  <c r="M1017" i="16"/>
  <c r="L1017" i="16"/>
  <c r="M372" i="16"/>
  <c r="L372" i="16"/>
  <c r="H372" i="16"/>
  <c r="G372" i="16"/>
  <c r="M943" i="16"/>
  <c r="L943" i="16"/>
  <c r="M371" i="16"/>
  <c r="L371" i="16"/>
  <c r="H371" i="16"/>
  <c r="G371" i="16"/>
  <c r="M817" i="16"/>
  <c r="L817" i="16"/>
  <c r="H817" i="16"/>
  <c r="G817" i="16"/>
  <c r="I372" i="16" l="1"/>
  <c r="I371" i="16"/>
  <c r="I817" i="16"/>
  <c r="L990" i="16"/>
  <c r="M990" i="16"/>
  <c r="R2551" i="11"/>
  <c r="R2550" i="11"/>
  <c r="R2549" i="11"/>
  <c r="R2548" i="11"/>
  <c r="R2547" i="11"/>
  <c r="R2546" i="11"/>
  <c r="H2551" i="11"/>
  <c r="I2551" i="11" s="1"/>
  <c r="H2550" i="11"/>
  <c r="H2549" i="11"/>
  <c r="H2548" i="11"/>
  <c r="H2547" i="11"/>
  <c r="H2546" i="11"/>
  <c r="G2551" i="11"/>
  <c r="G2550" i="11"/>
  <c r="G2549" i="11"/>
  <c r="G2548" i="11"/>
  <c r="G2547" i="11"/>
  <c r="G2546" i="11"/>
  <c r="R1548" i="14"/>
  <c r="R1549" i="14"/>
  <c r="R1550" i="14"/>
  <c r="R1551" i="14"/>
  <c r="R1552" i="14"/>
  <c r="R1553" i="14"/>
  <c r="R1554" i="14"/>
  <c r="R1555" i="14"/>
  <c r="R1556" i="14"/>
  <c r="R1557" i="14"/>
  <c r="M1557" i="14"/>
  <c r="M1556" i="14"/>
  <c r="M1555" i="14"/>
  <c r="M1554" i="14"/>
  <c r="M1553" i="14"/>
  <c r="M1552" i="14"/>
  <c r="L1557" i="14"/>
  <c r="L1556" i="14"/>
  <c r="L1555" i="14"/>
  <c r="L1554" i="14"/>
  <c r="L1553" i="14"/>
  <c r="L1552" i="14"/>
  <c r="L1551" i="14"/>
  <c r="I1557" i="14"/>
  <c r="I1556" i="14"/>
  <c r="I1555" i="14"/>
  <c r="I1554" i="14"/>
  <c r="I1553" i="14"/>
  <c r="I1552" i="14"/>
  <c r="I2548" i="11" l="1"/>
  <c r="I2549" i="11"/>
  <c r="I2550" i="11"/>
  <c r="I2547" i="11"/>
  <c r="I2546" i="11"/>
  <c r="M1551" i="14"/>
  <c r="M1550" i="14"/>
  <c r="M1549" i="14"/>
  <c r="M1419" i="14"/>
  <c r="M1415" i="14"/>
  <c r="L1550" i="14"/>
  <c r="L1549" i="14"/>
  <c r="L1419" i="14"/>
  <c r="L1415" i="14"/>
  <c r="H1551" i="14"/>
  <c r="G1551" i="14"/>
  <c r="H1550" i="14"/>
  <c r="I1550" i="14" s="1"/>
  <c r="G1550" i="14"/>
  <c r="H1549" i="14"/>
  <c r="G1549" i="14"/>
  <c r="R2545" i="11"/>
  <c r="H2545" i="11"/>
  <c r="I2545" i="11" s="1"/>
  <c r="G2545" i="11"/>
  <c r="M2545" i="11"/>
  <c r="L2545" i="11"/>
  <c r="R2544" i="11"/>
  <c r="H2544" i="11"/>
  <c r="G2544" i="11"/>
  <c r="M2544" i="11"/>
  <c r="L2544" i="11"/>
  <c r="R2543" i="11"/>
  <c r="H2543" i="11"/>
  <c r="G2543" i="11"/>
  <c r="M2543" i="11"/>
  <c r="L2543" i="11"/>
  <c r="R2542" i="11"/>
  <c r="H2542" i="11"/>
  <c r="G2542" i="11"/>
  <c r="M2542" i="11"/>
  <c r="R2541" i="11"/>
  <c r="H2541" i="11"/>
  <c r="G2541" i="11"/>
  <c r="M2541" i="11"/>
  <c r="R2540" i="11"/>
  <c r="H2540" i="11"/>
  <c r="G2540" i="11"/>
  <c r="L2540" i="11"/>
  <c r="M1548" i="14"/>
  <c r="L1548" i="14"/>
  <c r="H1548" i="14"/>
  <c r="G1548" i="14"/>
  <c r="K397" i="16"/>
  <c r="K396" i="16"/>
  <c r="K395" i="16"/>
  <c r="K311" i="16"/>
  <c r="K54" i="16"/>
  <c r="G552" i="16"/>
  <c r="H552" i="16"/>
  <c r="L552" i="16"/>
  <c r="M552" i="16"/>
  <c r="M911" i="16"/>
  <c r="M910" i="16"/>
  <c r="M909" i="16"/>
  <c r="M912" i="16"/>
  <c r="M908" i="16"/>
  <c r="M907" i="16"/>
  <c r="M906" i="16"/>
  <c r="L911" i="16"/>
  <c r="L910" i="16"/>
  <c r="L909" i="16"/>
  <c r="L912" i="16"/>
  <c r="L908" i="16"/>
  <c r="L907" i="16"/>
  <c r="L906" i="16"/>
  <c r="H911" i="16"/>
  <c r="G911" i="16"/>
  <c r="H910" i="16"/>
  <c r="G910" i="16"/>
  <c r="H909" i="16"/>
  <c r="G909" i="16"/>
  <c r="H912" i="16"/>
  <c r="G912" i="16"/>
  <c r="H908" i="16"/>
  <c r="G908" i="16"/>
  <c r="H907" i="16"/>
  <c r="G907" i="16"/>
  <c r="H906" i="16"/>
  <c r="G906" i="16"/>
  <c r="M769" i="16"/>
  <c r="L769" i="16"/>
  <c r="M768" i="16"/>
  <c r="L768" i="16"/>
  <c r="H900" i="16"/>
  <c r="G900" i="16"/>
  <c r="L886" i="16"/>
  <c r="L890" i="16"/>
  <c r="M581" i="16"/>
  <c r="L581" i="16"/>
  <c r="M580" i="16"/>
  <c r="L580" i="16"/>
  <c r="K171" i="16"/>
  <c r="M578" i="16"/>
  <c r="L578" i="16"/>
  <c r="M577" i="16"/>
  <c r="L577" i="16"/>
  <c r="M38" i="16"/>
  <c r="M576" i="16"/>
  <c r="L38" i="16"/>
  <c r="L576" i="16"/>
  <c r="I2544" i="11" l="1"/>
  <c r="I2543" i="11"/>
  <c r="K987" i="16"/>
  <c r="I1551" i="14"/>
  <c r="I1549" i="14"/>
  <c r="I2542" i="11"/>
  <c r="I1548" i="14"/>
  <c r="I2540" i="11"/>
  <c r="L2542" i="11"/>
  <c r="I2541" i="11"/>
  <c r="L2541" i="11"/>
  <c r="M2540" i="11"/>
  <c r="I907" i="16"/>
  <c r="I552" i="16"/>
  <c r="I908" i="16"/>
  <c r="I911" i="16"/>
  <c r="I906" i="16"/>
  <c r="I909" i="16"/>
  <c r="I912" i="16"/>
  <c r="I910" i="16"/>
  <c r="I900" i="16"/>
  <c r="M568" i="16"/>
  <c r="L568" i="16"/>
  <c r="J566" i="16"/>
  <c r="M566" i="16" s="1"/>
  <c r="M565" i="16"/>
  <c r="L565" i="16"/>
  <c r="L561" i="16"/>
  <c r="M732" i="16"/>
  <c r="M353" i="16"/>
  <c r="L353" i="16"/>
  <c r="L732" i="16"/>
  <c r="M2539" i="11"/>
  <c r="M1636" i="11"/>
  <c r="M1635" i="11"/>
  <c r="M1634" i="11"/>
  <c r="M1633" i="11"/>
  <c r="L1633" i="11"/>
  <c r="L2539" i="11"/>
  <c r="L1636" i="11"/>
  <c r="L1635" i="11"/>
  <c r="L1634" i="11"/>
  <c r="R2539" i="11"/>
  <c r="H2539" i="11"/>
  <c r="G2539" i="11"/>
  <c r="M733" i="16"/>
  <c r="M354" i="16"/>
  <c r="L354" i="16"/>
  <c r="L733" i="16"/>
  <c r="M2538" i="11"/>
  <c r="M1640" i="11"/>
  <c r="M1639" i="11"/>
  <c r="M1638" i="11"/>
  <c r="M1637" i="11"/>
  <c r="L1637" i="11"/>
  <c r="L2538" i="11"/>
  <c r="L1640" i="11"/>
  <c r="L1639" i="11"/>
  <c r="L1638" i="11"/>
  <c r="R2538" i="11"/>
  <c r="H2538" i="11"/>
  <c r="G2538" i="11"/>
  <c r="M734" i="16"/>
  <c r="M355" i="16"/>
  <c r="L355" i="16"/>
  <c r="L734" i="16"/>
  <c r="M2537" i="11"/>
  <c r="M1644" i="11"/>
  <c r="M1643" i="11"/>
  <c r="M1642" i="11"/>
  <c r="M1641" i="11"/>
  <c r="L1641" i="11"/>
  <c r="R2537" i="11"/>
  <c r="H2537" i="11"/>
  <c r="G2537" i="11"/>
  <c r="L2537" i="11"/>
  <c r="L1644" i="11"/>
  <c r="L1643" i="11"/>
  <c r="L1642" i="11"/>
  <c r="R2536" i="11"/>
  <c r="H2536" i="11"/>
  <c r="G2536" i="11"/>
  <c r="M2536" i="11"/>
  <c r="L2536" i="11"/>
  <c r="M738" i="16"/>
  <c r="M359" i="16"/>
  <c r="L738" i="16"/>
  <c r="L2535" i="11"/>
  <c r="M2535" i="11"/>
  <c r="M1664" i="11"/>
  <c r="M1663" i="11"/>
  <c r="M1662" i="11"/>
  <c r="M1661" i="11"/>
  <c r="L1664" i="11"/>
  <c r="L1663" i="11"/>
  <c r="L1662" i="11"/>
  <c r="L1661" i="11"/>
  <c r="R2535" i="11"/>
  <c r="H2535" i="11"/>
  <c r="G2535" i="11"/>
  <c r="L1667" i="11"/>
  <c r="J739" i="16"/>
  <c r="M739" i="16" s="1"/>
  <c r="M2534" i="11"/>
  <c r="M2533" i="11"/>
  <c r="M2532" i="11"/>
  <c r="M2531" i="11"/>
  <c r="M2530" i="11"/>
  <c r="M2529" i="11"/>
  <c r="M1680" i="11"/>
  <c r="M1679" i="11"/>
  <c r="M1678" i="11"/>
  <c r="M1677" i="11"/>
  <c r="M1676" i="11"/>
  <c r="M1675" i="11"/>
  <c r="M1674" i="11"/>
  <c r="M1673" i="11"/>
  <c r="M1672" i="11"/>
  <c r="M1671" i="11"/>
  <c r="M1670" i="11"/>
  <c r="M1669" i="11"/>
  <c r="M1668" i="11"/>
  <c r="M1667" i="11"/>
  <c r="M1666" i="11"/>
  <c r="M1665" i="11"/>
  <c r="L1665" i="11"/>
  <c r="L2534" i="11"/>
  <c r="L2533" i="11"/>
  <c r="L2532" i="11"/>
  <c r="L2531" i="11"/>
  <c r="L2530" i="11"/>
  <c r="L2529" i="11"/>
  <c r="L1680" i="11"/>
  <c r="L1679" i="11"/>
  <c r="L1678" i="11"/>
  <c r="L1677" i="11"/>
  <c r="L1676" i="11"/>
  <c r="L1675" i="11"/>
  <c r="L1674" i="11"/>
  <c r="L1673" i="11"/>
  <c r="L1672" i="11"/>
  <c r="L1671" i="11"/>
  <c r="L1670" i="11"/>
  <c r="L1669" i="11"/>
  <c r="L1668" i="11"/>
  <c r="L1666" i="11"/>
  <c r="R2534" i="11"/>
  <c r="H2534" i="11"/>
  <c r="G2534" i="11"/>
  <c r="R2533" i="11"/>
  <c r="H2533" i="11"/>
  <c r="G2533" i="11"/>
  <c r="R2532" i="11"/>
  <c r="H2532" i="11"/>
  <c r="G2532" i="11"/>
  <c r="R2531" i="11"/>
  <c r="H2531" i="11"/>
  <c r="G2531" i="11"/>
  <c r="R2530" i="11"/>
  <c r="H2530" i="11"/>
  <c r="G2530" i="11"/>
  <c r="R2529" i="11"/>
  <c r="H2529" i="11"/>
  <c r="G2529" i="11"/>
  <c r="R2528" i="11"/>
  <c r="H2528" i="11"/>
  <c r="G2528" i="11"/>
  <c r="M2528" i="11"/>
  <c r="L2528" i="11"/>
  <c r="M741" i="16"/>
  <c r="L741" i="16"/>
  <c r="M2527" i="11"/>
  <c r="M2526" i="11"/>
  <c r="M2525" i="11"/>
  <c r="M2524" i="11"/>
  <c r="M2523" i="11"/>
  <c r="M2522" i="11"/>
  <c r="M2521" i="11"/>
  <c r="M2520" i="11"/>
  <c r="M1700" i="11"/>
  <c r="M1699" i="11"/>
  <c r="M1698" i="11"/>
  <c r="M1697" i="11"/>
  <c r="M1696" i="11"/>
  <c r="M1695" i="11"/>
  <c r="M1694" i="11"/>
  <c r="M1693" i="11"/>
  <c r="M1692" i="11"/>
  <c r="M1691" i="11"/>
  <c r="M1690" i="11"/>
  <c r="M1689" i="11"/>
  <c r="M1688" i="11"/>
  <c r="M1687" i="11"/>
  <c r="M1686" i="11"/>
  <c r="M1685" i="11"/>
  <c r="M1684" i="11"/>
  <c r="L2527" i="11"/>
  <c r="L2526" i="11"/>
  <c r="L2525" i="11"/>
  <c r="L2524" i="11"/>
  <c r="L2523" i="11"/>
  <c r="L2522" i="11"/>
  <c r="L2521" i="11"/>
  <c r="L2520" i="11"/>
  <c r="L1700" i="11"/>
  <c r="L1699" i="11"/>
  <c r="L1698" i="11"/>
  <c r="L1697" i="11"/>
  <c r="L1696" i="11"/>
  <c r="L1695" i="11"/>
  <c r="L1694" i="11"/>
  <c r="L1693" i="11"/>
  <c r="L1692" i="11"/>
  <c r="L1691" i="11"/>
  <c r="L1690" i="11"/>
  <c r="L1689" i="11"/>
  <c r="L1688" i="11"/>
  <c r="L1687" i="11"/>
  <c r="L1686" i="11"/>
  <c r="L1685" i="11"/>
  <c r="L1684" i="11"/>
  <c r="R2527" i="11"/>
  <c r="H2527" i="11"/>
  <c r="G2527" i="11"/>
  <c r="R2526" i="11"/>
  <c r="H2526" i="11"/>
  <c r="G2526" i="11"/>
  <c r="R2525" i="11"/>
  <c r="H2525" i="11"/>
  <c r="G2525" i="11"/>
  <c r="R2524" i="11"/>
  <c r="H2524" i="11"/>
  <c r="G2524" i="11"/>
  <c r="R2523" i="11"/>
  <c r="H2523" i="11"/>
  <c r="G2523" i="11"/>
  <c r="R2522" i="11"/>
  <c r="H2522" i="11"/>
  <c r="G2522" i="11"/>
  <c r="R2521" i="11"/>
  <c r="H2521" i="11"/>
  <c r="G2521" i="11"/>
  <c r="R2520" i="11"/>
  <c r="H2520" i="11"/>
  <c r="G2520" i="11"/>
  <c r="R2519" i="11"/>
  <c r="H2519" i="11"/>
  <c r="G2519" i="11"/>
  <c r="M2519" i="11"/>
  <c r="L2519" i="11"/>
  <c r="M1708" i="11"/>
  <c r="M1709" i="11"/>
  <c r="M1710" i="11"/>
  <c r="L1708" i="11"/>
  <c r="L1709" i="11"/>
  <c r="R2518" i="11"/>
  <c r="H2518" i="11"/>
  <c r="G2518" i="11"/>
  <c r="M2518" i="11"/>
  <c r="L2518" i="11"/>
  <c r="M2517" i="11"/>
  <c r="L2517" i="11"/>
  <c r="R2517" i="11"/>
  <c r="H2517" i="11"/>
  <c r="G2517" i="11"/>
  <c r="M1728" i="11"/>
  <c r="L1728" i="11"/>
  <c r="M2516" i="11"/>
  <c r="M1730" i="11"/>
  <c r="L2516" i="11"/>
  <c r="L1730" i="11"/>
  <c r="R2516" i="11"/>
  <c r="H2516" i="11"/>
  <c r="G2516" i="11"/>
  <c r="R2515" i="11"/>
  <c r="H2515" i="11"/>
  <c r="G2515" i="11"/>
  <c r="M2515" i="11"/>
  <c r="L2515" i="11"/>
  <c r="M2514" i="11"/>
  <c r="R2514" i="11"/>
  <c r="H2514" i="11"/>
  <c r="G2514" i="11"/>
  <c r="L2514" i="11"/>
  <c r="R2513" i="11"/>
  <c r="H2513" i="11"/>
  <c r="G2513" i="11"/>
  <c r="M2513" i="11"/>
  <c r="L2513" i="11"/>
  <c r="R2512" i="11"/>
  <c r="H2512" i="11"/>
  <c r="G2512" i="11"/>
  <c r="M2512" i="11"/>
  <c r="L2512" i="11"/>
  <c r="M1741" i="11"/>
  <c r="L1741" i="11"/>
  <c r="R2511" i="11"/>
  <c r="H2511" i="11"/>
  <c r="G2511" i="11"/>
  <c r="M2511" i="11"/>
  <c r="L2511" i="11"/>
  <c r="R2510" i="11"/>
  <c r="H2510" i="11"/>
  <c r="G2510" i="11"/>
  <c r="M2510" i="11"/>
  <c r="L2510" i="11"/>
  <c r="R2509" i="11"/>
  <c r="H2509" i="11"/>
  <c r="G2509" i="11"/>
  <c r="M2509" i="11"/>
  <c r="L2509" i="11"/>
  <c r="R2508" i="11"/>
  <c r="H2508" i="11"/>
  <c r="G2508" i="11"/>
  <c r="M2508" i="11"/>
  <c r="L2508" i="11"/>
  <c r="R2507" i="11"/>
  <c r="H2507" i="11"/>
  <c r="G2507" i="11"/>
  <c r="M2507" i="11"/>
  <c r="L2507" i="11"/>
  <c r="R2506" i="11"/>
  <c r="H2506" i="11"/>
  <c r="G2506" i="11"/>
  <c r="M2506" i="11"/>
  <c r="L2506" i="11"/>
  <c r="L1762" i="11"/>
  <c r="R2505" i="11"/>
  <c r="H2505" i="11"/>
  <c r="G2505" i="11"/>
  <c r="M2505" i="11"/>
  <c r="L2505" i="11"/>
  <c r="M1764" i="11"/>
  <c r="L1764" i="11"/>
  <c r="M2504" i="11"/>
  <c r="M1767" i="11"/>
  <c r="M1766" i="11"/>
  <c r="L2504" i="11"/>
  <c r="L1767" i="11"/>
  <c r="L1766" i="11"/>
  <c r="R2504" i="11"/>
  <c r="H2504" i="11"/>
  <c r="G2504" i="11"/>
  <c r="L767" i="16"/>
  <c r="M767" i="16"/>
  <c r="R2503" i="11"/>
  <c r="H2503" i="11"/>
  <c r="G2503" i="11"/>
  <c r="M2503" i="11"/>
  <c r="L2503" i="11"/>
  <c r="R2502" i="11"/>
  <c r="H2502" i="11"/>
  <c r="G2502" i="11"/>
  <c r="M2502" i="11"/>
  <c r="L2502" i="11"/>
  <c r="R2501" i="11"/>
  <c r="H2501" i="11"/>
  <c r="G2501" i="11"/>
  <c r="M2501" i="11"/>
  <c r="L2501" i="11"/>
  <c r="R2500" i="11"/>
  <c r="H2500" i="11"/>
  <c r="G2500" i="11"/>
  <c r="M2500" i="11"/>
  <c r="L2500" i="11"/>
  <c r="R2499" i="11"/>
  <c r="H2499" i="11"/>
  <c r="G2499" i="11"/>
  <c r="M2499" i="11"/>
  <c r="L2499" i="11"/>
  <c r="R2498" i="11"/>
  <c r="H2498" i="11"/>
  <c r="G2498" i="11"/>
  <c r="M2498" i="11"/>
  <c r="L2498" i="11"/>
  <c r="R2497" i="11"/>
  <c r="H2497" i="11"/>
  <c r="G2497" i="11"/>
  <c r="M2497" i="11"/>
  <c r="L2497" i="11"/>
  <c r="R2496" i="11"/>
  <c r="H2496" i="11"/>
  <c r="G2496" i="11"/>
  <c r="M2496" i="11"/>
  <c r="L2496" i="11"/>
  <c r="R2495" i="11"/>
  <c r="H2495" i="11"/>
  <c r="G2495" i="11"/>
  <c r="M2495" i="11"/>
  <c r="L2495" i="11"/>
  <c r="R2494" i="11"/>
  <c r="H2494" i="11"/>
  <c r="G2494" i="11"/>
  <c r="M2494" i="11"/>
  <c r="L2494" i="11"/>
  <c r="R2493" i="11"/>
  <c r="H2493" i="11"/>
  <c r="G2493" i="11"/>
  <c r="M2493" i="11"/>
  <c r="L2493" i="11"/>
  <c r="R2492" i="11"/>
  <c r="H2492" i="11"/>
  <c r="G2492" i="11"/>
  <c r="M2492" i="11"/>
  <c r="L2492" i="11"/>
  <c r="R2491" i="11"/>
  <c r="H2491" i="11"/>
  <c r="G2491" i="11"/>
  <c r="M2491" i="11"/>
  <c r="L2491" i="11"/>
  <c r="R2490" i="11"/>
  <c r="H2490" i="11"/>
  <c r="G2490" i="11"/>
  <c r="M2490" i="11"/>
  <c r="L2490" i="11"/>
  <c r="M685" i="16"/>
  <c r="M299" i="16"/>
  <c r="L685" i="16"/>
  <c r="L299" i="16"/>
  <c r="R1547" i="14"/>
  <c r="M1547" i="14"/>
  <c r="L1547" i="14"/>
  <c r="H1547" i="14"/>
  <c r="G1547" i="14"/>
  <c r="R2489" i="11"/>
  <c r="H2489" i="11"/>
  <c r="G2489" i="11"/>
  <c r="R1546" i="14"/>
  <c r="M1546" i="14"/>
  <c r="L1546" i="14"/>
  <c r="H1546" i="14"/>
  <c r="G1546" i="14"/>
  <c r="M1099" i="14"/>
  <c r="M1098" i="14"/>
  <c r="M1097" i="14"/>
  <c r="L1096" i="14"/>
  <c r="L1097" i="14"/>
  <c r="L1099" i="14"/>
  <c r="R2488" i="11"/>
  <c r="H2488" i="11"/>
  <c r="G2488" i="11"/>
  <c r="L2488" i="11"/>
  <c r="L1533" i="11"/>
  <c r="L1534" i="11"/>
  <c r="L1535" i="11"/>
  <c r="R1545" i="14"/>
  <c r="M1545" i="14"/>
  <c r="L1545" i="14"/>
  <c r="H1545" i="14"/>
  <c r="G1545" i="14"/>
  <c r="R2487" i="11"/>
  <c r="H2487" i="11"/>
  <c r="G2487" i="11"/>
  <c r="M2487" i="11"/>
  <c r="L2487" i="11"/>
  <c r="M1532" i="11"/>
  <c r="M1531" i="11"/>
  <c r="M1530" i="11"/>
  <c r="L1532" i="11"/>
  <c r="L1531" i="11"/>
  <c r="L1530" i="11"/>
  <c r="L1529" i="11"/>
  <c r="L1544" i="14"/>
  <c r="L1088" i="14"/>
  <c r="L1089" i="14"/>
  <c r="L1090" i="14"/>
  <c r="R1544" i="14"/>
  <c r="M1544" i="14"/>
  <c r="H1544" i="14"/>
  <c r="G1544" i="14"/>
  <c r="R2486" i="11"/>
  <c r="H2486" i="11"/>
  <c r="G2486" i="11"/>
  <c r="M2486" i="11"/>
  <c r="L2486" i="11"/>
  <c r="M1525" i="11"/>
  <c r="M1526" i="11"/>
  <c r="M1527" i="11"/>
  <c r="M1528" i="11"/>
  <c r="L1525" i="11"/>
  <c r="L1526" i="11"/>
  <c r="L1527" i="11"/>
  <c r="M1543" i="14"/>
  <c r="M1087" i="14"/>
  <c r="M1086" i="14"/>
  <c r="M1085" i="14"/>
  <c r="M1084" i="14"/>
  <c r="L1543" i="14"/>
  <c r="L1087" i="14"/>
  <c r="L1085" i="14"/>
  <c r="L1084" i="14"/>
  <c r="L1086" i="14"/>
  <c r="R1543" i="14"/>
  <c r="H1543" i="14"/>
  <c r="G1543" i="14"/>
  <c r="L2485" i="11"/>
  <c r="R2485" i="11"/>
  <c r="H2485" i="11"/>
  <c r="G2485" i="11"/>
  <c r="M2485" i="11"/>
  <c r="M1524" i="11"/>
  <c r="M1523" i="11"/>
  <c r="M1522" i="11"/>
  <c r="R1542" i="14"/>
  <c r="M1542" i="14"/>
  <c r="L1542" i="14"/>
  <c r="H1542" i="14"/>
  <c r="G1542" i="14"/>
  <c r="L1541" i="14"/>
  <c r="L1540" i="14"/>
  <c r="L1539" i="14"/>
  <c r="L1538" i="14"/>
  <c r="R1541" i="14"/>
  <c r="M1541" i="14"/>
  <c r="H1541" i="14"/>
  <c r="G1541" i="14"/>
  <c r="R1539" i="14"/>
  <c r="M1539" i="14"/>
  <c r="H1539" i="14"/>
  <c r="G1539" i="14"/>
  <c r="R1538" i="14"/>
  <c r="M1538" i="14"/>
  <c r="H1538" i="14"/>
  <c r="G1538" i="14"/>
  <c r="R1540" i="14"/>
  <c r="M1540" i="14"/>
  <c r="H1540" i="14"/>
  <c r="G1540" i="14"/>
  <c r="M2484" i="11"/>
  <c r="M1520" i="11"/>
  <c r="M1519" i="11"/>
  <c r="M1518" i="11"/>
  <c r="M1517" i="11"/>
  <c r="L2484" i="11"/>
  <c r="L1517" i="11"/>
  <c r="L1518" i="11"/>
  <c r="L1519" i="11"/>
  <c r="R2484" i="11"/>
  <c r="H2484" i="11"/>
  <c r="G2484" i="11"/>
  <c r="R1537" i="14"/>
  <c r="M1537" i="14"/>
  <c r="L1537" i="14"/>
  <c r="H1537" i="14"/>
  <c r="G1537" i="14"/>
  <c r="L1075" i="14"/>
  <c r="L1076" i="14"/>
  <c r="M2483" i="11"/>
  <c r="M2482" i="11"/>
  <c r="R2483" i="11"/>
  <c r="H2483" i="11"/>
  <c r="G2483" i="11"/>
  <c r="L2483" i="11"/>
  <c r="R2482" i="11"/>
  <c r="H2482" i="11"/>
  <c r="G2482" i="11"/>
  <c r="L2482" i="11"/>
  <c r="L1514" i="11"/>
  <c r="L1513" i="11"/>
  <c r="L1512" i="11"/>
  <c r="M1536" i="14"/>
  <c r="L1536" i="14"/>
  <c r="R1536" i="14"/>
  <c r="H1536" i="14"/>
  <c r="G1536" i="14"/>
  <c r="M1074" i="14"/>
  <c r="L1074" i="14"/>
  <c r="L1073" i="14"/>
  <c r="L1071" i="14"/>
  <c r="L1072" i="14"/>
  <c r="R2481" i="11"/>
  <c r="H2481" i="11"/>
  <c r="G2481" i="11"/>
  <c r="M2481" i="11"/>
  <c r="L2481" i="11"/>
  <c r="R2480" i="11"/>
  <c r="H2480" i="11"/>
  <c r="G2480" i="11"/>
  <c r="M2480" i="11"/>
  <c r="L2480" i="11"/>
  <c r="L1509" i="11"/>
  <c r="K1535" i="14"/>
  <c r="J1535" i="14"/>
  <c r="R1535" i="14"/>
  <c r="H1535" i="14"/>
  <c r="G1535" i="14"/>
  <c r="L1045" i="14"/>
  <c r="K1044" i="14"/>
  <c r="J1044" i="14"/>
  <c r="K1043" i="14"/>
  <c r="J1043" i="14"/>
  <c r="K1046" i="14"/>
  <c r="J1046" i="14"/>
  <c r="K2479" i="11"/>
  <c r="J2479" i="11"/>
  <c r="R2479" i="11"/>
  <c r="H2479" i="11"/>
  <c r="G2479" i="11"/>
  <c r="K1481" i="11"/>
  <c r="J1481" i="11"/>
  <c r="K1479" i="11"/>
  <c r="J1479" i="11"/>
  <c r="J2478" i="11"/>
  <c r="R2478" i="11"/>
  <c r="H2478" i="11"/>
  <c r="G2478" i="11"/>
  <c r="J1478" i="11"/>
  <c r="L1478" i="11" s="1"/>
  <c r="M1534" i="14"/>
  <c r="M1036" i="14"/>
  <c r="M1035" i="14"/>
  <c r="M1034" i="14"/>
  <c r="M1033" i="14"/>
  <c r="M1032" i="14"/>
  <c r="L1031" i="14"/>
  <c r="L1032" i="14"/>
  <c r="L1033" i="14"/>
  <c r="L1034" i="14"/>
  <c r="L1035" i="14"/>
  <c r="L1534" i="14"/>
  <c r="H1534" i="14"/>
  <c r="G1534" i="14"/>
  <c r="R2477" i="11"/>
  <c r="H2477" i="11"/>
  <c r="G2477" i="11"/>
  <c r="M2477" i="11"/>
  <c r="L2477" i="11"/>
  <c r="R2476" i="11"/>
  <c r="H2476" i="11"/>
  <c r="G2476" i="11"/>
  <c r="M2476" i="11"/>
  <c r="L2476" i="11"/>
  <c r="L2475" i="11"/>
  <c r="M1533" i="14"/>
  <c r="L1533" i="14"/>
  <c r="H1533" i="14"/>
  <c r="G1533" i="14"/>
  <c r="R2475" i="11"/>
  <c r="H2475" i="11"/>
  <c r="G2475" i="11"/>
  <c r="M2475" i="11"/>
  <c r="L1023" i="14"/>
  <c r="L1022" i="14"/>
  <c r="M1449" i="11"/>
  <c r="M1450" i="11"/>
  <c r="M1451" i="11"/>
  <c r="L1449" i="11"/>
  <c r="L1450" i="11"/>
  <c r="L1451" i="11"/>
  <c r="M1532" i="14"/>
  <c r="M1017" i="14"/>
  <c r="M1016" i="14"/>
  <c r="L1532" i="14"/>
  <c r="L1017" i="14"/>
  <c r="L1016" i="14"/>
  <c r="H1532" i="14"/>
  <c r="G1532" i="14"/>
  <c r="R2474" i="11"/>
  <c r="H2474" i="11"/>
  <c r="G2474" i="11"/>
  <c r="M2474" i="11"/>
  <c r="L2474" i="11"/>
  <c r="M1531" i="14"/>
  <c r="L1531" i="14"/>
  <c r="R1531" i="14"/>
  <c r="H1531" i="14"/>
  <c r="G1531" i="14"/>
  <c r="I1540" i="14" l="1"/>
  <c r="I1546" i="14"/>
  <c r="I1547" i="14"/>
  <c r="I1544" i="14"/>
  <c r="L566" i="16"/>
  <c r="I2539" i="11"/>
  <c r="I2538" i="11"/>
  <c r="I2537" i="11"/>
  <c r="I2536" i="11"/>
  <c r="I2528" i="11"/>
  <c r="I2532" i="11"/>
  <c r="I2530" i="11"/>
  <c r="I2534" i="11"/>
  <c r="I2535" i="11"/>
  <c r="I2531" i="11"/>
  <c r="L739" i="16"/>
  <c r="I2533" i="11"/>
  <c r="I2529" i="11"/>
  <c r="I2527" i="11"/>
  <c r="I2525" i="11"/>
  <c r="I2520" i="11"/>
  <c r="I2524" i="11"/>
  <c r="I2522" i="11"/>
  <c r="I2526" i="11"/>
  <c r="I2523" i="11"/>
  <c r="I2519" i="11"/>
  <c r="I2521" i="11"/>
  <c r="I2518" i="11"/>
  <c r="I2516" i="11"/>
  <c r="I2517" i="11"/>
  <c r="I2515" i="11"/>
  <c r="I2513" i="11"/>
  <c r="I2512" i="11"/>
  <c r="I2514" i="11"/>
  <c r="I2511" i="11"/>
  <c r="I2510" i="11"/>
  <c r="I2508" i="11"/>
  <c r="I2509" i="11"/>
  <c r="I2504" i="11"/>
  <c r="I2507" i="11"/>
  <c r="I2503" i="11"/>
  <c r="I2506" i="11"/>
  <c r="I2505" i="11"/>
  <c r="I2501" i="11"/>
  <c r="I2502" i="11"/>
  <c r="I2500" i="11"/>
  <c r="I2498" i="11"/>
  <c r="I2499" i="11"/>
  <c r="I2497" i="11"/>
  <c r="I2495" i="11"/>
  <c r="I2496" i="11"/>
  <c r="I2493" i="11"/>
  <c r="I2494" i="11"/>
  <c r="I2491" i="11"/>
  <c r="I2477" i="11"/>
  <c r="I2492" i="11"/>
  <c r="I2490" i="11"/>
  <c r="I2476" i="11"/>
  <c r="I2481" i="11"/>
  <c r="I2489" i="11"/>
  <c r="I2487" i="11"/>
  <c r="I2488" i="11"/>
  <c r="I1538" i="14"/>
  <c r="I2485" i="11"/>
  <c r="I2478" i="11"/>
  <c r="I1543" i="14"/>
  <c r="I1545" i="14"/>
  <c r="I1539" i="14"/>
  <c r="I1542" i="14"/>
  <c r="I1531" i="14"/>
  <c r="I2486" i="11"/>
  <c r="M2478" i="11"/>
  <c r="I2475" i="11"/>
  <c r="I2482" i="11"/>
  <c r="I2483" i="11"/>
  <c r="I2479" i="11"/>
  <c r="I1541" i="14"/>
  <c r="I1537" i="14"/>
  <c r="I1534" i="14"/>
  <c r="I2484" i="11"/>
  <c r="I1533" i="14"/>
  <c r="I1532" i="14"/>
  <c r="I1535" i="14"/>
  <c r="I1536" i="14"/>
  <c r="L1535" i="14"/>
  <c r="L1046" i="14"/>
  <c r="I2480" i="11"/>
  <c r="M2479" i="11"/>
  <c r="I2474" i="11"/>
  <c r="L2479" i="11"/>
  <c r="L2478" i="11"/>
  <c r="R2473" i="11" l="1"/>
  <c r="H2473" i="11"/>
  <c r="G2473" i="11"/>
  <c r="M2473" i="11"/>
  <c r="L2473" i="11"/>
  <c r="K993" i="14"/>
  <c r="R1530" i="14"/>
  <c r="H1530" i="14"/>
  <c r="G1530" i="14"/>
  <c r="K2472" i="11"/>
  <c r="J2472" i="11"/>
  <c r="R2472" i="11"/>
  <c r="H2472" i="11"/>
  <c r="G2472" i="11"/>
  <c r="K1410" i="11"/>
  <c r="J1410" i="11"/>
  <c r="R1529" i="14"/>
  <c r="M1529" i="14"/>
  <c r="L1529" i="14"/>
  <c r="H1529" i="14"/>
  <c r="G1529" i="14"/>
  <c r="R2471" i="11"/>
  <c r="H2471" i="11"/>
  <c r="G2471" i="11"/>
  <c r="R1528" i="14"/>
  <c r="M1528" i="14"/>
  <c r="L1528" i="14"/>
  <c r="H1528" i="14"/>
  <c r="G1528" i="14"/>
  <c r="M2470" i="11"/>
  <c r="L2470" i="11"/>
  <c r="R2470" i="11"/>
  <c r="H2470" i="11"/>
  <c r="G2470" i="11"/>
  <c r="R2469" i="11"/>
  <c r="H2469" i="11"/>
  <c r="G2469" i="11"/>
  <c r="M2469" i="11"/>
  <c r="L2469" i="11"/>
  <c r="R1527" i="14"/>
  <c r="M1527" i="14"/>
  <c r="L1527" i="14"/>
  <c r="H1527" i="14"/>
  <c r="G1527" i="14"/>
  <c r="R2468" i="11"/>
  <c r="H2468" i="11"/>
  <c r="G2468" i="11"/>
  <c r="M2468" i="11"/>
  <c r="L2468" i="11"/>
  <c r="M1387" i="11"/>
  <c r="M1386" i="11"/>
  <c r="L1387" i="11"/>
  <c r="L1386" i="11"/>
  <c r="R1526" i="14"/>
  <c r="M1526" i="14"/>
  <c r="L1526" i="14"/>
  <c r="H1526" i="14"/>
  <c r="G1526" i="14"/>
  <c r="M2467" i="11"/>
  <c r="M2466" i="11"/>
  <c r="M1378" i="11"/>
  <c r="M1377" i="11"/>
  <c r="M1376" i="11"/>
  <c r="M1375" i="11"/>
  <c r="M1374" i="11"/>
  <c r="L2467" i="11"/>
  <c r="L2466" i="11"/>
  <c r="L1378" i="11"/>
  <c r="L1377" i="11"/>
  <c r="L1376" i="11"/>
  <c r="R2467" i="11"/>
  <c r="H2467" i="11"/>
  <c r="G2467" i="11"/>
  <c r="R2466" i="11"/>
  <c r="H2466" i="11"/>
  <c r="G2466" i="11"/>
  <c r="R1525" i="14"/>
  <c r="M1525" i="14"/>
  <c r="L1525" i="14"/>
  <c r="H1525" i="14"/>
  <c r="G1525" i="14"/>
  <c r="G289" i="16"/>
  <c r="H289" i="16"/>
  <c r="L289" i="16"/>
  <c r="M289" i="16"/>
  <c r="R2465" i="11"/>
  <c r="H2465" i="11"/>
  <c r="G2465" i="11"/>
  <c r="M2465" i="11"/>
  <c r="L2465" i="11"/>
  <c r="R1524" i="14"/>
  <c r="M1524" i="14"/>
  <c r="L1524" i="14"/>
  <c r="H1524" i="14"/>
  <c r="G1524" i="14"/>
  <c r="R2464" i="11"/>
  <c r="H2464" i="11"/>
  <c r="G2464" i="11"/>
  <c r="M2464" i="11"/>
  <c r="L2464" i="11"/>
  <c r="R1523" i="14"/>
  <c r="M1523" i="14"/>
  <c r="L1523" i="14"/>
  <c r="H1523" i="14"/>
  <c r="G1523" i="14"/>
  <c r="R1522" i="14"/>
  <c r="M1522" i="14"/>
  <c r="L1522" i="14"/>
  <c r="H1522" i="14"/>
  <c r="G1522" i="14"/>
  <c r="R2463" i="11"/>
  <c r="H2463" i="11"/>
  <c r="G2463" i="11"/>
  <c r="M2463" i="11"/>
  <c r="L2463" i="11"/>
  <c r="L1352" i="11"/>
  <c r="M1352" i="11"/>
  <c r="G1352" i="11"/>
  <c r="H1352" i="11"/>
  <c r="R1352" i="11"/>
  <c r="R1521" i="14"/>
  <c r="M1521" i="14"/>
  <c r="L1521" i="14"/>
  <c r="H1521" i="14"/>
  <c r="G1521" i="14"/>
  <c r="R2462" i="11"/>
  <c r="H2462" i="11"/>
  <c r="G2462" i="11"/>
  <c r="M671" i="16"/>
  <c r="L671" i="16"/>
  <c r="L284" i="16"/>
  <c r="L927" i="14"/>
  <c r="R927" i="14"/>
  <c r="M1520" i="14"/>
  <c r="M930" i="14"/>
  <c r="M929" i="14"/>
  <c r="M928" i="14"/>
  <c r="L1520" i="14"/>
  <c r="L930" i="14"/>
  <c r="L929" i="14"/>
  <c r="L928" i="14"/>
  <c r="R1520" i="14"/>
  <c r="H1520" i="14"/>
  <c r="G1520" i="14"/>
  <c r="G930" i="14"/>
  <c r="H930" i="14"/>
  <c r="R930" i="14"/>
  <c r="M2461" i="11"/>
  <c r="M1344" i="11"/>
  <c r="M1343" i="11"/>
  <c r="M1342" i="11"/>
  <c r="L2461" i="11"/>
  <c r="L1344" i="11"/>
  <c r="L1343" i="11"/>
  <c r="L1342" i="11"/>
  <c r="L1341" i="11"/>
  <c r="R2461" i="11"/>
  <c r="H2461" i="11"/>
  <c r="G2461" i="11"/>
  <c r="M669" i="16"/>
  <c r="M1519" i="14"/>
  <c r="M920" i="14"/>
  <c r="M919" i="14"/>
  <c r="L1519" i="14"/>
  <c r="L920" i="14"/>
  <c r="L919" i="14"/>
  <c r="L2460" i="11"/>
  <c r="M2460" i="11" s="1"/>
  <c r="L2459" i="11"/>
  <c r="M2459" i="11" s="1"/>
  <c r="L1334" i="11"/>
  <c r="M1334" i="11" s="1"/>
  <c r="L1333" i="11"/>
  <c r="M1333" i="11" s="1"/>
  <c r="L1332" i="11"/>
  <c r="M1332" i="11" s="1"/>
  <c r="L1331" i="11"/>
  <c r="M1331" i="11" s="1"/>
  <c r="L1330" i="11"/>
  <c r="M1330" i="11" s="1"/>
  <c r="L1329" i="11"/>
  <c r="M1329" i="11" s="1"/>
  <c r="L1328" i="11"/>
  <c r="M1328" i="11" s="1"/>
  <c r="R2460" i="11"/>
  <c r="H2460" i="11"/>
  <c r="G2460" i="11"/>
  <c r="R2459" i="11"/>
  <c r="H2459" i="11"/>
  <c r="G2459" i="11"/>
  <c r="R1519" i="14"/>
  <c r="H1519" i="14"/>
  <c r="G1519" i="14"/>
  <c r="M1518" i="14"/>
  <c r="M916" i="14"/>
  <c r="M914" i="14"/>
  <c r="L914" i="14"/>
  <c r="L916" i="14"/>
  <c r="L1518" i="14"/>
  <c r="R2458" i="11"/>
  <c r="H2458" i="11"/>
  <c r="G2458" i="11"/>
  <c r="M2458" i="11"/>
  <c r="L2458" i="11"/>
  <c r="R2457" i="11"/>
  <c r="H2457" i="11"/>
  <c r="G2457" i="11"/>
  <c r="M2457" i="11"/>
  <c r="L2457" i="11"/>
  <c r="R1518" i="14"/>
  <c r="H1518" i="14"/>
  <c r="G1518" i="14"/>
  <c r="M1322" i="11"/>
  <c r="L1322" i="11"/>
  <c r="M1326" i="11"/>
  <c r="M1325" i="11"/>
  <c r="L1325" i="11"/>
  <c r="M1324" i="11"/>
  <c r="L1324" i="11"/>
  <c r="L1326" i="11"/>
  <c r="L1323" i="11"/>
  <c r="R1517" i="14"/>
  <c r="M1517" i="14"/>
  <c r="L1517" i="14"/>
  <c r="H1517" i="14"/>
  <c r="G1517" i="14"/>
  <c r="R2456" i="11"/>
  <c r="H2456" i="11"/>
  <c r="G2456" i="11"/>
  <c r="R2455" i="11"/>
  <c r="H2455" i="11"/>
  <c r="G2455" i="11"/>
  <c r="M2455" i="11"/>
  <c r="L2455" i="11"/>
  <c r="M666" i="16"/>
  <c r="L666" i="16"/>
  <c r="R2454" i="11"/>
  <c r="H2454" i="11"/>
  <c r="G2454" i="11"/>
  <c r="M2454" i="11"/>
  <c r="L2454" i="11"/>
  <c r="R2453" i="11"/>
  <c r="H2453" i="11"/>
  <c r="G2453" i="11"/>
  <c r="M2453" i="11"/>
  <c r="L2453" i="11"/>
  <c r="R1516" i="14"/>
  <c r="M1516" i="14"/>
  <c r="L1516" i="14"/>
  <c r="H1516" i="14"/>
  <c r="G1516" i="14"/>
  <c r="M904" i="14"/>
  <c r="M903" i="14"/>
  <c r="L903" i="14"/>
  <c r="L904" i="14"/>
  <c r="M1310" i="11"/>
  <c r="M1309" i="11"/>
  <c r="M1308" i="11"/>
  <c r="M1307" i="11"/>
  <c r="L1307" i="11"/>
  <c r="L1310" i="11"/>
  <c r="L1309" i="11"/>
  <c r="L1308" i="11"/>
  <c r="L1515" i="14"/>
  <c r="R1515" i="14"/>
  <c r="M1515" i="14"/>
  <c r="H1515" i="14"/>
  <c r="G1515" i="14"/>
  <c r="R2452" i="11"/>
  <c r="H2452" i="11"/>
  <c r="G2452" i="11"/>
  <c r="G1298" i="11"/>
  <c r="H1298" i="11"/>
  <c r="R1298" i="11"/>
  <c r="L1299" i="11"/>
  <c r="M1299" i="11"/>
  <c r="G1299" i="11"/>
  <c r="H1299" i="11"/>
  <c r="R1299" i="11"/>
  <c r="M1514" i="14"/>
  <c r="L1514" i="14"/>
  <c r="R1514" i="14"/>
  <c r="H1514" i="14"/>
  <c r="G1514" i="14"/>
  <c r="M893" i="14"/>
  <c r="M892" i="14"/>
  <c r="M891" i="14"/>
  <c r="M890" i="14"/>
  <c r="L893" i="14"/>
  <c r="L892" i="14"/>
  <c r="L891" i="14"/>
  <c r="L890" i="14"/>
  <c r="L1292" i="11"/>
  <c r="L2451" i="11"/>
  <c r="L1295" i="11"/>
  <c r="L1294" i="11"/>
  <c r="L1293" i="11"/>
  <c r="M2451" i="11"/>
  <c r="R2451" i="11"/>
  <c r="H2451" i="11"/>
  <c r="G2451" i="11"/>
  <c r="L662" i="16"/>
  <c r="M662" i="16"/>
  <c r="M886" i="14"/>
  <c r="M887" i="14"/>
  <c r="M888" i="14"/>
  <c r="M889" i="14"/>
  <c r="M1513" i="14"/>
  <c r="L1513" i="14"/>
  <c r="L889" i="14"/>
  <c r="L886" i="14"/>
  <c r="L887" i="14"/>
  <c r="L888" i="14"/>
  <c r="R1513" i="14"/>
  <c r="H1513" i="14"/>
  <c r="G1513" i="14"/>
  <c r="M2450" i="11"/>
  <c r="M2449" i="11"/>
  <c r="M1291" i="11"/>
  <c r="M1290" i="11"/>
  <c r="M1289" i="11"/>
  <c r="M1288" i="11"/>
  <c r="M1287" i="11"/>
  <c r="M1286" i="11"/>
  <c r="M1285" i="11"/>
  <c r="M1284" i="11"/>
  <c r="L1284" i="11"/>
  <c r="L1291" i="11"/>
  <c r="L2449" i="11"/>
  <c r="L2450" i="11"/>
  <c r="L1285" i="11"/>
  <c r="L1286" i="11"/>
  <c r="L1287" i="11"/>
  <c r="L1288" i="11"/>
  <c r="L1289" i="11"/>
  <c r="L1290" i="11"/>
  <c r="R2450" i="11"/>
  <c r="H2450" i="11"/>
  <c r="G2450" i="11"/>
  <c r="R2449" i="11"/>
  <c r="H2449" i="11"/>
  <c r="G2449" i="11"/>
  <c r="R1512" i="14"/>
  <c r="M1512" i="14"/>
  <c r="L1512" i="14"/>
  <c r="H1512" i="14"/>
  <c r="G1512" i="14"/>
  <c r="R2448" i="11"/>
  <c r="H2448" i="11"/>
  <c r="G2448" i="11"/>
  <c r="M976" i="16"/>
  <c r="M655" i="16"/>
  <c r="L976" i="16"/>
  <c r="M1511" i="14"/>
  <c r="M869" i="14"/>
  <c r="M868" i="14"/>
  <c r="L1511" i="14"/>
  <c r="L869" i="14"/>
  <c r="L868" i="14"/>
  <c r="R1511" i="14"/>
  <c r="H1511" i="14"/>
  <c r="G1511" i="14"/>
  <c r="M2447" i="11"/>
  <c r="M1271" i="11"/>
  <c r="M1270" i="11"/>
  <c r="L2447" i="11"/>
  <c r="L1271" i="11"/>
  <c r="L1270" i="11"/>
  <c r="R2447" i="11"/>
  <c r="H2447" i="11"/>
  <c r="G2447" i="11"/>
  <c r="R1510" i="14"/>
  <c r="H1510" i="14"/>
  <c r="G1510" i="14"/>
  <c r="R2446" i="11"/>
  <c r="H2446" i="11"/>
  <c r="G2446" i="11"/>
  <c r="M2446" i="11"/>
  <c r="L2446" i="11"/>
  <c r="L770" i="14"/>
  <c r="L771" i="14"/>
  <c r="L772" i="14"/>
  <c r="M1176" i="11"/>
  <c r="L1176" i="11"/>
  <c r="R1509" i="14"/>
  <c r="M1509" i="14"/>
  <c r="L1509" i="14"/>
  <c r="H1509" i="14"/>
  <c r="G1509" i="14"/>
  <c r="M2445" i="11"/>
  <c r="L2445" i="11"/>
  <c r="R2445" i="11"/>
  <c r="H2445" i="11"/>
  <c r="G2445" i="11"/>
  <c r="R1508" i="14"/>
  <c r="M1508" i="14"/>
  <c r="L1508" i="14"/>
  <c r="H1508" i="14"/>
  <c r="G1508" i="14"/>
  <c r="M2444" i="11"/>
  <c r="M1173" i="11"/>
  <c r="M1172" i="11"/>
  <c r="L1172" i="11"/>
  <c r="L2444" i="11"/>
  <c r="R2444" i="11"/>
  <c r="H2444" i="11"/>
  <c r="G2444" i="11"/>
  <c r="R1507" i="14"/>
  <c r="M1507" i="14"/>
  <c r="L1507" i="14"/>
  <c r="H1507" i="14"/>
  <c r="G1507" i="14"/>
  <c r="R2443" i="11"/>
  <c r="H2443" i="11"/>
  <c r="G2443" i="11"/>
  <c r="R2442" i="11"/>
  <c r="H2442" i="11"/>
  <c r="G2442" i="11"/>
  <c r="M2442" i="11"/>
  <c r="L2442" i="11"/>
  <c r="R1506" i="14"/>
  <c r="M1506" i="14"/>
  <c r="L1506" i="14"/>
  <c r="H1506" i="14"/>
  <c r="G1506" i="14"/>
  <c r="R2441" i="11"/>
  <c r="H2441" i="11"/>
  <c r="G2441" i="11"/>
  <c r="R2440" i="11"/>
  <c r="H2440" i="11"/>
  <c r="G2440" i="11"/>
  <c r="M2440" i="11"/>
  <c r="L2440" i="11"/>
  <c r="R1505" i="14"/>
  <c r="H1505" i="14"/>
  <c r="G1505" i="14"/>
  <c r="R2439" i="11"/>
  <c r="H2439" i="11"/>
  <c r="G2439" i="11"/>
  <c r="R1504" i="14"/>
  <c r="M1504" i="14"/>
  <c r="L1504" i="14"/>
  <c r="H1504" i="14"/>
  <c r="G1504" i="14"/>
  <c r="M2438" i="11"/>
  <c r="M1128" i="11"/>
  <c r="M1129" i="11"/>
  <c r="M1130" i="11"/>
  <c r="L2438" i="11"/>
  <c r="R2438" i="11"/>
  <c r="H2438" i="11"/>
  <c r="G2438" i="11"/>
  <c r="L621" i="16"/>
  <c r="R1503" i="14"/>
  <c r="M1503" i="14"/>
  <c r="L1503" i="14"/>
  <c r="H1503" i="14"/>
  <c r="G1503" i="14"/>
  <c r="R2437" i="11"/>
  <c r="H2437" i="11"/>
  <c r="G2437" i="11"/>
  <c r="M1502" i="14"/>
  <c r="L1502" i="14"/>
  <c r="R1502" i="14"/>
  <c r="H1502" i="14"/>
  <c r="G1502" i="14"/>
  <c r="M2436" i="11"/>
  <c r="L2436" i="11"/>
  <c r="R2436" i="11"/>
  <c r="H2436" i="11"/>
  <c r="G2436" i="11"/>
  <c r="M972" i="16"/>
  <c r="L972" i="16"/>
  <c r="M612" i="16"/>
  <c r="L612" i="16"/>
  <c r="M211" i="16"/>
  <c r="L211" i="16"/>
  <c r="M613" i="16"/>
  <c r="L613" i="16"/>
  <c r="M1501" i="14"/>
  <c r="L1501" i="14"/>
  <c r="M684" i="14"/>
  <c r="L684" i="14"/>
  <c r="M683" i="14"/>
  <c r="L683" i="14"/>
  <c r="M2435" i="11"/>
  <c r="M1078" i="11"/>
  <c r="M1077" i="11"/>
  <c r="M1076" i="11"/>
  <c r="L2435" i="11"/>
  <c r="L1078" i="11"/>
  <c r="L1077" i="11"/>
  <c r="L1076" i="11"/>
  <c r="R2435" i="11"/>
  <c r="H2435" i="11"/>
  <c r="G2435" i="11"/>
  <c r="R1501" i="14"/>
  <c r="H1501" i="14"/>
  <c r="G1501" i="14"/>
  <c r="M1500" i="14"/>
  <c r="M680" i="14"/>
  <c r="L1500" i="14"/>
  <c r="L680" i="14"/>
  <c r="R1500" i="14"/>
  <c r="H1500" i="14"/>
  <c r="G1500" i="14"/>
  <c r="R2434" i="11"/>
  <c r="H2434" i="11"/>
  <c r="G2434" i="11"/>
  <c r="M2434" i="11"/>
  <c r="L2434" i="11"/>
  <c r="M1067" i="11"/>
  <c r="L1067" i="11"/>
  <c r="R1499" i="14"/>
  <c r="M1499" i="14"/>
  <c r="L1499" i="14"/>
  <c r="H1499" i="14"/>
  <c r="G1499" i="14"/>
  <c r="R2433" i="11"/>
  <c r="H2433" i="11"/>
  <c r="G2433" i="11"/>
  <c r="M2433" i="11"/>
  <c r="L2433" i="11"/>
  <c r="L662" i="14"/>
  <c r="L1059" i="11"/>
  <c r="L603" i="16"/>
  <c r="L202" i="16"/>
  <c r="R1498" i="14"/>
  <c r="M1498" i="14"/>
  <c r="L1498" i="14"/>
  <c r="H1498" i="14"/>
  <c r="G1498" i="14"/>
  <c r="G641" i="14"/>
  <c r="H641" i="14"/>
  <c r="L641" i="14"/>
  <c r="M641" i="14"/>
  <c r="R641" i="14"/>
  <c r="G642" i="14"/>
  <c r="H642" i="14"/>
  <c r="L642" i="14"/>
  <c r="M642" i="14"/>
  <c r="R642" i="14"/>
  <c r="L2432" i="11"/>
  <c r="L1039" i="11"/>
  <c r="L1038" i="11"/>
  <c r="M2432" i="11"/>
  <c r="M1039" i="11"/>
  <c r="M1038" i="11"/>
  <c r="R2432" i="11"/>
  <c r="H2432" i="11"/>
  <c r="G2432" i="11"/>
  <c r="M2431" i="11"/>
  <c r="L2431" i="11"/>
  <c r="R2431" i="11"/>
  <c r="H2431" i="11"/>
  <c r="G2431" i="11"/>
  <c r="L1034" i="11"/>
  <c r="L1497" i="14"/>
  <c r="R1497" i="14"/>
  <c r="M1497" i="14"/>
  <c r="H1497" i="14"/>
  <c r="G1497" i="14"/>
  <c r="R1496" i="14"/>
  <c r="M1496" i="14"/>
  <c r="L1496" i="14"/>
  <c r="H1496" i="14"/>
  <c r="G1496" i="14"/>
  <c r="R2430" i="11"/>
  <c r="H2430" i="11"/>
  <c r="G2430" i="11"/>
  <c r="R2429" i="11"/>
  <c r="H2429" i="11"/>
  <c r="G2429" i="11"/>
  <c r="M2429" i="11"/>
  <c r="L2429" i="11"/>
  <c r="R2428" i="11"/>
  <c r="H2428" i="11"/>
  <c r="G2428" i="11"/>
  <c r="M598" i="16"/>
  <c r="M1495" i="14"/>
  <c r="M622" i="14"/>
  <c r="M621" i="14"/>
  <c r="M620" i="14"/>
  <c r="L1495" i="14"/>
  <c r="L622" i="14"/>
  <c r="L621" i="14"/>
  <c r="R1495" i="14"/>
  <c r="H1495" i="14"/>
  <c r="G1495" i="14"/>
  <c r="G621" i="14"/>
  <c r="H621" i="14"/>
  <c r="R621" i="14"/>
  <c r="M2427" i="11"/>
  <c r="M1015" i="11"/>
  <c r="M1014" i="11"/>
  <c r="M1013" i="11"/>
  <c r="L2427" i="11"/>
  <c r="L1015" i="11"/>
  <c r="L1014" i="11"/>
  <c r="L1013" i="11"/>
  <c r="L1012" i="11"/>
  <c r="R2427" i="11"/>
  <c r="H2427" i="11"/>
  <c r="G2427" i="11"/>
  <c r="M597" i="16"/>
  <c r="L1494" i="14"/>
  <c r="R1494" i="14"/>
  <c r="M1494" i="14"/>
  <c r="H1494" i="14"/>
  <c r="G1494" i="14"/>
  <c r="G617" i="14"/>
  <c r="H617" i="14"/>
  <c r="L617" i="14"/>
  <c r="M617" i="14"/>
  <c r="R617" i="14"/>
  <c r="M2426" i="11"/>
  <c r="M1011" i="11"/>
  <c r="M1010" i="11"/>
  <c r="M1008" i="11"/>
  <c r="M1009" i="11"/>
  <c r="L1008" i="11"/>
  <c r="L1009" i="11"/>
  <c r="L1010" i="11"/>
  <c r="L2426" i="11"/>
  <c r="L1011" i="11"/>
  <c r="R2426" i="11"/>
  <c r="H2426" i="11"/>
  <c r="G2426" i="11"/>
  <c r="M595" i="16"/>
  <c r="M193" i="16"/>
  <c r="L595" i="16"/>
  <c r="L193" i="16"/>
  <c r="R1493" i="14"/>
  <c r="M1493" i="14"/>
  <c r="L1493" i="14"/>
  <c r="H1493" i="14"/>
  <c r="G1493" i="14"/>
  <c r="L607" i="14"/>
  <c r="L606" i="14"/>
  <c r="L605" i="14"/>
  <c r="R2425" i="11"/>
  <c r="H2425" i="11"/>
  <c r="G2425" i="11"/>
  <c r="L2425" i="11"/>
  <c r="L1000" i="11"/>
  <c r="L999" i="11"/>
  <c r="L998" i="11"/>
  <c r="L997" i="11"/>
  <c r="R2424" i="11"/>
  <c r="H2424" i="11"/>
  <c r="G2424" i="11"/>
  <c r="M2424" i="11"/>
  <c r="L2424" i="11"/>
  <c r="R2423" i="11"/>
  <c r="H2423" i="11"/>
  <c r="G2423" i="11"/>
  <c r="M2423" i="11"/>
  <c r="L2423" i="11"/>
  <c r="L1492" i="14"/>
  <c r="L601" i="14"/>
  <c r="L600" i="14"/>
  <c r="R1492" i="14"/>
  <c r="M1492" i="14"/>
  <c r="H1492" i="14"/>
  <c r="G1492" i="14"/>
  <c r="L598" i="14"/>
  <c r="R1491" i="14"/>
  <c r="M1491" i="14"/>
  <c r="L1491" i="14"/>
  <c r="H1491" i="14"/>
  <c r="G1491" i="14"/>
  <c r="R2422" i="11"/>
  <c r="H2422" i="11"/>
  <c r="G2422" i="11"/>
  <c r="M2422" i="11"/>
  <c r="L2422" i="11"/>
  <c r="M2421" i="11"/>
  <c r="M978" i="11"/>
  <c r="L2421" i="11"/>
  <c r="L978" i="11"/>
  <c r="R2421" i="11"/>
  <c r="H2421" i="11"/>
  <c r="G2421" i="11"/>
  <c r="M1490" i="14"/>
  <c r="L1490" i="14"/>
  <c r="R1490" i="14"/>
  <c r="H1490" i="14"/>
  <c r="G1490" i="14"/>
  <c r="R1489" i="14"/>
  <c r="M1489" i="14"/>
  <c r="L1489" i="14"/>
  <c r="H1489" i="14"/>
  <c r="G1489" i="14"/>
  <c r="L956" i="11"/>
  <c r="R2420" i="11"/>
  <c r="H2420" i="11"/>
  <c r="G2420" i="11"/>
  <c r="R2419" i="11"/>
  <c r="H2419" i="11"/>
  <c r="G2419" i="11"/>
  <c r="M2419" i="11"/>
  <c r="L2419" i="11"/>
  <c r="M1488" i="14"/>
  <c r="M575" i="14"/>
  <c r="M574" i="14"/>
  <c r="M573" i="14"/>
  <c r="M572" i="14"/>
  <c r="M571" i="14"/>
  <c r="M570" i="14"/>
  <c r="L1488" i="14"/>
  <c r="L575" i="14"/>
  <c r="L574" i="14"/>
  <c r="L573" i="14"/>
  <c r="L572" i="14"/>
  <c r="L571" i="14"/>
  <c r="L570" i="14"/>
  <c r="R1488" i="14"/>
  <c r="H1488" i="14"/>
  <c r="G1488" i="14"/>
  <c r="R1487" i="14"/>
  <c r="M1487" i="14"/>
  <c r="L1487" i="14"/>
  <c r="H1487" i="14"/>
  <c r="G1487" i="14"/>
  <c r="R2418" i="11"/>
  <c r="H2418" i="11"/>
  <c r="G2418" i="11"/>
  <c r="M2418" i="11"/>
  <c r="L2418" i="11"/>
  <c r="R2417" i="11"/>
  <c r="H2417" i="11"/>
  <c r="G2417" i="11"/>
  <c r="M2417" i="11"/>
  <c r="L2417" i="11"/>
  <c r="R2416" i="11"/>
  <c r="H2416" i="11"/>
  <c r="G2416" i="11"/>
  <c r="M2416" i="11"/>
  <c r="L2416" i="11"/>
  <c r="R2415" i="11"/>
  <c r="H2415" i="11"/>
  <c r="G2415" i="11"/>
  <c r="M2415" i="11"/>
  <c r="L2415" i="11"/>
  <c r="R2414" i="11"/>
  <c r="H2414" i="11"/>
  <c r="G2414" i="11"/>
  <c r="M2414" i="11"/>
  <c r="L2414" i="11"/>
  <c r="R1486" i="14"/>
  <c r="M1486" i="14"/>
  <c r="L1486" i="14"/>
  <c r="H1486" i="14"/>
  <c r="G1486" i="14"/>
  <c r="R2413" i="11"/>
  <c r="H2413" i="11"/>
  <c r="G2413" i="11"/>
  <c r="M2413" i="11"/>
  <c r="L2413" i="11"/>
  <c r="R1485" i="14"/>
  <c r="M1485" i="14"/>
  <c r="L1485" i="14"/>
  <c r="H1485" i="14"/>
  <c r="G1485" i="14"/>
  <c r="R2412" i="11"/>
  <c r="H2412" i="11"/>
  <c r="G2412" i="11"/>
  <c r="M2412" i="11"/>
  <c r="L2412" i="11"/>
  <c r="R2411" i="11"/>
  <c r="H2411" i="11"/>
  <c r="G2411" i="11"/>
  <c r="M2411" i="11"/>
  <c r="L2411" i="11"/>
  <c r="R2410" i="11"/>
  <c r="H2410" i="11"/>
  <c r="G2410" i="11"/>
  <c r="M2410" i="11"/>
  <c r="L2410" i="11"/>
  <c r="R2409" i="11"/>
  <c r="H2409" i="11"/>
  <c r="G2409" i="11"/>
  <c r="M2409" i="11"/>
  <c r="L2409" i="11"/>
  <c r="R2408" i="11"/>
  <c r="H2408" i="11"/>
  <c r="G2408" i="11"/>
  <c r="M2408" i="11"/>
  <c r="L2408" i="11"/>
  <c r="R2407" i="11"/>
  <c r="H2407" i="11"/>
  <c r="G2407" i="11"/>
  <c r="M2407" i="11"/>
  <c r="L2407" i="11"/>
  <c r="R2406" i="11"/>
  <c r="H2406" i="11"/>
  <c r="G2406" i="11"/>
  <c r="M2406" i="11"/>
  <c r="L2406" i="11"/>
  <c r="R2405" i="11"/>
  <c r="H2405" i="11"/>
  <c r="G2405" i="11"/>
  <c r="M2405" i="11"/>
  <c r="L2405" i="11"/>
  <c r="M154" i="16"/>
  <c r="L154" i="16"/>
  <c r="J562" i="16"/>
  <c r="L562" i="16" s="1"/>
  <c r="L435" i="14"/>
  <c r="J1445" i="14"/>
  <c r="L1445" i="14" s="1"/>
  <c r="J437" i="14"/>
  <c r="L437" i="14" s="1"/>
  <c r="J436" i="14"/>
  <c r="L436" i="14" s="1"/>
  <c r="M1444" i="14"/>
  <c r="L1444" i="14"/>
  <c r="L707" i="11"/>
  <c r="J426" i="14"/>
  <c r="M426" i="14" s="1"/>
  <c r="J425" i="14"/>
  <c r="M425" i="14" s="1"/>
  <c r="M1484" i="14"/>
  <c r="M422" i="14"/>
  <c r="M421" i="14"/>
  <c r="M420" i="14"/>
  <c r="M419" i="14"/>
  <c r="L419" i="14"/>
  <c r="L1484" i="14"/>
  <c r="L422" i="14"/>
  <c r="L421" i="14"/>
  <c r="L420" i="14"/>
  <c r="R1484" i="14"/>
  <c r="H1484" i="14"/>
  <c r="G1484" i="14"/>
  <c r="M687" i="11"/>
  <c r="L687" i="11"/>
  <c r="K2404" i="11"/>
  <c r="J2404" i="11"/>
  <c r="R2404" i="11"/>
  <c r="H2404" i="11"/>
  <c r="G2404" i="11"/>
  <c r="K688" i="11"/>
  <c r="J688" i="11"/>
  <c r="K557" i="16"/>
  <c r="J557" i="16"/>
  <c r="M32" i="16"/>
  <c r="L32" i="16"/>
  <c r="H32" i="16"/>
  <c r="G32" i="16"/>
  <c r="K1483" i="14"/>
  <c r="J1483" i="14"/>
  <c r="R1483" i="14"/>
  <c r="H1483" i="14"/>
  <c r="G1483" i="14"/>
  <c r="K415" i="14"/>
  <c r="J415" i="14"/>
  <c r="K414" i="14"/>
  <c r="J414" i="14"/>
  <c r="K413" i="14"/>
  <c r="J413" i="14"/>
  <c r="R411" i="14"/>
  <c r="M411" i="14"/>
  <c r="L411" i="14"/>
  <c r="H411" i="14"/>
  <c r="G411" i="14"/>
  <c r="L677" i="11"/>
  <c r="K2403" i="11"/>
  <c r="J2403" i="11"/>
  <c r="R2403" i="11"/>
  <c r="H2403" i="11"/>
  <c r="G2403" i="11"/>
  <c r="K681" i="11"/>
  <c r="J681" i="11"/>
  <c r="R677" i="11"/>
  <c r="H677" i="11"/>
  <c r="G677" i="11"/>
  <c r="M677" i="11"/>
  <c r="K556" i="16"/>
  <c r="J556" i="16"/>
  <c r="K410" i="14"/>
  <c r="J410" i="14"/>
  <c r="M409" i="14"/>
  <c r="L409" i="14"/>
  <c r="M408" i="14"/>
  <c r="L408" i="14"/>
  <c r="M407" i="14"/>
  <c r="L407" i="14"/>
  <c r="K1482" i="14"/>
  <c r="J1482" i="14"/>
  <c r="R1482" i="14"/>
  <c r="H1482" i="14"/>
  <c r="G1482" i="14"/>
  <c r="K2402" i="11"/>
  <c r="J2402" i="11"/>
  <c r="R2402" i="11"/>
  <c r="H2402" i="11"/>
  <c r="G2402" i="11"/>
  <c r="K676" i="11"/>
  <c r="J676" i="11"/>
  <c r="M1481" i="14"/>
  <c r="M404" i="14"/>
  <c r="M403" i="14"/>
  <c r="M402" i="14"/>
  <c r="M401" i="14"/>
  <c r="M400" i="14"/>
  <c r="L399" i="14"/>
  <c r="L400" i="14"/>
  <c r="L401" i="14"/>
  <c r="L402" i="14"/>
  <c r="L403" i="14"/>
  <c r="L1481" i="14"/>
  <c r="R1481" i="14"/>
  <c r="H1481" i="14"/>
  <c r="G1481" i="14"/>
  <c r="K2401" i="11"/>
  <c r="J2401" i="11"/>
  <c r="K670" i="11"/>
  <c r="J670" i="11"/>
  <c r="J669" i="11"/>
  <c r="R2401" i="11"/>
  <c r="H2401" i="11"/>
  <c r="G2401" i="11"/>
  <c r="L551" i="16"/>
  <c r="L142" i="16"/>
  <c r="L387" i="14"/>
  <c r="R1480" i="14"/>
  <c r="M1480" i="14"/>
  <c r="L1480" i="14"/>
  <c r="H1480" i="14"/>
  <c r="G1480" i="14"/>
  <c r="M390" i="14"/>
  <c r="M389" i="14"/>
  <c r="M388" i="14"/>
  <c r="M387" i="14"/>
  <c r="L390" i="14"/>
  <c r="G387" i="14"/>
  <c r="L389" i="14"/>
  <c r="L388" i="14"/>
  <c r="M2400" i="11"/>
  <c r="M2399" i="11"/>
  <c r="M657" i="11"/>
  <c r="M656" i="11"/>
  <c r="M655" i="11"/>
  <c r="M654" i="11"/>
  <c r="M653" i="11"/>
  <c r="M652" i="11"/>
  <c r="M651" i="11"/>
  <c r="M650" i="11"/>
  <c r="L650" i="11"/>
  <c r="R2400" i="11"/>
  <c r="H2400" i="11"/>
  <c r="G2400" i="11"/>
  <c r="L2400" i="11"/>
  <c r="R2399" i="11"/>
  <c r="H2399" i="11"/>
  <c r="G2399" i="11"/>
  <c r="L2399" i="11"/>
  <c r="L657" i="11"/>
  <c r="L656" i="11"/>
  <c r="L655" i="11"/>
  <c r="L654" i="11"/>
  <c r="L653" i="11"/>
  <c r="L652" i="11"/>
  <c r="L651" i="11"/>
  <c r="M28" i="16"/>
  <c r="L28" i="16"/>
  <c r="H28" i="16"/>
  <c r="G28" i="16"/>
  <c r="R356" i="14"/>
  <c r="M356" i="14"/>
  <c r="L356" i="14"/>
  <c r="H356" i="14"/>
  <c r="G356" i="14"/>
  <c r="R355" i="14"/>
  <c r="M355" i="14"/>
  <c r="L355" i="14"/>
  <c r="H355" i="14"/>
  <c r="G355" i="14"/>
  <c r="R2398" i="11"/>
  <c r="H2398" i="11"/>
  <c r="G2398" i="11"/>
  <c r="M2398" i="11"/>
  <c r="L2398" i="11"/>
  <c r="R2397" i="11"/>
  <c r="H2397" i="11"/>
  <c r="G2397" i="11"/>
  <c r="M2397" i="11"/>
  <c r="L2397" i="11"/>
  <c r="R2396" i="11"/>
  <c r="H2396" i="11"/>
  <c r="G2396" i="11"/>
  <c r="M2396" i="11"/>
  <c r="L2396" i="11"/>
  <c r="R2395" i="11"/>
  <c r="H2395" i="11"/>
  <c r="G2395" i="11"/>
  <c r="M2395" i="11"/>
  <c r="L2395" i="11"/>
  <c r="R2394" i="11"/>
  <c r="H2394" i="11"/>
  <c r="G2394" i="11"/>
  <c r="M2394" i="11"/>
  <c r="L2394" i="11"/>
  <c r="R2393" i="11"/>
  <c r="H2393" i="11"/>
  <c r="G2393" i="11"/>
  <c r="M2393" i="11"/>
  <c r="L2393" i="11"/>
  <c r="R2392" i="11"/>
  <c r="H2392" i="11"/>
  <c r="G2392" i="11"/>
  <c r="M2392" i="11"/>
  <c r="L2392" i="11"/>
  <c r="L350" i="14"/>
  <c r="L351" i="14"/>
  <c r="R1479" i="14"/>
  <c r="M1479" i="14"/>
  <c r="L1479" i="14"/>
  <c r="H1479" i="14"/>
  <c r="G1479" i="14"/>
  <c r="R2391" i="11"/>
  <c r="H2391" i="11"/>
  <c r="G2391" i="11"/>
  <c r="M2391" i="11"/>
  <c r="L2391" i="11"/>
  <c r="R1478" i="14"/>
  <c r="M1478" i="14"/>
  <c r="L1478" i="14"/>
  <c r="H1478" i="14"/>
  <c r="G1478" i="14"/>
  <c r="M2390" i="11"/>
  <c r="L2390" i="11"/>
  <c r="R2390" i="11"/>
  <c r="H2390" i="11"/>
  <c r="G2390" i="11"/>
  <c r="M1477" i="14"/>
  <c r="M335" i="14"/>
  <c r="L1477" i="14"/>
  <c r="L337" i="14"/>
  <c r="L336" i="14"/>
  <c r="L335" i="14"/>
  <c r="R1477" i="14"/>
  <c r="H1477" i="14"/>
  <c r="G1477" i="14"/>
  <c r="R2389" i="11"/>
  <c r="H2389" i="11"/>
  <c r="G2389" i="11"/>
  <c r="M2389" i="11"/>
  <c r="L2389" i="11"/>
  <c r="M538" i="16"/>
  <c r="R1476" i="14"/>
  <c r="M1476" i="14"/>
  <c r="L1476" i="14"/>
  <c r="H1476" i="14"/>
  <c r="G1476" i="14"/>
  <c r="M2388" i="11"/>
  <c r="M566" i="11"/>
  <c r="M565" i="11"/>
  <c r="L2388" i="11"/>
  <c r="L566" i="11"/>
  <c r="L565" i="11"/>
  <c r="R2388" i="11"/>
  <c r="H2388" i="11"/>
  <c r="G2388" i="11"/>
  <c r="R1475" i="14"/>
  <c r="M1475" i="14"/>
  <c r="L1475" i="14"/>
  <c r="H1475" i="14"/>
  <c r="G1475" i="14"/>
  <c r="M2387" i="11"/>
  <c r="M562" i="11"/>
  <c r="M561" i="11"/>
  <c r="R2387" i="11"/>
  <c r="H2387" i="11"/>
  <c r="G2387" i="11"/>
  <c r="R1474" i="14"/>
  <c r="M1474" i="14"/>
  <c r="L1474" i="14"/>
  <c r="H1474" i="14"/>
  <c r="G1474" i="14"/>
  <c r="R2386" i="11"/>
  <c r="H2386" i="11"/>
  <c r="G2386" i="11"/>
  <c r="M482" i="16"/>
  <c r="L482" i="16"/>
  <c r="R1473" i="14"/>
  <c r="M1473" i="14"/>
  <c r="L1473" i="14"/>
  <c r="H1473" i="14"/>
  <c r="G1473" i="14"/>
  <c r="M317" i="14"/>
  <c r="L317" i="14"/>
  <c r="M316" i="14"/>
  <c r="L316" i="14"/>
  <c r="M2385" i="11"/>
  <c r="L2385" i="11"/>
  <c r="M2384" i="11"/>
  <c r="L2384" i="11"/>
  <c r="M2383" i="11"/>
  <c r="L2383" i="11"/>
  <c r="M2382" i="11"/>
  <c r="L2382" i="11"/>
  <c r="M2381" i="11"/>
  <c r="L2381" i="11"/>
  <c r="M2380" i="11"/>
  <c r="L2380" i="11"/>
  <c r="M552" i="11"/>
  <c r="L552" i="11"/>
  <c r="M551" i="11"/>
  <c r="L551" i="11"/>
  <c r="M550" i="11"/>
  <c r="L550" i="11"/>
  <c r="M549" i="11"/>
  <c r="L549" i="11"/>
  <c r="M548" i="11"/>
  <c r="L548" i="11"/>
  <c r="M547" i="11"/>
  <c r="L547" i="11"/>
  <c r="M546" i="11"/>
  <c r="L546" i="11"/>
  <c r="M545" i="11"/>
  <c r="L545" i="11"/>
  <c r="M544" i="11"/>
  <c r="L544" i="11"/>
  <c r="M543" i="11"/>
  <c r="L543" i="11"/>
  <c r="M542" i="11"/>
  <c r="L542" i="11"/>
  <c r="M541" i="11"/>
  <c r="L541" i="11"/>
  <c r="M540" i="11"/>
  <c r="L540" i="11"/>
  <c r="M539" i="11"/>
  <c r="L539" i="11"/>
  <c r="M538" i="11"/>
  <c r="L538" i="11"/>
  <c r="M537" i="11"/>
  <c r="L537" i="11"/>
  <c r="M536" i="11"/>
  <c r="L536" i="11"/>
  <c r="M535" i="11"/>
  <c r="L535" i="11"/>
  <c r="M534" i="11"/>
  <c r="L534" i="11"/>
  <c r="M533" i="11"/>
  <c r="L533" i="11"/>
  <c r="M532" i="11"/>
  <c r="L532" i="11"/>
  <c r="M531" i="11"/>
  <c r="L531" i="11"/>
  <c r="M530" i="11"/>
  <c r="L530" i="11"/>
  <c r="R2385" i="11"/>
  <c r="H2385" i="11"/>
  <c r="G2385" i="11"/>
  <c r="R2384" i="11"/>
  <c r="H2384" i="11"/>
  <c r="G2384" i="11"/>
  <c r="R2383" i="11"/>
  <c r="H2383" i="11"/>
  <c r="G2383" i="11"/>
  <c r="R2382" i="11"/>
  <c r="H2382" i="11"/>
  <c r="G2382" i="11"/>
  <c r="R2381" i="11"/>
  <c r="H2381" i="11"/>
  <c r="G2381" i="11"/>
  <c r="R2380" i="11"/>
  <c r="H2380" i="11"/>
  <c r="G2380" i="11"/>
  <c r="R1472" i="14"/>
  <c r="M1472" i="14"/>
  <c r="L1472" i="14"/>
  <c r="H1472" i="14"/>
  <c r="G1472" i="14"/>
  <c r="R2379" i="11"/>
  <c r="H2379" i="11"/>
  <c r="G2379" i="11"/>
  <c r="M2379" i="11"/>
  <c r="L2379" i="11"/>
  <c r="R2378" i="11"/>
  <c r="H2378" i="11"/>
  <c r="G2378" i="11"/>
  <c r="M2378" i="11"/>
  <c r="L2378" i="11"/>
  <c r="R2377" i="11"/>
  <c r="H2377" i="11"/>
  <c r="G2377" i="11"/>
  <c r="M2377" i="11"/>
  <c r="L2377" i="11"/>
  <c r="R2376" i="11"/>
  <c r="H2376" i="11"/>
  <c r="G2376" i="11"/>
  <c r="M2376" i="11"/>
  <c r="L2376" i="11"/>
  <c r="R2375" i="11"/>
  <c r="H2375" i="11"/>
  <c r="G2375" i="11"/>
  <c r="M2375" i="11"/>
  <c r="L2375" i="11"/>
  <c r="R2374" i="11"/>
  <c r="H2374" i="11"/>
  <c r="G2374" i="11"/>
  <c r="M2374" i="11"/>
  <c r="L2374" i="11"/>
  <c r="R2373" i="11"/>
  <c r="H2373" i="11"/>
  <c r="G2373" i="11"/>
  <c r="M2373" i="11"/>
  <c r="L2373" i="11"/>
  <c r="M1471" i="14"/>
  <c r="L1471" i="14"/>
  <c r="M294" i="14"/>
  <c r="L294" i="14"/>
  <c r="M293" i="14"/>
  <c r="L293" i="14"/>
  <c r="R1471" i="14"/>
  <c r="H1471" i="14"/>
  <c r="G1471" i="14"/>
  <c r="R2372" i="11"/>
  <c r="H2372" i="11"/>
  <c r="G2372" i="11"/>
  <c r="L2372" i="11"/>
  <c r="R2371" i="11"/>
  <c r="H2371" i="11"/>
  <c r="G2371" i="11"/>
  <c r="L2371" i="11"/>
  <c r="R2370" i="11"/>
  <c r="H2370" i="11"/>
  <c r="G2370" i="11"/>
  <c r="L2370" i="11"/>
  <c r="R2369" i="11"/>
  <c r="H2369" i="11"/>
  <c r="G2369" i="11"/>
  <c r="L2369" i="11"/>
  <c r="R2368" i="11"/>
  <c r="H2368" i="11"/>
  <c r="G2368" i="11"/>
  <c r="L2368" i="11"/>
  <c r="R2367" i="11"/>
  <c r="H2367" i="11"/>
  <c r="G2367" i="11"/>
  <c r="L2367" i="11"/>
  <c r="R2366" i="11"/>
  <c r="H2366" i="11"/>
  <c r="G2366" i="11"/>
  <c r="L2366" i="11"/>
  <c r="M2337" i="11"/>
  <c r="L2337" i="11"/>
  <c r="M2284" i="11"/>
  <c r="L2284" i="11"/>
  <c r="M2283" i="11"/>
  <c r="L2283" i="11"/>
  <c r="M2282" i="11"/>
  <c r="L2282" i="11"/>
  <c r="M2281" i="11"/>
  <c r="L2281" i="11"/>
  <c r="M2280" i="11"/>
  <c r="L2280" i="11"/>
  <c r="M2279" i="11"/>
  <c r="L2279" i="11"/>
  <c r="R2365" i="11"/>
  <c r="H2365" i="11"/>
  <c r="G2365" i="11"/>
  <c r="M2365" i="11"/>
  <c r="L2365" i="11"/>
  <c r="R1470" i="14"/>
  <c r="M1470" i="14"/>
  <c r="L1470" i="14"/>
  <c r="H1470" i="14"/>
  <c r="G1470" i="14"/>
  <c r="M2364" i="11"/>
  <c r="M2363" i="11"/>
  <c r="M2362" i="11"/>
  <c r="L2364" i="11"/>
  <c r="L2363" i="11"/>
  <c r="L2362" i="11"/>
  <c r="L2361" i="11"/>
  <c r="R2364" i="11"/>
  <c r="H2364" i="11"/>
  <c r="G2364" i="11"/>
  <c r="R2363" i="11"/>
  <c r="H2363" i="11"/>
  <c r="G2363" i="11"/>
  <c r="R2362" i="11"/>
  <c r="H2362" i="11"/>
  <c r="G2362" i="11"/>
  <c r="R2361" i="11"/>
  <c r="H2361" i="11"/>
  <c r="G2361" i="11"/>
  <c r="M2361" i="11"/>
  <c r="M527" i="16"/>
  <c r="M114" i="16"/>
  <c r="L527" i="16"/>
  <c r="L114" i="16"/>
  <c r="M1469" i="14"/>
  <c r="M278" i="14"/>
  <c r="M277" i="14"/>
  <c r="M276" i="14"/>
  <c r="M275" i="14"/>
  <c r="M274" i="14"/>
  <c r="L1469" i="14"/>
  <c r="L278" i="14"/>
  <c r="L277" i="14"/>
  <c r="L276" i="14"/>
  <c r="L275" i="14"/>
  <c r="L274" i="14"/>
  <c r="L273" i="14"/>
  <c r="R1469" i="14"/>
  <c r="H1469" i="14"/>
  <c r="G1469" i="14"/>
  <c r="M2360" i="11"/>
  <c r="L2360" i="11"/>
  <c r="R2360" i="11"/>
  <c r="H2360" i="11"/>
  <c r="G2360" i="11"/>
  <c r="M2359" i="11"/>
  <c r="M2358" i="11"/>
  <c r="M2357" i="11"/>
  <c r="M2356" i="11"/>
  <c r="M2355" i="11"/>
  <c r="M2354" i="11"/>
  <c r="M391" i="11"/>
  <c r="M390" i="11"/>
  <c r="M389" i="11"/>
  <c r="M388" i="11"/>
  <c r="M387" i="11"/>
  <c r="M386" i="11"/>
  <c r="M385" i="11"/>
  <c r="M384" i="11"/>
  <c r="M383" i="11"/>
  <c r="M382" i="11"/>
  <c r="M381" i="11"/>
  <c r="M380" i="11"/>
  <c r="M379" i="11"/>
  <c r="M378" i="11"/>
  <c r="M377" i="11"/>
  <c r="M376" i="11"/>
  <c r="M375" i="11"/>
  <c r="M374" i="11"/>
  <c r="M373" i="11"/>
  <c r="M372" i="11"/>
  <c r="M371" i="11"/>
  <c r="M370" i="11"/>
  <c r="M369" i="11"/>
  <c r="M368" i="11"/>
  <c r="M367" i="11"/>
  <c r="M366" i="11"/>
  <c r="M365" i="11"/>
  <c r="M364" i="11"/>
  <c r="M363" i="11"/>
  <c r="M362" i="11"/>
  <c r="M361" i="11"/>
  <c r="M360" i="11"/>
  <c r="M359" i="11"/>
  <c r="M358" i="11"/>
  <c r="M357" i="11"/>
  <c r="L2359" i="11"/>
  <c r="L2358" i="11"/>
  <c r="L2357" i="11"/>
  <c r="L2356" i="11"/>
  <c r="L2355" i="11"/>
  <c r="L2354" i="11"/>
  <c r="L391" i="11"/>
  <c r="L390" i="11"/>
  <c r="L389" i="11"/>
  <c r="L388" i="11"/>
  <c r="L387" i="11"/>
  <c r="L386" i="11"/>
  <c r="L385" i="11"/>
  <c r="L384" i="11"/>
  <c r="L383" i="11"/>
  <c r="L382" i="11"/>
  <c r="L381" i="11"/>
  <c r="L380" i="11"/>
  <c r="L379" i="11"/>
  <c r="L378" i="11"/>
  <c r="L377" i="11"/>
  <c r="L376" i="11"/>
  <c r="L375" i="11"/>
  <c r="L374" i="11"/>
  <c r="L373" i="11"/>
  <c r="L372" i="11"/>
  <c r="L371" i="11"/>
  <c r="L370" i="11"/>
  <c r="L369" i="11"/>
  <c r="L368" i="11"/>
  <c r="L367" i="11"/>
  <c r="L363" i="11"/>
  <c r="L359" i="11"/>
  <c r="L357" i="11"/>
  <c r="M356" i="11"/>
  <c r="L356" i="11"/>
  <c r="R2359" i="11"/>
  <c r="H2359" i="11"/>
  <c r="G2359" i="11"/>
  <c r="R2358" i="11"/>
  <c r="H2358" i="11"/>
  <c r="G2358" i="11"/>
  <c r="R2357" i="11"/>
  <c r="H2357" i="11"/>
  <c r="G2357" i="11"/>
  <c r="R2356" i="11"/>
  <c r="H2356" i="11"/>
  <c r="G2356" i="11"/>
  <c r="R2355" i="11"/>
  <c r="H2355" i="11"/>
  <c r="G2355" i="11"/>
  <c r="R2354" i="11"/>
  <c r="H2354" i="11"/>
  <c r="G2354" i="11"/>
  <c r="R1468" i="14"/>
  <c r="M1468" i="14"/>
  <c r="L1468" i="14"/>
  <c r="H1468" i="14"/>
  <c r="G1468" i="14"/>
  <c r="R2353" i="11"/>
  <c r="H2353" i="11"/>
  <c r="G2353" i="11"/>
  <c r="R2352" i="11"/>
  <c r="H2352" i="11"/>
  <c r="G2352" i="11"/>
  <c r="M2352" i="11"/>
  <c r="L2352" i="11"/>
  <c r="R1467" i="14"/>
  <c r="M1467" i="14"/>
  <c r="L1467" i="14"/>
  <c r="H1467" i="14"/>
  <c r="G1467" i="14"/>
  <c r="R2351" i="11"/>
  <c r="H2351" i="11"/>
  <c r="G2351" i="11"/>
  <c r="R1466" i="14"/>
  <c r="M1466" i="14"/>
  <c r="L1466" i="14"/>
  <c r="H1466" i="14"/>
  <c r="G1466" i="14"/>
  <c r="R2350" i="11"/>
  <c r="H2350" i="11"/>
  <c r="G2350" i="11"/>
  <c r="R1465" i="14"/>
  <c r="M1465" i="14"/>
  <c r="L1465" i="14"/>
  <c r="H1465" i="14"/>
  <c r="G1465" i="14"/>
  <c r="G1421" i="14"/>
  <c r="H1421" i="14"/>
  <c r="L1421" i="14"/>
  <c r="M1421" i="14"/>
  <c r="R1421" i="14"/>
  <c r="G1422" i="14"/>
  <c r="H1422" i="14"/>
  <c r="L1422" i="14"/>
  <c r="M1422" i="14"/>
  <c r="R1422" i="14"/>
  <c r="G183" i="14"/>
  <c r="H183" i="14"/>
  <c r="L183" i="14"/>
  <c r="M183" i="14"/>
  <c r="R183" i="14"/>
  <c r="G184" i="14"/>
  <c r="H184" i="14"/>
  <c r="L184" i="14"/>
  <c r="M184" i="14"/>
  <c r="R184" i="14"/>
  <c r="R2349" i="11"/>
  <c r="H2349" i="11"/>
  <c r="G2349" i="11"/>
  <c r="M2349" i="11"/>
  <c r="L2349" i="11"/>
  <c r="R2348" i="11"/>
  <c r="H2348" i="11"/>
  <c r="G2348" i="11"/>
  <c r="M2348" i="11"/>
  <c r="L2348" i="11"/>
  <c r="R2347" i="11"/>
  <c r="H2347" i="11"/>
  <c r="G2347" i="11"/>
  <c r="M2347" i="11"/>
  <c r="L2347" i="11"/>
  <c r="R2346" i="11"/>
  <c r="H2346" i="11"/>
  <c r="G2346" i="11"/>
  <c r="M2346" i="11"/>
  <c r="L2346" i="11"/>
  <c r="R2345" i="11"/>
  <c r="H2345" i="11"/>
  <c r="G2345" i="11"/>
  <c r="M2345" i="11"/>
  <c r="L2345" i="11"/>
  <c r="R2344" i="11"/>
  <c r="H2344" i="11"/>
  <c r="G2344" i="11"/>
  <c r="M2344" i="11"/>
  <c r="L2344" i="11"/>
  <c r="M500" i="16"/>
  <c r="L500" i="16"/>
  <c r="L936" i="16"/>
  <c r="M936" i="16"/>
  <c r="L937" i="16"/>
  <c r="M937" i="16"/>
  <c r="L938" i="16"/>
  <c r="M938" i="16"/>
  <c r="G936" i="16"/>
  <c r="H936" i="16"/>
  <c r="G937" i="16"/>
  <c r="H937" i="16"/>
  <c r="G938" i="16"/>
  <c r="H938" i="16"/>
  <c r="L370" i="16"/>
  <c r="M370" i="16"/>
  <c r="L807" i="16"/>
  <c r="M807" i="16"/>
  <c r="L69" i="16"/>
  <c r="M69" i="16"/>
  <c r="L980" i="16"/>
  <c r="M980" i="16"/>
  <c r="L951" i="16"/>
  <c r="M951" i="16"/>
  <c r="L488" i="16"/>
  <c r="M488" i="16"/>
  <c r="G370" i="16"/>
  <c r="H370" i="16"/>
  <c r="G807" i="16"/>
  <c r="H807" i="16"/>
  <c r="G69" i="16"/>
  <c r="H69" i="16"/>
  <c r="G488" i="16"/>
  <c r="H488" i="16"/>
  <c r="R1434" i="14"/>
  <c r="R1435" i="14"/>
  <c r="R1436" i="14"/>
  <c r="R1437" i="14"/>
  <c r="R1438" i="14"/>
  <c r="R1439" i="14"/>
  <c r="R1440" i="14"/>
  <c r="R1441" i="14"/>
  <c r="R1442" i="14"/>
  <c r="R1443" i="14"/>
  <c r="R1444" i="14"/>
  <c r="R1445" i="14"/>
  <c r="R1446" i="14"/>
  <c r="R1447" i="14"/>
  <c r="R1448" i="14"/>
  <c r="R1449" i="14"/>
  <c r="R1450" i="14"/>
  <c r="R1451" i="14"/>
  <c r="R1452" i="14"/>
  <c r="R1453" i="14"/>
  <c r="R1454" i="14"/>
  <c r="R1455" i="14"/>
  <c r="R1456" i="14"/>
  <c r="R1457" i="14"/>
  <c r="R1458" i="14"/>
  <c r="R1459" i="14"/>
  <c r="R1460" i="14"/>
  <c r="R1461" i="14"/>
  <c r="R1462" i="14"/>
  <c r="R1463" i="14"/>
  <c r="R1464" i="14"/>
  <c r="L1434" i="14"/>
  <c r="M1434" i="14"/>
  <c r="L1435" i="14"/>
  <c r="M1435" i="14"/>
  <c r="L1436" i="14"/>
  <c r="M1436" i="14"/>
  <c r="L1437" i="14"/>
  <c r="M1437" i="14"/>
  <c r="L1438" i="14"/>
  <c r="M1438" i="14"/>
  <c r="L1439" i="14"/>
  <c r="M1439" i="14"/>
  <c r="L1440" i="14"/>
  <c r="M1440" i="14"/>
  <c r="L1441" i="14"/>
  <c r="M1441" i="14"/>
  <c r="L1443" i="14"/>
  <c r="M1443" i="14"/>
  <c r="L1446" i="14"/>
  <c r="M1446" i="14"/>
  <c r="L1447" i="14"/>
  <c r="M1447" i="14"/>
  <c r="L1448" i="14"/>
  <c r="M1448" i="14"/>
  <c r="L1449" i="14"/>
  <c r="M1449" i="14"/>
  <c r="L1450" i="14"/>
  <c r="M1450" i="14"/>
  <c r="L1451" i="14"/>
  <c r="M1451" i="14"/>
  <c r="L1452" i="14"/>
  <c r="M1452" i="14"/>
  <c r="L1453" i="14"/>
  <c r="M1453" i="14"/>
  <c r="L1454" i="14"/>
  <c r="M1454" i="14"/>
  <c r="L1455" i="14"/>
  <c r="M1455" i="14"/>
  <c r="L1456" i="14"/>
  <c r="M1456" i="14"/>
  <c r="L1457" i="14"/>
  <c r="M1457" i="14"/>
  <c r="L1458" i="14"/>
  <c r="M1458" i="14"/>
  <c r="L1459" i="14"/>
  <c r="M1459" i="14"/>
  <c r="L1461" i="14"/>
  <c r="M1461" i="14"/>
  <c r="L1462" i="14"/>
  <c r="M1462" i="14"/>
  <c r="L1463" i="14"/>
  <c r="M1463" i="14"/>
  <c r="G1434" i="14"/>
  <c r="H1434" i="14"/>
  <c r="G1435" i="14"/>
  <c r="H1435" i="14"/>
  <c r="G1436" i="14"/>
  <c r="H1436" i="14"/>
  <c r="G1437" i="14"/>
  <c r="H1437" i="14"/>
  <c r="G1438" i="14"/>
  <c r="H1438" i="14"/>
  <c r="G1439" i="14"/>
  <c r="H1439" i="14"/>
  <c r="G1440" i="14"/>
  <c r="H1440" i="14"/>
  <c r="G1441" i="14"/>
  <c r="H1441" i="14"/>
  <c r="G1442" i="14"/>
  <c r="H1442" i="14"/>
  <c r="G1443" i="14"/>
  <c r="H1443" i="14"/>
  <c r="G1444" i="14"/>
  <c r="H1444" i="14"/>
  <c r="G1445" i="14"/>
  <c r="H1445" i="14"/>
  <c r="G1446" i="14"/>
  <c r="H1446" i="14"/>
  <c r="G1447" i="14"/>
  <c r="H1447" i="14"/>
  <c r="G1448" i="14"/>
  <c r="H1448" i="14"/>
  <c r="G1449" i="14"/>
  <c r="H1449" i="14"/>
  <c r="G1450" i="14"/>
  <c r="H1450" i="14"/>
  <c r="G1451" i="14"/>
  <c r="H1451" i="14"/>
  <c r="G1452" i="14"/>
  <c r="H1452" i="14"/>
  <c r="G1453" i="14"/>
  <c r="H1453" i="14"/>
  <c r="G1454" i="14"/>
  <c r="H1454" i="14"/>
  <c r="G1455" i="14"/>
  <c r="H1455" i="14"/>
  <c r="G1456" i="14"/>
  <c r="H1456" i="14"/>
  <c r="G1457" i="14"/>
  <c r="H1457" i="14"/>
  <c r="G1458" i="14"/>
  <c r="H1458" i="14"/>
  <c r="G1459" i="14"/>
  <c r="H1459" i="14"/>
  <c r="G1460" i="14"/>
  <c r="H1460" i="14"/>
  <c r="G1461" i="14"/>
  <c r="H1461" i="14"/>
  <c r="G1462" i="14"/>
  <c r="H1462" i="14"/>
  <c r="G1463" i="14"/>
  <c r="H1463" i="14"/>
  <c r="G1464" i="14"/>
  <c r="H1464" i="14"/>
  <c r="R2269" i="11"/>
  <c r="R2270" i="11"/>
  <c r="R2271" i="11"/>
  <c r="R2272" i="11"/>
  <c r="R2273" i="11"/>
  <c r="R2274" i="11"/>
  <c r="R2275" i="11"/>
  <c r="R2276" i="11"/>
  <c r="R2277" i="11"/>
  <c r="R2278" i="11"/>
  <c r="R2279" i="11"/>
  <c r="R2280" i="11"/>
  <c r="R2281" i="11"/>
  <c r="R2282" i="11"/>
  <c r="R2283" i="11"/>
  <c r="R2284" i="11"/>
  <c r="R2285" i="11"/>
  <c r="R2286" i="11"/>
  <c r="R2287" i="11"/>
  <c r="R2288" i="11"/>
  <c r="R2289" i="11"/>
  <c r="R2290" i="11"/>
  <c r="R2291" i="11"/>
  <c r="R2292" i="11"/>
  <c r="R2293" i="11"/>
  <c r="R2294" i="11"/>
  <c r="R2295" i="11"/>
  <c r="R2296" i="11"/>
  <c r="R2297" i="11"/>
  <c r="R2298" i="11"/>
  <c r="R2299" i="11"/>
  <c r="R2300" i="11"/>
  <c r="R2301" i="11"/>
  <c r="R2302" i="11"/>
  <c r="R2303" i="11"/>
  <c r="R2304" i="11"/>
  <c r="R2305" i="11"/>
  <c r="R2306" i="11"/>
  <c r="R2307" i="11"/>
  <c r="R2308" i="11"/>
  <c r="R2309" i="11"/>
  <c r="R2310" i="11"/>
  <c r="R2311" i="11"/>
  <c r="R2312" i="11"/>
  <c r="R2313" i="11"/>
  <c r="R2314" i="11"/>
  <c r="R2315" i="11"/>
  <c r="R2316" i="11"/>
  <c r="R2317" i="11"/>
  <c r="R2318" i="11"/>
  <c r="R2319" i="11"/>
  <c r="R2320" i="11"/>
  <c r="R2321" i="11"/>
  <c r="R2322" i="11"/>
  <c r="R2323" i="11"/>
  <c r="R2324" i="11"/>
  <c r="R2325" i="11"/>
  <c r="R2326" i="11"/>
  <c r="R2327" i="11"/>
  <c r="R2328" i="11"/>
  <c r="R2329" i="11"/>
  <c r="R2330" i="11"/>
  <c r="R2331" i="11"/>
  <c r="R2332" i="11"/>
  <c r="R2333" i="11"/>
  <c r="R2334" i="11"/>
  <c r="R2335" i="11"/>
  <c r="R2336" i="11"/>
  <c r="R2337" i="11"/>
  <c r="R2338" i="11"/>
  <c r="R2339" i="11"/>
  <c r="R2340" i="11"/>
  <c r="R2341" i="11"/>
  <c r="R2342" i="11"/>
  <c r="R2343" i="11"/>
  <c r="G2269" i="11"/>
  <c r="H2269" i="11"/>
  <c r="G2270" i="11"/>
  <c r="H2270" i="11"/>
  <c r="G2271" i="11"/>
  <c r="H2271" i="11"/>
  <c r="G2272" i="11"/>
  <c r="H2272" i="11"/>
  <c r="G2273" i="11"/>
  <c r="H2273" i="11"/>
  <c r="G2274" i="11"/>
  <c r="H2274" i="11"/>
  <c r="G2275" i="11"/>
  <c r="H2275" i="11"/>
  <c r="G2276" i="11"/>
  <c r="H2276" i="11"/>
  <c r="G2277" i="11"/>
  <c r="H2277" i="11"/>
  <c r="G2278" i="11"/>
  <c r="H2278" i="11"/>
  <c r="G2279" i="11"/>
  <c r="H2279" i="11"/>
  <c r="G2280" i="11"/>
  <c r="H2280" i="11"/>
  <c r="G2281" i="11"/>
  <c r="H2281" i="11"/>
  <c r="G2282" i="11"/>
  <c r="H2282" i="11"/>
  <c r="G2283" i="11"/>
  <c r="H2283" i="11"/>
  <c r="G2284" i="11"/>
  <c r="H2284" i="11"/>
  <c r="G2285" i="11"/>
  <c r="H2285" i="11"/>
  <c r="G2286" i="11"/>
  <c r="H2286" i="11"/>
  <c r="G2287" i="11"/>
  <c r="H2287" i="11"/>
  <c r="G2288" i="11"/>
  <c r="H2288" i="11"/>
  <c r="G2289" i="11"/>
  <c r="H2289" i="11"/>
  <c r="G2290" i="11"/>
  <c r="H2290" i="11"/>
  <c r="G2291" i="11"/>
  <c r="H2291" i="11"/>
  <c r="G2292" i="11"/>
  <c r="H2292" i="11"/>
  <c r="G2293" i="11"/>
  <c r="H2293" i="11"/>
  <c r="G2294" i="11"/>
  <c r="H2294" i="11"/>
  <c r="G2295" i="11"/>
  <c r="H2295" i="11"/>
  <c r="G2296" i="11"/>
  <c r="H2296" i="11"/>
  <c r="G2297" i="11"/>
  <c r="H2297" i="11"/>
  <c r="G2298" i="11"/>
  <c r="H2298" i="11"/>
  <c r="G2299" i="11"/>
  <c r="H2299" i="11"/>
  <c r="G2300" i="11"/>
  <c r="H2300" i="11"/>
  <c r="G2301" i="11"/>
  <c r="H2301" i="11"/>
  <c r="G2302" i="11"/>
  <c r="H2302" i="11"/>
  <c r="G2303" i="11"/>
  <c r="H2303" i="11"/>
  <c r="G2304" i="11"/>
  <c r="H2304" i="11"/>
  <c r="G2305" i="11"/>
  <c r="H2305" i="11"/>
  <c r="G2306" i="11"/>
  <c r="H2306" i="11"/>
  <c r="G2307" i="11"/>
  <c r="H2307" i="11"/>
  <c r="G2308" i="11"/>
  <c r="H2308" i="11"/>
  <c r="G2309" i="11"/>
  <c r="H2309" i="11"/>
  <c r="G2310" i="11"/>
  <c r="H2310" i="11"/>
  <c r="G2311" i="11"/>
  <c r="H2311" i="11"/>
  <c r="G2312" i="11"/>
  <c r="H2312" i="11"/>
  <c r="G2313" i="11"/>
  <c r="H2313" i="11"/>
  <c r="G2314" i="11"/>
  <c r="H2314" i="11"/>
  <c r="G2315" i="11"/>
  <c r="H2315" i="11"/>
  <c r="G2316" i="11"/>
  <c r="H2316" i="11"/>
  <c r="G2317" i="11"/>
  <c r="H2317" i="11"/>
  <c r="G2318" i="11"/>
  <c r="H2318" i="11"/>
  <c r="G2319" i="11"/>
  <c r="H2319" i="11"/>
  <c r="G2320" i="11"/>
  <c r="H2320" i="11"/>
  <c r="G2321" i="11"/>
  <c r="H2321" i="11"/>
  <c r="G2322" i="11"/>
  <c r="H2322" i="11"/>
  <c r="G2323" i="11"/>
  <c r="H2323" i="11"/>
  <c r="G2324" i="11"/>
  <c r="H2324" i="11"/>
  <c r="G2325" i="11"/>
  <c r="H2325" i="11"/>
  <c r="G2326" i="11"/>
  <c r="H2326" i="11"/>
  <c r="G2327" i="11"/>
  <c r="H2327" i="11"/>
  <c r="G2328" i="11"/>
  <c r="H2328" i="11"/>
  <c r="G2329" i="11"/>
  <c r="H2329" i="11"/>
  <c r="G2330" i="11"/>
  <c r="H2330" i="11"/>
  <c r="G2331" i="11"/>
  <c r="H2331" i="11"/>
  <c r="G2332" i="11"/>
  <c r="H2332" i="11"/>
  <c r="G2333" i="11"/>
  <c r="H2333" i="11"/>
  <c r="G2334" i="11"/>
  <c r="H2334" i="11"/>
  <c r="G2335" i="11"/>
  <c r="H2335" i="11"/>
  <c r="G2336" i="11"/>
  <c r="H2336" i="11"/>
  <c r="G2337" i="11"/>
  <c r="H2337" i="11"/>
  <c r="G2338" i="11"/>
  <c r="H2338" i="11"/>
  <c r="G2339" i="11"/>
  <c r="H2339" i="11"/>
  <c r="G2340" i="11"/>
  <c r="H2340" i="11"/>
  <c r="G2341" i="11"/>
  <c r="H2341" i="11"/>
  <c r="G2342" i="11"/>
  <c r="H2342" i="11"/>
  <c r="G2343" i="11"/>
  <c r="H2343" i="11"/>
  <c r="M2269" i="11"/>
  <c r="M2270" i="11"/>
  <c r="M2271" i="11"/>
  <c r="M2272" i="11"/>
  <c r="M2273" i="11"/>
  <c r="M2274" i="11"/>
  <c r="M2275" i="11"/>
  <c r="M2276" i="11"/>
  <c r="M2277" i="11"/>
  <c r="M2278" i="11"/>
  <c r="M2285" i="11"/>
  <c r="M2286" i="11"/>
  <c r="M2287" i="11"/>
  <c r="M2288" i="11"/>
  <c r="M2289" i="11"/>
  <c r="M2290" i="11"/>
  <c r="M2291" i="11"/>
  <c r="M2292" i="11"/>
  <c r="M2293" i="11"/>
  <c r="M2294" i="11"/>
  <c r="M2295" i="11"/>
  <c r="M2296" i="11"/>
  <c r="M2297" i="11"/>
  <c r="M2298" i="11"/>
  <c r="M2299" i="11"/>
  <c r="M2300" i="11"/>
  <c r="M2301" i="11"/>
  <c r="M2302" i="11"/>
  <c r="M2303" i="11"/>
  <c r="M2304" i="11"/>
  <c r="M2305" i="11"/>
  <c r="M2306" i="11"/>
  <c r="M2307" i="11"/>
  <c r="M2308" i="11"/>
  <c r="M2309" i="11"/>
  <c r="M2310" i="11"/>
  <c r="M2311" i="11"/>
  <c r="M2312" i="11"/>
  <c r="M2313" i="11"/>
  <c r="M2314" i="11"/>
  <c r="M2315" i="11"/>
  <c r="M2316" i="11"/>
  <c r="M2317" i="11"/>
  <c r="M2318" i="11"/>
  <c r="M2319" i="11"/>
  <c r="M2320" i="11"/>
  <c r="M2321" i="11"/>
  <c r="M2322" i="11"/>
  <c r="M2323" i="11"/>
  <c r="M2324" i="11"/>
  <c r="M2325" i="11"/>
  <c r="M2326" i="11"/>
  <c r="M2327" i="11"/>
  <c r="M2328" i="11"/>
  <c r="M2329" i="11"/>
  <c r="M2330" i="11"/>
  <c r="M2331" i="11"/>
  <c r="M2332" i="11"/>
  <c r="M2333" i="11"/>
  <c r="M2334" i="11"/>
  <c r="M2335" i="11"/>
  <c r="M2336" i="11"/>
  <c r="M2338" i="11"/>
  <c r="M2339" i="11"/>
  <c r="M2340" i="11"/>
  <c r="M2341" i="11"/>
  <c r="M2342" i="11"/>
  <c r="M2343" i="11"/>
  <c r="L2269" i="11"/>
  <c r="L2270" i="11"/>
  <c r="L2271" i="11"/>
  <c r="L2272" i="11"/>
  <c r="L2273" i="11"/>
  <c r="L2274" i="11"/>
  <c r="L2275" i="11"/>
  <c r="L2276" i="11"/>
  <c r="L2277" i="11"/>
  <c r="L2278" i="11"/>
  <c r="L2285" i="11"/>
  <c r="L2286" i="11"/>
  <c r="L2287" i="11"/>
  <c r="L2288" i="11"/>
  <c r="L2289" i="11"/>
  <c r="L2290" i="11"/>
  <c r="L2291" i="11"/>
  <c r="L2292" i="11"/>
  <c r="L2293" i="11"/>
  <c r="L2294" i="11"/>
  <c r="L2295" i="11"/>
  <c r="L2296" i="11"/>
  <c r="L2297" i="11"/>
  <c r="L2298" i="11"/>
  <c r="L2299" i="11"/>
  <c r="L2300" i="11"/>
  <c r="L2301" i="11"/>
  <c r="L2302" i="11"/>
  <c r="L2303" i="11"/>
  <c r="L2304" i="11"/>
  <c r="L2305" i="11"/>
  <c r="L2306" i="11"/>
  <c r="L2307" i="11"/>
  <c r="L2308" i="11"/>
  <c r="L2309" i="11"/>
  <c r="L2310" i="11"/>
  <c r="L2311" i="11"/>
  <c r="L2312" i="11"/>
  <c r="L2313" i="11"/>
  <c r="L2314" i="11"/>
  <c r="L2315" i="11"/>
  <c r="L2316" i="11"/>
  <c r="L2317" i="11"/>
  <c r="L2318" i="11"/>
  <c r="L2319" i="11"/>
  <c r="L2320" i="11"/>
  <c r="L2321" i="11"/>
  <c r="L2322" i="11"/>
  <c r="L2323" i="11"/>
  <c r="L2324" i="11"/>
  <c r="L2325" i="11"/>
  <c r="L2326" i="11"/>
  <c r="L2327" i="11"/>
  <c r="L2328" i="11"/>
  <c r="L2329" i="11"/>
  <c r="L2330" i="11"/>
  <c r="L2331" i="11"/>
  <c r="L2332" i="11"/>
  <c r="L2333" i="11"/>
  <c r="L2334" i="11"/>
  <c r="L2335" i="11"/>
  <c r="L2336" i="11"/>
  <c r="L2338" i="11"/>
  <c r="L2339" i="11"/>
  <c r="L2340" i="11"/>
  <c r="L2341" i="11"/>
  <c r="L2342" i="11"/>
  <c r="L2343" i="11"/>
  <c r="I1530" i="14" l="1"/>
  <c r="I1529" i="14"/>
  <c r="I2473" i="11"/>
  <c r="I2472" i="11"/>
  <c r="M2472" i="11"/>
  <c r="I2469" i="11"/>
  <c r="I1526" i="14"/>
  <c r="L2472" i="11"/>
  <c r="I2466" i="11"/>
  <c r="I2471" i="11"/>
  <c r="I1528" i="14"/>
  <c r="I2470" i="11"/>
  <c r="I2467" i="11"/>
  <c r="I1527" i="14"/>
  <c r="I2468" i="11"/>
  <c r="I289" i="16"/>
  <c r="I2465" i="11"/>
  <c r="I2464" i="11"/>
  <c r="I1522" i="14"/>
  <c r="I1524" i="14"/>
  <c r="I1525" i="14"/>
  <c r="I2461" i="11"/>
  <c r="I2463" i="11"/>
  <c r="I1521" i="14"/>
  <c r="I2460" i="11"/>
  <c r="I1523" i="14"/>
  <c r="I1352" i="11"/>
  <c r="I930" i="14"/>
  <c r="I1520" i="14"/>
  <c r="I2462" i="11"/>
  <c r="I2459" i="11"/>
  <c r="I1519" i="14"/>
  <c r="I2458" i="11"/>
  <c r="I2457" i="11"/>
  <c r="I1298" i="11"/>
  <c r="I1518" i="14"/>
  <c r="I2456" i="11"/>
  <c r="I2454" i="11"/>
  <c r="I1516" i="14"/>
  <c r="I1514" i="14"/>
  <c r="I1517" i="14"/>
  <c r="I2455" i="11"/>
  <c r="I2453" i="11"/>
  <c r="I1515" i="14"/>
  <c r="I2452" i="11"/>
  <c r="I1299" i="11"/>
  <c r="I2450" i="11"/>
  <c r="I2451" i="11"/>
  <c r="I1512" i="14"/>
  <c r="I2449" i="11"/>
  <c r="I1508" i="14"/>
  <c r="I1513" i="14"/>
  <c r="I2448" i="11"/>
  <c r="I1510" i="14"/>
  <c r="I1511" i="14"/>
  <c r="I2447" i="11"/>
  <c r="I2444" i="11"/>
  <c r="I2446" i="11"/>
  <c r="I2445" i="11"/>
  <c r="I1509" i="14"/>
  <c r="I1505" i="14"/>
  <c r="I1507" i="14"/>
  <c r="I2442" i="11"/>
  <c r="I2441" i="11"/>
  <c r="I2438" i="11"/>
  <c r="I1503" i="14"/>
  <c r="I2443" i="11"/>
  <c r="I2440" i="11"/>
  <c r="I1504" i="14"/>
  <c r="I1506" i="14"/>
  <c r="I2439" i="11"/>
  <c r="I2437" i="11"/>
  <c r="I1501" i="14"/>
  <c r="I2435" i="11"/>
  <c r="I1499" i="14"/>
  <c r="I1500" i="14"/>
  <c r="I1502" i="14"/>
  <c r="I2433" i="11"/>
  <c r="I2434" i="11"/>
  <c r="I2436" i="11"/>
  <c r="I642" i="14"/>
  <c r="I641" i="14"/>
  <c r="I1498" i="14"/>
  <c r="I2432" i="11"/>
  <c r="I2431" i="11"/>
  <c r="I2428" i="11"/>
  <c r="I2430" i="11"/>
  <c r="I621" i="14"/>
  <c r="I2429" i="11"/>
  <c r="I1497" i="14"/>
  <c r="I1495" i="14"/>
  <c r="I1496" i="14"/>
  <c r="I2427" i="11"/>
  <c r="I2425" i="11"/>
  <c r="I2426" i="11"/>
  <c r="I1494" i="14"/>
  <c r="I617" i="14"/>
  <c r="I2424" i="11"/>
  <c r="I1493" i="14"/>
  <c r="I2423" i="11"/>
  <c r="I2421" i="11"/>
  <c r="I2422" i="11"/>
  <c r="I1492" i="14"/>
  <c r="I1491" i="14"/>
  <c r="I1490" i="14"/>
  <c r="I2420" i="11"/>
  <c r="I1489" i="14"/>
  <c r="I1488" i="14"/>
  <c r="I2419" i="11"/>
  <c r="I1487" i="14"/>
  <c r="M562" i="16"/>
  <c r="I2412" i="11"/>
  <c r="I2415" i="11"/>
  <c r="I2416" i="11"/>
  <c r="I2418" i="11"/>
  <c r="I2417" i="11"/>
  <c r="I2414" i="11"/>
  <c r="I2411" i="11"/>
  <c r="I1486" i="14"/>
  <c r="I1485" i="14"/>
  <c r="M1445" i="14"/>
  <c r="L1482" i="14"/>
  <c r="M410" i="14"/>
  <c r="I2413" i="11"/>
  <c r="I2408" i="11"/>
  <c r="I2410" i="11"/>
  <c r="I2405" i="11"/>
  <c r="I2406" i="11"/>
  <c r="I2407" i="11"/>
  <c r="I2409" i="11"/>
  <c r="M688" i="11"/>
  <c r="M2403" i="11"/>
  <c r="M681" i="11"/>
  <c r="L426" i="14"/>
  <c r="L425" i="14"/>
  <c r="I1484" i="14"/>
  <c r="I2404" i="11"/>
  <c r="M2404" i="11"/>
  <c r="M1483" i="14"/>
  <c r="M1482" i="14"/>
  <c r="L410" i="14"/>
  <c r="L1483" i="14"/>
  <c r="I1483" i="14"/>
  <c r="L2404" i="11"/>
  <c r="M2401" i="11"/>
  <c r="I677" i="11"/>
  <c r="I1482" i="14"/>
  <c r="I32" i="16"/>
  <c r="I2403" i="11"/>
  <c r="L2403" i="11"/>
  <c r="M2402" i="11"/>
  <c r="L2401" i="11"/>
  <c r="I2401" i="11"/>
  <c r="I2402" i="11"/>
  <c r="I1481" i="14"/>
  <c r="L2402" i="11"/>
  <c r="I2400" i="11"/>
  <c r="I1475" i="14"/>
  <c r="I1455" i="14"/>
  <c r="I1480" i="14"/>
  <c r="I2396" i="11"/>
  <c r="I2399" i="11"/>
  <c r="I28" i="16"/>
  <c r="I2393" i="11"/>
  <c r="I2388" i="11"/>
  <c r="I2395" i="11"/>
  <c r="I1478" i="14"/>
  <c r="I356" i="14"/>
  <c r="I355" i="14"/>
  <c r="I1479" i="14"/>
  <c r="I1476" i="14"/>
  <c r="I1477" i="14"/>
  <c r="I2394" i="11"/>
  <c r="I2383" i="11"/>
  <c r="I2397" i="11"/>
  <c r="I2381" i="11"/>
  <c r="I2385" i="11"/>
  <c r="I2398" i="11"/>
  <c r="I2392" i="11"/>
  <c r="I2390" i="11"/>
  <c r="I2391" i="11"/>
  <c r="I2386" i="11"/>
  <c r="I1473" i="14"/>
  <c r="I2389" i="11"/>
  <c r="I2387" i="11"/>
  <c r="I1474" i="14"/>
  <c r="I2380" i="11"/>
  <c r="I2382" i="11"/>
  <c r="I1421" i="14"/>
  <c r="I1472" i="14"/>
  <c r="I1470" i="14"/>
  <c r="I2384" i="11"/>
  <c r="I2377" i="11"/>
  <c r="I1468" i="14"/>
  <c r="I2365" i="11"/>
  <c r="I2371" i="11"/>
  <c r="I2379" i="11"/>
  <c r="I2374" i="11"/>
  <c r="I2333" i="11"/>
  <c r="I2376" i="11"/>
  <c r="I2373" i="11"/>
  <c r="I2375" i="11"/>
  <c r="I2330" i="11"/>
  <c r="I2324" i="11"/>
  <c r="I2318" i="11"/>
  <c r="I2378" i="11"/>
  <c r="I1471" i="14"/>
  <c r="I1463" i="14"/>
  <c r="I1457" i="14"/>
  <c r="I1451" i="14"/>
  <c r="I2302" i="11"/>
  <c r="I2289" i="11"/>
  <c r="I2367" i="11"/>
  <c r="I2370" i="11"/>
  <c r="I2357" i="11"/>
  <c r="I2363" i="11"/>
  <c r="I2366" i="11"/>
  <c r="I2369" i="11"/>
  <c r="I2372" i="11"/>
  <c r="I2327" i="11"/>
  <c r="I2360" i="11"/>
  <c r="I1465" i="14"/>
  <c r="I2269" i="11"/>
  <c r="I2354" i="11"/>
  <c r="I2364" i="11"/>
  <c r="I2297" i="11"/>
  <c r="I2356" i="11"/>
  <c r="I2316" i="11"/>
  <c r="I2312" i="11"/>
  <c r="I2306" i="11"/>
  <c r="I2300" i="11"/>
  <c r="I2287" i="11"/>
  <c r="I2281" i="11"/>
  <c r="I2275" i="11"/>
  <c r="I2270" i="11"/>
  <c r="I2368" i="11"/>
  <c r="I2317" i="11"/>
  <c r="I1439" i="14"/>
  <c r="I2362" i="11"/>
  <c r="I2361" i="11"/>
  <c r="I2349" i="11"/>
  <c r="I2351" i="11"/>
  <c r="I2355" i="11"/>
  <c r="I2359" i="11"/>
  <c r="I2353" i="11"/>
  <c r="I2350" i="11"/>
  <c r="I2348" i="11"/>
  <c r="I2358" i="11"/>
  <c r="I1469" i="14"/>
  <c r="I2283" i="11"/>
  <c r="I2352" i="11"/>
  <c r="I2332" i="11"/>
  <c r="I2326" i="11"/>
  <c r="I2320" i="11"/>
  <c r="I1434" i="14"/>
  <c r="I2346" i="11"/>
  <c r="I2272" i="11"/>
  <c r="I2344" i="11"/>
  <c r="I1466" i="14"/>
  <c r="I1449" i="14"/>
  <c r="I1437" i="14"/>
  <c r="I1422" i="14"/>
  <c r="I1467" i="14"/>
  <c r="I184" i="14"/>
  <c r="I1450" i="14"/>
  <c r="I2291" i="11"/>
  <c r="I2347" i="11"/>
  <c r="I1438" i="14"/>
  <c r="I1459" i="14"/>
  <c r="I1441" i="14"/>
  <c r="I1435" i="14"/>
  <c r="I183" i="14"/>
  <c r="I1442" i="14"/>
  <c r="I1464" i="14"/>
  <c r="I1445" i="14"/>
  <c r="I1462" i="14"/>
  <c r="I1461" i="14"/>
  <c r="I1446" i="14"/>
  <c r="I1440" i="14"/>
  <c r="I1444" i="14"/>
  <c r="I1443" i="14"/>
  <c r="I1448" i="14"/>
  <c r="I1453" i="14"/>
  <c r="I1447" i="14"/>
  <c r="I2341" i="11"/>
  <c r="I2308" i="11"/>
  <c r="I2328" i="11"/>
  <c r="I2322" i="11"/>
  <c r="I2271" i="11"/>
  <c r="I2338" i="11"/>
  <c r="I2311" i="11"/>
  <c r="I2325" i="11"/>
  <c r="I2298" i="11"/>
  <c r="I2292" i="11"/>
  <c r="I1454" i="14"/>
  <c r="I1458" i="14"/>
  <c r="I1452" i="14"/>
  <c r="I1456" i="14"/>
  <c r="I1460" i="14"/>
  <c r="I1436" i="14"/>
  <c r="I2345" i="11"/>
  <c r="I2342" i="11"/>
  <c r="I2336" i="11"/>
  <c r="I2303" i="11"/>
  <c r="I2279" i="11"/>
  <c r="I2284" i="11"/>
  <c r="I2340" i="11"/>
  <c r="I2334" i="11"/>
  <c r="I2313" i="11"/>
  <c r="I2307" i="11"/>
  <c r="I2277" i="11"/>
  <c r="I2295" i="11"/>
  <c r="I2276" i="11"/>
  <c r="I2321" i="11"/>
  <c r="I2294" i="11"/>
  <c r="I2343" i="11"/>
  <c r="I2337" i="11"/>
  <c r="I2314" i="11"/>
  <c r="I2310" i="11"/>
  <c r="I2304" i="11"/>
  <c r="I2286" i="11"/>
  <c r="I2280" i="11"/>
  <c r="I2296" i="11"/>
  <c r="I2285" i="11"/>
  <c r="I2331" i="11"/>
  <c r="I2315" i="11"/>
  <c r="I2301" i="11"/>
  <c r="I2290" i="11"/>
  <c r="I2274" i="11"/>
  <c r="I2335" i="11"/>
  <c r="I2319" i="11"/>
  <c r="I2305" i="11"/>
  <c r="I2278" i="11"/>
  <c r="I2329" i="11"/>
  <c r="I2299" i="11"/>
  <c r="I2288" i="11"/>
  <c r="I2273" i="11"/>
  <c r="I2339" i="11"/>
  <c r="I2323" i="11"/>
  <c r="I2309" i="11"/>
  <c r="I2293" i="11"/>
  <c r="I2282" i="11"/>
  <c r="I936" i="16"/>
  <c r="I938" i="16"/>
  <c r="I488" i="16"/>
  <c r="I370" i="16"/>
  <c r="I937" i="16"/>
  <c r="I807" i="16"/>
  <c r="I69" i="16"/>
  <c r="R2268" i="11" l="1"/>
  <c r="G2268" i="11"/>
  <c r="H2268" i="11"/>
  <c r="L2268" i="11"/>
  <c r="M2268" i="11"/>
  <c r="R1433" i="14"/>
  <c r="L1433" i="14"/>
  <c r="M1433" i="14"/>
  <c r="G1433" i="14"/>
  <c r="H1433" i="14"/>
  <c r="M550" i="16"/>
  <c r="M39" i="16"/>
  <c r="M369" i="16"/>
  <c r="M367" i="16"/>
  <c r="M109" i="16"/>
  <c r="M933" i="16"/>
  <c r="M934" i="16"/>
  <c r="M923" i="16"/>
  <c r="M924" i="16"/>
  <c r="M925" i="16"/>
  <c r="M926" i="16"/>
  <c r="M927" i="16"/>
  <c r="M928" i="16"/>
  <c r="M929" i="16"/>
  <c r="M952" i="16"/>
  <c r="M957" i="16"/>
  <c r="M958" i="16"/>
  <c r="M959" i="16"/>
  <c r="M960" i="16"/>
  <c r="M961" i="16"/>
  <c r="M962" i="16"/>
  <c r="M963" i="16"/>
  <c r="M964" i="16"/>
  <c r="M965" i="16"/>
  <c r="M966" i="16"/>
  <c r="M968" i="16"/>
  <c r="M969" i="16"/>
  <c r="M970" i="16"/>
  <c r="M971" i="16"/>
  <c r="M973" i="16"/>
  <c r="M974" i="16"/>
  <c r="M975" i="16"/>
  <c r="M977" i="16"/>
  <c r="M978" i="16"/>
  <c r="M981" i="16"/>
  <c r="M982" i="16"/>
  <c r="M983" i="16"/>
  <c r="M984" i="16"/>
  <c r="M985" i="16"/>
  <c r="M986" i="16"/>
  <c r="M987" i="16"/>
  <c r="M988" i="16"/>
  <c r="M989" i="16"/>
  <c r="M939" i="16"/>
  <c r="M940" i="16"/>
  <c r="M941" i="16"/>
  <c r="M942" i="16"/>
  <c r="M944" i="16"/>
  <c r="M945" i="16"/>
  <c r="M946" i="16"/>
  <c r="M947" i="16"/>
  <c r="M948" i="16"/>
  <c r="M949" i="16"/>
  <c r="M950" i="16"/>
  <c r="M953" i="16"/>
  <c r="M1008" i="16"/>
  <c r="M1009" i="16"/>
  <c r="M1010" i="16"/>
  <c r="M1011" i="16"/>
  <c r="M1012" i="16"/>
  <c r="M1013" i="16"/>
  <c r="M1014" i="16"/>
  <c r="M1005" i="16"/>
  <c r="M1007" i="16"/>
  <c r="M954" i="16"/>
  <c r="M955" i="16"/>
  <c r="M956" i="16"/>
  <c r="M991" i="16"/>
  <c r="M992" i="16"/>
  <c r="M993" i="16"/>
  <c r="M994" i="16"/>
  <c r="M996" i="16"/>
  <c r="M997" i="16"/>
  <c r="M998" i="16"/>
  <c r="M999" i="16"/>
  <c r="M1000" i="16"/>
  <c r="M1001" i="16"/>
  <c r="M1002" i="16"/>
  <c r="M1003" i="16"/>
  <c r="M1004" i="16"/>
  <c r="M995" i="16"/>
  <c r="M1006" i="16"/>
  <c r="M1015" i="16"/>
  <c r="M1016" i="16"/>
  <c r="M930" i="16"/>
  <c r="M931" i="16"/>
  <c r="M932" i="16"/>
  <c r="L550" i="16"/>
  <c r="L39" i="16"/>
  <c r="L369" i="16"/>
  <c r="L367" i="16"/>
  <c r="L109" i="16"/>
  <c r="L933" i="16"/>
  <c r="L934" i="16"/>
  <c r="L923" i="16"/>
  <c r="L924" i="16"/>
  <c r="L925" i="16"/>
  <c r="L926" i="16"/>
  <c r="L927" i="16"/>
  <c r="L928" i="16"/>
  <c r="L929" i="16"/>
  <c r="L952" i="16"/>
  <c r="L957" i="16"/>
  <c r="L958" i="16"/>
  <c r="L959" i="16"/>
  <c r="L960" i="16"/>
  <c r="L961" i="16"/>
  <c r="L962" i="16"/>
  <c r="L963" i="16"/>
  <c r="L964" i="16"/>
  <c r="L965" i="16"/>
  <c r="L966" i="16"/>
  <c r="L968" i="16"/>
  <c r="L969" i="16"/>
  <c r="L970" i="16"/>
  <c r="L971" i="16"/>
  <c r="L973" i="16"/>
  <c r="L974" i="16"/>
  <c r="L975" i="16"/>
  <c r="L977" i="16"/>
  <c r="L978" i="16"/>
  <c r="L981" i="16"/>
  <c r="L982" i="16"/>
  <c r="L983" i="16"/>
  <c r="L984" i="16"/>
  <c r="L985" i="16"/>
  <c r="L986" i="16"/>
  <c r="L987" i="16"/>
  <c r="L988" i="16"/>
  <c r="L989" i="16"/>
  <c r="L939" i="16"/>
  <c r="L940" i="16"/>
  <c r="L941" i="16"/>
  <c r="L942" i="16"/>
  <c r="L944" i="16"/>
  <c r="L945" i="16"/>
  <c r="L946" i="16"/>
  <c r="L947" i="16"/>
  <c r="L948" i="16"/>
  <c r="L949" i="16"/>
  <c r="L950" i="16"/>
  <c r="L953" i="16"/>
  <c r="L1008" i="16"/>
  <c r="L1009" i="16"/>
  <c r="L1010" i="16"/>
  <c r="L1011" i="16"/>
  <c r="L1012" i="16"/>
  <c r="L1013" i="16"/>
  <c r="L1014" i="16"/>
  <c r="L1005" i="16"/>
  <c r="L1007" i="16"/>
  <c r="L954" i="16"/>
  <c r="L955" i="16"/>
  <c r="L956" i="16"/>
  <c r="L991" i="16"/>
  <c r="L992" i="16"/>
  <c r="L993" i="16"/>
  <c r="L994" i="16"/>
  <c r="L996" i="16"/>
  <c r="L997" i="16"/>
  <c r="L998" i="16"/>
  <c r="L999" i="16"/>
  <c r="L1000" i="16"/>
  <c r="L1001" i="16"/>
  <c r="L1002" i="16"/>
  <c r="L1003" i="16"/>
  <c r="L1004" i="16"/>
  <c r="L995" i="16"/>
  <c r="L1006" i="16"/>
  <c r="L1015" i="16"/>
  <c r="L1016" i="16"/>
  <c r="L930" i="16"/>
  <c r="L931" i="16"/>
  <c r="L932" i="16"/>
  <c r="G550" i="16"/>
  <c r="H550" i="16"/>
  <c r="G38" i="16"/>
  <c r="H38" i="16"/>
  <c r="G39" i="16"/>
  <c r="H39" i="16"/>
  <c r="G369" i="16"/>
  <c r="H369" i="16"/>
  <c r="G367" i="16"/>
  <c r="H367" i="16"/>
  <c r="G109" i="16"/>
  <c r="H109" i="16"/>
  <c r="G933" i="16"/>
  <c r="H933" i="16"/>
  <c r="G934" i="16"/>
  <c r="H934" i="16"/>
  <c r="G923" i="16"/>
  <c r="H923" i="16"/>
  <c r="G924" i="16"/>
  <c r="H924" i="16"/>
  <c r="G925" i="16"/>
  <c r="H925" i="16"/>
  <c r="G926" i="16"/>
  <c r="H926" i="16"/>
  <c r="G927" i="16"/>
  <c r="H927" i="16"/>
  <c r="G928" i="16"/>
  <c r="H928" i="16"/>
  <c r="G929" i="16"/>
  <c r="H929" i="16"/>
  <c r="G930" i="16"/>
  <c r="H930" i="16"/>
  <c r="G931" i="16"/>
  <c r="H931" i="16"/>
  <c r="G932" i="16"/>
  <c r="H932" i="16"/>
  <c r="G935" i="16"/>
  <c r="H935" i="16"/>
  <c r="I1433" i="14" l="1"/>
  <c r="I928" i="16"/>
  <c r="I934" i="16"/>
  <c r="I2268" i="11"/>
  <c r="I931" i="16"/>
  <c r="I930" i="16"/>
  <c r="I926" i="16"/>
  <c r="I367" i="16"/>
  <c r="I929" i="16"/>
  <c r="I38" i="16"/>
  <c r="I935" i="16"/>
  <c r="I924" i="16"/>
  <c r="I39" i="16"/>
  <c r="I369" i="16"/>
  <c r="I109" i="16"/>
  <c r="I933" i="16"/>
  <c r="I550" i="16"/>
  <c r="I927" i="16"/>
  <c r="I925" i="16"/>
  <c r="I932" i="16"/>
  <c r="I923" i="16"/>
  <c r="L598" i="16"/>
  <c r="L597" i="16"/>
  <c r="M688" i="16"/>
  <c r="L688" i="16"/>
  <c r="M1061" i="11"/>
  <c r="M1062" i="11"/>
  <c r="M1063" i="11"/>
  <c r="L1061" i="11"/>
  <c r="L1062" i="11"/>
  <c r="M671" i="14"/>
  <c r="M670" i="14"/>
  <c r="L671" i="14"/>
  <c r="L670" i="14"/>
  <c r="M1007" i="14"/>
  <c r="M1006" i="14"/>
  <c r="L1007" i="14"/>
  <c r="L1006" i="14"/>
  <c r="M1439" i="11"/>
  <c r="M1440" i="11"/>
  <c r="M1441" i="11"/>
  <c r="L1439" i="11"/>
  <c r="L1440" i="11"/>
  <c r="L1441" i="11"/>
  <c r="M1989" i="11"/>
  <c r="M1988" i="11"/>
  <c r="M1987" i="11"/>
  <c r="M1986" i="11"/>
  <c r="M1985" i="11"/>
  <c r="L2267" i="11"/>
  <c r="L1985" i="11"/>
  <c r="L1986" i="11"/>
  <c r="L1987" i="11"/>
  <c r="M1432" i="14"/>
  <c r="M1402" i="14"/>
  <c r="L1402" i="14"/>
  <c r="R1432" i="14"/>
  <c r="L1432" i="14"/>
  <c r="H1432" i="14"/>
  <c r="G1432" i="14"/>
  <c r="R2267" i="11"/>
  <c r="H2267" i="11"/>
  <c r="G2267" i="11"/>
  <c r="M2267" i="11"/>
  <c r="M1980" i="11"/>
  <c r="M1981" i="11"/>
  <c r="L1980" i="11"/>
  <c r="L1981" i="11"/>
  <c r="R2266" i="11"/>
  <c r="H2266" i="11"/>
  <c r="G2266" i="11"/>
  <c r="M2266" i="11"/>
  <c r="L2266" i="11"/>
  <c r="M1431" i="14"/>
  <c r="M1397" i="14"/>
  <c r="L1431" i="14"/>
  <c r="L1397" i="14"/>
  <c r="R1431" i="14"/>
  <c r="H1431" i="14"/>
  <c r="G1431" i="14"/>
  <c r="R2265" i="11"/>
  <c r="H2265" i="11"/>
  <c r="G2265" i="11"/>
  <c r="M2265" i="11"/>
  <c r="L2265" i="11"/>
  <c r="R1430" i="14"/>
  <c r="L1430" i="14"/>
  <c r="H1430" i="14"/>
  <c r="G1430" i="14"/>
  <c r="L2264" i="11"/>
  <c r="L1974" i="11"/>
  <c r="M1429" i="14"/>
  <c r="M1387" i="14"/>
  <c r="L1429" i="14"/>
  <c r="L1387" i="14"/>
  <c r="R1429" i="14"/>
  <c r="H1429" i="14"/>
  <c r="G1429" i="14"/>
  <c r="I1431" i="14" l="1"/>
  <c r="I1430" i="14"/>
  <c r="I1432" i="14"/>
  <c r="I2267" i="11"/>
  <c r="I2265" i="11"/>
  <c r="I2266" i="11"/>
  <c r="I1429" i="14"/>
  <c r="R2264" i="11"/>
  <c r="H2264" i="11"/>
  <c r="G2264" i="11"/>
  <c r="M2264" i="11"/>
  <c r="I2264" i="11" l="1"/>
  <c r="L1428" i="14"/>
  <c r="L311" i="14"/>
  <c r="L310" i="14"/>
  <c r="M310" i="14"/>
  <c r="R1428" i="14"/>
  <c r="M1428" i="14"/>
  <c r="H1428" i="14"/>
  <c r="G1428" i="14"/>
  <c r="M533" i="16"/>
  <c r="L533" i="16"/>
  <c r="H120" i="16"/>
  <c r="G120" i="16"/>
  <c r="M306" i="14"/>
  <c r="M305" i="14"/>
  <c r="M304" i="14"/>
  <c r="M303" i="14"/>
  <c r="M302" i="14"/>
  <c r="M301" i="14"/>
  <c r="L301" i="14"/>
  <c r="L306" i="14"/>
  <c r="L305" i="14"/>
  <c r="L304" i="14"/>
  <c r="L303" i="14"/>
  <c r="L302" i="14"/>
  <c r="L506" i="11"/>
  <c r="R302" i="14"/>
  <c r="H302" i="14"/>
  <c r="G302" i="14"/>
  <c r="R301" i="14"/>
  <c r="H301" i="14"/>
  <c r="G301" i="14"/>
  <c r="M532" i="16"/>
  <c r="L532" i="16"/>
  <c r="M119" i="16"/>
  <c r="L119" i="16"/>
  <c r="M25" i="16"/>
  <c r="L25" i="16"/>
  <c r="H25" i="16"/>
  <c r="G25" i="16"/>
  <c r="R298" i="14"/>
  <c r="M298" i="14"/>
  <c r="L298" i="14"/>
  <c r="H298" i="14"/>
  <c r="G298" i="14"/>
  <c r="M481" i="11"/>
  <c r="L481" i="11"/>
  <c r="M480" i="11"/>
  <c r="L480" i="11"/>
  <c r="R480" i="11"/>
  <c r="H480" i="11"/>
  <c r="G480" i="11"/>
  <c r="M531" i="16"/>
  <c r="L531" i="16"/>
  <c r="M118" i="16"/>
  <c r="L118" i="16"/>
  <c r="H118" i="16"/>
  <c r="G118" i="16"/>
  <c r="M297" i="14"/>
  <c r="L297" i="14"/>
  <c r="G295" i="14"/>
  <c r="R296" i="14"/>
  <c r="M296" i="14"/>
  <c r="L296" i="14"/>
  <c r="H296" i="14"/>
  <c r="G296" i="14"/>
  <c r="M478" i="11"/>
  <c r="L478" i="11"/>
  <c r="R477" i="11"/>
  <c r="H477" i="11"/>
  <c r="G477" i="11"/>
  <c r="M477" i="11"/>
  <c r="L477" i="11"/>
  <c r="M530" i="16"/>
  <c r="L530" i="16"/>
  <c r="L467" i="11"/>
  <c r="L466" i="11"/>
  <c r="L465" i="11"/>
  <c r="R290" i="14"/>
  <c r="M290" i="14"/>
  <c r="L290" i="14"/>
  <c r="H290" i="14"/>
  <c r="G290" i="14"/>
  <c r="R291" i="14"/>
  <c r="M291" i="14"/>
  <c r="L291" i="14"/>
  <c r="H291" i="14"/>
  <c r="G291" i="14"/>
  <c r="M529" i="16"/>
  <c r="L529" i="16"/>
  <c r="M116" i="16"/>
  <c r="L116" i="16"/>
  <c r="H116" i="16"/>
  <c r="G116" i="16"/>
  <c r="R284" i="14"/>
  <c r="H284" i="14"/>
  <c r="G284" i="14"/>
  <c r="R285" i="14"/>
  <c r="H285" i="14"/>
  <c r="G285" i="14"/>
  <c r="L437" i="11"/>
  <c r="M437" i="11"/>
  <c r="L438" i="11"/>
  <c r="M438" i="11"/>
  <c r="L439" i="11"/>
  <c r="M439" i="11"/>
  <c r="M429" i="11"/>
  <c r="L429" i="11"/>
  <c r="H114" i="16"/>
  <c r="G114" i="16"/>
  <c r="L263" i="14"/>
  <c r="L235" i="14"/>
  <c r="R2263" i="11"/>
  <c r="R2262" i="11"/>
  <c r="R2261" i="11"/>
  <c r="H2263" i="11"/>
  <c r="G2263" i="11"/>
  <c r="H2262" i="11"/>
  <c r="G2262" i="11"/>
  <c r="H2261" i="11"/>
  <c r="G2261" i="11"/>
  <c r="H315" i="11"/>
  <c r="G315" i="11"/>
  <c r="R1427" i="14"/>
  <c r="M1427" i="14"/>
  <c r="L1427" i="14"/>
  <c r="H1427" i="14"/>
  <c r="G1427" i="14"/>
  <c r="R1426" i="14"/>
  <c r="M1426" i="14"/>
  <c r="L1426" i="14"/>
  <c r="H1426" i="14"/>
  <c r="I1426" i="14" s="1"/>
  <c r="G1426" i="14"/>
  <c r="M2261" i="11"/>
  <c r="L2261" i="11"/>
  <c r="L234" i="14"/>
  <c r="L233" i="14"/>
  <c r="R1425" i="14"/>
  <c r="M1425" i="14"/>
  <c r="L1425" i="14"/>
  <c r="H1425" i="14"/>
  <c r="G1425" i="14"/>
  <c r="R1424" i="14"/>
  <c r="M1424" i="14"/>
  <c r="L1424" i="14"/>
  <c r="H1424" i="14"/>
  <c r="G1424" i="14"/>
  <c r="R231" i="14"/>
  <c r="M231" i="14"/>
  <c r="L231" i="14"/>
  <c r="H231" i="14"/>
  <c r="G231" i="14"/>
  <c r="R230" i="14"/>
  <c r="M230" i="14"/>
  <c r="L230" i="14"/>
  <c r="H230" i="14"/>
  <c r="I230" i="14" s="1"/>
  <c r="G230" i="14"/>
  <c r="R2260" i="11"/>
  <c r="R2259" i="11"/>
  <c r="R2258" i="11"/>
  <c r="H2258" i="11"/>
  <c r="G2258" i="11"/>
  <c r="M2258" i="11"/>
  <c r="L2258" i="11"/>
  <c r="M1423" i="14"/>
  <c r="R1423" i="14"/>
  <c r="H1423" i="14"/>
  <c r="G1423" i="14"/>
  <c r="M226" i="14"/>
  <c r="L226" i="14"/>
  <c r="R308" i="11"/>
  <c r="H308" i="11"/>
  <c r="G308" i="11"/>
  <c r="M308" i="11"/>
  <c r="L308" i="11"/>
  <c r="G515" i="16"/>
  <c r="R2257" i="11"/>
  <c r="H2257" i="11"/>
  <c r="G2257" i="11"/>
  <c r="M2257" i="11"/>
  <c r="L2257" i="11"/>
  <c r="M222" i="14"/>
  <c r="L222" i="14"/>
  <c r="M221" i="14"/>
  <c r="L221" i="14"/>
  <c r="L219" i="14"/>
  <c r="R218" i="14"/>
  <c r="M218" i="14"/>
  <c r="L218" i="14"/>
  <c r="R216" i="14"/>
  <c r="L208" i="14"/>
  <c r="L203" i="14"/>
  <c r="M172" i="14"/>
  <c r="L172" i="14"/>
  <c r="M171" i="14"/>
  <c r="L171" i="14"/>
  <c r="M170" i="14"/>
  <c r="L170" i="14"/>
  <c r="R161" i="14"/>
  <c r="L155" i="14"/>
  <c r="M497" i="16"/>
  <c r="L497" i="16"/>
  <c r="M48" i="14"/>
  <c r="M47" i="14"/>
  <c r="L48" i="14"/>
  <c r="L47" i="14"/>
  <c r="R48" i="14"/>
  <c r="H48" i="14"/>
  <c r="G48" i="14"/>
  <c r="R39" i="14"/>
  <c r="M39" i="14"/>
  <c r="L39" i="14"/>
  <c r="H39" i="14"/>
  <c r="G39" i="14"/>
  <c r="R36" i="14"/>
  <c r="M36" i="14"/>
  <c r="L36" i="14"/>
  <c r="H36" i="14"/>
  <c r="G36" i="14"/>
  <c r="M23" i="14"/>
  <c r="L23" i="14"/>
  <c r="M22" i="14"/>
  <c r="L22" i="14"/>
  <c r="R23" i="14"/>
  <c r="H23" i="14"/>
  <c r="G23" i="14"/>
  <c r="R19" i="14"/>
  <c r="M19" i="14"/>
  <c r="L19" i="14"/>
  <c r="H19" i="14"/>
  <c r="G19" i="14"/>
  <c r="R15" i="14"/>
  <c r="M15" i="14"/>
  <c r="L15" i="14"/>
  <c r="H15" i="14"/>
  <c r="G15" i="14"/>
  <c r="M490" i="16"/>
  <c r="L490" i="16"/>
  <c r="H490" i="16"/>
  <c r="G490" i="16"/>
  <c r="K687" i="16"/>
  <c r="K559" i="16"/>
  <c r="J559" i="16"/>
  <c r="M528" i="16"/>
  <c r="L616" i="16"/>
  <c r="M617" i="16"/>
  <c r="L633" i="16"/>
  <c r="L697" i="16"/>
  <c r="M698" i="16"/>
  <c r="L511" i="16"/>
  <c r="M513" i="16"/>
  <c r="L575" i="16"/>
  <c r="M608" i="16"/>
  <c r="L643" i="16"/>
  <c r="L742" i="16"/>
  <c r="M797" i="16"/>
  <c r="M798" i="16"/>
  <c r="M591" i="16"/>
  <c r="L593" i="16"/>
  <c r="L618" i="16"/>
  <c r="M633" i="16"/>
  <c r="L646" i="16"/>
  <c r="L659" i="16"/>
  <c r="M664" i="16"/>
  <c r="L737" i="16"/>
  <c r="M752" i="16"/>
  <c r="M756" i="16"/>
  <c r="M783" i="16"/>
  <c r="L513" i="16"/>
  <c r="M489" i="16"/>
  <c r="M569" i="16"/>
  <c r="L570" i="16"/>
  <c r="M670" i="16"/>
  <c r="L718" i="16"/>
  <c r="L796" i="16"/>
  <c r="L528" i="16"/>
  <c r="M535" i="16"/>
  <c r="L547" i="16"/>
  <c r="M547" i="16"/>
  <c r="L548" i="16"/>
  <c r="M548" i="16"/>
  <c r="M551" i="16"/>
  <c r="M561" i="16"/>
  <c r="L573" i="16"/>
  <c r="M573" i="16"/>
  <c r="L591" i="16"/>
  <c r="L592" i="16"/>
  <c r="M592" i="16"/>
  <c r="L596" i="16"/>
  <c r="M596" i="16"/>
  <c r="L606" i="16"/>
  <c r="M606" i="16"/>
  <c r="M618" i="16"/>
  <c r="L619" i="16"/>
  <c r="M619" i="16"/>
  <c r="L638" i="16"/>
  <c r="M638" i="16"/>
  <c r="M646" i="16"/>
  <c r="L648" i="16"/>
  <c r="M648" i="16"/>
  <c r="L651" i="16"/>
  <c r="M651" i="16"/>
  <c r="L673" i="16"/>
  <c r="M673" i="16"/>
  <c r="L674" i="16"/>
  <c r="M674" i="16"/>
  <c r="L676" i="16"/>
  <c r="M676" i="16"/>
  <c r="L691" i="16"/>
  <c r="L700" i="16"/>
  <c r="M700" i="16"/>
  <c r="L708" i="16"/>
  <c r="M708" i="16"/>
  <c r="L712" i="16"/>
  <c r="M712" i="16"/>
  <c r="L713" i="16"/>
  <c r="M713" i="16"/>
  <c r="L714" i="16"/>
  <c r="M714" i="16"/>
  <c r="L724" i="16"/>
  <c r="M724" i="16"/>
  <c r="L727" i="16"/>
  <c r="L743" i="16"/>
  <c r="M743" i="16"/>
  <c r="M745" i="16"/>
  <c r="L750" i="16"/>
  <c r="M750" i="16"/>
  <c r="L751" i="16"/>
  <c r="M751" i="16"/>
  <c r="L752" i="16"/>
  <c r="L753" i="16"/>
  <c r="L757" i="16"/>
  <c r="M757" i="16"/>
  <c r="M766" i="16"/>
  <c r="L770" i="16"/>
  <c r="M770" i="16"/>
  <c r="M787" i="16"/>
  <c r="L505" i="16"/>
  <c r="M505" i="16"/>
  <c r="M511" i="16"/>
  <c r="L512" i="16"/>
  <c r="M512" i="16"/>
  <c r="L518" i="16"/>
  <c r="M518" i="16"/>
  <c r="L526" i="16"/>
  <c r="M526" i="16"/>
  <c r="L569" i="16"/>
  <c r="M643" i="16"/>
  <c r="L650" i="16"/>
  <c r="M650" i="16"/>
  <c r="L652" i="16"/>
  <c r="M652" i="16"/>
  <c r="L653" i="16"/>
  <c r="M653" i="16"/>
  <c r="M742" i="16"/>
  <c r="L781" i="16"/>
  <c r="M781" i="16"/>
  <c r="M796" i="16"/>
  <c r="L797" i="16"/>
  <c r="G498" i="16"/>
  <c r="H498" i="16"/>
  <c r="G499" i="16"/>
  <c r="H499" i="16"/>
  <c r="G500" i="16"/>
  <c r="H500" i="16"/>
  <c r="G501" i="16"/>
  <c r="H501" i="16"/>
  <c r="G503" i="16"/>
  <c r="H503" i="16"/>
  <c r="G506" i="16"/>
  <c r="H506" i="16"/>
  <c r="G514" i="16"/>
  <c r="H514" i="16"/>
  <c r="G523" i="16"/>
  <c r="H523" i="16"/>
  <c r="G525" i="16"/>
  <c r="H525" i="16"/>
  <c r="G527" i="16"/>
  <c r="H527" i="16"/>
  <c r="G528" i="16"/>
  <c r="H528" i="16"/>
  <c r="G529" i="16"/>
  <c r="H529" i="16"/>
  <c r="G530" i="16"/>
  <c r="H530" i="16"/>
  <c r="G533" i="16"/>
  <c r="H533" i="16"/>
  <c r="G535" i="16"/>
  <c r="H535" i="16"/>
  <c r="G537" i="16"/>
  <c r="H537" i="16"/>
  <c r="G538" i="16"/>
  <c r="H538" i="16"/>
  <c r="G544" i="16"/>
  <c r="H544" i="16"/>
  <c r="G545" i="16"/>
  <c r="H545" i="16"/>
  <c r="G546" i="16"/>
  <c r="H546" i="16"/>
  <c r="G547" i="16"/>
  <c r="H547" i="16"/>
  <c r="G548" i="16"/>
  <c r="H548" i="16"/>
  <c r="G551" i="16"/>
  <c r="H551" i="16"/>
  <c r="G555" i="16"/>
  <c r="H555" i="16"/>
  <c r="G560" i="16"/>
  <c r="H560" i="16"/>
  <c r="G561" i="16"/>
  <c r="H561" i="16"/>
  <c r="G562" i="16"/>
  <c r="H562" i="16"/>
  <c r="G563" i="16"/>
  <c r="H563" i="16"/>
  <c r="G565" i="16"/>
  <c r="H565" i="16"/>
  <c r="G566" i="16"/>
  <c r="H566" i="16"/>
  <c r="G567" i="16"/>
  <c r="H567" i="16"/>
  <c r="G568" i="16"/>
  <c r="H568" i="16"/>
  <c r="G573" i="16"/>
  <c r="H573" i="16"/>
  <c r="G577" i="16"/>
  <c r="H577" i="16"/>
  <c r="G578" i="16"/>
  <c r="H578" i="16"/>
  <c r="G579" i="16"/>
  <c r="H579" i="16"/>
  <c r="G580" i="16"/>
  <c r="H580" i="16"/>
  <c r="G581" i="16"/>
  <c r="H581" i="16"/>
  <c r="G584" i="16"/>
  <c r="H584" i="16"/>
  <c r="G585" i="16"/>
  <c r="H585" i="16"/>
  <c r="G586" i="16"/>
  <c r="H586" i="16"/>
  <c r="G587" i="16"/>
  <c r="H587" i="16"/>
  <c r="G590" i="16"/>
  <c r="H590" i="16"/>
  <c r="G591" i="16"/>
  <c r="H591" i="16"/>
  <c r="G592" i="16"/>
  <c r="H592" i="16"/>
  <c r="G593" i="16"/>
  <c r="H593" i="16"/>
  <c r="G595" i="16"/>
  <c r="H595" i="16"/>
  <c r="G596" i="16"/>
  <c r="H596" i="16"/>
  <c r="G597" i="16"/>
  <c r="H597" i="16"/>
  <c r="G598" i="16"/>
  <c r="H598" i="16"/>
  <c r="G599" i="16"/>
  <c r="H599" i="16"/>
  <c r="G600" i="16"/>
  <c r="H600" i="16"/>
  <c r="G601" i="16"/>
  <c r="H601" i="16"/>
  <c r="G602" i="16"/>
  <c r="H602" i="16"/>
  <c r="G603" i="16"/>
  <c r="H603" i="16"/>
  <c r="G604" i="16"/>
  <c r="H604" i="16"/>
  <c r="G605" i="16"/>
  <c r="H605" i="16"/>
  <c r="G606" i="16"/>
  <c r="H606" i="16"/>
  <c r="G607" i="16"/>
  <c r="H607" i="16"/>
  <c r="G609" i="16"/>
  <c r="H609" i="16"/>
  <c r="G611" i="16"/>
  <c r="H611" i="16"/>
  <c r="G613" i="16"/>
  <c r="H613" i="16"/>
  <c r="G614" i="16"/>
  <c r="H614" i="16"/>
  <c r="G615" i="16"/>
  <c r="H615" i="16"/>
  <c r="G616" i="16"/>
  <c r="H616" i="16"/>
  <c r="G617" i="16"/>
  <c r="H617" i="16"/>
  <c r="G618" i="16"/>
  <c r="H618" i="16"/>
  <c r="G619" i="16"/>
  <c r="H619" i="16"/>
  <c r="G620" i="16"/>
  <c r="H620" i="16"/>
  <c r="G621" i="16"/>
  <c r="H621" i="16"/>
  <c r="G622" i="16"/>
  <c r="H622" i="16"/>
  <c r="G623" i="16"/>
  <c r="H623" i="16"/>
  <c r="G624" i="16"/>
  <c r="H624" i="16"/>
  <c r="G625" i="16"/>
  <c r="H625" i="16"/>
  <c r="G626" i="16"/>
  <c r="H626" i="16"/>
  <c r="G627" i="16"/>
  <c r="H627" i="16"/>
  <c r="G628" i="16"/>
  <c r="H628" i="16"/>
  <c r="G629" i="16"/>
  <c r="H629" i="16"/>
  <c r="G630" i="16"/>
  <c r="H630" i="16"/>
  <c r="G632" i="16"/>
  <c r="H632" i="16"/>
  <c r="G633" i="16"/>
  <c r="H633" i="16"/>
  <c r="G634" i="16"/>
  <c r="H634" i="16"/>
  <c r="G635" i="16"/>
  <c r="H635" i="16"/>
  <c r="G636" i="16"/>
  <c r="H636" i="16"/>
  <c r="G637" i="16"/>
  <c r="H637" i="16"/>
  <c r="G638" i="16"/>
  <c r="H638" i="16"/>
  <c r="G639" i="16"/>
  <c r="H639" i="16"/>
  <c r="G640" i="16"/>
  <c r="H640" i="16"/>
  <c r="G641" i="16"/>
  <c r="H641" i="16"/>
  <c r="G644" i="16"/>
  <c r="H644" i="16"/>
  <c r="G645" i="16"/>
  <c r="H645" i="16"/>
  <c r="G646" i="16"/>
  <c r="H646" i="16"/>
  <c r="G648" i="16"/>
  <c r="H648" i="16"/>
  <c r="G651" i="16"/>
  <c r="H651" i="16"/>
  <c r="G659" i="16"/>
  <c r="H659" i="16"/>
  <c r="G662" i="16"/>
  <c r="H662" i="16"/>
  <c r="G663" i="16"/>
  <c r="H663" i="16"/>
  <c r="G664" i="16"/>
  <c r="H664" i="16"/>
  <c r="G666" i="16"/>
  <c r="H666" i="16"/>
  <c r="G667" i="16"/>
  <c r="H667" i="16"/>
  <c r="G668" i="16"/>
  <c r="H668" i="16"/>
  <c r="G669" i="16"/>
  <c r="H669" i="16"/>
  <c r="G671" i="16"/>
  <c r="H671" i="16"/>
  <c r="G672" i="16"/>
  <c r="H672" i="16"/>
  <c r="G673" i="16"/>
  <c r="H673" i="16"/>
  <c r="G674" i="16"/>
  <c r="H674" i="16"/>
  <c r="G676" i="16"/>
  <c r="H676" i="16"/>
  <c r="G677" i="16"/>
  <c r="H677" i="16"/>
  <c r="G681" i="16"/>
  <c r="H681" i="16"/>
  <c r="G683" i="16"/>
  <c r="H683" i="16"/>
  <c r="G684" i="16"/>
  <c r="H684" i="16"/>
  <c r="G685" i="16"/>
  <c r="H685" i="16"/>
  <c r="G686" i="16"/>
  <c r="H686" i="16"/>
  <c r="G689" i="16"/>
  <c r="H689" i="16"/>
  <c r="G691" i="16"/>
  <c r="H691" i="16"/>
  <c r="G693" i="16"/>
  <c r="H693" i="16"/>
  <c r="G697" i="16"/>
  <c r="H697" i="16"/>
  <c r="G698" i="16"/>
  <c r="H698" i="16"/>
  <c r="G699" i="16"/>
  <c r="H699" i="16"/>
  <c r="G700" i="16"/>
  <c r="H700" i="16"/>
  <c r="G701" i="16"/>
  <c r="H701" i="16"/>
  <c r="G703" i="16"/>
  <c r="H703" i="16"/>
  <c r="G704" i="16"/>
  <c r="H704" i="16"/>
  <c r="G705" i="16"/>
  <c r="H705" i="16"/>
  <c r="G706" i="16"/>
  <c r="H706" i="16"/>
  <c r="G707" i="16"/>
  <c r="H707" i="16"/>
  <c r="G708" i="16"/>
  <c r="H708" i="16"/>
  <c r="G709" i="16"/>
  <c r="H709" i="16"/>
  <c r="G711" i="16"/>
  <c r="H711" i="16"/>
  <c r="G712" i="16"/>
  <c r="H712" i="16"/>
  <c r="G713" i="16"/>
  <c r="H713" i="16"/>
  <c r="G714" i="16"/>
  <c r="H714" i="16"/>
  <c r="G716" i="16"/>
  <c r="H716" i="16"/>
  <c r="G717" i="16"/>
  <c r="H717" i="16"/>
  <c r="G720" i="16"/>
  <c r="H720" i="16"/>
  <c r="G721" i="16"/>
  <c r="H721" i="16"/>
  <c r="G722" i="16"/>
  <c r="H722" i="16"/>
  <c r="G723" i="16"/>
  <c r="H723" i="16"/>
  <c r="G724" i="16"/>
  <c r="H724" i="16"/>
  <c r="G725" i="16"/>
  <c r="H725" i="16"/>
  <c r="G726" i="16"/>
  <c r="H726" i="16"/>
  <c r="G727" i="16"/>
  <c r="H727" i="16"/>
  <c r="G730" i="16"/>
  <c r="H730" i="16"/>
  <c r="G731" i="16"/>
  <c r="H731" i="16"/>
  <c r="G732" i="16"/>
  <c r="H732" i="16"/>
  <c r="G733" i="16"/>
  <c r="H733" i="16"/>
  <c r="G734" i="16"/>
  <c r="H734" i="16"/>
  <c r="G735" i="16"/>
  <c r="H735" i="16"/>
  <c r="G736" i="16"/>
  <c r="H736" i="16"/>
  <c r="G737" i="16"/>
  <c r="H737" i="16"/>
  <c r="G738" i="16"/>
  <c r="H738" i="16"/>
  <c r="G739" i="16"/>
  <c r="H739" i="16"/>
  <c r="G741" i="16"/>
  <c r="H741" i="16"/>
  <c r="G743" i="16"/>
  <c r="H743" i="16"/>
  <c r="G744" i="16"/>
  <c r="H744" i="16"/>
  <c r="G745" i="16"/>
  <c r="H745" i="16"/>
  <c r="G746" i="16"/>
  <c r="H746" i="16"/>
  <c r="G747" i="16"/>
  <c r="H747" i="16"/>
  <c r="G748" i="16"/>
  <c r="H748" i="16"/>
  <c r="G749" i="16"/>
  <c r="H749" i="16"/>
  <c r="G750" i="16"/>
  <c r="H750" i="16"/>
  <c r="G751" i="16"/>
  <c r="H751" i="16"/>
  <c r="G752" i="16"/>
  <c r="H752" i="16"/>
  <c r="G753" i="16"/>
  <c r="H753" i="16"/>
  <c r="G754" i="16"/>
  <c r="H754" i="16"/>
  <c r="G755" i="16"/>
  <c r="H755" i="16"/>
  <c r="G756" i="16"/>
  <c r="H756" i="16"/>
  <c r="G757" i="16"/>
  <c r="H757" i="16"/>
  <c r="G758" i="16"/>
  <c r="H758" i="16"/>
  <c r="G759" i="16"/>
  <c r="H759" i="16"/>
  <c r="G760" i="16"/>
  <c r="H760" i="16"/>
  <c r="G762" i="16"/>
  <c r="H762" i="16"/>
  <c r="G766" i="16"/>
  <c r="H766" i="16"/>
  <c r="G767" i="16"/>
  <c r="H767" i="16"/>
  <c r="G768" i="16"/>
  <c r="H768" i="16"/>
  <c r="G769" i="16"/>
  <c r="H769" i="16"/>
  <c r="G770" i="16"/>
  <c r="H770" i="16"/>
  <c r="G773" i="16"/>
  <c r="H773" i="16"/>
  <c r="G774" i="16"/>
  <c r="H774" i="16"/>
  <c r="G775" i="16"/>
  <c r="H775" i="16"/>
  <c r="G776" i="16"/>
  <c r="H776" i="16"/>
  <c r="G777" i="16"/>
  <c r="H777" i="16"/>
  <c r="G778" i="16"/>
  <c r="H778" i="16"/>
  <c r="G779" i="16"/>
  <c r="H779" i="16"/>
  <c r="G780" i="16"/>
  <c r="H780" i="16"/>
  <c r="G782" i="16"/>
  <c r="H782" i="16"/>
  <c r="G783" i="16"/>
  <c r="H783" i="16"/>
  <c r="G784" i="16"/>
  <c r="H784" i="16"/>
  <c r="G786" i="16"/>
  <c r="H786" i="16"/>
  <c r="G787" i="16"/>
  <c r="H787" i="16"/>
  <c r="G504" i="16"/>
  <c r="H504" i="16"/>
  <c r="G505" i="16"/>
  <c r="H505" i="16"/>
  <c r="G507" i="16"/>
  <c r="H507" i="16"/>
  <c r="G508" i="16"/>
  <c r="H508" i="16"/>
  <c r="G509" i="16"/>
  <c r="H509" i="16"/>
  <c r="G510" i="16"/>
  <c r="H510" i="16"/>
  <c r="G511" i="16"/>
  <c r="H511" i="16"/>
  <c r="G512" i="16"/>
  <c r="H512" i="16"/>
  <c r="G513" i="16"/>
  <c r="H513" i="16"/>
  <c r="G518" i="16"/>
  <c r="H518" i="16"/>
  <c r="G519" i="16"/>
  <c r="H519" i="16"/>
  <c r="G520" i="16"/>
  <c r="H520" i="16"/>
  <c r="G521" i="16"/>
  <c r="H521" i="16"/>
  <c r="G522" i="16"/>
  <c r="H522" i="16"/>
  <c r="G485" i="16"/>
  <c r="H485" i="16"/>
  <c r="G486" i="16"/>
  <c r="H486" i="16"/>
  <c r="G487" i="16"/>
  <c r="H487" i="16"/>
  <c r="G524" i="16"/>
  <c r="H524" i="16"/>
  <c r="G489" i="16"/>
  <c r="H489" i="16"/>
  <c r="G526" i="16"/>
  <c r="H526" i="16"/>
  <c r="G531" i="16"/>
  <c r="H531" i="16"/>
  <c r="G532" i="16"/>
  <c r="H532" i="16"/>
  <c r="G534" i="16"/>
  <c r="H534" i="16"/>
  <c r="G536" i="16"/>
  <c r="H536" i="16"/>
  <c r="G539" i="16"/>
  <c r="H539" i="16"/>
  <c r="G541" i="16"/>
  <c r="H541" i="16"/>
  <c r="G542" i="16"/>
  <c r="H542" i="16"/>
  <c r="G543" i="16"/>
  <c r="H543" i="16"/>
  <c r="G554" i="16"/>
  <c r="H554" i="16"/>
  <c r="G564" i="16"/>
  <c r="H564" i="16"/>
  <c r="G569" i="16"/>
  <c r="H569" i="16"/>
  <c r="G570" i="16"/>
  <c r="H570" i="16"/>
  <c r="G571" i="16"/>
  <c r="H571" i="16"/>
  <c r="G572" i="16"/>
  <c r="H572" i="16"/>
  <c r="G575" i="16"/>
  <c r="H575" i="16"/>
  <c r="G576" i="16"/>
  <c r="H576" i="16"/>
  <c r="G582" i="16"/>
  <c r="H582" i="16"/>
  <c r="G583" i="16"/>
  <c r="H583" i="16"/>
  <c r="G594" i="16"/>
  <c r="H594" i="16"/>
  <c r="G608" i="16"/>
  <c r="H608" i="16"/>
  <c r="G631" i="16"/>
  <c r="H631" i="16"/>
  <c r="G642" i="16"/>
  <c r="H642" i="16"/>
  <c r="G643" i="16"/>
  <c r="H643" i="16"/>
  <c r="G650" i="16"/>
  <c r="H650" i="16"/>
  <c r="G652" i="16"/>
  <c r="H652" i="16"/>
  <c r="G653" i="16"/>
  <c r="H653" i="16"/>
  <c r="G657" i="16"/>
  <c r="H657" i="16"/>
  <c r="G658" i="16"/>
  <c r="H658" i="16"/>
  <c r="G665" i="16"/>
  <c r="H665" i="16"/>
  <c r="G670" i="16"/>
  <c r="H670" i="16"/>
  <c r="G675" i="16"/>
  <c r="H675" i="16"/>
  <c r="G679" i="16"/>
  <c r="H679" i="16"/>
  <c r="G702" i="16"/>
  <c r="H702" i="16"/>
  <c r="G710" i="16"/>
  <c r="H710" i="16"/>
  <c r="G718" i="16"/>
  <c r="H718" i="16"/>
  <c r="G719" i="16"/>
  <c r="H719" i="16"/>
  <c r="G742" i="16"/>
  <c r="H742" i="16"/>
  <c r="G781" i="16"/>
  <c r="H781" i="16"/>
  <c r="G785" i="16"/>
  <c r="H785" i="16"/>
  <c r="G788" i="16"/>
  <c r="H788" i="16"/>
  <c r="G789" i="16"/>
  <c r="H789" i="16"/>
  <c r="G790" i="16"/>
  <c r="H790" i="16"/>
  <c r="G791" i="16"/>
  <c r="H791" i="16"/>
  <c r="G792" i="16"/>
  <c r="H792" i="16"/>
  <c r="G793" i="16"/>
  <c r="H793" i="16"/>
  <c r="G794" i="16"/>
  <c r="H794" i="16"/>
  <c r="G795" i="16"/>
  <c r="H795" i="16"/>
  <c r="G796" i="16"/>
  <c r="H796" i="16"/>
  <c r="G797" i="16"/>
  <c r="H797" i="16"/>
  <c r="G798" i="16"/>
  <c r="H798" i="16"/>
  <c r="G799" i="16"/>
  <c r="H799" i="16"/>
  <c r="G800" i="16"/>
  <c r="H800" i="16"/>
  <c r="G801" i="16"/>
  <c r="H801" i="16"/>
  <c r="G802" i="16"/>
  <c r="H802" i="16"/>
  <c r="G803" i="16"/>
  <c r="H803" i="16"/>
  <c r="G804" i="16"/>
  <c r="H804" i="16"/>
  <c r="G805" i="16"/>
  <c r="H805" i="16"/>
  <c r="G806" i="16"/>
  <c r="H806" i="16"/>
  <c r="L161" i="14"/>
  <c r="M161" i="14"/>
  <c r="L175" i="14"/>
  <c r="M175" i="14"/>
  <c r="L187" i="14"/>
  <c r="M187" i="14"/>
  <c r="M203" i="14"/>
  <c r="L250" i="14"/>
  <c r="M250" i="14"/>
  <c r="L281" i="14"/>
  <c r="M281" i="14"/>
  <c r="L158" i="14"/>
  <c r="M158" i="14"/>
  <c r="L162" i="14"/>
  <c r="M162" i="14"/>
  <c r="L176" i="14"/>
  <c r="M176" i="14"/>
  <c r="L188" i="14"/>
  <c r="M188" i="14"/>
  <c r="L204" i="14"/>
  <c r="M204" i="14"/>
  <c r="L251" i="14"/>
  <c r="M251" i="14"/>
  <c r="L266" i="14"/>
  <c r="M266" i="14"/>
  <c r="L282" i="14"/>
  <c r="M282" i="14"/>
  <c r="L198" i="14"/>
  <c r="M198" i="14"/>
  <c r="L200" i="14"/>
  <c r="M200" i="14"/>
  <c r="M208" i="14"/>
  <c r="L210" i="14"/>
  <c r="M210" i="14"/>
  <c r="L212" i="14"/>
  <c r="M212" i="14"/>
  <c r="L214" i="14"/>
  <c r="M214" i="14"/>
  <c r="L216" i="14"/>
  <c r="M216" i="14"/>
  <c r="L236" i="14"/>
  <c r="M236" i="14"/>
  <c r="L240" i="14"/>
  <c r="M240" i="14"/>
  <c r="L254" i="14"/>
  <c r="M254" i="14"/>
  <c r="L257" i="14"/>
  <c r="M257" i="14"/>
  <c r="L260" i="14"/>
  <c r="M260" i="14"/>
  <c r="L269" i="14"/>
  <c r="M269" i="14"/>
  <c r="L272" i="14"/>
  <c r="M272" i="14"/>
  <c r="L300" i="14"/>
  <c r="M300" i="14"/>
  <c r="L309" i="14"/>
  <c r="M309" i="14"/>
  <c r="L885" i="14"/>
  <c r="M885" i="14"/>
  <c r="M157" i="14"/>
  <c r="L157" i="14"/>
  <c r="M997" i="14"/>
  <c r="L997" i="14"/>
  <c r="M993" i="14"/>
  <c r="L993" i="14"/>
  <c r="R157" i="14"/>
  <c r="R171" i="14"/>
  <c r="R175" i="14"/>
  <c r="R187" i="14"/>
  <c r="R203" i="14"/>
  <c r="R221" i="14"/>
  <c r="R250" i="14"/>
  <c r="R265" i="14"/>
  <c r="R277" i="14"/>
  <c r="R281" i="14"/>
  <c r="R287" i="14"/>
  <c r="R293" i="14"/>
  <c r="R305" i="14"/>
  <c r="R316" i="14"/>
  <c r="R320" i="14"/>
  <c r="R326" i="14"/>
  <c r="R330" i="14"/>
  <c r="R348" i="14"/>
  <c r="R352" i="14"/>
  <c r="R359" i="14"/>
  <c r="R363" i="14"/>
  <c r="R367" i="14"/>
  <c r="R389" i="14"/>
  <c r="R393" i="14"/>
  <c r="R425" i="14"/>
  <c r="R432" i="14"/>
  <c r="R436" i="14"/>
  <c r="R440" i="14"/>
  <c r="R456" i="14"/>
  <c r="R470" i="14"/>
  <c r="R474" i="14"/>
  <c r="R478" i="14"/>
  <c r="R500" i="14"/>
  <c r="R510" i="14"/>
  <c r="R514" i="14"/>
  <c r="R518" i="14"/>
  <c r="R524" i="14"/>
  <c r="R530" i="14"/>
  <c r="R540" i="14"/>
  <c r="R544" i="14"/>
  <c r="R548" i="14"/>
  <c r="R552" i="14"/>
  <c r="R577" i="14"/>
  <c r="R591" i="14"/>
  <c r="R600" i="14"/>
  <c r="R606" i="14"/>
  <c r="R613" i="14"/>
  <c r="R625" i="14"/>
  <c r="R629" i="14"/>
  <c r="R633" i="14"/>
  <c r="R637" i="14"/>
  <c r="R646" i="14"/>
  <c r="R650" i="14"/>
  <c r="R654" i="14"/>
  <c r="R658" i="14"/>
  <c r="R664" i="14"/>
  <c r="R673" i="14"/>
  <c r="R687" i="14"/>
  <c r="R697" i="14"/>
  <c r="R701" i="14"/>
  <c r="R707" i="14"/>
  <c r="R711" i="14"/>
  <c r="R715" i="14"/>
  <c r="R721" i="14"/>
  <c r="R727" i="14"/>
  <c r="R731" i="14"/>
  <c r="R735" i="14"/>
  <c r="R739" i="14"/>
  <c r="R743" i="14"/>
  <c r="R754" i="14"/>
  <c r="R760" i="14"/>
  <c r="R764" i="14"/>
  <c r="R768" i="14"/>
  <c r="R772" i="14"/>
  <c r="R779" i="14"/>
  <c r="R783" i="14"/>
  <c r="R787" i="14"/>
  <c r="R791" i="14"/>
  <c r="R795" i="14"/>
  <c r="R799" i="14"/>
  <c r="R803" i="14"/>
  <c r="R807" i="14"/>
  <c r="R811" i="14"/>
  <c r="R815" i="14"/>
  <c r="R826" i="14"/>
  <c r="R830" i="14"/>
  <c r="R834" i="14"/>
  <c r="R843" i="14"/>
  <c r="R878" i="14"/>
  <c r="R888" i="14"/>
  <c r="R892" i="14"/>
  <c r="R896" i="14"/>
  <c r="R903" i="14"/>
  <c r="R909" i="14"/>
  <c r="R915" i="14"/>
  <c r="R919" i="14"/>
  <c r="R929" i="14"/>
  <c r="R933" i="14"/>
  <c r="R937" i="14"/>
  <c r="R946" i="14"/>
  <c r="R950" i="14"/>
  <c r="R962" i="14"/>
  <c r="R972" i="14"/>
  <c r="R976" i="14"/>
  <c r="R982" i="14"/>
  <c r="R986" i="14"/>
  <c r="R1000" i="14"/>
  <c r="R1029" i="14"/>
  <c r="R1053" i="14"/>
  <c r="R1059" i="14"/>
  <c r="R1063" i="14"/>
  <c r="R1067" i="14"/>
  <c r="R1073" i="14"/>
  <c r="R1077" i="14"/>
  <c r="R1082" i="14"/>
  <c r="R1086" i="14"/>
  <c r="R1090" i="14"/>
  <c r="R1094" i="14"/>
  <c r="R1098" i="14"/>
  <c r="R1104" i="14"/>
  <c r="R1108" i="14"/>
  <c r="R1112" i="14"/>
  <c r="R1115" i="14"/>
  <c r="R1118" i="14"/>
  <c r="R1121" i="14"/>
  <c r="R1125" i="14"/>
  <c r="R1138" i="14"/>
  <c r="R1144" i="14"/>
  <c r="R1150" i="14"/>
  <c r="R1156" i="14"/>
  <c r="R1162" i="14"/>
  <c r="R1172" i="14"/>
  <c r="R1181" i="14"/>
  <c r="R1190" i="14"/>
  <c r="R1194" i="14"/>
  <c r="R1198" i="14"/>
  <c r="R1202" i="14"/>
  <c r="R1206" i="14"/>
  <c r="R1214" i="14"/>
  <c r="R1217" i="14"/>
  <c r="R1221" i="14"/>
  <c r="R1227" i="14"/>
  <c r="R1231" i="14"/>
  <c r="R1234" i="14"/>
  <c r="R1240" i="14"/>
  <c r="R1243" i="14"/>
  <c r="R1245" i="14"/>
  <c r="R1247" i="14"/>
  <c r="R1249" i="14"/>
  <c r="R1251" i="14"/>
  <c r="R1253" i="14"/>
  <c r="R1255" i="14"/>
  <c r="R1257" i="14"/>
  <c r="R1259" i="14"/>
  <c r="R1261" i="14"/>
  <c r="R1263" i="14"/>
  <c r="R1265" i="14"/>
  <c r="R1267" i="14"/>
  <c r="R1269" i="14"/>
  <c r="R1271" i="14"/>
  <c r="R1273" i="14"/>
  <c r="R1275" i="14"/>
  <c r="R1278" i="14"/>
  <c r="R1280" i="14"/>
  <c r="R1282" i="14"/>
  <c r="R1285" i="14"/>
  <c r="R1287" i="14"/>
  <c r="R1289" i="14"/>
  <c r="R1291" i="14"/>
  <c r="R1293" i="14"/>
  <c r="R1295" i="14"/>
  <c r="R1299" i="14"/>
  <c r="R1301" i="14"/>
  <c r="R1303" i="14"/>
  <c r="R1305" i="14"/>
  <c r="R1307" i="14"/>
  <c r="R1309" i="14"/>
  <c r="R1311" i="14"/>
  <c r="R1313" i="14"/>
  <c r="R1316" i="14"/>
  <c r="R1318" i="14"/>
  <c r="R1320" i="14"/>
  <c r="R1323" i="14"/>
  <c r="L1323" i="14" s="1"/>
  <c r="R1325" i="14"/>
  <c r="R158" i="14"/>
  <c r="R162" i="14"/>
  <c r="R172" i="14"/>
  <c r="R176" i="14"/>
  <c r="R188" i="14"/>
  <c r="R204" i="14"/>
  <c r="R222" i="14"/>
  <c r="R251" i="14"/>
  <c r="R266" i="14"/>
  <c r="R278" i="14"/>
  <c r="R282" i="14"/>
  <c r="R288" i="14"/>
  <c r="R294" i="14"/>
  <c r="R306" i="14"/>
  <c r="R317" i="14"/>
  <c r="R321" i="14"/>
  <c r="R327" i="14"/>
  <c r="R331" i="14"/>
  <c r="R337" i="14"/>
  <c r="R349" i="14"/>
  <c r="R353" i="14"/>
  <c r="R360" i="14"/>
  <c r="R364" i="14"/>
  <c r="R368" i="14"/>
  <c r="R374" i="14"/>
  <c r="R390" i="14"/>
  <c r="R394" i="14"/>
  <c r="R426" i="14"/>
  <c r="R433" i="14"/>
  <c r="R437" i="14"/>
  <c r="R441" i="14"/>
  <c r="R457" i="14"/>
  <c r="R471" i="14"/>
  <c r="R475" i="14"/>
  <c r="R479" i="14"/>
  <c r="R501" i="14"/>
  <c r="R511" i="14"/>
  <c r="R515" i="14"/>
  <c r="R519" i="14"/>
  <c r="R525" i="14"/>
  <c r="R531" i="14"/>
  <c r="R541" i="14"/>
  <c r="R545" i="14"/>
  <c r="R549" i="14"/>
  <c r="R553" i="14"/>
  <c r="R575" i="14"/>
  <c r="R578" i="14"/>
  <c r="R588" i="14"/>
  <c r="R592" i="14"/>
  <c r="R601" i="14"/>
  <c r="R607" i="14"/>
  <c r="R614" i="14"/>
  <c r="R618" i="14"/>
  <c r="R622" i="14"/>
  <c r="R626" i="14"/>
  <c r="R630" i="14"/>
  <c r="R634" i="14"/>
  <c r="R638" i="14"/>
  <c r="R647" i="14"/>
  <c r="R651" i="14"/>
  <c r="R655" i="14"/>
  <c r="R659" i="14"/>
  <c r="R665" i="14"/>
  <c r="R671" i="14"/>
  <c r="R674" i="14"/>
  <c r="R680" i="14"/>
  <c r="R684" i="14"/>
  <c r="R688" i="14"/>
  <c r="R698" i="14"/>
  <c r="R702" i="14"/>
  <c r="R708" i="14"/>
  <c r="R712" i="14"/>
  <c r="R716" i="14"/>
  <c r="R722" i="14"/>
  <c r="R728" i="14"/>
  <c r="R732" i="14"/>
  <c r="R736" i="14"/>
  <c r="R740" i="14"/>
  <c r="R744" i="14"/>
  <c r="R755" i="14"/>
  <c r="R761" i="14"/>
  <c r="R765" i="14"/>
  <c r="R769" i="14"/>
  <c r="R773" i="14"/>
  <c r="R780" i="14"/>
  <c r="R784" i="14"/>
  <c r="R788" i="14"/>
  <c r="R792" i="14"/>
  <c r="R796" i="14"/>
  <c r="R800" i="14"/>
  <c r="R804" i="14"/>
  <c r="R808" i="14"/>
  <c r="R812" i="14"/>
  <c r="R816" i="14"/>
  <c r="R827" i="14"/>
  <c r="R831" i="14"/>
  <c r="R835" i="14"/>
  <c r="R844" i="14"/>
  <c r="R857" i="14"/>
  <c r="R869" i="14"/>
  <c r="R879" i="14"/>
  <c r="R889" i="14"/>
  <c r="R893" i="14"/>
  <c r="R897" i="14"/>
  <c r="R904" i="14"/>
  <c r="R910" i="14"/>
  <c r="R916" i="14"/>
  <c r="R920" i="14"/>
  <c r="R934" i="14"/>
  <c r="R938" i="14"/>
  <c r="R940" i="14"/>
  <c r="R947" i="14"/>
  <c r="R951" i="14"/>
  <c r="R963" i="14"/>
  <c r="R973" i="14"/>
  <c r="R977" i="14"/>
  <c r="R983" i="14"/>
  <c r="R987" i="14"/>
  <c r="R1001" i="14"/>
  <c r="R1007" i="14"/>
  <c r="R1011" i="14"/>
  <c r="R1017" i="14"/>
  <c r="R1023" i="14"/>
  <c r="R1030" i="14"/>
  <c r="R1036" i="14"/>
  <c r="R1046" i="14"/>
  <c r="R1054" i="14"/>
  <c r="R1060" i="14"/>
  <c r="R1064" i="14"/>
  <c r="R1068" i="14"/>
  <c r="R1074" i="14"/>
  <c r="R1078" i="14"/>
  <c r="R1083" i="14"/>
  <c r="R1087" i="14"/>
  <c r="R1091" i="14"/>
  <c r="R1095" i="14"/>
  <c r="R1099" i="14"/>
  <c r="R1105" i="14"/>
  <c r="R1109" i="14"/>
  <c r="R1113" i="14"/>
  <c r="R1116" i="14"/>
  <c r="R1119" i="14"/>
  <c r="R1122" i="14"/>
  <c r="R1126" i="14"/>
  <c r="R1139" i="14"/>
  <c r="R1145" i="14"/>
  <c r="R1151" i="14"/>
  <c r="R1157" i="14"/>
  <c r="R1163" i="14"/>
  <c r="R1173" i="14"/>
  <c r="R1177" i="14"/>
  <c r="R1182" i="14"/>
  <c r="R1191" i="14"/>
  <c r="R1195" i="14"/>
  <c r="R1199" i="14"/>
  <c r="R1203" i="14"/>
  <c r="R1207" i="14"/>
  <c r="R1211" i="14"/>
  <c r="R1215" i="14"/>
  <c r="R1218" i="14"/>
  <c r="R1222" i="14"/>
  <c r="R1228" i="14"/>
  <c r="R1232" i="14"/>
  <c r="R1235" i="14"/>
  <c r="R1241" i="14"/>
  <c r="R1244" i="14"/>
  <c r="R1246" i="14"/>
  <c r="R1248" i="14"/>
  <c r="R1250" i="14"/>
  <c r="R1252" i="14"/>
  <c r="R1254" i="14"/>
  <c r="R1256" i="14"/>
  <c r="R1258" i="14"/>
  <c r="R1260" i="14"/>
  <c r="R1262" i="14"/>
  <c r="R1264" i="14"/>
  <c r="R1266" i="14"/>
  <c r="R1268" i="14"/>
  <c r="R1270" i="14"/>
  <c r="R1272" i="14"/>
  <c r="R1274" i="14"/>
  <c r="R1276" i="14"/>
  <c r="R1279" i="14"/>
  <c r="R1281" i="14"/>
  <c r="R1283" i="14"/>
  <c r="R1284" i="14"/>
  <c r="R1286" i="14"/>
  <c r="R1288" i="14"/>
  <c r="R1290" i="14"/>
  <c r="R1292" i="14"/>
  <c r="R1294" i="14"/>
  <c r="R1296" i="14"/>
  <c r="R1298" i="14"/>
  <c r="R1300" i="14"/>
  <c r="R1302" i="14"/>
  <c r="R1304" i="14"/>
  <c r="R1306" i="14"/>
  <c r="R1308" i="14"/>
  <c r="R1310" i="14"/>
  <c r="R1312" i="14"/>
  <c r="R1314" i="14"/>
  <c r="R1317" i="14"/>
  <c r="R1319" i="14"/>
  <c r="R1321" i="14"/>
  <c r="R1324" i="14"/>
  <c r="R1326" i="14"/>
  <c r="R198" i="14"/>
  <c r="R200" i="14"/>
  <c r="R206" i="14"/>
  <c r="R208" i="14"/>
  <c r="R210" i="14"/>
  <c r="R212" i="14"/>
  <c r="R214" i="14"/>
  <c r="R236" i="14"/>
  <c r="R238" i="14"/>
  <c r="R240" i="14"/>
  <c r="R242" i="14"/>
  <c r="R244" i="14"/>
  <c r="R247" i="14"/>
  <c r="R254" i="14"/>
  <c r="R257" i="14"/>
  <c r="R260" i="14"/>
  <c r="R262" i="14"/>
  <c r="R269" i="14"/>
  <c r="R272" i="14"/>
  <c r="R297" i="14"/>
  <c r="R300" i="14"/>
  <c r="R309" i="14"/>
  <c r="R323" i="14"/>
  <c r="R333" i="14"/>
  <c r="R340" i="14"/>
  <c r="R342" i="14"/>
  <c r="R345" i="14"/>
  <c r="R396" i="14"/>
  <c r="R398" i="14"/>
  <c r="R443" i="14"/>
  <c r="R481" i="14"/>
  <c r="R483" i="14"/>
  <c r="R485" i="14"/>
  <c r="R487" i="14"/>
  <c r="R503" i="14"/>
  <c r="R505" i="14"/>
  <c r="R507" i="14"/>
  <c r="R533" i="14"/>
  <c r="R535" i="14"/>
  <c r="R569" i="14"/>
  <c r="R603" i="14"/>
  <c r="R661" i="14"/>
  <c r="R775" i="14"/>
  <c r="R820" i="14"/>
  <c r="R823" i="14"/>
  <c r="R852" i="14"/>
  <c r="R859" i="14"/>
  <c r="R861" i="14"/>
  <c r="R871" i="14"/>
  <c r="R873" i="14"/>
  <c r="R875" i="14"/>
  <c r="R885" i="14"/>
  <c r="R900" i="14"/>
  <c r="R926" i="14"/>
  <c r="R944" i="14"/>
  <c r="R958" i="14"/>
  <c r="R1070" i="14"/>
  <c r="R1101" i="14"/>
  <c r="R1131" i="14"/>
  <c r="R1133" i="14"/>
  <c r="R1185" i="14"/>
  <c r="R1188" i="14"/>
  <c r="R1237" i="14"/>
  <c r="R1277" i="14"/>
  <c r="R1315" i="14"/>
  <c r="R1322" i="14"/>
  <c r="R1327" i="14"/>
  <c r="R1328" i="14"/>
  <c r="R1329" i="14"/>
  <c r="R1330" i="14"/>
  <c r="R1331" i="14"/>
  <c r="R1332" i="14"/>
  <c r="R1333" i="14"/>
  <c r="R1334" i="14"/>
  <c r="R1335" i="14"/>
  <c r="R1336" i="14"/>
  <c r="R1337" i="14"/>
  <c r="R1338" i="14"/>
  <c r="R1339" i="14"/>
  <c r="R1340" i="14"/>
  <c r="R1341" i="14"/>
  <c r="R1342" i="14"/>
  <c r="R1343" i="14"/>
  <c r="R1344" i="14"/>
  <c r="R1345" i="14"/>
  <c r="G157" i="14"/>
  <c r="H157" i="14"/>
  <c r="G161" i="14"/>
  <c r="H161" i="14"/>
  <c r="G171" i="14"/>
  <c r="H171" i="14"/>
  <c r="G175" i="14"/>
  <c r="H175" i="14"/>
  <c r="G187" i="14"/>
  <c r="H187" i="14"/>
  <c r="G203" i="14"/>
  <c r="H203" i="14"/>
  <c r="G221" i="14"/>
  <c r="H221" i="14"/>
  <c r="G250" i="14"/>
  <c r="H250" i="14"/>
  <c r="G265" i="14"/>
  <c r="H265" i="14"/>
  <c r="G277" i="14"/>
  <c r="H277" i="14"/>
  <c r="G281" i="14"/>
  <c r="H281" i="14"/>
  <c r="G287" i="14"/>
  <c r="H287" i="14"/>
  <c r="G293" i="14"/>
  <c r="H293" i="14"/>
  <c r="G305" i="14"/>
  <c r="H305" i="14"/>
  <c r="G316" i="14"/>
  <c r="H316" i="14"/>
  <c r="G320" i="14"/>
  <c r="H320" i="14"/>
  <c r="G326" i="14"/>
  <c r="H326" i="14"/>
  <c r="G330" i="14"/>
  <c r="H330" i="14"/>
  <c r="G348" i="14"/>
  <c r="H348" i="14"/>
  <c r="G352" i="14"/>
  <c r="H352" i="14"/>
  <c r="G359" i="14"/>
  <c r="H359" i="14"/>
  <c r="G363" i="14"/>
  <c r="H363" i="14"/>
  <c r="G367" i="14"/>
  <c r="H367" i="14"/>
  <c r="G389" i="14"/>
  <c r="H389" i="14"/>
  <c r="G393" i="14"/>
  <c r="H393" i="14"/>
  <c r="G425" i="14"/>
  <c r="H425" i="14"/>
  <c r="G432" i="14"/>
  <c r="H432" i="14"/>
  <c r="G436" i="14"/>
  <c r="H436" i="14"/>
  <c r="G440" i="14"/>
  <c r="H440" i="14"/>
  <c r="G456" i="14"/>
  <c r="H456" i="14"/>
  <c r="G470" i="14"/>
  <c r="H470" i="14"/>
  <c r="G474" i="14"/>
  <c r="H474" i="14"/>
  <c r="G478" i="14"/>
  <c r="H478" i="14"/>
  <c r="G500" i="14"/>
  <c r="H500" i="14"/>
  <c r="G510" i="14"/>
  <c r="H510" i="14"/>
  <c r="G514" i="14"/>
  <c r="H514" i="14"/>
  <c r="G518" i="14"/>
  <c r="H518" i="14"/>
  <c r="G524" i="14"/>
  <c r="H524" i="14"/>
  <c r="G530" i="14"/>
  <c r="H530" i="14"/>
  <c r="G540" i="14"/>
  <c r="H540" i="14"/>
  <c r="G544" i="14"/>
  <c r="H544" i="14"/>
  <c r="G548" i="14"/>
  <c r="H548" i="14"/>
  <c r="G552" i="14"/>
  <c r="H552" i="14"/>
  <c r="G577" i="14"/>
  <c r="H577" i="14"/>
  <c r="G591" i="14"/>
  <c r="H591" i="14"/>
  <c r="G600" i="14"/>
  <c r="H600" i="14"/>
  <c r="G606" i="14"/>
  <c r="H606" i="14"/>
  <c r="G613" i="14"/>
  <c r="H613" i="14"/>
  <c r="G625" i="14"/>
  <c r="H625" i="14"/>
  <c r="G629" i="14"/>
  <c r="H629" i="14"/>
  <c r="G633" i="14"/>
  <c r="H633" i="14"/>
  <c r="G637" i="14"/>
  <c r="H637" i="14"/>
  <c r="G646" i="14"/>
  <c r="H646" i="14"/>
  <c r="G650" i="14"/>
  <c r="H650" i="14"/>
  <c r="G654" i="14"/>
  <c r="H654" i="14"/>
  <c r="G658" i="14"/>
  <c r="H658" i="14"/>
  <c r="G664" i="14"/>
  <c r="H664" i="14"/>
  <c r="G673" i="14"/>
  <c r="H673" i="14"/>
  <c r="G687" i="14"/>
  <c r="H687" i="14"/>
  <c r="G697" i="14"/>
  <c r="H697" i="14"/>
  <c r="G701" i="14"/>
  <c r="H701" i="14"/>
  <c r="G707" i="14"/>
  <c r="H707" i="14"/>
  <c r="G711" i="14"/>
  <c r="H711" i="14"/>
  <c r="G715" i="14"/>
  <c r="H715" i="14"/>
  <c r="G721" i="14"/>
  <c r="H721" i="14"/>
  <c r="G727" i="14"/>
  <c r="H727" i="14"/>
  <c r="G731" i="14"/>
  <c r="H731" i="14"/>
  <c r="G735" i="14"/>
  <c r="H735" i="14"/>
  <c r="G739" i="14"/>
  <c r="H739" i="14"/>
  <c r="G743" i="14"/>
  <c r="H743" i="14"/>
  <c r="G754" i="14"/>
  <c r="H754" i="14"/>
  <c r="G760" i="14"/>
  <c r="H760" i="14"/>
  <c r="G764" i="14"/>
  <c r="H764" i="14"/>
  <c r="G768" i="14"/>
  <c r="H768" i="14"/>
  <c r="G772" i="14"/>
  <c r="H772" i="14"/>
  <c r="G779" i="14"/>
  <c r="H779" i="14"/>
  <c r="G783" i="14"/>
  <c r="H783" i="14"/>
  <c r="G787" i="14"/>
  <c r="H787" i="14"/>
  <c r="G791" i="14"/>
  <c r="H791" i="14"/>
  <c r="G795" i="14"/>
  <c r="H795" i="14"/>
  <c r="G799" i="14"/>
  <c r="H799" i="14"/>
  <c r="G803" i="14"/>
  <c r="H803" i="14"/>
  <c r="G807" i="14"/>
  <c r="H807" i="14"/>
  <c r="G811" i="14"/>
  <c r="H811" i="14"/>
  <c r="G815" i="14"/>
  <c r="H815" i="14"/>
  <c r="G826" i="14"/>
  <c r="H826" i="14"/>
  <c r="G830" i="14"/>
  <c r="H830" i="14"/>
  <c r="G834" i="14"/>
  <c r="H834" i="14"/>
  <c r="G843" i="14"/>
  <c r="H843" i="14"/>
  <c r="G878" i="14"/>
  <c r="H878" i="14"/>
  <c r="G888" i="14"/>
  <c r="H888" i="14"/>
  <c r="G892" i="14"/>
  <c r="H892" i="14"/>
  <c r="G896" i="14"/>
  <c r="H896" i="14"/>
  <c r="G903" i="14"/>
  <c r="H903" i="14"/>
  <c r="G909" i="14"/>
  <c r="H909" i="14"/>
  <c r="G915" i="14"/>
  <c r="H915" i="14"/>
  <c r="G919" i="14"/>
  <c r="H919" i="14"/>
  <c r="G929" i="14"/>
  <c r="H929" i="14"/>
  <c r="G933" i="14"/>
  <c r="H933" i="14"/>
  <c r="G937" i="14"/>
  <c r="H937" i="14"/>
  <c r="G946" i="14"/>
  <c r="H946" i="14"/>
  <c r="G950" i="14"/>
  <c r="H950" i="14"/>
  <c r="G962" i="14"/>
  <c r="H962" i="14"/>
  <c r="G972" i="14"/>
  <c r="H972" i="14"/>
  <c r="G976" i="14"/>
  <c r="H976" i="14"/>
  <c r="G982" i="14"/>
  <c r="H982" i="14"/>
  <c r="G986" i="14"/>
  <c r="H986" i="14"/>
  <c r="G1000" i="14"/>
  <c r="H1000" i="14"/>
  <c r="G1029" i="14"/>
  <c r="H1029" i="14"/>
  <c r="G1053" i="14"/>
  <c r="H1053" i="14"/>
  <c r="G1059" i="14"/>
  <c r="H1059" i="14"/>
  <c r="G1063" i="14"/>
  <c r="H1063" i="14"/>
  <c r="G1067" i="14"/>
  <c r="H1067" i="14"/>
  <c r="G1073" i="14"/>
  <c r="H1073" i="14"/>
  <c r="G1077" i="14"/>
  <c r="H1077" i="14"/>
  <c r="G1082" i="14"/>
  <c r="H1082" i="14"/>
  <c r="G1086" i="14"/>
  <c r="H1086" i="14"/>
  <c r="G1090" i="14"/>
  <c r="H1090" i="14"/>
  <c r="G1094" i="14"/>
  <c r="H1094" i="14"/>
  <c r="G1098" i="14"/>
  <c r="H1098" i="14"/>
  <c r="G1104" i="14"/>
  <c r="H1104" i="14"/>
  <c r="G1108" i="14"/>
  <c r="H1108" i="14"/>
  <c r="G1112" i="14"/>
  <c r="H1112" i="14"/>
  <c r="G1115" i="14"/>
  <c r="H1115" i="14"/>
  <c r="G1118" i="14"/>
  <c r="H1118" i="14"/>
  <c r="G1121" i="14"/>
  <c r="H1121" i="14"/>
  <c r="G1125" i="14"/>
  <c r="H1125" i="14"/>
  <c r="G1138" i="14"/>
  <c r="H1138" i="14"/>
  <c r="G1144" i="14"/>
  <c r="H1144" i="14"/>
  <c r="G1150" i="14"/>
  <c r="H1150" i="14"/>
  <c r="G1156" i="14"/>
  <c r="H1156" i="14"/>
  <c r="G1162" i="14"/>
  <c r="H1162" i="14"/>
  <c r="G1172" i="14"/>
  <c r="H1172" i="14"/>
  <c r="G1181" i="14"/>
  <c r="H1181" i="14"/>
  <c r="G1190" i="14"/>
  <c r="H1190" i="14"/>
  <c r="G1194" i="14"/>
  <c r="H1194" i="14"/>
  <c r="G1198" i="14"/>
  <c r="H1198" i="14"/>
  <c r="G1202" i="14"/>
  <c r="H1202" i="14"/>
  <c r="G1206" i="14"/>
  <c r="H1206" i="14"/>
  <c r="G1214" i="14"/>
  <c r="H1214" i="14"/>
  <c r="G1217" i="14"/>
  <c r="H1217" i="14"/>
  <c r="G1221" i="14"/>
  <c r="H1221" i="14"/>
  <c r="G1227" i="14"/>
  <c r="H1227" i="14"/>
  <c r="G1231" i="14"/>
  <c r="H1231" i="14"/>
  <c r="G1234" i="14"/>
  <c r="H1234" i="14"/>
  <c r="G1240" i="14"/>
  <c r="H1240" i="14"/>
  <c r="G1243" i="14"/>
  <c r="H1243" i="14"/>
  <c r="G1245" i="14"/>
  <c r="H1245" i="14"/>
  <c r="G1247" i="14"/>
  <c r="H1247" i="14"/>
  <c r="G1249" i="14"/>
  <c r="H1249" i="14"/>
  <c r="G1251" i="14"/>
  <c r="H1251" i="14"/>
  <c r="G1253" i="14"/>
  <c r="H1253" i="14"/>
  <c r="G1255" i="14"/>
  <c r="H1255" i="14"/>
  <c r="G1257" i="14"/>
  <c r="H1257" i="14"/>
  <c r="G1259" i="14"/>
  <c r="H1259" i="14"/>
  <c r="G1261" i="14"/>
  <c r="H1261" i="14"/>
  <c r="G1263" i="14"/>
  <c r="H1263" i="14"/>
  <c r="G1265" i="14"/>
  <c r="H1265" i="14"/>
  <c r="G1267" i="14"/>
  <c r="H1267" i="14"/>
  <c r="G1269" i="14"/>
  <c r="H1269" i="14"/>
  <c r="G1271" i="14"/>
  <c r="H1271" i="14"/>
  <c r="G1273" i="14"/>
  <c r="H1273" i="14"/>
  <c r="G1275" i="14"/>
  <c r="H1275" i="14"/>
  <c r="G1278" i="14"/>
  <c r="H1278" i="14"/>
  <c r="G1280" i="14"/>
  <c r="H1280" i="14"/>
  <c r="G1282" i="14"/>
  <c r="H1282" i="14"/>
  <c r="G1285" i="14"/>
  <c r="H1285" i="14"/>
  <c r="G1287" i="14"/>
  <c r="H1287" i="14"/>
  <c r="G1289" i="14"/>
  <c r="H1289" i="14"/>
  <c r="G1291" i="14"/>
  <c r="H1291" i="14"/>
  <c r="G1293" i="14"/>
  <c r="H1293" i="14"/>
  <c r="G1295" i="14"/>
  <c r="H1295" i="14"/>
  <c r="G1299" i="14"/>
  <c r="H1299" i="14"/>
  <c r="G1301" i="14"/>
  <c r="H1301" i="14"/>
  <c r="G1303" i="14"/>
  <c r="H1303" i="14"/>
  <c r="G1305" i="14"/>
  <c r="H1305" i="14"/>
  <c r="G1307" i="14"/>
  <c r="H1307" i="14"/>
  <c r="G1309" i="14"/>
  <c r="H1309" i="14"/>
  <c r="G1311" i="14"/>
  <c r="H1311" i="14"/>
  <c r="G1313" i="14"/>
  <c r="H1313" i="14"/>
  <c r="G1316" i="14"/>
  <c r="H1316" i="14"/>
  <c r="G1318" i="14"/>
  <c r="H1318" i="14"/>
  <c r="G1320" i="14"/>
  <c r="H1320" i="14"/>
  <c r="G1323" i="14"/>
  <c r="H1323" i="14"/>
  <c r="G1325" i="14"/>
  <c r="H1325" i="14"/>
  <c r="G158" i="14"/>
  <c r="H158" i="14"/>
  <c r="G162" i="14"/>
  <c r="H162" i="14"/>
  <c r="G172" i="14"/>
  <c r="H172" i="14"/>
  <c r="G176" i="14"/>
  <c r="H176" i="14"/>
  <c r="G188" i="14"/>
  <c r="H188" i="14"/>
  <c r="G204" i="14"/>
  <c r="H204" i="14"/>
  <c r="G222" i="14"/>
  <c r="H222" i="14"/>
  <c r="G251" i="14"/>
  <c r="H251" i="14"/>
  <c r="G266" i="14"/>
  <c r="H266" i="14"/>
  <c r="G278" i="14"/>
  <c r="H278" i="14"/>
  <c r="G282" i="14"/>
  <c r="H282" i="14"/>
  <c r="G288" i="14"/>
  <c r="H288" i="14"/>
  <c r="G294" i="14"/>
  <c r="H294" i="14"/>
  <c r="G306" i="14"/>
  <c r="H306" i="14"/>
  <c r="G317" i="14"/>
  <c r="H317" i="14"/>
  <c r="G321" i="14"/>
  <c r="H321" i="14"/>
  <c r="G327" i="14"/>
  <c r="H327" i="14"/>
  <c r="G331" i="14"/>
  <c r="H331" i="14"/>
  <c r="G337" i="14"/>
  <c r="H337" i="14"/>
  <c r="G349" i="14"/>
  <c r="H349" i="14"/>
  <c r="G353" i="14"/>
  <c r="H353" i="14"/>
  <c r="G360" i="14"/>
  <c r="H360" i="14"/>
  <c r="G364" i="14"/>
  <c r="H364" i="14"/>
  <c r="G368" i="14"/>
  <c r="H368" i="14"/>
  <c r="G374" i="14"/>
  <c r="H374" i="14"/>
  <c r="G390" i="14"/>
  <c r="H390" i="14"/>
  <c r="G394" i="14"/>
  <c r="H394" i="14"/>
  <c r="G426" i="14"/>
  <c r="H426" i="14"/>
  <c r="G433" i="14"/>
  <c r="H433" i="14"/>
  <c r="G437" i="14"/>
  <c r="H437" i="14"/>
  <c r="G441" i="14"/>
  <c r="H441" i="14"/>
  <c r="G457" i="14"/>
  <c r="H457" i="14"/>
  <c r="G471" i="14"/>
  <c r="H471" i="14"/>
  <c r="G475" i="14"/>
  <c r="H475" i="14"/>
  <c r="G479" i="14"/>
  <c r="H479" i="14"/>
  <c r="G501" i="14"/>
  <c r="H501" i="14"/>
  <c r="G511" i="14"/>
  <c r="H511" i="14"/>
  <c r="G515" i="14"/>
  <c r="H515" i="14"/>
  <c r="G519" i="14"/>
  <c r="H519" i="14"/>
  <c r="G525" i="14"/>
  <c r="H525" i="14"/>
  <c r="G531" i="14"/>
  <c r="H531" i="14"/>
  <c r="G541" i="14"/>
  <c r="H541" i="14"/>
  <c r="G545" i="14"/>
  <c r="H545" i="14"/>
  <c r="G549" i="14"/>
  <c r="H549" i="14"/>
  <c r="G553" i="14"/>
  <c r="H553" i="14"/>
  <c r="G575" i="14"/>
  <c r="H575" i="14"/>
  <c r="G578" i="14"/>
  <c r="H578" i="14"/>
  <c r="G588" i="14"/>
  <c r="H588" i="14"/>
  <c r="G592" i="14"/>
  <c r="H592" i="14"/>
  <c r="G601" i="14"/>
  <c r="H601" i="14"/>
  <c r="G607" i="14"/>
  <c r="H607" i="14"/>
  <c r="G614" i="14"/>
  <c r="H614" i="14"/>
  <c r="G618" i="14"/>
  <c r="H618" i="14"/>
  <c r="G622" i="14"/>
  <c r="H622" i="14"/>
  <c r="G626" i="14"/>
  <c r="H626" i="14"/>
  <c r="G630" i="14"/>
  <c r="H630" i="14"/>
  <c r="G634" i="14"/>
  <c r="H634" i="14"/>
  <c r="G638" i="14"/>
  <c r="H638" i="14"/>
  <c r="G647" i="14"/>
  <c r="H647" i="14"/>
  <c r="G651" i="14"/>
  <c r="H651" i="14"/>
  <c r="G655" i="14"/>
  <c r="H655" i="14"/>
  <c r="G659" i="14"/>
  <c r="H659" i="14"/>
  <c r="G665" i="14"/>
  <c r="H665" i="14"/>
  <c r="G671" i="14"/>
  <c r="H671" i="14"/>
  <c r="G674" i="14"/>
  <c r="H674" i="14"/>
  <c r="G680" i="14"/>
  <c r="H680" i="14"/>
  <c r="G684" i="14"/>
  <c r="H684" i="14"/>
  <c r="G688" i="14"/>
  <c r="H688" i="14"/>
  <c r="G698" i="14"/>
  <c r="H698" i="14"/>
  <c r="G702" i="14"/>
  <c r="H702" i="14"/>
  <c r="G708" i="14"/>
  <c r="H708" i="14"/>
  <c r="G712" i="14"/>
  <c r="H712" i="14"/>
  <c r="G716" i="14"/>
  <c r="H716" i="14"/>
  <c r="G722" i="14"/>
  <c r="H722" i="14"/>
  <c r="G728" i="14"/>
  <c r="H728" i="14"/>
  <c r="G732" i="14"/>
  <c r="H732" i="14"/>
  <c r="G736" i="14"/>
  <c r="H736" i="14"/>
  <c r="G740" i="14"/>
  <c r="H740" i="14"/>
  <c r="G744" i="14"/>
  <c r="H744" i="14"/>
  <c r="G755" i="14"/>
  <c r="H755" i="14"/>
  <c r="G761" i="14"/>
  <c r="H761" i="14"/>
  <c r="G765" i="14"/>
  <c r="H765" i="14"/>
  <c r="G769" i="14"/>
  <c r="H769" i="14"/>
  <c r="G773" i="14"/>
  <c r="H773" i="14"/>
  <c r="G780" i="14"/>
  <c r="H780" i="14"/>
  <c r="G784" i="14"/>
  <c r="H784" i="14"/>
  <c r="G788" i="14"/>
  <c r="H788" i="14"/>
  <c r="G792" i="14"/>
  <c r="H792" i="14"/>
  <c r="G796" i="14"/>
  <c r="H796" i="14"/>
  <c r="G800" i="14"/>
  <c r="H800" i="14"/>
  <c r="G804" i="14"/>
  <c r="H804" i="14"/>
  <c r="G808" i="14"/>
  <c r="H808" i="14"/>
  <c r="G812" i="14"/>
  <c r="H812" i="14"/>
  <c r="G816" i="14"/>
  <c r="H816" i="14"/>
  <c r="G827" i="14"/>
  <c r="H827" i="14"/>
  <c r="G831" i="14"/>
  <c r="H831" i="14"/>
  <c r="G835" i="14"/>
  <c r="H835" i="14"/>
  <c r="G844" i="14"/>
  <c r="H844" i="14"/>
  <c r="G857" i="14"/>
  <c r="H857" i="14"/>
  <c r="G869" i="14"/>
  <c r="H869" i="14"/>
  <c r="G879" i="14"/>
  <c r="H879" i="14"/>
  <c r="G889" i="14"/>
  <c r="H889" i="14"/>
  <c r="G893" i="14"/>
  <c r="H893" i="14"/>
  <c r="G897" i="14"/>
  <c r="H897" i="14"/>
  <c r="G904" i="14"/>
  <c r="H904" i="14"/>
  <c r="G910" i="14"/>
  <c r="H910" i="14"/>
  <c r="G916" i="14"/>
  <c r="H916" i="14"/>
  <c r="G920" i="14"/>
  <c r="H920" i="14"/>
  <c r="G934" i="14"/>
  <c r="H934" i="14"/>
  <c r="G938" i="14"/>
  <c r="H938" i="14"/>
  <c r="G940" i="14"/>
  <c r="H940" i="14"/>
  <c r="G947" i="14"/>
  <c r="H947" i="14"/>
  <c r="G951" i="14"/>
  <c r="H951" i="14"/>
  <c r="G963" i="14"/>
  <c r="H963" i="14"/>
  <c r="G973" i="14"/>
  <c r="H973" i="14"/>
  <c r="G977" i="14"/>
  <c r="H977" i="14"/>
  <c r="G983" i="14"/>
  <c r="H983" i="14"/>
  <c r="G987" i="14"/>
  <c r="H987" i="14"/>
  <c r="G1001" i="14"/>
  <c r="H1001" i="14"/>
  <c r="G1007" i="14"/>
  <c r="H1007" i="14"/>
  <c r="G1011" i="14"/>
  <c r="H1011" i="14"/>
  <c r="G1017" i="14"/>
  <c r="H1017" i="14"/>
  <c r="G1023" i="14"/>
  <c r="H1023" i="14"/>
  <c r="G1030" i="14"/>
  <c r="H1030" i="14"/>
  <c r="G1036" i="14"/>
  <c r="H1036" i="14"/>
  <c r="G1046" i="14"/>
  <c r="H1046" i="14"/>
  <c r="G1054" i="14"/>
  <c r="H1054" i="14"/>
  <c r="G1060" i="14"/>
  <c r="H1060" i="14"/>
  <c r="G1064" i="14"/>
  <c r="H1064" i="14"/>
  <c r="G1068" i="14"/>
  <c r="H1068" i="14"/>
  <c r="G1074" i="14"/>
  <c r="H1074" i="14"/>
  <c r="G1078" i="14"/>
  <c r="H1078" i="14"/>
  <c r="G1083" i="14"/>
  <c r="H1083" i="14"/>
  <c r="G1087" i="14"/>
  <c r="H1087" i="14"/>
  <c r="G1091" i="14"/>
  <c r="H1091" i="14"/>
  <c r="G1095" i="14"/>
  <c r="H1095" i="14"/>
  <c r="G1099" i="14"/>
  <c r="H1099" i="14"/>
  <c r="G1105" i="14"/>
  <c r="H1105" i="14"/>
  <c r="G1109" i="14"/>
  <c r="H1109" i="14"/>
  <c r="G1113" i="14"/>
  <c r="H1113" i="14"/>
  <c r="G1116" i="14"/>
  <c r="H1116" i="14"/>
  <c r="G1119" i="14"/>
  <c r="H1119" i="14"/>
  <c r="G1122" i="14"/>
  <c r="H1122" i="14"/>
  <c r="G1126" i="14"/>
  <c r="H1126" i="14"/>
  <c r="G1139" i="14"/>
  <c r="H1139" i="14"/>
  <c r="G1145" i="14"/>
  <c r="H1145" i="14"/>
  <c r="G1151" i="14"/>
  <c r="H1151" i="14"/>
  <c r="G1157" i="14"/>
  <c r="H1157" i="14"/>
  <c r="G1163" i="14"/>
  <c r="H1163" i="14"/>
  <c r="G1173" i="14"/>
  <c r="H1173" i="14"/>
  <c r="G1177" i="14"/>
  <c r="H1177" i="14"/>
  <c r="G1182" i="14"/>
  <c r="H1182" i="14"/>
  <c r="G1191" i="14"/>
  <c r="H1191" i="14"/>
  <c r="G1195" i="14"/>
  <c r="H1195" i="14"/>
  <c r="G1199" i="14"/>
  <c r="H1199" i="14"/>
  <c r="G1203" i="14"/>
  <c r="H1203" i="14"/>
  <c r="G1207" i="14"/>
  <c r="H1207" i="14"/>
  <c r="G1211" i="14"/>
  <c r="H1211" i="14"/>
  <c r="G1215" i="14"/>
  <c r="H1215" i="14"/>
  <c r="G1218" i="14"/>
  <c r="H1218" i="14"/>
  <c r="G1222" i="14"/>
  <c r="H1222" i="14"/>
  <c r="G1228" i="14"/>
  <c r="H1228" i="14"/>
  <c r="G1232" i="14"/>
  <c r="H1232" i="14"/>
  <c r="G1235" i="14"/>
  <c r="H1235" i="14"/>
  <c r="G1241" i="14"/>
  <c r="H1241" i="14"/>
  <c r="G1244" i="14"/>
  <c r="H1244" i="14"/>
  <c r="G1246" i="14"/>
  <c r="H1246" i="14"/>
  <c r="G1248" i="14"/>
  <c r="H1248" i="14"/>
  <c r="G1250" i="14"/>
  <c r="H1250" i="14"/>
  <c r="G1252" i="14"/>
  <c r="H1252" i="14"/>
  <c r="G1254" i="14"/>
  <c r="H1254" i="14"/>
  <c r="G1256" i="14"/>
  <c r="H1256" i="14"/>
  <c r="G1258" i="14"/>
  <c r="H1258" i="14"/>
  <c r="G1260" i="14"/>
  <c r="H1260" i="14"/>
  <c r="G1262" i="14"/>
  <c r="H1262" i="14"/>
  <c r="G1264" i="14"/>
  <c r="H1264" i="14"/>
  <c r="G1266" i="14"/>
  <c r="H1266" i="14"/>
  <c r="G1268" i="14"/>
  <c r="H1268" i="14"/>
  <c r="G1270" i="14"/>
  <c r="H1270" i="14"/>
  <c r="G1272" i="14"/>
  <c r="H1272" i="14"/>
  <c r="G1274" i="14"/>
  <c r="H1274" i="14"/>
  <c r="G1276" i="14"/>
  <c r="H1276" i="14"/>
  <c r="G1279" i="14"/>
  <c r="H1279" i="14"/>
  <c r="G1281" i="14"/>
  <c r="H1281" i="14"/>
  <c r="G1283" i="14"/>
  <c r="H1283" i="14"/>
  <c r="G1284" i="14"/>
  <c r="H1284" i="14"/>
  <c r="G1286" i="14"/>
  <c r="H1286" i="14"/>
  <c r="G1288" i="14"/>
  <c r="H1288" i="14"/>
  <c r="G1290" i="14"/>
  <c r="H1290" i="14"/>
  <c r="G1292" i="14"/>
  <c r="H1292" i="14"/>
  <c r="G1294" i="14"/>
  <c r="H1294" i="14"/>
  <c r="G1296" i="14"/>
  <c r="H1296" i="14"/>
  <c r="G1298" i="14"/>
  <c r="H1298" i="14"/>
  <c r="G1300" i="14"/>
  <c r="H1300" i="14"/>
  <c r="G1302" i="14"/>
  <c r="H1302" i="14"/>
  <c r="G1304" i="14"/>
  <c r="H1304" i="14"/>
  <c r="G1306" i="14"/>
  <c r="H1306" i="14"/>
  <c r="G1308" i="14"/>
  <c r="H1308" i="14"/>
  <c r="G1310" i="14"/>
  <c r="H1310" i="14"/>
  <c r="G1312" i="14"/>
  <c r="H1312" i="14"/>
  <c r="G1314" i="14"/>
  <c r="H1314" i="14"/>
  <c r="G1317" i="14"/>
  <c r="H1317" i="14"/>
  <c r="G1319" i="14"/>
  <c r="H1319" i="14"/>
  <c r="G1321" i="14"/>
  <c r="H1321" i="14"/>
  <c r="G1324" i="14"/>
  <c r="H1324" i="14"/>
  <c r="G1326" i="14"/>
  <c r="H1326" i="14"/>
  <c r="G198" i="14"/>
  <c r="H198" i="14"/>
  <c r="G200" i="14"/>
  <c r="H200" i="14"/>
  <c r="G206" i="14"/>
  <c r="H206" i="14"/>
  <c r="G208" i="14"/>
  <c r="H208" i="14"/>
  <c r="G210" i="14"/>
  <c r="H210" i="14"/>
  <c r="G212" i="14"/>
  <c r="H212" i="14"/>
  <c r="G214" i="14"/>
  <c r="H214" i="14"/>
  <c r="G216" i="14"/>
  <c r="H216" i="14"/>
  <c r="G218" i="14"/>
  <c r="H218" i="14"/>
  <c r="G236" i="14"/>
  <c r="H236" i="14"/>
  <c r="G238" i="14"/>
  <c r="H238" i="14"/>
  <c r="G240" i="14"/>
  <c r="H240" i="14"/>
  <c r="G242" i="14"/>
  <c r="H242" i="14"/>
  <c r="G244" i="14"/>
  <c r="H244" i="14"/>
  <c r="G247" i="14"/>
  <c r="H247" i="14"/>
  <c r="G254" i="14"/>
  <c r="H254" i="14"/>
  <c r="G257" i="14"/>
  <c r="H257" i="14"/>
  <c r="G260" i="14"/>
  <c r="H260" i="14"/>
  <c r="G262" i="14"/>
  <c r="H262" i="14"/>
  <c r="G269" i="14"/>
  <c r="H269" i="14"/>
  <c r="G272" i="14"/>
  <c r="H272" i="14"/>
  <c r="G297" i="14"/>
  <c r="H297" i="14"/>
  <c r="G300" i="14"/>
  <c r="H300" i="14"/>
  <c r="G309" i="14"/>
  <c r="H309" i="14"/>
  <c r="G323" i="14"/>
  <c r="H323" i="14"/>
  <c r="G333" i="14"/>
  <c r="H333" i="14"/>
  <c r="G340" i="14"/>
  <c r="H340" i="14"/>
  <c r="G342" i="14"/>
  <c r="H342" i="14"/>
  <c r="G345" i="14"/>
  <c r="H345" i="14"/>
  <c r="G396" i="14"/>
  <c r="H396" i="14"/>
  <c r="G398" i="14"/>
  <c r="H398" i="14"/>
  <c r="G443" i="14"/>
  <c r="H443" i="14"/>
  <c r="G481" i="14"/>
  <c r="H481" i="14"/>
  <c r="G483" i="14"/>
  <c r="H483" i="14"/>
  <c r="G485" i="14"/>
  <c r="H485" i="14"/>
  <c r="G487" i="14"/>
  <c r="H487" i="14"/>
  <c r="G503" i="14"/>
  <c r="H503" i="14"/>
  <c r="G505" i="14"/>
  <c r="H505" i="14"/>
  <c r="G507" i="14"/>
  <c r="H507" i="14"/>
  <c r="G533" i="14"/>
  <c r="H533" i="14"/>
  <c r="G535" i="14"/>
  <c r="H535" i="14"/>
  <c r="G569" i="14"/>
  <c r="H569" i="14"/>
  <c r="G603" i="14"/>
  <c r="H603" i="14"/>
  <c r="G661" i="14"/>
  <c r="H661" i="14"/>
  <c r="G775" i="14"/>
  <c r="H775" i="14"/>
  <c r="G820" i="14"/>
  <c r="H820" i="14"/>
  <c r="G823" i="14"/>
  <c r="H823" i="14"/>
  <c r="G852" i="14"/>
  <c r="H852" i="14"/>
  <c r="G859" i="14"/>
  <c r="H859" i="14"/>
  <c r="G861" i="14"/>
  <c r="H861" i="14"/>
  <c r="G871" i="14"/>
  <c r="H871" i="14"/>
  <c r="G873" i="14"/>
  <c r="H873" i="14"/>
  <c r="G875" i="14"/>
  <c r="H875" i="14"/>
  <c r="G885" i="14"/>
  <c r="H885" i="14"/>
  <c r="G900" i="14"/>
  <c r="H900" i="14"/>
  <c r="G926" i="14"/>
  <c r="H926" i="14"/>
  <c r="G944" i="14"/>
  <c r="H944" i="14"/>
  <c r="G958" i="14"/>
  <c r="H958" i="14"/>
  <c r="G1070" i="14"/>
  <c r="H1070" i="14"/>
  <c r="G1101" i="14"/>
  <c r="H1101" i="14"/>
  <c r="G1131" i="14"/>
  <c r="H1131" i="14"/>
  <c r="G1133" i="14"/>
  <c r="H1133" i="14"/>
  <c r="G1185" i="14"/>
  <c r="H1185" i="14"/>
  <c r="G1188" i="14"/>
  <c r="H1188" i="14"/>
  <c r="G1237" i="14"/>
  <c r="H1237" i="14"/>
  <c r="G1277" i="14"/>
  <c r="H1277" i="14"/>
  <c r="G1315" i="14"/>
  <c r="H1315" i="14"/>
  <c r="G1322" i="14"/>
  <c r="H1322" i="14"/>
  <c r="G1327" i="14"/>
  <c r="H1327" i="14"/>
  <c r="G1328" i="14"/>
  <c r="H1328" i="14"/>
  <c r="G1329" i="14"/>
  <c r="H1329" i="14"/>
  <c r="G1330" i="14"/>
  <c r="H1330" i="14"/>
  <c r="G1331" i="14"/>
  <c r="H1331" i="14"/>
  <c r="G1332" i="14"/>
  <c r="H1332" i="14"/>
  <c r="G1333" i="14"/>
  <c r="H1333" i="14"/>
  <c r="G1334" i="14"/>
  <c r="H1334" i="14"/>
  <c r="G1335" i="14"/>
  <c r="H1335" i="14"/>
  <c r="G1336" i="14"/>
  <c r="H1336" i="14"/>
  <c r="G1337" i="14"/>
  <c r="H1337" i="14"/>
  <c r="G1338" i="14"/>
  <c r="H1338" i="14"/>
  <c r="G1339" i="14"/>
  <c r="H1339" i="14"/>
  <c r="G1340" i="14"/>
  <c r="H1340" i="14"/>
  <c r="G1341" i="14"/>
  <c r="H1341" i="14"/>
  <c r="G1342" i="14"/>
  <c r="H1342" i="14"/>
  <c r="G1343" i="14"/>
  <c r="H1343" i="14"/>
  <c r="G1344" i="14"/>
  <c r="H1344" i="14"/>
  <c r="G1345" i="14"/>
  <c r="H1345" i="14"/>
  <c r="R923" i="11"/>
  <c r="R924" i="11"/>
  <c r="R925" i="11"/>
  <c r="R926" i="11"/>
  <c r="R927" i="11"/>
  <c r="R928" i="11"/>
  <c r="R929" i="11"/>
  <c r="R930" i="11"/>
  <c r="R931" i="11"/>
  <c r="R932" i="11"/>
  <c r="R933" i="11"/>
  <c r="R934" i="11"/>
  <c r="R935" i="11"/>
  <c r="R936" i="11"/>
  <c r="R937" i="11"/>
  <c r="R938" i="11"/>
  <c r="R939" i="11"/>
  <c r="R940" i="11"/>
  <c r="R941" i="11"/>
  <c r="R942" i="11"/>
  <c r="R943" i="11"/>
  <c r="R944" i="11"/>
  <c r="R945" i="11"/>
  <c r="R946" i="11"/>
  <c r="R947" i="11"/>
  <c r="R948" i="11"/>
  <c r="R949" i="11"/>
  <c r="R950" i="11"/>
  <c r="R951" i="11"/>
  <c r="R952" i="11"/>
  <c r="R953" i="11"/>
  <c r="R954" i="11"/>
  <c r="R955" i="11"/>
  <c r="R956" i="11"/>
  <c r="R957" i="11"/>
  <c r="R958" i="11"/>
  <c r="R959" i="11"/>
  <c r="R960" i="11"/>
  <c r="R961" i="11"/>
  <c r="R962" i="11"/>
  <c r="R963" i="11"/>
  <c r="R964" i="11"/>
  <c r="R965" i="11"/>
  <c r="R966" i="11"/>
  <c r="R967" i="11"/>
  <c r="R968" i="11"/>
  <c r="R969" i="11"/>
  <c r="R970" i="11"/>
  <c r="R971" i="11"/>
  <c r="R972" i="11"/>
  <c r="R973" i="11"/>
  <c r="R974" i="11"/>
  <c r="R975" i="11"/>
  <c r="R976" i="11"/>
  <c r="R977" i="11"/>
  <c r="R978" i="11"/>
  <c r="R979" i="11"/>
  <c r="R980" i="11"/>
  <c r="R981" i="11"/>
  <c r="R982" i="11"/>
  <c r="R983" i="11"/>
  <c r="R984" i="11"/>
  <c r="R985" i="11"/>
  <c r="R986" i="11"/>
  <c r="R987" i="11"/>
  <c r="R988" i="11"/>
  <c r="R989" i="11"/>
  <c r="R990" i="11"/>
  <c r="R991" i="11"/>
  <c r="R992" i="11"/>
  <c r="R993" i="11"/>
  <c r="R994" i="11"/>
  <c r="R995" i="11"/>
  <c r="R996" i="11"/>
  <c r="R997" i="11"/>
  <c r="R998" i="11"/>
  <c r="R999" i="11"/>
  <c r="R1000" i="11"/>
  <c r="R1001" i="11"/>
  <c r="R1002" i="11"/>
  <c r="R1003" i="11"/>
  <c r="R1004" i="11"/>
  <c r="R1005" i="11"/>
  <c r="R1006" i="11"/>
  <c r="R1007" i="11"/>
  <c r="R1008" i="11"/>
  <c r="R1009" i="11"/>
  <c r="R1010" i="11"/>
  <c r="R1011" i="11"/>
  <c r="R1012" i="11"/>
  <c r="R1013" i="11"/>
  <c r="R1014" i="11"/>
  <c r="R1015" i="11"/>
  <c r="R1016" i="11"/>
  <c r="R1017" i="11"/>
  <c r="R1018" i="11"/>
  <c r="R1019" i="11"/>
  <c r="R1020" i="11"/>
  <c r="R1021" i="11"/>
  <c r="R1022" i="11"/>
  <c r="R1023" i="11"/>
  <c r="R1024" i="11"/>
  <c r="R1025" i="11"/>
  <c r="R1026" i="11"/>
  <c r="R1027" i="11"/>
  <c r="R1028" i="11"/>
  <c r="R1029" i="11"/>
  <c r="R1030" i="11"/>
  <c r="R1031" i="11"/>
  <c r="R1032" i="11"/>
  <c r="R1033" i="11"/>
  <c r="R1034" i="11"/>
  <c r="R1035" i="11"/>
  <c r="R1036" i="11"/>
  <c r="R1037" i="11"/>
  <c r="R1038" i="11"/>
  <c r="R1039" i="11"/>
  <c r="R1040" i="11"/>
  <c r="R1041" i="11"/>
  <c r="R1042" i="11"/>
  <c r="R1043" i="11"/>
  <c r="R1044" i="11"/>
  <c r="R1045" i="11"/>
  <c r="R1046" i="11"/>
  <c r="R1047" i="11"/>
  <c r="R1048" i="11"/>
  <c r="R1049" i="11"/>
  <c r="R1050" i="11"/>
  <c r="R1051" i="11"/>
  <c r="R1052" i="11"/>
  <c r="R1053" i="11"/>
  <c r="R1054" i="11"/>
  <c r="R1055" i="11"/>
  <c r="R1056" i="11"/>
  <c r="R1057" i="11"/>
  <c r="R1058" i="11"/>
  <c r="R1059" i="11"/>
  <c r="R1060" i="11"/>
  <c r="R1061" i="11"/>
  <c r="R1062" i="11"/>
  <c r="R1063" i="11"/>
  <c r="R1064" i="11"/>
  <c r="R1065" i="11"/>
  <c r="R1066" i="11"/>
  <c r="R1067" i="11"/>
  <c r="R1068" i="11"/>
  <c r="R1069" i="11"/>
  <c r="R1070" i="11"/>
  <c r="R1071" i="11"/>
  <c r="R1072" i="11"/>
  <c r="R1073" i="11"/>
  <c r="R1074" i="11"/>
  <c r="R1075" i="11"/>
  <c r="R1076" i="11"/>
  <c r="R1077" i="11"/>
  <c r="R1078" i="11"/>
  <c r="R1079" i="11"/>
  <c r="R1080" i="11"/>
  <c r="R1081" i="11"/>
  <c r="R1082" i="11"/>
  <c r="R1083" i="11"/>
  <c r="R1084" i="11"/>
  <c r="R1085" i="11"/>
  <c r="R1086" i="11"/>
  <c r="R1087" i="11"/>
  <c r="R1088" i="11"/>
  <c r="R1089" i="11"/>
  <c r="R1090" i="11"/>
  <c r="R1091" i="11"/>
  <c r="R1092" i="11"/>
  <c r="R1093" i="11"/>
  <c r="R1094" i="11"/>
  <c r="R1095" i="11"/>
  <c r="R1096" i="11"/>
  <c r="R1097" i="11"/>
  <c r="R1098" i="11"/>
  <c r="R1099" i="11"/>
  <c r="R1100" i="11"/>
  <c r="R1101" i="11"/>
  <c r="R1102" i="11"/>
  <c r="R1103" i="11"/>
  <c r="R1104" i="11"/>
  <c r="R1105" i="11"/>
  <c r="R1106" i="11"/>
  <c r="R1107" i="11"/>
  <c r="R1108" i="11"/>
  <c r="R1109" i="11"/>
  <c r="R1110" i="11"/>
  <c r="R1111" i="11"/>
  <c r="R1112" i="11"/>
  <c r="R1113" i="11"/>
  <c r="R1114" i="11"/>
  <c r="R1115" i="11"/>
  <c r="R1116" i="11"/>
  <c r="R1117" i="11"/>
  <c r="R1118" i="11"/>
  <c r="R1119" i="11"/>
  <c r="R1120" i="11"/>
  <c r="R1121" i="11"/>
  <c r="R1122" i="11"/>
  <c r="R1123" i="11"/>
  <c r="R1124" i="11"/>
  <c r="R1125" i="11"/>
  <c r="R1126" i="11"/>
  <c r="R1127" i="11"/>
  <c r="R1128" i="11"/>
  <c r="R1129" i="11"/>
  <c r="R1130" i="11"/>
  <c r="R1131" i="11"/>
  <c r="R1132" i="11"/>
  <c r="R1133" i="11"/>
  <c r="R1134" i="11"/>
  <c r="R1135" i="11"/>
  <c r="R1136" i="11"/>
  <c r="R1137" i="11"/>
  <c r="R1138" i="11"/>
  <c r="R1139" i="11"/>
  <c r="R1140" i="11"/>
  <c r="R1141" i="11"/>
  <c r="R1142" i="11"/>
  <c r="R1143" i="11"/>
  <c r="R1144" i="11"/>
  <c r="R1145" i="11"/>
  <c r="R1146" i="11"/>
  <c r="R1147" i="11"/>
  <c r="R1148" i="11"/>
  <c r="R1149" i="11"/>
  <c r="R1150" i="11"/>
  <c r="R1151" i="11"/>
  <c r="R1152" i="11"/>
  <c r="R1153" i="11"/>
  <c r="R1154" i="11"/>
  <c r="R1155" i="11"/>
  <c r="R1156" i="11"/>
  <c r="R1157" i="11"/>
  <c r="R1158" i="11"/>
  <c r="R1159" i="11"/>
  <c r="R1160" i="11"/>
  <c r="R1161" i="11"/>
  <c r="R1162" i="11"/>
  <c r="R1163" i="11"/>
  <c r="R1164" i="11"/>
  <c r="R1165" i="11"/>
  <c r="R1166" i="11"/>
  <c r="R1167" i="11"/>
  <c r="R1168" i="11"/>
  <c r="R1169" i="11"/>
  <c r="R1170" i="11"/>
  <c r="R1171" i="11"/>
  <c r="R1172" i="11"/>
  <c r="R1173" i="11"/>
  <c r="R1174" i="11"/>
  <c r="R1175" i="11"/>
  <c r="R1176" i="11"/>
  <c r="R1177" i="11"/>
  <c r="R1178" i="11"/>
  <c r="R1179" i="11"/>
  <c r="R1180" i="11"/>
  <c r="R1181" i="11"/>
  <c r="R1182" i="11"/>
  <c r="R1183" i="11"/>
  <c r="R1184" i="11"/>
  <c r="R1185" i="11"/>
  <c r="R1186" i="11"/>
  <c r="R1187" i="11"/>
  <c r="R1188" i="11"/>
  <c r="R1189" i="11"/>
  <c r="R1190" i="11"/>
  <c r="R1191" i="11"/>
  <c r="R1192" i="11"/>
  <c r="R1193" i="11"/>
  <c r="R1194" i="11"/>
  <c r="R1195" i="11"/>
  <c r="R1196" i="11"/>
  <c r="R1197" i="11"/>
  <c r="R1198" i="11"/>
  <c r="R1199" i="11"/>
  <c r="R1200" i="11"/>
  <c r="R1201" i="11"/>
  <c r="R1202" i="11"/>
  <c r="R1203" i="11"/>
  <c r="R1204" i="11"/>
  <c r="R1205" i="11"/>
  <c r="R1206" i="11"/>
  <c r="R1207" i="11"/>
  <c r="R1208" i="11"/>
  <c r="R1209" i="11"/>
  <c r="R1210" i="11"/>
  <c r="R1211" i="11"/>
  <c r="R1212" i="11"/>
  <c r="R1213" i="11"/>
  <c r="R1214" i="11"/>
  <c r="R1215" i="11"/>
  <c r="R1216" i="11"/>
  <c r="R1217" i="11"/>
  <c r="R1218" i="11"/>
  <c r="R1219" i="11"/>
  <c r="R1220" i="11"/>
  <c r="R1221" i="11"/>
  <c r="R1222" i="11"/>
  <c r="R1223" i="11"/>
  <c r="R1224" i="11"/>
  <c r="R1225" i="11"/>
  <c r="R1226" i="11"/>
  <c r="R1227" i="11"/>
  <c r="R1228" i="11"/>
  <c r="R1229" i="11"/>
  <c r="R1230" i="11"/>
  <c r="R1231" i="11"/>
  <c r="R1232" i="11"/>
  <c r="R1233" i="11"/>
  <c r="R1234" i="11"/>
  <c r="R1235" i="11"/>
  <c r="R1236" i="11"/>
  <c r="R1237" i="11"/>
  <c r="R1238" i="11"/>
  <c r="R1239" i="11"/>
  <c r="R1240" i="11"/>
  <c r="R1241" i="11"/>
  <c r="R1242" i="11"/>
  <c r="R1243" i="11"/>
  <c r="R1244" i="11"/>
  <c r="R1245" i="11"/>
  <c r="R1246" i="11"/>
  <c r="R1247" i="11"/>
  <c r="R1248" i="11"/>
  <c r="R1249" i="11"/>
  <c r="R1250" i="11"/>
  <c r="R1251" i="11"/>
  <c r="R1252" i="11"/>
  <c r="R1253" i="11"/>
  <c r="R1254" i="11"/>
  <c r="R1255" i="11"/>
  <c r="R1256" i="11"/>
  <c r="R1257" i="11"/>
  <c r="R1258" i="11"/>
  <c r="R1259" i="11"/>
  <c r="R1260" i="11"/>
  <c r="R1261" i="11"/>
  <c r="R1262" i="11"/>
  <c r="R1263" i="11"/>
  <c r="R1264" i="11"/>
  <c r="R1265" i="11"/>
  <c r="R1266" i="11"/>
  <c r="R1267" i="11"/>
  <c r="R1268" i="11"/>
  <c r="R1269" i="11"/>
  <c r="R1270" i="11"/>
  <c r="R1271" i="11"/>
  <c r="R1272" i="11"/>
  <c r="R1273" i="11"/>
  <c r="R1274" i="11"/>
  <c r="R1275" i="11"/>
  <c r="R1276" i="11"/>
  <c r="R1277" i="11"/>
  <c r="R1278" i="11"/>
  <c r="R1279" i="11"/>
  <c r="R1280" i="11"/>
  <c r="R1281" i="11"/>
  <c r="R1282" i="11"/>
  <c r="R1283" i="11"/>
  <c r="R1284" i="11"/>
  <c r="R1285" i="11"/>
  <c r="R1286" i="11"/>
  <c r="R1287" i="11"/>
  <c r="R1288" i="11"/>
  <c r="R1289" i="11"/>
  <c r="R1290" i="11"/>
  <c r="R1291" i="11"/>
  <c r="R1292" i="11"/>
  <c r="R1293" i="11"/>
  <c r="R1294" i="11"/>
  <c r="R1295" i="11"/>
  <c r="R1296" i="11"/>
  <c r="R1297" i="11"/>
  <c r="R1300" i="11"/>
  <c r="R1301" i="11"/>
  <c r="R1302" i="11"/>
  <c r="R1303" i="11"/>
  <c r="R1304" i="11"/>
  <c r="R1305" i="11"/>
  <c r="R1306" i="11"/>
  <c r="R1307" i="11"/>
  <c r="R1308" i="11"/>
  <c r="R1309" i="11"/>
  <c r="R1310" i="11"/>
  <c r="R1311" i="11"/>
  <c r="R1312" i="11"/>
  <c r="R1313" i="11"/>
  <c r="R1314" i="11"/>
  <c r="R1315" i="11"/>
  <c r="R1316" i="11"/>
  <c r="R1317" i="11"/>
  <c r="R1318" i="11"/>
  <c r="R1319" i="11"/>
  <c r="R1320" i="11"/>
  <c r="R1321" i="11"/>
  <c r="R1322" i="11"/>
  <c r="R1323" i="11"/>
  <c r="R1324" i="11"/>
  <c r="R1325" i="11"/>
  <c r="R1326" i="11"/>
  <c r="R1327" i="11"/>
  <c r="R1328" i="11"/>
  <c r="R1329" i="11"/>
  <c r="R1330" i="11"/>
  <c r="R1331" i="11"/>
  <c r="R1332" i="11"/>
  <c r="R1333" i="11"/>
  <c r="R1334" i="11"/>
  <c r="R1335" i="11"/>
  <c r="R1336" i="11"/>
  <c r="R1337" i="11"/>
  <c r="R1338" i="11"/>
  <c r="R1339" i="11"/>
  <c r="R1340" i="11"/>
  <c r="R1341" i="11"/>
  <c r="R1342" i="11"/>
  <c r="R1343" i="11"/>
  <c r="R1344" i="11"/>
  <c r="R1345" i="11"/>
  <c r="R1346" i="11"/>
  <c r="R1347" i="11"/>
  <c r="R1348" i="11"/>
  <c r="R1349" i="11"/>
  <c r="R1350" i="11"/>
  <c r="R1351" i="11"/>
  <c r="R1353" i="11"/>
  <c r="R1354" i="11"/>
  <c r="R1355" i="11"/>
  <c r="R1356" i="11"/>
  <c r="R1357" i="11"/>
  <c r="R1358" i="11"/>
  <c r="R1359" i="11"/>
  <c r="R1360" i="11"/>
  <c r="R1361" i="11"/>
  <c r="R1362" i="11"/>
  <c r="R1363" i="11"/>
  <c r="R1364" i="11"/>
  <c r="R1365" i="11"/>
  <c r="R1366" i="11"/>
  <c r="R1367" i="11"/>
  <c r="R1368" i="11"/>
  <c r="R1369" i="11"/>
  <c r="R1370" i="11"/>
  <c r="R1371" i="11"/>
  <c r="R1372" i="11"/>
  <c r="R1373" i="11"/>
  <c r="R1374" i="11"/>
  <c r="R1375" i="11"/>
  <c r="R1376" i="11"/>
  <c r="R1377" i="11"/>
  <c r="R1378" i="11"/>
  <c r="R1379" i="11"/>
  <c r="R1380" i="11"/>
  <c r="R1381" i="11"/>
  <c r="R1382" i="11"/>
  <c r="R1383" i="11"/>
  <c r="R1384" i="11"/>
  <c r="R1385" i="11"/>
  <c r="R1386" i="11"/>
  <c r="R1387" i="11"/>
  <c r="R1388" i="11"/>
  <c r="R1389" i="11"/>
  <c r="R1390" i="11"/>
  <c r="R1391" i="11"/>
  <c r="R1392" i="11"/>
  <c r="R1393" i="11"/>
  <c r="R1394" i="11"/>
  <c r="R1395" i="11"/>
  <c r="R1396" i="11"/>
  <c r="R1397" i="11"/>
  <c r="R1398" i="11"/>
  <c r="R1399" i="11"/>
  <c r="R1400" i="11"/>
  <c r="R1401" i="11"/>
  <c r="R1402" i="11"/>
  <c r="R1403" i="11"/>
  <c r="R1404" i="11"/>
  <c r="R1405" i="11"/>
  <c r="R1406" i="11"/>
  <c r="R1407" i="11"/>
  <c r="R1408" i="11"/>
  <c r="R1409" i="11"/>
  <c r="R1410" i="11"/>
  <c r="R1411" i="11"/>
  <c r="R1412" i="11"/>
  <c r="R1413" i="11"/>
  <c r="R1414" i="11"/>
  <c r="R1415" i="11"/>
  <c r="R1416" i="11"/>
  <c r="R1417" i="11"/>
  <c r="R1418" i="11"/>
  <c r="R1419" i="11"/>
  <c r="R1420" i="11"/>
  <c r="R1421" i="11"/>
  <c r="R1422" i="11"/>
  <c r="R1423" i="11"/>
  <c r="R1424" i="11"/>
  <c r="R1425" i="11"/>
  <c r="R1426" i="11"/>
  <c r="R1427" i="11"/>
  <c r="R1428" i="11"/>
  <c r="R1429" i="11"/>
  <c r="R1430" i="11"/>
  <c r="R1431" i="11"/>
  <c r="R1432" i="11"/>
  <c r="R1433" i="11"/>
  <c r="R1434" i="11"/>
  <c r="R1435" i="11"/>
  <c r="R1436" i="11"/>
  <c r="R1437" i="11"/>
  <c r="R1438" i="11"/>
  <c r="R1439" i="11"/>
  <c r="R1440" i="11"/>
  <c r="R1441" i="11"/>
  <c r="R1442" i="11"/>
  <c r="R1443" i="11"/>
  <c r="R1444" i="11"/>
  <c r="R1445" i="11"/>
  <c r="R1446" i="11"/>
  <c r="R1447" i="11"/>
  <c r="R1448" i="11"/>
  <c r="R1449" i="11"/>
  <c r="R1450" i="11"/>
  <c r="R1451" i="11"/>
  <c r="R1452" i="11"/>
  <c r="R1453" i="11"/>
  <c r="R1454" i="11"/>
  <c r="R1455" i="11"/>
  <c r="R1456" i="11"/>
  <c r="R1457" i="11"/>
  <c r="R1458" i="11"/>
  <c r="R1459" i="11"/>
  <c r="R1460" i="11"/>
  <c r="R1461" i="11"/>
  <c r="R1462" i="11"/>
  <c r="R1463" i="11"/>
  <c r="R1464" i="11"/>
  <c r="R1465" i="11"/>
  <c r="R1466" i="11"/>
  <c r="R1467" i="11"/>
  <c r="R1468" i="11"/>
  <c r="R1469" i="11"/>
  <c r="R1470" i="11"/>
  <c r="R1471" i="11"/>
  <c r="R1472" i="11"/>
  <c r="R1473" i="11"/>
  <c r="R1474" i="11"/>
  <c r="R1475" i="11"/>
  <c r="R1476" i="11"/>
  <c r="R1477" i="11"/>
  <c r="R1478" i="11"/>
  <c r="R1479" i="11"/>
  <c r="R1480" i="11"/>
  <c r="R1481" i="11"/>
  <c r="R1482" i="11"/>
  <c r="R1483" i="11"/>
  <c r="R1484" i="11"/>
  <c r="R1485" i="11"/>
  <c r="R1486" i="11"/>
  <c r="R1487" i="11"/>
  <c r="R1488" i="11"/>
  <c r="R1489" i="11"/>
  <c r="R1490" i="11"/>
  <c r="R1491" i="11"/>
  <c r="R1492" i="11"/>
  <c r="R1493" i="11"/>
  <c r="R1494" i="11"/>
  <c r="R1495" i="11"/>
  <c r="R1496" i="11"/>
  <c r="R1497" i="11"/>
  <c r="R1498" i="11"/>
  <c r="R1499" i="11"/>
  <c r="R1500" i="11"/>
  <c r="R1501" i="11"/>
  <c r="R1502" i="11"/>
  <c r="R1503" i="11"/>
  <c r="R1504" i="11"/>
  <c r="R1505" i="11"/>
  <c r="R1506" i="11"/>
  <c r="R1507" i="11"/>
  <c r="R1508" i="11"/>
  <c r="R1509" i="11"/>
  <c r="R1510" i="11"/>
  <c r="R1511" i="11"/>
  <c r="R1512" i="11"/>
  <c r="R1513" i="11"/>
  <c r="R1514" i="11"/>
  <c r="R1515" i="11"/>
  <c r="R1516" i="11"/>
  <c r="R1517" i="11"/>
  <c r="R1518" i="11"/>
  <c r="R1519" i="11"/>
  <c r="R1520" i="11"/>
  <c r="R1521" i="11"/>
  <c r="R1522" i="11"/>
  <c r="R1523" i="11"/>
  <c r="R1524" i="11"/>
  <c r="R1525" i="11"/>
  <c r="R1526" i="11"/>
  <c r="R1527" i="11"/>
  <c r="R1528" i="11"/>
  <c r="R1529" i="11"/>
  <c r="R1530" i="11"/>
  <c r="R1531" i="11"/>
  <c r="R1532" i="11"/>
  <c r="R1533" i="11"/>
  <c r="R1534" i="11"/>
  <c r="R1535" i="11"/>
  <c r="R1536" i="11"/>
  <c r="R1537" i="11"/>
  <c r="R1538" i="11"/>
  <c r="R1539" i="11"/>
  <c r="R1540" i="11"/>
  <c r="R1541" i="11"/>
  <c r="R1542" i="11"/>
  <c r="R1543" i="11"/>
  <c r="R1544" i="11"/>
  <c r="R1545" i="11"/>
  <c r="R1546" i="11"/>
  <c r="R1547" i="11"/>
  <c r="R1548" i="11"/>
  <c r="R1549" i="11"/>
  <c r="R1550" i="11"/>
  <c r="R1551" i="11"/>
  <c r="R1552" i="11"/>
  <c r="R1553" i="11"/>
  <c r="R1554" i="11"/>
  <c r="R1555" i="11"/>
  <c r="R1556" i="11"/>
  <c r="R1557" i="11"/>
  <c r="R1558" i="11"/>
  <c r="R1559" i="11"/>
  <c r="R1560" i="11"/>
  <c r="R1561" i="11"/>
  <c r="R1562" i="11"/>
  <c r="R1563" i="11"/>
  <c r="R1564" i="11"/>
  <c r="R1565" i="11"/>
  <c r="R1566" i="11"/>
  <c r="R1567" i="11"/>
  <c r="R1568" i="11"/>
  <c r="R1569" i="11"/>
  <c r="R1570" i="11"/>
  <c r="R1571" i="11"/>
  <c r="R1572" i="11"/>
  <c r="R1573" i="11"/>
  <c r="R1574" i="11"/>
  <c r="R1575" i="11"/>
  <c r="R1576" i="11"/>
  <c r="R1577" i="11"/>
  <c r="R1578" i="11"/>
  <c r="R1579" i="11"/>
  <c r="R1580" i="11"/>
  <c r="R1581" i="11"/>
  <c r="R1582" i="11"/>
  <c r="R1583" i="11"/>
  <c r="R1584" i="11"/>
  <c r="R1585" i="11"/>
  <c r="R1586" i="11"/>
  <c r="R1587" i="11"/>
  <c r="R1588" i="11"/>
  <c r="R1589" i="11"/>
  <c r="R1590" i="11"/>
  <c r="R1591" i="11"/>
  <c r="R1592" i="11"/>
  <c r="R1593" i="11"/>
  <c r="R1594" i="11"/>
  <c r="R1595" i="11"/>
  <c r="R1596" i="11"/>
  <c r="R1597" i="11"/>
  <c r="R1598" i="11"/>
  <c r="R1599" i="11"/>
  <c r="R1600" i="11"/>
  <c r="R1601" i="11"/>
  <c r="R1602" i="11"/>
  <c r="R1603" i="11"/>
  <c r="R1604" i="11"/>
  <c r="R1605" i="11"/>
  <c r="R1606" i="11"/>
  <c r="R1607" i="11"/>
  <c r="R1608" i="11"/>
  <c r="R1609" i="11"/>
  <c r="R1610" i="11"/>
  <c r="R1611" i="11"/>
  <c r="R1612" i="11"/>
  <c r="R1613" i="11"/>
  <c r="R1614" i="11"/>
  <c r="R1615" i="11"/>
  <c r="R1616" i="11"/>
  <c r="R1617" i="11"/>
  <c r="R1618" i="11"/>
  <c r="R1619" i="11"/>
  <c r="R1620" i="11"/>
  <c r="R1621" i="11"/>
  <c r="R1622" i="11"/>
  <c r="R1623" i="11"/>
  <c r="R1624" i="11"/>
  <c r="R1625" i="11"/>
  <c r="R1626" i="11"/>
  <c r="R1627" i="11"/>
  <c r="R1628" i="11"/>
  <c r="R1629" i="11"/>
  <c r="R1630" i="11"/>
  <c r="R1631" i="11"/>
  <c r="R1632" i="11"/>
  <c r="R1633" i="11"/>
  <c r="R1634" i="11"/>
  <c r="R1635" i="11"/>
  <c r="R1636" i="11"/>
  <c r="R1637" i="11"/>
  <c r="R1638" i="11"/>
  <c r="R1639" i="11"/>
  <c r="R1640" i="11"/>
  <c r="R1641" i="11"/>
  <c r="R1642" i="11"/>
  <c r="R1643" i="11"/>
  <c r="R1644" i="11"/>
  <c r="R1645" i="11"/>
  <c r="R1646" i="11"/>
  <c r="R1647" i="11"/>
  <c r="R1648" i="11"/>
  <c r="R1649" i="11"/>
  <c r="R1650" i="11"/>
  <c r="R1651" i="11"/>
  <c r="R1652" i="11"/>
  <c r="R1653" i="11"/>
  <c r="R1654" i="11"/>
  <c r="R1655" i="11"/>
  <c r="R1656" i="11"/>
  <c r="R1657" i="11"/>
  <c r="R1658" i="11"/>
  <c r="R1659" i="11"/>
  <c r="R1660" i="11"/>
  <c r="R1661" i="11"/>
  <c r="R1662" i="11"/>
  <c r="R1663" i="11"/>
  <c r="R1664" i="11"/>
  <c r="R1665" i="11"/>
  <c r="R1666" i="11"/>
  <c r="R1667" i="11"/>
  <c r="R1668" i="11"/>
  <c r="R1669" i="11"/>
  <c r="R1670" i="11"/>
  <c r="R1671" i="11"/>
  <c r="R1672" i="11"/>
  <c r="R1673" i="11"/>
  <c r="R1674" i="11"/>
  <c r="R1675" i="11"/>
  <c r="R1676" i="11"/>
  <c r="R1677" i="11"/>
  <c r="R1678" i="11"/>
  <c r="R1679" i="11"/>
  <c r="R1680" i="11"/>
  <c r="R1681" i="11"/>
  <c r="R1682" i="11"/>
  <c r="R1683" i="11"/>
  <c r="R1684" i="11"/>
  <c r="R1685" i="11"/>
  <c r="R1686" i="11"/>
  <c r="R1687" i="11"/>
  <c r="R1688" i="11"/>
  <c r="R1689" i="11"/>
  <c r="R1690" i="11"/>
  <c r="R1691" i="11"/>
  <c r="R1692" i="11"/>
  <c r="R1693" i="11"/>
  <c r="R1694" i="11"/>
  <c r="R1695" i="11"/>
  <c r="R1696" i="11"/>
  <c r="R1697" i="11"/>
  <c r="R1698" i="11"/>
  <c r="R1699" i="11"/>
  <c r="R1700" i="11"/>
  <c r="R1701" i="11"/>
  <c r="R1702" i="11"/>
  <c r="R1703" i="11"/>
  <c r="R1704" i="11"/>
  <c r="R1705" i="11"/>
  <c r="R1706" i="11"/>
  <c r="R1707" i="11"/>
  <c r="R1708" i="11"/>
  <c r="R1709" i="11"/>
  <c r="R1710" i="11"/>
  <c r="R1711" i="11"/>
  <c r="R1712" i="11"/>
  <c r="R1713" i="11"/>
  <c r="R1714" i="11"/>
  <c r="R1715" i="11"/>
  <c r="R1716" i="11"/>
  <c r="R1717" i="11"/>
  <c r="R1718" i="11"/>
  <c r="R1719" i="11"/>
  <c r="R1720" i="11"/>
  <c r="R1721" i="11"/>
  <c r="R1722" i="11"/>
  <c r="R1723" i="11"/>
  <c r="R1724" i="11"/>
  <c r="R1725" i="11"/>
  <c r="R1726" i="11"/>
  <c r="R1727" i="11"/>
  <c r="R1728" i="11"/>
  <c r="R1729" i="11"/>
  <c r="R1730" i="11"/>
  <c r="R1731" i="11"/>
  <c r="R1732" i="11"/>
  <c r="R1733" i="11"/>
  <c r="R1734" i="11"/>
  <c r="R1735" i="11"/>
  <c r="R1736" i="11"/>
  <c r="R1737" i="11"/>
  <c r="R1738" i="11"/>
  <c r="R1739" i="11"/>
  <c r="R1740" i="11"/>
  <c r="R1741" i="11"/>
  <c r="R1742" i="11"/>
  <c r="R1743" i="11"/>
  <c r="R1744" i="11"/>
  <c r="R1745" i="11"/>
  <c r="R1746" i="11"/>
  <c r="R1747" i="11"/>
  <c r="R1748" i="11"/>
  <c r="R1749" i="11"/>
  <c r="R1750" i="11"/>
  <c r="R1751" i="11"/>
  <c r="R1752" i="11"/>
  <c r="R1753" i="11"/>
  <c r="R1754" i="11"/>
  <c r="R1755" i="11"/>
  <c r="R1756" i="11"/>
  <c r="R1757" i="11"/>
  <c r="R1758" i="11"/>
  <c r="R1759" i="11"/>
  <c r="R1760" i="11"/>
  <c r="R1761" i="11"/>
  <c r="R1762" i="11"/>
  <c r="R1763" i="11"/>
  <c r="R1764" i="11"/>
  <c r="R1765" i="11"/>
  <c r="R1766" i="11"/>
  <c r="R1767" i="11"/>
  <c r="R1768" i="11"/>
  <c r="R1769" i="11"/>
  <c r="R1770" i="11"/>
  <c r="R1771" i="11"/>
  <c r="R1772" i="11"/>
  <c r="R1773" i="11"/>
  <c r="R1774" i="11"/>
  <c r="R1775" i="11"/>
  <c r="R1776" i="11"/>
  <c r="R1777" i="11"/>
  <c r="R1778" i="11"/>
  <c r="R1779" i="11"/>
  <c r="R1780" i="11"/>
  <c r="R1781" i="11"/>
  <c r="R1782" i="11"/>
  <c r="R1783" i="11"/>
  <c r="R1784" i="11"/>
  <c r="R1785" i="11"/>
  <c r="R1786" i="11"/>
  <c r="R1787" i="11"/>
  <c r="R1788" i="11"/>
  <c r="R1789" i="11"/>
  <c r="R1790" i="11"/>
  <c r="R1791" i="11"/>
  <c r="R1792" i="11"/>
  <c r="R1793" i="11"/>
  <c r="R1794" i="11"/>
  <c r="R1795" i="11"/>
  <c r="R1796" i="11"/>
  <c r="R1797" i="11"/>
  <c r="R1798" i="11"/>
  <c r="R1799" i="11"/>
  <c r="R1800" i="11"/>
  <c r="R1801" i="11"/>
  <c r="R1802" i="11"/>
  <c r="R1803" i="11"/>
  <c r="R1804" i="11"/>
  <c r="R1805" i="11"/>
  <c r="R1806" i="11"/>
  <c r="R1807" i="11"/>
  <c r="R1808" i="11"/>
  <c r="R1809" i="11"/>
  <c r="R1810" i="11"/>
  <c r="R1811" i="11"/>
  <c r="R1812" i="11"/>
  <c r="R1813" i="11"/>
  <c r="R1814" i="11"/>
  <c r="R1815" i="11"/>
  <c r="R1816" i="11"/>
  <c r="R1817" i="11"/>
  <c r="R1818" i="11"/>
  <c r="R1819" i="11"/>
  <c r="R1820" i="11"/>
  <c r="R1821" i="11"/>
  <c r="R1822" i="11"/>
  <c r="R1823" i="11"/>
  <c r="R1824" i="11"/>
  <c r="R1825" i="11"/>
  <c r="R1826" i="11"/>
  <c r="R1827" i="11"/>
  <c r="R1828" i="11"/>
  <c r="R1829" i="11"/>
  <c r="R1830" i="11"/>
  <c r="R1831" i="11"/>
  <c r="R1832" i="11"/>
  <c r="R1833" i="11"/>
  <c r="R1834" i="11"/>
  <c r="R1835" i="11"/>
  <c r="R1836" i="11"/>
  <c r="R1837" i="11"/>
  <c r="R1838" i="11"/>
  <c r="R1839" i="11"/>
  <c r="R1840" i="11"/>
  <c r="R1841" i="11"/>
  <c r="R1842" i="11"/>
  <c r="R1843" i="11"/>
  <c r="R1844" i="11"/>
  <c r="R1845" i="11"/>
  <c r="R1846" i="11"/>
  <c r="R1847" i="11"/>
  <c r="R1848" i="11"/>
  <c r="R1849" i="11"/>
  <c r="R1850" i="11"/>
  <c r="R1851" i="11"/>
  <c r="R1852" i="11"/>
  <c r="R1853" i="11"/>
  <c r="R1854" i="11"/>
  <c r="R1855" i="11"/>
  <c r="R1856" i="11"/>
  <c r="R1857" i="11"/>
  <c r="R1858" i="11"/>
  <c r="R1859" i="11"/>
  <c r="R1860" i="11"/>
  <c r="R1861" i="11"/>
  <c r="R1862" i="11"/>
  <c r="R1863" i="11"/>
  <c r="R1864" i="11"/>
  <c r="R1865" i="11"/>
  <c r="R1866" i="11"/>
  <c r="R1867" i="11"/>
  <c r="R1868" i="11"/>
  <c r="R1869" i="11"/>
  <c r="R1870" i="11"/>
  <c r="R1871" i="11"/>
  <c r="R1872" i="11"/>
  <c r="R1873" i="11"/>
  <c r="R1874" i="11"/>
  <c r="R1875" i="11"/>
  <c r="R1876" i="11"/>
  <c r="R1877" i="11"/>
  <c r="R1878" i="11"/>
  <c r="R1879" i="11"/>
  <c r="R1880" i="11"/>
  <c r="R1881" i="11"/>
  <c r="R1882" i="11"/>
  <c r="R1883" i="11"/>
  <c r="R1884" i="11"/>
  <c r="R1885" i="11"/>
  <c r="R1886" i="11"/>
  <c r="R1887" i="11"/>
  <c r="R1888" i="11"/>
  <c r="R1889" i="11"/>
  <c r="R1890" i="11"/>
  <c r="R1891" i="11"/>
  <c r="R1892" i="11"/>
  <c r="R1893" i="11"/>
  <c r="R1894" i="11"/>
  <c r="R1895" i="11"/>
  <c r="R1896" i="11"/>
  <c r="R1897" i="11"/>
  <c r="R1898" i="11"/>
  <c r="R1899" i="11"/>
  <c r="R1900" i="11"/>
  <c r="R1901" i="11"/>
  <c r="R1902" i="11"/>
  <c r="R1903" i="11"/>
  <c r="R1904" i="11"/>
  <c r="R1905" i="11"/>
  <c r="R1906" i="11"/>
  <c r="R1907" i="11"/>
  <c r="R1908" i="11"/>
  <c r="R1909" i="11"/>
  <c r="R1910" i="11"/>
  <c r="R1911" i="11"/>
  <c r="R1912" i="11"/>
  <c r="R1913" i="11"/>
  <c r="R1914" i="11"/>
  <c r="R1915" i="11"/>
  <c r="R1916" i="11"/>
  <c r="R1917" i="11"/>
  <c r="R1918" i="11"/>
  <c r="R1919" i="11"/>
  <c r="R1920" i="11"/>
  <c r="R1921" i="11"/>
  <c r="R1922" i="11"/>
  <c r="R1923" i="11"/>
  <c r="R1924" i="11"/>
  <c r="R1925" i="11"/>
  <c r="R1926" i="11"/>
  <c r="R1927" i="11"/>
  <c r="R1928" i="11"/>
  <c r="R1929" i="11"/>
  <c r="R1930" i="11"/>
  <c r="R1931" i="11"/>
  <c r="R1932" i="11"/>
  <c r="R1936" i="11"/>
  <c r="R1937" i="11"/>
  <c r="R1938" i="11"/>
  <c r="R1939" i="11"/>
  <c r="R1940" i="11"/>
  <c r="R1941" i="11"/>
  <c r="R1942" i="11"/>
  <c r="R1943" i="11"/>
  <c r="R1944" i="11"/>
  <c r="R1945" i="11"/>
  <c r="R1946" i="11"/>
  <c r="R1947" i="11"/>
  <c r="R1948" i="11"/>
  <c r="R1949" i="11"/>
  <c r="R1950" i="11"/>
  <c r="R1951" i="11"/>
  <c r="R1952" i="11"/>
  <c r="R1953" i="11"/>
  <c r="R1954" i="11"/>
  <c r="R1955" i="11"/>
  <c r="R1956" i="11"/>
  <c r="R1957" i="11"/>
  <c r="R1958" i="11"/>
  <c r="R1959" i="11"/>
  <c r="R1960" i="11"/>
  <c r="R1961" i="11"/>
  <c r="R1962" i="11"/>
  <c r="R1963" i="11"/>
  <c r="R1964" i="11"/>
  <c r="R1965" i="11"/>
  <c r="R1966" i="11"/>
  <c r="R1967" i="11"/>
  <c r="R1968" i="11"/>
  <c r="R1969" i="11"/>
  <c r="R1970" i="11"/>
  <c r="R1971" i="11"/>
  <c r="R1972" i="11"/>
  <c r="R1973" i="11"/>
  <c r="R1974" i="11"/>
  <c r="R1975" i="11"/>
  <c r="R1976" i="11"/>
  <c r="R1977" i="11"/>
  <c r="R1978" i="11"/>
  <c r="R1979" i="11"/>
  <c r="R1980" i="11"/>
  <c r="R1981" i="11"/>
  <c r="R1982" i="11"/>
  <c r="R1983" i="11"/>
  <c r="R1984" i="11"/>
  <c r="R1985" i="11"/>
  <c r="R1986" i="11"/>
  <c r="R1987" i="11"/>
  <c r="R1988" i="11"/>
  <c r="R1989" i="11"/>
  <c r="R1990" i="11"/>
  <c r="R1991" i="11"/>
  <c r="R1992" i="11"/>
  <c r="R1993" i="11"/>
  <c r="R1994" i="11"/>
  <c r="R1995" i="11"/>
  <c r="R1996" i="11"/>
  <c r="R1997" i="11"/>
  <c r="R1998" i="11"/>
  <c r="R1999" i="11"/>
  <c r="R2000" i="11"/>
  <c r="R2001" i="11"/>
  <c r="R2002" i="11"/>
  <c r="R2003" i="11"/>
  <c r="R2004" i="11"/>
  <c r="R2005" i="11"/>
  <c r="R2006" i="11"/>
  <c r="R2007" i="11"/>
  <c r="R2008" i="11"/>
  <c r="R2009" i="11"/>
  <c r="R2010" i="11"/>
  <c r="R2011" i="11"/>
  <c r="R2012" i="11"/>
  <c r="R2013" i="11"/>
  <c r="R2014" i="11"/>
  <c r="R2015" i="11"/>
  <c r="R2016" i="11"/>
  <c r="R2017" i="11"/>
  <c r="R2018" i="11"/>
  <c r="R2019" i="11"/>
  <c r="R2020" i="11"/>
  <c r="R2021" i="11"/>
  <c r="R2022" i="11"/>
  <c r="R2023" i="11"/>
  <c r="R2024" i="11"/>
  <c r="R2025" i="11"/>
  <c r="R2026" i="11"/>
  <c r="R2027" i="11"/>
  <c r="R2028" i="11"/>
  <c r="R2029" i="11"/>
  <c r="R2030" i="11"/>
  <c r="R2031" i="11"/>
  <c r="R2032" i="11"/>
  <c r="R2033" i="11"/>
  <c r="R2034" i="11"/>
  <c r="R2035" i="11"/>
  <c r="R2036" i="11"/>
  <c r="R2037" i="11"/>
  <c r="R2038" i="11"/>
  <c r="R2039" i="11"/>
  <c r="R2040" i="11"/>
  <c r="R2041" i="11"/>
  <c r="R2042" i="11"/>
  <c r="R2043" i="11"/>
  <c r="R2044" i="11"/>
  <c r="R2045" i="11"/>
  <c r="R2046" i="11"/>
  <c r="R2047" i="11"/>
  <c r="R2048" i="11"/>
  <c r="R2049" i="11"/>
  <c r="R2050" i="11"/>
  <c r="R2051" i="11"/>
  <c r="R2052" i="11"/>
  <c r="R2053" i="11"/>
  <c r="R2054" i="11"/>
  <c r="R2055" i="11"/>
  <c r="R2056" i="11"/>
  <c r="R2057" i="11"/>
  <c r="R2058" i="11"/>
  <c r="R2059" i="11"/>
  <c r="R2060" i="11"/>
  <c r="R2061" i="11"/>
  <c r="R2062" i="11"/>
  <c r="R2063" i="11"/>
  <c r="R2064" i="11"/>
  <c r="R2065" i="11"/>
  <c r="R2066" i="11"/>
  <c r="R2067" i="11"/>
  <c r="R2068" i="11"/>
  <c r="R2069" i="11"/>
  <c r="R2070" i="11"/>
  <c r="R2071" i="11"/>
  <c r="R2072" i="11"/>
  <c r="R2073" i="11"/>
  <c r="R2074" i="11"/>
  <c r="R2075" i="11"/>
  <c r="R2076" i="11"/>
  <c r="R2077" i="11"/>
  <c r="R2078" i="11"/>
  <c r="R2079" i="11"/>
  <c r="R2080" i="11"/>
  <c r="R2081" i="11"/>
  <c r="R2082" i="11"/>
  <c r="R2083" i="11"/>
  <c r="R2084" i="11"/>
  <c r="R2085" i="11"/>
  <c r="R2086" i="11"/>
  <c r="R2087" i="11"/>
  <c r="R2088" i="11"/>
  <c r="R2089" i="11"/>
  <c r="R2090" i="11"/>
  <c r="R2091" i="11"/>
  <c r="R2092" i="11"/>
  <c r="R2093" i="11"/>
  <c r="R2094" i="11"/>
  <c r="R2095" i="11"/>
  <c r="R2096" i="11"/>
  <c r="R2097" i="11"/>
  <c r="R2098" i="11"/>
  <c r="R2099" i="11"/>
  <c r="R2100" i="11"/>
  <c r="R2101" i="11"/>
  <c r="R2102" i="11"/>
  <c r="R2103" i="11"/>
  <c r="R2104" i="11"/>
  <c r="R2105" i="11"/>
  <c r="R2106" i="11"/>
  <c r="R2107" i="11"/>
  <c r="R2108" i="11"/>
  <c r="R2109" i="11"/>
  <c r="R2110" i="11"/>
  <c r="R2111" i="11"/>
  <c r="R2112" i="11"/>
  <c r="R2113" i="11"/>
  <c r="R2114" i="11"/>
  <c r="R2115" i="11"/>
  <c r="R2116" i="11"/>
  <c r="R2117" i="11"/>
  <c r="R2118" i="11"/>
  <c r="R2119" i="11"/>
  <c r="R2120" i="11"/>
  <c r="R2121" i="11"/>
  <c r="R2122" i="11"/>
  <c r="R2123" i="11"/>
  <c r="R2124" i="11"/>
  <c r="R2125" i="11"/>
  <c r="R2126" i="11"/>
  <c r="R2127" i="11"/>
  <c r="R2128" i="11"/>
  <c r="R2129" i="11"/>
  <c r="R2130" i="11"/>
  <c r="R2131" i="11"/>
  <c r="R2132" i="11"/>
  <c r="R2133" i="11"/>
  <c r="R2134" i="11"/>
  <c r="R2135" i="11"/>
  <c r="R2136" i="11"/>
  <c r="R2137" i="11"/>
  <c r="R2138" i="11"/>
  <c r="R2139" i="11"/>
  <c r="R2140" i="11"/>
  <c r="R2141" i="11"/>
  <c r="R2142" i="11"/>
  <c r="R2143" i="11"/>
  <c r="R2144" i="11"/>
  <c r="R2145" i="11"/>
  <c r="R2146" i="11"/>
  <c r="R2147" i="11"/>
  <c r="R2148" i="11"/>
  <c r="R2149" i="11"/>
  <c r="R2150" i="11"/>
  <c r="R2151" i="11"/>
  <c r="R2152" i="11"/>
  <c r="R2153" i="11"/>
  <c r="R2154" i="11"/>
  <c r="R2155" i="11"/>
  <c r="R2156" i="11"/>
  <c r="R2157" i="11"/>
  <c r="R2158" i="11"/>
  <c r="R2159" i="11"/>
  <c r="R2160" i="11"/>
  <c r="R2161" i="11"/>
  <c r="R2162" i="11"/>
  <c r="R2163" i="11"/>
  <c r="R2164" i="11"/>
  <c r="R2165" i="11"/>
  <c r="R2166" i="11"/>
  <c r="R2167" i="11"/>
  <c r="R2168" i="11"/>
  <c r="R2169" i="11"/>
  <c r="R2170" i="11"/>
  <c r="R2171" i="11"/>
  <c r="R2172" i="11"/>
  <c r="R2173" i="11"/>
  <c r="R2174" i="11"/>
  <c r="R2175" i="11"/>
  <c r="R2176" i="11"/>
  <c r="R2177" i="11"/>
  <c r="R2178" i="11"/>
  <c r="R2179" i="11"/>
  <c r="R2180" i="11"/>
  <c r="R2181" i="11"/>
  <c r="R2182" i="11"/>
  <c r="R2183" i="11"/>
  <c r="R2184" i="11"/>
  <c r="R2185" i="11"/>
  <c r="R2186" i="11"/>
  <c r="R2187" i="11"/>
  <c r="R2188" i="11"/>
  <c r="R2189" i="11"/>
  <c r="R2190" i="11"/>
  <c r="R2191" i="11"/>
  <c r="R2192" i="11"/>
  <c r="R2193" i="11"/>
  <c r="R2194" i="11"/>
  <c r="R2195" i="11"/>
  <c r="R2196" i="11"/>
  <c r="R2197" i="11"/>
  <c r="R2198" i="11"/>
  <c r="R2199" i="11"/>
  <c r="R2200" i="11"/>
  <c r="R2201" i="11"/>
  <c r="R2202" i="11"/>
  <c r="R2203" i="11"/>
  <c r="R2204" i="11"/>
  <c r="R2205" i="11"/>
  <c r="R2206" i="11"/>
  <c r="R2207" i="11"/>
  <c r="R2208" i="11"/>
  <c r="R2209" i="11"/>
  <c r="R2210" i="11"/>
  <c r="R2211" i="11"/>
  <c r="R2212" i="11"/>
  <c r="R2213" i="11"/>
  <c r="R2214" i="11"/>
  <c r="R2215" i="11"/>
  <c r="R2216" i="11"/>
  <c r="R2217" i="11"/>
  <c r="R2218" i="11"/>
  <c r="R2219" i="11"/>
  <c r="R2220" i="11"/>
  <c r="R2221" i="11"/>
  <c r="R2222" i="11"/>
  <c r="R2223" i="11"/>
  <c r="R2224" i="11"/>
  <c r="R2225" i="11"/>
  <c r="R2226" i="11"/>
  <c r="R2227" i="11"/>
  <c r="R2228" i="11"/>
  <c r="R2229" i="11"/>
  <c r="R2230" i="11"/>
  <c r="R2231" i="11"/>
  <c r="R2232" i="11"/>
  <c r="R2233" i="11"/>
  <c r="R2234" i="11"/>
  <c r="R2235" i="11"/>
  <c r="R2236" i="11"/>
  <c r="R2237" i="11"/>
  <c r="R2238" i="11"/>
  <c r="R2239" i="11"/>
  <c r="R2240" i="11"/>
  <c r="R2241" i="11"/>
  <c r="R2242" i="11"/>
  <c r="R2243" i="11"/>
  <c r="R2244" i="11"/>
  <c r="R2245" i="11"/>
  <c r="R2246" i="11"/>
  <c r="R2247" i="11"/>
  <c r="R2248" i="11"/>
  <c r="R2249" i="11"/>
  <c r="R2250" i="11"/>
  <c r="R2251" i="11"/>
  <c r="R2252" i="11"/>
  <c r="R2253" i="11"/>
  <c r="R2254" i="11"/>
  <c r="R2255" i="11"/>
  <c r="R2256" i="11"/>
  <c r="R210" i="11"/>
  <c r="R1933" i="11"/>
  <c r="R1934" i="11"/>
  <c r="R1935" i="11"/>
  <c r="R40" i="11"/>
  <c r="R41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114" i="11"/>
  <c r="R115" i="11"/>
  <c r="R116" i="11"/>
  <c r="R117" i="11"/>
  <c r="R118" i="11"/>
  <c r="R119" i="11"/>
  <c r="R120" i="11"/>
  <c r="R121" i="11"/>
  <c r="R122" i="11"/>
  <c r="R123" i="11"/>
  <c r="R124" i="11"/>
  <c r="R125" i="11"/>
  <c r="R126" i="11"/>
  <c r="R127" i="11"/>
  <c r="R128" i="11"/>
  <c r="R129" i="11"/>
  <c r="R130" i="11"/>
  <c r="R131" i="11"/>
  <c r="R132" i="11"/>
  <c r="R133" i="11"/>
  <c r="R134" i="11"/>
  <c r="R135" i="11"/>
  <c r="R136" i="11"/>
  <c r="R137" i="11"/>
  <c r="R138" i="11"/>
  <c r="R139" i="11"/>
  <c r="R140" i="11"/>
  <c r="R141" i="11"/>
  <c r="R142" i="11"/>
  <c r="R143" i="11"/>
  <c r="R144" i="11"/>
  <c r="R145" i="11"/>
  <c r="R146" i="11"/>
  <c r="R147" i="11"/>
  <c r="R148" i="11"/>
  <c r="R149" i="11"/>
  <c r="R150" i="11"/>
  <c r="R151" i="11"/>
  <c r="R152" i="11"/>
  <c r="R153" i="11"/>
  <c r="R154" i="11"/>
  <c r="R155" i="11"/>
  <c r="R156" i="11"/>
  <c r="R157" i="11"/>
  <c r="R158" i="11"/>
  <c r="R159" i="11"/>
  <c r="R160" i="11"/>
  <c r="R161" i="11"/>
  <c r="R162" i="11"/>
  <c r="R163" i="11"/>
  <c r="R164" i="11"/>
  <c r="R165" i="11"/>
  <c r="R166" i="11"/>
  <c r="R167" i="11"/>
  <c r="R168" i="11"/>
  <c r="R169" i="11"/>
  <c r="R170" i="11"/>
  <c r="R171" i="11"/>
  <c r="R172" i="11"/>
  <c r="R173" i="11"/>
  <c r="R174" i="11"/>
  <c r="R175" i="11"/>
  <c r="R176" i="11"/>
  <c r="R177" i="11"/>
  <c r="R178" i="11"/>
  <c r="R179" i="11"/>
  <c r="R180" i="11"/>
  <c r="R181" i="11"/>
  <c r="R182" i="11"/>
  <c r="R183" i="11"/>
  <c r="R184" i="11"/>
  <c r="R185" i="11"/>
  <c r="R186" i="11"/>
  <c r="R187" i="11"/>
  <c r="R188" i="11"/>
  <c r="R189" i="11"/>
  <c r="R190" i="11"/>
  <c r="R191" i="11"/>
  <c r="R192" i="11"/>
  <c r="R193" i="11"/>
  <c r="R194" i="11"/>
  <c r="R195" i="11"/>
  <c r="R196" i="11"/>
  <c r="R197" i="11"/>
  <c r="R198" i="11"/>
  <c r="R199" i="11"/>
  <c r="R200" i="11"/>
  <c r="R201" i="11"/>
  <c r="R202" i="11"/>
  <c r="R203" i="11"/>
  <c r="R204" i="11"/>
  <c r="R205" i="11"/>
  <c r="R206" i="11"/>
  <c r="R207" i="11"/>
  <c r="R208" i="11"/>
  <c r="R209" i="11"/>
  <c r="R211" i="11"/>
  <c r="R212" i="11"/>
  <c r="R213" i="11"/>
  <c r="R214" i="11"/>
  <c r="R215" i="11"/>
  <c r="R216" i="11"/>
  <c r="R217" i="11"/>
  <c r="R218" i="11"/>
  <c r="R219" i="11"/>
  <c r="R220" i="11"/>
  <c r="R221" i="11"/>
  <c r="R222" i="11"/>
  <c r="R223" i="11"/>
  <c r="R224" i="11"/>
  <c r="R225" i="11"/>
  <c r="R226" i="11"/>
  <c r="R227" i="11"/>
  <c r="R228" i="11"/>
  <c r="R229" i="11"/>
  <c r="R230" i="11"/>
  <c r="R231" i="11"/>
  <c r="R232" i="11"/>
  <c r="R233" i="11"/>
  <c r="R234" i="11"/>
  <c r="R235" i="11"/>
  <c r="R236" i="11"/>
  <c r="R237" i="11"/>
  <c r="R238" i="11"/>
  <c r="R239" i="11"/>
  <c r="R240" i="11"/>
  <c r="R241" i="11"/>
  <c r="R242" i="11"/>
  <c r="R243" i="11"/>
  <c r="R244" i="11"/>
  <c r="R245" i="11"/>
  <c r="R246" i="11"/>
  <c r="R247" i="11"/>
  <c r="R248" i="11"/>
  <c r="R249" i="11"/>
  <c r="R250" i="11"/>
  <c r="R251" i="11"/>
  <c r="R252" i="11"/>
  <c r="R253" i="11"/>
  <c r="R254" i="11"/>
  <c r="R255" i="11"/>
  <c r="R256" i="11"/>
  <c r="R257" i="11"/>
  <c r="R258" i="11"/>
  <c r="R259" i="11"/>
  <c r="R260" i="11"/>
  <c r="R261" i="11"/>
  <c r="R262" i="11"/>
  <c r="R263" i="11"/>
  <c r="R264" i="11"/>
  <c r="R265" i="11"/>
  <c r="R266" i="11"/>
  <c r="R267" i="11"/>
  <c r="R268" i="11"/>
  <c r="R269" i="11"/>
  <c r="R270" i="11"/>
  <c r="R271" i="11"/>
  <c r="R272" i="11"/>
  <c r="R273" i="11"/>
  <c r="R274" i="11"/>
  <c r="R275" i="11"/>
  <c r="R276" i="11"/>
  <c r="R277" i="11"/>
  <c r="R278" i="11"/>
  <c r="R279" i="11"/>
  <c r="R280" i="11"/>
  <c r="R281" i="11"/>
  <c r="R282" i="11"/>
  <c r="R283" i="11"/>
  <c r="R284" i="11"/>
  <c r="R285" i="11"/>
  <c r="R286" i="11"/>
  <c r="R287" i="11"/>
  <c r="R288" i="11"/>
  <c r="R289" i="11"/>
  <c r="R290" i="11"/>
  <c r="R291" i="11"/>
  <c r="R292" i="11"/>
  <c r="R293" i="11"/>
  <c r="R294" i="11"/>
  <c r="R295" i="11"/>
  <c r="R296" i="11"/>
  <c r="R297" i="11"/>
  <c r="R298" i="11"/>
  <c r="R299" i="11"/>
  <c r="R300" i="11"/>
  <c r="R301" i="11"/>
  <c r="R302" i="11"/>
  <c r="R303" i="11"/>
  <c r="R304" i="11"/>
  <c r="R305" i="11"/>
  <c r="R306" i="11"/>
  <c r="R307" i="11"/>
  <c r="R309" i="11"/>
  <c r="R310" i="11"/>
  <c r="R311" i="11"/>
  <c r="R312" i="11"/>
  <c r="R313" i="11"/>
  <c r="R314" i="11"/>
  <c r="R315" i="11"/>
  <c r="R316" i="11"/>
  <c r="R317" i="11"/>
  <c r="R318" i="11"/>
  <c r="R319" i="11"/>
  <c r="R320" i="11"/>
  <c r="R321" i="11"/>
  <c r="R322" i="11"/>
  <c r="R323" i="11"/>
  <c r="R324" i="11"/>
  <c r="R325" i="11"/>
  <c r="R326" i="11"/>
  <c r="R327" i="11"/>
  <c r="R328" i="11"/>
  <c r="R329" i="11"/>
  <c r="R330" i="11"/>
  <c r="R331" i="11"/>
  <c r="R332" i="11"/>
  <c r="R333" i="11"/>
  <c r="R334" i="11"/>
  <c r="R335" i="11"/>
  <c r="R336" i="11"/>
  <c r="R337" i="11"/>
  <c r="R338" i="11"/>
  <c r="R339" i="11"/>
  <c r="R340" i="11"/>
  <c r="R341" i="11"/>
  <c r="R342" i="11"/>
  <c r="R343" i="11"/>
  <c r="R344" i="11"/>
  <c r="R345" i="11"/>
  <c r="R346" i="11"/>
  <c r="R347" i="11"/>
  <c r="R348" i="11"/>
  <c r="R349" i="11"/>
  <c r="R350" i="11"/>
  <c r="R351" i="11"/>
  <c r="R352" i="11"/>
  <c r="R353" i="11"/>
  <c r="R354" i="11"/>
  <c r="R355" i="11"/>
  <c r="R356" i="11"/>
  <c r="R357" i="11"/>
  <c r="R358" i="11"/>
  <c r="R359" i="11"/>
  <c r="R360" i="11"/>
  <c r="R361" i="11"/>
  <c r="R362" i="11"/>
  <c r="R363" i="11"/>
  <c r="R364" i="11"/>
  <c r="R365" i="11"/>
  <c r="R366" i="11"/>
  <c r="R367" i="11"/>
  <c r="R368" i="11"/>
  <c r="R369" i="11"/>
  <c r="R370" i="11"/>
  <c r="R371" i="11"/>
  <c r="R372" i="11"/>
  <c r="R373" i="11"/>
  <c r="R374" i="11"/>
  <c r="R375" i="11"/>
  <c r="R376" i="11"/>
  <c r="R377" i="11"/>
  <c r="R378" i="11"/>
  <c r="R379" i="11"/>
  <c r="R380" i="11"/>
  <c r="R381" i="11"/>
  <c r="R382" i="11"/>
  <c r="R383" i="11"/>
  <c r="R384" i="11"/>
  <c r="R385" i="11"/>
  <c r="R386" i="11"/>
  <c r="R387" i="11"/>
  <c r="R388" i="11"/>
  <c r="R389" i="11"/>
  <c r="R390" i="11"/>
  <c r="R391" i="11"/>
  <c r="R392" i="11"/>
  <c r="R393" i="11"/>
  <c r="R394" i="11"/>
  <c r="R395" i="11"/>
  <c r="R396" i="11"/>
  <c r="R397" i="11"/>
  <c r="R398" i="11"/>
  <c r="R399" i="11"/>
  <c r="R400" i="11"/>
  <c r="R401" i="11"/>
  <c r="R402" i="11"/>
  <c r="R403" i="11"/>
  <c r="R404" i="11"/>
  <c r="R405" i="11"/>
  <c r="R406" i="11"/>
  <c r="R407" i="11"/>
  <c r="R408" i="11"/>
  <c r="R409" i="11"/>
  <c r="R410" i="11"/>
  <c r="R411" i="11"/>
  <c r="R412" i="11"/>
  <c r="R413" i="11"/>
  <c r="R414" i="11"/>
  <c r="R415" i="11"/>
  <c r="R416" i="11"/>
  <c r="R417" i="11"/>
  <c r="R418" i="11"/>
  <c r="R419" i="11"/>
  <c r="R420" i="11"/>
  <c r="R421" i="11"/>
  <c r="R422" i="11"/>
  <c r="R423" i="11"/>
  <c r="R424" i="11"/>
  <c r="R425" i="11"/>
  <c r="R426" i="11"/>
  <c r="R427" i="11"/>
  <c r="R428" i="11"/>
  <c r="R429" i="11"/>
  <c r="R430" i="11"/>
  <c r="R431" i="11"/>
  <c r="R432" i="11"/>
  <c r="R433" i="11"/>
  <c r="R434" i="11"/>
  <c r="R435" i="11"/>
  <c r="R436" i="11"/>
  <c r="R437" i="11"/>
  <c r="R438" i="11"/>
  <c r="R439" i="11"/>
  <c r="R440" i="11"/>
  <c r="R441" i="11"/>
  <c r="R442" i="11"/>
  <c r="R443" i="11"/>
  <c r="R444" i="11"/>
  <c r="R445" i="11"/>
  <c r="R446" i="11"/>
  <c r="R447" i="11"/>
  <c r="R448" i="11"/>
  <c r="R449" i="11"/>
  <c r="R450" i="11"/>
  <c r="R451" i="11"/>
  <c r="R452" i="11"/>
  <c r="R453" i="11"/>
  <c r="R454" i="11"/>
  <c r="R455" i="11"/>
  <c r="R456" i="11"/>
  <c r="R457" i="11"/>
  <c r="R458" i="11"/>
  <c r="R459" i="11"/>
  <c r="R460" i="11"/>
  <c r="R461" i="11"/>
  <c r="R462" i="11"/>
  <c r="R463" i="11"/>
  <c r="R464" i="11"/>
  <c r="R465" i="11"/>
  <c r="R466" i="11"/>
  <c r="R467" i="11"/>
  <c r="R468" i="11"/>
  <c r="R469" i="11"/>
  <c r="R470" i="11"/>
  <c r="R471" i="11"/>
  <c r="R472" i="11"/>
  <c r="R473" i="11"/>
  <c r="R474" i="11"/>
  <c r="R475" i="11"/>
  <c r="R476" i="11"/>
  <c r="R478" i="11"/>
  <c r="R479" i="11"/>
  <c r="R481" i="11"/>
  <c r="R482" i="11"/>
  <c r="R483" i="11"/>
  <c r="R484" i="11"/>
  <c r="R485" i="11"/>
  <c r="R486" i="11"/>
  <c r="R487" i="11"/>
  <c r="R488" i="11"/>
  <c r="R489" i="11"/>
  <c r="R490" i="11"/>
  <c r="R491" i="11"/>
  <c r="R492" i="11"/>
  <c r="R493" i="11"/>
  <c r="R494" i="11"/>
  <c r="R495" i="11"/>
  <c r="R496" i="11"/>
  <c r="R497" i="11"/>
  <c r="R498" i="11"/>
  <c r="R499" i="11"/>
  <c r="R500" i="11"/>
  <c r="R501" i="11"/>
  <c r="R502" i="11"/>
  <c r="R503" i="11"/>
  <c r="R504" i="11"/>
  <c r="R505" i="11"/>
  <c r="R506" i="11"/>
  <c r="R507" i="11"/>
  <c r="R508" i="11"/>
  <c r="R509" i="11"/>
  <c r="R510" i="11"/>
  <c r="R511" i="11"/>
  <c r="R512" i="11"/>
  <c r="R513" i="11"/>
  <c r="R514" i="11"/>
  <c r="R515" i="11"/>
  <c r="R516" i="11"/>
  <c r="R517" i="11"/>
  <c r="R518" i="11"/>
  <c r="R519" i="11"/>
  <c r="R520" i="11"/>
  <c r="R521" i="11"/>
  <c r="R522" i="11"/>
  <c r="R523" i="11"/>
  <c r="R524" i="11"/>
  <c r="R525" i="11"/>
  <c r="R526" i="11"/>
  <c r="R527" i="11"/>
  <c r="R528" i="11"/>
  <c r="R529" i="11"/>
  <c r="R530" i="11"/>
  <c r="R531" i="11"/>
  <c r="R532" i="11"/>
  <c r="R533" i="11"/>
  <c r="R534" i="11"/>
  <c r="R535" i="11"/>
  <c r="R536" i="11"/>
  <c r="R537" i="11"/>
  <c r="R538" i="11"/>
  <c r="R539" i="11"/>
  <c r="R540" i="11"/>
  <c r="R541" i="11"/>
  <c r="R542" i="11"/>
  <c r="R543" i="11"/>
  <c r="R544" i="11"/>
  <c r="R545" i="11"/>
  <c r="R546" i="11"/>
  <c r="R547" i="11"/>
  <c r="R548" i="11"/>
  <c r="R549" i="11"/>
  <c r="R550" i="11"/>
  <c r="R551" i="11"/>
  <c r="R552" i="11"/>
  <c r="R553" i="11"/>
  <c r="R554" i="11"/>
  <c r="R555" i="11"/>
  <c r="R556" i="11"/>
  <c r="R557" i="11"/>
  <c r="R558" i="11"/>
  <c r="R559" i="11"/>
  <c r="R560" i="11"/>
  <c r="R561" i="11"/>
  <c r="R562" i="11"/>
  <c r="R563" i="11"/>
  <c r="R564" i="11"/>
  <c r="R565" i="11"/>
  <c r="R566" i="11"/>
  <c r="R567" i="11"/>
  <c r="R568" i="11"/>
  <c r="R569" i="11"/>
  <c r="R570" i="11"/>
  <c r="R571" i="11"/>
  <c r="R572" i="11"/>
  <c r="R573" i="11"/>
  <c r="R574" i="11"/>
  <c r="R575" i="11"/>
  <c r="R576" i="11"/>
  <c r="R577" i="11"/>
  <c r="R578" i="11"/>
  <c r="R579" i="11"/>
  <c r="R580" i="11"/>
  <c r="R581" i="11"/>
  <c r="R582" i="11"/>
  <c r="R583" i="11"/>
  <c r="R584" i="11"/>
  <c r="R585" i="11"/>
  <c r="R586" i="11"/>
  <c r="R587" i="11"/>
  <c r="R588" i="11"/>
  <c r="R589" i="11"/>
  <c r="R590" i="11"/>
  <c r="R591" i="11"/>
  <c r="R592" i="11"/>
  <c r="R593" i="11"/>
  <c r="R594" i="11"/>
  <c r="R595" i="11"/>
  <c r="R596" i="11"/>
  <c r="R597" i="11"/>
  <c r="R598" i="11"/>
  <c r="R599" i="11"/>
  <c r="R600" i="11"/>
  <c r="R601" i="11"/>
  <c r="R602" i="11"/>
  <c r="R603" i="11"/>
  <c r="R604" i="11"/>
  <c r="R605" i="11"/>
  <c r="R606" i="11"/>
  <c r="R607" i="11"/>
  <c r="R608" i="11"/>
  <c r="R609" i="11"/>
  <c r="R610" i="11"/>
  <c r="R611" i="11"/>
  <c r="R612" i="11"/>
  <c r="R613" i="11"/>
  <c r="R614" i="11"/>
  <c r="R615" i="11"/>
  <c r="R616" i="11"/>
  <c r="R617" i="11"/>
  <c r="R618" i="11"/>
  <c r="R619" i="11"/>
  <c r="R620" i="11"/>
  <c r="R621" i="11"/>
  <c r="R622" i="11"/>
  <c r="R623" i="11"/>
  <c r="R624" i="11"/>
  <c r="R625" i="11"/>
  <c r="R626" i="11"/>
  <c r="R627" i="11"/>
  <c r="R628" i="11"/>
  <c r="R629" i="11"/>
  <c r="R630" i="11"/>
  <c r="R631" i="11"/>
  <c r="R632" i="11"/>
  <c r="R633" i="11"/>
  <c r="R634" i="11"/>
  <c r="R635" i="11"/>
  <c r="R636" i="11"/>
  <c r="R637" i="11"/>
  <c r="R638" i="11"/>
  <c r="R639" i="11"/>
  <c r="R640" i="11"/>
  <c r="R641" i="11"/>
  <c r="R642" i="11"/>
  <c r="R643" i="11"/>
  <c r="R644" i="11"/>
  <c r="R645" i="11"/>
  <c r="R646" i="11"/>
  <c r="R647" i="11"/>
  <c r="R648" i="11"/>
  <c r="R649" i="11"/>
  <c r="R650" i="11"/>
  <c r="R651" i="11"/>
  <c r="R652" i="11"/>
  <c r="R653" i="11"/>
  <c r="R654" i="11"/>
  <c r="R655" i="11"/>
  <c r="R656" i="11"/>
  <c r="R657" i="11"/>
  <c r="R658" i="11"/>
  <c r="R659" i="11"/>
  <c r="R660" i="11"/>
  <c r="R661" i="11"/>
  <c r="R662" i="11"/>
  <c r="R663" i="11"/>
  <c r="R664" i="11"/>
  <c r="R665" i="11"/>
  <c r="R666" i="11"/>
  <c r="R667" i="11"/>
  <c r="R668" i="11"/>
  <c r="R669" i="11"/>
  <c r="R670" i="11"/>
  <c r="R671" i="11"/>
  <c r="R672" i="11"/>
  <c r="R673" i="11"/>
  <c r="R674" i="11"/>
  <c r="R675" i="11"/>
  <c r="R676" i="11"/>
  <c r="R678" i="11"/>
  <c r="R679" i="11"/>
  <c r="R680" i="11"/>
  <c r="R681" i="11"/>
  <c r="R682" i="11"/>
  <c r="R683" i="11"/>
  <c r="R684" i="11"/>
  <c r="R685" i="11"/>
  <c r="R686" i="11"/>
  <c r="R687" i="11"/>
  <c r="R688" i="11"/>
  <c r="R689" i="11"/>
  <c r="R690" i="11"/>
  <c r="R691" i="11"/>
  <c r="R692" i="11"/>
  <c r="R693" i="11"/>
  <c r="R694" i="11"/>
  <c r="R695" i="11"/>
  <c r="R696" i="11"/>
  <c r="R697" i="11"/>
  <c r="R698" i="11"/>
  <c r="R699" i="11"/>
  <c r="R700" i="11"/>
  <c r="R701" i="11"/>
  <c r="R702" i="11"/>
  <c r="R703" i="11"/>
  <c r="R704" i="11"/>
  <c r="R705" i="11"/>
  <c r="R706" i="11"/>
  <c r="R707" i="11"/>
  <c r="R708" i="11"/>
  <c r="R709" i="11"/>
  <c r="R710" i="11"/>
  <c r="R711" i="11"/>
  <c r="R712" i="11"/>
  <c r="R713" i="11"/>
  <c r="R714" i="11"/>
  <c r="R715" i="11"/>
  <c r="R716" i="11"/>
  <c r="R717" i="11"/>
  <c r="R718" i="11"/>
  <c r="R719" i="11"/>
  <c r="R720" i="11"/>
  <c r="R721" i="11"/>
  <c r="R722" i="11"/>
  <c r="R723" i="11"/>
  <c r="R724" i="11"/>
  <c r="R725" i="11"/>
  <c r="R726" i="11"/>
  <c r="R727" i="11"/>
  <c r="R728" i="11"/>
  <c r="R729" i="11"/>
  <c r="R730" i="11"/>
  <c r="R731" i="11"/>
  <c r="R732" i="11"/>
  <c r="R733" i="11"/>
  <c r="R734" i="11"/>
  <c r="R735" i="11"/>
  <c r="R736" i="11"/>
  <c r="R737" i="11"/>
  <c r="R738" i="11"/>
  <c r="R739" i="11"/>
  <c r="R740" i="11"/>
  <c r="R741" i="11"/>
  <c r="R742" i="11"/>
  <c r="R743" i="11"/>
  <c r="R744" i="11"/>
  <c r="R745" i="11"/>
  <c r="R746" i="11"/>
  <c r="R747" i="11"/>
  <c r="R748" i="11"/>
  <c r="R749" i="11"/>
  <c r="R750" i="11"/>
  <c r="R751" i="11"/>
  <c r="R752" i="11"/>
  <c r="R753" i="11"/>
  <c r="R754" i="11"/>
  <c r="R755" i="11"/>
  <c r="R756" i="11"/>
  <c r="R757" i="11"/>
  <c r="R758" i="11"/>
  <c r="R759" i="11"/>
  <c r="R760" i="11"/>
  <c r="R761" i="11"/>
  <c r="R762" i="11"/>
  <c r="R763" i="11"/>
  <c r="R764" i="11"/>
  <c r="R765" i="11"/>
  <c r="R766" i="11"/>
  <c r="R767" i="11"/>
  <c r="R768" i="11"/>
  <c r="R769" i="11"/>
  <c r="R770" i="11"/>
  <c r="R771" i="11"/>
  <c r="R772" i="11"/>
  <c r="R773" i="11"/>
  <c r="R774" i="11"/>
  <c r="R775" i="11"/>
  <c r="R776" i="11"/>
  <c r="R777" i="11"/>
  <c r="R778" i="11"/>
  <c r="R779" i="11"/>
  <c r="R780" i="11"/>
  <c r="R781" i="11"/>
  <c r="R782" i="11"/>
  <c r="R783" i="11"/>
  <c r="R784" i="11"/>
  <c r="R785" i="11"/>
  <c r="R786" i="11"/>
  <c r="R787" i="11"/>
  <c r="R788" i="11"/>
  <c r="R789" i="11"/>
  <c r="R790" i="11"/>
  <c r="R791" i="11"/>
  <c r="R792" i="11"/>
  <c r="R793" i="11"/>
  <c r="R794" i="11"/>
  <c r="R795" i="11"/>
  <c r="R796" i="11"/>
  <c r="R797" i="11"/>
  <c r="R798" i="11"/>
  <c r="R799" i="11"/>
  <c r="R800" i="11"/>
  <c r="R801" i="11"/>
  <c r="R802" i="11"/>
  <c r="R803" i="11"/>
  <c r="R804" i="11"/>
  <c r="R805" i="11"/>
  <c r="R806" i="11"/>
  <c r="R807" i="11"/>
  <c r="R808" i="11"/>
  <c r="R809" i="11"/>
  <c r="R810" i="11"/>
  <c r="R811" i="11"/>
  <c r="R812" i="11"/>
  <c r="R813" i="11"/>
  <c r="R814" i="11"/>
  <c r="R815" i="11"/>
  <c r="R816" i="11"/>
  <c r="R817" i="11"/>
  <c r="R818" i="11"/>
  <c r="R819" i="11"/>
  <c r="R820" i="11"/>
  <c r="R821" i="11"/>
  <c r="R822" i="11"/>
  <c r="R823" i="11"/>
  <c r="R824" i="11"/>
  <c r="R825" i="11"/>
  <c r="R826" i="11"/>
  <c r="R827" i="11"/>
  <c r="R828" i="11"/>
  <c r="R829" i="11"/>
  <c r="R830" i="11"/>
  <c r="R831" i="11"/>
  <c r="R832" i="11"/>
  <c r="R833" i="11"/>
  <c r="R834" i="11"/>
  <c r="R835" i="11"/>
  <c r="R836" i="11"/>
  <c r="R837" i="11"/>
  <c r="R838" i="11"/>
  <c r="R839" i="11"/>
  <c r="R840" i="11"/>
  <c r="R841" i="11"/>
  <c r="R842" i="11"/>
  <c r="R843" i="11"/>
  <c r="R844" i="11"/>
  <c r="R845" i="11"/>
  <c r="R846" i="11"/>
  <c r="R847" i="11"/>
  <c r="R848" i="11"/>
  <c r="R849" i="11"/>
  <c r="R850" i="11"/>
  <c r="R851" i="11"/>
  <c r="R852" i="11"/>
  <c r="R853" i="11"/>
  <c r="R854" i="11"/>
  <c r="R855" i="11"/>
  <c r="R856" i="11"/>
  <c r="R857" i="11"/>
  <c r="R858" i="11"/>
  <c r="R859" i="11"/>
  <c r="R860" i="11"/>
  <c r="R861" i="11"/>
  <c r="R862" i="11"/>
  <c r="R863" i="11"/>
  <c r="R864" i="11"/>
  <c r="R865" i="11"/>
  <c r="R866" i="11"/>
  <c r="R867" i="11"/>
  <c r="R868" i="11"/>
  <c r="R869" i="11"/>
  <c r="R870" i="11"/>
  <c r="R871" i="11"/>
  <c r="R872" i="11"/>
  <c r="R873" i="11"/>
  <c r="R874" i="11"/>
  <c r="R875" i="11"/>
  <c r="R876" i="11"/>
  <c r="R877" i="11"/>
  <c r="R878" i="11"/>
  <c r="R879" i="11"/>
  <c r="R880" i="11"/>
  <c r="R881" i="11"/>
  <c r="R882" i="11"/>
  <c r="R883" i="11"/>
  <c r="R884" i="11"/>
  <c r="R885" i="11"/>
  <c r="R886" i="11"/>
  <c r="R887" i="11"/>
  <c r="R888" i="11"/>
  <c r="R889" i="11"/>
  <c r="R890" i="11"/>
  <c r="R891" i="11"/>
  <c r="R892" i="11"/>
  <c r="R893" i="11"/>
  <c r="R894" i="11"/>
  <c r="R895" i="11"/>
  <c r="R896" i="11"/>
  <c r="R897" i="11"/>
  <c r="R898" i="11"/>
  <c r="R899" i="11"/>
  <c r="R900" i="11"/>
  <c r="R901" i="11"/>
  <c r="R902" i="11"/>
  <c r="R903" i="11"/>
  <c r="R904" i="11"/>
  <c r="R905" i="11"/>
  <c r="R906" i="11"/>
  <c r="R907" i="11"/>
  <c r="R908" i="11"/>
  <c r="R909" i="11"/>
  <c r="R910" i="11"/>
  <c r="R911" i="11"/>
  <c r="R912" i="11"/>
  <c r="R913" i="11"/>
  <c r="R914" i="11"/>
  <c r="R915" i="11"/>
  <c r="R916" i="11"/>
  <c r="R917" i="11"/>
  <c r="R918" i="11"/>
  <c r="R919" i="11"/>
  <c r="R920" i="11"/>
  <c r="R921" i="11"/>
  <c r="R922" i="11"/>
  <c r="R2" i="11"/>
  <c r="M832" i="11"/>
  <c r="M831" i="11"/>
  <c r="M830" i="11"/>
  <c r="M829" i="11"/>
  <c r="M828" i="11"/>
  <c r="M827" i="11"/>
  <c r="M826" i="11"/>
  <c r="M825" i="11"/>
  <c r="M824" i="11"/>
  <c r="M823" i="11"/>
  <c r="M822" i="11"/>
  <c r="L832" i="11"/>
  <c r="L831" i="11"/>
  <c r="L830" i="11"/>
  <c r="L829" i="11"/>
  <c r="L828" i="11"/>
  <c r="L827" i="11"/>
  <c r="L826" i="11"/>
  <c r="L825" i="11"/>
  <c r="L824" i="11"/>
  <c r="L823" i="11"/>
  <c r="L822" i="11"/>
  <c r="L821" i="11"/>
  <c r="L743" i="11"/>
  <c r="L742" i="11"/>
  <c r="L741" i="11"/>
  <c r="L740" i="11"/>
  <c r="L889" i="11"/>
  <c r="L888" i="11"/>
  <c r="L887" i="11"/>
  <c r="L886" i="11"/>
  <c r="L885" i="11"/>
  <c r="L884" i="11"/>
  <c r="L883" i="11"/>
  <c r="L882" i="11"/>
  <c r="L881" i="11"/>
  <c r="L880" i="11"/>
  <c r="L879" i="11"/>
  <c r="M507" i="11"/>
  <c r="L507" i="11"/>
  <c r="M517" i="11"/>
  <c r="L517" i="11"/>
  <c r="M516" i="11"/>
  <c r="L516" i="11"/>
  <c r="L515" i="11"/>
  <c r="M515" i="11"/>
  <c r="H41" i="11"/>
  <c r="G41" i="11"/>
  <c r="M41" i="11"/>
  <c r="L41" i="11"/>
  <c r="H40" i="11"/>
  <c r="G40" i="11"/>
  <c r="M40" i="11"/>
  <c r="L40" i="11"/>
  <c r="H1935" i="11"/>
  <c r="G1935" i="11"/>
  <c r="M1935" i="11"/>
  <c r="L1935" i="11"/>
  <c r="H1934" i="11"/>
  <c r="G1934" i="11"/>
  <c r="M1934" i="11"/>
  <c r="L1934" i="11"/>
  <c r="M1933" i="11"/>
  <c r="L1933" i="11"/>
  <c r="H1933" i="11"/>
  <c r="G1933" i="11"/>
  <c r="L529" i="11"/>
  <c r="M529" i="11"/>
  <c r="I231" i="14" l="1"/>
  <c r="I1427" i="14"/>
  <c r="I1425" i="14"/>
  <c r="I1424" i="14"/>
  <c r="L635" i="16"/>
  <c r="L745" i="16"/>
  <c r="L787" i="16"/>
  <c r="M727" i="16"/>
  <c r="L535" i="16"/>
  <c r="L456" i="14"/>
  <c r="L544" i="14"/>
  <c r="L1011" i="14"/>
  <c r="L1221" i="14"/>
  <c r="L1163" i="14"/>
  <c r="M1172" i="14"/>
  <c r="L1182" i="14"/>
  <c r="M591" i="14"/>
  <c r="L826" i="14"/>
  <c r="M1245" i="14"/>
  <c r="M812" i="14"/>
  <c r="M861" i="14"/>
  <c r="M1250" i="14"/>
  <c r="M761" i="14"/>
  <c r="L800" i="14"/>
  <c r="L637" i="14"/>
  <c r="L944" i="14"/>
  <c r="L1252" i="14"/>
  <c r="L1259" i="14"/>
  <c r="M664" i="14"/>
  <c r="M977" i="14"/>
  <c r="L1286" i="14"/>
  <c r="L731" i="14"/>
  <c r="L1059" i="14"/>
  <c r="L1298" i="14"/>
  <c r="M1073" i="14"/>
  <c r="M1322" i="14"/>
  <c r="L398" i="14"/>
  <c r="L553" i="14"/>
  <c r="L650" i="14"/>
  <c r="M760" i="14"/>
  <c r="L963" i="14"/>
  <c r="M1095" i="14"/>
  <c r="M1253" i="14"/>
  <c r="M1299" i="14"/>
  <c r="L823" i="14"/>
  <c r="M432" i="14"/>
  <c r="L1104" i="14"/>
  <c r="L1198" i="14"/>
  <c r="M1256" i="14"/>
  <c r="M1310" i="14"/>
  <c r="M1199" i="14"/>
  <c r="M475" i="14"/>
  <c r="M673" i="14"/>
  <c r="M773" i="14"/>
  <c r="L879" i="14"/>
  <c r="M1001" i="14"/>
  <c r="L1116" i="14"/>
  <c r="M1214" i="14"/>
  <c r="L1263" i="14"/>
  <c r="M1264" i="14"/>
  <c r="M501" i="14"/>
  <c r="M697" i="14"/>
  <c r="L784" i="14"/>
  <c r="M1222" i="14"/>
  <c r="L1329" i="14"/>
  <c r="M478" i="14"/>
  <c r="L775" i="14"/>
  <c r="L352" i="14"/>
  <c r="L503" i="14"/>
  <c r="L702" i="14"/>
  <c r="M897" i="14"/>
  <c r="L1030" i="14"/>
  <c r="L1131" i="14"/>
  <c r="L1227" i="14"/>
  <c r="L1270" i="14"/>
  <c r="L1334" i="14"/>
  <c r="L374" i="14"/>
  <c r="L510" i="14"/>
  <c r="L711" i="14"/>
  <c r="L796" i="14"/>
  <c r="M1053" i="14"/>
  <c r="L1145" i="14"/>
  <c r="L1235" i="14"/>
  <c r="M1274" i="14"/>
  <c r="L1335" i="14"/>
  <c r="L1109" i="14"/>
  <c r="L367" i="14"/>
  <c r="L525" i="14"/>
  <c r="M728" i="14"/>
  <c r="M799" i="14"/>
  <c r="L1054" i="14"/>
  <c r="L1240" i="14"/>
  <c r="L1281" i="14"/>
  <c r="L743" i="14"/>
  <c r="L698" i="14"/>
  <c r="L340" i="14"/>
  <c r="M342" i="14"/>
  <c r="L487" i="14"/>
  <c r="M815" i="14"/>
  <c r="M1185" i="14"/>
  <c r="M340" i="14"/>
  <c r="L1151" i="14"/>
  <c r="M1311" i="14"/>
  <c r="L1029" i="14"/>
  <c r="M552" i="14"/>
  <c r="M470" i="14"/>
  <c r="L515" i="14"/>
  <c r="M852" i="14"/>
  <c r="M1078" i="14"/>
  <c r="L1276" i="14"/>
  <c r="M1252" i="14"/>
  <c r="L716" i="14"/>
  <c r="M934" i="14"/>
  <c r="L934" i="14"/>
  <c r="L843" i="14"/>
  <c r="L1195" i="14"/>
  <c r="M1292" i="14"/>
  <c r="M1317" i="14"/>
  <c r="M457" i="14"/>
  <c r="M500" i="14"/>
  <c r="M524" i="14"/>
  <c r="L661" i="14"/>
  <c r="M698" i="14"/>
  <c r="L727" i="14"/>
  <c r="M844" i="14"/>
  <c r="L1070" i="14"/>
  <c r="L1094" i="14"/>
  <c r="L1115" i="14"/>
  <c r="M1237" i="14"/>
  <c r="L1251" i="14"/>
  <c r="L1262" i="14"/>
  <c r="L1282" i="14"/>
  <c r="L1293" i="14"/>
  <c r="M1306" i="14"/>
  <c r="L1318" i="14"/>
  <c r="M1068" i="14"/>
  <c r="L1250" i="14"/>
  <c r="M545" i="14"/>
  <c r="L744" i="14"/>
  <c r="M1133" i="14"/>
  <c r="M1271" i="14"/>
  <c r="L1283" i="14"/>
  <c r="M1294" i="14"/>
  <c r="L1307" i="14"/>
  <c r="M1319" i="14"/>
  <c r="L1331" i="14"/>
  <c r="L812" i="14"/>
  <c r="L345" i="14"/>
  <c r="L647" i="14"/>
  <c r="L972" i="14"/>
  <c r="L1173" i="14"/>
  <c r="L1244" i="14"/>
  <c r="M242" i="14"/>
  <c r="L353" i="14"/>
  <c r="L394" i="14"/>
  <c r="M569" i="14"/>
  <c r="L633" i="14"/>
  <c r="M787" i="14"/>
  <c r="L808" i="14"/>
  <c r="L827" i="14"/>
  <c r="L946" i="14"/>
  <c r="M982" i="14"/>
  <c r="M1119" i="14"/>
  <c r="M1150" i="14"/>
  <c r="M1207" i="14"/>
  <c r="L1265" i="14"/>
  <c r="L1287" i="14"/>
  <c r="L1300" i="14"/>
  <c r="M1312" i="14"/>
  <c r="M1324" i="14"/>
  <c r="M1336" i="14"/>
  <c r="L530" i="14"/>
  <c r="M803" i="14"/>
  <c r="L1202" i="14"/>
  <c r="M1276" i="14"/>
  <c r="L262" i="14"/>
  <c r="M437" i="14"/>
  <c r="L479" i="14"/>
  <c r="L511" i="14"/>
  <c r="L712" i="14"/>
  <c r="M739" i="14"/>
  <c r="L830" i="14"/>
  <c r="L900" i="14"/>
  <c r="L1060" i="14"/>
  <c r="M1083" i="14"/>
  <c r="L1105" i="14"/>
  <c r="L1125" i="14"/>
  <c r="L1228" i="14"/>
  <c r="L1246" i="14"/>
  <c r="L1257" i="14"/>
  <c r="M1268" i="14"/>
  <c r="M1277" i="14"/>
  <c r="L1288" i="14"/>
  <c r="M1301" i="14"/>
  <c r="M1313" i="14"/>
  <c r="L1325" i="14"/>
  <c r="L1337" i="14"/>
  <c r="L1275" i="14"/>
  <c r="L330" i="14"/>
  <c r="L359" i="14"/>
  <c r="M396" i="14"/>
  <c r="L443" i="14"/>
  <c r="L613" i="14"/>
  <c r="L634" i="14"/>
  <c r="L658" i="14"/>
  <c r="M765" i="14"/>
  <c r="M788" i="14"/>
  <c r="L811" i="14"/>
  <c r="L947" i="14"/>
  <c r="M983" i="14"/>
  <c r="L1067" i="14"/>
  <c r="L1188" i="14"/>
  <c r="L1211" i="14"/>
  <c r="L1234" i="14"/>
  <c r="M1291" i="14"/>
  <c r="M1304" i="14"/>
  <c r="L1316" i="14"/>
  <c r="L1328" i="14"/>
  <c r="L1340" i="14"/>
  <c r="L342" i="14"/>
  <c r="M1011" i="14"/>
  <c r="L977" i="14"/>
  <c r="M1082" i="14"/>
  <c r="M1265" i="14"/>
  <c r="L265" i="14"/>
  <c r="M337" i="14"/>
  <c r="M541" i="14"/>
  <c r="L588" i="14"/>
  <c r="L740" i="14"/>
  <c r="M873" i="14"/>
  <c r="L933" i="14"/>
  <c r="L958" i="14"/>
  <c r="M1108" i="14"/>
  <c r="L1247" i="14"/>
  <c r="L1258" i="14"/>
  <c r="L1269" i="14"/>
  <c r="L1341" i="14"/>
  <c r="L360" i="14"/>
  <c r="L614" i="14"/>
  <c r="M791" i="14"/>
  <c r="M986" i="14"/>
  <c r="L1190" i="14"/>
  <c r="M796" i="14"/>
  <c r="L861" i="14"/>
  <c r="L1053" i="14"/>
  <c r="M1246" i="14"/>
  <c r="M330" i="14"/>
  <c r="L664" i="14"/>
  <c r="M1109" i="14"/>
  <c r="L323" i="14"/>
  <c r="M879" i="14"/>
  <c r="L368" i="14"/>
  <c r="M368" i="14"/>
  <c r="M511" i="14"/>
  <c r="M553" i="14"/>
  <c r="L514" i="14"/>
  <c r="M514" i="14"/>
  <c r="L1118" i="14"/>
  <c r="M1118" i="14"/>
  <c r="M743" i="14"/>
  <c r="L478" i="14"/>
  <c r="L651" i="14"/>
  <c r="M651" i="14"/>
  <c r="L475" i="14"/>
  <c r="M1325" i="14"/>
  <c r="L1253" i="14"/>
  <c r="L1082" i="14"/>
  <c r="L787" i="14"/>
  <c r="M646" i="14"/>
  <c r="L1322" i="14"/>
  <c r="L326" i="14"/>
  <c r="M326" i="14"/>
  <c r="L674" i="14"/>
  <c r="M674" i="14"/>
  <c r="M843" i="14"/>
  <c r="L962" i="14"/>
  <c r="M1323" i="14"/>
  <c r="L1150" i="14"/>
  <c r="L569" i="14"/>
  <c r="M811" i="14"/>
  <c r="M352" i="14"/>
  <c r="L1268" i="14"/>
  <c r="L646" i="14"/>
  <c r="M1182" i="14"/>
  <c r="M659" i="14"/>
  <c r="M1198" i="14"/>
  <c r="M323" i="14"/>
  <c r="L592" i="14"/>
  <c r="M592" i="14"/>
  <c r="L396" i="14"/>
  <c r="L659" i="14"/>
  <c r="M530" i="14"/>
  <c r="M1104" i="14"/>
  <c r="L1319" i="14"/>
  <c r="M1269" i="14"/>
  <c r="M1257" i="14"/>
  <c r="M962" i="14"/>
  <c r="L206" i="14"/>
  <c r="M206" i="14"/>
  <c r="I1428" i="14"/>
  <c r="I120" i="16"/>
  <c r="I302" i="14"/>
  <c r="I301" i="14"/>
  <c r="I477" i="11"/>
  <c r="I480" i="11"/>
  <c r="I25" i="16"/>
  <c r="I298" i="14"/>
  <c r="I296" i="14"/>
  <c r="I118" i="16"/>
  <c r="I290" i="14"/>
  <c r="I291" i="14"/>
  <c r="I285" i="14"/>
  <c r="I284" i="14"/>
  <c r="I116" i="16"/>
  <c r="I114" i="16"/>
  <c r="I2258" i="11"/>
  <c r="I2263" i="11"/>
  <c r="I2261" i="11"/>
  <c r="I2262" i="11"/>
  <c r="I315" i="11"/>
  <c r="I218" i="14"/>
  <c r="L1423" i="14"/>
  <c r="I308" i="11"/>
  <c r="I1423" i="14"/>
  <c r="I2257" i="11"/>
  <c r="I1335" i="14"/>
  <c r="I875" i="14"/>
  <c r="I345" i="14"/>
  <c r="I257" i="14"/>
  <c r="I1177" i="14"/>
  <c r="I934" i="14"/>
  <c r="I897" i="14"/>
  <c r="I844" i="14"/>
  <c r="I1257" i="14"/>
  <c r="I1245" i="14"/>
  <c r="I1221" i="14"/>
  <c r="I1090" i="14"/>
  <c r="L556" i="16"/>
  <c r="I48" i="14"/>
  <c r="I533" i="14"/>
  <c r="I208" i="14"/>
  <c r="I1228" i="14"/>
  <c r="I629" i="14"/>
  <c r="I363" i="14"/>
  <c r="I175" i="14"/>
  <c r="I36" i="14"/>
  <c r="I39" i="14"/>
  <c r="I768" i="14"/>
  <c r="I707" i="14"/>
  <c r="I658" i="14"/>
  <c r="I633" i="14"/>
  <c r="I510" i="14"/>
  <c r="I440" i="14"/>
  <c r="I367" i="14"/>
  <c r="I326" i="14"/>
  <c r="I23" i="14"/>
  <c r="I478" i="14"/>
  <c r="I432" i="14"/>
  <c r="I359" i="14"/>
  <c r="I171" i="14"/>
  <c r="I19" i="14"/>
  <c r="I1934" i="11"/>
  <c r="I40" i="11"/>
  <c r="I41" i="11"/>
  <c r="I15" i="14"/>
  <c r="I490" i="16"/>
  <c r="I1232" i="14"/>
  <c r="I1215" i="14"/>
  <c r="I869" i="14"/>
  <c r="I157" i="14"/>
  <c r="I1211" i="14"/>
  <c r="I622" i="16"/>
  <c r="I616" i="16"/>
  <c r="I601" i="16"/>
  <c r="I595" i="16"/>
  <c r="I624" i="16"/>
  <c r="I603" i="16"/>
  <c r="I560" i="16"/>
  <c r="I546" i="16"/>
  <c r="I525" i="16"/>
  <c r="I500" i="16"/>
  <c r="I486" i="16"/>
  <c r="I769" i="16"/>
  <c r="I759" i="16"/>
  <c r="I712" i="16"/>
  <c r="I705" i="16"/>
  <c r="I667" i="16"/>
  <c r="I593" i="16"/>
  <c r="I577" i="16"/>
  <c r="I563" i="16"/>
  <c r="I506" i="16"/>
  <c r="I1338" i="14"/>
  <c r="I1340" i="14"/>
  <c r="I873" i="14"/>
  <c r="I761" i="14"/>
  <c r="I278" i="14"/>
  <c r="I1295" i="14"/>
  <c r="I1271" i="14"/>
  <c r="I1259" i="14"/>
  <c r="I972" i="14"/>
  <c r="I933" i="14"/>
  <c r="I799" i="14"/>
  <c r="I772" i="14"/>
  <c r="I272" i="14"/>
  <c r="I1270" i="14"/>
  <c r="I1260" i="14"/>
  <c r="I1308" i="14"/>
  <c r="I242" i="14"/>
  <c r="I198" i="14"/>
  <c r="I804" i="16"/>
  <c r="I792" i="16"/>
  <c r="I679" i="16"/>
  <c r="I800" i="16"/>
  <c r="I710" i="16"/>
  <c r="I658" i="16"/>
  <c r="I730" i="16"/>
  <c r="I711" i="14"/>
  <c r="I505" i="14"/>
  <c r="I216" i="14"/>
  <c r="I963" i="14"/>
  <c r="I731" i="14"/>
  <c r="I654" i="14"/>
  <c r="I1162" i="14"/>
  <c r="I1339" i="14"/>
  <c r="I548" i="14"/>
  <c r="I514" i="14"/>
  <c r="I456" i="14"/>
  <c r="I389" i="14"/>
  <c r="I330" i="14"/>
  <c r="I287" i="14"/>
  <c r="I203" i="14"/>
  <c r="I1231" i="14"/>
  <c r="I443" i="14"/>
  <c r="I1244" i="14"/>
  <c r="I390" i="14"/>
  <c r="I1334" i="14"/>
  <c r="I1330" i="14"/>
  <c r="I1101" i="14"/>
  <c r="I885" i="14"/>
  <c r="I852" i="14"/>
  <c r="I1254" i="14"/>
  <c r="I1326" i="14"/>
  <c r="I947" i="14"/>
  <c r="I827" i="14"/>
  <c r="I796" i="14"/>
  <c r="I1263" i="14"/>
  <c r="I1251" i="14"/>
  <c r="I807" i="14"/>
  <c r="I803" i="16"/>
  <c r="I675" i="16"/>
  <c r="I717" i="16"/>
  <c r="I711" i="16"/>
  <c r="I704" i="16"/>
  <c r="I684" i="16"/>
  <c r="I673" i="16"/>
  <c r="I666" i="16"/>
  <c r="I731" i="16"/>
  <c r="I663" i="16"/>
  <c r="I637" i="16"/>
  <c r="I714" i="16"/>
  <c r="I707" i="16"/>
  <c r="I677" i="16"/>
  <c r="I669" i="16"/>
  <c r="I609" i="16"/>
  <c r="I580" i="16"/>
  <c r="I602" i="16"/>
  <c r="I596" i="16"/>
  <c r="I575" i="16"/>
  <c r="I554" i="16"/>
  <c r="I748" i="16"/>
  <c r="I802" i="16"/>
  <c r="I790" i="16"/>
  <c r="I719" i="16"/>
  <c r="I670" i="16"/>
  <c r="I795" i="16"/>
  <c r="I511" i="16"/>
  <c r="I774" i="16"/>
  <c r="I536" i="16"/>
  <c r="I636" i="16"/>
  <c r="I509" i="16"/>
  <c r="I786" i="16"/>
  <c r="I754" i="16"/>
  <c r="I579" i="16"/>
  <c r="I721" i="16"/>
  <c r="I706" i="16"/>
  <c r="I686" i="16"/>
  <c r="I668" i="16"/>
  <c r="I732" i="16"/>
  <c r="I576" i="16"/>
  <c r="I756" i="16"/>
  <c r="I737" i="16"/>
  <c r="I646" i="16"/>
  <c r="I537" i="16"/>
  <c r="I528" i="16"/>
  <c r="I503" i="16"/>
  <c r="I520" i="16"/>
  <c r="I510" i="16"/>
  <c r="I787" i="16"/>
  <c r="I773" i="16"/>
  <c r="I762" i="16"/>
  <c r="I701" i="16"/>
  <c r="I671" i="16"/>
  <c r="I619" i="16"/>
  <c r="I604" i="16"/>
  <c r="I598" i="16"/>
  <c r="I608" i="16"/>
  <c r="I543" i="16"/>
  <c r="I532" i="16"/>
  <c r="I735" i="16"/>
  <c r="I629" i="16"/>
  <c r="I566" i="16"/>
  <c r="I571" i="16"/>
  <c r="I542" i="16"/>
  <c r="I527" i="16"/>
  <c r="I501" i="16"/>
  <c r="M616" i="16"/>
  <c r="L632" i="16"/>
  <c r="M632" i="16"/>
  <c r="L572" i="16"/>
  <c r="M572" i="16"/>
  <c r="L630" i="16"/>
  <c r="M630" i="16"/>
  <c r="L571" i="16"/>
  <c r="L634" i="16"/>
  <c r="M634" i="16"/>
  <c r="L719" i="16"/>
  <c r="M719" i="16"/>
  <c r="M760" i="16"/>
  <c r="L706" i="16"/>
  <c r="L723" i="16"/>
  <c r="M723" i="16"/>
  <c r="M686" i="16"/>
  <c r="M641" i="16"/>
  <c r="L710" i="16"/>
  <c r="L784" i="16"/>
  <c r="M542" i="16"/>
  <c r="L507" i="16"/>
  <c r="M721" i="16"/>
  <c r="I548" i="16"/>
  <c r="L617" i="16"/>
  <c r="L793" i="16"/>
  <c r="L631" i="16"/>
  <c r="L554" i="16"/>
  <c r="M509" i="16"/>
  <c r="M778" i="16"/>
  <c r="M521" i="16"/>
  <c r="M718" i="16"/>
  <c r="M792" i="16"/>
  <c r="L679" i="16"/>
  <c r="M543" i="16"/>
  <c r="M486" i="16"/>
  <c r="M485" i="16"/>
  <c r="M804" i="16"/>
  <c r="L702" i="16"/>
  <c r="M737" i="16"/>
  <c r="M802" i="16"/>
  <c r="M790" i="16"/>
  <c r="L670" i="16"/>
  <c r="M583" i="16"/>
  <c r="L541" i="16"/>
  <c r="L799" i="16"/>
  <c r="L806" i="16"/>
  <c r="L489" i="16"/>
  <c r="I631" i="16"/>
  <c r="I778" i="16"/>
  <c r="L698" i="16"/>
  <c r="I797" i="16"/>
  <c r="I597" i="16"/>
  <c r="M697" i="16"/>
  <c r="M794" i="16"/>
  <c r="M564" i="16"/>
  <c r="L539" i="16"/>
  <c r="L756" i="16"/>
  <c r="L663" i="16"/>
  <c r="M663" i="16"/>
  <c r="L611" i="16"/>
  <c r="M611" i="16"/>
  <c r="I606" i="16"/>
  <c r="L798" i="16"/>
  <c r="L623" i="16"/>
  <c r="L609" i="16"/>
  <c r="M609" i="16"/>
  <c r="I805" i="16"/>
  <c r="I785" i="16"/>
  <c r="I702" i="16"/>
  <c r="I504" i="16"/>
  <c r="I724" i="16"/>
  <c r="I693" i="16"/>
  <c r="I614" i="16"/>
  <c r="I605" i="16"/>
  <c r="I599" i="16"/>
  <c r="I584" i="16"/>
  <c r="I573" i="16"/>
  <c r="I562" i="16"/>
  <c r="L657" i="16"/>
  <c r="L754" i="16"/>
  <c r="M754" i="16"/>
  <c r="M699" i="16"/>
  <c r="L699" i="16"/>
  <c r="M659" i="16"/>
  <c r="M665" i="16"/>
  <c r="L524" i="16"/>
  <c r="L645" i="16"/>
  <c r="M645" i="16"/>
  <c r="L622" i="16"/>
  <c r="M603" i="16"/>
  <c r="L546" i="16"/>
  <c r="M546" i="16"/>
  <c r="L560" i="16"/>
  <c r="M560" i="16"/>
  <c r="I518" i="16"/>
  <c r="I644" i="16"/>
  <c r="L785" i="16"/>
  <c r="I643" i="16"/>
  <c r="I505" i="16"/>
  <c r="I752" i="16"/>
  <c r="I746" i="16"/>
  <c r="I739" i="16"/>
  <c r="I733" i="16"/>
  <c r="I726" i="16"/>
  <c r="I698" i="16"/>
  <c r="I634" i="16"/>
  <c r="I627" i="16"/>
  <c r="I544" i="16"/>
  <c r="I514" i="16"/>
  <c r="I498" i="16"/>
  <c r="L726" i="16"/>
  <c r="M726" i="16"/>
  <c r="M621" i="16"/>
  <c r="L725" i="16"/>
  <c r="M725" i="16"/>
  <c r="L620" i="16"/>
  <c r="M620" i="16"/>
  <c r="L672" i="16"/>
  <c r="M672" i="16"/>
  <c r="L786" i="16"/>
  <c r="L766" i="16"/>
  <c r="M570" i="16"/>
  <c r="L782" i="16"/>
  <c r="M782" i="16"/>
  <c r="L693" i="16"/>
  <c r="M693" i="16"/>
  <c r="L716" i="16"/>
  <c r="M716" i="16"/>
  <c r="L703" i="16"/>
  <c r="M703" i="16"/>
  <c r="L683" i="16"/>
  <c r="M683" i="16"/>
  <c r="L664" i="16"/>
  <c r="L795" i="16"/>
  <c r="M795" i="16"/>
  <c r="L780" i="16"/>
  <c r="M780" i="16"/>
  <c r="M691" i="16"/>
  <c r="L590" i="16"/>
  <c r="M590" i="16"/>
  <c r="L525" i="16"/>
  <c r="M525" i="16"/>
  <c r="M753" i="16"/>
  <c r="M605" i="16"/>
  <c r="L520" i="16"/>
  <c r="M520" i="16"/>
  <c r="L773" i="16"/>
  <c r="M773" i="16"/>
  <c r="L755" i="16"/>
  <c r="L636" i="16"/>
  <c r="M636" i="16"/>
  <c r="L555" i="16"/>
  <c r="M555" i="16"/>
  <c r="L499" i="16"/>
  <c r="M499" i="16"/>
  <c r="M788" i="16"/>
  <c r="M536" i="16"/>
  <c r="M623" i="16"/>
  <c r="L579" i="16"/>
  <c r="L711" i="16"/>
  <c r="M711" i="16"/>
  <c r="I513" i="16"/>
  <c r="I507" i="16"/>
  <c r="I776" i="16"/>
  <c r="I768" i="16"/>
  <c r="I758" i="16"/>
  <c r="I753" i="16"/>
  <c r="I734" i="16"/>
  <c r="I641" i="16"/>
  <c r="I628" i="16"/>
  <c r="M755" i="16"/>
  <c r="L709" i="16"/>
  <c r="M709" i="16"/>
  <c r="L604" i="16"/>
  <c r="M604" i="16"/>
  <c r="I586" i="16"/>
  <c r="I499" i="16"/>
  <c r="L605" i="16"/>
  <c r="L801" i="16"/>
  <c r="L789" i="16"/>
  <c r="L665" i="16"/>
  <c r="L582" i="16"/>
  <c r="M522" i="16"/>
  <c r="L800" i="16"/>
  <c r="L658" i="16"/>
  <c r="L536" i="16"/>
  <c r="M786" i="16"/>
  <c r="M635" i="16"/>
  <c r="M622" i="16"/>
  <c r="M799" i="16"/>
  <c r="M785" i="16"/>
  <c r="M657" i="16"/>
  <c r="M575" i="16"/>
  <c r="M534" i="16"/>
  <c r="M571" i="16"/>
  <c r="L607" i="16"/>
  <c r="M784" i="16"/>
  <c r="M642" i="16"/>
  <c r="M805" i="16"/>
  <c r="M793" i="16"/>
  <c r="M487" i="16"/>
  <c r="L792" i="16"/>
  <c r="L608" i="16"/>
  <c r="L543" i="16"/>
  <c r="L486" i="16"/>
  <c r="L778" i="16"/>
  <c r="L735" i="16"/>
  <c r="L686" i="16"/>
  <c r="L498" i="16"/>
  <c r="L534" i="16"/>
  <c r="M607" i="16"/>
  <c r="L522" i="16"/>
  <c r="M658" i="16"/>
  <c r="L487" i="16"/>
  <c r="L783" i="16"/>
  <c r="M800" i="16"/>
  <c r="M803" i="16"/>
  <c r="M791" i="16"/>
  <c r="M675" i="16"/>
  <c r="M593" i="16"/>
  <c r="M498" i="16"/>
  <c r="I587" i="16"/>
  <c r="I801" i="16"/>
  <c r="I703" i="16"/>
  <c r="I665" i="16"/>
  <c r="I583" i="16"/>
  <c r="I570" i="16"/>
  <c r="I541" i="16"/>
  <c r="I531" i="16"/>
  <c r="I508" i="16"/>
  <c r="I760" i="16"/>
  <c r="I743" i="16"/>
  <c r="I736" i="16"/>
  <c r="I664" i="16"/>
  <c r="I639" i="16"/>
  <c r="I633" i="16"/>
  <c r="I626" i="16"/>
  <c r="I621" i="16"/>
  <c r="I600" i="16"/>
  <c r="I565" i="16"/>
  <c r="I533" i="16"/>
  <c r="I523" i="16"/>
  <c r="I742" i="16"/>
  <c r="I674" i="16"/>
  <c r="I651" i="16"/>
  <c r="I539" i="16"/>
  <c r="I489" i="16"/>
  <c r="I727" i="16"/>
  <c r="I625" i="16"/>
  <c r="I779" i="16"/>
  <c r="I697" i="16"/>
  <c r="I526" i="16"/>
  <c r="I551" i="16"/>
  <c r="I722" i="16"/>
  <c r="I798" i="16"/>
  <c r="I657" i="16"/>
  <c r="I782" i="16"/>
  <c r="I699" i="16"/>
  <c r="I662" i="16"/>
  <c r="I591" i="16"/>
  <c r="I529" i="16"/>
  <c r="I652" i="16"/>
  <c r="I620" i="16"/>
  <c r="I796" i="16"/>
  <c r="I784" i="16"/>
  <c r="I653" i="16"/>
  <c r="I757" i="16"/>
  <c r="I751" i="16"/>
  <c r="I659" i="16"/>
  <c r="I561" i="16"/>
  <c r="I547" i="16"/>
  <c r="I592" i="16"/>
  <c r="I487" i="16"/>
  <c r="I642" i="16"/>
  <c r="I582" i="16"/>
  <c r="I569" i="16"/>
  <c r="I780" i="16"/>
  <c r="I775" i="16"/>
  <c r="I767" i="16"/>
  <c r="I723" i="16"/>
  <c r="I716" i="16"/>
  <c r="I709" i="16"/>
  <c r="I645" i="16"/>
  <c r="I638" i="16"/>
  <c r="I632" i="16"/>
  <c r="I590" i="16"/>
  <c r="I581" i="16"/>
  <c r="I568" i="16"/>
  <c r="I545" i="16"/>
  <c r="I650" i="16"/>
  <c r="I617" i="16"/>
  <c r="I806" i="16"/>
  <c r="I564" i="16"/>
  <c r="I766" i="16"/>
  <c r="I708" i="16"/>
  <c r="I630" i="16"/>
  <c r="I567" i="16"/>
  <c r="I648" i="16"/>
  <c r="I793" i="16"/>
  <c r="I689" i="16"/>
  <c r="I783" i="16"/>
  <c r="I725" i="16"/>
  <c r="I794" i="16"/>
  <c r="I789" i="16"/>
  <c r="I718" i="16"/>
  <c r="I524" i="16"/>
  <c r="I522" i="16"/>
  <c r="I512" i="16"/>
  <c r="I750" i="16"/>
  <c r="I745" i="16"/>
  <c r="I738" i="16"/>
  <c r="I691" i="16"/>
  <c r="I683" i="16"/>
  <c r="I672" i="16"/>
  <c r="I618" i="16"/>
  <c r="I613" i="16"/>
  <c r="I535" i="16"/>
  <c r="I749" i="16"/>
  <c r="I799" i="16"/>
  <c r="I788" i="16"/>
  <c r="I534" i="16"/>
  <c r="I521" i="16"/>
  <c r="I755" i="16"/>
  <c r="I744" i="16"/>
  <c r="I700" i="16"/>
  <c r="I681" i="16"/>
  <c r="I623" i="16"/>
  <c r="I611" i="16"/>
  <c r="I555" i="16"/>
  <c r="I791" i="16"/>
  <c r="I781" i="16"/>
  <c r="I594" i="16"/>
  <c r="I572" i="16"/>
  <c r="I485" i="16"/>
  <c r="I519" i="16"/>
  <c r="I777" i="16"/>
  <c r="I770" i="16"/>
  <c r="I747" i="16"/>
  <c r="I741" i="16"/>
  <c r="I720" i="16"/>
  <c r="I713" i="16"/>
  <c r="I685" i="16"/>
  <c r="I676" i="16"/>
  <c r="I640" i="16"/>
  <c r="I635" i="16"/>
  <c r="I615" i="16"/>
  <c r="I607" i="16"/>
  <c r="I585" i="16"/>
  <c r="I578" i="16"/>
  <c r="I538" i="16"/>
  <c r="I530" i="16"/>
  <c r="I1292" i="14"/>
  <c r="I1173" i="14"/>
  <c r="I1046" i="14"/>
  <c r="I1007" i="14"/>
  <c r="I688" i="14"/>
  <c r="I634" i="14"/>
  <c r="I607" i="14"/>
  <c r="I353" i="14"/>
  <c r="I266" i="14"/>
  <c r="I613" i="14"/>
  <c r="I485" i="14"/>
  <c r="I1199" i="14"/>
  <c r="I1122" i="14"/>
  <c r="I744" i="14"/>
  <c r="I716" i="14"/>
  <c r="I306" i="14"/>
  <c r="I251" i="14"/>
  <c r="I1291" i="14"/>
  <c r="I1280" i="14"/>
  <c r="I1119" i="14"/>
  <c r="I1095" i="14"/>
  <c r="I374" i="14"/>
  <c r="I1316" i="14"/>
  <c r="I1303" i="14"/>
  <c r="I1059" i="14"/>
  <c r="I926" i="14"/>
  <c r="I342" i="14"/>
  <c r="I1286" i="14"/>
  <c r="I1262" i="14"/>
  <c r="I1151" i="14"/>
  <c r="I1064" i="14"/>
  <c r="I983" i="14"/>
  <c r="I674" i="14"/>
  <c r="I647" i="14"/>
  <c r="I501" i="14"/>
  <c r="I437" i="14"/>
  <c r="I368" i="14"/>
  <c r="I1313" i="14"/>
  <c r="I433" i="14"/>
  <c r="I364" i="14"/>
  <c r="I188" i="14"/>
  <c r="I1342" i="14"/>
  <c r="I603" i="14"/>
  <c r="I269" i="14"/>
  <c r="I244" i="14"/>
  <c r="I1319" i="14"/>
  <c r="I857" i="14"/>
  <c r="I788" i="14"/>
  <c r="I651" i="14"/>
  <c r="I1237" i="14"/>
  <c r="I1070" i="14"/>
  <c r="I503" i="14"/>
  <c r="I1060" i="14"/>
  <c r="I732" i="14"/>
  <c r="I702" i="14"/>
  <c r="I331" i="14"/>
  <c r="I162" i="14"/>
  <c r="I1243" i="14"/>
  <c r="I1190" i="14"/>
  <c r="I1144" i="14"/>
  <c r="I1086" i="14"/>
  <c r="I919" i="14"/>
  <c r="I888" i="14"/>
  <c r="I1304" i="14"/>
  <c r="I1246" i="14"/>
  <c r="I1054" i="14"/>
  <c r="I973" i="14"/>
  <c r="I638" i="14"/>
  <c r="I614" i="14"/>
  <c r="I525" i="14"/>
  <c r="I475" i="14"/>
  <c r="I158" i="14"/>
  <c r="I1253" i="14"/>
  <c r="I1240" i="14"/>
  <c r="I1214" i="14"/>
  <c r="I1181" i="14"/>
  <c r="I1108" i="14"/>
  <c r="I1082" i="14"/>
  <c r="I1053" i="14"/>
  <c r="I946" i="14"/>
  <c r="I1331" i="14"/>
  <c r="I830" i="14"/>
  <c r="I426" i="14"/>
  <c r="I321" i="14"/>
  <c r="I1125" i="14"/>
  <c r="I1104" i="14"/>
  <c r="I1077" i="14"/>
  <c r="I982" i="14"/>
  <c r="I625" i="14"/>
  <c r="I1163" i="14"/>
  <c r="I804" i="14"/>
  <c r="I1309" i="14"/>
  <c r="I1067" i="14"/>
  <c r="I769" i="14"/>
  <c r="I1322" i="14"/>
  <c r="I1133" i="14"/>
  <c r="I210" i="14"/>
  <c r="I655" i="14"/>
  <c r="I1029" i="14"/>
  <c r="I254" i="14"/>
  <c r="I1310" i="14"/>
  <c r="I1276" i="14"/>
  <c r="I1157" i="14"/>
  <c r="I800" i="14"/>
  <c r="I773" i="14"/>
  <c r="I803" i="14"/>
  <c r="I779" i="14"/>
  <c r="I743" i="14"/>
  <c r="I715" i="14"/>
  <c r="I524" i="14"/>
  <c r="I474" i="14"/>
  <c r="I305" i="14"/>
  <c r="I250" i="14"/>
  <c r="I1105" i="14"/>
  <c r="I1344" i="14"/>
  <c r="I1188" i="14"/>
  <c r="I958" i="14"/>
  <c r="I323" i="14"/>
  <c r="I1191" i="14"/>
  <c r="I893" i="14"/>
  <c r="I835" i="14"/>
  <c r="I728" i="14"/>
  <c r="I698" i="14"/>
  <c r="I665" i="14"/>
  <c r="I618" i="14"/>
  <c r="I294" i="14"/>
  <c r="I1098" i="14"/>
  <c r="I1073" i="14"/>
  <c r="I909" i="14"/>
  <c r="I787" i="14"/>
  <c r="I760" i="14"/>
  <c r="I727" i="14"/>
  <c r="I650" i="14"/>
  <c r="I600" i="14"/>
  <c r="I281" i="14"/>
  <c r="I187" i="14"/>
  <c r="I792" i="14"/>
  <c r="I859" i="14"/>
  <c r="I1343" i="14"/>
  <c r="I1327" i="14"/>
  <c r="I944" i="14"/>
  <c r="I535" i="14"/>
  <c r="I487" i="14"/>
  <c r="I396" i="14"/>
  <c r="I309" i="14"/>
  <c r="I1306" i="14"/>
  <c r="I1294" i="14"/>
  <c r="I1284" i="14"/>
  <c r="I1248" i="14"/>
  <c r="I1030" i="14"/>
  <c r="I987" i="14"/>
  <c r="I920" i="14"/>
  <c r="I831" i="14"/>
  <c r="I780" i="14"/>
  <c r="I659" i="14"/>
  <c r="I1318" i="14"/>
  <c r="I1305" i="14"/>
  <c r="I1269" i="14"/>
  <c r="I1247" i="14"/>
  <c r="I1227" i="14"/>
  <c r="I1156" i="14"/>
  <c r="I1118" i="14"/>
  <c r="I1094" i="14"/>
  <c r="I903" i="14"/>
  <c r="I834" i="14"/>
  <c r="I783" i="14"/>
  <c r="I754" i="14"/>
  <c r="I687" i="14"/>
  <c r="I646" i="14"/>
  <c r="I277" i="14"/>
  <c r="I812" i="14"/>
  <c r="I240" i="14"/>
  <c r="I1145" i="14"/>
  <c r="I1091" i="14"/>
  <c r="I879" i="14"/>
  <c r="I360" i="14"/>
  <c r="I204" i="14"/>
  <c r="I1323" i="14"/>
  <c r="I1336" i="14"/>
  <c r="I1314" i="14"/>
  <c r="I1268" i="14"/>
  <c r="I1113" i="14"/>
  <c r="I1087" i="14"/>
  <c r="I1023" i="14"/>
  <c r="I940" i="14"/>
  <c r="I740" i="14"/>
  <c r="I712" i="14"/>
  <c r="I630" i="14"/>
  <c r="I549" i="14"/>
  <c r="I515" i="14"/>
  <c r="I1289" i="14"/>
  <c r="I1278" i="14"/>
  <c r="I1255" i="14"/>
  <c r="I929" i="14"/>
  <c r="I896" i="14"/>
  <c r="I425" i="14"/>
  <c r="I1300" i="14"/>
  <c r="I1311" i="14"/>
  <c r="I1341" i="14"/>
  <c r="I1131" i="14"/>
  <c r="I775" i="14"/>
  <c r="I1302" i="14"/>
  <c r="I1256" i="14"/>
  <c r="I664" i="14"/>
  <c r="I637" i="14"/>
  <c r="I552" i="14"/>
  <c r="I588" i="14"/>
  <c r="I1252" i="14"/>
  <c r="I1206" i="14"/>
  <c r="I481" i="14"/>
  <c r="I236" i="14"/>
  <c r="I1279" i="14"/>
  <c r="I1017" i="14"/>
  <c r="I977" i="14"/>
  <c r="I736" i="14"/>
  <c r="I626" i="14"/>
  <c r="I592" i="14"/>
  <c r="I545" i="14"/>
  <c r="I441" i="14"/>
  <c r="I317" i="14"/>
  <c r="I1301" i="14"/>
  <c r="I1287" i="14"/>
  <c r="I950" i="14"/>
  <c r="I739" i="14"/>
  <c r="I518" i="14"/>
  <c r="I470" i="14"/>
  <c r="I393" i="14"/>
  <c r="I348" i="14"/>
  <c r="I1185" i="14"/>
  <c r="I247" i="14"/>
  <c r="I1258" i="14"/>
  <c r="I1068" i="14"/>
  <c r="I1001" i="14"/>
  <c r="I541" i="14"/>
  <c r="I1063" i="14"/>
  <c r="I436" i="14"/>
  <c r="I262" i="14"/>
  <c r="I1266" i="14"/>
  <c r="I531" i="14"/>
  <c r="I1285" i="14"/>
  <c r="I1273" i="14"/>
  <c r="I577" i="14"/>
  <c r="I1315" i="14"/>
  <c r="I483" i="14"/>
  <c r="I1296" i="14"/>
  <c r="I1126" i="14"/>
  <c r="I1109" i="14"/>
  <c r="I575" i="14"/>
  <c r="I1172" i="14"/>
  <c r="I735" i="14"/>
  <c r="I843" i="14"/>
  <c r="I507" i="14"/>
  <c r="I1198" i="14"/>
  <c r="I1345" i="14"/>
  <c r="I661" i="14"/>
  <c r="I1317" i="14"/>
  <c r="I1195" i="14"/>
  <c r="I938" i="14"/>
  <c r="I904" i="14"/>
  <c r="I764" i="14"/>
  <c r="I161" i="14"/>
  <c r="I1329" i="14"/>
  <c r="I1277" i="14"/>
  <c r="I823" i="14"/>
  <c r="I569" i="14"/>
  <c r="I300" i="14"/>
  <c r="I260" i="14"/>
  <c r="I1324" i="14"/>
  <c r="I1312" i="14"/>
  <c r="I1274" i="14"/>
  <c r="I1264" i="14"/>
  <c r="I1207" i="14"/>
  <c r="I1182" i="14"/>
  <c r="I755" i="14"/>
  <c r="I722" i="14"/>
  <c r="I671" i="14"/>
  <c r="I601" i="14"/>
  <c r="I553" i="14"/>
  <c r="I479" i="14"/>
  <c r="I349" i="14"/>
  <c r="I1293" i="14"/>
  <c r="I1282" i="14"/>
  <c r="I1261" i="14"/>
  <c r="I1217" i="14"/>
  <c r="I1194" i="14"/>
  <c r="I1121" i="14"/>
  <c r="I1000" i="14"/>
  <c r="I701" i="14"/>
  <c r="I320" i="14"/>
  <c r="I1333" i="14"/>
  <c r="I1328" i="14"/>
  <c r="I871" i="14"/>
  <c r="I820" i="14"/>
  <c r="I340" i="14"/>
  <c r="I297" i="14"/>
  <c r="I206" i="14"/>
  <c r="I1321" i="14"/>
  <c r="I1283" i="14"/>
  <c r="I1272" i="14"/>
  <c r="I1222" i="14"/>
  <c r="I1203" i="14"/>
  <c r="I1099" i="14"/>
  <c r="I1078" i="14"/>
  <c r="I892" i="14"/>
  <c r="I606" i="14"/>
  <c r="I352" i="14"/>
  <c r="I265" i="14"/>
  <c r="I1337" i="14"/>
  <c r="I1332" i="14"/>
  <c r="I900" i="14"/>
  <c r="I861" i="14"/>
  <c r="I398" i="14"/>
  <c r="I333" i="14"/>
  <c r="I214" i="14"/>
  <c r="I200" i="14"/>
  <c r="I1290" i="14"/>
  <c r="I1281" i="14"/>
  <c r="I1241" i="14"/>
  <c r="I1218" i="14"/>
  <c r="I1074" i="14"/>
  <c r="I1011" i="14"/>
  <c r="I622" i="14"/>
  <c r="I176" i="14"/>
  <c r="I1234" i="14"/>
  <c r="I915" i="14"/>
  <c r="I826" i="14"/>
  <c r="I721" i="14"/>
  <c r="I544" i="14"/>
  <c r="I238" i="14"/>
  <c r="I212" i="14"/>
  <c r="I1298" i="14"/>
  <c r="I1288" i="14"/>
  <c r="I1250" i="14"/>
  <c r="I1235" i="14"/>
  <c r="I1139" i="14"/>
  <c r="I916" i="14"/>
  <c r="I889" i="14"/>
  <c r="I808" i="14"/>
  <c r="I765" i="14"/>
  <c r="I684" i="14"/>
  <c r="I471" i="14"/>
  <c r="I394" i="14"/>
  <c r="I327" i="14"/>
  <c r="I172" i="14"/>
  <c r="I1320" i="14"/>
  <c r="I1299" i="14"/>
  <c r="I1267" i="14"/>
  <c r="I1115" i="14"/>
  <c r="I815" i="14"/>
  <c r="I540" i="14"/>
  <c r="I1036" i="14"/>
  <c r="I708" i="14"/>
  <c r="I511" i="14"/>
  <c r="I457" i="14"/>
  <c r="I288" i="14"/>
  <c r="I222" i="14"/>
  <c r="I1275" i="14"/>
  <c r="I1138" i="14"/>
  <c r="I1112" i="14"/>
  <c r="I976" i="14"/>
  <c r="I937" i="14"/>
  <c r="I878" i="14"/>
  <c r="I791" i="14"/>
  <c r="I673" i="14"/>
  <c r="I591" i="14"/>
  <c r="I500" i="14"/>
  <c r="I293" i="14"/>
  <c r="I221" i="14"/>
  <c r="I1083" i="14"/>
  <c r="I784" i="14"/>
  <c r="I519" i="14"/>
  <c r="I1307" i="14"/>
  <c r="I1150" i="14"/>
  <c r="I1116" i="14"/>
  <c r="I816" i="14"/>
  <c r="I578" i="14"/>
  <c r="I1325" i="14"/>
  <c r="I1202" i="14"/>
  <c r="I910" i="14"/>
  <c r="I282" i="14"/>
  <c r="I1249" i="14"/>
  <c r="I962" i="14"/>
  <c r="I795" i="14"/>
  <c r="I951" i="14"/>
  <c r="I680" i="14"/>
  <c r="I337" i="14"/>
  <c r="I1265" i="14"/>
  <c r="I986" i="14"/>
  <c r="I811" i="14"/>
  <c r="I697" i="14"/>
  <c r="I530" i="14"/>
  <c r="I316" i="14"/>
  <c r="I1933" i="11"/>
  <c r="I1935" i="11"/>
  <c r="L1172" i="14" l="1"/>
  <c r="M544" i="14"/>
  <c r="L1001" i="14"/>
  <c r="L1264" i="14"/>
  <c r="L760" i="14"/>
  <c r="L673" i="14"/>
  <c r="M1054" i="14"/>
  <c r="M637" i="14"/>
  <c r="M963" i="14"/>
  <c r="M823" i="14"/>
  <c r="M1163" i="14"/>
  <c r="M944" i="14"/>
  <c r="M1221" i="14"/>
  <c r="M1235" i="14"/>
  <c r="L1068" i="14"/>
  <c r="M1258" i="14"/>
  <c r="M634" i="14"/>
  <c r="L799" i="14"/>
  <c r="M510" i="14"/>
  <c r="M456" i="14"/>
  <c r="L1199" i="14"/>
  <c r="L728" i="14"/>
  <c r="M600" i="14"/>
  <c r="L1343" i="14"/>
  <c r="M525" i="14"/>
  <c r="L1280" i="14"/>
  <c r="L432" i="14"/>
  <c r="L773" i="14"/>
  <c r="L501" i="14"/>
  <c r="M1331" i="14"/>
  <c r="M1270" i="14"/>
  <c r="L739" i="14"/>
  <c r="M1060" i="14"/>
  <c r="M440" i="14"/>
  <c r="M826" i="14"/>
  <c r="M1259" i="14"/>
  <c r="M394" i="14"/>
  <c r="M707" i="14"/>
  <c r="M633" i="14"/>
  <c r="M1030" i="14"/>
  <c r="M1116" i="14"/>
  <c r="M827" i="14"/>
  <c r="M1162" i="14"/>
  <c r="L545" i="14"/>
  <c r="L1274" i="14"/>
  <c r="L1324" i="14"/>
  <c r="M1247" i="14"/>
  <c r="M398" i="14"/>
  <c r="M374" i="14"/>
  <c r="M1287" i="14"/>
  <c r="M727" i="14"/>
  <c r="M331" i="14"/>
  <c r="M1240" i="14"/>
  <c r="M947" i="14"/>
  <c r="M958" i="14"/>
  <c r="L541" i="14"/>
  <c r="M987" i="14"/>
  <c r="L591" i="14"/>
  <c r="M1298" i="14"/>
  <c r="M784" i="14"/>
  <c r="L540" i="14"/>
  <c r="M367" i="14"/>
  <c r="M1281" i="14"/>
  <c r="M487" i="14"/>
  <c r="M1286" i="14"/>
  <c r="L1207" i="14"/>
  <c r="M800" i="14"/>
  <c r="M1334" i="14"/>
  <c r="M1063" i="14"/>
  <c r="M1070" i="14"/>
  <c r="L1185" i="14"/>
  <c r="M775" i="14"/>
  <c r="M1126" i="14"/>
  <c r="M1190" i="14"/>
  <c r="L844" i="14"/>
  <c r="L761" i="14"/>
  <c r="M1282" i="14"/>
  <c r="M711" i="14"/>
  <c r="L1306" i="14"/>
  <c r="M740" i="14"/>
  <c r="L1299" i="14"/>
  <c r="M1029" i="14"/>
  <c r="M1151" i="14"/>
  <c r="M1059" i="14"/>
  <c r="M540" i="14"/>
  <c r="M1293" i="14"/>
  <c r="L1291" i="14"/>
  <c r="M650" i="14"/>
  <c r="M614" i="14"/>
  <c r="M731" i="14"/>
  <c r="L897" i="14"/>
  <c r="M1188" i="14"/>
  <c r="M1195" i="14"/>
  <c r="M606" i="14"/>
  <c r="L1245" i="14"/>
  <c r="M712" i="14"/>
  <c r="M772" i="14"/>
  <c r="L873" i="14"/>
  <c r="L697" i="14"/>
  <c r="M353" i="14"/>
  <c r="M702" i="14"/>
  <c r="M1094" i="14"/>
  <c r="M1305" i="14"/>
  <c r="M972" i="14"/>
  <c r="M1318" i="14"/>
  <c r="L457" i="14"/>
  <c r="M503" i="14"/>
  <c r="L1310" i="14"/>
  <c r="M607" i="14"/>
  <c r="L1256" i="14"/>
  <c r="L552" i="14"/>
  <c r="L1214" i="14"/>
  <c r="L1277" i="14"/>
  <c r="L1271" i="14"/>
  <c r="L1317" i="14"/>
  <c r="L1292" i="14"/>
  <c r="M1329" i="14"/>
  <c r="L735" i="14"/>
  <c r="L983" i="14"/>
  <c r="M1263" i="14"/>
  <c r="L815" i="14"/>
  <c r="L1144" i="14"/>
  <c r="L500" i="14"/>
  <c r="L1095" i="14"/>
  <c r="L707" i="14"/>
  <c r="L779" i="14"/>
  <c r="L531" i="14"/>
  <c r="L940" i="14"/>
  <c r="M359" i="14"/>
  <c r="L1222" i="14"/>
  <c r="M588" i="14"/>
  <c r="M1115" i="14"/>
  <c r="M1227" i="14"/>
  <c r="M1341" i="14"/>
  <c r="L1133" i="14"/>
  <c r="M1125" i="14"/>
  <c r="M1335" i="14"/>
  <c r="M835" i="14"/>
  <c r="M1328" i="14"/>
  <c r="M1067" i="14"/>
  <c r="M1131" i="14"/>
  <c r="M1145" i="14"/>
  <c r="L1336" i="14"/>
  <c r="M436" i="14"/>
  <c r="M744" i="14"/>
  <c r="M613" i="14"/>
  <c r="M937" i="14"/>
  <c r="L1091" i="14"/>
  <c r="L1126" i="14"/>
  <c r="M1202" i="14"/>
  <c r="L1232" i="14"/>
  <c r="M1232" i="14"/>
  <c r="M909" i="14"/>
  <c r="L909" i="14"/>
  <c r="L768" i="14"/>
  <c r="L638" i="14"/>
  <c r="M638" i="14"/>
  <c r="L333" i="14"/>
  <c r="M333" i="14"/>
  <c r="L1000" i="14"/>
  <c r="M1000" i="14"/>
  <c r="M1144" i="14"/>
  <c r="M1173" i="14"/>
  <c r="M479" i="14"/>
  <c r="L1303" i="14"/>
  <c r="M1303" i="14"/>
  <c r="L1289" i="14"/>
  <c r="M1289" i="14"/>
  <c r="L804" i="14"/>
  <c r="M804" i="14"/>
  <c r="M834" i="14"/>
  <c r="L834" i="14"/>
  <c r="M1228" i="14"/>
  <c r="L578" i="14"/>
  <c r="M578" i="14"/>
  <c r="M441" i="14"/>
  <c r="L441" i="14"/>
  <c r="L1243" i="14"/>
  <c r="M1243" i="14"/>
  <c r="M471" i="14"/>
  <c r="L471" i="14"/>
  <c r="L603" i="14"/>
  <c r="M603" i="14"/>
  <c r="L896" i="14"/>
  <c r="M896" i="14"/>
  <c r="L1077" i="14"/>
  <c r="M1077" i="14"/>
  <c r="L1309" i="14"/>
  <c r="M1309" i="14"/>
  <c r="L505" i="14"/>
  <c r="M505" i="14"/>
  <c r="L1217" i="14"/>
  <c r="M1217" i="14"/>
  <c r="M601" i="14"/>
  <c r="M1330" i="14"/>
  <c r="L765" i="14"/>
  <c r="M735" i="14"/>
  <c r="M1300" i="14"/>
  <c r="M1275" i="14"/>
  <c r="M808" i="14"/>
  <c r="L1237" i="14"/>
  <c r="M1316" i="14"/>
  <c r="M1023" i="14"/>
  <c r="L1294" i="14"/>
  <c r="M1091" i="14"/>
  <c r="L987" i="14"/>
  <c r="L1064" i="14"/>
  <c r="M1064" i="14"/>
  <c r="M1343" i="14"/>
  <c r="L1345" i="14"/>
  <c r="M1345" i="14"/>
  <c r="L470" i="14"/>
  <c r="L937" i="14"/>
  <c r="M1285" i="14"/>
  <c r="L1285" i="14"/>
  <c r="L1255" i="14"/>
  <c r="M1255" i="14"/>
  <c r="M1288" i="14"/>
  <c r="L835" i="14"/>
  <c r="L507" i="14"/>
  <c r="M507" i="14"/>
  <c r="M1105" i="14"/>
  <c r="M515" i="14"/>
  <c r="M946" i="14"/>
  <c r="L1312" i="14"/>
  <c r="L1108" i="14"/>
  <c r="L701" i="14"/>
  <c r="M701" i="14"/>
  <c r="M443" i="14"/>
  <c r="L524" i="14"/>
  <c r="L1203" i="14"/>
  <c r="M1203" i="14"/>
  <c r="L816" i="14"/>
  <c r="M816" i="14"/>
  <c r="L1231" i="14"/>
  <c r="M1231" i="14"/>
  <c r="L1218" i="14"/>
  <c r="M1218" i="14"/>
  <c r="L363" i="14"/>
  <c r="M363" i="14"/>
  <c r="L859" i="14"/>
  <c r="M859" i="14"/>
  <c r="M1261" i="14"/>
  <c r="L1261" i="14"/>
  <c r="L1083" i="14"/>
  <c r="L535" i="14"/>
  <c r="M535" i="14"/>
  <c r="M951" i="14"/>
  <c r="L951" i="14"/>
  <c r="L654" i="14"/>
  <c r="M654" i="14"/>
  <c r="M321" i="14"/>
  <c r="L321" i="14"/>
  <c r="L780" i="14"/>
  <c r="M780" i="14"/>
  <c r="M900" i="14"/>
  <c r="L732" i="14"/>
  <c r="M732" i="14"/>
  <c r="M658" i="14"/>
  <c r="M1283" i="14"/>
  <c r="M647" i="14"/>
  <c r="M1262" i="14"/>
  <c r="L1304" i="14"/>
  <c r="M474" i="14"/>
  <c r="L474" i="14"/>
  <c r="L331" i="14"/>
  <c r="M875" i="14"/>
  <c r="L875" i="14"/>
  <c r="L320" i="14"/>
  <c r="M320" i="14"/>
  <c r="L1036" i="14"/>
  <c r="L393" i="14"/>
  <c r="M393" i="14"/>
  <c r="L791" i="14"/>
  <c r="L349" i="14"/>
  <c r="M349" i="14"/>
  <c r="L795" i="14"/>
  <c r="M795" i="14"/>
  <c r="M755" i="14"/>
  <c r="L755" i="14"/>
  <c r="M1113" i="14"/>
  <c r="L1113" i="14"/>
  <c r="M769" i="14"/>
  <c r="L769" i="14"/>
  <c r="M519" i="14"/>
  <c r="L519" i="14"/>
  <c r="M548" i="14"/>
  <c r="L548" i="14"/>
  <c r="L1344" i="14"/>
  <c r="M1344" i="14"/>
  <c r="L1078" i="14"/>
  <c r="L1272" i="14"/>
  <c r="M1272" i="14"/>
  <c r="M1321" i="14"/>
  <c r="L1321" i="14"/>
  <c r="M661" i="14"/>
  <c r="L982" i="14"/>
  <c r="L807" i="14"/>
  <c r="M807" i="14"/>
  <c r="L857" i="14"/>
  <c r="M857" i="14"/>
  <c r="L1279" i="14"/>
  <c r="M1279" i="14"/>
  <c r="L1260" i="14"/>
  <c r="M1260" i="14"/>
  <c r="L788" i="14"/>
  <c r="L1339" i="14"/>
  <c r="M1339" i="14"/>
  <c r="L910" i="14"/>
  <c r="M910" i="14"/>
  <c r="M831" i="14"/>
  <c r="L831" i="14"/>
  <c r="L764" i="14"/>
  <c r="M764" i="14"/>
  <c r="L533" i="14"/>
  <c r="M533" i="14"/>
  <c r="M830" i="14"/>
  <c r="L242" i="14"/>
  <c r="L1181" i="14"/>
  <c r="M1181" i="14"/>
  <c r="L1249" i="14"/>
  <c r="M1249" i="14"/>
  <c r="L1241" i="14"/>
  <c r="M1241" i="14"/>
  <c r="L1138" i="14"/>
  <c r="M1138" i="14"/>
  <c r="L485" i="14"/>
  <c r="M485" i="14"/>
  <c r="L986" i="14"/>
  <c r="L1098" i="14"/>
  <c r="M327" i="14"/>
  <c r="L327" i="14"/>
  <c r="L792" i="14"/>
  <c r="M792" i="14"/>
  <c r="M1215" i="14"/>
  <c r="L1215" i="14"/>
  <c r="M262" i="14"/>
  <c r="L1301" i="14"/>
  <c r="M1342" i="14"/>
  <c r="L1342" i="14"/>
  <c r="L1320" i="14"/>
  <c r="M1320" i="14"/>
  <c r="L708" i="14"/>
  <c r="M708" i="14"/>
  <c r="L1314" i="14"/>
  <c r="M1314" i="14"/>
  <c r="L938" i="14"/>
  <c r="M938" i="14"/>
  <c r="L348" i="14"/>
  <c r="M348" i="14"/>
  <c r="M1307" i="14"/>
  <c r="M1315" i="14"/>
  <c r="L1315" i="14"/>
  <c r="M1295" i="14"/>
  <c r="L1295" i="14"/>
  <c r="L1121" i="14"/>
  <c r="M1121" i="14"/>
  <c r="L1311" i="14"/>
  <c r="M933" i="14"/>
  <c r="M1234" i="14"/>
  <c r="M360" i="14"/>
  <c r="L1330" i="14"/>
  <c r="M1340" i="14"/>
  <c r="M1244" i="14"/>
  <c r="M577" i="14"/>
  <c r="L577" i="14"/>
  <c r="L736" i="14"/>
  <c r="M736" i="14"/>
  <c r="L1284" i="14"/>
  <c r="M1284" i="14"/>
  <c r="L518" i="14"/>
  <c r="M518" i="14"/>
  <c r="L950" i="14"/>
  <c r="M950" i="14"/>
  <c r="L549" i="14"/>
  <c r="M549" i="14"/>
  <c r="L1063" i="14"/>
  <c r="M973" i="14"/>
  <c r="L973" i="14"/>
  <c r="L926" i="14"/>
  <c r="M926" i="14"/>
  <c r="L820" i="14"/>
  <c r="M820" i="14"/>
  <c r="L440" i="14"/>
  <c r="L722" i="14"/>
  <c r="M722" i="14"/>
  <c r="L1326" i="14"/>
  <c r="M1326" i="14"/>
  <c r="L1296" i="14"/>
  <c r="M1296" i="14"/>
  <c r="L1333" i="14"/>
  <c r="M1333" i="14"/>
  <c r="L1101" i="14"/>
  <c r="M1101" i="14"/>
  <c r="L1305" i="14"/>
  <c r="M1280" i="14"/>
  <c r="L1327" i="14"/>
  <c r="M1327" i="14"/>
  <c r="L783" i="14"/>
  <c r="M783" i="14"/>
  <c r="L1302" i="14"/>
  <c r="M1302" i="14"/>
  <c r="L618" i="14"/>
  <c r="M618" i="14"/>
  <c r="L1308" i="14"/>
  <c r="M1308" i="14"/>
  <c r="M768" i="14"/>
  <c r="M1046" i="14"/>
  <c r="L688" i="14"/>
  <c r="M688" i="14"/>
  <c r="L1248" i="14"/>
  <c r="M1248" i="14"/>
  <c r="M1337" i="14"/>
  <c r="M1251" i="14"/>
  <c r="L878" i="14"/>
  <c r="M878" i="14"/>
  <c r="L483" i="14"/>
  <c r="M483" i="14"/>
  <c r="L1119" i="14"/>
  <c r="M1211" i="14"/>
  <c r="M754" i="14"/>
  <c r="L754" i="14"/>
  <c r="L1273" i="14"/>
  <c r="M1273" i="14"/>
  <c r="L1266" i="14"/>
  <c r="M1266" i="14"/>
  <c r="L1278" i="14"/>
  <c r="M1278" i="14"/>
  <c r="M665" i="14"/>
  <c r="L665" i="14"/>
  <c r="L871" i="14"/>
  <c r="M871" i="14"/>
  <c r="L852" i="14"/>
  <c r="L715" i="14"/>
  <c r="M715" i="14"/>
  <c r="L1162" i="14"/>
  <c r="L433" i="14"/>
  <c r="M433" i="14"/>
  <c r="L1254" i="14"/>
  <c r="M1254" i="14"/>
  <c r="M265" i="14"/>
  <c r="L803" i="14"/>
  <c r="M716" i="14"/>
  <c r="L1290" i="14"/>
  <c r="M1290" i="14"/>
  <c r="L364" i="14"/>
  <c r="M364" i="14"/>
  <c r="L247" i="14"/>
  <c r="M247" i="14"/>
  <c r="L1267" i="14"/>
  <c r="M1267" i="14"/>
  <c r="L1206" i="14"/>
  <c r="M1206" i="14"/>
  <c r="M1090" i="14"/>
  <c r="L1332" i="14"/>
  <c r="M1332" i="14"/>
  <c r="M1191" i="14"/>
  <c r="L1191" i="14"/>
  <c r="L1122" i="14"/>
  <c r="M1122" i="14"/>
  <c r="M531" i="14"/>
  <c r="M721" i="14"/>
  <c r="L721" i="14"/>
  <c r="M1157" i="14"/>
  <c r="L1157" i="14"/>
  <c r="L481" i="14"/>
  <c r="M481" i="14"/>
  <c r="M345" i="14"/>
  <c r="L976" i="14"/>
  <c r="M976" i="14"/>
  <c r="L1112" i="14"/>
  <c r="M1112" i="14"/>
  <c r="L630" i="14"/>
  <c r="M630" i="14"/>
  <c r="L1194" i="14"/>
  <c r="M1194" i="14"/>
  <c r="M1177" i="14"/>
  <c r="L1177" i="14"/>
  <c r="L1338" i="14"/>
  <c r="M1338" i="14"/>
  <c r="M687" i="14"/>
  <c r="L687" i="14"/>
  <c r="L1139" i="14"/>
  <c r="M1139" i="14"/>
  <c r="M1156" i="14"/>
  <c r="L1156" i="14"/>
  <c r="L244" i="14"/>
  <c r="M244" i="14"/>
  <c r="M779" i="14"/>
  <c r="M940" i="14"/>
  <c r="L629" i="14"/>
  <c r="M629" i="14"/>
  <c r="L1313" i="14"/>
  <c r="L655" i="14"/>
  <c r="M655" i="14"/>
  <c r="L514" i="16"/>
  <c r="M514" i="16"/>
  <c r="M748" i="16"/>
  <c r="L628" i="16"/>
  <c r="M628" i="16"/>
  <c r="L642" i="16"/>
  <c r="L641" i="16"/>
  <c r="L503" i="16"/>
  <c r="M503" i="16"/>
  <c r="L585" i="16"/>
  <c r="M585" i="16"/>
  <c r="L731" i="16"/>
  <c r="M731" i="16"/>
  <c r="L705" i="16"/>
  <c r="M705" i="16"/>
  <c r="M544" i="16"/>
  <c r="L544" i="16"/>
  <c r="L521" i="16"/>
  <c r="M624" i="16"/>
  <c r="L624" i="16"/>
  <c r="M789" i="16"/>
  <c r="L684" i="16"/>
  <c r="M684" i="16"/>
  <c r="L615" i="16"/>
  <c r="M615" i="16"/>
  <c r="L720" i="16"/>
  <c r="M720" i="16"/>
  <c r="L586" i="16"/>
  <c r="M586" i="16"/>
  <c r="L587" i="16"/>
  <c r="M587" i="16"/>
  <c r="L542" i="16"/>
  <c r="M524" i="16"/>
  <c r="L501" i="16"/>
  <c r="M501" i="16"/>
  <c r="L790" i="16"/>
  <c r="L791" i="16"/>
  <c r="L485" i="16"/>
  <c r="L717" i="16"/>
  <c r="M717" i="16"/>
  <c r="L627" i="16"/>
  <c r="M627" i="16"/>
  <c r="L601" i="16"/>
  <c r="M601" i="16"/>
  <c r="L602" i="16"/>
  <c r="M602" i="16"/>
  <c r="L675" i="16"/>
  <c r="L804" i="16"/>
  <c r="M710" i="16"/>
  <c r="L564" i="16"/>
  <c r="M579" i="16"/>
  <c r="M625" i="16"/>
  <c r="L625" i="16"/>
  <c r="L774" i="16"/>
  <c r="M774" i="16"/>
  <c r="L510" i="16"/>
  <c r="M510" i="16"/>
  <c r="L802" i="16"/>
  <c r="L704" i="16"/>
  <c r="M704" i="16"/>
  <c r="M701" i="16"/>
  <c r="L701" i="16"/>
  <c r="L777" i="16"/>
  <c r="M777" i="16"/>
  <c r="L509" i="16"/>
  <c r="L537" i="16"/>
  <c r="M537" i="16"/>
  <c r="L600" i="16"/>
  <c r="M600" i="16"/>
  <c r="M507" i="16"/>
  <c r="L744" i="16"/>
  <c r="M744" i="16"/>
  <c r="L629" i="16"/>
  <c r="M629" i="16"/>
  <c r="M801" i="16"/>
  <c r="M639" i="16"/>
  <c r="L639" i="16"/>
  <c r="L637" i="16"/>
  <c r="M637" i="16"/>
  <c r="L644" i="16"/>
  <c r="M644" i="16"/>
  <c r="L584" i="16"/>
  <c r="M584" i="16"/>
  <c r="L506" i="16"/>
  <c r="M506" i="16"/>
  <c r="L721" i="16"/>
  <c r="L788" i="16"/>
  <c r="L677" i="16"/>
  <c r="M677" i="16"/>
  <c r="L736" i="16"/>
  <c r="M736" i="16"/>
  <c r="M746" i="16"/>
  <c r="L746" i="16"/>
  <c r="L538" i="16"/>
  <c r="L640" i="16"/>
  <c r="M640" i="16"/>
  <c r="L747" i="16"/>
  <c r="M747" i="16"/>
  <c r="M679" i="16"/>
  <c r="M735" i="16"/>
  <c r="L805" i="16"/>
  <c r="L689" i="16"/>
  <c r="M689" i="16"/>
  <c r="L803" i="16"/>
  <c r="L779" i="16"/>
  <c r="M779" i="16"/>
  <c r="L722" i="16"/>
  <c r="M722" i="16"/>
  <c r="L626" i="16"/>
  <c r="M626" i="16"/>
  <c r="L545" i="16"/>
  <c r="M545" i="16"/>
  <c r="M582" i="16"/>
  <c r="L583" i="16"/>
  <c r="L508" i="16"/>
  <c r="M508" i="16"/>
  <c r="M554" i="16"/>
  <c r="M730" i="16"/>
  <c r="L730" i="16"/>
  <c r="L504" i="16"/>
  <c r="M504" i="16"/>
  <c r="M707" i="16"/>
  <c r="L707" i="16"/>
  <c r="L748" i="16"/>
  <c r="M631" i="16"/>
  <c r="L775" i="16"/>
  <c r="M775" i="16"/>
  <c r="L681" i="16"/>
  <c r="M681" i="16"/>
  <c r="L614" i="16"/>
  <c r="M614" i="16"/>
  <c r="L776" i="16"/>
  <c r="M776" i="16"/>
  <c r="M667" i="16"/>
  <c r="L667" i="16"/>
  <c r="M759" i="16"/>
  <c r="L759" i="16"/>
  <c r="L523" i="16"/>
  <c r="M523" i="16"/>
  <c r="L749" i="16"/>
  <c r="M749" i="16"/>
  <c r="L760" i="16"/>
  <c r="M702" i="16"/>
  <c r="M539" i="16"/>
  <c r="L794" i="16"/>
  <c r="M806" i="16"/>
  <c r="M541" i="16"/>
  <c r="M758" i="16"/>
  <c r="L758" i="16"/>
  <c r="M706" i="16"/>
  <c r="L762" i="16"/>
  <c r="M762" i="16"/>
  <c r="H210" i="11"/>
  <c r="G210" i="11"/>
  <c r="M210" i="11"/>
  <c r="L210" i="11"/>
  <c r="H1904" i="11"/>
  <c r="G1904" i="11"/>
  <c r="M1904" i="11"/>
  <c r="L1904" i="11"/>
  <c r="H1905" i="11"/>
  <c r="G1905" i="11"/>
  <c r="M1905" i="11"/>
  <c r="L1905" i="11"/>
  <c r="H1906" i="11"/>
  <c r="G1906" i="11"/>
  <c r="M1906" i="11"/>
  <c r="L1906" i="11"/>
  <c r="H1907" i="11"/>
  <c r="G1907" i="11"/>
  <c r="M1907" i="11"/>
  <c r="L1907" i="11"/>
  <c r="H1908" i="11"/>
  <c r="G1908" i="11"/>
  <c r="M1908" i="11"/>
  <c r="L1908" i="11"/>
  <c r="H1910" i="11"/>
  <c r="G1910" i="11"/>
  <c r="M1910" i="11"/>
  <c r="L1910" i="11"/>
  <c r="H1911" i="11"/>
  <c r="G1911" i="11"/>
  <c r="M1911" i="11"/>
  <c r="L1911" i="11"/>
  <c r="H1912" i="11"/>
  <c r="G1912" i="11"/>
  <c r="M1912" i="11"/>
  <c r="L1912" i="11"/>
  <c r="H1913" i="11"/>
  <c r="G1913" i="11"/>
  <c r="M1913" i="11"/>
  <c r="L1913" i="11"/>
  <c r="H1914" i="11"/>
  <c r="G1914" i="11"/>
  <c r="M1914" i="11"/>
  <c r="L1914" i="11"/>
  <c r="H1915" i="11"/>
  <c r="G1915" i="11"/>
  <c r="M1915" i="11"/>
  <c r="L1915" i="11"/>
  <c r="L1925" i="11"/>
  <c r="M1925" i="11"/>
  <c r="G1925" i="11"/>
  <c r="H1925" i="11"/>
  <c r="L1926" i="11"/>
  <c r="M1926" i="11"/>
  <c r="G1926" i="11"/>
  <c r="H1926" i="11"/>
  <c r="H1927" i="11"/>
  <c r="G1927" i="11"/>
  <c r="M1927" i="11"/>
  <c r="L1927" i="11"/>
  <c r="H1928" i="11"/>
  <c r="G1928" i="11"/>
  <c r="M1928" i="11"/>
  <c r="L1928" i="11"/>
  <c r="H1929" i="11"/>
  <c r="G1929" i="11"/>
  <c r="M1929" i="11"/>
  <c r="L1929" i="11"/>
  <c r="H1930" i="11"/>
  <c r="G1930" i="11"/>
  <c r="M1930" i="11"/>
  <c r="L1930" i="11"/>
  <c r="H88" i="11"/>
  <c r="G88" i="11"/>
  <c r="M88" i="11"/>
  <c r="L88" i="11"/>
  <c r="H89" i="11"/>
  <c r="G89" i="11"/>
  <c r="M89" i="11"/>
  <c r="L89" i="11"/>
  <c r="H90" i="11"/>
  <c r="G90" i="11"/>
  <c r="M90" i="11"/>
  <c r="L90" i="11"/>
  <c r="H91" i="11"/>
  <c r="G91" i="11"/>
  <c r="M91" i="11"/>
  <c r="L91" i="11"/>
  <c r="H92" i="11"/>
  <c r="G92" i="11"/>
  <c r="M92" i="11"/>
  <c r="L92" i="11"/>
  <c r="H93" i="11"/>
  <c r="G93" i="11"/>
  <c r="M93" i="11"/>
  <c r="L93" i="11"/>
  <c r="H137" i="11"/>
  <c r="G137" i="11"/>
  <c r="M137" i="11"/>
  <c r="L137" i="11"/>
  <c r="H138" i="11"/>
  <c r="G138" i="11"/>
  <c r="M138" i="11"/>
  <c r="L138" i="11"/>
  <c r="H139" i="11"/>
  <c r="G139" i="11"/>
  <c r="M139" i="11"/>
  <c r="L139" i="11"/>
  <c r="H140" i="11"/>
  <c r="G140" i="11"/>
  <c r="M140" i="11"/>
  <c r="L140" i="11"/>
  <c r="H141" i="11"/>
  <c r="G141" i="11"/>
  <c r="M141" i="11"/>
  <c r="L141" i="11"/>
  <c r="H1833" i="11"/>
  <c r="G1833" i="11"/>
  <c r="M1833" i="11"/>
  <c r="L1833" i="11"/>
  <c r="H1834" i="11"/>
  <c r="G1834" i="11"/>
  <c r="M1834" i="11"/>
  <c r="L1834" i="11"/>
  <c r="H1835" i="11"/>
  <c r="G1835" i="11"/>
  <c r="M1835" i="11"/>
  <c r="L1835" i="11"/>
  <c r="H1836" i="11"/>
  <c r="G1836" i="11"/>
  <c r="M1836" i="11"/>
  <c r="L1836" i="11"/>
  <c r="H1837" i="11"/>
  <c r="G1837" i="11"/>
  <c r="M1837" i="11"/>
  <c r="L1837" i="11"/>
  <c r="H1839" i="11"/>
  <c r="G1839" i="11"/>
  <c r="M1839" i="11"/>
  <c r="L1839" i="11"/>
  <c r="H1840" i="11"/>
  <c r="G1840" i="11"/>
  <c r="M1840" i="11"/>
  <c r="L1840" i="11"/>
  <c r="H1841" i="11"/>
  <c r="G1841" i="11"/>
  <c r="M1841" i="11"/>
  <c r="L1841" i="11"/>
  <c r="H1842" i="11"/>
  <c r="G1842" i="11"/>
  <c r="M1842" i="11"/>
  <c r="L1842" i="11"/>
  <c r="H1843" i="11"/>
  <c r="G1843" i="11"/>
  <c r="M1843" i="11"/>
  <c r="L1843" i="11"/>
  <c r="H1844" i="11"/>
  <c r="G1844" i="11"/>
  <c r="M1844" i="11"/>
  <c r="L1844" i="11"/>
  <c r="H78" i="11"/>
  <c r="G78" i="11"/>
  <c r="M78" i="11"/>
  <c r="L78" i="11"/>
  <c r="H77" i="11"/>
  <c r="G77" i="11"/>
  <c r="M77" i="11"/>
  <c r="L77" i="11"/>
  <c r="H76" i="11"/>
  <c r="G76" i="11"/>
  <c r="M76" i="11"/>
  <c r="L76" i="11"/>
  <c r="H75" i="11"/>
  <c r="G75" i="11"/>
  <c r="M75" i="11"/>
  <c r="L75" i="11"/>
  <c r="H74" i="11"/>
  <c r="G74" i="11"/>
  <c r="M74" i="11"/>
  <c r="L74" i="11"/>
  <c r="H73" i="11"/>
  <c r="G73" i="11"/>
  <c r="M73" i="11"/>
  <c r="L73" i="11"/>
  <c r="H72" i="11"/>
  <c r="G72" i="11"/>
  <c r="M72" i="11"/>
  <c r="L72" i="11"/>
  <c r="H71" i="11"/>
  <c r="G71" i="11"/>
  <c r="M71" i="11"/>
  <c r="L71" i="11"/>
  <c r="H70" i="11"/>
  <c r="G70" i="11"/>
  <c r="M70" i="11"/>
  <c r="L70" i="11"/>
  <c r="H69" i="11"/>
  <c r="G69" i="11"/>
  <c r="M69" i="11"/>
  <c r="L69" i="11"/>
  <c r="H68" i="11"/>
  <c r="G68" i="11"/>
  <c r="M68" i="11"/>
  <c r="L68" i="11"/>
  <c r="H67" i="11"/>
  <c r="G67" i="11"/>
  <c r="M67" i="11"/>
  <c r="L67" i="11"/>
  <c r="H1880" i="11"/>
  <c r="G1880" i="11"/>
  <c r="M1880" i="11"/>
  <c r="L1880" i="11"/>
  <c r="H1881" i="11"/>
  <c r="G1881" i="11"/>
  <c r="M1881" i="11"/>
  <c r="L1881" i="11"/>
  <c r="H1882" i="11"/>
  <c r="G1882" i="11"/>
  <c r="M1882" i="11"/>
  <c r="L1882" i="11"/>
  <c r="H1883" i="11"/>
  <c r="G1883" i="11"/>
  <c r="M1883" i="11"/>
  <c r="L1883" i="11"/>
  <c r="H1884" i="11"/>
  <c r="G1884" i="11"/>
  <c r="M1884" i="11"/>
  <c r="L1884" i="11"/>
  <c r="H1886" i="11"/>
  <c r="G1886" i="11"/>
  <c r="M1886" i="11"/>
  <c r="L1886" i="11"/>
  <c r="H1887" i="11"/>
  <c r="G1887" i="11"/>
  <c r="M1887" i="11"/>
  <c r="L1887" i="11"/>
  <c r="H1888" i="11"/>
  <c r="G1888" i="11"/>
  <c r="M1888" i="11"/>
  <c r="L1888" i="11"/>
  <c r="H1889" i="11"/>
  <c r="G1889" i="11"/>
  <c r="M1889" i="11"/>
  <c r="L1889" i="11"/>
  <c r="H1890" i="11"/>
  <c r="G1890" i="11"/>
  <c r="M1890" i="11"/>
  <c r="L1890" i="11"/>
  <c r="H104" i="11"/>
  <c r="G104" i="11"/>
  <c r="M104" i="11"/>
  <c r="L104" i="11"/>
  <c r="H105" i="11"/>
  <c r="G105" i="11"/>
  <c r="M105" i="11"/>
  <c r="L105" i="11"/>
  <c r="H106" i="11"/>
  <c r="G106" i="11"/>
  <c r="M106" i="11"/>
  <c r="L106" i="11"/>
  <c r="H107" i="11"/>
  <c r="G107" i="11"/>
  <c r="M107" i="11"/>
  <c r="L107" i="11"/>
  <c r="H108" i="11"/>
  <c r="G108" i="11"/>
  <c r="M108" i="11"/>
  <c r="L108" i="11"/>
  <c r="H110" i="11"/>
  <c r="G110" i="11"/>
  <c r="M110" i="11"/>
  <c r="L110" i="11"/>
  <c r="H111" i="11"/>
  <c r="G111" i="11"/>
  <c r="M111" i="11"/>
  <c r="L111" i="11"/>
  <c r="H112" i="11"/>
  <c r="G112" i="11"/>
  <c r="M112" i="11"/>
  <c r="L112" i="11"/>
  <c r="H113" i="11"/>
  <c r="G113" i="11"/>
  <c r="M113" i="11"/>
  <c r="L113" i="11"/>
  <c r="H114" i="11"/>
  <c r="G114" i="11"/>
  <c r="M114" i="11"/>
  <c r="L114" i="11"/>
  <c r="H115" i="11"/>
  <c r="G115" i="11"/>
  <c r="M115" i="11"/>
  <c r="L115" i="11"/>
  <c r="H172" i="11"/>
  <c r="G172" i="11"/>
  <c r="M172" i="11"/>
  <c r="L172" i="11"/>
  <c r="H173" i="11"/>
  <c r="G173" i="11"/>
  <c r="M173" i="11"/>
  <c r="L173" i="11"/>
  <c r="H174" i="11"/>
  <c r="G174" i="11"/>
  <c r="M174" i="11"/>
  <c r="L174" i="11"/>
  <c r="H175" i="11"/>
  <c r="G175" i="11"/>
  <c r="M175" i="11"/>
  <c r="L175" i="11"/>
  <c r="H176" i="11"/>
  <c r="G176" i="11"/>
  <c r="M176" i="11"/>
  <c r="L176" i="11"/>
  <c r="H178" i="11"/>
  <c r="G178" i="11"/>
  <c r="M178" i="11"/>
  <c r="L178" i="11"/>
  <c r="H179" i="11"/>
  <c r="G179" i="11"/>
  <c r="M179" i="11"/>
  <c r="L179" i="11"/>
  <c r="H180" i="11"/>
  <c r="G180" i="11"/>
  <c r="M180" i="11"/>
  <c r="L180" i="11"/>
  <c r="H181" i="11"/>
  <c r="G181" i="11"/>
  <c r="M181" i="11"/>
  <c r="L181" i="11"/>
  <c r="H187" i="11"/>
  <c r="G187" i="11"/>
  <c r="M187" i="11"/>
  <c r="L187" i="11"/>
  <c r="H188" i="11"/>
  <c r="G188" i="11"/>
  <c r="M188" i="11"/>
  <c r="L188" i="11"/>
  <c r="H189" i="11"/>
  <c r="G189" i="11"/>
  <c r="M189" i="11"/>
  <c r="L189" i="11"/>
  <c r="H190" i="11"/>
  <c r="G190" i="11"/>
  <c r="M190" i="11"/>
  <c r="L190" i="11"/>
  <c r="H191" i="11"/>
  <c r="G191" i="11"/>
  <c r="M191" i="11"/>
  <c r="L191" i="11"/>
  <c r="H193" i="11"/>
  <c r="G193" i="11"/>
  <c r="M193" i="11"/>
  <c r="L193" i="11"/>
  <c r="H194" i="11"/>
  <c r="G194" i="11"/>
  <c r="M194" i="11"/>
  <c r="L194" i="11"/>
  <c r="H195" i="11"/>
  <c r="G195" i="11"/>
  <c r="M195" i="11"/>
  <c r="L195" i="11"/>
  <c r="H196" i="11"/>
  <c r="G196" i="11"/>
  <c r="M196" i="11"/>
  <c r="L196" i="11"/>
  <c r="H1868" i="11"/>
  <c r="G1868" i="11"/>
  <c r="M1868" i="11"/>
  <c r="L1868" i="11"/>
  <c r="H1869" i="11"/>
  <c r="G1869" i="11"/>
  <c r="M1869" i="11"/>
  <c r="L1869" i="11"/>
  <c r="H1870" i="11"/>
  <c r="G1870" i="11"/>
  <c r="M1870" i="11"/>
  <c r="L1870" i="11"/>
  <c r="H1871" i="11"/>
  <c r="G1871" i="11"/>
  <c r="M1871" i="11"/>
  <c r="L1871" i="11"/>
  <c r="H1872" i="11"/>
  <c r="G1872" i="11"/>
  <c r="M1872" i="11"/>
  <c r="L1872" i="11"/>
  <c r="H1874" i="11"/>
  <c r="G1874" i="11"/>
  <c r="M1874" i="11"/>
  <c r="L1874" i="11"/>
  <c r="H1875" i="11"/>
  <c r="G1875" i="11"/>
  <c r="M1875" i="11"/>
  <c r="L1875" i="11"/>
  <c r="H1876" i="11"/>
  <c r="G1876" i="11"/>
  <c r="M1876" i="11"/>
  <c r="L1876" i="11"/>
  <c r="H1877" i="11"/>
  <c r="G1877" i="11"/>
  <c r="M1877" i="11"/>
  <c r="L1877" i="11"/>
  <c r="H1878" i="11"/>
  <c r="G1878" i="11"/>
  <c r="M1878" i="11"/>
  <c r="L1878" i="11"/>
  <c r="H1879" i="11"/>
  <c r="G1879" i="11"/>
  <c r="M1879" i="11"/>
  <c r="L1879" i="11"/>
  <c r="H152" i="11"/>
  <c r="G152" i="11"/>
  <c r="M152" i="11"/>
  <c r="L152" i="11"/>
  <c r="H153" i="11"/>
  <c r="G153" i="11"/>
  <c r="M153" i="11"/>
  <c r="L153" i="11"/>
  <c r="H154" i="11"/>
  <c r="G154" i="11"/>
  <c r="M154" i="11"/>
  <c r="L154" i="11"/>
  <c r="H155" i="11"/>
  <c r="G155" i="11"/>
  <c r="M155" i="11"/>
  <c r="L155" i="11"/>
  <c r="H156" i="11"/>
  <c r="G156" i="11"/>
  <c r="M156" i="11"/>
  <c r="L156" i="11"/>
  <c r="H158" i="11"/>
  <c r="G158" i="11"/>
  <c r="M158" i="11"/>
  <c r="L158" i="11"/>
  <c r="H159" i="11"/>
  <c r="G159" i="11"/>
  <c r="M159" i="11"/>
  <c r="L159" i="11"/>
  <c r="H160" i="11"/>
  <c r="G160" i="11"/>
  <c r="M160" i="11"/>
  <c r="L160" i="11"/>
  <c r="H161" i="11"/>
  <c r="G161" i="11"/>
  <c r="M161" i="11"/>
  <c r="L161" i="11"/>
  <c r="H162" i="11"/>
  <c r="G162" i="11"/>
  <c r="M162" i="11"/>
  <c r="L162" i="11"/>
  <c r="H116" i="11"/>
  <c r="G116" i="11"/>
  <c r="M116" i="11"/>
  <c r="L116" i="11"/>
  <c r="H117" i="11"/>
  <c r="G117" i="11"/>
  <c r="M117" i="11"/>
  <c r="L117" i="11"/>
  <c r="H118" i="11"/>
  <c r="G118" i="11"/>
  <c r="M118" i="11"/>
  <c r="L118" i="11"/>
  <c r="H119" i="11"/>
  <c r="G119" i="11"/>
  <c r="M119" i="11"/>
  <c r="L119" i="11"/>
  <c r="H120" i="11"/>
  <c r="G120" i="11"/>
  <c r="M120" i="11"/>
  <c r="L120" i="11"/>
  <c r="H121" i="11"/>
  <c r="G121" i="11"/>
  <c r="M121" i="11"/>
  <c r="L121" i="11"/>
  <c r="H122" i="11"/>
  <c r="G122" i="11"/>
  <c r="M122" i="11"/>
  <c r="L122" i="11"/>
  <c r="H123" i="11"/>
  <c r="G123" i="11"/>
  <c r="M123" i="11"/>
  <c r="L123" i="11"/>
  <c r="H124" i="11"/>
  <c r="G124" i="11"/>
  <c r="M124" i="11"/>
  <c r="L124" i="11"/>
  <c r="H125" i="11"/>
  <c r="G125" i="11"/>
  <c r="M125" i="11"/>
  <c r="L125" i="11"/>
  <c r="H126" i="11"/>
  <c r="G126" i="11"/>
  <c r="M126" i="11"/>
  <c r="L126" i="11"/>
  <c r="H43" i="11"/>
  <c r="G43" i="11"/>
  <c r="M43" i="11"/>
  <c r="L43" i="11"/>
  <c r="H44" i="11"/>
  <c r="G44" i="11"/>
  <c r="M44" i="11"/>
  <c r="L44" i="11"/>
  <c r="H45" i="11"/>
  <c r="G45" i="11"/>
  <c r="M45" i="11"/>
  <c r="L45" i="11"/>
  <c r="H46" i="11"/>
  <c r="G46" i="11"/>
  <c r="M46" i="11"/>
  <c r="L46" i="11"/>
  <c r="H47" i="11"/>
  <c r="G47" i="11"/>
  <c r="M47" i="11"/>
  <c r="L47" i="11"/>
  <c r="H48" i="11"/>
  <c r="G48" i="11"/>
  <c r="M48" i="11"/>
  <c r="L48" i="11"/>
  <c r="H49" i="11"/>
  <c r="G49" i="11"/>
  <c r="M49" i="11"/>
  <c r="L49" i="11"/>
  <c r="H50" i="11"/>
  <c r="G50" i="11"/>
  <c r="M50" i="11"/>
  <c r="L50" i="11"/>
  <c r="H51" i="11"/>
  <c r="G51" i="11"/>
  <c r="M51" i="11"/>
  <c r="L51" i="11"/>
  <c r="H52" i="11"/>
  <c r="G52" i="11"/>
  <c r="M52" i="11"/>
  <c r="L52" i="11"/>
  <c r="H53" i="11"/>
  <c r="G53" i="11"/>
  <c r="M53" i="11"/>
  <c r="L53" i="11"/>
  <c r="H182" i="11"/>
  <c r="G182" i="11"/>
  <c r="M182" i="11"/>
  <c r="L182" i="11"/>
  <c r="H183" i="11"/>
  <c r="G183" i="11"/>
  <c r="M183" i="11"/>
  <c r="L183" i="11"/>
  <c r="H184" i="11"/>
  <c r="G184" i="11"/>
  <c r="M184" i="11"/>
  <c r="L184" i="11"/>
  <c r="H185" i="11"/>
  <c r="G185" i="11"/>
  <c r="M185" i="11"/>
  <c r="L185" i="11"/>
  <c r="H164" i="11"/>
  <c r="G164" i="11"/>
  <c r="M164" i="11"/>
  <c r="L164" i="11"/>
  <c r="H165" i="11"/>
  <c r="G165" i="11"/>
  <c r="M165" i="11"/>
  <c r="L165" i="11"/>
  <c r="H166" i="11"/>
  <c r="G166" i="11"/>
  <c r="M166" i="11"/>
  <c r="L166" i="11"/>
  <c r="H167" i="11"/>
  <c r="G167" i="11"/>
  <c r="M167" i="11"/>
  <c r="L167" i="11"/>
  <c r="H168" i="11"/>
  <c r="G168" i="11"/>
  <c r="M168" i="11"/>
  <c r="L168" i="11"/>
  <c r="H169" i="11"/>
  <c r="G169" i="11"/>
  <c r="M169" i="11"/>
  <c r="L169" i="11"/>
  <c r="H170" i="11"/>
  <c r="G170" i="11"/>
  <c r="M170" i="11"/>
  <c r="L170" i="11"/>
  <c r="H95" i="11"/>
  <c r="G95" i="11"/>
  <c r="M95" i="11"/>
  <c r="L95" i="11"/>
  <c r="H96" i="11"/>
  <c r="G96" i="11"/>
  <c r="M96" i="11"/>
  <c r="L96" i="11"/>
  <c r="H97" i="11"/>
  <c r="G97" i="11"/>
  <c r="M97" i="11"/>
  <c r="L97" i="11"/>
  <c r="H98" i="11"/>
  <c r="G98" i="11"/>
  <c r="M98" i="11"/>
  <c r="L98" i="11"/>
  <c r="H99" i="11"/>
  <c r="G99" i="11"/>
  <c r="M99" i="11"/>
  <c r="L99" i="11"/>
  <c r="H100" i="11"/>
  <c r="G100" i="11"/>
  <c r="M100" i="11"/>
  <c r="L100" i="11"/>
  <c r="H101" i="11"/>
  <c r="G101" i="11"/>
  <c r="M101" i="11"/>
  <c r="L101" i="11"/>
  <c r="H102" i="11"/>
  <c r="G102" i="11"/>
  <c r="M102" i="11"/>
  <c r="L102" i="11"/>
  <c r="H197" i="11"/>
  <c r="G197" i="11"/>
  <c r="M197" i="11"/>
  <c r="L197" i="11"/>
  <c r="H198" i="11"/>
  <c r="G198" i="11"/>
  <c r="M198" i="11"/>
  <c r="L198" i="11"/>
  <c r="H199" i="11"/>
  <c r="G199" i="11"/>
  <c r="M199" i="11"/>
  <c r="L199" i="11"/>
  <c r="H200" i="11"/>
  <c r="G200" i="11"/>
  <c r="M200" i="11"/>
  <c r="L200" i="11"/>
  <c r="H201" i="11"/>
  <c r="G201" i="11"/>
  <c r="M201" i="11"/>
  <c r="L201" i="11"/>
  <c r="H202" i="11"/>
  <c r="G202" i="11"/>
  <c r="M202" i="11"/>
  <c r="L202" i="11"/>
  <c r="H128" i="11"/>
  <c r="G128" i="11"/>
  <c r="M128" i="11"/>
  <c r="L128" i="11"/>
  <c r="H129" i="11"/>
  <c r="G129" i="11"/>
  <c r="M129" i="11"/>
  <c r="L129" i="11"/>
  <c r="H130" i="11"/>
  <c r="G130" i="11"/>
  <c r="M130" i="11"/>
  <c r="L130" i="11"/>
  <c r="H131" i="11"/>
  <c r="G131" i="11"/>
  <c r="M131" i="11"/>
  <c r="L131" i="11"/>
  <c r="H132" i="11"/>
  <c r="G132" i="11"/>
  <c r="M132" i="11"/>
  <c r="L132" i="11"/>
  <c r="H133" i="11"/>
  <c r="G133" i="11"/>
  <c r="M133" i="11"/>
  <c r="L133" i="11"/>
  <c r="H134" i="11"/>
  <c r="G134" i="11"/>
  <c r="M134" i="11"/>
  <c r="L134" i="11"/>
  <c r="H135" i="11"/>
  <c r="G135" i="11"/>
  <c r="M135" i="11"/>
  <c r="L135" i="11"/>
  <c r="H55" i="11"/>
  <c r="G55" i="11"/>
  <c r="M55" i="11"/>
  <c r="L55" i="11"/>
  <c r="H56" i="11"/>
  <c r="G56" i="11"/>
  <c r="M56" i="11"/>
  <c r="L56" i="11"/>
  <c r="H57" i="11"/>
  <c r="G57" i="11"/>
  <c r="M57" i="11"/>
  <c r="L57" i="11"/>
  <c r="H58" i="11"/>
  <c r="G58" i="11"/>
  <c r="M58" i="11"/>
  <c r="L58" i="11"/>
  <c r="H59" i="11"/>
  <c r="G59" i="11"/>
  <c r="M59" i="11"/>
  <c r="L59" i="11"/>
  <c r="H60" i="11"/>
  <c r="G60" i="11"/>
  <c r="M60" i="11"/>
  <c r="L60" i="11"/>
  <c r="H61" i="11"/>
  <c r="G61" i="11"/>
  <c r="M61" i="11"/>
  <c r="L61" i="11"/>
  <c r="H62" i="11"/>
  <c r="G62" i="11"/>
  <c r="M62" i="11"/>
  <c r="L62" i="11"/>
  <c r="H63" i="11"/>
  <c r="G63" i="11"/>
  <c r="M63" i="11"/>
  <c r="L63" i="11"/>
  <c r="H64" i="11"/>
  <c r="G64" i="11"/>
  <c r="M64" i="11"/>
  <c r="L64" i="11"/>
  <c r="H65" i="11"/>
  <c r="G65" i="11"/>
  <c r="M65" i="11"/>
  <c r="L65" i="11"/>
  <c r="M2" i="11"/>
  <c r="L2" i="11"/>
  <c r="H3" i="11"/>
  <c r="G3" i="11"/>
  <c r="M3" i="11"/>
  <c r="L3" i="11"/>
  <c r="H4" i="11"/>
  <c r="G4" i="11"/>
  <c r="M4" i="11"/>
  <c r="L4" i="11"/>
  <c r="H5" i="11"/>
  <c r="G5" i="11"/>
  <c r="M5" i="11"/>
  <c r="L5" i="11"/>
  <c r="H6" i="11"/>
  <c r="G6" i="11"/>
  <c r="M6" i="11"/>
  <c r="L6" i="11"/>
  <c r="H7" i="11"/>
  <c r="G7" i="11"/>
  <c r="M7" i="11"/>
  <c r="L7" i="11"/>
  <c r="H8" i="11"/>
  <c r="G8" i="11"/>
  <c r="M8" i="11"/>
  <c r="L8" i="11"/>
  <c r="H9" i="11"/>
  <c r="G9" i="11"/>
  <c r="M9" i="11"/>
  <c r="L9" i="11"/>
  <c r="H10" i="11"/>
  <c r="G10" i="11"/>
  <c r="M10" i="11"/>
  <c r="L10" i="11"/>
  <c r="H11" i="11"/>
  <c r="G11" i="11"/>
  <c r="M11" i="11"/>
  <c r="L11" i="11"/>
  <c r="H12" i="11"/>
  <c r="G12" i="11"/>
  <c r="M12" i="11"/>
  <c r="L12" i="11"/>
  <c r="M34" i="11"/>
  <c r="L34" i="11"/>
  <c r="M35" i="11"/>
  <c r="L35" i="11"/>
  <c r="M36" i="11"/>
  <c r="L36" i="11"/>
  <c r="M37" i="11"/>
  <c r="L37" i="11"/>
  <c r="M38" i="11"/>
  <c r="L38" i="11"/>
  <c r="M16" i="11"/>
  <c r="L16" i="11"/>
  <c r="M17" i="11"/>
  <c r="L17" i="11"/>
  <c r="M18" i="11"/>
  <c r="L18" i="11"/>
  <c r="M19" i="11"/>
  <c r="L19" i="11"/>
  <c r="M20" i="11"/>
  <c r="L20" i="11"/>
  <c r="M21" i="11"/>
  <c r="L21" i="11"/>
  <c r="M22" i="11"/>
  <c r="L22" i="11"/>
  <c r="M23" i="11"/>
  <c r="L23" i="11"/>
  <c r="M24" i="11"/>
  <c r="L24" i="11"/>
  <c r="M25" i="11"/>
  <c r="L25" i="11"/>
  <c r="M26" i="11"/>
  <c r="L26" i="11"/>
  <c r="M79" i="11"/>
  <c r="L79" i="11"/>
  <c r="M80" i="11"/>
  <c r="L80" i="11"/>
  <c r="M81" i="11"/>
  <c r="L81" i="11"/>
  <c r="M82" i="11"/>
  <c r="L82" i="11"/>
  <c r="M83" i="11"/>
  <c r="L83" i="11"/>
  <c r="M84" i="11"/>
  <c r="L84" i="11"/>
  <c r="M85" i="11"/>
  <c r="L85" i="11"/>
  <c r="M86" i="11"/>
  <c r="L86" i="11"/>
  <c r="M143" i="11"/>
  <c r="L143" i="11"/>
  <c r="M144" i="11"/>
  <c r="L144" i="11"/>
  <c r="M145" i="11"/>
  <c r="L145" i="11"/>
  <c r="M146" i="11"/>
  <c r="L146" i="11"/>
  <c r="M147" i="11"/>
  <c r="L147" i="11"/>
  <c r="M148" i="11"/>
  <c r="L148" i="11"/>
  <c r="M149" i="11"/>
  <c r="L149" i="11"/>
  <c r="H34" i="11"/>
  <c r="G34" i="11"/>
  <c r="H35" i="11"/>
  <c r="G35" i="11"/>
  <c r="H36" i="11"/>
  <c r="G36" i="11"/>
  <c r="H37" i="11"/>
  <c r="G37" i="11"/>
  <c r="H38" i="11"/>
  <c r="G38" i="11"/>
  <c r="H16" i="11"/>
  <c r="G16" i="11"/>
  <c r="H17" i="11"/>
  <c r="G17" i="11"/>
  <c r="H18" i="11"/>
  <c r="G18" i="11"/>
  <c r="H19" i="11"/>
  <c r="G19" i="11"/>
  <c r="H20" i="11"/>
  <c r="G20" i="11"/>
  <c r="H21" i="11"/>
  <c r="G21" i="11"/>
  <c r="H22" i="11"/>
  <c r="G22" i="11"/>
  <c r="H23" i="11"/>
  <c r="G23" i="11"/>
  <c r="H24" i="11"/>
  <c r="G24" i="11"/>
  <c r="H25" i="11"/>
  <c r="G25" i="11"/>
  <c r="H26" i="11"/>
  <c r="G26" i="11"/>
  <c r="H79" i="11"/>
  <c r="G79" i="11"/>
  <c r="H80" i="11"/>
  <c r="G80" i="11"/>
  <c r="H81" i="11"/>
  <c r="G81" i="11"/>
  <c r="H82" i="11"/>
  <c r="G82" i="11"/>
  <c r="H83" i="11"/>
  <c r="G83" i="11"/>
  <c r="H84" i="11"/>
  <c r="G84" i="11"/>
  <c r="H85" i="11"/>
  <c r="G85" i="11"/>
  <c r="H86" i="11"/>
  <c r="G86" i="11"/>
  <c r="H143" i="11"/>
  <c r="G143" i="11"/>
  <c r="H144" i="11"/>
  <c r="G144" i="11"/>
  <c r="H145" i="11"/>
  <c r="G145" i="11"/>
  <c r="H146" i="11"/>
  <c r="G146" i="11"/>
  <c r="H147" i="11"/>
  <c r="G147" i="11"/>
  <c r="H148" i="11"/>
  <c r="G148" i="11"/>
  <c r="H149" i="11"/>
  <c r="G149" i="11"/>
  <c r="H150" i="11"/>
  <c r="G150" i="11"/>
  <c r="M150" i="11"/>
  <c r="L150" i="11"/>
  <c r="L1831" i="11"/>
  <c r="L335" i="11"/>
  <c r="L341" i="11"/>
  <c r="L349" i="11"/>
  <c r="L401" i="11"/>
  <c r="L399" i="11"/>
  <c r="M579" i="11"/>
  <c r="L623" i="11"/>
  <c r="L636" i="11"/>
  <c r="L661" i="11"/>
  <c r="L663" i="11"/>
  <c r="L684" i="11"/>
  <c r="M733" i="11"/>
  <c r="M747" i="11"/>
  <c r="L803" i="11"/>
  <c r="M805" i="11"/>
  <c r="M808" i="11"/>
  <c r="L835" i="11"/>
  <c r="M841" i="11"/>
  <c r="M852" i="11"/>
  <c r="L850" i="11"/>
  <c r="M857" i="11"/>
  <c r="M859" i="11"/>
  <c r="M864" i="11"/>
  <c r="M897" i="11"/>
  <c r="L896" i="11"/>
  <c r="M894" i="11"/>
  <c r="M921" i="11"/>
  <c r="L919" i="11"/>
  <c r="L918" i="11"/>
  <c r="M916" i="11"/>
  <c r="M914" i="11"/>
  <c r="M912" i="11"/>
  <c r="M947" i="11"/>
  <c r="M953" i="11"/>
  <c r="M994" i="11"/>
  <c r="L1007" i="11"/>
  <c r="M1006" i="11"/>
  <c r="L1027" i="11"/>
  <c r="M1026" i="11"/>
  <c r="M1024" i="11"/>
  <c r="L1035" i="11"/>
  <c r="L1043" i="11"/>
  <c r="M1051" i="11"/>
  <c r="M1060" i="11"/>
  <c r="M1066" i="11"/>
  <c r="M1074" i="11"/>
  <c r="M1095" i="11"/>
  <c r="M1101" i="11"/>
  <c r="M1105" i="11"/>
  <c r="L1113" i="11"/>
  <c r="L1112" i="11"/>
  <c r="M1123" i="11"/>
  <c r="M1122" i="11"/>
  <c r="M1119" i="11"/>
  <c r="L1127" i="11"/>
  <c r="L1131" i="11"/>
  <c r="M1135" i="11"/>
  <c r="M1139" i="11"/>
  <c r="M1164" i="11"/>
  <c r="M1169" i="11"/>
  <c r="L1177" i="11"/>
  <c r="M1179" i="11"/>
  <c r="M1190" i="11"/>
  <c r="M1198" i="11"/>
  <c r="M1202" i="11"/>
  <c r="L1210" i="11"/>
  <c r="M1218" i="11"/>
  <c r="M1223" i="11"/>
  <c r="L1247" i="11"/>
  <c r="L1263" i="11"/>
  <c r="M1265" i="11"/>
  <c r="M1274" i="11"/>
  <c r="L1276" i="11"/>
  <c r="L1283" i="11"/>
  <c r="L1302" i="11"/>
  <c r="M1318" i="11"/>
  <c r="L1315" i="11"/>
  <c r="L1353" i="11"/>
  <c r="L1359" i="11"/>
  <c r="M1362" i="11"/>
  <c r="L1369" i="11"/>
  <c r="L1372" i="11"/>
  <c r="L1382" i="11"/>
  <c r="M1400" i="11"/>
  <c r="L1397" i="11"/>
  <c r="M1404" i="11"/>
  <c r="L1414" i="11"/>
  <c r="M1438" i="11"/>
  <c r="L1435" i="11"/>
  <c r="M1434" i="11"/>
  <c r="M1433" i="11"/>
  <c r="M1431" i="11"/>
  <c r="L1427" i="11"/>
  <c r="M1448" i="11"/>
  <c r="M1460" i="11"/>
  <c r="L1466" i="11"/>
  <c r="M1472" i="11"/>
  <c r="M1478" i="11"/>
  <c r="M1481" i="11"/>
  <c r="L1493" i="11"/>
  <c r="M1500" i="11"/>
  <c r="M1504" i="11"/>
  <c r="M1538" i="11"/>
  <c r="L1542" i="11"/>
  <c r="M1546" i="11"/>
  <c r="M1550" i="11"/>
  <c r="M1560" i="11"/>
  <c r="M1558" i="11"/>
  <c r="M1567" i="11"/>
  <c r="L1573" i="11"/>
  <c r="M1571" i="11"/>
  <c r="M1588" i="11"/>
  <c r="M1595" i="11"/>
  <c r="M1599" i="11"/>
  <c r="M1611" i="11"/>
  <c r="L1615" i="11"/>
  <c r="M1619" i="11"/>
  <c r="M1622" i="11"/>
  <c r="M1625" i="11"/>
  <c r="M1628" i="11"/>
  <c r="M1632" i="11"/>
  <c r="M1648" i="11"/>
  <c r="M1653" i="11"/>
  <c r="L1651" i="11"/>
  <c r="L1659" i="11"/>
  <c r="M1657" i="11"/>
  <c r="L1703" i="11"/>
  <c r="M1722" i="11"/>
  <c r="M1720" i="11"/>
  <c r="L1718" i="11"/>
  <c r="M1717" i="11"/>
  <c r="L1715" i="11"/>
  <c r="M1714" i="11"/>
  <c r="M1713" i="11"/>
  <c r="L1711" i="11"/>
  <c r="L1724" i="11"/>
  <c r="M1727" i="11"/>
  <c r="M1729" i="11"/>
  <c r="M1733" i="11"/>
  <c r="M1736" i="11"/>
  <c r="M1734" i="11"/>
  <c r="M1738" i="11"/>
  <c r="M1740" i="11"/>
  <c r="M1744" i="11"/>
  <c r="L1746" i="11"/>
  <c r="L1749" i="11"/>
  <c r="M1751" i="11"/>
  <c r="L1754" i="11"/>
  <c r="L1755" i="11"/>
  <c r="L1757" i="11"/>
  <c r="M1759" i="11"/>
  <c r="M1770" i="11"/>
  <c r="L1774" i="11"/>
  <c r="M1772" i="11"/>
  <c r="L1779" i="11"/>
  <c r="M1778" i="11"/>
  <c r="L1781" i="11"/>
  <c r="M1785" i="11"/>
  <c r="L1786" i="11"/>
  <c r="L1788" i="11"/>
  <c r="M1787" i="11"/>
  <c r="L1789" i="11"/>
  <c r="L1791" i="11"/>
  <c r="L1792" i="11"/>
  <c r="L1795" i="11"/>
  <c r="M1794" i="11"/>
  <c r="M1796" i="11"/>
  <c r="M1799" i="11"/>
  <c r="M1803" i="11"/>
  <c r="L1801" i="11"/>
  <c r="M1806" i="11"/>
  <c r="L1805" i="11"/>
  <c r="M1809" i="11"/>
  <c r="L1813" i="11"/>
  <c r="L1811" i="11"/>
  <c r="M1815" i="11"/>
  <c r="L1817" i="11"/>
  <c r="M1818" i="11"/>
  <c r="L1821" i="11"/>
  <c r="L1822" i="11"/>
  <c r="M1824" i="11"/>
  <c r="L1827" i="11"/>
  <c r="L1828" i="11"/>
  <c r="L1829" i="11"/>
  <c r="M1830" i="11"/>
  <c r="L1832" i="11"/>
  <c r="L221" i="11"/>
  <c r="M355" i="11"/>
  <c r="M398" i="11"/>
  <c r="M568" i="11"/>
  <c r="M587" i="11"/>
  <c r="M1186" i="11"/>
  <c r="M1581" i="11"/>
  <c r="L1736" i="11"/>
  <c r="L1742" i="11"/>
  <c r="M214" i="11"/>
  <c r="G214" i="11"/>
  <c r="H214" i="11"/>
  <c r="G222" i="11"/>
  <c r="H222" i="11"/>
  <c r="G221" i="11"/>
  <c r="H221" i="11"/>
  <c r="G219" i="11"/>
  <c r="H219" i="11"/>
  <c r="G226" i="11"/>
  <c r="H226" i="11"/>
  <c r="G230" i="11"/>
  <c r="H230" i="11"/>
  <c r="G256" i="11"/>
  <c r="H256" i="11"/>
  <c r="G276" i="11"/>
  <c r="H276" i="11"/>
  <c r="G275" i="11"/>
  <c r="H275" i="11"/>
  <c r="G274" i="11"/>
  <c r="H274" i="11"/>
  <c r="G272" i="11"/>
  <c r="H272" i="11"/>
  <c r="G282" i="11"/>
  <c r="H282" i="11"/>
  <c r="G284" i="11"/>
  <c r="H284" i="11"/>
  <c r="G288" i="11"/>
  <c r="H288" i="11"/>
  <c r="G291" i="11"/>
  <c r="H291" i="11"/>
  <c r="G293" i="11"/>
  <c r="H293" i="11"/>
  <c r="G295" i="11"/>
  <c r="H295" i="11"/>
  <c r="G297" i="11"/>
  <c r="H297" i="11"/>
  <c r="G299" i="11"/>
  <c r="H299" i="11"/>
  <c r="G301" i="11"/>
  <c r="H301" i="11"/>
  <c r="G305" i="11"/>
  <c r="H305" i="11"/>
  <c r="G317" i="11"/>
  <c r="H317" i="11"/>
  <c r="G319" i="11"/>
  <c r="H319" i="11"/>
  <c r="G321" i="11"/>
  <c r="H321" i="11"/>
  <c r="G332" i="11"/>
  <c r="H332" i="11"/>
  <c r="G331" i="11"/>
  <c r="H331" i="11"/>
  <c r="G329" i="11"/>
  <c r="H329" i="11"/>
  <c r="G335" i="11"/>
  <c r="H335" i="11"/>
  <c r="G338" i="11"/>
  <c r="H338" i="11"/>
  <c r="G341" i="11"/>
  <c r="H341" i="11"/>
  <c r="G349" i="11"/>
  <c r="H349" i="11"/>
  <c r="G352" i="11"/>
  <c r="H352" i="11"/>
  <c r="G355" i="11"/>
  <c r="H355" i="11"/>
  <c r="G403" i="11"/>
  <c r="H403" i="11"/>
  <c r="G402" i="11"/>
  <c r="H402" i="11"/>
  <c r="G401" i="11"/>
  <c r="H401" i="11"/>
  <c r="G399" i="11"/>
  <c r="H399" i="11"/>
  <c r="G398" i="11"/>
  <c r="H398" i="11"/>
  <c r="G429" i="11"/>
  <c r="H429" i="11"/>
  <c r="G465" i="11"/>
  <c r="H465" i="11"/>
  <c r="G478" i="11"/>
  <c r="H478" i="11"/>
  <c r="G481" i="11"/>
  <c r="H481" i="11"/>
  <c r="G507" i="11"/>
  <c r="H507" i="11"/>
  <c r="G520" i="11"/>
  <c r="H520" i="11"/>
  <c r="G542" i="11"/>
  <c r="H542" i="11"/>
  <c r="G556" i="11"/>
  <c r="H556" i="11"/>
  <c r="G558" i="11"/>
  <c r="H558" i="11"/>
  <c r="G562" i="11"/>
  <c r="H562" i="11"/>
  <c r="G566" i="11"/>
  <c r="H566" i="11"/>
  <c r="G568" i="11"/>
  <c r="H568" i="11"/>
  <c r="G573" i="11"/>
  <c r="H573" i="11"/>
  <c r="G579" i="11"/>
  <c r="H579" i="11"/>
  <c r="G583" i="11"/>
  <c r="H583" i="11"/>
  <c r="G587" i="11"/>
  <c r="H587" i="11"/>
  <c r="G623" i="11"/>
  <c r="H623" i="11"/>
  <c r="G636" i="11"/>
  <c r="H636" i="11"/>
  <c r="G657" i="11"/>
  <c r="H657" i="11"/>
  <c r="G656" i="11"/>
  <c r="H656" i="11"/>
  <c r="G654" i="11"/>
  <c r="H654" i="11"/>
  <c r="G661" i="11"/>
  <c r="H661" i="11"/>
  <c r="G663" i="11"/>
  <c r="H663" i="11"/>
  <c r="G670" i="11"/>
  <c r="H670" i="11"/>
  <c r="G676" i="11"/>
  <c r="H676" i="11"/>
  <c r="G681" i="11"/>
  <c r="H681" i="11"/>
  <c r="G684" i="11"/>
  <c r="H684" i="11"/>
  <c r="G688" i="11"/>
  <c r="H688" i="11"/>
  <c r="G719" i="11"/>
  <c r="H719" i="11"/>
  <c r="G718" i="11"/>
  <c r="H718" i="11"/>
  <c r="G716" i="11"/>
  <c r="H716" i="11"/>
  <c r="G733" i="11"/>
  <c r="H733" i="11"/>
  <c r="G746" i="11"/>
  <c r="H746" i="11"/>
  <c r="G747" i="11"/>
  <c r="H747" i="11"/>
  <c r="G761" i="11"/>
  <c r="H761" i="11"/>
  <c r="G799" i="11"/>
  <c r="H799" i="11"/>
  <c r="G802" i="11"/>
  <c r="H802" i="11"/>
  <c r="G803" i="11"/>
  <c r="H803" i="11"/>
  <c r="G805" i="11"/>
  <c r="H805" i="11"/>
  <c r="G806" i="11"/>
  <c r="H806" i="11"/>
  <c r="G808" i="11"/>
  <c r="H808" i="11"/>
  <c r="G822" i="11"/>
  <c r="H822" i="11"/>
  <c r="G835" i="11"/>
  <c r="H835" i="11"/>
  <c r="G838" i="11"/>
  <c r="H838" i="11"/>
  <c r="G841" i="11"/>
  <c r="H841" i="11"/>
  <c r="G844" i="11"/>
  <c r="H844" i="11"/>
  <c r="G847" i="11"/>
  <c r="H847" i="11"/>
  <c r="G852" i="11"/>
  <c r="H852" i="11"/>
  <c r="G850" i="11"/>
  <c r="H850" i="11"/>
  <c r="G857" i="11"/>
  <c r="H857" i="11"/>
  <c r="G855" i="11"/>
  <c r="H855" i="11"/>
  <c r="G858" i="11"/>
  <c r="H858" i="11"/>
  <c r="G859" i="11"/>
  <c r="H859" i="11"/>
  <c r="G865" i="11"/>
  <c r="H865" i="11"/>
  <c r="G864" i="11"/>
  <c r="H864" i="11"/>
  <c r="G863" i="11"/>
  <c r="H863" i="11"/>
  <c r="G879" i="11"/>
  <c r="H879" i="11"/>
  <c r="G897" i="11"/>
  <c r="H897" i="11"/>
  <c r="G896" i="11"/>
  <c r="H896" i="11"/>
  <c r="G894" i="11"/>
  <c r="H894" i="11"/>
  <c r="G921" i="11"/>
  <c r="H921" i="11"/>
  <c r="G920" i="11"/>
  <c r="H920" i="11"/>
  <c r="G919" i="11"/>
  <c r="H919" i="11"/>
  <c r="G918" i="11"/>
  <c r="H918" i="11"/>
  <c r="G917" i="11"/>
  <c r="H917" i="11"/>
  <c r="G916" i="11"/>
  <c r="H916" i="11"/>
  <c r="G914" i="11"/>
  <c r="H914" i="11"/>
  <c r="G913" i="11"/>
  <c r="H913" i="11"/>
  <c r="G912" i="11"/>
  <c r="H912" i="11"/>
  <c r="G911" i="11"/>
  <c r="H911" i="11"/>
  <c r="G910" i="11"/>
  <c r="H910" i="11"/>
  <c r="G947" i="11"/>
  <c r="H947" i="11"/>
  <c r="G953" i="11"/>
  <c r="H953" i="11"/>
  <c r="G956" i="11"/>
  <c r="H956" i="11"/>
  <c r="G978" i="11"/>
  <c r="H978" i="11"/>
  <c r="G977" i="11"/>
  <c r="H977" i="11"/>
  <c r="G982" i="11"/>
  <c r="H982" i="11"/>
  <c r="G994" i="11"/>
  <c r="H994" i="11"/>
  <c r="G993" i="11"/>
  <c r="H993" i="11"/>
  <c r="G996" i="11"/>
  <c r="H996" i="11"/>
  <c r="G1000" i="11"/>
  <c r="H1000" i="11"/>
  <c r="G1007" i="11"/>
  <c r="H1007" i="11"/>
  <c r="G1006" i="11"/>
  <c r="H1006" i="11"/>
  <c r="G1011" i="11"/>
  <c r="H1011" i="11"/>
  <c r="G1015" i="11"/>
  <c r="H1015" i="11"/>
  <c r="G1019" i="11"/>
  <c r="H1019" i="11"/>
  <c r="G1027" i="11"/>
  <c r="H1027" i="11"/>
  <c r="G1026" i="11"/>
  <c r="H1026" i="11"/>
  <c r="G1024" i="11"/>
  <c r="H1024" i="11"/>
  <c r="G1031" i="11"/>
  <c r="H1031" i="11"/>
  <c r="G1035" i="11"/>
  <c r="H1035" i="11"/>
  <c r="G1039" i="11"/>
  <c r="H1039" i="11"/>
  <c r="G1043" i="11"/>
  <c r="H1043" i="11"/>
  <c r="G1047" i="11"/>
  <c r="H1047" i="11"/>
  <c r="G1051" i="11"/>
  <c r="H1051" i="11"/>
  <c r="G1056" i="11"/>
  <c r="H1056" i="11"/>
  <c r="G1060" i="11"/>
  <c r="H1060" i="11"/>
  <c r="G1066" i="11"/>
  <c r="H1066" i="11"/>
  <c r="G1068" i="11"/>
  <c r="H1068" i="11"/>
  <c r="G1074" i="11"/>
  <c r="H1074" i="11"/>
  <c r="G1078" i="11"/>
  <c r="H1078" i="11"/>
  <c r="G1082" i="11"/>
  <c r="H1082" i="11"/>
  <c r="G1091" i="11"/>
  <c r="H1091" i="11"/>
  <c r="G1095" i="11"/>
  <c r="H1095" i="11"/>
  <c r="G1101" i="11"/>
  <c r="H1101" i="11"/>
  <c r="G1105" i="11"/>
  <c r="H1105" i="11"/>
  <c r="G1113" i="11"/>
  <c r="H1113" i="11"/>
  <c r="G1112" i="11"/>
  <c r="H1112" i="11"/>
  <c r="G1123" i="11"/>
  <c r="H1123" i="11"/>
  <c r="G1122" i="11"/>
  <c r="H1122" i="11"/>
  <c r="G1121" i="11"/>
  <c r="H1121" i="11"/>
  <c r="G1119" i="11"/>
  <c r="H1119" i="11"/>
  <c r="G1118" i="11"/>
  <c r="H1118" i="11"/>
  <c r="G1127" i="11"/>
  <c r="H1127" i="11"/>
  <c r="G1131" i="11"/>
  <c r="H1131" i="11"/>
  <c r="G1135" i="11"/>
  <c r="H1135" i="11"/>
  <c r="G1139" i="11"/>
  <c r="H1139" i="11"/>
  <c r="G1157" i="11"/>
  <c r="H1157" i="11"/>
  <c r="G1156" i="11"/>
  <c r="H1156" i="11"/>
  <c r="G1154" i="11"/>
  <c r="H1154" i="11"/>
  <c r="G1165" i="11"/>
  <c r="H1165" i="11"/>
  <c r="G1164" i="11"/>
  <c r="H1164" i="11"/>
  <c r="G1162" i="11"/>
  <c r="H1162" i="11"/>
  <c r="G1169" i="11"/>
  <c r="H1169" i="11"/>
  <c r="G1173" i="11"/>
  <c r="H1173" i="11"/>
  <c r="G1177" i="11"/>
  <c r="H1177" i="11"/>
  <c r="G1179" i="11"/>
  <c r="H1179" i="11"/>
  <c r="G1186" i="11"/>
  <c r="H1186" i="11"/>
  <c r="G1185" i="11"/>
  <c r="H1185" i="11"/>
  <c r="G1183" i="11"/>
  <c r="H1183" i="11"/>
  <c r="G1190" i="11"/>
  <c r="H1190" i="11"/>
  <c r="G1194" i="11"/>
  <c r="H1194" i="11"/>
  <c r="G1198" i="11"/>
  <c r="H1198" i="11"/>
  <c r="G1202" i="11"/>
  <c r="H1202" i="11"/>
  <c r="G1206" i="11"/>
  <c r="H1206" i="11"/>
  <c r="G1210" i="11"/>
  <c r="H1210" i="11"/>
  <c r="G1214" i="11"/>
  <c r="H1214" i="11"/>
  <c r="G1218" i="11"/>
  <c r="H1218" i="11"/>
  <c r="G1223" i="11"/>
  <c r="H1223" i="11"/>
  <c r="G1226" i="11"/>
  <c r="H1226" i="11"/>
  <c r="G1230" i="11"/>
  <c r="H1230" i="11"/>
  <c r="G1234" i="11"/>
  <c r="H1234" i="11"/>
  <c r="G1238" i="11"/>
  <c r="H1238" i="11"/>
  <c r="G1247" i="11"/>
  <c r="H1247" i="11"/>
  <c r="G1259" i="11"/>
  <c r="H1259" i="11"/>
  <c r="G1261" i="11"/>
  <c r="H1261" i="11"/>
  <c r="G1263" i="11"/>
  <c r="H1263" i="11"/>
  <c r="G1265" i="11"/>
  <c r="H1265" i="11"/>
  <c r="G1271" i="11"/>
  <c r="H1271" i="11"/>
  <c r="G1274" i="11"/>
  <c r="H1274" i="11"/>
  <c r="G1276" i="11"/>
  <c r="H1276" i="11"/>
  <c r="G1277" i="11"/>
  <c r="H1277" i="11"/>
  <c r="G1283" i="11"/>
  <c r="H1283" i="11"/>
  <c r="G1291" i="11"/>
  <c r="H1291" i="11"/>
  <c r="G1290" i="11"/>
  <c r="H1290" i="11"/>
  <c r="G1288" i="11"/>
  <c r="H1288" i="11"/>
  <c r="G1295" i="11"/>
  <c r="H1295" i="11"/>
  <c r="G1302" i="11"/>
  <c r="H1302" i="11"/>
  <c r="G1310" i="11"/>
  <c r="H1310" i="11"/>
  <c r="G1309" i="11"/>
  <c r="H1309" i="11"/>
  <c r="G1307" i="11"/>
  <c r="H1307" i="11"/>
  <c r="G1318" i="11"/>
  <c r="H1318" i="11"/>
  <c r="G1317" i="11"/>
  <c r="H1317" i="11"/>
  <c r="G1315" i="11"/>
  <c r="H1315" i="11"/>
  <c r="G1326" i="11"/>
  <c r="H1326" i="11"/>
  <c r="G1325" i="11"/>
  <c r="H1325" i="11"/>
  <c r="G1323" i="11"/>
  <c r="H1323" i="11"/>
  <c r="G1334" i="11"/>
  <c r="H1334" i="11"/>
  <c r="G1333" i="11"/>
  <c r="H1333" i="11"/>
  <c r="G1331" i="11"/>
  <c r="H1331" i="11"/>
  <c r="G1340" i="11"/>
  <c r="H1340" i="11"/>
  <c r="G1344" i="11"/>
  <c r="H1344" i="11"/>
  <c r="G1348" i="11"/>
  <c r="H1348" i="11"/>
  <c r="G1353" i="11"/>
  <c r="H1353" i="11"/>
  <c r="G1359" i="11"/>
  <c r="H1359" i="11"/>
  <c r="G1362" i="11"/>
  <c r="H1362" i="11"/>
  <c r="G1366" i="11"/>
  <c r="H1366" i="11"/>
  <c r="G1369" i="11"/>
  <c r="H1369" i="11"/>
  <c r="G1372" i="11"/>
  <c r="H1372" i="11"/>
  <c r="G1378" i="11"/>
  <c r="H1378" i="11"/>
  <c r="G1377" i="11"/>
  <c r="H1377" i="11"/>
  <c r="G1375" i="11"/>
  <c r="H1375" i="11"/>
  <c r="G1382" i="11"/>
  <c r="H1382" i="11"/>
  <c r="G1387" i="11"/>
  <c r="H1387" i="11"/>
  <c r="G1393" i="11"/>
  <c r="H1393" i="11"/>
  <c r="G1392" i="11"/>
  <c r="H1392" i="11"/>
  <c r="G1390" i="11"/>
  <c r="H1390" i="11"/>
  <c r="G1400" i="11"/>
  <c r="H1400" i="11"/>
  <c r="G1399" i="11"/>
  <c r="H1399" i="11"/>
  <c r="G1397" i="11"/>
  <c r="H1397" i="11"/>
  <c r="G1404" i="11"/>
  <c r="H1404" i="11"/>
  <c r="G1410" i="11"/>
  <c r="H1410" i="11"/>
  <c r="G1414" i="11"/>
  <c r="H1414" i="11"/>
  <c r="G1438" i="11"/>
  <c r="H1438" i="11"/>
  <c r="G1437" i="11"/>
  <c r="H1437" i="11"/>
  <c r="G1436" i="11"/>
  <c r="H1436" i="11"/>
  <c r="G1435" i="11"/>
  <c r="H1435" i="11"/>
  <c r="G1434" i="11"/>
  <c r="H1434" i="11"/>
  <c r="G1433" i="11"/>
  <c r="H1433" i="11"/>
  <c r="G1431" i="11"/>
  <c r="H1431" i="11"/>
  <c r="G1430" i="11"/>
  <c r="H1430" i="11"/>
  <c r="G1429" i="11"/>
  <c r="H1429" i="11"/>
  <c r="G1428" i="11"/>
  <c r="H1428" i="11"/>
  <c r="G1427" i="11"/>
  <c r="H1427" i="11"/>
  <c r="G1444" i="11"/>
  <c r="H1444" i="11"/>
  <c r="G1448" i="11"/>
  <c r="H1448" i="11"/>
  <c r="G1454" i="11"/>
  <c r="H1454" i="11"/>
  <c r="G1460" i="11"/>
  <c r="H1460" i="11"/>
  <c r="G1466" i="11"/>
  <c r="H1466" i="11"/>
  <c r="G1472" i="11"/>
  <c r="H1472" i="11"/>
  <c r="G1478" i="11"/>
  <c r="H1478" i="11"/>
  <c r="G1481" i="11"/>
  <c r="H1481" i="11"/>
  <c r="G1489" i="11"/>
  <c r="H1489" i="11"/>
  <c r="G1496" i="11"/>
  <c r="H1496" i="11"/>
  <c r="G1495" i="11"/>
  <c r="H1495" i="11"/>
  <c r="G1493" i="11"/>
  <c r="H1493" i="11"/>
  <c r="G1500" i="11"/>
  <c r="H1500" i="11"/>
  <c r="G1504" i="11"/>
  <c r="H1504" i="11"/>
  <c r="G1506" i="11"/>
  <c r="H1506" i="11"/>
  <c r="G1510" i="11"/>
  <c r="H1510" i="11"/>
  <c r="G1514" i="11"/>
  <c r="H1514" i="11"/>
  <c r="G1520" i="11"/>
  <c r="H1520" i="11"/>
  <c r="G1524" i="11"/>
  <c r="H1524" i="11"/>
  <c r="G1528" i="11"/>
  <c r="H1528" i="11"/>
  <c r="G1532" i="11"/>
  <c r="H1532" i="11"/>
  <c r="G1536" i="11"/>
  <c r="H1536" i="11"/>
  <c r="G1538" i="11"/>
  <c r="H1538" i="11"/>
  <c r="G1542" i="11"/>
  <c r="H1542" i="11"/>
  <c r="G1546" i="11"/>
  <c r="H1546" i="11"/>
  <c r="G1550" i="11"/>
  <c r="H1550" i="11"/>
  <c r="G1555" i="11"/>
  <c r="H1555" i="11"/>
  <c r="G1561" i="11"/>
  <c r="H1561" i="11"/>
  <c r="G1560" i="11"/>
  <c r="H1560" i="11"/>
  <c r="G1558" i="11"/>
  <c r="H1558" i="11"/>
  <c r="G1565" i="11"/>
  <c r="H1565" i="11"/>
  <c r="G1567" i="11"/>
  <c r="H1567" i="11"/>
  <c r="G1574" i="11"/>
  <c r="H1574" i="11"/>
  <c r="G1573" i="11"/>
  <c r="H1573" i="11"/>
  <c r="G1571" i="11"/>
  <c r="H1571" i="11"/>
  <c r="G1581" i="11"/>
  <c r="H1581" i="11"/>
  <c r="G1580" i="11"/>
  <c r="H1580" i="11"/>
  <c r="G1578" i="11"/>
  <c r="H1578" i="11"/>
  <c r="G1588" i="11"/>
  <c r="H1588" i="11"/>
  <c r="G1587" i="11"/>
  <c r="H1587" i="11"/>
  <c r="G1585" i="11"/>
  <c r="H1585" i="11"/>
  <c r="G1595" i="11"/>
  <c r="H1595" i="11"/>
  <c r="G1594" i="11"/>
  <c r="H1594" i="11"/>
  <c r="G1592" i="11"/>
  <c r="H1592" i="11"/>
  <c r="G1602" i="11"/>
  <c r="H1602" i="11"/>
  <c r="G1601" i="11"/>
  <c r="H1601" i="11"/>
  <c r="G1599" i="11"/>
  <c r="H1599" i="11"/>
  <c r="G1611" i="11"/>
  <c r="H1611" i="11"/>
  <c r="G1610" i="11"/>
  <c r="H1610" i="11"/>
  <c r="G1615" i="11"/>
  <c r="H1615" i="11"/>
  <c r="G1619" i="11"/>
  <c r="H1619" i="11"/>
  <c r="G1622" i="11"/>
  <c r="H1622" i="11"/>
  <c r="G1625" i="11"/>
  <c r="H1625" i="11"/>
  <c r="G1628" i="11"/>
  <c r="H1628" i="11"/>
  <c r="G1632" i="11"/>
  <c r="H1632" i="11"/>
  <c r="G1636" i="11"/>
  <c r="H1636" i="11"/>
  <c r="G1640" i="11"/>
  <c r="H1640" i="11"/>
  <c r="G1644" i="11"/>
  <c r="H1644" i="11"/>
  <c r="G1648" i="11"/>
  <c r="H1648" i="11"/>
  <c r="G1654" i="11"/>
  <c r="H1654" i="11"/>
  <c r="G1653" i="11"/>
  <c r="H1653" i="11"/>
  <c r="G1651" i="11"/>
  <c r="H1651" i="11"/>
  <c r="G1660" i="11"/>
  <c r="H1660" i="11"/>
  <c r="G1659" i="11"/>
  <c r="H1659" i="11"/>
  <c r="G1657" i="11"/>
  <c r="H1657" i="11"/>
  <c r="G1664" i="11"/>
  <c r="H1664" i="11"/>
  <c r="G1680" i="11"/>
  <c r="H1680" i="11"/>
  <c r="G1679" i="11"/>
  <c r="H1679" i="11"/>
  <c r="G1678" i="11"/>
  <c r="H1678" i="11"/>
  <c r="G1677" i="11"/>
  <c r="H1677" i="11"/>
  <c r="G1676" i="11"/>
  <c r="H1676" i="11"/>
  <c r="G1675" i="11"/>
  <c r="H1675" i="11"/>
  <c r="G1673" i="11"/>
  <c r="H1673" i="11"/>
  <c r="G1672" i="11"/>
  <c r="H1672" i="11"/>
  <c r="G1671" i="11"/>
  <c r="H1671" i="11"/>
  <c r="G1670" i="11"/>
  <c r="H1670" i="11"/>
  <c r="G1669" i="11"/>
  <c r="H1669" i="11"/>
  <c r="G1682" i="11"/>
  <c r="H1682" i="11"/>
  <c r="G1700" i="11"/>
  <c r="H1700" i="11"/>
  <c r="G1699" i="11"/>
  <c r="H1699" i="11"/>
  <c r="G1698" i="11"/>
  <c r="H1698" i="11"/>
  <c r="G1697" i="11"/>
  <c r="H1697" i="11"/>
  <c r="G1696" i="11"/>
  <c r="H1696" i="11"/>
  <c r="G1695" i="11"/>
  <c r="H1695" i="11"/>
  <c r="G1693" i="11"/>
  <c r="H1693" i="11"/>
  <c r="G1692" i="11"/>
  <c r="H1692" i="11"/>
  <c r="G1691" i="11"/>
  <c r="H1691" i="11"/>
  <c r="G1690" i="11"/>
  <c r="H1690" i="11"/>
  <c r="G1689" i="11"/>
  <c r="H1689" i="11"/>
  <c r="G1703" i="11"/>
  <c r="H1703" i="11"/>
  <c r="G1707" i="11"/>
  <c r="H1707" i="11"/>
  <c r="G1710" i="11"/>
  <c r="H1710" i="11"/>
  <c r="G1722" i="11"/>
  <c r="H1722" i="11"/>
  <c r="G1721" i="11"/>
  <c r="H1721" i="11"/>
  <c r="G1720" i="11"/>
  <c r="H1720" i="11"/>
  <c r="G1719" i="11"/>
  <c r="H1719" i="11"/>
  <c r="G1718" i="11"/>
  <c r="H1718" i="11"/>
  <c r="G1717" i="11"/>
  <c r="H1717" i="11"/>
  <c r="G1715" i="11"/>
  <c r="H1715" i="11"/>
  <c r="G1714" i="11"/>
  <c r="H1714" i="11"/>
  <c r="G1713" i="11"/>
  <c r="H1713" i="11"/>
  <c r="G1712" i="11"/>
  <c r="H1712" i="11"/>
  <c r="G1711" i="11"/>
  <c r="H1711" i="11"/>
  <c r="G1724" i="11"/>
  <c r="H1724" i="11"/>
  <c r="G1726" i="11"/>
  <c r="H1726" i="11"/>
  <c r="G1727" i="11"/>
  <c r="H1727" i="11"/>
  <c r="G1729" i="11"/>
  <c r="H1729" i="11"/>
  <c r="G1731" i="11"/>
  <c r="H1731" i="11"/>
  <c r="G1733" i="11"/>
  <c r="H1733" i="11"/>
  <c r="G1736" i="11"/>
  <c r="H1736" i="11"/>
  <c r="G1735" i="11"/>
  <c r="H1735" i="11"/>
  <c r="G1734" i="11"/>
  <c r="H1734" i="11"/>
  <c r="G1738" i="11"/>
  <c r="H1738" i="11"/>
  <c r="G1739" i="11"/>
  <c r="H1739" i="11"/>
  <c r="G1743" i="11"/>
  <c r="H1743" i="11"/>
  <c r="G1742" i="11"/>
  <c r="H1742" i="11"/>
  <c r="G1740" i="11"/>
  <c r="H1740" i="11"/>
  <c r="G1745" i="11"/>
  <c r="H1745" i="11"/>
  <c r="G1744" i="11"/>
  <c r="H1744" i="11"/>
  <c r="G1747" i="11"/>
  <c r="H1747" i="11"/>
  <c r="G1746" i="11"/>
  <c r="H1746" i="11"/>
  <c r="G1749" i="11"/>
  <c r="H1749" i="11"/>
  <c r="G1751" i="11"/>
  <c r="H1751" i="11"/>
  <c r="G1754" i="11"/>
  <c r="H1754" i="11"/>
  <c r="G1755" i="11"/>
  <c r="H1755" i="11"/>
  <c r="G1757" i="11"/>
  <c r="H1757" i="11"/>
  <c r="G1759" i="11"/>
  <c r="H1759" i="11"/>
  <c r="G1761" i="11"/>
  <c r="H1761" i="11"/>
  <c r="G1763" i="11"/>
  <c r="H1763" i="11"/>
  <c r="G1765" i="11"/>
  <c r="H1765" i="11"/>
  <c r="G1767" i="11"/>
  <c r="H1767" i="11"/>
  <c r="G1771" i="11"/>
  <c r="H1771" i="11"/>
  <c r="G1770" i="11"/>
  <c r="H1770" i="11"/>
  <c r="G1768" i="11"/>
  <c r="H1768" i="11"/>
  <c r="G1775" i="11"/>
  <c r="H1775" i="11"/>
  <c r="G1774" i="11"/>
  <c r="H1774" i="11"/>
  <c r="G1772" i="11"/>
  <c r="H1772" i="11"/>
  <c r="G1779" i="11"/>
  <c r="H1779" i="11"/>
  <c r="G1778" i="11"/>
  <c r="H1778" i="11"/>
  <c r="G1776" i="11"/>
  <c r="H1776" i="11"/>
  <c r="G1781" i="11"/>
  <c r="H1781" i="11"/>
  <c r="G1783" i="11"/>
  <c r="H1783" i="11"/>
  <c r="G1785" i="11"/>
  <c r="H1785" i="11"/>
  <c r="G1786" i="11"/>
  <c r="H1786" i="11"/>
  <c r="G1788" i="11"/>
  <c r="H1788" i="11"/>
  <c r="G1787" i="11"/>
  <c r="H1787" i="11"/>
  <c r="G1790" i="11"/>
  <c r="H1790" i="11"/>
  <c r="G1789" i="11"/>
  <c r="H1789" i="11"/>
  <c r="G1791" i="11"/>
  <c r="H1791" i="11"/>
  <c r="G1793" i="11"/>
  <c r="H1793" i="11"/>
  <c r="G1792" i="11"/>
  <c r="H1792" i="11"/>
  <c r="G1795" i="11"/>
  <c r="H1795" i="11"/>
  <c r="G1794" i="11"/>
  <c r="H1794" i="11"/>
  <c r="G1796" i="11"/>
  <c r="H1796" i="11"/>
  <c r="G1797" i="11"/>
  <c r="H1797" i="11"/>
  <c r="G1800" i="11"/>
  <c r="H1800" i="11"/>
  <c r="G1799" i="11"/>
  <c r="H1799" i="11"/>
  <c r="G1804" i="11"/>
  <c r="H1804" i="11"/>
  <c r="G1803" i="11"/>
  <c r="H1803" i="11"/>
  <c r="G1802" i="11"/>
  <c r="H1802" i="11"/>
  <c r="G1801" i="11"/>
  <c r="H1801" i="11"/>
  <c r="G1806" i="11"/>
  <c r="H1806" i="11"/>
  <c r="G1805" i="11"/>
  <c r="H1805" i="11"/>
  <c r="G1807" i="11"/>
  <c r="H1807" i="11"/>
  <c r="G1810" i="11"/>
  <c r="H1810" i="11"/>
  <c r="G1809" i="11"/>
  <c r="H1809" i="11"/>
  <c r="G1808" i="11"/>
  <c r="H1808" i="11"/>
  <c r="G1813" i="11"/>
  <c r="H1813" i="11"/>
  <c r="G1812" i="11"/>
  <c r="H1812" i="11"/>
  <c r="G1811" i="11"/>
  <c r="H1811" i="11"/>
  <c r="G1814" i="11"/>
  <c r="H1814" i="11"/>
  <c r="G1815" i="11"/>
  <c r="H1815" i="11"/>
  <c r="G1816" i="11"/>
  <c r="H1816" i="11"/>
  <c r="G1817" i="11"/>
  <c r="H1817" i="11"/>
  <c r="G1818" i="11"/>
  <c r="H1818" i="11"/>
  <c r="G1819" i="11"/>
  <c r="H1819" i="11"/>
  <c r="G1820" i="11"/>
  <c r="H1820" i="11"/>
  <c r="G1821" i="11"/>
  <c r="H1821" i="11"/>
  <c r="G1822" i="11"/>
  <c r="H1822" i="11"/>
  <c r="G1823" i="11"/>
  <c r="H1823" i="11"/>
  <c r="G1824" i="11"/>
  <c r="H1824" i="11"/>
  <c r="G1825" i="11"/>
  <c r="H1825" i="11"/>
  <c r="G1826" i="11"/>
  <c r="H1826" i="11"/>
  <c r="G1827" i="11"/>
  <c r="H1827" i="11"/>
  <c r="G1828" i="11"/>
  <c r="H1828" i="11"/>
  <c r="G1829" i="11"/>
  <c r="H1829" i="11"/>
  <c r="G1830" i="11"/>
  <c r="H1830" i="11"/>
  <c r="G1831" i="11"/>
  <c r="H1831" i="11"/>
  <c r="G1832" i="11"/>
  <c r="H1832" i="11"/>
  <c r="L222" i="11"/>
  <c r="M222" i="11"/>
  <c r="L219" i="11"/>
  <c r="M219" i="11"/>
  <c r="L226" i="11"/>
  <c r="M226" i="11"/>
  <c r="L230" i="11"/>
  <c r="M230" i="11"/>
  <c r="L256" i="11"/>
  <c r="M256" i="11"/>
  <c r="L276" i="11"/>
  <c r="M276" i="11"/>
  <c r="L275" i="11"/>
  <c r="M275" i="11"/>
  <c r="L274" i="11"/>
  <c r="M274" i="11"/>
  <c r="L272" i="11"/>
  <c r="M272" i="11"/>
  <c r="L282" i="11"/>
  <c r="M282" i="11"/>
  <c r="L284" i="11"/>
  <c r="M284" i="11"/>
  <c r="L288" i="11"/>
  <c r="M288" i="11"/>
  <c r="L291" i="11"/>
  <c r="M291" i="11"/>
  <c r="L293" i="11"/>
  <c r="M293" i="11"/>
  <c r="L295" i="11"/>
  <c r="M295" i="11"/>
  <c r="L297" i="11"/>
  <c r="M297" i="11"/>
  <c r="L299" i="11"/>
  <c r="M299" i="11"/>
  <c r="L301" i="11"/>
  <c r="M301" i="11"/>
  <c r="L305" i="11"/>
  <c r="M305" i="11"/>
  <c r="L317" i="11"/>
  <c r="M317" i="11"/>
  <c r="L332" i="11"/>
  <c r="M332" i="11"/>
  <c r="L331" i="11"/>
  <c r="M331" i="11"/>
  <c r="L329" i="11"/>
  <c r="M329" i="11"/>
  <c r="M335" i="11"/>
  <c r="M349" i="11"/>
  <c r="L355" i="11"/>
  <c r="L403" i="11"/>
  <c r="M403" i="11"/>
  <c r="L398" i="11"/>
  <c r="L573" i="11"/>
  <c r="M573" i="11"/>
  <c r="L579" i="11"/>
  <c r="M623" i="11"/>
  <c r="L670" i="11"/>
  <c r="M670" i="11"/>
  <c r="M684" i="11"/>
  <c r="L688" i="11"/>
  <c r="L719" i="11"/>
  <c r="M719" i="11"/>
  <c r="L718" i="11"/>
  <c r="M718" i="11"/>
  <c r="L761" i="11"/>
  <c r="M761" i="11"/>
  <c r="L799" i="11"/>
  <c r="M799" i="11"/>
  <c r="L806" i="11"/>
  <c r="M806" i="11"/>
  <c r="L844" i="11"/>
  <c r="M844" i="11"/>
  <c r="L847" i="11"/>
  <c r="M847" i="11"/>
  <c r="L852" i="11"/>
  <c r="L855" i="11"/>
  <c r="M855" i="11"/>
  <c r="L858" i="11"/>
  <c r="M858" i="11"/>
  <c r="L859" i="11"/>
  <c r="L863" i="11"/>
  <c r="M863" i="11"/>
  <c r="M879" i="11"/>
  <c r="L897" i="11"/>
  <c r="L920" i="11"/>
  <c r="M920" i="11"/>
  <c r="M919" i="11"/>
  <c r="M918" i="11"/>
  <c r="L917" i="11"/>
  <c r="M917" i="11"/>
  <c r="L916" i="11"/>
  <c r="L913" i="11"/>
  <c r="M913" i="11"/>
  <c r="L912" i="11"/>
  <c r="M956" i="11"/>
  <c r="L977" i="11"/>
  <c r="M977" i="11"/>
  <c r="L993" i="11"/>
  <c r="M993" i="11"/>
  <c r="L996" i="11"/>
  <c r="M996" i="11"/>
  <c r="M1000" i="11"/>
  <c r="M1007" i="11"/>
  <c r="L1031" i="11"/>
  <c r="M1031" i="11"/>
  <c r="M1043" i="11"/>
  <c r="L1047" i="11"/>
  <c r="M1047" i="11"/>
  <c r="L1056" i="11"/>
  <c r="M1056" i="11"/>
  <c r="L1082" i="11"/>
  <c r="M1082" i="11"/>
  <c r="L1091" i="11"/>
  <c r="M1091" i="11"/>
  <c r="L1095" i="11"/>
  <c r="L1101" i="11"/>
  <c r="M1113" i="11"/>
  <c r="M1112" i="11"/>
  <c r="L1121" i="11"/>
  <c r="M1121" i="11"/>
  <c r="L1119" i="11"/>
  <c r="L1139" i="11"/>
  <c r="L1157" i="11"/>
  <c r="M1157" i="11"/>
  <c r="L1156" i="11"/>
  <c r="M1156" i="11"/>
  <c r="L1162" i="11"/>
  <c r="M1162" i="11"/>
  <c r="L1169" i="11"/>
  <c r="L1173" i="11"/>
  <c r="L1185" i="11"/>
  <c r="M1185" i="11"/>
  <c r="L1183" i="11"/>
  <c r="M1183" i="11"/>
  <c r="L1190" i="11"/>
  <c r="L1194" i="11"/>
  <c r="M1194" i="11"/>
  <c r="L1198" i="11"/>
  <c r="L1206" i="11"/>
  <c r="M1206" i="11"/>
  <c r="L1226" i="11"/>
  <c r="M1226" i="11"/>
  <c r="L1230" i="11"/>
  <c r="M1230" i="11"/>
  <c r="M1247" i="11"/>
  <c r="L1259" i="11"/>
  <c r="M1259" i="11"/>
  <c r="L1261" i="11"/>
  <c r="M1261" i="11"/>
  <c r="M1263" i="11"/>
  <c r="M1276" i="11"/>
  <c r="L1277" i="11"/>
  <c r="M1277" i="11"/>
  <c r="L1318" i="11"/>
  <c r="M1323" i="11"/>
  <c r="L1348" i="11"/>
  <c r="M1348" i="11"/>
  <c r="M1353" i="11"/>
  <c r="L1366" i="11"/>
  <c r="M1366" i="11"/>
  <c r="M1369" i="11"/>
  <c r="M1382" i="11"/>
  <c r="L1392" i="11"/>
  <c r="M1392" i="11"/>
  <c r="L1390" i="11"/>
  <c r="M1390" i="11"/>
  <c r="L1399" i="11"/>
  <c r="M1399" i="11"/>
  <c r="M1397" i="11"/>
  <c r="L1437" i="11"/>
  <c r="M1437" i="11"/>
  <c r="L1436" i="11"/>
  <c r="M1436" i="11"/>
  <c r="M1435" i="11"/>
  <c r="L1434" i="11"/>
  <c r="L1430" i="11"/>
  <c r="M1430" i="11"/>
  <c r="L1429" i="11"/>
  <c r="M1429" i="11"/>
  <c r="L1428" i="11"/>
  <c r="M1428" i="11"/>
  <c r="M1427" i="11"/>
  <c r="L1444" i="11"/>
  <c r="M1444" i="11"/>
  <c r="L1448" i="11"/>
  <c r="L1454" i="11"/>
  <c r="M1454" i="11"/>
  <c r="L1489" i="11"/>
  <c r="M1489" i="11"/>
  <c r="L1496" i="11"/>
  <c r="M1496" i="11"/>
  <c r="M1493" i="11"/>
  <c r="L1506" i="11"/>
  <c r="M1506" i="11"/>
  <c r="L1510" i="11"/>
  <c r="M1510" i="11"/>
  <c r="M1514" i="11"/>
  <c r="L1520" i="11"/>
  <c r="L1536" i="11"/>
  <c r="M1536" i="11"/>
  <c r="L1538" i="11"/>
  <c r="L1555" i="11"/>
  <c r="M1555" i="11"/>
  <c r="L1561" i="11"/>
  <c r="M1561" i="11"/>
  <c r="L1560" i="11"/>
  <c r="L1565" i="11"/>
  <c r="M1565" i="11"/>
  <c r="L1567" i="11"/>
  <c r="L1580" i="11"/>
  <c r="M1580" i="11"/>
  <c r="L1578" i="11"/>
  <c r="M1578" i="11"/>
  <c r="L1588" i="11"/>
  <c r="L1594" i="11"/>
  <c r="M1594" i="11"/>
  <c r="L1592" i="11"/>
  <c r="M1592" i="11"/>
  <c r="L1602" i="11"/>
  <c r="M1602" i="11"/>
  <c r="L1601" i="11"/>
  <c r="M1601" i="11"/>
  <c r="L1599" i="11"/>
  <c r="L1610" i="11"/>
  <c r="M1610" i="11"/>
  <c r="L1628" i="11"/>
  <c r="L1632" i="11"/>
  <c r="L1654" i="11"/>
  <c r="M1654" i="11"/>
  <c r="L1653" i="11"/>
  <c r="M1651" i="11"/>
  <c r="L1682" i="11"/>
  <c r="M1682" i="11"/>
  <c r="M1703" i="11"/>
  <c r="L1707" i="11"/>
  <c r="M1707" i="11"/>
  <c r="L1710" i="11"/>
  <c r="L1722" i="11"/>
  <c r="L1719" i="11"/>
  <c r="M1719" i="11"/>
  <c r="M1718" i="11"/>
  <c r="L1717" i="11"/>
  <c r="L1712" i="11"/>
  <c r="M1712" i="11"/>
  <c r="M1711" i="11"/>
  <c r="M1724" i="11"/>
  <c r="L1726" i="11"/>
  <c r="M1726" i="11"/>
  <c r="L1727" i="11"/>
  <c r="L1731" i="11"/>
  <c r="M1731" i="11"/>
  <c r="L1733" i="11"/>
  <c r="L1739" i="11"/>
  <c r="M1739" i="11"/>
  <c r="L1743" i="11"/>
  <c r="M1743" i="11"/>
  <c r="M1742" i="11"/>
  <c r="L1740" i="11"/>
  <c r="L1747" i="11"/>
  <c r="M1747" i="11"/>
  <c r="L1761" i="11"/>
  <c r="M1761" i="11"/>
  <c r="L1763" i="11"/>
  <c r="M1763" i="11"/>
  <c r="L1765" i="11"/>
  <c r="M1765" i="11"/>
  <c r="L1768" i="11"/>
  <c r="M1768" i="11"/>
  <c r="L1775" i="11"/>
  <c r="M1775" i="11"/>
  <c r="L1776" i="11"/>
  <c r="M1776" i="11"/>
  <c r="M1781" i="11"/>
  <c r="L1783" i="11"/>
  <c r="M1783" i="11"/>
  <c r="L1785" i="11"/>
  <c r="M1788" i="11"/>
  <c r="L1787" i="11"/>
  <c r="L1793" i="11"/>
  <c r="M1793" i="11"/>
  <c r="M1792" i="11"/>
  <c r="L1797" i="11"/>
  <c r="M1797" i="11"/>
  <c r="L1800" i="11"/>
  <c r="M1800" i="11"/>
  <c r="L1799" i="11"/>
  <c r="L1804" i="11"/>
  <c r="M1804" i="11"/>
  <c r="L1802" i="11"/>
  <c r="M1802" i="11"/>
  <c r="M1801" i="11"/>
  <c r="L1807" i="11"/>
  <c r="M1807" i="11"/>
  <c r="L1810" i="11"/>
  <c r="M1810" i="11"/>
  <c r="L1809" i="11"/>
  <c r="M1813" i="11"/>
  <c r="L1812" i="11"/>
  <c r="M1812" i="11"/>
  <c r="M1811" i="11"/>
  <c r="L1814" i="11"/>
  <c r="M1814" i="11"/>
  <c r="L1815" i="11"/>
  <c r="M1817" i="11"/>
  <c r="L1819" i="11"/>
  <c r="M1819" i="11"/>
  <c r="L1820" i="11"/>
  <c r="M1820" i="11"/>
  <c r="M1821" i="11"/>
  <c r="M1822" i="11"/>
  <c r="L1825" i="11"/>
  <c r="M1825" i="11"/>
  <c r="L1826" i="11"/>
  <c r="M1826" i="11"/>
  <c r="L656" i="16"/>
  <c r="L264" i="16"/>
  <c r="M588" i="16"/>
  <c r="L588" i="16"/>
  <c r="M303" i="16"/>
  <c r="L303" i="16"/>
  <c r="L996" i="14"/>
  <c r="L995" i="14"/>
  <c r="R997" i="14"/>
  <c r="H997" i="14"/>
  <c r="G997" i="14"/>
  <c r="R993" i="14"/>
  <c r="H993" i="14"/>
  <c r="G993" i="14"/>
  <c r="M967" i="14"/>
  <c r="R967" i="14"/>
  <c r="H967" i="14"/>
  <c r="G967" i="14"/>
  <c r="M680" i="16"/>
  <c r="L680" i="16"/>
  <c r="H680" i="16"/>
  <c r="G680" i="16"/>
  <c r="R960" i="14"/>
  <c r="M960" i="14"/>
  <c r="L960" i="14"/>
  <c r="H960" i="14"/>
  <c r="G960" i="14"/>
  <c r="M955" i="14"/>
  <c r="L955" i="14"/>
  <c r="R955" i="14"/>
  <c r="H955" i="14"/>
  <c r="G955" i="14"/>
  <c r="M654" i="16"/>
  <c r="L654" i="16"/>
  <c r="H654" i="16"/>
  <c r="G654" i="16"/>
  <c r="R863" i="14"/>
  <c r="M863" i="14"/>
  <c r="L863" i="14"/>
  <c r="H863" i="14"/>
  <c r="G863" i="14"/>
  <c r="H588" i="16"/>
  <c r="G588" i="16"/>
  <c r="R422" i="14"/>
  <c r="H422" i="14"/>
  <c r="G422" i="14"/>
  <c r="M558" i="16"/>
  <c r="L558" i="16"/>
  <c r="H558" i="16"/>
  <c r="G558" i="16"/>
  <c r="R418" i="14"/>
  <c r="H418" i="14"/>
  <c r="G418" i="14"/>
  <c r="M415" i="14"/>
  <c r="M414" i="14"/>
  <c r="L415" i="14"/>
  <c r="L414" i="14"/>
  <c r="R415" i="14"/>
  <c r="H415" i="14"/>
  <c r="G415" i="14"/>
  <c r="R410" i="14"/>
  <c r="H410" i="14"/>
  <c r="G410" i="14"/>
  <c r="R404" i="14"/>
  <c r="L404" i="14"/>
  <c r="H404" i="14"/>
  <c r="G404" i="14"/>
  <c r="R1420" i="14"/>
  <c r="H1420" i="14"/>
  <c r="G1420" i="14"/>
  <c r="R1416" i="14"/>
  <c r="H1416" i="14"/>
  <c r="G1416" i="14"/>
  <c r="L1414" i="14"/>
  <c r="M418" i="14" l="1"/>
  <c r="I863" i="14"/>
  <c r="I1420" i="14"/>
  <c r="I422" i="14"/>
  <c r="I997" i="14"/>
  <c r="I415" i="14"/>
  <c r="I993" i="14"/>
  <c r="I967" i="14"/>
  <c r="I404" i="14"/>
  <c r="I960" i="14"/>
  <c r="I1925" i="11"/>
  <c r="I1904" i="11"/>
  <c r="I1906" i="11"/>
  <c r="I1910" i="11"/>
  <c r="I210" i="11"/>
  <c r="I1926" i="11"/>
  <c r="I1912" i="11"/>
  <c r="I1908" i="11"/>
  <c r="I1915" i="11"/>
  <c r="I1914" i="11"/>
  <c r="I1905" i="11"/>
  <c r="I1907" i="11"/>
  <c r="I1911" i="11"/>
  <c r="I1913" i="11"/>
  <c r="I1928" i="11"/>
  <c r="I1927" i="11"/>
  <c r="I88" i="11"/>
  <c r="I1930" i="11"/>
  <c r="I89" i="11"/>
  <c r="I1929" i="11"/>
  <c r="I90" i="11"/>
  <c r="I92" i="11"/>
  <c r="I93" i="11"/>
  <c r="I91" i="11"/>
  <c r="I137" i="11"/>
  <c r="I1882" i="11"/>
  <c r="I76" i="11"/>
  <c r="I1834" i="11"/>
  <c r="I1835" i="11"/>
  <c r="I138" i="11"/>
  <c r="I140" i="11"/>
  <c r="I141" i="11"/>
  <c r="I139" i="11"/>
  <c r="I1839" i="11"/>
  <c r="I77" i="11"/>
  <c r="I1833" i="11"/>
  <c r="I1840" i="11"/>
  <c r="I73" i="11"/>
  <c r="I106" i="11"/>
  <c r="I78" i="11"/>
  <c r="I1842" i="11"/>
  <c r="I1836" i="11"/>
  <c r="I1843" i="11"/>
  <c r="I1844" i="11"/>
  <c r="I1841" i="11"/>
  <c r="I1837" i="11"/>
  <c r="I67" i="11"/>
  <c r="I72" i="11"/>
  <c r="I74" i="11"/>
  <c r="I70" i="11"/>
  <c r="I68" i="11"/>
  <c r="I75" i="11"/>
  <c r="I69" i="11"/>
  <c r="I71" i="11"/>
  <c r="I1881" i="11"/>
  <c r="I174" i="11"/>
  <c r="I1887" i="11"/>
  <c r="I1890" i="11"/>
  <c r="I1889" i="11"/>
  <c r="I1880" i="11"/>
  <c r="I1886" i="11"/>
  <c r="I1884" i="11"/>
  <c r="I105" i="11"/>
  <c r="I173" i="11"/>
  <c r="I104" i="11"/>
  <c r="I1883" i="11"/>
  <c r="I1888" i="11"/>
  <c r="I1870" i="11"/>
  <c r="I188" i="11"/>
  <c r="I172" i="11"/>
  <c r="I189" i="11"/>
  <c r="I110" i="11"/>
  <c r="I114" i="11"/>
  <c r="I108" i="11"/>
  <c r="I111" i="11"/>
  <c r="I113" i="11"/>
  <c r="I107" i="11"/>
  <c r="I115" i="11"/>
  <c r="I112" i="11"/>
  <c r="I1869" i="11"/>
  <c r="I193" i="11"/>
  <c r="I116" i="11"/>
  <c r="I187" i="11"/>
  <c r="I175" i="11"/>
  <c r="I176" i="11"/>
  <c r="I179" i="11"/>
  <c r="I180" i="11"/>
  <c r="I178" i="11"/>
  <c r="I181" i="11"/>
  <c r="I1868" i="11"/>
  <c r="I190" i="11"/>
  <c r="I194" i="11"/>
  <c r="I195" i="11"/>
  <c r="I191" i="11"/>
  <c r="I196" i="11"/>
  <c r="I152" i="11"/>
  <c r="I1876" i="11"/>
  <c r="I1875" i="11"/>
  <c r="I1874" i="11"/>
  <c r="I1878" i="11"/>
  <c r="I1872" i="11"/>
  <c r="I1877" i="11"/>
  <c r="I1879" i="11"/>
  <c r="I1871" i="11"/>
  <c r="I155" i="11"/>
  <c r="I156" i="11"/>
  <c r="I160" i="11"/>
  <c r="I162" i="11"/>
  <c r="I154" i="11"/>
  <c r="I153" i="11"/>
  <c r="I161" i="11"/>
  <c r="I159" i="11"/>
  <c r="I158" i="11"/>
  <c r="I184" i="11"/>
  <c r="I44" i="11"/>
  <c r="I118" i="11"/>
  <c r="I45" i="11"/>
  <c r="I121" i="11"/>
  <c r="I166" i="11"/>
  <c r="I48" i="11"/>
  <c r="I183" i="11"/>
  <c r="I43" i="11"/>
  <c r="I124" i="11"/>
  <c r="I122" i="11"/>
  <c r="I117" i="11"/>
  <c r="I125" i="11"/>
  <c r="I120" i="11"/>
  <c r="I126" i="11"/>
  <c r="I119" i="11"/>
  <c r="I123" i="11"/>
  <c r="I182" i="11"/>
  <c r="I52" i="11"/>
  <c r="I49" i="11"/>
  <c r="I51" i="11"/>
  <c r="I46" i="11"/>
  <c r="I53" i="11"/>
  <c r="I47" i="11"/>
  <c r="I50" i="11"/>
  <c r="I164" i="11"/>
  <c r="I169" i="11"/>
  <c r="I165" i="11"/>
  <c r="I185" i="11"/>
  <c r="I97" i="11"/>
  <c r="I202" i="11"/>
  <c r="I96" i="11"/>
  <c r="I128" i="11"/>
  <c r="I95" i="11"/>
  <c r="I168" i="11"/>
  <c r="I170" i="11"/>
  <c r="I167" i="11"/>
  <c r="I134" i="11"/>
  <c r="I197" i="11"/>
  <c r="I199" i="11"/>
  <c r="I100" i="11"/>
  <c r="I98" i="11"/>
  <c r="I101" i="11"/>
  <c r="I99" i="11"/>
  <c r="I102" i="11"/>
  <c r="I130" i="11"/>
  <c r="I200" i="11"/>
  <c r="I8" i="11"/>
  <c r="I60" i="11"/>
  <c r="I129" i="11"/>
  <c r="I198" i="11"/>
  <c r="I201" i="11"/>
  <c r="I4" i="11"/>
  <c r="I56" i="11"/>
  <c r="I3" i="11"/>
  <c r="I57" i="11"/>
  <c r="I55" i="11"/>
  <c r="I133" i="11"/>
  <c r="I131" i="11"/>
  <c r="I132" i="11"/>
  <c r="I135" i="11"/>
  <c r="I64" i="11"/>
  <c r="I59" i="11"/>
  <c r="I61" i="11"/>
  <c r="I63" i="11"/>
  <c r="I65" i="11"/>
  <c r="I58" i="11"/>
  <c r="I62" i="11"/>
  <c r="I5" i="11"/>
  <c r="I7" i="11"/>
  <c r="I9" i="11"/>
  <c r="I11" i="11"/>
  <c r="I6" i="11"/>
  <c r="I12" i="11"/>
  <c r="I10" i="11"/>
  <c r="I36" i="11"/>
  <c r="I35" i="11"/>
  <c r="I82" i="11"/>
  <c r="I25" i="11"/>
  <c r="I21" i="11"/>
  <c r="I17" i="11"/>
  <c r="I84" i="11"/>
  <c r="I16" i="11"/>
  <c r="I38" i="11"/>
  <c r="I34" i="11"/>
  <c r="I37" i="11"/>
  <c r="I79" i="11"/>
  <c r="I81" i="11"/>
  <c r="I23" i="11"/>
  <c r="I26" i="11"/>
  <c r="I22" i="11"/>
  <c r="I18" i="11"/>
  <c r="I24" i="11"/>
  <c r="I20" i="11"/>
  <c r="I19" i="11"/>
  <c r="I143" i="11"/>
  <c r="I145" i="11"/>
  <c r="I86" i="11"/>
  <c r="I80" i="11"/>
  <c r="I85" i="11"/>
  <c r="I83" i="11"/>
  <c r="I1504" i="11"/>
  <c r="I1375" i="11"/>
  <c r="I953" i="11"/>
  <c r="I1654" i="11"/>
  <c r="I1276" i="11"/>
  <c r="I144" i="11"/>
  <c r="I149" i="11"/>
  <c r="I150" i="11"/>
  <c r="I147" i="11"/>
  <c r="I146" i="11"/>
  <c r="I148" i="11"/>
  <c r="I1592" i="11"/>
  <c r="I1578" i="11"/>
  <c r="I1567" i="11"/>
  <c r="I676" i="11"/>
  <c r="I465" i="11"/>
  <c r="I349" i="11"/>
  <c r="I299" i="11"/>
  <c r="I1574" i="11"/>
  <c r="I1495" i="11"/>
  <c r="I1194" i="11"/>
  <c r="I835" i="11"/>
  <c r="I226" i="11"/>
  <c r="I1731" i="11"/>
  <c r="I1719" i="11"/>
  <c r="I1703" i="11"/>
  <c r="I1428" i="11"/>
  <c r="I1404" i="11"/>
  <c r="I1173" i="11"/>
  <c r="I1000" i="11"/>
  <c r="I858" i="11"/>
  <c r="I338" i="11"/>
  <c r="I1226" i="11"/>
  <c r="I1185" i="11"/>
  <c r="I1078" i="11"/>
  <c r="I1362" i="11"/>
  <c r="I994" i="11"/>
  <c r="I1291" i="11"/>
  <c r="I1247" i="11"/>
  <c r="I1791" i="11"/>
  <c r="I1734" i="11"/>
  <c r="I1198" i="11"/>
  <c r="I1006" i="11"/>
  <c r="I1812" i="11"/>
  <c r="I1794" i="11"/>
  <c r="I803" i="11"/>
  <c r="I746" i="11"/>
  <c r="I688" i="11"/>
  <c r="I293" i="11"/>
  <c r="I230" i="11"/>
  <c r="I1610" i="11"/>
  <c r="I1532" i="11"/>
  <c r="I1382" i="11"/>
  <c r="I1366" i="11"/>
  <c r="I1323" i="11"/>
  <c r="I1827" i="11"/>
  <c r="I1815" i="11"/>
  <c r="I1644" i="11"/>
  <c r="I1390" i="11"/>
  <c r="I1122" i="11"/>
  <c r="I1105" i="11"/>
  <c r="I1051" i="11"/>
  <c r="I1024" i="11"/>
  <c r="I913" i="11"/>
  <c r="I920" i="11"/>
  <c r="I284" i="11"/>
  <c r="I222" i="11"/>
  <c r="I1454" i="11"/>
  <c r="I1832" i="11"/>
  <c r="I1434" i="11"/>
  <c r="I1410" i="11"/>
  <c r="I1026" i="11"/>
  <c r="I319" i="11"/>
  <c r="I282" i="11"/>
  <c r="I214" i="11"/>
  <c r="I1774" i="11"/>
  <c r="I1746" i="11"/>
  <c r="I1710" i="11"/>
  <c r="I301" i="11"/>
  <c r="I1775" i="11"/>
  <c r="I1763" i="11"/>
  <c r="I1711" i="11"/>
  <c r="I1718" i="11"/>
  <c r="I1393" i="11"/>
  <c r="I1263" i="11"/>
  <c r="I670" i="11"/>
  <c r="I1768" i="11"/>
  <c r="I1154" i="11"/>
  <c r="I1066" i="11"/>
  <c r="I1027" i="11"/>
  <c r="I636" i="11"/>
  <c r="I568" i="11"/>
  <c r="I398" i="11"/>
  <c r="I1397" i="11"/>
  <c r="I1699" i="11"/>
  <c r="I1729" i="11"/>
  <c r="I1713" i="11"/>
  <c r="I1156" i="11"/>
  <c r="I1112" i="11"/>
  <c r="I1786" i="11"/>
  <c r="I1779" i="11"/>
  <c r="I1749" i="11"/>
  <c r="I1169" i="11"/>
  <c r="I1157" i="11"/>
  <c r="I1113" i="11"/>
  <c r="I1082" i="11"/>
  <c r="I1056" i="11"/>
  <c r="I1015" i="11"/>
  <c r="I684" i="11"/>
  <c r="I579" i="11"/>
  <c r="I562" i="11"/>
  <c r="I481" i="11"/>
  <c r="I401" i="11"/>
  <c r="I341" i="11"/>
  <c r="I1790" i="11"/>
  <c r="I1772" i="11"/>
  <c r="I1767" i="11"/>
  <c r="I1755" i="11"/>
  <c r="I478" i="11"/>
  <c r="I402" i="11"/>
  <c r="I1829" i="11"/>
  <c r="I1799" i="11"/>
  <c r="I1524" i="11"/>
  <c r="I1433" i="11"/>
  <c r="I879" i="11"/>
  <c r="I219" i="11"/>
  <c r="I1819" i="11"/>
  <c r="I1807" i="11"/>
  <c r="I1735" i="11"/>
  <c r="I1676" i="11"/>
  <c r="I1657" i="11"/>
  <c r="I1378" i="11"/>
  <c r="I1331" i="11"/>
  <c r="I1315" i="11"/>
  <c r="I1302" i="11"/>
  <c r="I1186" i="11"/>
  <c r="I661" i="11"/>
  <c r="I507" i="11"/>
  <c r="I332" i="11"/>
  <c r="I1824" i="11"/>
  <c r="I1805" i="11"/>
  <c r="I1797" i="11"/>
  <c r="I1765" i="11"/>
  <c r="I1670" i="11"/>
  <c r="I1659" i="11"/>
  <c r="I1611" i="11"/>
  <c r="I1550" i="11"/>
  <c r="I1528" i="11"/>
  <c r="I1430" i="11"/>
  <c r="I1372" i="11"/>
  <c r="I1353" i="11"/>
  <c r="I1333" i="11"/>
  <c r="I1179" i="11"/>
  <c r="I1135" i="11"/>
  <c r="I956" i="11"/>
  <c r="I681" i="11"/>
  <c r="I305" i="11"/>
  <c r="I329" i="11"/>
  <c r="I1817" i="11"/>
  <c r="I1806" i="11"/>
  <c r="I1776" i="11"/>
  <c r="I1724" i="11"/>
  <c r="I1717" i="11"/>
  <c r="I1671" i="11"/>
  <c r="I1678" i="11"/>
  <c r="I1660" i="11"/>
  <c r="I1448" i="11"/>
  <c r="I1431" i="11"/>
  <c r="I1334" i="11"/>
  <c r="I1318" i="11"/>
  <c r="I1101" i="11"/>
  <c r="I844" i="11"/>
  <c r="I806" i="11"/>
  <c r="I719" i="11"/>
  <c r="I656" i="11"/>
  <c r="I1602" i="11"/>
  <c r="I1664" i="11"/>
  <c r="I1377" i="11"/>
  <c r="I1778" i="11"/>
  <c r="I1672" i="11"/>
  <c r="I1561" i="11"/>
  <c r="I1542" i="11"/>
  <c r="I1444" i="11"/>
  <c r="I1348" i="11"/>
  <c r="I1190" i="11"/>
  <c r="I747" i="11"/>
  <c r="I1675" i="11"/>
  <c r="I1770" i="11"/>
  <c r="I1759" i="11"/>
  <c r="I1744" i="11"/>
  <c r="I1738" i="11"/>
  <c r="I1707" i="11"/>
  <c r="I1693" i="11"/>
  <c r="I1261" i="11"/>
  <c r="I1210" i="11"/>
  <c r="I1118" i="11"/>
  <c r="I865" i="11"/>
  <c r="I221" i="11"/>
  <c r="I1506" i="11"/>
  <c r="I295" i="11"/>
  <c r="I1783" i="11"/>
  <c r="I1757" i="11"/>
  <c r="I1700" i="11"/>
  <c r="I1587" i="11"/>
  <c r="I1573" i="11"/>
  <c r="I1560" i="11"/>
  <c r="I1500" i="11"/>
  <c r="I1478" i="11"/>
  <c r="I1369" i="11"/>
  <c r="I1164" i="11"/>
  <c r="I1121" i="11"/>
  <c r="I977" i="11"/>
  <c r="I911" i="11"/>
  <c r="I838" i="11"/>
  <c r="I556" i="11"/>
  <c r="I256" i="11"/>
  <c r="I1825" i="11"/>
  <c r="I1585" i="11"/>
  <c r="I1139" i="11"/>
  <c r="I1803" i="11"/>
  <c r="I1781" i="11"/>
  <c r="I1720" i="11"/>
  <c r="I1636" i="11"/>
  <c r="I1615" i="11"/>
  <c r="I1520" i="11"/>
  <c r="I1472" i="11"/>
  <c r="I1400" i="11"/>
  <c r="I1295" i="11"/>
  <c r="I1234" i="11"/>
  <c r="I1131" i="11"/>
  <c r="I1011" i="11"/>
  <c r="I897" i="11"/>
  <c r="I1739" i="11"/>
  <c r="I916" i="11"/>
  <c r="I894" i="11"/>
  <c r="I1571" i="11"/>
  <c r="I1822" i="11"/>
  <c r="I1816" i="11"/>
  <c r="I1811" i="11"/>
  <c r="I1793" i="11"/>
  <c r="I1740" i="11"/>
  <c r="I1727" i="11"/>
  <c r="I1632" i="11"/>
  <c r="I1555" i="11"/>
  <c r="I1427" i="11"/>
  <c r="I1307" i="11"/>
  <c r="I1277" i="11"/>
  <c r="I1214" i="11"/>
  <c r="I1177" i="11"/>
  <c r="I1123" i="11"/>
  <c r="I1068" i="11"/>
  <c r="I919" i="11"/>
  <c r="I852" i="11"/>
  <c r="I733" i="11"/>
  <c r="I429" i="11"/>
  <c r="I1809" i="11"/>
  <c r="I1754" i="11"/>
  <c r="I1690" i="11"/>
  <c r="I1697" i="11"/>
  <c r="I1594" i="11"/>
  <c r="I1359" i="11"/>
  <c r="I1309" i="11"/>
  <c r="I1290" i="11"/>
  <c r="I1183" i="11"/>
  <c r="I799" i="11"/>
  <c r="I623" i="11"/>
  <c r="I274" i="11"/>
  <c r="I654" i="11"/>
  <c r="I1288" i="11"/>
  <c r="I1831" i="11"/>
  <c r="I1826" i="11"/>
  <c r="I1820" i="11"/>
  <c r="I1813" i="11"/>
  <c r="I1810" i="11"/>
  <c r="I1691" i="11"/>
  <c r="I1698" i="11"/>
  <c r="I1648" i="11"/>
  <c r="I1625" i="11"/>
  <c r="I1429" i="11"/>
  <c r="I1340" i="11"/>
  <c r="I1310" i="11"/>
  <c r="I1091" i="11"/>
  <c r="I1060" i="11"/>
  <c r="I1039" i="11"/>
  <c r="I982" i="11"/>
  <c r="I718" i="11"/>
  <c r="I583" i="11"/>
  <c r="I399" i="11"/>
  <c r="I352" i="11"/>
  <c r="M1831" i="11"/>
  <c r="M352" i="11"/>
  <c r="L352" i="11"/>
  <c r="L338" i="11"/>
  <c r="M1828" i="11"/>
  <c r="L1772" i="11"/>
  <c r="L1714" i="11"/>
  <c r="L1619" i="11"/>
  <c r="L1546" i="11"/>
  <c r="M1466" i="11"/>
  <c r="L1404" i="11"/>
  <c r="M1315" i="11"/>
  <c r="L1218" i="11"/>
  <c r="L1179" i="11"/>
  <c r="L1066" i="11"/>
  <c r="M1027" i="11"/>
  <c r="L894" i="11"/>
  <c r="M399" i="11"/>
  <c r="M558" i="11"/>
  <c r="L558" i="11"/>
  <c r="M1786" i="11"/>
  <c r="M1774" i="11"/>
  <c r="M1757" i="11"/>
  <c r="M1715" i="11"/>
  <c r="M1615" i="11"/>
  <c r="M1542" i="11"/>
  <c r="M1177" i="11"/>
  <c r="M1131" i="11"/>
  <c r="L1060" i="11"/>
  <c r="M896" i="11"/>
  <c r="M1302" i="11"/>
  <c r="L1771" i="11"/>
  <c r="M1771" i="11"/>
  <c r="M1585" i="11"/>
  <c r="L1585" i="11"/>
  <c r="L1165" i="11"/>
  <c r="M1165" i="11"/>
  <c r="M1068" i="11"/>
  <c r="L1068" i="11"/>
  <c r="L982" i="11"/>
  <c r="M982" i="11"/>
  <c r="L865" i="11"/>
  <c r="M865" i="11"/>
  <c r="L838" i="11"/>
  <c r="M838" i="11"/>
  <c r="M746" i="11"/>
  <c r="L746" i="11"/>
  <c r="M583" i="11"/>
  <c r="L583" i="11"/>
  <c r="M1791" i="11"/>
  <c r="M1749" i="11"/>
  <c r="M1359" i="11"/>
  <c r="L1123" i="11"/>
  <c r="L1006" i="11"/>
  <c r="M663" i="11"/>
  <c r="M1816" i="11"/>
  <c r="L1816" i="11"/>
  <c r="L1808" i="11"/>
  <c r="M1808" i="11"/>
  <c r="M1587" i="11"/>
  <c r="L1587" i="11"/>
  <c r="L1410" i="11"/>
  <c r="M1410" i="11"/>
  <c r="L1238" i="11"/>
  <c r="M1238" i="11"/>
  <c r="L1154" i="11"/>
  <c r="M1154" i="11"/>
  <c r="M1789" i="11"/>
  <c r="M1659" i="11"/>
  <c r="L1265" i="11"/>
  <c r="L1223" i="11"/>
  <c r="M835" i="11"/>
  <c r="M1829" i="11"/>
  <c r="M1779" i="11"/>
  <c r="L1622" i="11"/>
  <c r="L1571" i="11"/>
  <c r="M1414" i="11"/>
  <c r="M661" i="11"/>
  <c r="L1790" i="11"/>
  <c r="M1790" i="11"/>
  <c r="M1574" i="11"/>
  <c r="L1574" i="11"/>
  <c r="L1393" i="11"/>
  <c r="M1393" i="11"/>
  <c r="L1234" i="11"/>
  <c r="M1234" i="11"/>
  <c r="M911" i="11"/>
  <c r="L911" i="11"/>
  <c r="L681" i="11"/>
  <c r="L402" i="11"/>
  <c r="M402" i="11"/>
  <c r="L1734" i="11"/>
  <c r="M1573" i="11"/>
  <c r="L1472" i="11"/>
  <c r="L1026" i="11"/>
  <c r="L947" i="11"/>
  <c r="M1805" i="11"/>
  <c r="M1827" i="11"/>
  <c r="M1795" i="11"/>
  <c r="L1433" i="11"/>
  <c r="M1372" i="11"/>
  <c r="M1283" i="11"/>
  <c r="M803" i="11"/>
  <c r="M401" i="11"/>
  <c r="L1751" i="11"/>
  <c r="M1823" i="11"/>
  <c r="L1823" i="11"/>
  <c r="L1745" i="11"/>
  <c r="M1745" i="11"/>
  <c r="L1721" i="11"/>
  <c r="M1721" i="11"/>
  <c r="L1524" i="11"/>
  <c r="L1340" i="11"/>
  <c r="M1340" i="11"/>
  <c r="M1735" i="11"/>
  <c r="L1735" i="11"/>
  <c r="L1660" i="11"/>
  <c r="M1660" i="11"/>
  <c r="L910" i="11"/>
  <c r="M910" i="11"/>
  <c r="L802" i="11"/>
  <c r="M802" i="11"/>
  <c r="L733" i="11"/>
  <c r="L1495" i="11"/>
  <c r="M1495" i="11"/>
  <c r="L1317" i="11"/>
  <c r="M1317" i="11"/>
  <c r="L1214" i="11"/>
  <c r="M1214" i="11"/>
  <c r="M1118" i="11"/>
  <c r="L1118" i="11"/>
  <c r="L716" i="11"/>
  <c r="M716" i="11"/>
  <c r="M1746" i="11"/>
  <c r="L1806" i="11"/>
  <c r="M1755" i="11"/>
  <c r="L1500" i="11"/>
  <c r="M1127" i="11"/>
  <c r="M850" i="11"/>
  <c r="L1794" i="11"/>
  <c r="M341" i="11"/>
  <c r="M1295" i="11"/>
  <c r="M1832" i="11"/>
  <c r="M1754" i="11"/>
  <c r="L1460" i="11"/>
  <c r="M1210" i="11"/>
  <c r="L808" i="11"/>
  <c r="M338" i="11"/>
  <c r="L676" i="11"/>
  <c r="M676" i="11"/>
  <c r="M1035" i="11"/>
  <c r="M636" i="11"/>
  <c r="L1504" i="11"/>
  <c r="L1274" i="11"/>
  <c r="L1024" i="11"/>
  <c r="L1759" i="11"/>
  <c r="L1528" i="11"/>
  <c r="L1051" i="11"/>
  <c r="L747" i="11"/>
  <c r="L1770" i="11"/>
  <c r="L1720" i="11"/>
  <c r="L1550" i="11"/>
  <c r="L805" i="11"/>
  <c r="L1778" i="11"/>
  <c r="L1713" i="11"/>
  <c r="L1558" i="11"/>
  <c r="L1074" i="11"/>
  <c r="L841" i="11"/>
  <c r="L857" i="11"/>
  <c r="L1729" i="11"/>
  <c r="L1581" i="11"/>
  <c r="L1105" i="11"/>
  <c r="L1824" i="11"/>
  <c r="L1595" i="11"/>
  <c r="L1362" i="11"/>
  <c r="L1122" i="11"/>
  <c r="L864" i="11"/>
  <c r="L1818" i="11"/>
  <c r="L921" i="11"/>
  <c r="M520" i="11"/>
  <c r="L1611" i="11"/>
  <c r="L1796" i="11"/>
  <c r="L1625" i="11"/>
  <c r="L1400" i="11"/>
  <c r="L1164" i="11"/>
  <c r="L914" i="11"/>
  <c r="L520" i="11"/>
  <c r="L1830" i="11"/>
  <c r="L1738" i="11"/>
  <c r="L1375" i="11"/>
  <c r="L1135" i="11"/>
  <c r="L1803" i="11"/>
  <c r="L1744" i="11"/>
  <c r="L1648" i="11"/>
  <c r="L1438" i="11"/>
  <c r="L1186" i="11"/>
  <c r="L953" i="11"/>
  <c r="L568" i="11"/>
  <c r="L1481" i="11"/>
  <c r="L1657" i="11"/>
  <c r="L1431" i="11"/>
  <c r="L1202" i="11"/>
  <c r="L994" i="11"/>
  <c r="L587" i="11"/>
  <c r="M221" i="11"/>
  <c r="L214" i="11"/>
  <c r="I1692" i="11"/>
  <c r="I1546" i="11"/>
  <c r="I1830" i="11"/>
  <c r="I1801" i="11"/>
  <c r="I1800" i="11"/>
  <c r="I1761" i="11"/>
  <c r="I1481" i="11"/>
  <c r="I1435" i="11"/>
  <c r="I1392" i="11"/>
  <c r="I1283" i="11"/>
  <c r="I1265" i="11"/>
  <c r="I1206" i="11"/>
  <c r="I1127" i="11"/>
  <c r="I1035" i="11"/>
  <c r="I1019" i="11"/>
  <c r="I1007" i="11"/>
  <c r="I657" i="11"/>
  <c r="I355" i="11"/>
  <c r="I335" i="11"/>
  <c r="I1712" i="11"/>
  <c r="I1677" i="11"/>
  <c r="I1489" i="11"/>
  <c r="I1271" i="11"/>
  <c r="I1814" i="11"/>
  <c r="I1795" i="11"/>
  <c r="I1789" i="11"/>
  <c r="I1785" i="11"/>
  <c r="I1742" i="11"/>
  <c r="I1714" i="11"/>
  <c r="I1695" i="11"/>
  <c r="I1679" i="11"/>
  <c r="I1622" i="11"/>
  <c r="I1580" i="11"/>
  <c r="I1538" i="11"/>
  <c r="I1436" i="11"/>
  <c r="I1344" i="11"/>
  <c r="I1223" i="11"/>
  <c r="I1202" i="11"/>
  <c r="I1074" i="11"/>
  <c r="I947" i="11"/>
  <c r="I914" i="11"/>
  <c r="I921" i="11"/>
  <c r="I863" i="11"/>
  <c r="I855" i="11"/>
  <c r="I847" i="11"/>
  <c r="I822" i="11"/>
  <c r="I802" i="11"/>
  <c r="I558" i="11"/>
  <c r="I291" i="11"/>
  <c r="I272" i="11"/>
  <c r="I1745" i="11"/>
  <c r="I1628" i="11"/>
  <c r="I1818" i="11"/>
  <c r="I1808" i="11"/>
  <c r="I1802" i="11"/>
  <c r="I1792" i="11"/>
  <c r="I1747" i="11"/>
  <c r="I1743" i="11"/>
  <c r="I1736" i="11"/>
  <c r="I1726" i="11"/>
  <c r="I1715" i="11"/>
  <c r="I1721" i="11"/>
  <c r="I1689" i="11"/>
  <c r="I1696" i="11"/>
  <c r="I1682" i="11"/>
  <c r="I1673" i="11"/>
  <c r="I1680" i="11"/>
  <c r="I1651" i="11"/>
  <c r="I1640" i="11"/>
  <c r="I1619" i="11"/>
  <c r="I1599" i="11"/>
  <c r="I1595" i="11"/>
  <c r="I1581" i="11"/>
  <c r="I1565" i="11"/>
  <c r="I1536" i="11"/>
  <c r="I1514" i="11"/>
  <c r="I1493" i="11"/>
  <c r="I1437" i="11"/>
  <c r="I1325" i="11"/>
  <c r="I1238" i="11"/>
  <c r="I1095" i="11"/>
  <c r="I1031" i="11"/>
  <c r="I910" i="11"/>
  <c r="I864" i="11"/>
  <c r="I808" i="11"/>
  <c r="I321" i="11"/>
  <c r="I1588" i="11"/>
  <c r="I1317" i="11"/>
  <c r="I566" i="11"/>
  <c r="I1828" i="11"/>
  <c r="I1823" i="11"/>
  <c r="I1796" i="11"/>
  <c r="I1787" i="11"/>
  <c r="I1771" i="11"/>
  <c r="I1751" i="11"/>
  <c r="I1733" i="11"/>
  <c r="I1722" i="11"/>
  <c r="I1669" i="11"/>
  <c r="I1653" i="11"/>
  <c r="I1601" i="11"/>
  <c r="I1558" i="11"/>
  <c r="I1510" i="11"/>
  <c r="I1438" i="11"/>
  <c r="I1399" i="11"/>
  <c r="I1387" i="11"/>
  <c r="I1326" i="11"/>
  <c r="I1218" i="11"/>
  <c r="I1162" i="11"/>
  <c r="I1119" i="11"/>
  <c r="I996" i="11"/>
  <c r="I978" i="11"/>
  <c r="I917" i="11"/>
  <c r="I896" i="11"/>
  <c r="I857" i="11"/>
  <c r="I841" i="11"/>
  <c r="I716" i="11"/>
  <c r="I663" i="11"/>
  <c r="I587" i="11"/>
  <c r="I573" i="11"/>
  <c r="I331" i="11"/>
  <c r="I297" i="11"/>
  <c r="I288" i="11"/>
  <c r="I275" i="11"/>
  <c r="I1804" i="11"/>
  <c r="I1466" i="11"/>
  <c r="I1047" i="11"/>
  <c r="I542" i="11"/>
  <c r="I1821" i="11"/>
  <c r="I1788" i="11"/>
  <c r="I1496" i="11"/>
  <c r="I1460" i="11"/>
  <c r="I1414" i="11"/>
  <c r="I1274" i="11"/>
  <c r="I1259" i="11"/>
  <c r="I1230" i="11"/>
  <c r="I1165" i="11"/>
  <c r="I1043" i="11"/>
  <c r="I993" i="11"/>
  <c r="I912" i="11"/>
  <c r="I918" i="11"/>
  <c r="I859" i="11"/>
  <c r="I850" i="11"/>
  <c r="I805" i="11"/>
  <c r="I761" i="11"/>
  <c r="I520" i="11"/>
  <c r="I403" i="11"/>
  <c r="I317" i="11"/>
  <c r="I276" i="11"/>
  <c r="I654" i="16"/>
  <c r="I558" i="16"/>
  <c r="I1416" i="14"/>
  <c r="I410" i="14"/>
  <c r="I680" i="16"/>
  <c r="I588" i="16"/>
  <c r="I418" i="14"/>
  <c r="I955" i="14"/>
  <c r="L967" i="14"/>
  <c r="M1411" i="14" l="1"/>
  <c r="M1412" i="14"/>
  <c r="L1411" i="14"/>
  <c r="L1412" i="14"/>
  <c r="R1412" i="14"/>
  <c r="H1412" i="14"/>
  <c r="G1412" i="14"/>
  <c r="M1042" i="14"/>
  <c r="M1041" i="14"/>
  <c r="M1040" i="14"/>
  <c r="L1042" i="14"/>
  <c r="L1041" i="14"/>
  <c r="L1040" i="14"/>
  <c r="R1042" i="14"/>
  <c r="H1042" i="14"/>
  <c r="G1042" i="14"/>
  <c r="I1042" i="14" l="1"/>
  <c r="I1412" i="14"/>
  <c r="M656" i="16"/>
  <c r="H656" i="16"/>
  <c r="G656" i="16"/>
  <c r="M553" i="16"/>
  <c r="L553" i="16"/>
  <c r="H553" i="16"/>
  <c r="G553" i="16"/>
  <c r="I553" i="16" l="1"/>
  <c r="I656" i="16"/>
  <c r="M761" i="16"/>
  <c r="L761" i="16"/>
  <c r="H761" i="16"/>
  <c r="G761" i="16"/>
  <c r="M661" i="16"/>
  <c r="L661" i="16"/>
  <c r="H661" i="16"/>
  <c r="G661" i="16"/>
  <c r="M517" i="16"/>
  <c r="L517" i="16"/>
  <c r="H517" i="16"/>
  <c r="G517" i="16"/>
  <c r="M516" i="16"/>
  <c r="L516" i="16"/>
  <c r="H516" i="16"/>
  <c r="G516" i="16"/>
  <c r="M729" i="16"/>
  <c r="L729" i="16"/>
  <c r="H729" i="16"/>
  <c r="G729" i="16"/>
  <c r="M728" i="16"/>
  <c r="L728" i="16"/>
  <c r="H728" i="16"/>
  <c r="G728" i="16"/>
  <c r="I729" i="16" l="1"/>
  <c r="I728" i="16"/>
  <c r="I517" i="16"/>
  <c r="I761" i="16"/>
  <c r="I661" i="16"/>
  <c r="I516" i="16"/>
  <c r="H266" i="11"/>
  <c r="G266" i="11"/>
  <c r="M266" i="11"/>
  <c r="L266" i="11"/>
  <c r="H265" i="11"/>
  <c r="G265" i="11"/>
  <c r="M265" i="11"/>
  <c r="L265" i="11"/>
  <c r="H264" i="11"/>
  <c r="G264" i="11"/>
  <c r="M264" i="11"/>
  <c r="L264" i="11"/>
  <c r="M1355" i="14"/>
  <c r="L1355" i="14"/>
  <c r="M1354" i="14"/>
  <c r="L1354" i="14"/>
  <c r="R1355" i="14"/>
  <c r="H1355" i="14"/>
  <c r="G1355" i="14"/>
  <c r="H1903" i="11"/>
  <c r="G1903" i="11"/>
  <c r="M1903" i="11"/>
  <c r="L1903" i="11"/>
  <c r="H1902" i="11"/>
  <c r="G1902" i="11"/>
  <c r="M1902" i="11"/>
  <c r="L1902" i="11"/>
  <c r="H1901" i="11"/>
  <c r="G1901" i="11"/>
  <c r="M1901" i="11"/>
  <c r="L1901" i="11"/>
  <c r="H1900" i="11"/>
  <c r="G1900" i="11"/>
  <c r="M1900" i="11"/>
  <c r="L1900" i="11"/>
  <c r="H1899" i="11"/>
  <c r="G1899" i="11"/>
  <c r="M1899" i="11"/>
  <c r="L1899" i="11"/>
  <c r="H1898" i="11"/>
  <c r="G1898" i="11"/>
  <c r="M1898" i="11"/>
  <c r="L1898" i="11"/>
  <c r="H1896" i="11"/>
  <c r="G1896" i="11"/>
  <c r="M1896" i="11"/>
  <c r="L1896" i="11"/>
  <c r="H1895" i="11"/>
  <c r="G1895" i="11"/>
  <c r="M1895" i="11"/>
  <c r="L1895" i="11"/>
  <c r="H1894" i="11"/>
  <c r="G1894" i="11"/>
  <c r="M1894" i="11"/>
  <c r="L1894" i="11"/>
  <c r="H1893" i="11"/>
  <c r="G1893" i="11"/>
  <c r="M1893" i="11"/>
  <c r="L1893" i="11"/>
  <c r="H1892" i="11"/>
  <c r="G1892" i="11"/>
  <c r="M1892" i="11"/>
  <c r="L1892" i="11"/>
  <c r="L883" i="14"/>
  <c r="L882" i="14"/>
  <c r="L880" i="14"/>
  <c r="R883" i="14"/>
  <c r="M883" i="14"/>
  <c r="H883" i="14"/>
  <c r="G883" i="14"/>
  <c r="R882" i="14"/>
  <c r="M882" i="14"/>
  <c r="H882" i="14"/>
  <c r="G882" i="14"/>
  <c r="M1347" i="14"/>
  <c r="L1347" i="14"/>
  <c r="M1348" i="14"/>
  <c r="L1348" i="14"/>
  <c r="H1845" i="11"/>
  <c r="G1845" i="11"/>
  <c r="M1845" i="11"/>
  <c r="L1845" i="11"/>
  <c r="H1846" i="11"/>
  <c r="G1846" i="11"/>
  <c r="M1846" i="11"/>
  <c r="L1846" i="11"/>
  <c r="H1847" i="11"/>
  <c r="G1847" i="11"/>
  <c r="M1847" i="11"/>
  <c r="L1847" i="11"/>
  <c r="H1848" i="11"/>
  <c r="G1848" i="11"/>
  <c r="M1848" i="11"/>
  <c r="L1848" i="11"/>
  <c r="H1849" i="11"/>
  <c r="G1849" i="11"/>
  <c r="M1849" i="11"/>
  <c r="L1849" i="11"/>
  <c r="H1851" i="11"/>
  <c r="G1851" i="11"/>
  <c r="M1851" i="11"/>
  <c r="L1851" i="11"/>
  <c r="H1852" i="11"/>
  <c r="G1852" i="11"/>
  <c r="M1852" i="11"/>
  <c r="L1852" i="11"/>
  <c r="H1853" i="11"/>
  <c r="G1853" i="11"/>
  <c r="M1853" i="11"/>
  <c r="L1853" i="11"/>
  <c r="H1854" i="11"/>
  <c r="G1854" i="11"/>
  <c r="M1854" i="11"/>
  <c r="L1854" i="11"/>
  <c r="H1855" i="11"/>
  <c r="G1855" i="11"/>
  <c r="M1855" i="11"/>
  <c r="L1855" i="11"/>
  <c r="R1348" i="14"/>
  <c r="H1348" i="14"/>
  <c r="G1348" i="14"/>
  <c r="R1358" i="14"/>
  <c r="H1358" i="14"/>
  <c r="G1358" i="14"/>
  <c r="M1923" i="11"/>
  <c r="L1923" i="11"/>
  <c r="M1922" i="11"/>
  <c r="L1922" i="11"/>
  <c r="M1921" i="11"/>
  <c r="L1921" i="11"/>
  <c r="M1920" i="11"/>
  <c r="L1920" i="11"/>
  <c r="M1919" i="11"/>
  <c r="L1919" i="11"/>
  <c r="H1917" i="11"/>
  <c r="G1917" i="11"/>
  <c r="M1917" i="11"/>
  <c r="L1917" i="11"/>
  <c r="H1916" i="11"/>
  <c r="G1916" i="11"/>
  <c r="M1916" i="11"/>
  <c r="L1916" i="11"/>
  <c r="H1866" i="11"/>
  <c r="G1866" i="11"/>
  <c r="M1866" i="11"/>
  <c r="L1866" i="11"/>
  <c r="H1865" i="11"/>
  <c r="G1865" i="11"/>
  <c r="M1865" i="11"/>
  <c r="L1865" i="11"/>
  <c r="H1864" i="11"/>
  <c r="G1864" i="11"/>
  <c r="M1864" i="11"/>
  <c r="L1864" i="11"/>
  <c r="H1863" i="11"/>
  <c r="G1863" i="11"/>
  <c r="M1863" i="11"/>
  <c r="L1863" i="11"/>
  <c r="H1862" i="11"/>
  <c r="G1862" i="11"/>
  <c r="M1862" i="11"/>
  <c r="L1862" i="11"/>
  <c r="H1860" i="11"/>
  <c r="G1860" i="11"/>
  <c r="M1860" i="11"/>
  <c r="L1860" i="11"/>
  <c r="H1859" i="11"/>
  <c r="G1859" i="11"/>
  <c r="M1859" i="11"/>
  <c r="L1859" i="11"/>
  <c r="H1858" i="11"/>
  <c r="G1858" i="11"/>
  <c r="M1858" i="11"/>
  <c r="L1858" i="11"/>
  <c r="H1857" i="11"/>
  <c r="G1857" i="11"/>
  <c r="M1857" i="11"/>
  <c r="L1857" i="11"/>
  <c r="H1856" i="11"/>
  <c r="G1856" i="11"/>
  <c r="M1856" i="11"/>
  <c r="L1856" i="11"/>
  <c r="M1353" i="14"/>
  <c r="M1352" i="14"/>
  <c r="L1352" i="14"/>
  <c r="L1353" i="14"/>
  <c r="R1353" i="14"/>
  <c r="H1353" i="14"/>
  <c r="G1353" i="14"/>
  <c r="H1891" i="11"/>
  <c r="G1891" i="11"/>
  <c r="M1891" i="11"/>
  <c r="L1891" i="11"/>
  <c r="M810" i="16"/>
  <c r="L810" i="16"/>
  <c r="H810" i="16"/>
  <c r="G810" i="16"/>
  <c r="M1350" i="14"/>
  <c r="L1350" i="14"/>
  <c r="R1350" i="14"/>
  <c r="H1350" i="14"/>
  <c r="G1350" i="14"/>
  <c r="H1867" i="11"/>
  <c r="G1867" i="11"/>
  <c r="M1867" i="11"/>
  <c r="L1867" i="11"/>
  <c r="R836" i="14"/>
  <c r="M836" i="14"/>
  <c r="L836" i="14"/>
  <c r="H836" i="14"/>
  <c r="G836" i="14"/>
  <c r="R840" i="14"/>
  <c r="M840" i="14"/>
  <c r="L840" i="14"/>
  <c r="H840" i="14"/>
  <c r="G840" i="14"/>
  <c r="H1243" i="11"/>
  <c r="G1243" i="11"/>
  <c r="M1243" i="11"/>
  <c r="L1243" i="11"/>
  <c r="M825" i="16"/>
  <c r="L825" i="16"/>
  <c r="H825" i="16"/>
  <c r="G825" i="16"/>
  <c r="M1408" i="14"/>
  <c r="L1408" i="14"/>
  <c r="L1407" i="14"/>
  <c r="G1407" i="14"/>
  <c r="R1408" i="14"/>
  <c r="H1408" i="14"/>
  <c r="G1408" i="14"/>
  <c r="M1995" i="11"/>
  <c r="M1994" i="11"/>
  <c r="M1993" i="11"/>
  <c r="L1995" i="11"/>
  <c r="L1994" i="11"/>
  <c r="L1993" i="11"/>
  <c r="H1995" i="11"/>
  <c r="G1995" i="11"/>
  <c r="M824" i="16"/>
  <c r="L824" i="16"/>
  <c r="H824" i="16"/>
  <c r="G824" i="16"/>
  <c r="L1404" i="14"/>
  <c r="M1404" i="14"/>
  <c r="R1405" i="14"/>
  <c r="M1405" i="14"/>
  <c r="H1405" i="14"/>
  <c r="G1405" i="14"/>
  <c r="M1991" i="11"/>
  <c r="L1991" i="11"/>
  <c r="H1992" i="11"/>
  <c r="G1992" i="11"/>
  <c r="H1253" i="11"/>
  <c r="G1253" i="11"/>
  <c r="M1253" i="11"/>
  <c r="R850" i="14"/>
  <c r="H850" i="14"/>
  <c r="G850" i="14"/>
  <c r="R32" i="14"/>
  <c r="H32" i="14"/>
  <c r="G32" i="14"/>
  <c r="H163" i="11"/>
  <c r="G163" i="11"/>
  <c r="M163" i="11"/>
  <c r="L163" i="11"/>
  <c r="M800" i="11"/>
  <c r="M1647" i="11"/>
  <c r="M647" i="11"/>
  <c r="M976" i="11"/>
  <c r="M889" i="11"/>
  <c r="M888" i="11"/>
  <c r="M887" i="11"/>
  <c r="M886" i="11"/>
  <c r="M885" i="11"/>
  <c r="M884" i="11"/>
  <c r="M883" i="11"/>
  <c r="M882" i="11"/>
  <c r="M881" i="11"/>
  <c r="M880" i="11"/>
  <c r="M878" i="11"/>
  <c r="M821" i="11"/>
  <c r="M795" i="11"/>
  <c r="M794" i="11"/>
  <c r="M793" i="11"/>
  <c r="M792" i="11"/>
  <c r="M791" i="11"/>
  <c r="M790" i="11"/>
  <c r="M789" i="11"/>
  <c r="M788" i="11"/>
  <c r="M787" i="11"/>
  <c r="M786" i="11"/>
  <c r="M785" i="11"/>
  <c r="M784" i="11"/>
  <c r="M771" i="11"/>
  <c r="M770" i="11"/>
  <c r="M769" i="11"/>
  <c r="M768" i="11"/>
  <c r="M767" i="11"/>
  <c r="M766" i="11"/>
  <c r="M765" i="11"/>
  <c r="M764" i="11"/>
  <c r="M763" i="11"/>
  <c r="M762" i="11"/>
  <c r="M760" i="11"/>
  <c r="M743" i="11"/>
  <c r="M742" i="11"/>
  <c r="M741" i="11"/>
  <c r="M740" i="11"/>
  <c r="M739" i="11"/>
  <c r="M738" i="11"/>
  <c r="M737" i="11"/>
  <c r="M736" i="11"/>
  <c r="M735" i="11"/>
  <c r="M734" i="11"/>
  <c r="M732" i="11"/>
  <c r="M712" i="11"/>
  <c r="M711" i="11"/>
  <c r="M710" i="11"/>
  <c r="M709" i="11"/>
  <c r="M708" i="11"/>
  <c r="M707" i="11"/>
  <c r="M706" i="11"/>
  <c r="M705" i="11"/>
  <c r="M704" i="11"/>
  <c r="M703" i="11"/>
  <c r="M702" i="11"/>
  <c r="M701" i="11"/>
  <c r="M630" i="11"/>
  <c r="M629" i="11"/>
  <c r="M628" i="11"/>
  <c r="M627" i="11"/>
  <c r="M626" i="11"/>
  <c r="M625" i="11"/>
  <c r="M624" i="11"/>
  <c r="M622" i="11"/>
  <c r="M621" i="11"/>
  <c r="M609" i="11"/>
  <c r="M608" i="11"/>
  <c r="M607" i="11"/>
  <c r="M606" i="11"/>
  <c r="M605" i="11"/>
  <c r="M604" i="11"/>
  <c r="M603" i="11"/>
  <c r="M602" i="11"/>
  <c r="M601" i="11"/>
  <c r="M514" i="11"/>
  <c r="M513" i="11"/>
  <c r="M512" i="11"/>
  <c r="M511" i="11"/>
  <c r="M510" i="11"/>
  <c r="M509" i="11"/>
  <c r="M508" i="11"/>
  <c r="M506" i="11"/>
  <c r="M493" i="11"/>
  <c r="M492" i="11"/>
  <c r="M491" i="11"/>
  <c r="M490" i="11"/>
  <c r="M489" i="11"/>
  <c r="M488" i="11"/>
  <c r="M487" i="11"/>
  <c r="M486" i="11"/>
  <c r="M485" i="11"/>
  <c r="M484" i="11"/>
  <c r="M483" i="11"/>
  <c r="M482" i="11"/>
  <c r="M436" i="11"/>
  <c r="M435" i="11"/>
  <c r="M434" i="11"/>
  <c r="M433" i="11"/>
  <c r="M432" i="11"/>
  <c r="M431" i="11"/>
  <c r="M430" i="11"/>
  <c r="M428" i="11"/>
  <c r="M415" i="11"/>
  <c r="M414" i="11"/>
  <c r="M413" i="11"/>
  <c r="M412" i="11"/>
  <c r="M411" i="11"/>
  <c r="M410" i="11"/>
  <c r="M409" i="11"/>
  <c r="M408" i="11"/>
  <c r="M407" i="11"/>
  <c r="M406" i="11"/>
  <c r="M405" i="11"/>
  <c r="M404" i="11"/>
  <c r="M2254" i="11"/>
  <c r="M2251" i="11"/>
  <c r="M2248" i="11"/>
  <c r="M2245" i="11"/>
  <c r="M2243" i="11"/>
  <c r="M2241" i="11"/>
  <c r="M2239" i="11"/>
  <c r="M2237" i="11"/>
  <c r="M2235" i="11"/>
  <c r="M2233" i="11"/>
  <c r="M2231" i="11"/>
  <c r="M2229" i="11"/>
  <c r="M2227" i="11"/>
  <c r="M2225" i="11"/>
  <c r="M2222" i="11"/>
  <c r="M2220" i="11"/>
  <c r="M2219" i="11"/>
  <c r="M2216" i="11"/>
  <c r="M2213" i="11"/>
  <c r="M2210" i="11"/>
  <c r="M2207" i="11"/>
  <c r="M2204" i="11"/>
  <c r="M2201" i="11"/>
  <c r="M2198" i="11"/>
  <c r="M2000" i="11"/>
  <c r="M1998" i="11"/>
  <c r="M1996" i="11"/>
  <c r="M1984" i="11"/>
  <c r="M1983" i="11"/>
  <c r="M1982" i="11"/>
  <c r="M1979" i="11"/>
  <c r="M1978" i="11"/>
  <c r="M1977" i="11"/>
  <c r="M1974" i="11"/>
  <c r="M1973" i="11"/>
  <c r="M1972" i="11"/>
  <c r="M1965" i="11"/>
  <c r="M1963" i="11"/>
  <c r="M1961" i="11"/>
  <c r="M1959" i="11"/>
  <c r="M1957" i="11"/>
  <c r="M1954" i="11"/>
  <c r="M1952" i="11"/>
  <c r="M1949" i="11"/>
  <c r="M1947" i="11"/>
  <c r="M1945" i="11"/>
  <c r="M1943" i="11"/>
  <c r="M1941" i="11"/>
  <c r="M1939" i="11"/>
  <c r="M1937" i="11"/>
  <c r="M1924" i="11"/>
  <c r="M1918" i="11"/>
  <c r="M1909" i="11"/>
  <c r="M1897" i="11"/>
  <c r="M1885" i="11"/>
  <c r="M1873" i="11"/>
  <c r="M1861" i="11"/>
  <c r="M1850" i="11"/>
  <c r="M1838" i="11"/>
  <c r="M1782" i="11"/>
  <c r="M1705" i="11"/>
  <c r="M1704" i="11"/>
  <c r="M1701" i="11"/>
  <c r="M1683" i="11"/>
  <c r="M1656" i="11"/>
  <c r="M1655" i="11"/>
  <c r="M1650" i="11"/>
  <c r="M1649" i="11"/>
  <c r="M1646" i="11"/>
  <c r="M1630" i="11"/>
  <c r="M1629" i="11"/>
  <c r="M1626" i="11"/>
  <c r="M1624" i="11"/>
  <c r="M1621" i="11"/>
  <c r="M1618" i="11"/>
  <c r="M1617" i="11"/>
  <c r="M1616" i="11"/>
  <c r="M1614" i="11"/>
  <c r="M1613" i="11"/>
  <c r="M1612" i="11"/>
  <c r="M1608" i="11"/>
  <c r="M1607" i="11"/>
  <c r="M1606" i="11"/>
  <c r="M1605" i="11"/>
  <c r="M1604" i="11"/>
  <c r="M1603" i="11"/>
  <c r="M1598" i="11"/>
  <c r="M1597" i="11"/>
  <c r="M1596" i="11"/>
  <c r="M1591" i="11"/>
  <c r="M1590" i="11"/>
  <c r="M1589" i="11"/>
  <c r="M1584" i="11"/>
  <c r="M1583" i="11"/>
  <c r="M1582" i="11"/>
  <c r="M1577" i="11"/>
  <c r="M1576" i="11"/>
  <c r="M1575" i="11"/>
  <c r="M1570" i="11"/>
  <c r="M1569" i="11"/>
  <c r="M1568" i="11"/>
  <c r="M1566" i="11"/>
  <c r="M1564" i="11"/>
  <c r="M1563" i="11"/>
  <c r="M1562" i="11"/>
  <c r="M1557" i="11"/>
  <c r="M1556" i="11"/>
  <c r="M1554" i="11"/>
  <c r="M1553" i="11"/>
  <c r="M1551" i="11"/>
  <c r="M1548" i="11"/>
  <c r="M1547" i="11"/>
  <c r="M1544" i="11"/>
  <c r="M1543" i="11"/>
  <c r="M1540" i="11"/>
  <c r="M1539" i="11"/>
  <c r="M1537" i="11"/>
  <c r="M1534" i="11"/>
  <c r="M1533" i="11"/>
  <c r="M1529" i="11"/>
  <c r="M1521" i="11"/>
  <c r="M1515" i="11"/>
  <c r="M1512" i="11"/>
  <c r="M1511" i="11"/>
  <c r="M1508" i="11"/>
  <c r="M1507" i="11"/>
  <c r="M1505" i="11"/>
  <c r="M1502" i="11"/>
  <c r="M1501" i="11"/>
  <c r="M1498" i="11"/>
  <c r="M1497" i="11"/>
  <c r="M1492" i="11"/>
  <c r="M1491" i="11"/>
  <c r="M1490" i="11"/>
  <c r="M1487" i="11"/>
  <c r="M1486" i="11"/>
  <c r="M1485" i="11"/>
  <c r="M1484" i="11"/>
  <c r="M1483" i="11"/>
  <c r="M1482" i="11"/>
  <c r="M1479" i="11"/>
  <c r="M1476" i="11"/>
  <c r="M1471" i="11"/>
  <c r="M1470" i="11"/>
  <c r="M1469" i="11"/>
  <c r="M1465" i="11"/>
  <c r="M1464" i="11"/>
  <c r="M1463" i="11"/>
  <c r="M1459" i="11"/>
  <c r="M1458" i="11"/>
  <c r="M1457" i="11"/>
  <c r="M1453" i="11"/>
  <c r="M1452" i="11"/>
  <c r="M1443" i="11"/>
  <c r="M1442" i="11"/>
  <c r="M1426" i="11"/>
  <c r="M1425" i="11"/>
  <c r="M1424" i="11"/>
  <c r="M1423" i="11"/>
  <c r="M1422" i="11"/>
  <c r="M1421" i="11"/>
  <c r="M1420" i="11"/>
  <c r="M1419" i="11"/>
  <c r="M1418" i="11"/>
  <c r="M1417" i="11"/>
  <c r="M1416" i="11"/>
  <c r="M1415" i="11"/>
  <c r="M1412" i="11"/>
  <c r="M1408" i="11"/>
  <c r="M1402" i="11"/>
  <c r="M1401" i="11"/>
  <c r="M1396" i="11"/>
  <c r="M1395" i="11"/>
  <c r="M1394" i="11"/>
  <c r="M1389" i="11"/>
  <c r="M1388" i="11"/>
  <c r="M1385" i="11"/>
  <c r="M1384" i="11"/>
  <c r="M1383" i="11"/>
  <c r="M1381" i="11"/>
  <c r="M1380" i="11"/>
  <c r="M1379" i="11"/>
  <c r="M1373" i="11"/>
  <c r="M1371" i="11"/>
  <c r="M1368" i="11"/>
  <c r="M1367" i="11"/>
  <c r="M1365" i="11"/>
  <c r="M1364" i="11"/>
  <c r="M1363" i="11"/>
  <c r="M1360" i="11"/>
  <c r="M1357" i="11"/>
  <c r="M1356" i="11"/>
  <c r="M1355" i="11"/>
  <c r="M1354" i="11"/>
  <c r="M1350" i="11"/>
  <c r="M1349" i="11"/>
  <c r="M1346" i="11"/>
  <c r="M1345" i="11"/>
  <c r="M1341" i="11"/>
  <c r="M1339" i="11"/>
  <c r="M1338" i="11"/>
  <c r="M1337" i="11"/>
  <c r="M1336" i="11"/>
  <c r="M1335" i="11"/>
  <c r="M1314" i="11"/>
  <c r="M1313" i="11"/>
  <c r="M1312" i="11"/>
  <c r="M1311" i="11"/>
  <c r="M1301" i="11"/>
  <c r="M1300" i="11"/>
  <c r="M1297" i="11"/>
  <c r="M1296" i="11"/>
  <c r="M1293" i="11"/>
  <c r="M1292" i="11"/>
  <c r="M1282" i="11"/>
  <c r="M1280" i="11"/>
  <c r="M1278" i="11"/>
  <c r="M1275" i="11"/>
  <c r="M1273" i="11"/>
  <c r="M1269" i="11"/>
  <c r="M1268" i="11"/>
  <c r="M1264" i="11"/>
  <c r="M1262" i="11"/>
  <c r="M1260" i="11"/>
  <c r="M1258" i="11"/>
  <c r="M1257" i="11"/>
  <c r="M1256" i="11"/>
  <c r="M1254" i="11"/>
  <c r="M1252" i="11"/>
  <c r="M1251" i="11"/>
  <c r="M1250" i="11"/>
  <c r="M1245" i="11"/>
  <c r="M1244" i="11"/>
  <c r="M1242" i="11"/>
  <c r="M1241" i="11"/>
  <c r="M1240" i="11"/>
  <c r="M1236" i="11"/>
  <c r="M1235" i="11"/>
  <c r="M1232" i="11"/>
  <c r="M1231" i="11"/>
  <c r="M1228" i="11"/>
  <c r="M1227" i="11"/>
  <c r="M1225" i="11"/>
  <c r="M1224" i="11"/>
  <c r="M1222" i="11"/>
  <c r="M1221" i="11"/>
  <c r="M1220" i="11"/>
  <c r="M1219" i="11"/>
  <c r="M1216" i="11"/>
  <c r="M1215" i="11"/>
  <c r="M1212" i="11"/>
  <c r="M1211" i="11"/>
  <c r="M1208" i="11"/>
  <c r="M1207" i="11"/>
  <c r="M1204" i="11"/>
  <c r="M1203" i="11"/>
  <c r="M1200" i="11"/>
  <c r="M1199" i="11"/>
  <c r="M1196" i="11"/>
  <c r="M1195" i="11"/>
  <c r="M1192" i="11"/>
  <c r="M1191" i="11"/>
  <c r="M1188" i="11"/>
  <c r="M1187" i="11"/>
  <c r="M1182" i="11"/>
  <c r="M1181" i="11"/>
  <c r="M1180" i="11"/>
  <c r="M1178" i="11"/>
  <c r="M1175" i="11"/>
  <c r="M1174" i="11"/>
  <c r="M1171" i="11"/>
  <c r="M1170" i="11"/>
  <c r="M1167" i="11"/>
  <c r="M1166" i="11"/>
  <c r="M1161" i="11"/>
  <c r="M1160" i="11"/>
  <c r="M1159" i="11"/>
  <c r="M1158" i="11"/>
  <c r="M1153" i="11"/>
  <c r="M1152" i="11"/>
  <c r="M1151" i="11"/>
  <c r="M1150" i="11"/>
  <c r="M1149" i="11"/>
  <c r="M1148" i="11"/>
  <c r="M1147" i="11"/>
  <c r="M1146" i="11"/>
  <c r="M1145" i="11"/>
  <c r="M1144" i="11"/>
  <c r="M1143" i="11"/>
  <c r="M1141" i="11"/>
  <c r="M1140" i="11"/>
  <c r="M1137" i="11"/>
  <c r="M1136" i="11"/>
  <c r="M1133" i="11"/>
  <c r="M1132" i="11"/>
  <c r="M1125" i="11"/>
  <c r="M1124" i="11"/>
  <c r="M1117" i="11"/>
  <c r="M1116" i="11"/>
  <c r="M1115" i="11"/>
  <c r="M1114" i="11"/>
  <c r="M1110" i="11"/>
  <c r="M1109" i="11"/>
  <c r="M1107" i="11"/>
  <c r="M1106" i="11"/>
  <c r="M1103" i="11"/>
  <c r="M1102" i="11"/>
  <c r="M1099" i="11"/>
  <c r="M1098" i="11"/>
  <c r="M1097" i="11"/>
  <c r="M1096" i="11"/>
  <c r="M1093" i="11"/>
  <c r="M1092" i="11"/>
  <c r="M1089" i="11"/>
  <c r="M1088" i="11"/>
  <c r="M1087" i="11"/>
  <c r="M1086" i="11"/>
  <c r="M1085" i="11"/>
  <c r="M1084" i="11"/>
  <c r="M1083" i="11"/>
  <c r="M1080" i="11"/>
  <c r="M1079" i="11"/>
  <c r="M1075" i="11"/>
  <c r="M1073" i="11"/>
  <c r="M1072" i="11"/>
  <c r="M1071" i="11"/>
  <c r="M1065" i="11"/>
  <c r="M1064" i="11"/>
  <c r="M1058" i="11"/>
  <c r="M1057" i="11"/>
  <c r="M1055" i="11"/>
  <c r="M1053" i="11"/>
  <c r="M1052" i="11"/>
  <c r="M1049" i="11"/>
  <c r="M1048" i="11"/>
  <c r="M1045" i="11"/>
  <c r="M1044" i="11"/>
  <c r="M1041" i="11"/>
  <c r="M1040" i="11"/>
  <c r="M1037" i="11"/>
  <c r="M1036" i="11"/>
  <c r="M1033" i="11"/>
  <c r="M1032" i="11"/>
  <c r="M1029" i="11"/>
  <c r="M1028" i="11"/>
  <c r="M1023" i="11"/>
  <c r="M1022" i="11"/>
  <c r="M1021" i="11"/>
  <c r="M1020" i="11"/>
  <c r="M1012" i="11"/>
  <c r="M1004" i="11"/>
  <c r="M1003" i="11"/>
  <c r="M1002" i="11"/>
  <c r="M1001" i="11"/>
  <c r="M998" i="11"/>
  <c r="M997" i="11"/>
  <c r="M995" i="11"/>
  <c r="M992" i="11"/>
  <c r="M991" i="11"/>
  <c r="M990" i="11"/>
  <c r="M989" i="11"/>
  <c r="M988" i="11"/>
  <c r="M987" i="11"/>
  <c r="M986" i="11"/>
  <c r="M985" i="11"/>
  <c r="M984" i="11"/>
  <c r="M983" i="11"/>
  <c r="M980" i="11"/>
  <c r="M979" i="11"/>
  <c r="M975" i="11"/>
  <c r="M974" i="11"/>
  <c r="M973" i="11"/>
  <c r="M972" i="11"/>
  <c r="M971" i="11"/>
  <c r="M970" i="11"/>
  <c r="M969" i="11"/>
  <c r="M968" i="11"/>
  <c r="M967" i="11"/>
  <c r="M966" i="11"/>
  <c r="M965" i="11"/>
  <c r="M964" i="11"/>
  <c r="M963" i="11"/>
  <c r="M962" i="11"/>
  <c r="M961" i="11"/>
  <c r="M960" i="11"/>
  <c r="M959" i="11"/>
  <c r="M958" i="11"/>
  <c r="M957" i="11"/>
  <c r="M954" i="11"/>
  <c r="M952" i="11"/>
  <c r="M951" i="11"/>
  <c r="M950" i="11"/>
  <c r="M945" i="11"/>
  <c r="M944" i="11"/>
  <c r="M943" i="11"/>
  <c r="M942" i="11"/>
  <c r="M941" i="11"/>
  <c r="M940" i="11"/>
  <c r="M939" i="11"/>
  <c r="M938" i="11"/>
  <c r="M937" i="11"/>
  <c r="M936" i="11"/>
  <c r="M935" i="11"/>
  <c r="M934" i="11"/>
  <c r="M933" i="11"/>
  <c r="M932" i="11"/>
  <c r="M931" i="11"/>
  <c r="M930" i="11"/>
  <c r="M929" i="11"/>
  <c r="M928" i="11"/>
  <c r="M927" i="11"/>
  <c r="M926" i="11"/>
  <c r="M925" i="11"/>
  <c r="M924" i="11"/>
  <c r="M923" i="11"/>
  <c r="M922" i="11"/>
  <c r="M909" i="11"/>
  <c r="M908" i="11"/>
  <c r="M907" i="11"/>
  <c r="M906" i="11"/>
  <c r="M905" i="11"/>
  <c r="M904" i="11"/>
  <c r="M903" i="11"/>
  <c r="M902" i="11"/>
  <c r="M901" i="11"/>
  <c r="M900" i="11"/>
  <c r="M899" i="11"/>
  <c r="M898" i="11"/>
  <c r="M893" i="11"/>
  <c r="M892" i="11"/>
  <c r="M891" i="11"/>
  <c r="M890" i="11"/>
  <c r="M877" i="11"/>
  <c r="M876" i="11"/>
  <c r="M875" i="11"/>
  <c r="M874" i="11"/>
  <c r="M873" i="11"/>
  <c r="M872" i="11"/>
  <c r="M871" i="11"/>
  <c r="M870" i="11"/>
  <c r="M869" i="11"/>
  <c r="M868" i="11"/>
  <c r="M867" i="11"/>
  <c r="M866" i="11"/>
  <c r="M862" i="11"/>
  <c r="M861" i="11"/>
  <c r="M860" i="11"/>
  <c r="M33" i="11"/>
  <c r="M32" i="11"/>
  <c r="M31" i="11"/>
  <c r="M30" i="11"/>
  <c r="M29" i="11"/>
  <c r="M28" i="11"/>
  <c r="M854" i="11"/>
  <c r="M853" i="11"/>
  <c r="M849" i="11"/>
  <c r="M848" i="11"/>
  <c r="M845" i="11"/>
  <c r="M842" i="11"/>
  <c r="M839" i="11"/>
  <c r="M836" i="11"/>
  <c r="M820" i="11"/>
  <c r="M819" i="11"/>
  <c r="M818" i="11"/>
  <c r="M817" i="11"/>
  <c r="M816" i="11"/>
  <c r="M815" i="11"/>
  <c r="M814" i="11"/>
  <c r="M813" i="11"/>
  <c r="M812" i="11"/>
  <c r="M811" i="11"/>
  <c r="M810" i="11"/>
  <c r="M809" i="11"/>
  <c r="M783" i="11"/>
  <c r="M782" i="11"/>
  <c r="M781" i="11"/>
  <c r="M780" i="11"/>
  <c r="M779" i="11"/>
  <c r="M778" i="11"/>
  <c r="M777" i="11"/>
  <c r="M776" i="11"/>
  <c r="M775" i="11"/>
  <c r="M774" i="11"/>
  <c r="M773" i="11"/>
  <c r="M772" i="11"/>
  <c r="M759" i="11"/>
  <c r="M758" i="11"/>
  <c r="M757" i="11"/>
  <c r="M756" i="11"/>
  <c r="M755" i="11"/>
  <c r="M754" i="11"/>
  <c r="M753" i="11"/>
  <c r="M752" i="11"/>
  <c r="M751" i="11"/>
  <c r="M750" i="11"/>
  <c r="M749" i="11"/>
  <c r="M748" i="11"/>
  <c r="M744" i="11"/>
  <c r="M715" i="11"/>
  <c r="M714" i="11"/>
  <c r="M713" i="11"/>
  <c r="M674" i="11"/>
  <c r="M673" i="11"/>
  <c r="M664" i="11"/>
  <c r="M662" i="11"/>
  <c r="M659" i="11"/>
  <c r="M649" i="11"/>
  <c r="M648" i="11"/>
  <c r="M646" i="11"/>
  <c r="M645" i="11"/>
  <c r="M644" i="11"/>
  <c r="M641" i="11"/>
  <c r="M640" i="11"/>
  <c r="M639" i="11"/>
  <c r="M635" i="11"/>
  <c r="M634" i="11"/>
  <c r="M633" i="11"/>
  <c r="M620" i="11"/>
  <c r="M619" i="11"/>
  <c r="M618" i="11"/>
  <c r="M617" i="11"/>
  <c r="M616" i="11"/>
  <c r="M615" i="11"/>
  <c r="M614" i="11"/>
  <c r="M613" i="11"/>
  <c r="M612" i="11"/>
  <c r="M611" i="11"/>
  <c r="M610" i="11"/>
  <c r="M600" i="11"/>
  <c r="M599" i="11"/>
  <c r="M598" i="11"/>
  <c r="M597" i="11"/>
  <c r="M596" i="11"/>
  <c r="M595" i="11"/>
  <c r="M594" i="11"/>
  <c r="M593" i="11"/>
  <c r="M592" i="11"/>
  <c r="M591" i="11"/>
  <c r="M590" i="11"/>
  <c r="M589" i="11"/>
  <c r="M588" i="11"/>
  <c r="M585" i="11"/>
  <c r="M584" i="11"/>
  <c r="M581" i="11"/>
  <c r="M580" i="11"/>
  <c r="M578" i="11"/>
  <c r="M577" i="11"/>
  <c r="M575" i="11"/>
  <c r="M572" i="11"/>
  <c r="M571" i="11"/>
  <c r="M570" i="11"/>
  <c r="M567" i="11"/>
  <c r="M564" i="11"/>
  <c r="M563" i="11"/>
  <c r="M560" i="11"/>
  <c r="M559" i="11"/>
  <c r="M557" i="11"/>
  <c r="M554" i="11"/>
  <c r="M553" i="11"/>
  <c r="M527" i="11"/>
  <c r="M526" i="11"/>
  <c r="M525" i="11"/>
  <c r="M524" i="11"/>
  <c r="M522" i="11"/>
  <c r="M521" i="11"/>
  <c r="M505" i="11"/>
  <c r="M504" i="11"/>
  <c r="M503" i="11"/>
  <c r="M502" i="11"/>
  <c r="M501" i="11"/>
  <c r="M500" i="11"/>
  <c r="M499" i="11"/>
  <c r="M498" i="11"/>
  <c r="M497" i="11"/>
  <c r="M496" i="11"/>
  <c r="M495" i="11"/>
  <c r="M494" i="11"/>
  <c r="M479" i="11"/>
  <c r="M476" i="11"/>
  <c r="M427" i="11"/>
  <c r="M426" i="11"/>
  <c r="M425" i="11"/>
  <c r="M424" i="11"/>
  <c r="M423" i="11"/>
  <c r="M422" i="11"/>
  <c r="M421" i="11"/>
  <c r="M420" i="11"/>
  <c r="M419" i="11"/>
  <c r="M418" i="11"/>
  <c r="M417" i="11"/>
  <c r="M416" i="11"/>
  <c r="M397" i="11"/>
  <c r="M396" i="11"/>
  <c r="M395" i="11"/>
  <c r="M394" i="11"/>
  <c r="M393" i="11"/>
  <c r="M392" i="11"/>
  <c r="M351" i="11"/>
  <c r="M348" i="11"/>
  <c r="M347" i="11"/>
  <c r="M346" i="11"/>
  <c r="M345" i="11"/>
  <c r="M344" i="11"/>
  <c r="M342" i="11"/>
  <c r="M340" i="11"/>
  <c r="M334" i="11"/>
  <c r="M328" i="11"/>
  <c r="M327" i="11"/>
  <c r="M326" i="11"/>
  <c r="M325" i="11"/>
  <c r="M323" i="11"/>
  <c r="M320" i="11"/>
  <c r="M316" i="11"/>
  <c r="M315" i="11"/>
  <c r="M312" i="11"/>
  <c r="M309" i="11"/>
  <c r="M307" i="11"/>
  <c r="M303" i="11"/>
  <c r="M302" i="11"/>
  <c r="M300" i="11"/>
  <c r="M298" i="11"/>
  <c r="M296" i="11"/>
  <c r="M294" i="11"/>
  <c r="M292" i="11"/>
  <c r="M290" i="11"/>
  <c r="M289" i="11"/>
  <c r="M286" i="11"/>
  <c r="M285" i="11"/>
  <c r="M283" i="11"/>
  <c r="M281" i="11"/>
  <c r="M2162" i="11"/>
  <c r="M2161" i="11"/>
  <c r="M2159" i="11"/>
  <c r="M2158" i="11"/>
  <c r="M280" i="11"/>
  <c r="M279" i="11"/>
  <c r="M278" i="11"/>
  <c r="M277" i="11"/>
  <c r="M271" i="11"/>
  <c r="M270" i="11"/>
  <c r="M269" i="11"/>
  <c r="M268" i="11"/>
  <c r="M267" i="11"/>
  <c r="M263" i="11"/>
  <c r="M262" i="11"/>
  <c r="M261" i="11"/>
  <c r="M260" i="11"/>
  <c r="M259" i="11"/>
  <c r="M258" i="11"/>
  <c r="M257" i="11"/>
  <c r="M255" i="11"/>
  <c r="M254" i="11"/>
  <c r="M253" i="11"/>
  <c r="M252" i="11"/>
  <c r="M251" i="11"/>
  <c r="M250" i="11"/>
  <c r="M249" i="11"/>
  <c r="M248" i="11"/>
  <c r="M247" i="11"/>
  <c r="M246" i="11"/>
  <c r="M245" i="11"/>
  <c r="M244" i="11"/>
  <c r="M243" i="11"/>
  <c r="M2103" i="11"/>
  <c r="M2102" i="11"/>
  <c r="M2101" i="11"/>
  <c r="M2100" i="11"/>
  <c r="M228" i="11"/>
  <c r="M227" i="11"/>
  <c r="M224" i="11"/>
  <c r="M223" i="11"/>
  <c r="M2156" i="11"/>
  <c r="M2155" i="11"/>
  <c r="M2153" i="11"/>
  <c r="M2152" i="11"/>
  <c r="M2150" i="11"/>
  <c r="M2149" i="11"/>
  <c r="M218" i="11"/>
  <c r="M217" i="11"/>
  <c r="M216" i="11"/>
  <c r="M215" i="11"/>
  <c r="M212" i="11"/>
  <c r="M211" i="11"/>
  <c r="M2168" i="11"/>
  <c r="M2167" i="11"/>
  <c r="M2187" i="11"/>
  <c r="M2186" i="11"/>
  <c r="M2184" i="11"/>
  <c r="M2183" i="11"/>
  <c r="M2181" i="11"/>
  <c r="M2180" i="11"/>
  <c r="M2178" i="11"/>
  <c r="M2177" i="11"/>
  <c r="M2175" i="11"/>
  <c r="M2174" i="11"/>
  <c r="M2172" i="11"/>
  <c r="M2171" i="11"/>
  <c r="M2166" i="11"/>
  <c r="M2165" i="11"/>
  <c r="M2191" i="11"/>
  <c r="M2190" i="11"/>
  <c r="M2147" i="11"/>
  <c r="M2146" i="11"/>
  <c r="M2144" i="11"/>
  <c r="M2143" i="11"/>
  <c r="M2141" i="11"/>
  <c r="M2140" i="11"/>
  <c r="M2138" i="11"/>
  <c r="M2137" i="11"/>
  <c r="M2135" i="11"/>
  <c r="M2134" i="11"/>
  <c r="M2132" i="11"/>
  <c r="M2131" i="11"/>
  <c r="M2129" i="11"/>
  <c r="M2128" i="11"/>
  <c r="M2126" i="11"/>
  <c r="M2125" i="11"/>
  <c r="M2123" i="11"/>
  <c r="M2122" i="11"/>
  <c r="M2117" i="11"/>
  <c r="M2116" i="11"/>
  <c r="M2114" i="11"/>
  <c r="M2113" i="11"/>
  <c r="M2120" i="11"/>
  <c r="M2119" i="11"/>
  <c r="M2111" i="11"/>
  <c r="M2110" i="11"/>
  <c r="M2108" i="11"/>
  <c r="M2107" i="11"/>
  <c r="M2105" i="11"/>
  <c r="M2104" i="11"/>
  <c r="M2094" i="11"/>
  <c r="M2093" i="11"/>
  <c r="M2091" i="11"/>
  <c r="M2090" i="11"/>
  <c r="M2085" i="11"/>
  <c r="M2084" i="11"/>
  <c r="M2082" i="11"/>
  <c r="M2081" i="11"/>
  <c r="M2079" i="11"/>
  <c r="M2078" i="11"/>
  <c r="M2076" i="11"/>
  <c r="M2075" i="11"/>
  <c r="M2067" i="11"/>
  <c r="M2066" i="11"/>
  <c r="M2073" i="11"/>
  <c r="M2072" i="11"/>
  <c r="M2064" i="11"/>
  <c r="M2063" i="11"/>
  <c r="M2060" i="11"/>
  <c r="M2059" i="11"/>
  <c r="M2057" i="11"/>
  <c r="M2056" i="11"/>
  <c r="M2054" i="11"/>
  <c r="M2053" i="11"/>
  <c r="M2051" i="11"/>
  <c r="M2050" i="11"/>
  <c r="M2048" i="11"/>
  <c r="M2047" i="11"/>
  <c r="M2045" i="11"/>
  <c r="M2044" i="11"/>
  <c r="M2042" i="11"/>
  <c r="M2041" i="11"/>
  <c r="M2039" i="11"/>
  <c r="M2038" i="11"/>
  <c r="M2012" i="11"/>
  <c r="M2011" i="11"/>
  <c r="M2009" i="11"/>
  <c r="M2008" i="11"/>
  <c r="M2006" i="11"/>
  <c r="M2005" i="11"/>
  <c r="M2036" i="11"/>
  <c r="M2035" i="11"/>
  <c r="M2033" i="11"/>
  <c r="M2032" i="11"/>
  <c r="M2030" i="11"/>
  <c r="M2029" i="11"/>
  <c r="M2027" i="11"/>
  <c r="M2026" i="11"/>
  <c r="M2024" i="11"/>
  <c r="M2023" i="11"/>
  <c r="M2021" i="11"/>
  <c r="M2020" i="11"/>
  <c r="M2018" i="11"/>
  <c r="M2017" i="11"/>
  <c r="M2015" i="11"/>
  <c r="M2014" i="11"/>
  <c r="M2003" i="11"/>
  <c r="M2002" i="11"/>
  <c r="M209" i="11"/>
  <c r="M208" i="11"/>
  <c r="M207" i="11"/>
  <c r="M204" i="11"/>
  <c r="M203" i="11"/>
  <c r="M192" i="11"/>
  <c r="M186" i="11"/>
  <c r="M177" i="11"/>
  <c r="M171" i="11"/>
  <c r="M157" i="11"/>
  <c r="M151" i="11"/>
  <c r="M142" i="11"/>
  <c r="M136" i="11"/>
  <c r="M127" i="11"/>
  <c r="M109" i="11"/>
  <c r="M103" i="11"/>
  <c r="M94" i="11"/>
  <c r="M87" i="11"/>
  <c r="M66" i="11"/>
  <c r="M54" i="11"/>
  <c r="M39" i="11"/>
  <c r="M27" i="11"/>
  <c r="M13" i="11"/>
  <c r="M2" i="14"/>
  <c r="I1348" i="14" l="1"/>
  <c r="I265" i="11"/>
  <c r="I1405" i="14"/>
  <c r="I882" i="14"/>
  <c r="I1355" i="14"/>
  <c r="I264" i="11"/>
  <c r="I1903" i="11"/>
  <c r="I810" i="16"/>
  <c r="I266" i="11"/>
  <c r="I1845" i="11"/>
  <c r="I1864" i="11"/>
  <c r="I1896" i="11"/>
  <c r="I883" i="14"/>
  <c r="I1895" i="11"/>
  <c r="I1847" i="11"/>
  <c r="I1902" i="11"/>
  <c r="I1866" i="11"/>
  <c r="I1995" i="11"/>
  <c r="I1852" i="11"/>
  <c r="I1353" i="14"/>
  <c r="I1358" i="14"/>
  <c r="I1901" i="11"/>
  <c r="I1898" i="11"/>
  <c r="I1900" i="11"/>
  <c r="I1893" i="11"/>
  <c r="I1894" i="11"/>
  <c r="I1899" i="11"/>
  <c r="I1892" i="11"/>
  <c r="I1253" i="11"/>
  <c r="I1846" i="11"/>
  <c r="I1859" i="11"/>
  <c r="I1891" i="11"/>
  <c r="I1858" i="11"/>
  <c r="I1849" i="11"/>
  <c r="I1917" i="11"/>
  <c r="I1865" i="11"/>
  <c r="I1855" i="11"/>
  <c r="I1851" i="11"/>
  <c r="I1854" i="11"/>
  <c r="I1853" i="11"/>
  <c r="I1848" i="11"/>
  <c r="I1916" i="11"/>
  <c r="I1860" i="11"/>
  <c r="I836" i="14"/>
  <c r="I824" i="16"/>
  <c r="I1856" i="11"/>
  <c r="I1350" i="14"/>
  <c r="I1862" i="11"/>
  <c r="I1863" i="11"/>
  <c r="I1857" i="11"/>
  <c r="I1867" i="11"/>
  <c r="I1243" i="11"/>
  <c r="I825" i="16"/>
  <c r="I840" i="14"/>
  <c r="I163" i="11"/>
  <c r="I32" i="14"/>
  <c r="I850" i="14"/>
  <c r="I1408" i="14"/>
  <c r="I1992" i="11"/>
  <c r="G834" i="11"/>
  <c r="H834" i="11"/>
  <c r="H14" i="11"/>
  <c r="H15" i="11"/>
  <c r="H27" i="11"/>
  <c r="H39" i="11"/>
  <c r="H42" i="11"/>
  <c r="H54" i="11"/>
  <c r="H66" i="11"/>
  <c r="H87" i="11"/>
  <c r="H94" i="11"/>
  <c r="H103" i="11"/>
  <c r="H109" i="11"/>
  <c r="H127" i="11"/>
  <c r="H136" i="11"/>
  <c r="H142" i="11"/>
  <c r="H151" i="11"/>
  <c r="H157" i="11"/>
  <c r="H171" i="11"/>
  <c r="H177" i="11"/>
  <c r="H186" i="11"/>
  <c r="H192" i="11"/>
  <c r="H203" i="11"/>
  <c r="H204" i="11"/>
  <c r="H205" i="11"/>
  <c r="H206" i="11"/>
  <c r="H207" i="11"/>
  <c r="H208" i="11"/>
  <c r="H209" i="11"/>
  <c r="H2002" i="11"/>
  <c r="H2003" i="11"/>
  <c r="H2014" i="11"/>
  <c r="H2015" i="11"/>
  <c r="H2017" i="11"/>
  <c r="H2018" i="11"/>
  <c r="H2020" i="11"/>
  <c r="H2021" i="11"/>
  <c r="H2023" i="11"/>
  <c r="H2024" i="11"/>
  <c r="H2026" i="11"/>
  <c r="H2027" i="11"/>
  <c r="H2029" i="11"/>
  <c r="H2030" i="11"/>
  <c r="H2032" i="11"/>
  <c r="H2033" i="11"/>
  <c r="H2035" i="11"/>
  <c r="H2036" i="11"/>
  <c r="H2005" i="11"/>
  <c r="H2006" i="11"/>
  <c r="H2008" i="11"/>
  <c r="H2009" i="11"/>
  <c r="H2011" i="11"/>
  <c r="H2012" i="11"/>
  <c r="H2038" i="11"/>
  <c r="H2039" i="11"/>
  <c r="H2041" i="11"/>
  <c r="H2042" i="11"/>
  <c r="H2044" i="11"/>
  <c r="H2045" i="11"/>
  <c r="H2047" i="11"/>
  <c r="H2048" i="11"/>
  <c r="H2050" i="11"/>
  <c r="H2051" i="11"/>
  <c r="H2053" i="11"/>
  <c r="H2054" i="11"/>
  <c r="H2056" i="11"/>
  <c r="H2057" i="11"/>
  <c r="H2059" i="11"/>
  <c r="H2060" i="11"/>
  <c r="H2063" i="11"/>
  <c r="H2064" i="11"/>
  <c r="H2072" i="11"/>
  <c r="H2073" i="11"/>
  <c r="H2066" i="11"/>
  <c r="H2067" i="11"/>
  <c r="H2075" i="11"/>
  <c r="H2076" i="11"/>
  <c r="H2078" i="11"/>
  <c r="H2079" i="11"/>
  <c r="H2081" i="11"/>
  <c r="H2082" i="11"/>
  <c r="H2084" i="11"/>
  <c r="H2085" i="11"/>
  <c r="H2090" i="11"/>
  <c r="H2091" i="11"/>
  <c r="H2093" i="11"/>
  <c r="H2094" i="11"/>
  <c r="H2104" i="11"/>
  <c r="H2105" i="11"/>
  <c r="H2107" i="11"/>
  <c r="H2108" i="11"/>
  <c r="H2110" i="11"/>
  <c r="H2111" i="11"/>
  <c r="H2119" i="11"/>
  <c r="H2120" i="11"/>
  <c r="H2113" i="11"/>
  <c r="H2114" i="11"/>
  <c r="H2116" i="11"/>
  <c r="H2117" i="11"/>
  <c r="H2122" i="11"/>
  <c r="H2123" i="11"/>
  <c r="H2125" i="11"/>
  <c r="H2126" i="11"/>
  <c r="H2128" i="11"/>
  <c r="H2129" i="11"/>
  <c r="H2131" i="11"/>
  <c r="H2132" i="11"/>
  <c r="H2134" i="11"/>
  <c r="H2135" i="11"/>
  <c r="H2137" i="11"/>
  <c r="H2138" i="11"/>
  <c r="H2140" i="11"/>
  <c r="H2141" i="11"/>
  <c r="H2143" i="11"/>
  <c r="H2144" i="11"/>
  <c r="H2146" i="11"/>
  <c r="H2147" i="11"/>
  <c r="H2190" i="11"/>
  <c r="H2191" i="11"/>
  <c r="H2165" i="11"/>
  <c r="H2166" i="11"/>
  <c r="H2171" i="11"/>
  <c r="H2172" i="11"/>
  <c r="H2174" i="11"/>
  <c r="H2175" i="11"/>
  <c r="H2177" i="11"/>
  <c r="H2178" i="11"/>
  <c r="H2180" i="11"/>
  <c r="H2181" i="11"/>
  <c r="H2183" i="11"/>
  <c r="H2184" i="11"/>
  <c r="H2186" i="11"/>
  <c r="H2187" i="11"/>
  <c r="H2167" i="11"/>
  <c r="H2168" i="11"/>
  <c r="H211" i="11"/>
  <c r="H212" i="11"/>
  <c r="H215" i="11"/>
  <c r="H216" i="11"/>
  <c r="H217" i="11"/>
  <c r="H218" i="11"/>
  <c r="H2149" i="11"/>
  <c r="H2150" i="11"/>
  <c r="H2152" i="11"/>
  <c r="H2153" i="11"/>
  <c r="H2155" i="11"/>
  <c r="H2156" i="11"/>
  <c r="H223" i="11"/>
  <c r="H224" i="11"/>
  <c r="H227" i="11"/>
  <c r="H228" i="11"/>
  <c r="H2100" i="11"/>
  <c r="H2101" i="11"/>
  <c r="H2102" i="11"/>
  <c r="H2103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7" i="11"/>
  <c r="H258" i="11"/>
  <c r="H259" i="11"/>
  <c r="H260" i="11"/>
  <c r="H261" i="11"/>
  <c r="H262" i="11"/>
  <c r="H263" i="11"/>
  <c r="H267" i="11"/>
  <c r="H268" i="11"/>
  <c r="H269" i="11"/>
  <c r="H270" i="11"/>
  <c r="H271" i="11"/>
  <c r="H277" i="11"/>
  <c r="H278" i="11"/>
  <c r="H279" i="11"/>
  <c r="H280" i="11"/>
  <c r="H2158" i="11"/>
  <c r="H2159" i="11"/>
  <c r="H2161" i="11"/>
  <c r="H2162" i="11"/>
  <c r="H281" i="11"/>
  <c r="H283" i="11"/>
  <c r="H285" i="11"/>
  <c r="H286" i="11"/>
  <c r="H289" i="11"/>
  <c r="H290" i="11"/>
  <c r="H292" i="11"/>
  <c r="H294" i="11"/>
  <c r="H296" i="11"/>
  <c r="H298" i="11"/>
  <c r="H300" i="11"/>
  <c r="H302" i="11"/>
  <c r="H303" i="11"/>
  <c r="H306" i="11"/>
  <c r="H307" i="11"/>
  <c r="H309" i="11"/>
  <c r="H310" i="11"/>
  <c r="H311" i="11"/>
  <c r="H312" i="11"/>
  <c r="H313" i="11"/>
  <c r="H314" i="11"/>
  <c r="H316" i="11"/>
  <c r="H318" i="11"/>
  <c r="H320" i="11"/>
  <c r="H322" i="11"/>
  <c r="H323" i="11"/>
  <c r="H325" i="11"/>
  <c r="H326" i="11"/>
  <c r="H327" i="11"/>
  <c r="H328" i="11"/>
  <c r="H333" i="11"/>
  <c r="H334" i="11"/>
  <c r="H336" i="11"/>
  <c r="H339" i="11"/>
  <c r="H340" i="11"/>
  <c r="H342" i="11"/>
  <c r="H344" i="11"/>
  <c r="H345" i="11"/>
  <c r="H346" i="11"/>
  <c r="H347" i="11"/>
  <c r="H348" i="11"/>
  <c r="H350" i="11"/>
  <c r="H351" i="11"/>
  <c r="H353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76" i="11"/>
  <c r="H479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18" i="11"/>
  <c r="H521" i="11"/>
  <c r="H522" i="11"/>
  <c r="H524" i="11"/>
  <c r="H525" i="11"/>
  <c r="H526" i="11"/>
  <c r="H527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53" i="11"/>
  <c r="H554" i="11"/>
  <c r="H557" i="11"/>
  <c r="H559" i="11"/>
  <c r="H560" i="11"/>
  <c r="H563" i="11"/>
  <c r="H564" i="11"/>
  <c r="H567" i="11"/>
  <c r="H570" i="11"/>
  <c r="H571" i="11"/>
  <c r="H572" i="11"/>
  <c r="H574" i="11"/>
  <c r="H575" i="11"/>
  <c r="H577" i="11"/>
  <c r="H578" i="11"/>
  <c r="H580" i="11"/>
  <c r="H581" i="11"/>
  <c r="H584" i="11"/>
  <c r="H585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10" i="11"/>
  <c r="H611" i="11"/>
  <c r="H612" i="11"/>
  <c r="H613" i="11"/>
  <c r="H614" i="11"/>
  <c r="H615" i="11"/>
  <c r="H616" i="11"/>
  <c r="H617" i="11"/>
  <c r="H618" i="11"/>
  <c r="H619" i="11"/>
  <c r="H620" i="11"/>
  <c r="H631" i="11"/>
  <c r="H632" i="11"/>
  <c r="H633" i="11"/>
  <c r="H634" i="11"/>
  <c r="H635" i="11"/>
  <c r="H637" i="11"/>
  <c r="H638" i="11"/>
  <c r="H639" i="11"/>
  <c r="H640" i="11"/>
  <c r="H641" i="11"/>
  <c r="H642" i="11"/>
  <c r="H643" i="11"/>
  <c r="H644" i="11"/>
  <c r="H645" i="11"/>
  <c r="H646" i="11"/>
  <c r="H648" i="11"/>
  <c r="H649" i="11"/>
  <c r="H650" i="11"/>
  <c r="H651" i="11"/>
  <c r="H652" i="11"/>
  <c r="H653" i="11"/>
  <c r="H658" i="11"/>
  <c r="H659" i="11"/>
  <c r="H662" i="11"/>
  <c r="H664" i="11"/>
  <c r="H665" i="11"/>
  <c r="H666" i="11"/>
  <c r="H667" i="11"/>
  <c r="H668" i="11"/>
  <c r="H669" i="11"/>
  <c r="H671" i="11"/>
  <c r="H672" i="11"/>
  <c r="H673" i="11"/>
  <c r="H674" i="11"/>
  <c r="H675" i="11"/>
  <c r="H678" i="11"/>
  <c r="H679" i="11"/>
  <c r="H680" i="11"/>
  <c r="H682" i="11"/>
  <c r="H683" i="11"/>
  <c r="H685" i="11"/>
  <c r="H686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13" i="11"/>
  <c r="H714" i="11"/>
  <c r="H715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44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96" i="11"/>
  <c r="H797" i="11"/>
  <c r="H800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36" i="11"/>
  <c r="H839" i="11"/>
  <c r="H842" i="11"/>
  <c r="H845" i="11"/>
  <c r="H848" i="11"/>
  <c r="H849" i="11"/>
  <c r="H853" i="11"/>
  <c r="H854" i="11"/>
  <c r="H28" i="11"/>
  <c r="H29" i="11"/>
  <c r="H30" i="11"/>
  <c r="H31" i="11"/>
  <c r="H32" i="11"/>
  <c r="H33" i="11"/>
  <c r="H860" i="11"/>
  <c r="H861" i="11"/>
  <c r="H862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90" i="11"/>
  <c r="H891" i="11"/>
  <c r="H892" i="11"/>
  <c r="H893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8" i="11"/>
  <c r="H949" i="11"/>
  <c r="H950" i="11"/>
  <c r="H951" i="11"/>
  <c r="H952" i="11"/>
  <c r="H954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9" i="11"/>
  <c r="H980" i="11"/>
  <c r="H983" i="11"/>
  <c r="H984" i="11"/>
  <c r="H985" i="11"/>
  <c r="H986" i="11"/>
  <c r="H987" i="11"/>
  <c r="H988" i="11"/>
  <c r="H989" i="11"/>
  <c r="H990" i="11"/>
  <c r="H991" i="11"/>
  <c r="H992" i="11"/>
  <c r="H995" i="11"/>
  <c r="H997" i="11"/>
  <c r="H998" i="11"/>
  <c r="H1001" i="11"/>
  <c r="H1002" i="11"/>
  <c r="H1003" i="11"/>
  <c r="H1004" i="11"/>
  <c r="H1008" i="11"/>
  <c r="H1009" i="11"/>
  <c r="H1012" i="11"/>
  <c r="H1013" i="11"/>
  <c r="H1016" i="11"/>
  <c r="H1017" i="11"/>
  <c r="H1020" i="11"/>
  <c r="H1021" i="11"/>
  <c r="H1022" i="11"/>
  <c r="H1023" i="11"/>
  <c r="H1028" i="11"/>
  <c r="H1029" i="11"/>
  <c r="H1032" i="11"/>
  <c r="H1033" i="11"/>
  <c r="H1036" i="11"/>
  <c r="H1037" i="11"/>
  <c r="H1040" i="11"/>
  <c r="H1041" i="11"/>
  <c r="H1044" i="11"/>
  <c r="H1045" i="11"/>
  <c r="H1048" i="11"/>
  <c r="H1049" i="11"/>
  <c r="H1052" i="11"/>
  <c r="H1053" i="11"/>
  <c r="H1055" i="11"/>
  <c r="H1057" i="11"/>
  <c r="H1058" i="11"/>
  <c r="H1061" i="11"/>
  <c r="H1062" i="11"/>
  <c r="H1063" i="11"/>
  <c r="H1064" i="11"/>
  <c r="H1065" i="11"/>
  <c r="H1069" i="11"/>
  <c r="H1070" i="11"/>
  <c r="H1071" i="11"/>
  <c r="H1072" i="11"/>
  <c r="H1073" i="11"/>
  <c r="H1075" i="11"/>
  <c r="H1076" i="11"/>
  <c r="H1077" i="11"/>
  <c r="H1079" i="11"/>
  <c r="H1080" i="11"/>
  <c r="H1083" i="11"/>
  <c r="H1084" i="11"/>
  <c r="H1085" i="11"/>
  <c r="H1086" i="11"/>
  <c r="H1087" i="11"/>
  <c r="H1088" i="11"/>
  <c r="H1089" i="11"/>
  <c r="H1092" i="11"/>
  <c r="H1093" i="11"/>
  <c r="H1096" i="11"/>
  <c r="H1097" i="11"/>
  <c r="H1098" i="11"/>
  <c r="H1099" i="11"/>
  <c r="H1102" i="11"/>
  <c r="H1103" i="11"/>
  <c r="H1106" i="11"/>
  <c r="H1107" i="11"/>
  <c r="H1109" i="11"/>
  <c r="H1110" i="11"/>
  <c r="H1114" i="11"/>
  <c r="H1115" i="11"/>
  <c r="H1116" i="11"/>
  <c r="H1117" i="11"/>
  <c r="H1124" i="11"/>
  <c r="H1125" i="11"/>
  <c r="H1128" i="11"/>
  <c r="H1129" i="11"/>
  <c r="H1132" i="11"/>
  <c r="H1133" i="11"/>
  <c r="H1136" i="11"/>
  <c r="H1137" i="11"/>
  <c r="H1140" i="11"/>
  <c r="H1141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8" i="11"/>
  <c r="H1159" i="11"/>
  <c r="H1160" i="11"/>
  <c r="H1161" i="11"/>
  <c r="H1166" i="11"/>
  <c r="H1167" i="11"/>
  <c r="H1170" i="11"/>
  <c r="H1171" i="11"/>
  <c r="H1174" i="11"/>
  <c r="H1175" i="11"/>
  <c r="H1178" i="11"/>
  <c r="H1180" i="11"/>
  <c r="H1181" i="11"/>
  <c r="H1182" i="11"/>
  <c r="H1187" i="11"/>
  <c r="H1188" i="11"/>
  <c r="H1191" i="11"/>
  <c r="H1192" i="11"/>
  <c r="H1195" i="11"/>
  <c r="H1196" i="11"/>
  <c r="H1199" i="11"/>
  <c r="H1200" i="11"/>
  <c r="H1203" i="11"/>
  <c r="H1204" i="11"/>
  <c r="H1207" i="11"/>
  <c r="H1208" i="11"/>
  <c r="H1211" i="11"/>
  <c r="H1212" i="11"/>
  <c r="H1215" i="11"/>
  <c r="H1216" i="11"/>
  <c r="H1219" i="11"/>
  <c r="H1220" i="11"/>
  <c r="H1221" i="11"/>
  <c r="H1222" i="11"/>
  <c r="H1224" i="11"/>
  <c r="H1225" i="11"/>
  <c r="H1227" i="11"/>
  <c r="H1228" i="11"/>
  <c r="H1231" i="11"/>
  <c r="H1232" i="11"/>
  <c r="H1235" i="11"/>
  <c r="H1236" i="11"/>
  <c r="H1240" i="11"/>
  <c r="H1241" i="11"/>
  <c r="H1242" i="11"/>
  <c r="H1244" i="11"/>
  <c r="H1245" i="11"/>
  <c r="H1248" i="11"/>
  <c r="H1249" i="11"/>
  <c r="H1250" i="11"/>
  <c r="H1251" i="11"/>
  <c r="H1252" i="11"/>
  <c r="H1254" i="11"/>
  <c r="H1255" i="11"/>
  <c r="H1256" i="11"/>
  <c r="H1257" i="11"/>
  <c r="H1258" i="11"/>
  <c r="H1260" i="11"/>
  <c r="H1262" i="11"/>
  <c r="H1264" i="11"/>
  <c r="H1266" i="11"/>
  <c r="H1267" i="11"/>
  <c r="H1268" i="11"/>
  <c r="H1269" i="11"/>
  <c r="H1270" i="11"/>
  <c r="H1273" i="11"/>
  <c r="H1275" i="11"/>
  <c r="H1278" i="11"/>
  <c r="H1280" i="11"/>
  <c r="H1282" i="11"/>
  <c r="H1284" i="11"/>
  <c r="H1285" i="11"/>
  <c r="H1286" i="11"/>
  <c r="H1287" i="11"/>
  <c r="H1292" i="11"/>
  <c r="H1293" i="11"/>
  <c r="H1296" i="11"/>
  <c r="H1297" i="11"/>
  <c r="H1300" i="11"/>
  <c r="H1301" i="11"/>
  <c r="H1303" i="11"/>
  <c r="H1304" i="11"/>
  <c r="H1305" i="11"/>
  <c r="H1306" i="11"/>
  <c r="H1311" i="11"/>
  <c r="H1312" i="11"/>
  <c r="H1313" i="11"/>
  <c r="H1314" i="11"/>
  <c r="H1319" i="11"/>
  <c r="H1320" i="11"/>
  <c r="H1321" i="11"/>
  <c r="H1322" i="11"/>
  <c r="H1327" i="11"/>
  <c r="H1328" i="11"/>
  <c r="H1329" i="11"/>
  <c r="H1330" i="11"/>
  <c r="H1335" i="11"/>
  <c r="H1336" i="11"/>
  <c r="H1337" i="11"/>
  <c r="H1338" i="11"/>
  <c r="H1339" i="11"/>
  <c r="H1341" i="11"/>
  <c r="H1342" i="11"/>
  <c r="H1345" i="11"/>
  <c r="H1346" i="11"/>
  <c r="H1349" i="11"/>
  <c r="H1350" i="11"/>
  <c r="H1354" i="11"/>
  <c r="H1355" i="11"/>
  <c r="H1356" i="11"/>
  <c r="H1357" i="11"/>
  <c r="H1360" i="11"/>
  <c r="H1363" i="11"/>
  <c r="H1364" i="11"/>
  <c r="H1365" i="11"/>
  <c r="H1367" i="11"/>
  <c r="H1368" i="11"/>
  <c r="H1371" i="11"/>
  <c r="H1373" i="11"/>
  <c r="H1374" i="11"/>
  <c r="H1379" i="11"/>
  <c r="H1380" i="11"/>
  <c r="H1381" i="11"/>
  <c r="H1383" i="11"/>
  <c r="H1384" i="11"/>
  <c r="H1385" i="11"/>
  <c r="H1388" i="11"/>
  <c r="H1389" i="11"/>
  <c r="H1394" i="11"/>
  <c r="H1395" i="11"/>
  <c r="H1396" i="11"/>
  <c r="H1401" i="11"/>
  <c r="H1402" i="11"/>
  <c r="H1405" i="11"/>
  <c r="H1406" i="11"/>
  <c r="H1407" i="11"/>
  <c r="H1408" i="11"/>
  <c r="H1409" i="11"/>
  <c r="H1411" i="11"/>
  <c r="H1412" i="11"/>
  <c r="H1413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39" i="11"/>
  <c r="H1440" i="11"/>
  <c r="H1441" i="11"/>
  <c r="H1442" i="11"/>
  <c r="H1443" i="11"/>
  <c r="H1445" i="11"/>
  <c r="H1446" i="11"/>
  <c r="H1447" i="11"/>
  <c r="H1449" i="11"/>
  <c r="H1450" i="11"/>
  <c r="H1451" i="11"/>
  <c r="H1452" i="11"/>
  <c r="H1453" i="11"/>
  <c r="H1455" i="11"/>
  <c r="H1456" i="11"/>
  <c r="H1457" i="11"/>
  <c r="H1458" i="11"/>
  <c r="H1459" i="11"/>
  <c r="H1461" i="11"/>
  <c r="H1462" i="11"/>
  <c r="H1463" i="11"/>
  <c r="H1464" i="11"/>
  <c r="H1465" i="11"/>
  <c r="H1467" i="11"/>
  <c r="H1468" i="11"/>
  <c r="H1469" i="11"/>
  <c r="H1470" i="11"/>
  <c r="H1471" i="11"/>
  <c r="H1473" i="11"/>
  <c r="H1474" i="11"/>
  <c r="H1475" i="11"/>
  <c r="H1476" i="11"/>
  <c r="H1477" i="11"/>
  <c r="H1479" i="11"/>
  <c r="H1480" i="11"/>
  <c r="H1482" i="11"/>
  <c r="H1483" i="11"/>
  <c r="H1484" i="11"/>
  <c r="H1485" i="11"/>
  <c r="H1486" i="11"/>
  <c r="H1487" i="11"/>
  <c r="H1490" i="11"/>
  <c r="H1491" i="11"/>
  <c r="H1492" i="11"/>
  <c r="H1497" i="11"/>
  <c r="H1498" i="11"/>
  <c r="H1501" i="11"/>
  <c r="H1502" i="11"/>
  <c r="H1505" i="11"/>
  <c r="H1507" i="11"/>
  <c r="H1508" i="11"/>
  <c r="H1511" i="11"/>
  <c r="H1512" i="11"/>
  <c r="H1515" i="11"/>
  <c r="H1517" i="11"/>
  <c r="H1518" i="11"/>
  <c r="H1521" i="11"/>
  <c r="H1522" i="11"/>
  <c r="H1525" i="11"/>
  <c r="H1526" i="11"/>
  <c r="H1529" i="11"/>
  <c r="H1530" i="11"/>
  <c r="H1533" i="11"/>
  <c r="H1534" i="11"/>
  <c r="H1537" i="11"/>
  <c r="H1539" i="11"/>
  <c r="H1540" i="11"/>
  <c r="H1543" i="11"/>
  <c r="H1544" i="11"/>
  <c r="H1547" i="11"/>
  <c r="H1548" i="11"/>
  <c r="H1551" i="11"/>
  <c r="H1553" i="11"/>
  <c r="H1554" i="11"/>
  <c r="H1556" i="11"/>
  <c r="H1557" i="11"/>
  <c r="H1562" i="11"/>
  <c r="H1563" i="11"/>
  <c r="H1564" i="11"/>
  <c r="H1566" i="11"/>
  <c r="H1568" i="11"/>
  <c r="H1569" i="11"/>
  <c r="H1570" i="11"/>
  <c r="H1575" i="11"/>
  <c r="H1576" i="11"/>
  <c r="H1577" i="11"/>
  <c r="H1582" i="11"/>
  <c r="H1583" i="11"/>
  <c r="H1584" i="11"/>
  <c r="H1589" i="11"/>
  <c r="H1590" i="11"/>
  <c r="H1591" i="11"/>
  <c r="H1596" i="11"/>
  <c r="H1597" i="11"/>
  <c r="H1598" i="11"/>
  <c r="H1603" i="11"/>
  <c r="H1604" i="11"/>
  <c r="H1605" i="11"/>
  <c r="H1606" i="11"/>
  <c r="H1607" i="11"/>
  <c r="H1608" i="11"/>
  <c r="H1612" i="11"/>
  <c r="H1613" i="11"/>
  <c r="H1614" i="11"/>
  <c r="H1616" i="11"/>
  <c r="H1617" i="11"/>
  <c r="H1618" i="11"/>
  <c r="H1620" i="11"/>
  <c r="H1621" i="11"/>
  <c r="H1623" i="11"/>
  <c r="H1624" i="11"/>
  <c r="H1626" i="11"/>
  <c r="H1629" i="11"/>
  <c r="H1630" i="11"/>
  <c r="H1633" i="11"/>
  <c r="H1634" i="11"/>
  <c r="H1637" i="11"/>
  <c r="H1638" i="11"/>
  <c r="H1641" i="11"/>
  <c r="H1642" i="11"/>
  <c r="H1645" i="11"/>
  <c r="H1646" i="11"/>
  <c r="H1649" i="11"/>
  <c r="H1650" i="11"/>
  <c r="H1655" i="11"/>
  <c r="H1656" i="11"/>
  <c r="H1661" i="11"/>
  <c r="H1662" i="11"/>
  <c r="H1665" i="11"/>
  <c r="H1666" i="11"/>
  <c r="H1667" i="11"/>
  <c r="H1668" i="11"/>
  <c r="H1683" i="11"/>
  <c r="H1684" i="11"/>
  <c r="H1685" i="11"/>
  <c r="H1686" i="11"/>
  <c r="H1687" i="11"/>
  <c r="H1688" i="11"/>
  <c r="H1701" i="11"/>
  <c r="H1704" i="11"/>
  <c r="H1705" i="11"/>
  <c r="H1708" i="11"/>
  <c r="H1782" i="11"/>
  <c r="H1838" i="11"/>
  <c r="H1850" i="11"/>
  <c r="H1861" i="11"/>
  <c r="H1873" i="11"/>
  <c r="H1885" i="11"/>
  <c r="H1897" i="11"/>
  <c r="H1909" i="11"/>
  <c r="H1918" i="11"/>
  <c r="H1924" i="11"/>
  <c r="H1931" i="11"/>
  <c r="H1932" i="11"/>
  <c r="H1937" i="11"/>
  <c r="H1938" i="11"/>
  <c r="H1939" i="11"/>
  <c r="H1941" i="11"/>
  <c r="H1943" i="11"/>
  <c r="H1945" i="11"/>
  <c r="H1947" i="11"/>
  <c r="H1949" i="11"/>
  <c r="H1951" i="11"/>
  <c r="H1952" i="11"/>
  <c r="H1954" i="11"/>
  <c r="H1956" i="11"/>
  <c r="H1957" i="11"/>
  <c r="H1959" i="11"/>
  <c r="H1961" i="11"/>
  <c r="H1963" i="11"/>
  <c r="H1965" i="11"/>
  <c r="H1968" i="11"/>
  <c r="H1970" i="11"/>
  <c r="H1971" i="11"/>
  <c r="H1972" i="11"/>
  <c r="H1973" i="11"/>
  <c r="H1974" i="11"/>
  <c r="H1975" i="11"/>
  <c r="H1976" i="11"/>
  <c r="H1977" i="11"/>
  <c r="H1978" i="11"/>
  <c r="H1979" i="11"/>
  <c r="H1980" i="11"/>
  <c r="H1981" i="11"/>
  <c r="H1982" i="11"/>
  <c r="H1983" i="11"/>
  <c r="H1984" i="11"/>
  <c r="H1985" i="11"/>
  <c r="H1986" i="11"/>
  <c r="H1987" i="11"/>
  <c r="H1988" i="11"/>
  <c r="H1989" i="11"/>
  <c r="H1990" i="11"/>
  <c r="H1993" i="11"/>
  <c r="H1996" i="11"/>
  <c r="H1997" i="11"/>
  <c r="H1998" i="11"/>
  <c r="H1999" i="11"/>
  <c r="H2000" i="11"/>
  <c r="H2001" i="11"/>
  <c r="H2198" i="11"/>
  <c r="H2201" i="11"/>
  <c r="H2204" i="11"/>
  <c r="H2207" i="11"/>
  <c r="H2210" i="11"/>
  <c r="H2213" i="11"/>
  <c r="H2216" i="11"/>
  <c r="H2219" i="11"/>
  <c r="H2220" i="11"/>
  <c r="H2222" i="11"/>
  <c r="H2225" i="11"/>
  <c r="H2227" i="11"/>
  <c r="H2229" i="11"/>
  <c r="H2231" i="11"/>
  <c r="H2233" i="11"/>
  <c r="H2235" i="11"/>
  <c r="H2237" i="11"/>
  <c r="H2239" i="11"/>
  <c r="H2241" i="11"/>
  <c r="H2243" i="11"/>
  <c r="H2245" i="11"/>
  <c r="H2248" i="11"/>
  <c r="H2251" i="11"/>
  <c r="H2254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28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64" i="11"/>
  <c r="H466" i="11"/>
  <c r="H467" i="11"/>
  <c r="H468" i="11"/>
  <c r="H469" i="11"/>
  <c r="H470" i="11"/>
  <c r="H471" i="11"/>
  <c r="H472" i="11"/>
  <c r="H473" i="11"/>
  <c r="H474" i="11"/>
  <c r="H475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506" i="11"/>
  <c r="H508" i="11"/>
  <c r="H509" i="11"/>
  <c r="H510" i="11"/>
  <c r="H511" i="11"/>
  <c r="H512" i="11"/>
  <c r="H513" i="11"/>
  <c r="H514" i="11"/>
  <c r="H515" i="11"/>
  <c r="H516" i="11"/>
  <c r="H517" i="11"/>
  <c r="H541" i="11"/>
  <c r="H543" i="11"/>
  <c r="H544" i="11"/>
  <c r="H545" i="11"/>
  <c r="H546" i="11"/>
  <c r="H547" i="11"/>
  <c r="H548" i="11"/>
  <c r="H549" i="11"/>
  <c r="H550" i="11"/>
  <c r="H551" i="11"/>
  <c r="H552" i="11"/>
  <c r="H601" i="11"/>
  <c r="H602" i="11"/>
  <c r="H603" i="11"/>
  <c r="H604" i="11"/>
  <c r="H605" i="11"/>
  <c r="H606" i="11"/>
  <c r="H607" i="11"/>
  <c r="H608" i="11"/>
  <c r="H609" i="11"/>
  <c r="H621" i="11"/>
  <c r="H622" i="11"/>
  <c r="H624" i="11"/>
  <c r="H625" i="11"/>
  <c r="H626" i="11"/>
  <c r="H627" i="11"/>
  <c r="H628" i="11"/>
  <c r="H629" i="11"/>
  <c r="H63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32" i="11"/>
  <c r="H734" i="11"/>
  <c r="H735" i="11"/>
  <c r="H736" i="11"/>
  <c r="H737" i="11"/>
  <c r="H738" i="11"/>
  <c r="H739" i="11"/>
  <c r="H740" i="11"/>
  <c r="H741" i="11"/>
  <c r="H742" i="11"/>
  <c r="H743" i="11"/>
  <c r="H760" i="11"/>
  <c r="H762" i="11"/>
  <c r="H763" i="11"/>
  <c r="H764" i="11"/>
  <c r="H765" i="11"/>
  <c r="H766" i="11"/>
  <c r="H767" i="11"/>
  <c r="H768" i="11"/>
  <c r="H769" i="11"/>
  <c r="H770" i="11"/>
  <c r="H771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821" i="11"/>
  <c r="H823" i="11"/>
  <c r="H824" i="11"/>
  <c r="H825" i="11"/>
  <c r="H826" i="11"/>
  <c r="H827" i="11"/>
  <c r="H828" i="11"/>
  <c r="H829" i="11"/>
  <c r="H830" i="11"/>
  <c r="H831" i="11"/>
  <c r="H832" i="11"/>
  <c r="H878" i="11"/>
  <c r="H880" i="11"/>
  <c r="H881" i="11"/>
  <c r="H882" i="11"/>
  <c r="H883" i="11"/>
  <c r="H884" i="11"/>
  <c r="H885" i="11"/>
  <c r="H886" i="11"/>
  <c r="H887" i="11"/>
  <c r="H888" i="11"/>
  <c r="H889" i="11"/>
  <c r="H976" i="11"/>
  <c r="H647" i="11"/>
  <c r="H687" i="11"/>
  <c r="H1647" i="11"/>
  <c r="H324" i="11"/>
  <c r="H337" i="11"/>
  <c r="H343" i="11"/>
  <c r="H354" i="11"/>
  <c r="H519" i="11"/>
  <c r="H569" i="11"/>
  <c r="H576" i="11"/>
  <c r="H833" i="11"/>
  <c r="H837" i="11"/>
  <c r="H1239" i="11"/>
  <c r="H1272" i="11"/>
  <c r="H1370" i="11"/>
  <c r="H1702" i="11"/>
  <c r="H1936" i="11"/>
  <c r="H1940" i="11"/>
  <c r="H1942" i="11"/>
  <c r="H1944" i="11"/>
  <c r="H1946" i="11"/>
  <c r="H1948" i="11"/>
  <c r="H1950" i="11"/>
  <c r="H1953" i="11"/>
  <c r="H1955" i="11"/>
  <c r="H1958" i="11"/>
  <c r="H1960" i="11"/>
  <c r="H1962" i="11"/>
  <c r="H1964" i="11"/>
  <c r="H1966" i="11"/>
  <c r="H1969" i="11"/>
  <c r="H1991" i="11"/>
  <c r="H1994" i="11"/>
  <c r="H2199" i="11"/>
  <c r="H2202" i="11"/>
  <c r="H2205" i="11"/>
  <c r="H2208" i="11"/>
  <c r="H2211" i="11"/>
  <c r="H2214" i="11"/>
  <c r="H2217" i="11"/>
  <c r="H2221" i="11"/>
  <c r="H2223" i="11"/>
  <c r="H2226" i="11"/>
  <c r="H2228" i="11"/>
  <c r="H2230" i="11"/>
  <c r="H2232" i="11"/>
  <c r="H2234" i="11"/>
  <c r="H2236" i="11"/>
  <c r="H2238" i="11"/>
  <c r="H2240" i="11"/>
  <c r="H2242" i="11"/>
  <c r="H2244" i="11"/>
  <c r="H2246" i="11"/>
  <c r="H2249" i="11"/>
  <c r="H2252" i="11"/>
  <c r="H2255" i="11"/>
  <c r="H213" i="11"/>
  <c r="H220" i="11"/>
  <c r="H225" i="11"/>
  <c r="H229" i="11"/>
  <c r="H273" i="11"/>
  <c r="H287" i="11"/>
  <c r="H304" i="11"/>
  <c r="H330" i="11"/>
  <c r="H400" i="11"/>
  <c r="H523" i="11"/>
  <c r="H528" i="11"/>
  <c r="H555" i="11"/>
  <c r="H561" i="11"/>
  <c r="H565" i="11"/>
  <c r="H582" i="11"/>
  <c r="H586" i="11"/>
  <c r="H655" i="11"/>
  <c r="H660" i="11"/>
  <c r="H717" i="11"/>
  <c r="H745" i="11"/>
  <c r="H798" i="11"/>
  <c r="H801" i="11"/>
  <c r="H840" i="11"/>
  <c r="H843" i="11"/>
  <c r="H846" i="11"/>
  <c r="H851" i="11"/>
  <c r="H856" i="11"/>
  <c r="H895" i="11"/>
  <c r="H915" i="11"/>
  <c r="H946" i="11"/>
  <c r="H955" i="11"/>
  <c r="H981" i="11"/>
  <c r="H999" i="11"/>
  <c r="H1005" i="11"/>
  <c r="H1010" i="11"/>
  <c r="H1014" i="11"/>
  <c r="H1018" i="11"/>
  <c r="H1025" i="11"/>
  <c r="H1030" i="11"/>
  <c r="H1034" i="11"/>
  <c r="H1038" i="11"/>
  <c r="H1042" i="11"/>
  <c r="H1046" i="11"/>
  <c r="H1050" i="11"/>
  <c r="H1054" i="11"/>
  <c r="H1059" i="11"/>
  <c r="H1067" i="11"/>
  <c r="H1081" i="11"/>
  <c r="H1090" i="11"/>
  <c r="H1094" i="11"/>
  <c r="H1100" i="11"/>
  <c r="H1104" i="11"/>
  <c r="H1108" i="11"/>
  <c r="H1111" i="11"/>
  <c r="H1120" i="11"/>
  <c r="H1126" i="11"/>
  <c r="H1130" i="11"/>
  <c r="H1134" i="11"/>
  <c r="H1138" i="11"/>
  <c r="H1142" i="11"/>
  <c r="H1155" i="11"/>
  <c r="H1163" i="11"/>
  <c r="H1168" i="11"/>
  <c r="H1172" i="11"/>
  <c r="H1176" i="11"/>
  <c r="H1184" i="11"/>
  <c r="H1189" i="11"/>
  <c r="H1193" i="11"/>
  <c r="H1197" i="11"/>
  <c r="H1201" i="11"/>
  <c r="H1205" i="11"/>
  <c r="H1209" i="11"/>
  <c r="H1213" i="11"/>
  <c r="H1217" i="11"/>
  <c r="H1229" i="11"/>
  <c r="H1233" i="11"/>
  <c r="H1237" i="11"/>
  <c r="H1246" i="11"/>
  <c r="H1279" i="11"/>
  <c r="H1281" i="11"/>
  <c r="H1289" i="11"/>
  <c r="H1294" i="11"/>
  <c r="H1308" i="11"/>
  <c r="H1316" i="11"/>
  <c r="H1324" i="11"/>
  <c r="H1332" i="11"/>
  <c r="H1343" i="11"/>
  <c r="H1347" i="11"/>
  <c r="H1351" i="11"/>
  <c r="H1358" i="11"/>
  <c r="H1361" i="11"/>
  <c r="H1376" i="11"/>
  <c r="H1386" i="11"/>
  <c r="H1391" i="11"/>
  <c r="H1398" i="11"/>
  <c r="H1403" i="11"/>
  <c r="H1432" i="11"/>
  <c r="H1784" i="11"/>
  <c r="H1488" i="11"/>
  <c r="H1494" i="11"/>
  <c r="H1499" i="11"/>
  <c r="H1503" i="11"/>
  <c r="H1509" i="11"/>
  <c r="H1513" i="11"/>
  <c r="H1516" i="11"/>
  <c r="H1519" i="11"/>
  <c r="H1523" i="11"/>
  <c r="H1527" i="11"/>
  <c r="H1531" i="11"/>
  <c r="H1535" i="11"/>
  <c r="H1541" i="11"/>
  <c r="H1545" i="11"/>
  <c r="H1549" i="11"/>
  <c r="H1552" i="11"/>
  <c r="H1559" i="11"/>
  <c r="H1572" i="11"/>
  <c r="H1579" i="11"/>
  <c r="H1586" i="11"/>
  <c r="H1593" i="11"/>
  <c r="H1600" i="11"/>
  <c r="H1609" i="11"/>
  <c r="H1627" i="11"/>
  <c r="H1631" i="11"/>
  <c r="H1635" i="11"/>
  <c r="H1639" i="11"/>
  <c r="H1643" i="11"/>
  <c r="H1652" i="11"/>
  <c r="H1658" i="11"/>
  <c r="H1663" i="11"/>
  <c r="H1674" i="11"/>
  <c r="H1681" i="11"/>
  <c r="H1694" i="11"/>
  <c r="H1706" i="11"/>
  <c r="H1709" i="11"/>
  <c r="H1716" i="11"/>
  <c r="H1723" i="11"/>
  <c r="H1725" i="11"/>
  <c r="H1728" i="11"/>
  <c r="H1730" i="11"/>
  <c r="H1732" i="11"/>
  <c r="H1737" i="11"/>
  <c r="H1741" i="11"/>
  <c r="H1748" i="11"/>
  <c r="H1750" i="11"/>
  <c r="H1752" i="11"/>
  <c r="H1753" i="11"/>
  <c r="H1756" i="11"/>
  <c r="H1758" i="11"/>
  <c r="H1760" i="11"/>
  <c r="H1762" i="11"/>
  <c r="H1764" i="11"/>
  <c r="H1766" i="11"/>
  <c r="H1769" i="11"/>
  <c r="H1773" i="11"/>
  <c r="H1777" i="11"/>
  <c r="H1780" i="11"/>
  <c r="H2200" i="11"/>
  <c r="H2203" i="11"/>
  <c r="H2206" i="11"/>
  <c r="H2209" i="11"/>
  <c r="H2212" i="11"/>
  <c r="H2215" i="11"/>
  <c r="H2218" i="11"/>
  <c r="H2224" i="11"/>
  <c r="H2247" i="11"/>
  <c r="H2250" i="11"/>
  <c r="H2253" i="11"/>
  <c r="H2256" i="11"/>
  <c r="H2004" i="11"/>
  <c r="H2016" i="11"/>
  <c r="H2019" i="11"/>
  <c r="H2022" i="11"/>
  <c r="H2025" i="11"/>
  <c r="H2028" i="11"/>
  <c r="H2031" i="11"/>
  <c r="H2034" i="11"/>
  <c r="H2037" i="11"/>
  <c r="H2007" i="11"/>
  <c r="H2010" i="11"/>
  <c r="H2013" i="11"/>
  <c r="H2040" i="11"/>
  <c r="H2043" i="11"/>
  <c r="H2046" i="11"/>
  <c r="H2049" i="11"/>
  <c r="H2052" i="11"/>
  <c r="H2055" i="11"/>
  <c r="H2058" i="11"/>
  <c r="H2061" i="11"/>
  <c r="H2062" i="11"/>
  <c r="H2065" i="11"/>
  <c r="H2074" i="11"/>
  <c r="H2077" i="11"/>
  <c r="H2080" i="11"/>
  <c r="H2083" i="11"/>
  <c r="H2086" i="11"/>
  <c r="H2087" i="11"/>
  <c r="H2088" i="11"/>
  <c r="H2089" i="11"/>
  <c r="H2071" i="11"/>
  <c r="H2068" i="11"/>
  <c r="H2069" i="11"/>
  <c r="H2070" i="11"/>
  <c r="H2092" i="11"/>
  <c r="H2095" i="11"/>
  <c r="H2096" i="11"/>
  <c r="H2097" i="11"/>
  <c r="H2098" i="11"/>
  <c r="H2099" i="11"/>
  <c r="H2106" i="11"/>
  <c r="H2109" i="11"/>
  <c r="H2112" i="11"/>
  <c r="H2121" i="11"/>
  <c r="H2115" i="11"/>
  <c r="H2118" i="11"/>
  <c r="H2124" i="11"/>
  <c r="H2127" i="11"/>
  <c r="H2130" i="11"/>
  <c r="H2133" i="11"/>
  <c r="H2136" i="11"/>
  <c r="H2139" i="11"/>
  <c r="H2142" i="11"/>
  <c r="H2145" i="11"/>
  <c r="H2148" i="11"/>
  <c r="H2169" i="11"/>
  <c r="H2173" i="11"/>
  <c r="H2176" i="11"/>
  <c r="H2179" i="11"/>
  <c r="H2182" i="11"/>
  <c r="H2185" i="11"/>
  <c r="H2188" i="11"/>
  <c r="H2189" i="11"/>
  <c r="H2192" i="11"/>
  <c r="H2170" i="11"/>
  <c r="H2151" i="11"/>
  <c r="H2154" i="11"/>
  <c r="H2157" i="11"/>
  <c r="H2160" i="11"/>
  <c r="H2163" i="11"/>
  <c r="H2164" i="11"/>
  <c r="H2193" i="11"/>
  <c r="H2194" i="11"/>
  <c r="H2195" i="11"/>
  <c r="H2196" i="11"/>
  <c r="H2197" i="11"/>
  <c r="H1967" i="11"/>
  <c r="H1798" i="11"/>
  <c r="H804" i="11"/>
  <c r="H807" i="11"/>
  <c r="G14" i="11"/>
  <c r="G15" i="11"/>
  <c r="G27" i="11"/>
  <c r="G39" i="11"/>
  <c r="G42" i="11"/>
  <c r="G54" i="11"/>
  <c r="G66" i="11"/>
  <c r="G87" i="11"/>
  <c r="G94" i="11"/>
  <c r="G103" i="11"/>
  <c r="G109" i="11"/>
  <c r="G127" i="11"/>
  <c r="G136" i="11"/>
  <c r="G142" i="11"/>
  <c r="G151" i="11"/>
  <c r="G157" i="11"/>
  <c r="G171" i="11"/>
  <c r="G177" i="11"/>
  <c r="G186" i="11"/>
  <c r="G192" i="11"/>
  <c r="G203" i="11"/>
  <c r="G204" i="11"/>
  <c r="G205" i="11"/>
  <c r="G206" i="11"/>
  <c r="G207" i="11"/>
  <c r="G208" i="11"/>
  <c r="G209" i="11"/>
  <c r="G2002" i="11"/>
  <c r="G2003" i="11"/>
  <c r="G2014" i="11"/>
  <c r="G2015" i="11"/>
  <c r="G2017" i="11"/>
  <c r="G2018" i="11"/>
  <c r="G2020" i="11"/>
  <c r="G2021" i="11"/>
  <c r="G2023" i="11"/>
  <c r="G2024" i="11"/>
  <c r="G2026" i="11"/>
  <c r="G2027" i="11"/>
  <c r="G2029" i="11"/>
  <c r="G2030" i="11"/>
  <c r="G2032" i="11"/>
  <c r="G2033" i="11"/>
  <c r="G2035" i="11"/>
  <c r="G2036" i="11"/>
  <c r="G2005" i="11"/>
  <c r="G2006" i="11"/>
  <c r="G2008" i="11"/>
  <c r="G2009" i="11"/>
  <c r="G2011" i="11"/>
  <c r="G2012" i="11"/>
  <c r="G2038" i="11"/>
  <c r="G2039" i="11"/>
  <c r="G2041" i="11"/>
  <c r="G2042" i="11"/>
  <c r="G2044" i="11"/>
  <c r="G2045" i="11"/>
  <c r="G2047" i="11"/>
  <c r="G2048" i="11"/>
  <c r="G2050" i="11"/>
  <c r="G2051" i="11"/>
  <c r="G2053" i="11"/>
  <c r="G2054" i="11"/>
  <c r="G2056" i="11"/>
  <c r="G2057" i="11"/>
  <c r="G2059" i="11"/>
  <c r="G2060" i="11"/>
  <c r="G2063" i="11"/>
  <c r="G2064" i="11"/>
  <c r="G2072" i="11"/>
  <c r="G2073" i="11"/>
  <c r="G2066" i="11"/>
  <c r="G2067" i="11"/>
  <c r="G2075" i="11"/>
  <c r="G2076" i="11"/>
  <c r="G2078" i="11"/>
  <c r="G2079" i="11"/>
  <c r="G2081" i="11"/>
  <c r="G2082" i="11"/>
  <c r="G2084" i="11"/>
  <c r="G2085" i="11"/>
  <c r="G2090" i="11"/>
  <c r="G2091" i="11"/>
  <c r="G2093" i="11"/>
  <c r="G2094" i="11"/>
  <c r="G2104" i="11"/>
  <c r="G2105" i="11"/>
  <c r="G2107" i="11"/>
  <c r="G2108" i="11"/>
  <c r="G2110" i="11"/>
  <c r="G2111" i="11"/>
  <c r="G2119" i="11"/>
  <c r="G2120" i="11"/>
  <c r="G2113" i="11"/>
  <c r="G2114" i="11"/>
  <c r="G2116" i="11"/>
  <c r="G2117" i="11"/>
  <c r="G2122" i="11"/>
  <c r="G2123" i="11"/>
  <c r="G2125" i="11"/>
  <c r="G2126" i="11"/>
  <c r="G2128" i="11"/>
  <c r="G2129" i="11"/>
  <c r="G2131" i="11"/>
  <c r="G2132" i="11"/>
  <c r="G2134" i="11"/>
  <c r="G2135" i="11"/>
  <c r="G2137" i="11"/>
  <c r="G2138" i="11"/>
  <c r="G2140" i="11"/>
  <c r="G2141" i="11"/>
  <c r="G2143" i="11"/>
  <c r="G2144" i="11"/>
  <c r="G2146" i="11"/>
  <c r="G2147" i="11"/>
  <c r="G2190" i="11"/>
  <c r="G2191" i="11"/>
  <c r="G2165" i="11"/>
  <c r="G2166" i="11"/>
  <c r="G2171" i="11"/>
  <c r="G2172" i="11"/>
  <c r="G2174" i="11"/>
  <c r="G2175" i="11"/>
  <c r="G2177" i="11"/>
  <c r="G2178" i="11"/>
  <c r="G2180" i="11"/>
  <c r="G2181" i="11"/>
  <c r="G2183" i="11"/>
  <c r="G2184" i="11"/>
  <c r="G2186" i="11"/>
  <c r="G2187" i="11"/>
  <c r="G2167" i="11"/>
  <c r="G2168" i="11"/>
  <c r="G211" i="11"/>
  <c r="G212" i="11"/>
  <c r="G215" i="11"/>
  <c r="G216" i="11"/>
  <c r="G217" i="11"/>
  <c r="G218" i="11"/>
  <c r="G2149" i="11"/>
  <c r="G2150" i="11"/>
  <c r="G2152" i="11"/>
  <c r="G2153" i="11"/>
  <c r="G2155" i="11"/>
  <c r="G2156" i="11"/>
  <c r="G223" i="11"/>
  <c r="G224" i="11"/>
  <c r="G227" i="11"/>
  <c r="G228" i="11"/>
  <c r="G2100" i="11"/>
  <c r="G2101" i="11"/>
  <c r="G2102" i="11"/>
  <c r="G2103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7" i="11"/>
  <c r="G258" i="11"/>
  <c r="G259" i="11"/>
  <c r="G260" i="11"/>
  <c r="G261" i="11"/>
  <c r="G262" i="11"/>
  <c r="G263" i="11"/>
  <c r="G267" i="11"/>
  <c r="G268" i="11"/>
  <c r="G269" i="11"/>
  <c r="G270" i="11"/>
  <c r="G271" i="11"/>
  <c r="G277" i="11"/>
  <c r="G278" i="11"/>
  <c r="G279" i="11"/>
  <c r="G280" i="11"/>
  <c r="G2158" i="11"/>
  <c r="G2159" i="11"/>
  <c r="G2161" i="11"/>
  <c r="G2162" i="11"/>
  <c r="G281" i="11"/>
  <c r="G283" i="11"/>
  <c r="G285" i="11"/>
  <c r="G286" i="11"/>
  <c r="G289" i="11"/>
  <c r="G290" i="11"/>
  <c r="G292" i="11"/>
  <c r="G294" i="11"/>
  <c r="G296" i="11"/>
  <c r="G298" i="11"/>
  <c r="G300" i="11"/>
  <c r="G302" i="11"/>
  <c r="G303" i="11"/>
  <c r="G306" i="11"/>
  <c r="G307" i="11"/>
  <c r="G309" i="11"/>
  <c r="G310" i="11"/>
  <c r="G311" i="11"/>
  <c r="G312" i="11"/>
  <c r="G313" i="11"/>
  <c r="G314" i="11"/>
  <c r="G316" i="11"/>
  <c r="G318" i="11"/>
  <c r="G320" i="11"/>
  <c r="G322" i="11"/>
  <c r="G323" i="11"/>
  <c r="G325" i="11"/>
  <c r="G326" i="11"/>
  <c r="G327" i="11"/>
  <c r="G328" i="11"/>
  <c r="G333" i="11"/>
  <c r="G334" i="11"/>
  <c r="G336" i="11"/>
  <c r="G339" i="11"/>
  <c r="G340" i="11"/>
  <c r="G342" i="11"/>
  <c r="G344" i="11"/>
  <c r="G345" i="11"/>
  <c r="G346" i="11"/>
  <c r="G347" i="11"/>
  <c r="G348" i="11"/>
  <c r="G350" i="11"/>
  <c r="G351" i="11"/>
  <c r="G353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76" i="11"/>
  <c r="G479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18" i="11"/>
  <c r="G521" i="11"/>
  <c r="G522" i="11"/>
  <c r="G524" i="11"/>
  <c r="G525" i="11"/>
  <c r="G526" i="11"/>
  <c r="G527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53" i="11"/>
  <c r="G554" i="11"/>
  <c r="G557" i="11"/>
  <c r="G559" i="11"/>
  <c r="G560" i="11"/>
  <c r="G563" i="11"/>
  <c r="G564" i="11"/>
  <c r="G567" i="11"/>
  <c r="G570" i="11"/>
  <c r="G571" i="11"/>
  <c r="G572" i="11"/>
  <c r="G574" i="11"/>
  <c r="G575" i="11"/>
  <c r="G577" i="11"/>
  <c r="G578" i="11"/>
  <c r="G580" i="11"/>
  <c r="G581" i="11"/>
  <c r="G584" i="11"/>
  <c r="G585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10" i="11"/>
  <c r="G611" i="11"/>
  <c r="G612" i="11"/>
  <c r="G613" i="11"/>
  <c r="G614" i="11"/>
  <c r="G615" i="11"/>
  <c r="G616" i="11"/>
  <c r="G617" i="11"/>
  <c r="G618" i="11"/>
  <c r="G619" i="11"/>
  <c r="G620" i="11"/>
  <c r="G631" i="11"/>
  <c r="G632" i="11"/>
  <c r="G633" i="11"/>
  <c r="G634" i="11"/>
  <c r="G635" i="11"/>
  <c r="G637" i="11"/>
  <c r="G638" i="11"/>
  <c r="G639" i="11"/>
  <c r="G640" i="11"/>
  <c r="G641" i="11"/>
  <c r="G642" i="11"/>
  <c r="G643" i="11"/>
  <c r="G644" i="11"/>
  <c r="G645" i="11"/>
  <c r="G646" i="11"/>
  <c r="G648" i="11"/>
  <c r="G649" i="11"/>
  <c r="G650" i="11"/>
  <c r="G651" i="11"/>
  <c r="G652" i="11"/>
  <c r="G653" i="11"/>
  <c r="G658" i="11"/>
  <c r="G659" i="11"/>
  <c r="G662" i="11"/>
  <c r="G664" i="11"/>
  <c r="G665" i="11"/>
  <c r="G666" i="11"/>
  <c r="G667" i="11"/>
  <c r="G668" i="11"/>
  <c r="G669" i="11"/>
  <c r="G671" i="11"/>
  <c r="G672" i="11"/>
  <c r="G673" i="11"/>
  <c r="G674" i="11"/>
  <c r="G675" i="11"/>
  <c r="G678" i="11"/>
  <c r="G679" i="11"/>
  <c r="G680" i="11"/>
  <c r="G682" i="11"/>
  <c r="G683" i="11"/>
  <c r="G685" i="11"/>
  <c r="G686" i="11"/>
  <c r="G689" i="11"/>
  <c r="G690" i="11"/>
  <c r="G691" i="11"/>
  <c r="G692" i="11"/>
  <c r="G693" i="11"/>
  <c r="G694" i="11"/>
  <c r="G695" i="11"/>
  <c r="G696" i="11"/>
  <c r="G697" i="11"/>
  <c r="G698" i="11"/>
  <c r="G699" i="11"/>
  <c r="G700" i="11"/>
  <c r="G713" i="11"/>
  <c r="G714" i="11"/>
  <c r="G715" i="11"/>
  <c r="G720" i="11"/>
  <c r="G721" i="11"/>
  <c r="G722" i="11"/>
  <c r="G723" i="11"/>
  <c r="G724" i="11"/>
  <c r="G725" i="11"/>
  <c r="G726" i="11"/>
  <c r="G727" i="11"/>
  <c r="G728" i="11"/>
  <c r="G729" i="11"/>
  <c r="G730" i="11"/>
  <c r="G731" i="11"/>
  <c r="G744" i="11"/>
  <c r="G748" i="11"/>
  <c r="G749" i="11"/>
  <c r="G750" i="11"/>
  <c r="G751" i="11"/>
  <c r="G752" i="11"/>
  <c r="G753" i="11"/>
  <c r="G754" i="11"/>
  <c r="G755" i="11"/>
  <c r="G756" i="11"/>
  <c r="G757" i="11"/>
  <c r="G758" i="11"/>
  <c r="G759" i="11"/>
  <c r="G772" i="11"/>
  <c r="G773" i="11"/>
  <c r="G774" i="11"/>
  <c r="G775" i="11"/>
  <c r="G776" i="11"/>
  <c r="G777" i="11"/>
  <c r="G778" i="11"/>
  <c r="G779" i="11"/>
  <c r="G780" i="11"/>
  <c r="G781" i="11"/>
  <c r="G782" i="11"/>
  <c r="G783" i="11"/>
  <c r="G796" i="11"/>
  <c r="G797" i="11"/>
  <c r="G800" i="11"/>
  <c r="G809" i="11"/>
  <c r="G810" i="11"/>
  <c r="G811" i="11"/>
  <c r="G812" i="11"/>
  <c r="G813" i="11"/>
  <c r="G814" i="11"/>
  <c r="G815" i="11"/>
  <c r="G816" i="11"/>
  <c r="G817" i="11"/>
  <c r="G818" i="11"/>
  <c r="G819" i="11"/>
  <c r="G820" i="11"/>
  <c r="G836" i="11"/>
  <c r="G839" i="11"/>
  <c r="G842" i="11"/>
  <c r="G845" i="11"/>
  <c r="G848" i="11"/>
  <c r="G849" i="11"/>
  <c r="G853" i="11"/>
  <c r="G854" i="11"/>
  <c r="G28" i="11"/>
  <c r="G29" i="11"/>
  <c r="G30" i="11"/>
  <c r="G31" i="11"/>
  <c r="G32" i="11"/>
  <c r="G33" i="11"/>
  <c r="G860" i="11"/>
  <c r="G861" i="11"/>
  <c r="G862" i="11"/>
  <c r="G866" i="11"/>
  <c r="G867" i="11"/>
  <c r="G868" i="11"/>
  <c r="G869" i="11"/>
  <c r="G870" i="11"/>
  <c r="G871" i="11"/>
  <c r="G872" i="11"/>
  <c r="G873" i="11"/>
  <c r="G874" i="11"/>
  <c r="G875" i="11"/>
  <c r="G876" i="11"/>
  <c r="G877" i="11"/>
  <c r="G890" i="11"/>
  <c r="G891" i="11"/>
  <c r="G892" i="11"/>
  <c r="G893" i="11"/>
  <c r="G898" i="11"/>
  <c r="G899" i="11"/>
  <c r="G900" i="11"/>
  <c r="G901" i="11"/>
  <c r="G902" i="11"/>
  <c r="G903" i="11"/>
  <c r="G904" i="11"/>
  <c r="G905" i="11"/>
  <c r="G906" i="11"/>
  <c r="G907" i="11"/>
  <c r="G908" i="11"/>
  <c r="G909" i="11"/>
  <c r="G922" i="11"/>
  <c r="G923" i="11"/>
  <c r="G924" i="11"/>
  <c r="G925" i="11"/>
  <c r="G926" i="11"/>
  <c r="G927" i="11"/>
  <c r="G928" i="11"/>
  <c r="G929" i="11"/>
  <c r="G930" i="11"/>
  <c r="G931" i="11"/>
  <c r="G932" i="11"/>
  <c r="G933" i="11"/>
  <c r="G934" i="11"/>
  <c r="G935" i="11"/>
  <c r="G936" i="11"/>
  <c r="G937" i="11"/>
  <c r="G938" i="11"/>
  <c r="G939" i="11"/>
  <c r="G940" i="11"/>
  <c r="G941" i="11"/>
  <c r="G942" i="11"/>
  <c r="G943" i="11"/>
  <c r="G944" i="11"/>
  <c r="G945" i="11"/>
  <c r="G948" i="11"/>
  <c r="G949" i="11"/>
  <c r="G950" i="11"/>
  <c r="G951" i="11"/>
  <c r="G952" i="11"/>
  <c r="G954" i="11"/>
  <c r="G957" i="11"/>
  <c r="G958" i="11"/>
  <c r="G959" i="11"/>
  <c r="G960" i="11"/>
  <c r="G961" i="11"/>
  <c r="G962" i="11"/>
  <c r="G963" i="11"/>
  <c r="G964" i="11"/>
  <c r="G965" i="11"/>
  <c r="G966" i="11"/>
  <c r="G967" i="11"/>
  <c r="G968" i="11"/>
  <c r="G969" i="11"/>
  <c r="G970" i="11"/>
  <c r="G971" i="11"/>
  <c r="G972" i="11"/>
  <c r="G973" i="11"/>
  <c r="G974" i="11"/>
  <c r="G975" i="11"/>
  <c r="G979" i="11"/>
  <c r="G980" i="11"/>
  <c r="G983" i="11"/>
  <c r="G984" i="11"/>
  <c r="G985" i="11"/>
  <c r="G986" i="11"/>
  <c r="G987" i="11"/>
  <c r="G988" i="11"/>
  <c r="G989" i="11"/>
  <c r="G990" i="11"/>
  <c r="G991" i="11"/>
  <c r="G992" i="11"/>
  <c r="G995" i="11"/>
  <c r="G997" i="11"/>
  <c r="G998" i="11"/>
  <c r="G1001" i="11"/>
  <c r="G1002" i="11"/>
  <c r="G1003" i="11"/>
  <c r="G1004" i="11"/>
  <c r="G1008" i="11"/>
  <c r="G1009" i="11"/>
  <c r="G1012" i="11"/>
  <c r="G1013" i="11"/>
  <c r="G1016" i="11"/>
  <c r="G1017" i="11"/>
  <c r="G1020" i="11"/>
  <c r="G1021" i="11"/>
  <c r="G1022" i="11"/>
  <c r="G1023" i="11"/>
  <c r="G1028" i="11"/>
  <c r="G1029" i="11"/>
  <c r="G1032" i="11"/>
  <c r="G1033" i="11"/>
  <c r="G1036" i="11"/>
  <c r="G1037" i="11"/>
  <c r="G1040" i="11"/>
  <c r="G1041" i="11"/>
  <c r="G1044" i="11"/>
  <c r="G1045" i="11"/>
  <c r="G1048" i="11"/>
  <c r="G1049" i="11"/>
  <c r="G1052" i="11"/>
  <c r="G1053" i="11"/>
  <c r="G1055" i="11"/>
  <c r="G1057" i="11"/>
  <c r="G1058" i="11"/>
  <c r="G1061" i="11"/>
  <c r="G1062" i="11"/>
  <c r="G1063" i="11"/>
  <c r="G1064" i="11"/>
  <c r="G1065" i="11"/>
  <c r="G1069" i="11"/>
  <c r="G1070" i="11"/>
  <c r="G1071" i="11"/>
  <c r="G1072" i="11"/>
  <c r="G1073" i="11"/>
  <c r="G1075" i="11"/>
  <c r="G1076" i="11"/>
  <c r="G1077" i="11"/>
  <c r="G1079" i="11"/>
  <c r="G1080" i="11"/>
  <c r="G1083" i="11"/>
  <c r="G1084" i="11"/>
  <c r="G1085" i="11"/>
  <c r="G1086" i="11"/>
  <c r="G1087" i="11"/>
  <c r="G1088" i="11"/>
  <c r="G1089" i="11"/>
  <c r="G1092" i="11"/>
  <c r="G1093" i="11"/>
  <c r="G1096" i="11"/>
  <c r="G1097" i="11"/>
  <c r="G1098" i="11"/>
  <c r="G1099" i="11"/>
  <c r="G1102" i="11"/>
  <c r="G1103" i="11"/>
  <c r="G1106" i="11"/>
  <c r="G1107" i="11"/>
  <c r="G1109" i="11"/>
  <c r="G1110" i="11"/>
  <c r="G1114" i="11"/>
  <c r="G1115" i="11"/>
  <c r="G1116" i="11"/>
  <c r="G1117" i="11"/>
  <c r="G1124" i="11"/>
  <c r="G1125" i="11"/>
  <c r="G1128" i="11"/>
  <c r="G1129" i="11"/>
  <c r="G1132" i="11"/>
  <c r="G1133" i="11"/>
  <c r="G1136" i="11"/>
  <c r="G1137" i="11"/>
  <c r="G1140" i="11"/>
  <c r="G1141" i="11"/>
  <c r="G1143" i="11"/>
  <c r="G1144" i="11"/>
  <c r="G1145" i="11"/>
  <c r="G1146" i="11"/>
  <c r="G1147" i="11"/>
  <c r="G1148" i="11"/>
  <c r="G1149" i="11"/>
  <c r="G1150" i="11"/>
  <c r="G1151" i="11"/>
  <c r="G1152" i="11"/>
  <c r="G1153" i="11"/>
  <c r="G1158" i="11"/>
  <c r="G1159" i="11"/>
  <c r="G1160" i="11"/>
  <c r="G1161" i="11"/>
  <c r="G1166" i="11"/>
  <c r="G1167" i="11"/>
  <c r="G1170" i="11"/>
  <c r="G1171" i="11"/>
  <c r="G1174" i="11"/>
  <c r="G1175" i="11"/>
  <c r="G1178" i="11"/>
  <c r="G1180" i="11"/>
  <c r="G1181" i="11"/>
  <c r="G1182" i="11"/>
  <c r="G1187" i="11"/>
  <c r="G1188" i="11"/>
  <c r="G1191" i="11"/>
  <c r="G1192" i="11"/>
  <c r="G1195" i="11"/>
  <c r="G1196" i="11"/>
  <c r="G1199" i="11"/>
  <c r="G1200" i="11"/>
  <c r="G1203" i="11"/>
  <c r="G1204" i="11"/>
  <c r="G1207" i="11"/>
  <c r="G1208" i="11"/>
  <c r="G1211" i="11"/>
  <c r="G1212" i="11"/>
  <c r="G1215" i="11"/>
  <c r="G1216" i="11"/>
  <c r="G1219" i="11"/>
  <c r="G1220" i="11"/>
  <c r="G1221" i="11"/>
  <c r="G1222" i="11"/>
  <c r="G1224" i="11"/>
  <c r="G1225" i="11"/>
  <c r="G1227" i="11"/>
  <c r="G1228" i="11"/>
  <c r="G1231" i="11"/>
  <c r="G1232" i="11"/>
  <c r="G1235" i="11"/>
  <c r="G1236" i="11"/>
  <c r="G1240" i="11"/>
  <c r="G1241" i="11"/>
  <c r="G1242" i="11"/>
  <c r="G1244" i="11"/>
  <c r="G1245" i="11"/>
  <c r="G1248" i="11"/>
  <c r="G1249" i="11"/>
  <c r="G1250" i="11"/>
  <c r="G1251" i="11"/>
  <c r="G1252" i="11"/>
  <c r="G1254" i="11"/>
  <c r="G1255" i="11"/>
  <c r="G1256" i="11"/>
  <c r="G1257" i="11"/>
  <c r="G1258" i="11"/>
  <c r="G1260" i="11"/>
  <c r="G1262" i="11"/>
  <c r="G1264" i="11"/>
  <c r="G1266" i="11"/>
  <c r="G1267" i="11"/>
  <c r="G1268" i="11"/>
  <c r="G1269" i="11"/>
  <c r="G1270" i="11"/>
  <c r="G1273" i="11"/>
  <c r="G1275" i="11"/>
  <c r="G1278" i="11"/>
  <c r="G1280" i="11"/>
  <c r="G1282" i="11"/>
  <c r="G1284" i="11"/>
  <c r="G1285" i="11"/>
  <c r="G1286" i="11"/>
  <c r="G1287" i="11"/>
  <c r="G1292" i="11"/>
  <c r="G1293" i="11"/>
  <c r="G1296" i="11"/>
  <c r="G1297" i="11"/>
  <c r="G1300" i="11"/>
  <c r="G1301" i="11"/>
  <c r="G1303" i="11"/>
  <c r="G1304" i="11"/>
  <c r="G1305" i="11"/>
  <c r="G1306" i="11"/>
  <c r="G1311" i="11"/>
  <c r="G1312" i="11"/>
  <c r="G1313" i="11"/>
  <c r="G1314" i="11"/>
  <c r="G1319" i="11"/>
  <c r="G1320" i="11"/>
  <c r="G1321" i="11"/>
  <c r="G1322" i="11"/>
  <c r="G1327" i="11"/>
  <c r="G1328" i="11"/>
  <c r="G1329" i="11"/>
  <c r="G1330" i="11"/>
  <c r="G1335" i="11"/>
  <c r="G1336" i="11"/>
  <c r="G1337" i="11"/>
  <c r="G1338" i="11"/>
  <c r="G1339" i="11"/>
  <c r="G1341" i="11"/>
  <c r="G1342" i="11"/>
  <c r="G1345" i="11"/>
  <c r="G1346" i="11"/>
  <c r="G1349" i="11"/>
  <c r="G1350" i="11"/>
  <c r="G1354" i="11"/>
  <c r="G1355" i="11"/>
  <c r="G1356" i="11"/>
  <c r="G1357" i="11"/>
  <c r="G1360" i="11"/>
  <c r="G1363" i="11"/>
  <c r="G1364" i="11"/>
  <c r="G1365" i="11"/>
  <c r="G1367" i="11"/>
  <c r="G1368" i="11"/>
  <c r="G1371" i="11"/>
  <c r="G1373" i="11"/>
  <c r="G1374" i="11"/>
  <c r="G1379" i="11"/>
  <c r="G1380" i="11"/>
  <c r="G1381" i="11"/>
  <c r="G1383" i="11"/>
  <c r="G1384" i="11"/>
  <c r="G1385" i="11"/>
  <c r="G1388" i="11"/>
  <c r="G1389" i="11"/>
  <c r="G1394" i="11"/>
  <c r="G1395" i="11"/>
  <c r="G1396" i="11"/>
  <c r="G1401" i="11"/>
  <c r="G1402" i="11"/>
  <c r="G1405" i="11"/>
  <c r="G1406" i="11"/>
  <c r="G1407" i="11"/>
  <c r="G1408" i="11"/>
  <c r="G1409" i="11"/>
  <c r="G1411" i="11"/>
  <c r="G1412" i="11"/>
  <c r="G1413" i="11"/>
  <c r="G1415" i="11"/>
  <c r="G1416" i="11"/>
  <c r="G1417" i="11"/>
  <c r="G1418" i="11"/>
  <c r="G1419" i="11"/>
  <c r="G1420" i="11"/>
  <c r="G1421" i="11"/>
  <c r="G1422" i="11"/>
  <c r="G1423" i="11"/>
  <c r="G1424" i="11"/>
  <c r="G1425" i="11"/>
  <c r="G1426" i="11"/>
  <c r="G1439" i="11"/>
  <c r="G1440" i="11"/>
  <c r="G1441" i="11"/>
  <c r="G1442" i="11"/>
  <c r="G1443" i="11"/>
  <c r="G1445" i="11"/>
  <c r="G1446" i="11"/>
  <c r="G1447" i="11"/>
  <c r="G1449" i="11"/>
  <c r="G1450" i="11"/>
  <c r="G1451" i="11"/>
  <c r="G1452" i="11"/>
  <c r="G1453" i="11"/>
  <c r="G1455" i="11"/>
  <c r="G1456" i="11"/>
  <c r="G1457" i="11"/>
  <c r="G1458" i="11"/>
  <c r="G1459" i="11"/>
  <c r="G1461" i="11"/>
  <c r="G1462" i="11"/>
  <c r="G1463" i="11"/>
  <c r="G1464" i="11"/>
  <c r="G1465" i="11"/>
  <c r="G1467" i="11"/>
  <c r="G1468" i="11"/>
  <c r="G1469" i="11"/>
  <c r="G1470" i="11"/>
  <c r="G1471" i="11"/>
  <c r="G1473" i="11"/>
  <c r="G1474" i="11"/>
  <c r="G1475" i="11"/>
  <c r="G1476" i="11"/>
  <c r="G1477" i="11"/>
  <c r="G1479" i="11"/>
  <c r="G1480" i="11"/>
  <c r="G1482" i="11"/>
  <c r="G1483" i="11"/>
  <c r="G1484" i="11"/>
  <c r="G1485" i="11"/>
  <c r="G1486" i="11"/>
  <c r="G1487" i="11"/>
  <c r="G1490" i="11"/>
  <c r="G1491" i="11"/>
  <c r="G1492" i="11"/>
  <c r="G1497" i="11"/>
  <c r="G1498" i="11"/>
  <c r="G1501" i="11"/>
  <c r="G1502" i="11"/>
  <c r="G1505" i="11"/>
  <c r="G1507" i="11"/>
  <c r="G1508" i="11"/>
  <c r="G1511" i="11"/>
  <c r="G1512" i="11"/>
  <c r="G1515" i="11"/>
  <c r="G1517" i="11"/>
  <c r="G1518" i="11"/>
  <c r="G1521" i="11"/>
  <c r="G1522" i="11"/>
  <c r="G1525" i="11"/>
  <c r="G1526" i="11"/>
  <c r="G1529" i="11"/>
  <c r="G1530" i="11"/>
  <c r="G1533" i="11"/>
  <c r="G1534" i="11"/>
  <c r="G1537" i="11"/>
  <c r="G1539" i="11"/>
  <c r="G1540" i="11"/>
  <c r="G1543" i="11"/>
  <c r="G1544" i="11"/>
  <c r="G1547" i="11"/>
  <c r="G1548" i="11"/>
  <c r="G1551" i="11"/>
  <c r="G1553" i="11"/>
  <c r="G1554" i="11"/>
  <c r="G1556" i="11"/>
  <c r="G1557" i="11"/>
  <c r="G1562" i="11"/>
  <c r="G1563" i="11"/>
  <c r="G1564" i="11"/>
  <c r="G1566" i="11"/>
  <c r="G1568" i="11"/>
  <c r="G1569" i="11"/>
  <c r="G1570" i="11"/>
  <c r="G1575" i="11"/>
  <c r="G1576" i="11"/>
  <c r="G1577" i="11"/>
  <c r="G1582" i="11"/>
  <c r="G1583" i="11"/>
  <c r="G1584" i="11"/>
  <c r="G1589" i="11"/>
  <c r="G1590" i="11"/>
  <c r="G1591" i="11"/>
  <c r="G1596" i="11"/>
  <c r="G1597" i="11"/>
  <c r="G1598" i="11"/>
  <c r="G1603" i="11"/>
  <c r="G1604" i="11"/>
  <c r="G1605" i="11"/>
  <c r="G1606" i="11"/>
  <c r="G1607" i="11"/>
  <c r="G1608" i="11"/>
  <c r="G1612" i="11"/>
  <c r="G1613" i="11"/>
  <c r="G1614" i="11"/>
  <c r="G1616" i="11"/>
  <c r="G1617" i="11"/>
  <c r="G1618" i="11"/>
  <c r="G1620" i="11"/>
  <c r="G1621" i="11"/>
  <c r="G1623" i="11"/>
  <c r="G1624" i="11"/>
  <c r="G1626" i="11"/>
  <c r="G1629" i="11"/>
  <c r="G1630" i="11"/>
  <c r="G1633" i="11"/>
  <c r="G1634" i="11"/>
  <c r="G1637" i="11"/>
  <c r="G1638" i="11"/>
  <c r="G1641" i="11"/>
  <c r="G1642" i="11"/>
  <c r="G1645" i="11"/>
  <c r="G1646" i="11"/>
  <c r="G1649" i="11"/>
  <c r="G1650" i="11"/>
  <c r="G1655" i="11"/>
  <c r="G1656" i="11"/>
  <c r="G1661" i="11"/>
  <c r="G1662" i="11"/>
  <c r="G1665" i="11"/>
  <c r="G1666" i="11"/>
  <c r="G1667" i="11"/>
  <c r="G1668" i="11"/>
  <c r="G1683" i="11"/>
  <c r="G1684" i="11"/>
  <c r="G1685" i="11"/>
  <c r="G1686" i="11"/>
  <c r="G1687" i="11"/>
  <c r="G1688" i="11"/>
  <c r="G1701" i="11"/>
  <c r="G1704" i="11"/>
  <c r="G1705" i="11"/>
  <c r="G1708" i="11"/>
  <c r="G1782" i="11"/>
  <c r="G1838" i="11"/>
  <c r="G1850" i="11"/>
  <c r="G1861" i="11"/>
  <c r="G1873" i="11"/>
  <c r="G1885" i="11"/>
  <c r="G1897" i="11"/>
  <c r="G1909" i="11"/>
  <c r="G1918" i="11"/>
  <c r="G1924" i="11"/>
  <c r="G1931" i="11"/>
  <c r="G1932" i="11"/>
  <c r="G1937" i="11"/>
  <c r="G1938" i="11"/>
  <c r="G1939" i="11"/>
  <c r="G1941" i="11"/>
  <c r="G1943" i="11"/>
  <c r="G1945" i="11"/>
  <c r="G1947" i="11"/>
  <c r="G1949" i="11"/>
  <c r="G1951" i="11"/>
  <c r="G1952" i="11"/>
  <c r="G1954" i="11"/>
  <c r="G1956" i="11"/>
  <c r="G1957" i="11"/>
  <c r="G1959" i="11"/>
  <c r="G1961" i="11"/>
  <c r="G1963" i="11"/>
  <c r="G1965" i="11"/>
  <c r="G1968" i="11"/>
  <c r="G1970" i="11"/>
  <c r="G1971" i="11"/>
  <c r="G1972" i="11"/>
  <c r="G1973" i="11"/>
  <c r="G1974" i="11"/>
  <c r="G1975" i="11"/>
  <c r="G1976" i="11"/>
  <c r="G1977" i="11"/>
  <c r="G1978" i="11"/>
  <c r="G1979" i="11"/>
  <c r="G1980" i="11"/>
  <c r="G1981" i="11"/>
  <c r="G1982" i="11"/>
  <c r="G1983" i="11"/>
  <c r="G1984" i="11"/>
  <c r="G1985" i="11"/>
  <c r="G1986" i="11"/>
  <c r="G1987" i="11"/>
  <c r="G1988" i="11"/>
  <c r="G1989" i="11"/>
  <c r="G1990" i="11"/>
  <c r="G1993" i="11"/>
  <c r="G1996" i="11"/>
  <c r="G1997" i="11"/>
  <c r="G1998" i="11"/>
  <c r="G1999" i="11"/>
  <c r="G2000" i="11"/>
  <c r="G2001" i="11"/>
  <c r="G2198" i="11"/>
  <c r="G2201" i="11"/>
  <c r="G2204" i="11"/>
  <c r="G2207" i="11"/>
  <c r="G2210" i="11"/>
  <c r="G2213" i="11"/>
  <c r="G2216" i="11"/>
  <c r="G2219" i="11"/>
  <c r="G2220" i="11"/>
  <c r="G2222" i="11"/>
  <c r="G2225" i="11"/>
  <c r="G2227" i="11"/>
  <c r="G2229" i="11"/>
  <c r="G2231" i="11"/>
  <c r="G2233" i="11"/>
  <c r="G2235" i="11"/>
  <c r="G2237" i="11"/>
  <c r="G2239" i="11"/>
  <c r="G2241" i="11"/>
  <c r="G2243" i="11"/>
  <c r="G2245" i="11"/>
  <c r="G2248" i="11"/>
  <c r="G2251" i="11"/>
  <c r="G2254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28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64" i="11"/>
  <c r="G466" i="11"/>
  <c r="G467" i="11"/>
  <c r="G468" i="11"/>
  <c r="G469" i="11"/>
  <c r="G470" i="11"/>
  <c r="G471" i="11"/>
  <c r="G472" i="11"/>
  <c r="G473" i="11"/>
  <c r="G474" i="11"/>
  <c r="G475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506" i="11"/>
  <c r="G508" i="11"/>
  <c r="G509" i="11"/>
  <c r="G510" i="11"/>
  <c r="G511" i="11"/>
  <c r="G512" i="11"/>
  <c r="G513" i="11"/>
  <c r="G514" i="11"/>
  <c r="G515" i="11"/>
  <c r="G516" i="11"/>
  <c r="G517" i="11"/>
  <c r="G541" i="11"/>
  <c r="G543" i="11"/>
  <c r="G544" i="11"/>
  <c r="G545" i="11"/>
  <c r="G546" i="11"/>
  <c r="G547" i="11"/>
  <c r="G548" i="11"/>
  <c r="G549" i="11"/>
  <c r="G550" i="11"/>
  <c r="G551" i="11"/>
  <c r="G552" i="11"/>
  <c r="G601" i="11"/>
  <c r="G602" i="11"/>
  <c r="G603" i="11"/>
  <c r="G604" i="11"/>
  <c r="G605" i="11"/>
  <c r="G606" i="11"/>
  <c r="G607" i="11"/>
  <c r="G608" i="11"/>
  <c r="G609" i="11"/>
  <c r="G621" i="11"/>
  <c r="G622" i="11"/>
  <c r="G624" i="11"/>
  <c r="G625" i="11"/>
  <c r="G626" i="11"/>
  <c r="G627" i="11"/>
  <c r="G628" i="11"/>
  <c r="G629" i="11"/>
  <c r="G630" i="11"/>
  <c r="G701" i="11"/>
  <c r="G702" i="11"/>
  <c r="G703" i="11"/>
  <c r="G704" i="11"/>
  <c r="G705" i="11"/>
  <c r="G706" i="11"/>
  <c r="G707" i="11"/>
  <c r="G708" i="11"/>
  <c r="G709" i="11"/>
  <c r="G710" i="11"/>
  <c r="G711" i="11"/>
  <c r="G712" i="11"/>
  <c r="G732" i="11"/>
  <c r="G734" i="11"/>
  <c r="G735" i="11"/>
  <c r="G736" i="11"/>
  <c r="G737" i="11"/>
  <c r="G738" i="11"/>
  <c r="G739" i="11"/>
  <c r="G740" i="11"/>
  <c r="G741" i="11"/>
  <c r="G742" i="11"/>
  <c r="G743" i="11"/>
  <c r="G760" i="11"/>
  <c r="G762" i="11"/>
  <c r="G763" i="11"/>
  <c r="G764" i="11"/>
  <c r="G765" i="11"/>
  <c r="G766" i="11"/>
  <c r="G767" i="11"/>
  <c r="G768" i="11"/>
  <c r="G769" i="11"/>
  <c r="G770" i="11"/>
  <c r="G771" i="11"/>
  <c r="G784" i="11"/>
  <c r="G785" i="11"/>
  <c r="G786" i="11"/>
  <c r="G787" i="11"/>
  <c r="G788" i="11"/>
  <c r="G789" i="11"/>
  <c r="G790" i="11"/>
  <c r="G791" i="11"/>
  <c r="G792" i="11"/>
  <c r="G793" i="11"/>
  <c r="G794" i="11"/>
  <c r="G795" i="11"/>
  <c r="G821" i="11"/>
  <c r="G823" i="11"/>
  <c r="G824" i="11"/>
  <c r="G825" i="11"/>
  <c r="G826" i="11"/>
  <c r="G827" i="11"/>
  <c r="G828" i="11"/>
  <c r="G829" i="11"/>
  <c r="G830" i="11"/>
  <c r="G831" i="11"/>
  <c r="G832" i="11"/>
  <c r="G878" i="11"/>
  <c r="G880" i="11"/>
  <c r="G881" i="11"/>
  <c r="G882" i="11"/>
  <c r="G883" i="11"/>
  <c r="G884" i="11"/>
  <c r="G885" i="11"/>
  <c r="G886" i="11"/>
  <c r="G887" i="11"/>
  <c r="G888" i="11"/>
  <c r="G889" i="11"/>
  <c r="G976" i="11"/>
  <c r="G647" i="11"/>
  <c r="G687" i="11"/>
  <c r="G1647" i="11"/>
  <c r="G324" i="11"/>
  <c r="G337" i="11"/>
  <c r="G343" i="11"/>
  <c r="G354" i="11"/>
  <c r="G519" i="11"/>
  <c r="G569" i="11"/>
  <c r="G576" i="11"/>
  <c r="G833" i="11"/>
  <c r="G837" i="11"/>
  <c r="G1239" i="11"/>
  <c r="G1272" i="11"/>
  <c r="G1370" i="11"/>
  <c r="G1702" i="11"/>
  <c r="G1936" i="11"/>
  <c r="G1940" i="11"/>
  <c r="G1942" i="11"/>
  <c r="G1944" i="11"/>
  <c r="G1946" i="11"/>
  <c r="G1948" i="11"/>
  <c r="G1950" i="11"/>
  <c r="G1953" i="11"/>
  <c r="G1955" i="11"/>
  <c r="G1958" i="11"/>
  <c r="G1960" i="11"/>
  <c r="G1962" i="11"/>
  <c r="G1964" i="11"/>
  <c r="G1966" i="11"/>
  <c r="G1969" i="11"/>
  <c r="G1991" i="11"/>
  <c r="G1994" i="11"/>
  <c r="G2199" i="11"/>
  <c r="G2202" i="11"/>
  <c r="G2205" i="11"/>
  <c r="G2208" i="11"/>
  <c r="G2211" i="11"/>
  <c r="G2214" i="11"/>
  <c r="G2217" i="11"/>
  <c r="G2221" i="11"/>
  <c r="G2223" i="11"/>
  <c r="G2226" i="11"/>
  <c r="G2228" i="11"/>
  <c r="G2230" i="11"/>
  <c r="G2232" i="11"/>
  <c r="G2234" i="11"/>
  <c r="G2236" i="11"/>
  <c r="G2238" i="11"/>
  <c r="G2240" i="11"/>
  <c r="G2242" i="11"/>
  <c r="G2244" i="11"/>
  <c r="G2246" i="11"/>
  <c r="G2249" i="11"/>
  <c r="G2252" i="11"/>
  <c r="G2255" i="11"/>
  <c r="G213" i="11"/>
  <c r="G220" i="11"/>
  <c r="G225" i="11"/>
  <c r="G229" i="11"/>
  <c r="G273" i="11"/>
  <c r="G287" i="11"/>
  <c r="G304" i="11"/>
  <c r="G330" i="11"/>
  <c r="G400" i="11"/>
  <c r="G523" i="11"/>
  <c r="G528" i="11"/>
  <c r="G555" i="11"/>
  <c r="G561" i="11"/>
  <c r="G565" i="11"/>
  <c r="G582" i="11"/>
  <c r="G586" i="11"/>
  <c r="G655" i="11"/>
  <c r="G660" i="11"/>
  <c r="G717" i="11"/>
  <c r="G745" i="11"/>
  <c r="G798" i="11"/>
  <c r="G801" i="11"/>
  <c r="G840" i="11"/>
  <c r="G843" i="11"/>
  <c r="G846" i="11"/>
  <c r="G851" i="11"/>
  <c r="G856" i="11"/>
  <c r="G895" i="11"/>
  <c r="G915" i="11"/>
  <c r="G946" i="11"/>
  <c r="G955" i="11"/>
  <c r="G981" i="11"/>
  <c r="G999" i="11"/>
  <c r="G1005" i="11"/>
  <c r="G1010" i="11"/>
  <c r="G1014" i="11"/>
  <c r="G1018" i="11"/>
  <c r="G1025" i="11"/>
  <c r="G1030" i="11"/>
  <c r="G1034" i="11"/>
  <c r="G1038" i="11"/>
  <c r="G1042" i="11"/>
  <c r="G1046" i="11"/>
  <c r="G1050" i="11"/>
  <c r="G1054" i="11"/>
  <c r="G1059" i="11"/>
  <c r="G1067" i="11"/>
  <c r="G1081" i="11"/>
  <c r="G1090" i="11"/>
  <c r="G1094" i="11"/>
  <c r="G1100" i="11"/>
  <c r="G1104" i="11"/>
  <c r="G1108" i="11"/>
  <c r="G1111" i="11"/>
  <c r="G1120" i="11"/>
  <c r="G1126" i="11"/>
  <c r="G1130" i="11"/>
  <c r="G1134" i="11"/>
  <c r="G1138" i="11"/>
  <c r="G1142" i="11"/>
  <c r="G1155" i="11"/>
  <c r="G1163" i="11"/>
  <c r="G1168" i="11"/>
  <c r="G1172" i="11"/>
  <c r="G1176" i="11"/>
  <c r="G1184" i="11"/>
  <c r="G1189" i="11"/>
  <c r="G1193" i="11"/>
  <c r="G1197" i="11"/>
  <c r="G1201" i="11"/>
  <c r="G1205" i="11"/>
  <c r="G1209" i="11"/>
  <c r="G1213" i="11"/>
  <c r="G1217" i="11"/>
  <c r="G1229" i="11"/>
  <c r="G1233" i="11"/>
  <c r="G1237" i="11"/>
  <c r="G1246" i="11"/>
  <c r="G1279" i="11"/>
  <c r="G1281" i="11"/>
  <c r="G1289" i="11"/>
  <c r="G1294" i="11"/>
  <c r="G1308" i="11"/>
  <c r="G1316" i="11"/>
  <c r="G1324" i="11"/>
  <c r="G1332" i="11"/>
  <c r="G1343" i="11"/>
  <c r="G1347" i="11"/>
  <c r="G1351" i="11"/>
  <c r="G1358" i="11"/>
  <c r="G1361" i="11"/>
  <c r="G1376" i="11"/>
  <c r="G1386" i="11"/>
  <c r="G1391" i="11"/>
  <c r="G1398" i="11"/>
  <c r="G1403" i="11"/>
  <c r="G1432" i="11"/>
  <c r="G1784" i="11"/>
  <c r="G1488" i="11"/>
  <c r="G1494" i="11"/>
  <c r="G1499" i="11"/>
  <c r="G1503" i="11"/>
  <c r="G1509" i="11"/>
  <c r="G1513" i="11"/>
  <c r="G1516" i="11"/>
  <c r="G1519" i="11"/>
  <c r="G1523" i="11"/>
  <c r="G1527" i="11"/>
  <c r="G1531" i="11"/>
  <c r="G1535" i="11"/>
  <c r="G1541" i="11"/>
  <c r="G1545" i="11"/>
  <c r="G1549" i="11"/>
  <c r="G1552" i="11"/>
  <c r="G1559" i="11"/>
  <c r="G1572" i="11"/>
  <c r="G1579" i="11"/>
  <c r="G1586" i="11"/>
  <c r="G1593" i="11"/>
  <c r="G1600" i="11"/>
  <c r="G1609" i="11"/>
  <c r="G1627" i="11"/>
  <c r="G1631" i="11"/>
  <c r="G1635" i="11"/>
  <c r="G1639" i="11"/>
  <c r="G1643" i="11"/>
  <c r="G1652" i="11"/>
  <c r="G1658" i="11"/>
  <c r="G1663" i="11"/>
  <c r="G1674" i="11"/>
  <c r="G1681" i="11"/>
  <c r="G1694" i="11"/>
  <c r="G1706" i="11"/>
  <c r="G1709" i="11"/>
  <c r="G1716" i="11"/>
  <c r="G1723" i="11"/>
  <c r="G1725" i="11"/>
  <c r="G1728" i="11"/>
  <c r="G1730" i="11"/>
  <c r="G1732" i="11"/>
  <c r="G1737" i="11"/>
  <c r="G1741" i="11"/>
  <c r="G1748" i="11"/>
  <c r="G1750" i="11"/>
  <c r="G1752" i="11"/>
  <c r="G1753" i="11"/>
  <c r="G1756" i="11"/>
  <c r="G1758" i="11"/>
  <c r="G1760" i="11"/>
  <c r="G1762" i="11"/>
  <c r="G1764" i="11"/>
  <c r="G1766" i="11"/>
  <c r="G1769" i="11"/>
  <c r="G1773" i="11"/>
  <c r="G1777" i="11"/>
  <c r="G1780" i="11"/>
  <c r="G2200" i="11"/>
  <c r="G2203" i="11"/>
  <c r="G2206" i="11"/>
  <c r="G2209" i="11"/>
  <c r="G2212" i="11"/>
  <c r="G2215" i="11"/>
  <c r="G2218" i="11"/>
  <c r="G2224" i="11"/>
  <c r="G2247" i="11"/>
  <c r="G2250" i="11"/>
  <c r="G2253" i="11"/>
  <c r="G2256" i="11"/>
  <c r="G2004" i="11"/>
  <c r="G2016" i="11"/>
  <c r="G2019" i="11"/>
  <c r="G2022" i="11"/>
  <c r="G2025" i="11"/>
  <c r="G2028" i="11"/>
  <c r="G2031" i="11"/>
  <c r="G2034" i="11"/>
  <c r="G2037" i="11"/>
  <c r="G2007" i="11"/>
  <c r="G2010" i="11"/>
  <c r="G2013" i="11"/>
  <c r="G2040" i="11"/>
  <c r="G2043" i="11"/>
  <c r="G2046" i="11"/>
  <c r="G2049" i="11"/>
  <c r="G2052" i="11"/>
  <c r="G2055" i="11"/>
  <c r="G2058" i="11"/>
  <c r="G2061" i="11"/>
  <c r="G2062" i="11"/>
  <c r="G2065" i="11"/>
  <c r="G2074" i="11"/>
  <c r="G2077" i="11"/>
  <c r="G2080" i="11"/>
  <c r="G2083" i="11"/>
  <c r="G2086" i="11"/>
  <c r="G2087" i="11"/>
  <c r="G2088" i="11"/>
  <c r="G2089" i="11"/>
  <c r="G2071" i="11"/>
  <c r="G2068" i="11"/>
  <c r="G2069" i="11"/>
  <c r="G2070" i="11"/>
  <c r="G2092" i="11"/>
  <c r="G2095" i="11"/>
  <c r="G2096" i="11"/>
  <c r="G2097" i="11"/>
  <c r="G2098" i="11"/>
  <c r="G2099" i="11"/>
  <c r="G2106" i="11"/>
  <c r="G2109" i="11"/>
  <c r="G2112" i="11"/>
  <c r="G2121" i="11"/>
  <c r="G2115" i="11"/>
  <c r="G2118" i="11"/>
  <c r="G2124" i="11"/>
  <c r="G2127" i="11"/>
  <c r="G2130" i="11"/>
  <c r="G2133" i="11"/>
  <c r="G2136" i="11"/>
  <c r="G2139" i="11"/>
  <c r="G2142" i="11"/>
  <c r="G2145" i="11"/>
  <c r="G2148" i="11"/>
  <c r="G2169" i="11"/>
  <c r="G2173" i="11"/>
  <c r="G2176" i="11"/>
  <c r="G2179" i="11"/>
  <c r="G2182" i="11"/>
  <c r="G2185" i="11"/>
  <c r="G2188" i="11"/>
  <c r="G2189" i="11"/>
  <c r="G2192" i="11"/>
  <c r="G2170" i="11"/>
  <c r="G2151" i="11"/>
  <c r="G2154" i="11"/>
  <c r="G2157" i="11"/>
  <c r="G2160" i="11"/>
  <c r="G2163" i="11"/>
  <c r="G2164" i="11"/>
  <c r="G2193" i="11"/>
  <c r="G2194" i="11"/>
  <c r="G2195" i="11"/>
  <c r="G2196" i="11"/>
  <c r="G2197" i="11"/>
  <c r="G1967" i="11"/>
  <c r="G1798" i="11"/>
  <c r="G804" i="11"/>
  <c r="G807" i="11"/>
  <c r="G13" i="11"/>
  <c r="H13" i="11"/>
  <c r="L1647" i="11"/>
  <c r="L647" i="11"/>
  <c r="L878" i="11"/>
  <c r="L795" i="11"/>
  <c r="L794" i="11"/>
  <c r="L793" i="11"/>
  <c r="L792" i="11"/>
  <c r="L791" i="11"/>
  <c r="L790" i="11"/>
  <c r="L789" i="11"/>
  <c r="L788" i="11"/>
  <c r="L787" i="11"/>
  <c r="L786" i="11"/>
  <c r="L785" i="11"/>
  <c r="L784" i="11"/>
  <c r="L771" i="11"/>
  <c r="L770" i="11"/>
  <c r="L769" i="11"/>
  <c r="L768" i="11"/>
  <c r="L767" i="11"/>
  <c r="L766" i="11"/>
  <c r="L765" i="11"/>
  <c r="L764" i="11"/>
  <c r="L763" i="11"/>
  <c r="L762" i="11"/>
  <c r="L760" i="11"/>
  <c r="L739" i="11"/>
  <c r="L738" i="11"/>
  <c r="L737" i="11"/>
  <c r="L736" i="11"/>
  <c r="L735" i="11"/>
  <c r="L734" i="11"/>
  <c r="L732" i="11"/>
  <c r="L712" i="11"/>
  <c r="L711" i="11"/>
  <c r="L710" i="11"/>
  <c r="L709" i="11"/>
  <c r="L708" i="11"/>
  <c r="L706" i="11"/>
  <c r="L705" i="11"/>
  <c r="L704" i="11"/>
  <c r="L703" i="11"/>
  <c r="L702" i="11"/>
  <c r="L701" i="11"/>
  <c r="L630" i="11"/>
  <c r="L629" i="11"/>
  <c r="L628" i="11"/>
  <c r="L627" i="11"/>
  <c r="L626" i="11"/>
  <c r="L625" i="11"/>
  <c r="L624" i="11"/>
  <c r="L622" i="11"/>
  <c r="L621" i="11"/>
  <c r="L609" i="11"/>
  <c r="L608" i="11"/>
  <c r="L607" i="11"/>
  <c r="L606" i="11"/>
  <c r="L605" i="11"/>
  <c r="L604" i="11"/>
  <c r="L603" i="11"/>
  <c r="L602" i="11"/>
  <c r="L601" i="11"/>
  <c r="L514" i="11"/>
  <c r="L513" i="11"/>
  <c r="L512" i="11"/>
  <c r="L511" i="11"/>
  <c r="L510" i="11"/>
  <c r="L509" i="11"/>
  <c r="L508" i="11"/>
  <c r="L493" i="11"/>
  <c r="L492" i="11"/>
  <c r="L491" i="11"/>
  <c r="L490" i="11"/>
  <c r="L489" i="11"/>
  <c r="L488" i="11"/>
  <c r="L487" i="11"/>
  <c r="L486" i="11"/>
  <c r="L485" i="11"/>
  <c r="L484" i="11"/>
  <c r="L483" i="11"/>
  <c r="L482" i="11"/>
  <c r="L475" i="11"/>
  <c r="L474" i="11"/>
  <c r="L473" i="11"/>
  <c r="L472" i="11"/>
  <c r="L471" i="11"/>
  <c r="L470" i="11"/>
  <c r="L469" i="11"/>
  <c r="L468" i="11"/>
  <c r="L464" i="11"/>
  <c r="L451" i="11"/>
  <c r="L450" i="11"/>
  <c r="L449" i="11"/>
  <c r="L448" i="11"/>
  <c r="L447" i="11"/>
  <c r="L446" i="11"/>
  <c r="L445" i="11"/>
  <c r="L444" i="11"/>
  <c r="L443" i="11"/>
  <c r="L442" i="11"/>
  <c r="L441" i="11"/>
  <c r="L440" i="11"/>
  <c r="L436" i="11"/>
  <c r="L435" i="11"/>
  <c r="L434" i="11"/>
  <c r="L433" i="11"/>
  <c r="L432" i="11"/>
  <c r="L431" i="11"/>
  <c r="L430" i="11"/>
  <c r="L428" i="11"/>
  <c r="L415" i="11"/>
  <c r="L414" i="11"/>
  <c r="L413" i="11"/>
  <c r="L412" i="11"/>
  <c r="L411" i="11"/>
  <c r="L410" i="11"/>
  <c r="L409" i="11"/>
  <c r="L408" i="11"/>
  <c r="L407" i="11"/>
  <c r="L406" i="11"/>
  <c r="L405" i="11"/>
  <c r="L404" i="11"/>
  <c r="L2254" i="11"/>
  <c r="L2251" i="11"/>
  <c r="L2248" i="11"/>
  <c r="L2245" i="11"/>
  <c r="L2243" i="11"/>
  <c r="L2241" i="11"/>
  <c r="L2239" i="11"/>
  <c r="L2237" i="11"/>
  <c r="L2235" i="11"/>
  <c r="L2233" i="11"/>
  <c r="L2231" i="11"/>
  <c r="L2229" i="11"/>
  <c r="L2227" i="11"/>
  <c r="L2225" i="11"/>
  <c r="L2222" i="11"/>
  <c r="L2220" i="11"/>
  <c r="L2219" i="11"/>
  <c r="L2216" i="11"/>
  <c r="L2213" i="11"/>
  <c r="L2210" i="11"/>
  <c r="L2207" i="11"/>
  <c r="L2204" i="11"/>
  <c r="L2201" i="11"/>
  <c r="L2198" i="11"/>
  <c r="K2001" i="11"/>
  <c r="J2001" i="11"/>
  <c r="L2000" i="11"/>
  <c r="K1999" i="11"/>
  <c r="J1999" i="11"/>
  <c r="L1998" i="11"/>
  <c r="K1997" i="11"/>
  <c r="J1997" i="11"/>
  <c r="L1996" i="11"/>
  <c r="L1989" i="11"/>
  <c r="L1988" i="11"/>
  <c r="L1984" i="11"/>
  <c r="L1983" i="11"/>
  <c r="L1982" i="11"/>
  <c r="L1979" i="11"/>
  <c r="L1978" i="11"/>
  <c r="L1977" i="11"/>
  <c r="L1973" i="11"/>
  <c r="L1972" i="11"/>
  <c r="L1965" i="11"/>
  <c r="L1963" i="11"/>
  <c r="L1961" i="11"/>
  <c r="L1959" i="11"/>
  <c r="L1957" i="11"/>
  <c r="L1954" i="11"/>
  <c r="L1952" i="11"/>
  <c r="L1949" i="11"/>
  <c r="L1947" i="11"/>
  <c r="L1945" i="11"/>
  <c r="L1943" i="11"/>
  <c r="L1941" i="11"/>
  <c r="L1939" i="11"/>
  <c r="L1937" i="11"/>
  <c r="L1924" i="11"/>
  <c r="L1918" i="11"/>
  <c r="L1909" i="11"/>
  <c r="L1897" i="11"/>
  <c r="L1885" i="11"/>
  <c r="L1873" i="11"/>
  <c r="L1861" i="11"/>
  <c r="L1850" i="11"/>
  <c r="L1838" i="11"/>
  <c r="L1782" i="11"/>
  <c r="L1705" i="11"/>
  <c r="L1704" i="11"/>
  <c r="L1701" i="11"/>
  <c r="L1683" i="11"/>
  <c r="L1656" i="11"/>
  <c r="L1655" i="11"/>
  <c r="L1650" i="11"/>
  <c r="L1649" i="11"/>
  <c r="L1646" i="11"/>
  <c r="L1630" i="11"/>
  <c r="L1629" i="11"/>
  <c r="L1626" i="11"/>
  <c r="L1624" i="11"/>
  <c r="L1621" i="11"/>
  <c r="L1618" i="11"/>
  <c r="L1617" i="11"/>
  <c r="L1616" i="11"/>
  <c r="L1614" i="11"/>
  <c r="L1613" i="11"/>
  <c r="L1612" i="11"/>
  <c r="L1608" i="11"/>
  <c r="L1607" i="11"/>
  <c r="L1606" i="11"/>
  <c r="L1605" i="11"/>
  <c r="L1604" i="11"/>
  <c r="L1603" i="11"/>
  <c r="L1598" i="11"/>
  <c r="L1596" i="11"/>
  <c r="L1591" i="11"/>
  <c r="L1589" i="11"/>
  <c r="L1584" i="11"/>
  <c r="L1582" i="11"/>
  <c r="L1577" i="11"/>
  <c r="L1575" i="11"/>
  <c r="L1570" i="11"/>
  <c r="L1568" i="11"/>
  <c r="L1566" i="11"/>
  <c r="L1564" i="11"/>
  <c r="L1563" i="11"/>
  <c r="L1562" i="11"/>
  <c r="L1557" i="11"/>
  <c r="L1556" i="11"/>
  <c r="L1554" i="11"/>
  <c r="L1553" i="11"/>
  <c r="L1551" i="11"/>
  <c r="L1548" i="11"/>
  <c r="L1547" i="11"/>
  <c r="L1540" i="11"/>
  <c r="L1539" i="11"/>
  <c r="L1537" i="11"/>
  <c r="L1515" i="11"/>
  <c r="L1511" i="11"/>
  <c r="L1508" i="11"/>
  <c r="L1507" i="11"/>
  <c r="L1505" i="11"/>
  <c r="L1502" i="11"/>
  <c r="L1501" i="11"/>
  <c r="L1498" i="11"/>
  <c r="L1497" i="11"/>
  <c r="L1492" i="11"/>
  <c r="L1491" i="11"/>
  <c r="L1490" i="11"/>
  <c r="L1487" i="11"/>
  <c r="L1486" i="11"/>
  <c r="L1485" i="11"/>
  <c r="L1484" i="11"/>
  <c r="L1483" i="11"/>
  <c r="L1482" i="11"/>
  <c r="K1480" i="11"/>
  <c r="J1480" i="11"/>
  <c r="L1479" i="11"/>
  <c r="K1477" i="11"/>
  <c r="J1477" i="11"/>
  <c r="L1476" i="11"/>
  <c r="K1475" i="11"/>
  <c r="J1475" i="11"/>
  <c r="L1471" i="11"/>
  <c r="L1470" i="11"/>
  <c r="L1469" i="11"/>
  <c r="L1465" i="11"/>
  <c r="L1464" i="11"/>
  <c r="L1463" i="11"/>
  <c r="L1459" i="11"/>
  <c r="L1458" i="11"/>
  <c r="L1457" i="11"/>
  <c r="L1453" i="11"/>
  <c r="L1452" i="11"/>
  <c r="K1447" i="11"/>
  <c r="J1447" i="11"/>
  <c r="K1446" i="11"/>
  <c r="J1446" i="11"/>
  <c r="K1445" i="11"/>
  <c r="J1445" i="11"/>
  <c r="L1443" i="11"/>
  <c r="L1442" i="11"/>
  <c r="L1426" i="11"/>
  <c r="L1425" i="11"/>
  <c r="L1424" i="11"/>
  <c r="L1423" i="11"/>
  <c r="L1422" i="11"/>
  <c r="L1421" i="11"/>
  <c r="L1420" i="11"/>
  <c r="L1419" i="11"/>
  <c r="L1418" i="11"/>
  <c r="L1417" i="11"/>
  <c r="L1416" i="11"/>
  <c r="L1415" i="11"/>
  <c r="K1413" i="11"/>
  <c r="J1413" i="11"/>
  <c r="L1412" i="11"/>
  <c r="K1411" i="11"/>
  <c r="J1411" i="11"/>
  <c r="K1409" i="11"/>
  <c r="J1409" i="11"/>
  <c r="L1408" i="11"/>
  <c r="K1407" i="11"/>
  <c r="J1407" i="11"/>
  <c r="L1402" i="11"/>
  <c r="L1401" i="11"/>
  <c r="L1396" i="11"/>
  <c r="L1395" i="11"/>
  <c r="L1394" i="11"/>
  <c r="L1389" i="11"/>
  <c r="L1388" i="11"/>
  <c r="L1385" i="11"/>
  <c r="L1384" i="11"/>
  <c r="L1383" i="11"/>
  <c r="L1381" i="11"/>
  <c r="L1380" i="11"/>
  <c r="L1374" i="11"/>
  <c r="L1373" i="11"/>
  <c r="L1371" i="11"/>
  <c r="L1368" i="11"/>
  <c r="L1367" i="11"/>
  <c r="L1365" i="11"/>
  <c r="L1364" i="11"/>
  <c r="L1360" i="11"/>
  <c r="L1357" i="11"/>
  <c r="L1356" i="11"/>
  <c r="L1355" i="11"/>
  <c r="L1354" i="11"/>
  <c r="L1350" i="11"/>
  <c r="L1349" i="11"/>
  <c r="L1346" i="11"/>
  <c r="L1345" i="11"/>
  <c r="L1339" i="11"/>
  <c r="L1338" i="11"/>
  <c r="L1337" i="11"/>
  <c r="L1336" i="11"/>
  <c r="L1327" i="11"/>
  <c r="M1327" i="11" s="1"/>
  <c r="L1314" i="11"/>
  <c r="L1313" i="11"/>
  <c r="L1312" i="11"/>
  <c r="L1311" i="11"/>
  <c r="L1301" i="11"/>
  <c r="L1300" i="11"/>
  <c r="L1297" i="11"/>
  <c r="L1296" i="11"/>
  <c r="L1282" i="11"/>
  <c r="L1280" i="11"/>
  <c r="L1278" i="11"/>
  <c r="L1275" i="11"/>
  <c r="L1273" i="11"/>
  <c r="L1269" i="11"/>
  <c r="L1268" i="11"/>
  <c r="L1262" i="11"/>
  <c r="L1260" i="11"/>
  <c r="L1258" i="11"/>
  <c r="L1257" i="11"/>
  <c r="L1256" i="11"/>
  <c r="L1254" i="11"/>
  <c r="L1251" i="11"/>
  <c r="L1245" i="11"/>
  <c r="L1244" i="11"/>
  <c r="L1242" i="11"/>
  <c r="L1241" i="11"/>
  <c r="L1240" i="11"/>
  <c r="L1236" i="11"/>
  <c r="L1235" i="11"/>
  <c r="L1232" i="11"/>
  <c r="L1231" i="11"/>
  <c r="L1228" i="11"/>
  <c r="L1227" i="11"/>
  <c r="L1225" i="11"/>
  <c r="L1224" i="11"/>
  <c r="L1222" i="11"/>
  <c r="L1221" i="11"/>
  <c r="L1220" i="11"/>
  <c r="L1219" i="11"/>
  <c r="L1216" i="11"/>
  <c r="L1215" i="11"/>
  <c r="L1212" i="11"/>
  <c r="L1211" i="11"/>
  <c r="L1208" i="11"/>
  <c r="L1207" i="11"/>
  <c r="L1204" i="11"/>
  <c r="L1203" i="11"/>
  <c r="L1200" i="11"/>
  <c r="L1199" i="11"/>
  <c r="L1196" i="11"/>
  <c r="L1195" i="11"/>
  <c r="L1192" i="11"/>
  <c r="L1191" i="11"/>
  <c r="L1188" i="11"/>
  <c r="L1187" i="11"/>
  <c r="L1182" i="11"/>
  <c r="L1181" i="11"/>
  <c r="L1180" i="11"/>
  <c r="L1178" i="11"/>
  <c r="L1175" i="11"/>
  <c r="L1174" i="11"/>
  <c r="L1171" i="11"/>
  <c r="L1170" i="11"/>
  <c r="L1167" i="11"/>
  <c r="L1166" i="11"/>
  <c r="L1161" i="11"/>
  <c r="L1159" i="11"/>
  <c r="L1158" i="11"/>
  <c r="L1153" i="11"/>
  <c r="L1152" i="11"/>
  <c r="L1151" i="11"/>
  <c r="L1150" i="11"/>
  <c r="L1149" i="11"/>
  <c r="L1148" i="11"/>
  <c r="L1147" i="11"/>
  <c r="L1145" i="11"/>
  <c r="L1144" i="11"/>
  <c r="L1143" i="11"/>
  <c r="L1141" i="11"/>
  <c r="L1140" i="11"/>
  <c r="L1137" i="11"/>
  <c r="L1136" i="11"/>
  <c r="L1133" i="11"/>
  <c r="L1132" i="11"/>
  <c r="L1129" i="11"/>
  <c r="L1128" i="11"/>
  <c r="L1125" i="11"/>
  <c r="L1124" i="11"/>
  <c r="L1117" i="11"/>
  <c r="L1116" i="11"/>
  <c r="L1115" i="11"/>
  <c r="L1114" i="11"/>
  <c r="L1110" i="11"/>
  <c r="L1109" i="11"/>
  <c r="L1107" i="11"/>
  <c r="L1106" i="11"/>
  <c r="L1103" i="11"/>
  <c r="L1102" i="11"/>
  <c r="L1099" i="11"/>
  <c r="L1098" i="11"/>
  <c r="L1097" i="11"/>
  <c r="L1096" i="11"/>
  <c r="L1093" i="11"/>
  <c r="L1092" i="11"/>
  <c r="L1089" i="11"/>
  <c r="L1088" i="11"/>
  <c r="L1087" i="11"/>
  <c r="L1086" i="11"/>
  <c r="L1085" i="11"/>
  <c r="L1084" i="11"/>
  <c r="L1083" i="11"/>
  <c r="L1080" i="11"/>
  <c r="L1079" i="11"/>
  <c r="L1075" i="11"/>
  <c r="L1073" i="11"/>
  <c r="L1072" i="11"/>
  <c r="L1071" i="11"/>
  <c r="L1065" i="11"/>
  <c r="L1064" i="11"/>
  <c r="L1063" i="11"/>
  <c r="L1058" i="11"/>
  <c r="L1057" i="11"/>
  <c r="L1055" i="11"/>
  <c r="L1053" i="11"/>
  <c r="L1052" i="11"/>
  <c r="L1049" i="11"/>
  <c r="L1048" i="11"/>
  <c r="L1045" i="11"/>
  <c r="L1044" i="11"/>
  <c r="L1041" i="11"/>
  <c r="L1040" i="11"/>
  <c r="L1037" i="11"/>
  <c r="L1036" i="11"/>
  <c r="L1033" i="11"/>
  <c r="L1032" i="11"/>
  <c r="L1029" i="11"/>
  <c r="L1028" i="11"/>
  <c r="L1023" i="11"/>
  <c r="L1022" i="11"/>
  <c r="L1021" i="11"/>
  <c r="L1020" i="11"/>
  <c r="L1004" i="11"/>
  <c r="L1003" i="11"/>
  <c r="L1002" i="11"/>
  <c r="L1001" i="11"/>
  <c r="L995" i="11"/>
  <c r="L992" i="11"/>
  <c r="L991" i="11"/>
  <c r="L990" i="11"/>
  <c r="L989" i="11"/>
  <c r="L988" i="11"/>
  <c r="L987" i="11"/>
  <c r="L986" i="11"/>
  <c r="L985" i="11"/>
  <c r="L984" i="11"/>
  <c r="L983" i="11"/>
  <c r="L980" i="11"/>
  <c r="L979" i="11"/>
  <c r="L975" i="11"/>
  <c r="L974" i="11"/>
  <c r="L973" i="11"/>
  <c r="L972" i="11"/>
  <c r="L970" i="11"/>
  <c r="L969" i="11"/>
  <c r="L968" i="11"/>
  <c r="L967" i="11"/>
  <c r="L966" i="11"/>
  <c r="L965" i="11"/>
  <c r="L964" i="11"/>
  <c r="L963" i="11"/>
  <c r="L962" i="11"/>
  <c r="L961" i="11"/>
  <c r="L960" i="11"/>
  <c r="L959" i="11"/>
  <c r="L958" i="11"/>
  <c r="L957" i="11"/>
  <c r="L954" i="11"/>
  <c r="L952" i="11"/>
  <c r="L951" i="11"/>
  <c r="L950" i="11"/>
  <c r="L945" i="11"/>
  <c r="L944" i="11"/>
  <c r="L943" i="11"/>
  <c r="L942" i="11"/>
  <c r="L941" i="11"/>
  <c r="L940" i="11"/>
  <c r="L939" i="11"/>
  <c r="L938" i="11"/>
  <c r="L937" i="11"/>
  <c r="L936" i="11"/>
  <c r="L935" i="11"/>
  <c r="L934" i="11"/>
  <c r="L933" i="11"/>
  <c r="L932" i="11"/>
  <c r="L931" i="11"/>
  <c r="L930" i="11"/>
  <c r="L929" i="11"/>
  <c r="L928" i="11"/>
  <c r="L927" i="11"/>
  <c r="L926" i="11"/>
  <c r="L925" i="11"/>
  <c r="L924" i="11"/>
  <c r="L923" i="11"/>
  <c r="L922" i="11"/>
  <c r="L909" i="11"/>
  <c r="L908" i="11"/>
  <c r="L907" i="11"/>
  <c r="L906" i="11"/>
  <c r="L905" i="11"/>
  <c r="L904" i="11"/>
  <c r="L903" i="11"/>
  <c r="L902" i="11"/>
  <c r="L901" i="11"/>
  <c r="L900" i="11"/>
  <c r="L899" i="11"/>
  <c r="L898" i="11"/>
  <c r="L893" i="11"/>
  <c r="L892" i="11"/>
  <c r="L891" i="11"/>
  <c r="L890" i="11"/>
  <c r="L877" i="11"/>
  <c r="L876" i="11"/>
  <c r="L875" i="11"/>
  <c r="L874" i="11"/>
  <c r="L873" i="11"/>
  <c r="L872" i="11"/>
  <c r="L871" i="11"/>
  <c r="L870" i="11"/>
  <c r="L869" i="11"/>
  <c r="L868" i="11"/>
  <c r="L867" i="11"/>
  <c r="L866" i="11"/>
  <c r="L862" i="11"/>
  <c r="L861" i="11"/>
  <c r="L860" i="11"/>
  <c r="L33" i="11"/>
  <c r="L32" i="11"/>
  <c r="L31" i="11"/>
  <c r="L30" i="11"/>
  <c r="L29" i="11"/>
  <c r="L28" i="11"/>
  <c r="L854" i="11"/>
  <c r="L853" i="11"/>
  <c r="L849" i="11"/>
  <c r="L848" i="11"/>
  <c r="L845" i="11"/>
  <c r="L842" i="11"/>
  <c r="L839" i="11"/>
  <c r="L836" i="11"/>
  <c r="L820" i="11"/>
  <c r="L819" i="11"/>
  <c r="L818" i="11"/>
  <c r="L817" i="11"/>
  <c r="L816" i="11"/>
  <c r="L815" i="11"/>
  <c r="L814" i="11"/>
  <c r="L813" i="11"/>
  <c r="L812" i="11"/>
  <c r="L811" i="11"/>
  <c r="L810" i="11"/>
  <c r="L809" i="11"/>
  <c r="L783" i="11"/>
  <c r="L782" i="11"/>
  <c r="L781" i="11"/>
  <c r="L780" i="11"/>
  <c r="L779" i="11"/>
  <c r="L778" i="11"/>
  <c r="L777" i="11"/>
  <c r="L776" i="11"/>
  <c r="L775" i="11"/>
  <c r="L774" i="11"/>
  <c r="L773" i="11"/>
  <c r="L772" i="11"/>
  <c r="L759" i="11"/>
  <c r="L758" i="11"/>
  <c r="L757" i="11"/>
  <c r="L756" i="11"/>
  <c r="L755" i="11"/>
  <c r="L754" i="11"/>
  <c r="L753" i="11"/>
  <c r="L752" i="11"/>
  <c r="L751" i="11"/>
  <c r="L750" i="11"/>
  <c r="L749" i="11"/>
  <c r="L748" i="11"/>
  <c r="L744" i="11"/>
  <c r="L715" i="11"/>
  <c r="L714" i="11"/>
  <c r="L713" i="11"/>
  <c r="K686" i="11"/>
  <c r="J686" i="11"/>
  <c r="K685" i="11"/>
  <c r="J685" i="11"/>
  <c r="K683" i="11"/>
  <c r="J683" i="11"/>
  <c r="K682" i="11"/>
  <c r="J682" i="11"/>
  <c r="K680" i="11"/>
  <c r="J680" i="11"/>
  <c r="K679" i="11"/>
  <c r="J679" i="11"/>
  <c r="K678" i="11"/>
  <c r="J678" i="11"/>
  <c r="K675" i="11"/>
  <c r="J675" i="11"/>
  <c r="L674" i="11"/>
  <c r="L673" i="11"/>
  <c r="K669" i="11"/>
  <c r="K668" i="11"/>
  <c r="J668" i="11"/>
  <c r="K667" i="11"/>
  <c r="J667" i="11"/>
  <c r="L664" i="11"/>
  <c r="L659" i="11"/>
  <c r="K658" i="11"/>
  <c r="L649" i="11"/>
  <c r="L648" i="11"/>
  <c r="L646" i="11"/>
  <c r="L645" i="11"/>
  <c r="L644" i="11"/>
  <c r="L641" i="11"/>
  <c r="L640" i="11"/>
  <c r="L639" i="11"/>
  <c r="L635" i="11"/>
  <c r="L634" i="11"/>
  <c r="L633" i="11"/>
  <c r="L620" i="11"/>
  <c r="L619" i="11"/>
  <c r="L618" i="11"/>
  <c r="L617" i="11"/>
  <c r="L616" i="11"/>
  <c r="L615" i="11"/>
  <c r="L614" i="11"/>
  <c r="L613" i="11"/>
  <c r="L612" i="11"/>
  <c r="L611" i="11"/>
  <c r="L610" i="11"/>
  <c r="L600" i="11"/>
  <c r="L599" i="11"/>
  <c r="L598" i="11"/>
  <c r="L597" i="11"/>
  <c r="L596" i="11"/>
  <c r="L595" i="11"/>
  <c r="L594" i="11"/>
  <c r="L593" i="11"/>
  <c r="L592" i="11"/>
  <c r="L591" i="11"/>
  <c r="L590" i="11"/>
  <c r="L589" i="11"/>
  <c r="L588" i="11"/>
  <c r="L585" i="11"/>
  <c r="L584" i="11"/>
  <c r="L581" i="11"/>
  <c r="L580" i="11"/>
  <c r="L578" i="11"/>
  <c r="L577" i="11"/>
  <c r="L575" i="11"/>
  <c r="L572" i="11"/>
  <c r="L571" i="11"/>
  <c r="L570" i="11"/>
  <c r="L567" i="11"/>
  <c r="L564" i="11"/>
  <c r="L563" i="11"/>
  <c r="L560" i="11"/>
  <c r="L559" i="11"/>
  <c r="L557" i="11"/>
  <c r="L554" i="11"/>
  <c r="L527" i="11"/>
  <c r="L526" i="11"/>
  <c r="L525" i="11"/>
  <c r="L524" i="11"/>
  <c r="L505" i="11"/>
  <c r="L504" i="11"/>
  <c r="L503" i="11"/>
  <c r="L502" i="11"/>
  <c r="L501" i="11"/>
  <c r="L500" i="11"/>
  <c r="L499" i="11"/>
  <c r="L498" i="11"/>
  <c r="L497" i="11"/>
  <c r="L496" i="11"/>
  <c r="L495" i="11"/>
  <c r="L494" i="11"/>
  <c r="L479" i="11"/>
  <c r="L476" i="11"/>
  <c r="L463" i="11"/>
  <c r="L462" i="11"/>
  <c r="L461" i="11"/>
  <c r="L460" i="11"/>
  <c r="L459" i="11"/>
  <c r="L458" i="11"/>
  <c r="L457" i="11"/>
  <c r="L456" i="11"/>
  <c r="L455" i="11"/>
  <c r="L454" i="11"/>
  <c r="L453" i="11"/>
  <c r="L452" i="11"/>
  <c r="L427" i="11"/>
  <c r="L426" i="11"/>
  <c r="L425" i="11"/>
  <c r="L424" i="11"/>
  <c r="L423" i="11"/>
  <c r="L422" i="11"/>
  <c r="L421" i="11"/>
  <c r="L420" i="11"/>
  <c r="L419" i="11"/>
  <c r="L418" i="11"/>
  <c r="L417" i="11"/>
  <c r="L416" i="11"/>
  <c r="L397" i="11"/>
  <c r="L396" i="11"/>
  <c r="L395" i="11"/>
  <c r="L394" i="11"/>
  <c r="L393" i="11"/>
  <c r="L392" i="11"/>
  <c r="L366" i="11"/>
  <c r="L365" i="11"/>
  <c r="L364" i="11"/>
  <c r="L362" i="11"/>
  <c r="L361" i="11"/>
  <c r="L360" i="11"/>
  <c r="L358" i="11"/>
  <c r="L351" i="11"/>
  <c r="L348" i="11"/>
  <c r="L347" i="11"/>
  <c r="L346" i="11"/>
  <c r="L345" i="11"/>
  <c r="L344" i="11"/>
  <c r="L342" i="11"/>
  <c r="L340" i="11"/>
  <c r="L334" i="11"/>
  <c r="L328" i="11"/>
  <c r="L327" i="11"/>
  <c r="L326" i="11"/>
  <c r="L325" i="11"/>
  <c r="L323" i="11"/>
  <c r="L316" i="11"/>
  <c r="L315" i="11"/>
  <c r="L312" i="11"/>
  <c r="L309" i="11"/>
  <c r="L307" i="11"/>
  <c r="L303" i="11"/>
  <c r="L302" i="11"/>
  <c r="L300" i="11"/>
  <c r="L298" i="11"/>
  <c r="L296" i="11"/>
  <c r="L294" i="11"/>
  <c r="L292" i="11"/>
  <c r="L290" i="11"/>
  <c r="L289" i="11"/>
  <c r="L286" i="11"/>
  <c r="L285" i="11"/>
  <c r="L283" i="11"/>
  <c r="L281" i="11"/>
  <c r="L2162" i="11"/>
  <c r="L2161" i="11"/>
  <c r="L2159" i="11"/>
  <c r="L2158" i="11"/>
  <c r="L280" i="11"/>
  <c r="L279" i="11"/>
  <c r="L278" i="11"/>
  <c r="L277" i="11"/>
  <c r="L271" i="11"/>
  <c r="L270" i="11"/>
  <c r="L269" i="11"/>
  <c r="L268" i="11"/>
  <c r="L267" i="11"/>
  <c r="L263" i="11"/>
  <c r="L262" i="11"/>
  <c r="L261" i="11"/>
  <c r="L260" i="11"/>
  <c r="L259" i="11"/>
  <c r="L258" i="11"/>
  <c r="L257" i="11"/>
  <c r="L255" i="11"/>
  <c r="L254" i="11"/>
  <c r="L253" i="11"/>
  <c r="L252" i="11"/>
  <c r="L251" i="11"/>
  <c r="L250" i="11"/>
  <c r="L249" i="11"/>
  <c r="L248" i="11"/>
  <c r="L247" i="11"/>
  <c r="L246" i="11"/>
  <c r="L245" i="11"/>
  <c r="L244" i="11"/>
  <c r="L243" i="11"/>
  <c r="L2103" i="11"/>
  <c r="L2102" i="11"/>
  <c r="L2101" i="11"/>
  <c r="L2100" i="11"/>
  <c r="L228" i="11"/>
  <c r="L227" i="11"/>
  <c r="L224" i="11"/>
  <c r="L223" i="11"/>
  <c r="L2156" i="11"/>
  <c r="L2155" i="11"/>
  <c r="L2153" i="11"/>
  <c r="L2152" i="11"/>
  <c r="L2150" i="11"/>
  <c r="L2149" i="11"/>
  <c r="L218" i="11"/>
  <c r="L217" i="11"/>
  <c r="L216" i="11"/>
  <c r="L215" i="11"/>
  <c r="L212" i="11"/>
  <c r="L211" i="11"/>
  <c r="L2168" i="11"/>
  <c r="L2167" i="11"/>
  <c r="L2187" i="11"/>
  <c r="L2186" i="11"/>
  <c r="L2184" i="11"/>
  <c r="L2183" i="11"/>
  <c r="L2181" i="11"/>
  <c r="L2180" i="11"/>
  <c r="L2178" i="11"/>
  <c r="L2177" i="11"/>
  <c r="L2175" i="11"/>
  <c r="L2174" i="11"/>
  <c r="L2172" i="11"/>
  <c r="L2171" i="11"/>
  <c r="L2166" i="11"/>
  <c r="L2165" i="11"/>
  <c r="L2191" i="11"/>
  <c r="L2190" i="11"/>
  <c r="L2147" i="11"/>
  <c r="L2146" i="11"/>
  <c r="L2144" i="11"/>
  <c r="L2143" i="11"/>
  <c r="L2141" i="11"/>
  <c r="L2140" i="11"/>
  <c r="L2138" i="11"/>
  <c r="L2137" i="11"/>
  <c r="L2135" i="11"/>
  <c r="L2134" i="11"/>
  <c r="L2132" i="11"/>
  <c r="L2131" i="11"/>
  <c r="L2129" i="11"/>
  <c r="L2128" i="11"/>
  <c r="L2126" i="11"/>
  <c r="L2125" i="11"/>
  <c r="L2123" i="11"/>
  <c r="L2122" i="11"/>
  <c r="L2117" i="11"/>
  <c r="L2116" i="11"/>
  <c r="L2114" i="11"/>
  <c r="L2113" i="11"/>
  <c r="L2120" i="11"/>
  <c r="L2119" i="11"/>
  <c r="L2111" i="11"/>
  <c r="L2110" i="11"/>
  <c r="L2108" i="11"/>
  <c r="L2107" i="11"/>
  <c r="L2105" i="11"/>
  <c r="L2104" i="11"/>
  <c r="L2094" i="11"/>
  <c r="L2093" i="11"/>
  <c r="L2091" i="11"/>
  <c r="L2090" i="11"/>
  <c r="L2085" i="11"/>
  <c r="L2084" i="11"/>
  <c r="L2082" i="11"/>
  <c r="L2081" i="11"/>
  <c r="L2079" i="11"/>
  <c r="L2078" i="11"/>
  <c r="L2076" i="11"/>
  <c r="L2075" i="11"/>
  <c r="L2067" i="11"/>
  <c r="L2066" i="11"/>
  <c r="L2073" i="11"/>
  <c r="L2072" i="11"/>
  <c r="L2064" i="11"/>
  <c r="L2063" i="11"/>
  <c r="L2060" i="11"/>
  <c r="L2059" i="11"/>
  <c r="L2057" i="11"/>
  <c r="L2056" i="11"/>
  <c r="L2054" i="11"/>
  <c r="L2053" i="11"/>
  <c r="L2051" i="11"/>
  <c r="L2050" i="11"/>
  <c r="L2048" i="11"/>
  <c r="L2047" i="11"/>
  <c r="L2045" i="11"/>
  <c r="L2044" i="11"/>
  <c r="L2042" i="11"/>
  <c r="L2041" i="11"/>
  <c r="L2039" i="11"/>
  <c r="L2038" i="11"/>
  <c r="L2012" i="11"/>
  <c r="L2011" i="11"/>
  <c r="L2009" i="11"/>
  <c r="L2008" i="11"/>
  <c r="L2006" i="11"/>
  <c r="L2005" i="11"/>
  <c r="L2036" i="11"/>
  <c r="L2035" i="11"/>
  <c r="L2033" i="11"/>
  <c r="L2032" i="11"/>
  <c r="L2030" i="11"/>
  <c r="L2029" i="11"/>
  <c r="L2027" i="11"/>
  <c r="L2026" i="11"/>
  <c r="L2024" i="11"/>
  <c r="L2023" i="11"/>
  <c r="L2021" i="11"/>
  <c r="L2020" i="11"/>
  <c r="L2018" i="11"/>
  <c r="L2017" i="11"/>
  <c r="L2015" i="11"/>
  <c r="L2014" i="11"/>
  <c r="L2003" i="11"/>
  <c r="L2002" i="11"/>
  <c r="L209" i="11"/>
  <c r="L208" i="11"/>
  <c r="L207" i="11"/>
  <c r="L204" i="11"/>
  <c r="L203" i="11"/>
  <c r="L192" i="11"/>
  <c r="L186" i="11"/>
  <c r="L177" i="11"/>
  <c r="L171" i="11"/>
  <c r="L157" i="11"/>
  <c r="L151" i="11"/>
  <c r="L142" i="11"/>
  <c r="L136" i="11"/>
  <c r="L127" i="11"/>
  <c r="L109" i="11"/>
  <c r="L103" i="11"/>
  <c r="L94" i="11"/>
  <c r="L87" i="11"/>
  <c r="L66" i="11"/>
  <c r="L54" i="11"/>
  <c r="L39" i="11"/>
  <c r="L27" i="11"/>
  <c r="L13" i="11"/>
  <c r="L685" i="11" l="1"/>
  <c r="M685" i="11"/>
  <c r="L686" i="11"/>
  <c r="M686" i="11"/>
  <c r="M678" i="11"/>
  <c r="L678" i="11"/>
  <c r="M679" i="11"/>
  <c r="L679" i="11"/>
  <c r="M680" i="11"/>
  <c r="L680" i="11"/>
  <c r="L1999" i="11"/>
  <c r="L1447" i="11"/>
  <c r="M1411" i="11"/>
  <c r="M1409" i="11"/>
  <c r="I2184" i="11"/>
  <c r="L683" i="11"/>
  <c r="H1919" i="11"/>
  <c r="G1919" i="11"/>
  <c r="I413" i="11"/>
  <c r="I2093" i="11"/>
  <c r="I2021" i="11"/>
  <c r="I311" i="11"/>
  <c r="I249" i="11"/>
  <c r="M668" i="11"/>
  <c r="L1407" i="11"/>
  <c r="M1407" i="11"/>
  <c r="L1480" i="11"/>
  <c r="M1480" i="11"/>
  <c r="L1645" i="11"/>
  <c r="M1645" i="11"/>
  <c r="M1999" i="11"/>
  <c r="I1706" i="11"/>
  <c r="L667" i="11"/>
  <c r="M667" i="11"/>
  <c r="L1409" i="11"/>
  <c r="L668" i="11"/>
  <c r="L682" i="11"/>
  <c r="M682" i="11"/>
  <c r="L2001" i="11"/>
  <c r="M2001" i="11"/>
  <c r="M683" i="11"/>
  <c r="M669" i="11"/>
  <c r="L1411" i="11"/>
  <c r="L669" i="11"/>
  <c r="L1413" i="11"/>
  <c r="M1413" i="11"/>
  <c r="L1445" i="11"/>
  <c r="M1445" i="11"/>
  <c r="L1475" i="11"/>
  <c r="M1475" i="11"/>
  <c r="L675" i="11"/>
  <c r="M675" i="11"/>
  <c r="L1446" i="11"/>
  <c r="M1446" i="11"/>
  <c r="M1447" i="11"/>
  <c r="L1477" i="11"/>
  <c r="M1477" i="11"/>
  <c r="L1997" i="11"/>
  <c r="M1997" i="11"/>
  <c r="I28" i="11"/>
  <c r="I2174" i="11"/>
  <c r="L658" i="11"/>
  <c r="M658" i="11"/>
  <c r="I2164" i="11"/>
  <c r="I1709" i="11"/>
  <c r="I1586" i="11"/>
  <c r="I834" i="11"/>
  <c r="I928" i="11"/>
  <c r="I367" i="11"/>
  <c r="I2157" i="11"/>
  <c r="I2139" i="11"/>
  <c r="I2095" i="11"/>
  <c r="I2062" i="11"/>
  <c r="I2025" i="11"/>
  <c r="I2200" i="11"/>
  <c r="I1681" i="11"/>
  <c r="I1559" i="11"/>
  <c r="I1499" i="11"/>
  <c r="I1332" i="11"/>
  <c r="I1213" i="11"/>
  <c r="I1130" i="11"/>
  <c r="I1038" i="11"/>
  <c r="I851" i="11"/>
  <c r="I528" i="11"/>
  <c r="I2249" i="11"/>
  <c r="I2211" i="11"/>
  <c r="I1948" i="11"/>
  <c r="I354" i="11"/>
  <c r="I2204" i="11"/>
  <c r="I1596" i="11"/>
  <c r="I1296" i="11"/>
  <c r="I927" i="11"/>
  <c r="I807" i="11"/>
  <c r="I2192" i="11"/>
  <c r="I2127" i="11"/>
  <c r="I2068" i="11"/>
  <c r="I2052" i="11"/>
  <c r="I2004" i="11"/>
  <c r="I1769" i="11"/>
  <c r="I1652" i="11"/>
  <c r="I1549" i="11"/>
  <c r="I1432" i="11"/>
  <c r="I1197" i="11"/>
  <c r="I1108" i="11"/>
  <c r="I1018" i="11"/>
  <c r="I2234" i="11"/>
  <c r="I984" i="11"/>
  <c r="I801" i="11"/>
  <c r="I330" i="11"/>
  <c r="I2240" i="11"/>
  <c r="I2199" i="11"/>
  <c r="I1940" i="11"/>
  <c r="I793" i="11"/>
  <c r="I765" i="11"/>
  <c r="I603" i="11"/>
  <c r="I516" i="11"/>
  <c r="I488" i="11"/>
  <c r="I466" i="11"/>
  <c r="I438" i="11"/>
  <c r="I410" i="11"/>
  <c r="I2233" i="11"/>
  <c r="I2000" i="11"/>
  <c r="I1980" i="11"/>
  <c r="I1957" i="11"/>
  <c r="I1918" i="11"/>
  <c r="I1685" i="11"/>
  <c r="I1645" i="11"/>
  <c r="I1616" i="11"/>
  <c r="I1584" i="11"/>
  <c r="I1556" i="11"/>
  <c r="I1525" i="11"/>
  <c r="I1491" i="11"/>
  <c r="I1470" i="11"/>
  <c r="I447" i="11"/>
  <c r="I1973" i="11"/>
  <c r="I1958" i="11"/>
  <c r="I369" i="11"/>
  <c r="I1040" i="11"/>
  <c r="I617" i="11"/>
  <c r="I248" i="11"/>
  <c r="I2076" i="11"/>
  <c r="I826" i="11"/>
  <c r="I706" i="11"/>
  <c r="I1303" i="11"/>
  <c r="I2034" i="11"/>
  <c r="I2098" i="11"/>
  <c r="I2209" i="11"/>
  <c r="I2163" i="11"/>
  <c r="I2145" i="11"/>
  <c r="I2097" i="11"/>
  <c r="I2074" i="11"/>
  <c r="I2031" i="11"/>
  <c r="I2206" i="11"/>
  <c r="I1748" i="11"/>
  <c r="I1579" i="11"/>
  <c r="I1509" i="11"/>
  <c r="I1347" i="11"/>
  <c r="I506" i="11"/>
  <c r="I2148" i="11"/>
  <c r="I1513" i="11"/>
  <c r="I825" i="11"/>
  <c r="I2160" i="11"/>
  <c r="I2142" i="11"/>
  <c r="I2096" i="11"/>
  <c r="I2065" i="11"/>
  <c r="I2028" i="11"/>
  <c r="I2203" i="11"/>
  <c r="I1694" i="11"/>
  <c r="I1572" i="11"/>
  <c r="I1503" i="11"/>
  <c r="I1343" i="11"/>
  <c r="I1217" i="11"/>
  <c r="I1134" i="11"/>
  <c r="I1042" i="11"/>
  <c r="I856" i="11"/>
  <c r="I555" i="11"/>
  <c r="I2252" i="11"/>
  <c r="I2214" i="11"/>
  <c r="I1950" i="11"/>
  <c r="I519" i="11"/>
  <c r="I884" i="11"/>
  <c r="I823" i="11"/>
  <c r="I770" i="11"/>
  <c r="I738" i="11"/>
  <c r="I703" i="11"/>
  <c r="I608" i="11"/>
  <c r="I544" i="11"/>
  <c r="I493" i="11"/>
  <c r="I471" i="11"/>
  <c r="I443" i="11"/>
  <c r="I415" i="11"/>
  <c r="I2243" i="11"/>
  <c r="I2207" i="11"/>
  <c r="I1985" i="11"/>
  <c r="I1968" i="11"/>
  <c r="I1938" i="11"/>
  <c r="I1704" i="11"/>
  <c r="I1656" i="11"/>
  <c r="I1623" i="11"/>
  <c r="I567" i="11"/>
  <c r="I456" i="11"/>
  <c r="I2104" i="11"/>
  <c r="I1750" i="11"/>
  <c r="I1451" i="11"/>
  <c r="I1421" i="11"/>
  <c r="I1401" i="11"/>
  <c r="I1368" i="11"/>
  <c r="I1342" i="11"/>
  <c r="I1286" i="11"/>
  <c r="I1264" i="11"/>
  <c r="I1241" i="11"/>
  <c r="I1215" i="11"/>
  <c r="I1181" i="11"/>
  <c r="I1150" i="11"/>
  <c r="I1128" i="11"/>
  <c r="I1098" i="11"/>
  <c r="I1076" i="11"/>
  <c r="I1053" i="11"/>
  <c r="I1022" i="11"/>
  <c r="I997" i="11"/>
  <c r="I975" i="11"/>
  <c r="I959" i="11"/>
  <c r="I939" i="11"/>
  <c r="I923" i="11"/>
  <c r="I892" i="11"/>
  <c r="I862" i="11"/>
  <c r="I817" i="11"/>
  <c r="I796" i="11"/>
  <c r="I756" i="11"/>
  <c r="I727" i="11"/>
  <c r="I697" i="11"/>
  <c r="I678" i="11"/>
  <c r="I652" i="11"/>
  <c r="I634" i="11"/>
  <c r="I611" i="11"/>
  <c r="I584" i="11"/>
  <c r="I557" i="11"/>
  <c r="I526" i="11"/>
  <c r="I496" i="11"/>
  <c r="I452" i="11"/>
  <c r="I394" i="11"/>
  <c r="I378" i="11"/>
  <c r="I362" i="11"/>
  <c r="I344" i="11"/>
  <c r="I318" i="11"/>
  <c r="I296" i="11"/>
  <c r="I277" i="11"/>
  <c r="I255" i="11"/>
  <c r="I239" i="11"/>
  <c r="I223" i="11"/>
  <c r="I2186" i="11"/>
  <c r="I2146" i="11"/>
  <c r="I2122" i="11"/>
  <c r="I2090" i="11"/>
  <c r="I2059" i="11"/>
  <c r="I2011" i="11"/>
  <c r="I177" i="11"/>
  <c r="I804" i="11"/>
  <c r="I2071" i="11"/>
  <c r="I2049" i="11"/>
  <c r="I1766" i="11"/>
  <c r="I1643" i="11"/>
  <c r="I1403" i="11"/>
  <c r="I1193" i="11"/>
  <c r="I1014" i="11"/>
  <c r="I798" i="11"/>
  <c r="I304" i="11"/>
  <c r="I2238" i="11"/>
  <c r="I1936" i="11"/>
  <c r="I324" i="11"/>
  <c r="I878" i="11"/>
  <c r="I792" i="11"/>
  <c r="I764" i="11"/>
  <c r="I732" i="11"/>
  <c r="I630" i="11"/>
  <c r="I602" i="11"/>
  <c r="I515" i="11"/>
  <c r="I487" i="11"/>
  <c r="I437" i="11"/>
  <c r="I409" i="11"/>
  <c r="I2231" i="11"/>
  <c r="I1999" i="11"/>
  <c r="I1979" i="11"/>
  <c r="I1956" i="11"/>
  <c r="I1909" i="11"/>
  <c r="I1684" i="11"/>
  <c r="I1642" i="11"/>
  <c r="I1614" i="11"/>
  <c r="I1583" i="11"/>
  <c r="I1554" i="11"/>
  <c r="I1522" i="11"/>
  <c r="I1490" i="11"/>
  <c r="I1469" i="11"/>
  <c r="I1450" i="11"/>
  <c r="I1420" i="11"/>
  <c r="I1396" i="11"/>
  <c r="I1367" i="11"/>
  <c r="I1341" i="11"/>
  <c r="I1314" i="11"/>
  <c r="I1285" i="11"/>
  <c r="I1262" i="11"/>
  <c r="I1240" i="11"/>
  <c r="I1212" i="11"/>
  <c r="I1180" i="11"/>
  <c r="I1149" i="11"/>
  <c r="I1125" i="11"/>
  <c r="I1097" i="11"/>
  <c r="I1075" i="11"/>
  <c r="I1052" i="11"/>
  <c r="I1021" i="11"/>
  <c r="I995" i="11"/>
  <c r="I974" i="11"/>
  <c r="I958" i="11"/>
  <c r="I938" i="11"/>
  <c r="I922" i="11"/>
  <c r="I891" i="11"/>
  <c r="I861" i="11"/>
  <c r="I849" i="11"/>
  <c r="I816" i="11"/>
  <c r="I783" i="11"/>
  <c r="I755" i="11"/>
  <c r="I726" i="11"/>
  <c r="I696" i="11"/>
  <c r="I675" i="11"/>
  <c r="I651" i="11"/>
  <c r="I633" i="11"/>
  <c r="I610" i="11"/>
  <c r="I393" i="11"/>
  <c r="I361" i="11"/>
  <c r="I316" i="11"/>
  <c r="I238" i="11"/>
  <c r="I2018" i="11"/>
  <c r="I314" i="11"/>
  <c r="I2189" i="11"/>
  <c r="I2124" i="11"/>
  <c r="I2256" i="11"/>
  <c r="I1545" i="11"/>
  <c r="I1294" i="11"/>
  <c r="I1104" i="11"/>
  <c r="I1994" i="11"/>
  <c r="I251" i="11"/>
  <c r="I464" i="11"/>
  <c r="I1419" i="11"/>
  <c r="I13" i="11"/>
  <c r="I2136" i="11"/>
  <c r="I2061" i="11"/>
  <c r="I2022" i="11"/>
  <c r="I1741" i="11"/>
  <c r="I1674" i="11"/>
  <c r="I1324" i="11"/>
  <c r="I1209" i="11"/>
  <c r="I1126" i="11"/>
  <c r="I1034" i="11"/>
  <c r="I846" i="11"/>
  <c r="I523" i="11"/>
  <c r="I1591" i="11"/>
  <c r="I1103" i="11"/>
  <c r="I563" i="11"/>
  <c r="I455" i="11"/>
  <c r="I1205" i="11"/>
  <c r="I400" i="11"/>
  <c r="I412" i="11"/>
  <c r="I1529" i="11"/>
  <c r="I2154" i="11"/>
  <c r="I2092" i="11"/>
  <c r="I1780" i="11"/>
  <c r="I1494" i="11"/>
  <c r="I1646" i="11"/>
  <c r="I1526" i="11"/>
  <c r="I1242" i="11"/>
  <c r="I1099" i="11"/>
  <c r="I1764" i="11"/>
  <c r="I745" i="11"/>
  <c r="I763" i="11"/>
  <c r="I2229" i="11"/>
  <c r="I1582" i="11"/>
  <c r="I1365" i="11"/>
  <c r="I1096" i="11"/>
  <c r="I957" i="11"/>
  <c r="I754" i="11"/>
  <c r="I725" i="11"/>
  <c r="I674" i="11"/>
  <c r="I494" i="11"/>
  <c r="I426" i="11"/>
  <c r="I392" i="11"/>
  <c r="I376" i="11"/>
  <c r="I360" i="11"/>
  <c r="I342" i="11"/>
  <c r="I292" i="11"/>
  <c r="I253" i="11"/>
  <c r="I237" i="11"/>
  <c r="I2155" i="11"/>
  <c r="I2183" i="11"/>
  <c r="I2143" i="11"/>
  <c r="I2116" i="11"/>
  <c r="I2084" i="11"/>
  <c r="I2056" i="11"/>
  <c r="I2008" i="11"/>
  <c r="I2017" i="11"/>
  <c r="I157" i="11"/>
  <c r="I2253" i="11"/>
  <c r="I1100" i="11"/>
  <c r="I832" i="11"/>
  <c r="I486" i="11"/>
  <c r="I1683" i="11"/>
  <c r="I1449" i="11"/>
  <c r="I1260" i="11"/>
  <c r="I1049" i="11"/>
  <c r="I909" i="11"/>
  <c r="I632" i="11"/>
  <c r="I1967" i="11"/>
  <c r="I2185" i="11"/>
  <c r="I2115" i="11"/>
  <c r="I2088" i="11"/>
  <c r="I2043" i="11"/>
  <c r="I2250" i="11"/>
  <c r="I1762" i="11"/>
  <c r="I1730" i="11"/>
  <c r="I1635" i="11"/>
  <c r="I1535" i="11"/>
  <c r="I1391" i="11"/>
  <c r="I1281" i="11"/>
  <c r="I1184" i="11"/>
  <c r="I1094" i="11"/>
  <c r="I1005" i="11"/>
  <c r="I717" i="11"/>
  <c r="I273" i="11"/>
  <c r="I552" i="11"/>
  <c r="I1418" i="11"/>
  <c r="I1175" i="11"/>
  <c r="I694" i="11"/>
  <c r="I2181" i="11"/>
  <c r="I2089" i="11"/>
  <c r="I1541" i="11"/>
  <c r="I1010" i="11"/>
  <c r="I791" i="11"/>
  <c r="I408" i="11"/>
  <c r="I1613" i="11"/>
  <c r="I1395" i="11"/>
  <c r="I1211" i="11"/>
  <c r="I1020" i="11"/>
  <c r="I782" i="11"/>
  <c r="I580" i="11"/>
  <c r="I2040" i="11"/>
  <c r="I2247" i="11"/>
  <c r="I1760" i="11"/>
  <c r="I1728" i="11"/>
  <c r="I1631" i="11"/>
  <c r="I1531" i="11"/>
  <c r="I1386" i="11"/>
  <c r="I1279" i="11"/>
  <c r="I1176" i="11"/>
  <c r="I1090" i="11"/>
  <c r="I999" i="11"/>
  <c r="I551" i="11"/>
  <c r="I1363" i="11"/>
  <c r="I1174" i="11"/>
  <c r="I780" i="11"/>
  <c r="I693" i="11"/>
  <c r="I1732" i="11"/>
  <c r="I2236" i="11"/>
  <c r="I629" i="11"/>
  <c r="I1897" i="11"/>
  <c r="I1521" i="11"/>
  <c r="I1313" i="11"/>
  <c r="I992" i="11"/>
  <c r="I815" i="11"/>
  <c r="I524" i="11"/>
  <c r="I2087" i="11"/>
  <c r="I955" i="11"/>
  <c r="I1974" i="11"/>
  <c r="I1041" i="11"/>
  <c r="I2188" i="11"/>
  <c r="I1398" i="11"/>
  <c r="I1702" i="11"/>
  <c r="I601" i="11"/>
  <c r="I1978" i="11"/>
  <c r="I1487" i="11"/>
  <c r="I1284" i="11"/>
  <c r="I1124" i="11"/>
  <c r="I973" i="11"/>
  <c r="I860" i="11"/>
  <c r="I650" i="11"/>
  <c r="I2182" i="11"/>
  <c r="I1798" i="11"/>
  <c r="I1289" i="11"/>
  <c r="I1647" i="11"/>
  <c r="I436" i="11"/>
  <c r="I1641" i="11"/>
  <c r="I1339" i="11"/>
  <c r="I1073" i="11"/>
  <c r="I937" i="11"/>
  <c r="I695" i="11"/>
  <c r="I2197" i="11"/>
  <c r="I2046" i="11"/>
  <c r="I1189" i="11"/>
  <c r="I1991" i="11"/>
  <c r="I514" i="11"/>
  <c r="I1954" i="11"/>
  <c r="I1468" i="11"/>
  <c r="I1236" i="11"/>
  <c r="I890" i="11"/>
  <c r="I600" i="11"/>
  <c r="I2121" i="11"/>
  <c r="I2118" i="11"/>
  <c r="I1639" i="11"/>
  <c r="I287" i="11"/>
  <c r="I712" i="11"/>
  <c r="I1998" i="11"/>
  <c r="I1553" i="11"/>
  <c r="I1178" i="11"/>
  <c r="I848" i="11"/>
  <c r="I553" i="11"/>
  <c r="I1969" i="11"/>
  <c r="I1370" i="11"/>
  <c r="I687" i="11"/>
  <c r="I831" i="11"/>
  <c r="I790" i="11"/>
  <c r="I762" i="11"/>
  <c r="I711" i="11"/>
  <c r="I628" i="11"/>
  <c r="I513" i="11"/>
  <c r="I485" i="11"/>
  <c r="I451" i="11"/>
  <c r="I435" i="11"/>
  <c r="I407" i="11"/>
  <c r="I2227" i="11"/>
  <c r="I1997" i="11"/>
  <c r="I1977" i="11"/>
  <c r="I1952" i="11"/>
  <c r="I1885" i="11"/>
  <c r="I1638" i="11"/>
  <c r="I1612" i="11"/>
  <c r="I1577" i="11"/>
  <c r="I1551" i="11"/>
  <c r="I1518" i="11"/>
  <c r="I1486" i="11"/>
  <c r="I1467" i="11"/>
  <c r="I1447" i="11"/>
  <c r="I1394" i="11"/>
  <c r="I1364" i="11"/>
  <c r="I1338" i="11"/>
  <c r="I1312" i="11"/>
  <c r="I1282" i="11"/>
  <c r="I1258" i="11"/>
  <c r="I1235" i="11"/>
  <c r="I1208" i="11"/>
  <c r="I1148" i="11"/>
  <c r="I1117" i="11"/>
  <c r="I1093" i="11"/>
  <c r="I1072" i="11"/>
  <c r="I1048" i="11"/>
  <c r="I1017" i="11"/>
  <c r="I991" i="11"/>
  <c r="I972" i="11"/>
  <c r="I954" i="11"/>
  <c r="I936" i="11"/>
  <c r="I908" i="11"/>
  <c r="I877" i="11"/>
  <c r="I33" i="11"/>
  <c r="I814" i="11"/>
  <c r="I781" i="11"/>
  <c r="I753" i="11"/>
  <c r="I724" i="11"/>
  <c r="I673" i="11"/>
  <c r="I649" i="11"/>
  <c r="I631" i="11"/>
  <c r="I599" i="11"/>
  <c r="I578" i="11"/>
  <c r="I540" i="11"/>
  <c r="I522" i="11"/>
  <c r="I479" i="11"/>
  <c r="I425" i="11"/>
  <c r="I391" i="11"/>
  <c r="I375" i="11"/>
  <c r="I359" i="11"/>
  <c r="I340" i="11"/>
  <c r="I290" i="11"/>
  <c r="I271" i="11"/>
  <c r="I252" i="11"/>
  <c r="I236" i="11"/>
  <c r="I2153" i="11"/>
  <c r="I2141" i="11"/>
  <c r="I2114" i="11"/>
  <c r="I2082" i="11"/>
  <c r="I2054" i="11"/>
  <c r="I2006" i="11"/>
  <c r="I2015" i="11"/>
  <c r="I151" i="11"/>
  <c r="I660" i="11"/>
  <c r="I229" i="11"/>
  <c r="I2232" i="11"/>
  <c r="I1966" i="11"/>
  <c r="I1272" i="11"/>
  <c r="I647" i="11"/>
  <c r="I830" i="11"/>
  <c r="I789" i="11"/>
  <c r="I710" i="11"/>
  <c r="I627" i="11"/>
  <c r="I512" i="11"/>
  <c r="I484" i="11"/>
  <c r="I450" i="11"/>
  <c r="I434" i="11"/>
  <c r="I406" i="11"/>
  <c r="I2225" i="11"/>
  <c r="I1996" i="11"/>
  <c r="I1976" i="11"/>
  <c r="I1951" i="11"/>
  <c r="I1873" i="11"/>
  <c r="I1637" i="11"/>
  <c r="I1608" i="11"/>
  <c r="I1576" i="11"/>
  <c r="I1548" i="11"/>
  <c r="I1517" i="11"/>
  <c r="I1485" i="11"/>
  <c r="I1465" i="11"/>
  <c r="I1446" i="11"/>
  <c r="I1417" i="11"/>
  <c r="I1389" i="11"/>
  <c r="I1337" i="11"/>
  <c r="I1311" i="11"/>
  <c r="I1257" i="11"/>
  <c r="I1232" i="11"/>
  <c r="I1207" i="11"/>
  <c r="I1147" i="11"/>
  <c r="I1116" i="11"/>
  <c r="I1092" i="11"/>
  <c r="I1071" i="11"/>
  <c r="I1045" i="11"/>
  <c r="I1016" i="11"/>
  <c r="I990" i="11"/>
  <c r="I971" i="11"/>
  <c r="I952" i="11"/>
  <c r="I935" i="11"/>
  <c r="I907" i="11"/>
  <c r="I876" i="11"/>
  <c r="I32" i="11"/>
  <c r="I845" i="11"/>
  <c r="I813" i="11"/>
  <c r="I752" i="11"/>
  <c r="I723" i="11"/>
  <c r="I672" i="11"/>
  <c r="I648" i="11"/>
  <c r="I620" i="11"/>
  <c r="I598" i="11"/>
  <c r="I577" i="11"/>
  <c r="I539" i="11"/>
  <c r="I521" i="11"/>
  <c r="I476" i="11"/>
  <c r="I424" i="11"/>
  <c r="I390" i="11"/>
  <c r="I374" i="11"/>
  <c r="I358" i="11"/>
  <c r="I339" i="11"/>
  <c r="I289" i="11"/>
  <c r="I270" i="11"/>
  <c r="I2140" i="11"/>
  <c r="I2081" i="11"/>
  <c r="I2196" i="11"/>
  <c r="I2179" i="11"/>
  <c r="I2112" i="11"/>
  <c r="I2086" i="11"/>
  <c r="I2013" i="11"/>
  <c r="I2224" i="11"/>
  <c r="I1758" i="11"/>
  <c r="I1627" i="11"/>
  <c r="I1527" i="11"/>
  <c r="I1376" i="11"/>
  <c r="I1246" i="11"/>
  <c r="I1172" i="11"/>
  <c r="I1081" i="11"/>
  <c r="I981" i="11"/>
  <c r="I655" i="11"/>
  <c r="I225" i="11"/>
  <c r="I2230" i="11"/>
  <c r="I1964" i="11"/>
  <c r="I1239" i="11"/>
  <c r="I976" i="11"/>
  <c r="I829" i="11"/>
  <c r="I788" i="11"/>
  <c r="I760" i="11"/>
  <c r="I709" i="11"/>
  <c r="I626" i="11"/>
  <c r="I550" i="11"/>
  <c r="I511" i="11"/>
  <c r="I483" i="11"/>
  <c r="I449" i="11"/>
  <c r="I433" i="11"/>
  <c r="I405" i="11"/>
  <c r="I2222" i="11"/>
  <c r="I1993" i="11"/>
  <c r="I1975" i="11"/>
  <c r="I1949" i="11"/>
  <c r="I1861" i="11"/>
  <c r="I1668" i="11"/>
  <c r="I1634" i="11"/>
  <c r="I1607" i="11"/>
  <c r="I1575" i="11"/>
  <c r="I1547" i="11"/>
  <c r="I1515" i="11"/>
  <c r="I1484" i="11"/>
  <c r="I1464" i="11"/>
  <c r="I1445" i="11"/>
  <c r="I1416" i="11"/>
  <c r="I1388" i="11"/>
  <c r="I1360" i="11"/>
  <c r="I1336" i="11"/>
  <c r="I1306" i="11"/>
  <c r="I1280" i="11"/>
  <c r="I1256" i="11"/>
  <c r="I1231" i="11"/>
  <c r="I1204" i="11"/>
  <c r="I1171" i="11"/>
  <c r="I1146" i="11"/>
  <c r="I1115" i="11"/>
  <c r="I1089" i="11"/>
  <c r="I1070" i="11"/>
  <c r="I1044" i="11"/>
  <c r="I989" i="11"/>
  <c r="I970" i="11"/>
  <c r="I951" i="11"/>
  <c r="I934" i="11"/>
  <c r="I906" i="11"/>
  <c r="I875" i="11"/>
  <c r="I31" i="11"/>
  <c r="I2195" i="11"/>
  <c r="I2176" i="11"/>
  <c r="I2109" i="11"/>
  <c r="I2083" i="11"/>
  <c r="I2010" i="11"/>
  <c r="I2218" i="11"/>
  <c r="I1756" i="11"/>
  <c r="I1725" i="11"/>
  <c r="I1609" i="11"/>
  <c r="I1523" i="11"/>
  <c r="I1361" i="11"/>
  <c r="I1237" i="11"/>
  <c r="I1168" i="11"/>
  <c r="I1067" i="11"/>
  <c r="I220" i="11"/>
  <c r="I2228" i="11"/>
  <c r="I1962" i="11"/>
  <c r="I837" i="11"/>
  <c r="I889" i="11"/>
  <c r="I828" i="11"/>
  <c r="I787" i="11"/>
  <c r="I743" i="11"/>
  <c r="I708" i="11"/>
  <c r="I625" i="11"/>
  <c r="I549" i="11"/>
  <c r="I510" i="11"/>
  <c r="I482" i="11"/>
  <c r="I448" i="11"/>
  <c r="I432" i="11"/>
  <c r="I404" i="11"/>
  <c r="I2220" i="11"/>
  <c r="I1990" i="11"/>
  <c r="I1947" i="11"/>
  <c r="I1850" i="11"/>
  <c r="I1667" i="11"/>
  <c r="I1633" i="11"/>
  <c r="I1606" i="11"/>
  <c r="I1570" i="11"/>
  <c r="I1544" i="11"/>
  <c r="I1512" i="11"/>
  <c r="I1483" i="11"/>
  <c r="I1463" i="11"/>
  <c r="I1443" i="11"/>
  <c r="I1415" i="11"/>
  <c r="I1385" i="11"/>
  <c r="I1335" i="11"/>
  <c r="I1305" i="11"/>
  <c r="I1278" i="11"/>
  <c r="I1255" i="11"/>
  <c r="I1228" i="11"/>
  <c r="I1203" i="11"/>
  <c r="I1170" i="11"/>
  <c r="I1145" i="11"/>
  <c r="I1114" i="11"/>
  <c r="I1088" i="11"/>
  <c r="I1069" i="11"/>
  <c r="I1013" i="11"/>
  <c r="I988" i="11"/>
  <c r="I969" i="11"/>
  <c r="I950" i="11"/>
  <c r="I905" i="11"/>
  <c r="I750" i="11"/>
  <c r="I691" i="11"/>
  <c r="I669" i="11"/>
  <c r="I645" i="11"/>
  <c r="I537" i="11"/>
  <c r="I462" i="11"/>
  <c r="I268" i="11"/>
  <c r="I233" i="11"/>
  <c r="I2119" i="11"/>
  <c r="I2050" i="11"/>
  <c r="I2194" i="11"/>
  <c r="I2173" i="11"/>
  <c r="I2106" i="11"/>
  <c r="I2080" i="11"/>
  <c r="I2007" i="11"/>
  <c r="I2215" i="11"/>
  <c r="I1753" i="11"/>
  <c r="I1723" i="11"/>
  <c r="I1600" i="11"/>
  <c r="I1519" i="11"/>
  <c r="I1358" i="11"/>
  <c r="I1233" i="11"/>
  <c r="I1163" i="11"/>
  <c r="I1059" i="11"/>
  <c r="I946" i="11"/>
  <c r="I586" i="11"/>
  <c r="I213" i="11"/>
  <c r="I2226" i="11"/>
  <c r="I1960" i="11"/>
  <c r="I833" i="11"/>
  <c r="I888" i="11"/>
  <c r="I827" i="11"/>
  <c r="I786" i="11"/>
  <c r="I742" i="11"/>
  <c r="I707" i="11"/>
  <c r="I624" i="11"/>
  <c r="I548" i="11"/>
  <c r="I509" i="11"/>
  <c r="I475" i="11"/>
  <c r="I431" i="11"/>
  <c r="I2254" i="11"/>
  <c r="I2219" i="11"/>
  <c r="I1989" i="11"/>
  <c r="I1945" i="11"/>
  <c r="I1838" i="11"/>
  <c r="I1666" i="11"/>
  <c r="I1630" i="11"/>
  <c r="I1605" i="11"/>
  <c r="I1569" i="11"/>
  <c r="I1543" i="11"/>
  <c r="I1511" i="11"/>
  <c r="I1482" i="11"/>
  <c r="I1462" i="11"/>
  <c r="I1442" i="11"/>
  <c r="I1413" i="11"/>
  <c r="I1384" i="11"/>
  <c r="I1357" i="11"/>
  <c r="I1330" i="11"/>
  <c r="I1304" i="11"/>
  <c r="I1254" i="11"/>
  <c r="I1227" i="11"/>
  <c r="I1200" i="11"/>
  <c r="I1087" i="11"/>
  <c r="I1012" i="11"/>
  <c r="I932" i="11"/>
  <c r="I873" i="11"/>
  <c r="I720" i="11"/>
  <c r="I668" i="11"/>
  <c r="I644" i="11"/>
  <c r="I505" i="11"/>
  <c r="I421" i="11"/>
  <c r="I283" i="11"/>
  <c r="I232" i="11"/>
  <c r="I218" i="11"/>
  <c r="I2033" i="11"/>
  <c r="I2193" i="11"/>
  <c r="I2169" i="11"/>
  <c r="I2099" i="11"/>
  <c r="I2077" i="11"/>
  <c r="I2037" i="11"/>
  <c r="I2212" i="11"/>
  <c r="I1752" i="11"/>
  <c r="I1716" i="11"/>
  <c r="I1593" i="11"/>
  <c r="I1516" i="11"/>
  <c r="I1229" i="11"/>
  <c r="I1155" i="11"/>
  <c r="I1054" i="11"/>
  <c r="I915" i="11"/>
  <c r="I582" i="11"/>
  <c r="I2223" i="11"/>
  <c r="I887" i="11"/>
  <c r="I785" i="11"/>
  <c r="I741" i="11"/>
  <c r="I622" i="11"/>
  <c r="I547" i="11"/>
  <c r="I508" i="11"/>
  <c r="I474" i="11"/>
  <c r="I446" i="11"/>
  <c r="I430" i="11"/>
  <c r="I2251" i="11"/>
  <c r="I2216" i="11"/>
  <c r="I1988" i="11"/>
  <c r="I1972" i="11"/>
  <c r="I1943" i="11"/>
  <c r="I1782" i="11"/>
  <c r="I1665" i="11"/>
  <c r="I1629" i="11"/>
  <c r="I1604" i="11"/>
  <c r="I1568" i="11"/>
  <c r="I1540" i="11"/>
  <c r="I1508" i="11"/>
  <c r="I1480" i="11"/>
  <c r="I1461" i="11"/>
  <c r="I1441" i="11"/>
  <c r="I1412" i="11"/>
  <c r="I1356" i="11"/>
  <c r="I1329" i="11"/>
  <c r="I1252" i="11"/>
  <c r="I1225" i="11"/>
  <c r="I1199" i="11"/>
  <c r="I1166" i="11"/>
  <c r="I1143" i="11"/>
  <c r="I1110" i="11"/>
  <c r="I1086" i="11"/>
  <c r="I1065" i="11"/>
  <c r="I1009" i="11"/>
  <c r="I986" i="11"/>
  <c r="I903" i="11"/>
  <c r="I689" i="11"/>
  <c r="I643" i="11"/>
  <c r="I616" i="11"/>
  <c r="I594" i="11"/>
  <c r="I460" i="11"/>
  <c r="I386" i="11"/>
  <c r="I263" i="11"/>
  <c r="I231" i="11"/>
  <c r="I217" i="11"/>
  <c r="I2047" i="11"/>
  <c r="I208" i="11"/>
  <c r="I1351" i="11"/>
  <c r="I1142" i="11"/>
  <c r="I1050" i="11"/>
  <c r="I895" i="11"/>
  <c r="I565" i="11"/>
  <c r="I2221" i="11"/>
  <c r="I1955" i="11"/>
  <c r="I576" i="11"/>
  <c r="I886" i="11"/>
  <c r="I784" i="11"/>
  <c r="I740" i="11"/>
  <c r="I705" i="11"/>
  <c r="I621" i="11"/>
  <c r="I546" i="11"/>
  <c r="I473" i="11"/>
  <c r="I445" i="11"/>
  <c r="I2248" i="11"/>
  <c r="I2213" i="11"/>
  <c r="I1987" i="11"/>
  <c r="I1971" i="11"/>
  <c r="I1941" i="11"/>
  <c r="I1708" i="11"/>
  <c r="I1662" i="11"/>
  <c r="I1626" i="11"/>
  <c r="I1603" i="11"/>
  <c r="I1566" i="11"/>
  <c r="I1539" i="11"/>
  <c r="I1507" i="11"/>
  <c r="I1479" i="11"/>
  <c r="I1459" i="11"/>
  <c r="I1440" i="11"/>
  <c r="I1411" i="11"/>
  <c r="I1383" i="11"/>
  <c r="I1355" i="11"/>
  <c r="I1328" i="11"/>
  <c r="I1301" i="11"/>
  <c r="I1275" i="11"/>
  <c r="I1251" i="11"/>
  <c r="I1224" i="11"/>
  <c r="I1196" i="11"/>
  <c r="I1161" i="11"/>
  <c r="I1141" i="11"/>
  <c r="I1109" i="11"/>
  <c r="I1085" i="11"/>
  <c r="I1064" i="11"/>
  <c r="I1037" i="11"/>
  <c r="I1008" i="11"/>
  <c r="I985" i="11"/>
  <c r="I966" i="11"/>
  <c r="I871" i="11"/>
  <c r="I666" i="11"/>
  <c r="I615" i="11"/>
  <c r="I593" i="11"/>
  <c r="I571" i="11"/>
  <c r="I419" i="11"/>
  <c r="I246" i="11"/>
  <c r="I216" i="11"/>
  <c r="I2172" i="11"/>
  <c r="I2132" i="11"/>
  <c r="I2030" i="11"/>
  <c r="I1138" i="11"/>
  <c r="I1046" i="11"/>
  <c r="I561" i="11"/>
  <c r="I2255" i="11"/>
  <c r="I2217" i="11"/>
  <c r="I1953" i="11"/>
  <c r="I569" i="11"/>
  <c r="I885" i="11"/>
  <c r="I824" i="11"/>
  <c r="I771" i="11"/>
  <c r="I739" i="11"/>
  <c r="I704" i="11"/>
  <c r="I609" i="11"/>
  <c r="I545" i="11"/>
  <c r="I472" i="11"/>
  <c r="I444" i="11"/>
  <c r="I428" i="11"/>
  <c r="I2245" i="11"/>
  <c r="I2210" i="11"/>
  <c r="I1986" i="11"/>
  <c r="I1970" i="11"/>
  <c r="I1939" i="11"/>
  <c r="I1705" i="11"/>
  <c r="I1661" i="11"/>
  <c r="I1624" i="11"/>
  <c r="I1598" i="11"/>
  <c r="I1564" i="11"/>
  <c r="I1537" i="11"/>
  <c r="I1505" i="11"/>
  <c r="I1477" i="11"/>
  <c r="I1458" i="11"/>
  <c r="I1439" i="11"/>
  <c r="I1409" i="11"/>
  <c r="I1381" i="11"/>
  <c r="I1354" i="11"/>
  <c r="I1327" i="11"/>
  <c r="I1300" i="11"/>
  <c r="I1273" i="11"/>
  <c r="I1250" i="11"/>
  <c r="I1222" i="11"/>
  <c r="I1195" i="11"/>
  <c r="I1160" i="11"/>
  <c r="I1140" i="11"/>
  <c r="I1036" i="11"/>
  <c r="I965" i="11"/>
  <c r="I945" i="11"/>
  <c r="I641" i="11"/>
  <c r="I592" i="11"/>
  <c r="I570" i="11"/>
  <c r="I533" i="11"/>
  <c r="I384" i="11"/>
  <c r="I351" i="11"/>
  <c r="I2102" i="11"/>
  <c r="I2171" i="11"/>
  <c r="I2131" i="11"/>
  <c r="I2107" i="11"/>
  <c r="I206" i="11"/>
  <c r="I1597" i="11"/>
  <c r="I1563" i="11"/>
  <c r="I1534" i="11"/>
  <c r="I1502" i="11"/>
  <c r="I1476" i="11"/>
  <c r="I1457" i="11"/>
  <c r="I1426" i="11"/>
  <c r="I1408" i="11"/>
  <c r="I1380" i="11"/>
  <c r="I1322" i="11"/>
  <c r="I1297" i="11"/>
  <c r="I1270" i="11"/>
  <c r="I1249" i="11"/>
  <c r="I1221" i="11"/>
  <c r="I1192" i="11"/>
  <c r="I1159" i="11"/>
  <c r="I1137" i="11"/>
  <c r="I1107" i="11"/>
  <c r="I1062" i="11"/>
  <c r="I1033" i="11"/>
  <c r="I1004" i="11"/>
  <c r="I983" i="11"/>
  <c r="I964" i="11"/>
  <c r="I944" i="11"/>
  <c r="I900" i="11"/>
  <c r="I869" i="11"/>
  <c r="I773" i="11"/>
  <c r="I744" i="11"/>
  <c r="I713" i="11"/>
  <c r="I685" i="11"/>
  <c r="I664" i="11"/>
  <c r="I640" i="11"/>
  <c r="I613" i="11"/>
  <c r="I591" i="11"/>
  <c r="I532" i="11"/>
  <c r="I501" i="11"/>
  <c r="I457" i="11"/>
  <c r="I417" i="11"/>
  <c r="I383" i="11"/>
  <c r="I350" i="11"/>
  <c r="I326" i="11"/>
  <c r="I306" i="11"/>
  <c r="I2159" i="11"/>
  <c r="I260" i="11"/>
  <c r="I244" i="11"/>
  <c r="I2101" i="11"/>
  <c r="I212" i="11"/>
  <c r="I2166" i="11"/>
  <c r="I2129" i="11"/>
  <c r="I2105" i="11"/>
  <c r="I2073" i="11"/>
  <c r="I2042" i="11"/>
  <c r="I2027" i="11"/>
  <c r="I205" i="11"/>
  <c r="I66" i="11"/>
  <c r="I883" i="11"/>
  <c r="I769" i="11"/>
  <c r="I737" i="11"/>
  <c r="I702" i="11"/>
  <c r="I607" i="11"/>
  <c r="I543" i="11"/>
  <c r="I492" i="11"/>
  <c r="I470" i="11"/>
  <c r="I442" i="11"/>
  <c r="I414" i="11"/>
  <c r="I2241" i="11"/>
  <c r="I1984" i="11"/>
  <c r="I1965" i="11"/>
  <c r="I1937" i="11"/>
  <c r="I1701" i="11"/>
  <c r="I1655" i="11"/>
  <c r="I1621" i="11"/>
  <c r="I1533" i="11"/>
  <c r="I1501" i="11"/>
  <c r="I1475" i="11"/>
  <c r="I1456" i="11"/>
  <c r="I1425" i="11"/>
  <c r="I1407" i="11"/>
  <c r="I1379" i="11"/>
  <c r="I1350" i="11"/>
  <c r="I1321" i="11"/>
  <c r="I1269" i="11"/>
  <c r="I1248" i="11"/>
  <c r="I1220" i="11"/>
  <c r="I1191" i="11"/>
  <c r="I1158" i="11"/>
  <c r="I1136" i="11"/>
  <c r="I1106" i="11"/>
  <c r="I1083" i="11"/>
  <c r="I1061" i="11"/>
  <c r="I1032" i="11"/>
  <c r="I1003" i="11"/>
  <c r="I963" i="11"/>
  <c r="I943" i="11"/>
  <c r="I899" i="11"/>
  <c r="I868" i="11"/>
  <c r="I772" i="11"/>
  <c r="I731" i="11"/>
  <c r="I683" i="11"/>
  <c r="I662" i="11"/>
  <c r="I639" i="11"/>
  <c r="I612" i="11"/>
  <c r="I590" i="11"/>
  <c r="I564" i="11"/>
  <c r="I531" i="11"/>
  <c r="I500" i="11"/>
  <c r="I416" i="11"/>
  <c r="I382" i="11"/>
  <c r="I366" i="11"/>
  <c r="I348" i="11"/>
  <c r="I325" i="11"/>
  <c r="I303" i="11"/>
  <c r="I2158" i="11"/>
  <c r="I259" i="11"/>
  <c r="I243" i="11"/>
  <c r="I2100" i="11"/>
  <c r="I211" i="11"/>
  <c r="I2165" i="11"/>
  <c r="I2128" i="11"/>
  <c r="I2072" i="11"/>
  <c r="I2041" i="11"/>
  <c r="I2026" i="11"/>
  <c r="I204" i="11"/>
  <c r="I54" i="11"/>
  <c r="I2246" i="11"/>
  <c r="I2208" i="11"/>
  <c r="I1946" i="11"/>
  <c r="I343" i="11"/>
  <c r="I882" i="11"/>
  <c r="I821" i="11"/>
  <c r="I768" i="11"/>
  <c r="I736" i="11"/>
  <c r="I701" i="11"/>
  <c r="I606" i="11"/>
  <c r="I491" i="11"/>
  <c r="I469" i="11"/>
  <c r="I441" i="11"/>
  <c r="I2239" i="11"/>
  <c r="I2201" i="11"/>
  <c r="I1983" i="11"/>
  <c r="I1963" i="11"/>
  <c r="I1932" i="11"/>
  <c r="I1688" i="11"/>
  <c r="I1650" i="11"/>
  <c r="I1620" i="11"/>
  <c r="I1530" i="11"/>
  <c r="I1498" i="11"/>
  <c r="I1474" i="11"/>
  <c r="I1455" i="11"/>
  <c r="I1424" i="11"/>
  <c r="I1406" i="11"/>
  <c r="I1374" i="11"/>
  <c r="I1349" i="11"/>
  <c r="I1320" i="11"/>
  <c r="I1293" i="11"/>
  <c r="I1268" i="11"/>
  <c r="I1245" i="11"/>
  <c r="I1188" i="11"/>
  <c r="I1153" i="11"/>
  <c r="I1133" i="11"/>
  <c r="I1080" i="11"/>
  <c r="I1058" i="11"/>
  <c r="I1029" i="11"/>
  <c r="I1002" i="11"/>
  <c r="I980" i="11"/>
  <c r="I962" i="11"/>
  <c r="I942" i="11"/>
  <c r="I926" i="11"/>
  <c r="I898" i="11"/>
  <c r="I867" i="11"/>
  <c r="I854" i="11"/>
  <c r="I820" i="11"/>
  <c r="I759" i="11"/>
  <c r="I730" i="11"/>
  <c r="I700" i="11"/>
  <c r="I682" i="11"/>
  <c r="I659" i="11"/>
  <c r="I638" i="11"/>
  <c r="I589" i="11"/>
  <c r="I530" i="11"/>
  <c r="I499" i="11"/>
  <c r="I397" i="11"/>
  <c r="I381" i="11"/>
  <c r="I365" i="11"/>
  <c r="I347" i="11"/>
  <c r="I323" i="11"/>
  <c r="I302" i="11"/>
  <c r="I280" i="11"/>
  <c r="I258" i="11"/>
  <c r="I242" i="11"/>
  <c r="I228" i="11"/>
  <c r="I2168" i="11"/>
  <c r="I2191" i="11"/>
  <c r="I2126" i="11"/>
  <c r="I2094" i="11"/>
  <c r="I2064" i="11"/>
  <c r="I2039" i="11"/>
  <c r="I2024" i="11"/>
  <c r="I203" i="11"/>
  <c r="I42" i="11"/>
  <c r="I2151" i="11"/>
  <c r="I2133" i="11"/>
  <c r="I2070" i="11"/>
  <c r="I2058" i="11"/>
  <c r="I2019" i="11"/>
  <c r="I1777" i="11"/>
  <c r="I1663" i="11"/>
  <c r="I1488" i="11"/>
  <c r="I1316" i="11"/>
  <c r="I1120" i="11"/>
  <c r="I1030" i="11"/>
  <c r="I843" i="11"/>
  <c r="I2244" i="11"/>
  <c r="I2205" i="11"/>
  <c r="I1944" i="11"/>
  <c r="I881" i="11"/>
  <c r="I795" i="11"/>
  <c r="I767" i="11"/>
  <c r="I735" i="11"/>
  <c r="I605" i="11"/>
  <c r="I541" i="11"/>
  <c r="I490" i="11"/>
  <c r="I468" i="11"/>
  <c r="I440" i="11"/>
  <c r="I2237" i="11"/>
  <c r="I2198" i="11"/>
  <c r="I1982" i="11"/>
  <c r="I1961" i="11"/>
  <c r="I1931" i="11"/>
  <c r="I1687" i="11"/>
  <c r="I1649" i="11"/>
  <c r="I1618" i="11"/>
  <c r="I1590" i="11"/>
  <c r="I1562" i="11"/>
  <c r="I1497" i="11"/>
  <c r="I1473" i="11"/>
  <c r="I1453" i="11"/>
  <c r="I1423" i="11"/>
  <c r="I1405" i="11"/>
  <c r="I1373" i="11"/>
  <c r="I1346" i="11"/>
  <c r="I1319" i="11"/>
  <c r="I1292" i="11"/>
  <c r="I1267" i="11"/>
  <c r="I1244" i="11"/>
  <c r="I1219" i="11"/>
  <c r="I1187" i="11"/>
  <c r="I1152" i="11"/>
  <c r="I1132" i="11"/>
  <c r="I1102" i="11"/>
  <c r="I1079" i="11"/>
  <c r="I1057" i="11"/>
  <c r="I1028" i="11"/>
  <c r="I1001" i="11"/>
  <c r="I979" i="11"/>
  <c r="I961" i="11"/>
  <c r="I941" i="11"/>
  <c r="I925" i="11"/>
  <c r="I866" i="11"/>
  <c r="I853" i="11"/>
  <c r="I819" i="11"/>
  <c r="I800" i="11"/>
  <c r="I758" i="11"/>
  <c r="I729" i="11"/>
  <c r="I699" i="11"/>
  <c r="I680" i="11"/>
  <c r="I658" i="11"/>
  <c r="I637" i="11"/>
  <c r="I588" i="11"/>
  <c r="I529" i="11"/>
  <c r="I454" i="11"/>
  <c r="I396" i="11"/>
  <c r="I380" i="11"/>
  <c r="I300" i="11"/>
  <c r="I257" i="11"/>
  <c r="I2038" i="11"/>
  <c r="I2023" i="11"/>
  <c r="I192" i="11"/>
  <c r="I2170" i="11"/>
  <c r="I2130" i="11"/>
  <c r="I2069" i="11"/>
  <c r="I2055" i="11"/>
  <c r="I2016" i="11"/>
  <c r="I1773" i="11"/>
  <c r="I1737" i="11"/>
  <c r="I1658" i="11"/>
  <c r="I1552" i="11"/>
  <c r="I1784" i="11"/>
  <c r="I1308" i="11"/>
  <c r="I1201" i="11"/>
  <c r="I1111" i="11"/>
  <c r="I1025" i="11"/>
  <c r="I840" i="11"/>
  <c r="I2242" i="11"/>
  <c r="I2202" i="11"/>
  <c r="I1942" i="11"/>
  <c r="I337" i="11"/>
  <c r="I880" i="11"/>
  <c r="I794" i="11"/>
  <c r="I766" i="11"/>
  <c r="I734" i="11"/>
  <c r="I604" i="11"/>
  <c r="I517" i="11"/>
  <c r="I489" i="11"/>
  <c r="I467" i="11"/>
  <c r="I439" i="11"/>
  <c r="I411" i="11"/>
  <c r="I2235" i="11"/>
  <c r="I2001" i="11"/>
  <c r="I1981" i="11"/>
  <c r="I1959" i="11"/>
  <c r="I1924" i="11"/>
  <c r="I1686" i="11"/>
  <c r="I1617" i="11"/>
  <c r="I1589" i="11"/>
  <c r="I1557" i="11"/>
  <c r="I1492" i="11"/>
  <c r="I1471" i="11"/>
  <c r="I1452" i="11"/>
  <c r="I1422" i="11"/>
  <c r="I1402" i="11"/>
  <c r="I1371" i="11"/>
  <c r="I1345" i="11"/>
  <c r="I1287" i="11"/>
  <c r="I1266" i="11"/>
  <c r="I1216" i="11"/>
  <c r="I1182" i="11"/>
  <c r="I1151" i="11"/>
  <c r="I1129" i="11"/>
  <c r="I1077" i="11"/>
  <c r="I1055" i="11"/>
  <c r="I1023" i="11"/>
  <c r="I998" i="11"/>
  <c r="I960" i="11"/>
  <c r="I940" i="11"/>
  <c r="I924" i="11"/>
  <c r="I893" i="11"/>
  <c r="I818" i="11"/>
  <c r="I797" i="11"/>
  <c r="I757" i="11"/>
  <c r="I728" i="11"/>
  <c r="I698" i="11"/>
  <c r="I679" i="11"/>
  <c r="I653" i="11"/>
  <c r="I635" i="11"/>
  <c r="I585" i="11"/>
  <c r="I497" i="11"/>
  <c r="I395" i="11"/>
  <c r="I379" i="11"/>
  <c r="I363" i="11"/>
  <c r="I278" i="11"/>
  <c r="I240" i="11"/>
  <c r="I2060" i="11"/>
  <c r="I186" i="11"/>
  <c r="I560" i="11"/>
  <c r="I498" i="11"/>
  <c r="I364" i="11"/>
  <c r="I346" i="11"/>
  <c r="I322" i="11"/>
  <c r="I279" i="11"/>
  <c r="I241" i="11"/>
  <c r="I227" i="11"/>
  <c r="I2167" i="11"/>
  <c r="I2190" i="11"/>
  <c r="I2125" i="11"/>
  <c r="I2063" i="11"/>
  <c r="I39" i="11"/>
  <c r="I559" i="11"/>
  <c r="I527" i="11"/>
  <c r="I453" i="11"/>
  <c r="I345" i="11"/>
  <c r="I320" i="11"/>
  <c r="I298" i="11"/>
  <c r="I224" i="11"/>
  <c r="I2187" i="11"/>
  <c r="I2147" i="11"/>
  <c r="I2123" i="11"/>
  <c r="I2091" i="11"/>
  <c r="I2012" i="11"/>
  <c r="I27" i="11"/>
  <c r="I2020" i="11"/>
  <c r="I15" i="11"/>
  <c r="I581" i="11"/>
  <c r="I554" i="11"/>
  <c r="I525" i="11"/>
  <c r="I495" i="11"/>
  <c r="I427" i="11"/>
  <c r="I377" i="11"/>
  <c r="I294" i="11"/>
  <c r="I254" i="11"/>
  <c r="I2156" i="11"/>
  <c r="I2144" i="11"/>
  <c r="I2117" i="11"/>
  <c r="I2085" i="11"/>
  <c r="I2057" i="11"/>
  <c r="I2009" i="11"/>
  <c r="I171" i="11"/>
  <c r="I14" i="11"/>
  <c r="I313" i="11"/>
  <c r="I235" i="11"/>
  <c r="I2152" i="11"/>
  <c r="I2180" i="11"/>
  <c r="I2113" i="11"/>
  <c r="I2053" i="11"/>
  <c r="I2005" i="11"/>
  <c r="I2014" i="11"/>
  <c r="I142" i="11"/>
  <c r="I812" i="11"/>
  <c r="I779" i="11"/>
  <c r="I751" i="11"/>
  <c r="I722" i="11"/>
  <c r="I692" i="11"/>
  <c r="I671" i="11"/>
  <c r="I646" i="11"/>
  <c r="I619" i="11"/>
  <c r="I597" i="11"/>
  <c r="I538" i="11"/>
  <c r="I463" i="11"/>
  <c r="I423" i="11"/>
  <c r="I389" i="11"/>
  <c r="I373" i="11"/>
  <c r="I357" i="11"/>
  <c r="I312" i="11"/>
  <c r="I286" i="11"/>
  <c r="I269" i="11"/>
  <c r="I250" i="11"/>
  <c r="I234" i="11"/>
  <c r="I2150" i="11"/>
  <c r="I2178" i="11"/>
  <c r="I2138" i="11"/>
  <c r="I2120" i="11"/>
  <c r="I2079" i="11"/>
  <c r="I2051" i="11"/>
  <c r="I2036" i="11"/>
  <c r="I2003" i="11"/>
  <c r="I136" i="11"/>
  <c r="I933" i="11"/>
  <c r="I874" i="11"/>
  <c r="I30" i="11"/>
  <c r="I842" i="11"/>
  <c r="I811" i="11"/>
  <c r="I778" i="11"/>
  <c r="I721" i="11"/>
  <c r="I618" i="11"/>
  <c r="I596" i="11"/>
  <c r="I575" i="11"/>
  <c r="I518" i="11"/>
  <c r="I422" i="11"/>
  <c r="I388" i="11"/>
  <c r="I372" i="11"/>
  <c r="I356" i="11"/>
  <c r="I336" i="11"/>
  <c r="I285" i="11"/>
  <c r="I2149" i="11"/>
  <c r="I2177" i="11"/>
  <c r="I2137" i="11"/>
  <c r="I2078" i="11"/>
  <c r="I2035" i="11"/>
  <c r="I2002" i="11"/>
  <c r="I127" i="11"/>
  <c r="I1167" i="11"/>
  <c r="I1144" i="11"/>
  <c r="I987" i="11"/>
  <c r="I968" i="11"/>
  <c r="I949" i="11"/>
  <c r="I904" i="11"/>
  <c r="I29" i="11"/>
  <c r="I810" i="11"/>
  <c r="I777" i="11"/>
  <c r="I749" i="11"/>
  <c r="I690" i="11"/>
  <c r="I595" i="11"/>
  <c r="I574" i="11"/>
  <c r="I536" i="11"/>
  <c r="I461" i="11"/>
  <c r="I387" i="11"/>
  <c r="I371" i="11"/>
  <c r="I334" i="11"/>
  <c r="I310" i="11"/>
  <c r="I267" i="11"/>
  <c r="I2175" i="11"/>
  <c r="I2135" i="11"/>
  <c r="I2111" i="11"/>
  <c r="I2048" i="11"/>
  <c r="I209" i="11"/>
  <c r="I109" i="11"/>
  <c r="I967" i="11"/>
  <c r="I948" i="11"/>
  <c r="I931" i="11"/>
  <c r="I872" i="11"/>
  <c r="I839" i="11"/>
  <c r="I809" i="11"/>
  <c r="I776" i="11"/>
  <c r="I748" i="11"/>
  <c r="I667" i="11"/>
  <c r="I572" i="11"/>
  <c r="I535" i="11"/>
  <c r="I504" i="11"/>
  <c r="I420" i="11"/>
  <c r="I370" i="11"/>
  <c r="I353" i="11"/>
  <c r="I333" i="11"/>
  <c r="I309" i="11"/>
  <c r="I281" i="11"/>
  <c r="I247" i="11"/>
  <c r="I2134" i="11"/>
  <c r="I2110" i="11"/>
  <c r="I2075" i="11"/>
  <c r="I2032" i="11"/>
  <c r="I103" i="11"/>
  <c r="I930" i="11"/>
  <c r="I902" i="11"/>
  <c r="I775" i="11"/>
  <c r="I715" i="11"/>
  <c r="I686" i="11"/>
  <c r="I642" i="11"/>
  <c r="I534" i="11"/>
  <c r="I503" i="11"/>
  <c r="I459" i="11"/>
  <c r="I385" i="11"/>
  <c r="I328" i="11"/>
  <c r="I2162" i="11"/>
  <c r="I262" i="11"/>
  <c r="I2103" i="11"/>
  <c r="I2108" i="11"/>
  <c r="I2067" i="11"/>
  <c r="I2045" i="11"/>
  <c r="I207" i="11"/>
  <c r="I94" i="11"/>
  <c r="I1084" i="11"/>
  <c r="I1063" i="11"/>
  <c r="I929" i="11"/>
  <c r="I901" i="11"/>
  <c r="I870" i="11"/>
  <c r="I836" i="11"/>
  <c r="I774" i="11"/>
  <c r="I714" i="11"/>
  <c r="I665" i="11"/>
  <c r="I614" i="11"/>
  <c r="I502" i="11"/>
  <c r="I458" i="11"/>
  <c r="I418" i="11"/>
  <c r="I368" i="11"/>
  <c r="I327" i="11"/>
  <c r="I307" i="11"/>
  <c r="I2161" i="11"/>
  <c r="I261" i="11"/>
  <c r="I245" i="11"/>
  <c r="I215" i="11"/>
  <c r="I2066" i="11"/>
  <c r="I2044" i="11"/>
  <c r="I2029" i="11"/>
  <c r="I87" i="11"/>
  <c r="I1919" i="11" l="1"/>
  <c r="H1920" i="11"/>
  <c r="G1920" i="11"/>
  <c r="I1920" i="11" l="1"/>
  <c r="H1921" i="11"/>
  <c r="G1921" i="11"/>
  <c r="I1921" i="11" l="1"/>
  <c r="H1922" i="11"/>
  <c r="G1922" i="11"/>
  <c r="I1922" i="11" l="1"/>
  <c r="H1923" i="11"/>
  <c r="G1923" i="11"/>
  <c r="I1923" i="11" l="1"/>
  <c r="M197" i="16"/>
  <c r="L197" i="16"/>
  <c r="M66" i="16"/>
  <c r="M3" i="16"/>
  <c r="L66" i="16"/>
  <c r="L3" i="16"/>
  <c r="R1210" i="14"/>
  <c r="M1210" i="14"/>
  <c r="L1210" i="14"/>
  <c r="H1210" i="14"/>
  <c r="I1210" i="14" s="1"/>
  <c r="G1210" i="14"/>
  <c r="L111" i="16"/>
  <c r="L821" i="16"/>
  <c r="L1392" i="14"/>
  <c r="L16" i="16"/>
  <c r="L84" i="16"/>
  <c r="M1127" i="14" l="1"/>
  <c r="L1127" i="14"/>
  <c r="L168" i="16"/>
  <c r="M574" i="16"/>
  <c r="L574" i="16"/>
  <c r="H574" i="16"/>
  <c r="G574" i="16"/>
  <c r="M166" i="16"/>
  <c r="L166" i="16"/>
  <c r="H166" i="16"/>
  <c r="G166" i="16"/>
  <c r="I166" i="16" l="1"/>
  <c r="I574" i="16"/>
  <c r="L47" i="16"/>
  <c r="L484" i="16"/>
  <c r="L218" i="16"/>
  <c r="L42" i="16"/>
  <c r="L549" i="16"/>
  <c r="L139" i="16"/>
  <c r="L29" i="16"/>
  <c r="L515" i="16"/>
  <c r="L103" i="16"/>
  <c r="L18" i="16"/>
  <c r="L90" i="16"/>
  <c r="M169" i="16" l="1"/>
  <c r="M37" i="16"/>
  <c r="L37" i="16"/>
  <c r="H37" i="16"/>
  <c r="G37" i="16"/>
  <c r="M35" i="16"/>
  <c r="L35" i="16"/>
  <c r="H35" i="16"/>
  <c r="G35" i="16"/>
  <c r="M34" i="16"/>
  <c r="L34" i="16"/>
  <c r="H34" i="16"/>
  <c r="G34" i="16"/>
  <c r="K160" i="16"/>
  <c r="M160" i="16" s="1"/>
  <c r="M159" i="16"/>
  <c r="L159" i="16"/>
  <c r="M157" i="16"/>
  <c r="L153" i="16"/>
  <c r="M33" i="16"/>
  <c r="M151" i="16"/>
  <c r="M172" i="16"/>
  <c r="L172" i="16"/>
  <c r="M171" i="16"/>
  <c r="L171" i="16"/>
  <c r="M170" i="16"/>
  <c r="L170" i="16"/>
  <c r="L169" i="16"/>
  <c r="M167" i="16"/>
  <c r="L167" i="16"/>
  <c r="M330" i="16"/>
  <c r="L330" i="16"/>
  <c r="M120" i="16"/>
  <c r="M26" i="16"/>
  <c r="L26" i="16"/>
  <c r="L120" i="16"/>
  <c r="M22" i="16"/>
  <c r="L22" i="16"/>
  <c r="M117" i="16"/>
  <c r="L117" i="16"/>
  <c r="H854" i="16"/>
  <c r="G854" i="16"/>
  <c r="H853" i="16"/>
  <c r="G853" i="16"/>
  <c r="H852" i="16"/>
  <c r="G852" i="16"/>
  <c r="H855" i="16"/>
  <c r="G855" i="16"/>
  <c r="H863" i="16"/>
  <c r="G863" i="16"/>
  <c r="H862" i="16"/>
  <c r="G862" i="16"/>
  <c r="H861" i="16"/>
  <c r="G861" i="16"/>
  <c r="G901" i="16"/>
  <c r="H901" i="16"/>
  <c r="G902" i="16"/>
  <c r="H902" i="16"/>
  <c r="G903" i="16"/>
  <c r="H903" i="16"/>
  <c r="G904" i="16"/>
  <c r="H904" i="16"/>
  <c r="G905" i="16"/>
  <c r="H905" i="16"/>
  <c r="G819" i="16"/>
  <c r="H819" i="16"/>
  <c r="L819" i="16"/>
  <c r="M819" i="16"/>
  <c r="M397" i="16"/>
  <c r="M396" i="16"/>
  <c r="M395" i="16"/>
  <c r="L397" i="16"/>
  <c r="L396" i="16"/>
  <c r="L395" i="16"/>
  <c r="M874" i="16"/>
  <c r="M873" i="16"/>
  <c r="M875" i="16"/>
  <c r="M872" i="16"/>
  <c r="M871" i="16"/>
  <c r="M870" i="16"/>
  <c r="M869" i="16"/>
  <c r="M868" i="16"/>
  <c r="M867" i="16"/>
  <c r="M866" i="16"/>
  <c r="M865" i="16"/>
  <c r="M864" i="16"/>
  <c r="M854" i="16"/>
  <c r="M853" i="16"/>
  <c r="M852" i="16"/>
  <c r="M855" i="16"/>
  <c r="M863" i="16"/>
  <c r="M862" i="16"/>
  <c r="M861" i="16"/>
  <c r="M860" i="16"/>
  <c r="M859" i="16"/>
  <c r="M858" i="16"/>
  <c r="M857" i="16"/>
  <c r="M851" i="16"/>
  <c r="M856" i="16"/>
  <c r="M850" i="16"/>
  <c r="M849" i="16"/>
  <c r="M848" i="16"/>
  <c r="M847" i="16"/>
  <c r="M846" i="16"/>
  <c r="M845" i="16"/>
  <c r="M844" i="16"/>
  <c r="M843" i="16"/>
  <c r="M842" i="16"/>
  <c r="M841" i="16"/>
  <c r="M832" i="16"/>
  <c r="M831" i="16"/>
  <c r="M830" i="16"/>
  <c r="M840" i="16"/>
  <c r="M839" i="16"/>
  <c r="M838" i="16"/>
  <c r="M837" i="16"/>
  <c r="M836" i="16"/>
  <c r="M835" i="16"/>
  <c r="M834" i="16"/>
  <c r="M833" i="16"/>
  <c r="M829" i="16"/>
  <c r="M394" i="16"/>
  <c r="M65" i="16"/>
  <c r="M393" i="16"/>
  <c r="M64" i="16"/>
  <c r="M428" i="16"/>
  <c r="M427" i="16"/>
  <c r="M433" i="16"/>
  <c r="M432" i="16"/>
  <c r="M434" i="16"/>
  <c r="M431" i="16"/>
  <c r="M430" i="16"/>
  <c r="M429" i="16"/>
  <c r="M426" i="16"/>
  <c r="M425" i="16"/>
  <c r="M424" i="16"/>
  <c r="M423" i="16"/>
  <c r="M422" i="16"/>
  <c r="M421" i="16"/>
  <c r="M419" i="16"/>
  <c r="M420" i="16"/>
  <c r="M418" i="16"/>
  <c r="M417" i="16"/>
  <c r="M416" i="16"/>
  <c r="M415" i="16"/>
  <c r="M414" i="16"/>
  <c r="M413" i="16"/>
  <c r="M412" i="16"/>
  <c r="M411" i="16"/>
  <c r="M410" i="16"/>
  <c r="M401" i="16"/>
  <c r="M400" i="16"/>
  <c r="M399" i="16"/>
  <c r="M409" i="16"/>
  <c r="M408" i="16"/>
  <c r="M407" i="16"/>
  <c r="M406" i="16"/>
  <c r="M405" i="16"/>
  <c r="M404" i="16"/>
  <c r="M403" i="16"/>
  <c r="M402" i="16"/>
  <c r="M398" i="16"/>
  <c r="L398" i="16"/>
  <c r="L874" i="16"/>
  <c r="L873" i="16"/>
  <c r="L875" i="16"/>
  <c r="L872" i="16"/>
  <c r="L871" i="16"/>
  <c r="L870" i="16"/>
  <c r="L869" i="16"/>
  <c r="L868" i="16"/>
  <c r="L867" i="16"/>
  <c r="L866" i="16"/>
  <c r="L865" i="16"/>
  <c r="L864" i="16"/>
  <c r="L854" i="16"/>
  <c r="L853" i="16"/>
  <c r="L852" i="16"/>
  <c r="L855" i="16"/>
  <c r="L863" i="16"/>
  <c r="L862" i="16"/>
  <c r="L861" i="16"/>
  <c r="L860" i="16"/>
  <c r="L859" i="16"/>
  <c r="L858" i="16"/>
  <c r="L857" i="16"/>
  <c r="L851" i="16"/>
  <c r="L856" i="16"/>
  <c r="L850" i="16"/>
  <c r="L849" i="16"/>
  <c r="L848" i="16"/>
  <c r="L847" i="16"/>
  <c r="L846" i="16"/>
  <c r="L845" i="16"/>
  <c r="L844" i="16"/>
  <c r="L843" i="16"/>
  <c r="L842" i="16"/>
  <c r="L841" i="16"/>
  <c r="L832" i="16"/>
  <c r="L831" i="16"/>
  <c r="L830" i="16"/>
  <c r="L840" i="16"/>
  <c r="L839" i="16"/>
  <c r="L838" i="16"/>
  <c r="L837" i="16"/>
  <c r="L836" i="16"/>
  <c r="L835" i="16"/>
  <c r="L834" i="16"/>
  <c r="L833" i="16"/>
  <c r="L829" i="16"/>
  <c r="L394" i="16"/>
  <c r="L65" i="16"/>
  <c r="L393" i="16"/>
  <c r="L64" i="16"/>
  <c r="L428" i="16"/>
  <c r="L427" i="16"/>
  <c r="L433" i="16"/>
  <c r="L432" i="16"/>
  <c r="L434" i="16"/>
  <c r="L431" i="16"/>
  <c r="L430" i="16"/>
  <c r="L429" i="16"/>
  <c r="L426" i="16"/>
  <c r="L425" i="16"/>
  <c r="L424" i="16"/>
  <c r="L423" i="16"/>
  <c r="L422" i="16"/>
  <c r="L421" i="16"/>
  <c r="L419" i="16"/>
  <c r="L420" i="16"/>
  <c r="L418" i="16"/>
  <c r="L417" i="16"/>
  <c r="L416" i="16"/>
  <c r="L415" i="16"/>
  <c r="L414" i="16"/>
  <c r="L413" i="16"/>
  <c r="L412" i="16"/>
  <c r="L411" i="16"/>
  <c r="L410" i="16"/>
  <c r="L401" i="16"/>
  <c r="L400" i="16"/>
  <c r="L399" i="16"/>
  <c r="L409" i="16"/>
  <c r="L408" i="16"/>
  <c r="L407" i="16"/>
  <c r="L406" i="16"/>
  <c r="L405" i="16"/>
  <c r="L404" i="16"/>
  <c r="L403" i="16"/>
  <c r="L402" i="16"/>
  <c r="M905" i="16"/>
  <c r="M904" i="16"/>
  <c r="M903" i="16"/>
  <c r="M902" i="16"/>
  <c r="M901" i="16"/>
  <c r="M890" i="16"/>
  <c r="M889" i="16"/>
  <c r="M888" i="16"/>
  <c r="M887" i="16"/>
  <c r="M886" i="16"/>
  <c r="M885" i="16"/>
  <c r="M892" i="16"/>
  <c r="M900" i="16"/>
  <c r="M899" i="16"/>
  <c r="M898" i="16"/>
  <c r="M897" i="16"/>
  <c r="M896" i="16"/>
  <c r="M895" i="16"/>
  <c r="M894" i="16"/>
  <c r="M893" i="16"/>
  <c r="M891" i="16"/>
  <c r="M884" i="16"/>
  <c r="M883" i="16"/>
  <c r="M882" i="16"/>
  <c r="M881" i="16"/>
  <c r="M880" i="16"/>
  <c r="M879" i="16"/>
  <c r="M878" i="16"/>
  <c r="M877" i="16"/>
  <c r="M876" i="16"/>
  <c r="M448" i="16"/>
  <c r="M447" i="16"/>
  <c r="M446" i="16"/>
  <c r="M445" i="16"/>
  <c r="M444" i="16"/>
  <c r="M450" i="16"/>
  <c r="M456" i="16"/>
  <c r="M455" i="16"/>
  <c r="M454" i="16"/>
  <c r="M453" i="16"/>
  <c r="M452" i="16"/>
  <c r="M451" i="16"/>
  <c r="M449" i="16"/>
  <c r="M457" i="16"/>
  <c r="M443" i="16"/>
  <c r="M442" i="16"/>
  <c r="M441" i="16"/>
  <c r="M440" i="16"/>
  <c r="M439" i="16"/>
  <c r="M438" i="16"/>
  <c r="M437" i="16"/>
  <c r="M436" i="16"/>
  <c r="M435" i="16"/>
  <c r="L435" i="16"/>
  <c r="L905" i="16"/>
  <c r="L904" i="16"/>
  <c r="L903" i="16"/>
  <c r="L902" i="16"/>
  <c r="L901" i="16"/>
  <c r="L889" i="16"/>
  <c r="L888" i="16"/>
  <c r="L887" i="16"/>
  <c r="L885" i="16"/>
  <c r="L892" i="16"/>
  <c r="L900" i="16"/>
  <c r="L899" i="16"/>
  <c r="L898" i="16"/>
  <c r="L897" i="16"/>
  <c r="L896" i="16"/>
  <c r="L895" i="16"/>
  <c r="L894" i="16"/>
  <c r="L893" i="16"/>
  <c r="L891" i="16"/>
  <c r="L884" i="16"/>
  <c r="L883" i="16"/>
  <c r="L882" i="16"/>
  <c r="L881" i="16"/>
  <c r="L880" i="16"/>
  <c r="L879" i="16"/>
  <c r="L878" i="16"/>
  <c r="L877" i="16"/>
  <c r="L876" i="16"/>
  <c r="L448" i="16"/>
  <c r="L447" i="16"/>
  <c r="L446" i="16"/>
  <c r="L445" i="16"/>
  <c r="L444" i="16"/>
  <c r="L450" i="16"/>
  <c r="L456" i="16"/>
  <c r="L455" i="16"/>
  <c r="L454" i="16"/>
  <c r="L453" i="16"/>
  <c r="L452" i="16"/>
  <c r="L451" i="16"/>
  <c r="L449" i="16"/>
  <c r="L457" i="16"/>
  <c r="L443" i="16"/>
  <c r="L442" i="16"/>
  <c r="L441" i="16"/>
  <c r="L440" i="16"/>
  <c r="L439" i="16"/>
  <c r="L438" i="16"/>
  <c r="L437" i="16"/>
  <c r="L436" i="16"/>
  <c r="M816" i="16"/>
  <c r="M815" i="16"/>
  <c r="M814" i="16"/>
  <c r="M813" i="16"/>
  <c r="M812" i="16"/>
  <c r="M811" i="16"/>
  <c r="M809" i="16"/>
  <c r="M808" i="16"/>
  <c r="M496" i="16"/>
  <c r="M495" i="16"/>
  <c r="M494" i="16"/>
  <c r="M493" i="16"/>
  <c r="M492" i="16"/>
  <c r="M491" i="16"/>
  <c r="M83" i="16"/>
  <c r="M82" i="16"/>
  <c r="M81" i="16"/>
  <c r="M80" i="16"/>
  <c r="M79" i="16"/>
  <c r="M78" i="16"/>
  <c r="M77" i="16"/>
  <c r="M76" i="16"/>
  <c r="M75" i="16"/>
  <c r="M74" i="16"/>
  <c r="M15" i="16"/>
  <c r="M73" i="16"/>
  <c r="M72" i="16"/>
  <c r="M14" i="16"/>
  <c r="M71" i="16"/>
  <c r="L71" i="16"/>
  <c r="L816" i="16"/>
  <c r="L815" i="16"/>
  <c r="L814" i="16"/>
  <c r="L813" i="16"/>
  <c r="L812" i="16"/>
  <c r="L811" i="16"/>
  <c r="L809" i="16"/>
  <c r="L808" i="16"/>
  <c r="L496" i="16"/>
  <c r="L495" i="16"/>
  <c r="L494" i="16"/>
  <c r="L493" i="16"/>
  <c r="L492" i="16"/>
  <c r="L491" i="16"/>
  <c r="L83" i="16"/>
  <c r="L82" i="16"/>
  <c r="L81" i="16"/>
  <c r="L80" i="16"/>
  <c r="L79" i="16"/>
  <c r="L78" i="16"/>
  <c r="L77" i="16"/>
  <c r="L76" i="16"/>
  <c r="L75" i="16"/>
  <c r="L74" i="16"/>
  <c r="L15" i="16"/>
  <c r="L73" i="16"/>
  <c r="L72" i="16"/>
  <c r="L14" i="16"/>
  <c r="H890" i="16"/>
  <c r="G890" i="16"/>
  <c r="H892" i="16"/>
  <c r="G892" i="16"/>
  <c r="H869" i="16"/>
  <c r="G869" i="16"/>
  <c r="H868" i="16"/>
  <c r="G868" i="16"/>
  <c r="H867" i="16"/>
  <c r="G867" i="16"/>
  <c r="H866" i="16"/>
  <c r="G866" i="16"/>
  <c r="H849" i="16"/>
  <c r="G849" i="16"/>
  <c r="H889" i="16"/>
  <c r="G889" i="16"/>
  <c r="H888" i="16"/>
  <c r="G888" i="16"/>
  <c r="H887" i="16"/>
  <c r="G887" i="16"/>
  <c r="H886" i="16"/>
  <c r="G886" i="16"/>
  <c r="H885" i="16"/>
  <c r="G885" i="16"/>
  <c r="H899" i="16"/>
  <c r="G899" i="16"/>
  <c r="H898" i="16"/>
  <c r="G898" i="16"/>
  <c r="H897" i="16"/>
  <c r="G897" i="16"/>
  <c r="H896" i="16"/>
  <c r="G896" i="16"/>
  <c r="H895" i="16"/>
  <c r="G895" i="16"/>
  <c r="H894" i="16"/>
  <c r="G894" i="16"/>
  <c r="H893" i="16"/>
  <c r="G893" i="16"/>
  <c r="H891" i="16"/>
  <c r="G891" i="16"/>
  <c r="H884" i="16"/>
  <c r="G884" i="16"/>
  <c r="H883" i="16"/>
  <c r="G883" i="16"/>
  <c r="H882" i="16"/>
  <c r="G882" i="16"/>
  <c r="H881" i="16"/>
  <c r="G881" i="16"/>
  <c r="H880" i="16"/>
  <c r="G880" i="16"/>
  <c r="H879" i="16"/>
  <c r="G879" i="16"/>
  <c r="H878" i="16"/>
  <c r="G878" i="16"/>
  <c r="H877" i="16"/>
  <c r="G877" i="16"/>
  <c r="H876" i="16"/>
  <c r="G876" i="16"/>
  <c r="H874" i="16"/>
  <c r="G874" i="16"/>
  <c r="H873" i="16"/>
  <c r="G873" i="16"/>
  <c r="H875" i="16"/>
  <c r="G875" i="16"/>
  <c r="H872" i="16"/>
  <c r="G872" i="16"/>
  <c r="H871" i="16"/>
  <c r="G871" i="16"/>
  <c r="H870" i="16"/>
  <c r="G870" i="16"/>
  <c r="H865" i="16"/>
  <c r="G865" i="16"/>
  <c r="H864" i="16"/>
  <c r="G864" i="16"/>
  <c r="H860" i="16"/>
  <c r="G860" i="16"/>
  <c r="H859" i="16"/>
  <c r="G859" i="16"/>
  <c r="H858" i="16"/>
  <c r="G858" i="16"/>
  <c r="H857" i="16"/>
  <c r="G857" i="16"/>
  <c r="H851" i="16"/>
  <c r="G851" i="16"/>
  <c r="H856" i="16"/>
  <c r="G856" i="16"/>
  <c r="H850" i="16"/>
  <c r="G850" i="16"/>
  <c r="H848" i="16"/>
  <c r="G848" i="16"/>
  <c r="H847" i="16"/>
  <c r="G847" i="16"/>
  <c r="H846" i="16"/>
  <c r="G846" i="16"/>
  <c r="H845" i="16"/>
  <c r="G845" i="16"/>
  <c r="H844" i="16"/>
  <c r="G844" i="16"/>
  <c r="H843" i="16"/>
  <c r="G843" i="16"/>
  <c r="H842" i="16"/>
  <c r="G842" i="16"/>
  <c r="H841" i="16"/>
  <c r="G841" i="16"/>
  <c r="H832" i="16"/>
  <c r="G832" i="16"/>
  <c r="H831" i="16"/>
  <c r="G831" i="16"/>
  <c r="H830" i="16"/>
  <c r="G830" i="16"/>
  <c r="H840" i="16"/>
  <c r="G840" i="16"/>
  <c r="H839" i="16"/>
  <c r="G839" i="16"/>
  <c r="H838" i="16"/>
  <c r="G838" i="16"/>
  <c r="H837" i="16"/>
  <c r="G837" i="16"/>
  <c r="H836" i="16"/>
  <c r="G836" i="16"/>
  <c r="H835" i="16"/>
  <c r="G835" i="16"/>
  <c r="H834" i="16"/>
  <c r="G834" i="16"/>
  <c r="H833" i="16"/>
  <c r="G833" i="16"/>
  <c r="H829" i="16"/>
  <c r="G829" i="16"/>
  <c r="R1180" i="14"/>
  <c r="M1180" i="14"/>
  <c r="L1180" i="14"/>
  <c r="H1180" i="14"/>
  <c r="G1180" i="14"/>
  <c r="R966" i="14"/>
  <c r="M966" i="14"/>
  <c r="L966" i="14"/>
  <c r="H966" i="14"/>
  <c r="G966" i="14"/>
  <c r="R1176" i="14"/>
  <c r="M1176" i="14"/>
  <c r="L1176" i="14"/>
  <c r="H1176" i="14"/>
  <c r="G1176" i="14"/>
  <c r="I1176" i="14" l="1"/>
  <c r="I1180" i="14"/>
  <c r="I902" i="16"/>
  <c r="I35" i="16"/>
  <c r="I855" i="16"/>
  <c r="I34" i="16"/>
  <c r="I852" i="16"/>
  <c r="I887" i="16"/>
  <c r="I841" i="16"/>
  <c r="I865" i="16"/>
  <c r="I891" i="16"/>
  <c r="I892" i="16"/>
  <c r="I853" i="16"/>
  <c r="I901" i="16"/>
  <c r="I966" i="14"/>
  <c r="I869" i="16"/>
  <c r="I890" i="16"/>
  <c r="I870" i="16"/>
  <c r="I893" i="16"/>
  <c r="I842" i="16"/>
  <c r="I877" i="16"/>
  <c r="I850" i="16"/>
  <c r="I837" i="16"/>
  <c r="I856" i="16"/>
  <c r="I819" i="16"/>
  <c r="I864" i="16"/>
  <c r="I884" i="16"/>
  <c r="I832" i="16"/>
  <c r="I836" i="16"/>
  <c r="I878" i="16"/>
  <c r="I885" i="16"/>
  <c r="I905" i="16"/>
  <c r="I844" i="16"/>
  <c r="I872" i="16"/>
  <c r="I895" i="16"/>
  <c r="I834" i="16"/>
  <c r="I847" i="16"/>
  <c r="I874" i="16"/>
  <c r="I859" i="16"/>
  <c r="I882" i="16"/>
  <c r="I889" i="16"/>
  <c r="I867" i="16"/>
  <c r="I861" i="16"/>
  <c r="I37" i="16"/>
  <c r="I866" i="16"/>
  <c r="I854" i="16"/>
  <c r="I871" i="16"/>
  <c r="I831" i="16"/>
  <c r="I860" i="16"/>
  <c r="I883" i="16"/>
  <c r="I849" i="16"/>
  <c r="I868" i="16"/>
  <c r="I862" i="16"/>
  <c r="I881" i="16"/>
  <c r="I848" i="16"/>
  <c r="I829" i="16"/>
  <c r="I845" i="16"/>
  <c r="I875" i="16"/>
  <c r="I896" i="16"/>
  <c r="I863" i="16"/>
  <c r="I888" i="16"/>
  <c r="I838" i="16"/>
  <c r="I851" i="16"/>
  <c r="I879" i="16"/>
  <c r="I886" i="16"/>
  <c r="I833" i="16"/>
  <c r="I846" i="16"/>
  <c r="I873" i="16"/>
  <c r="I897" i="16"/>
  <c r="I904" i="16"/>
  <c r="I876" i="16"/>
  <c r="I840" i="16"/>
  <c r="I899" i="16"/>
  <c r="I894" i="16"/>
  <c r="I830" i="16"/>
  <c r="I839" i="16"/>
  <c r="I857" i="16"/>
  <c r="I880" i="16"/>
  <c r="I903" i="16"/>
  <c r="I858" i="16"/>
  <c r="I835" i="16"/>
  <c r="I843" i="16"/>
  <c r="I898" i="16"/>
  <c r="L160" i="16"/>
  <c r="M922" i="16" l="1"/>
  <c r="L922" i="16"/>
  <c r="H922" i="16"/>
  <c r="G922" i="16"/>
  <c r="M921" i="16"/>
  <c r="L921" i="16"/>
  <c r="H921" i="16"/>
  <c r="G921" i="16"/>
  <c r="M920" i="16"/>
  <c r="L920" i="16"/>
  <c r="H920" i="16"/>
  <c r="G920" i="16"/>
  <c r="M919" i="16"/>
  <c r="L919" i="16"/>
  <c r="H919" i="16"/>
  <c r="G919" i="16"/>
  <c r="M918" i="16"/>
  <c r="L918" i="16"/>
  <c r="H918" i="16"/>
  <c r="G918" i="16"/>
  <c r="M917" i="16"/>
  <c r="L917" i="16"/>
  <c r="H917" i="16"/>
  <c r="G917" i="16"/>
  <c r="M916" i="16"/>
  <c r="L916" i="16"/>
  <c r="H916" i="16"/>
  <c r="G916" i="16"/>
  <c r="M915" i="16"/>
  <c r="L915" i="16"/>
  <c r="H915" i="16"/>
  <c r="G915" i="16"/>
  <c r="M914" i="16"/>
  <c r="L914" i="16"/>
  <c r="H914" i="16"/>
  <c r="G914" i="16"/>
  <c r="M913" i="16"/>
  <c r="L913" i="16"/>
  <c r="H913" i="16"/>
  <c r="G913" i="16"/>
  <c r="R1297" i="14"/>
  <c r="M1297" i="14"/>
  <c r="L1297" i="14"/>
  <c r="H1297" i="14"/>
  <c r="G1297" i="14"/>
  <c r="R839" i="14"/>
  <c r="M839" i="14"/>
  <c r="L839" i="14"/>
  <c r="H839" i="14"/>
  <c r="G839" i="14"/>
  <c r="R1010" i="14"/>
  <c r="H1010" i="14"/>
  <c r="G1010" i="14"/>
  <c r="H1016" i="14"/>
  <c r="H1022" i="14"/>
  <c r="H1028" i="14"/>
  <c r="H1035" i="14"/>
  <c r="G1016" i="14"/>
  <c r="G1022" i="14"/>
  <c r="G1028" i="14"/>
  <c r="G1035" i="14"/>
  <c r="I1010" i="14" l="1"/>
  <c r="I1297" i="14"/>
  <c r="I915" i="16"/>
  <c r="I839" i="14"/>
  <c r="M1010" i="14"/>
  <c r="L1010" i="14"/>
  <c r="I1016" i="14"/>
  <c r="I921" i="16"/>
  <c r="I1028" i="14"/>
  <c r="I920" i="16"/>
  <c r="I919" i="16"/>
  <c r="I916" i="16"/>
  <c r="I913" i="16"/>
  <c r="I918" i="16"/>
  <c r="I1035" i="14"/>
  <c r="I1022" i="14"/>
  <c r="I914" i="16"/>
  <c r="I922" i="16"/>
  <c r="I917" i="16"/>
  <c r="R683" i="14"/>
  <c r="H683" i="14"/>
  <c r="G683" i="14"/>
  <c r="R679" i="14"/>
  <c r="M679" i="14"/>
  <c r="L679" i="14"/>
  <c r="H679" i="14"/>
  <c r="G679" i="14"/>
  <c r="M212" i="16"/>
  <c r="L212" i="16"/>
  <c r="M38" i="14"/>
  <c r="L38" i="14"/>
  <c r="M35" i="14"/>
  <c r="L35" i="14"/>
  <c r="R587" i="14"/>
  <c r="R336" i="14"/>
  <c r="R373" i="14"/>
  <c r="R379" i="14"/>
  <c r="R384" i="14"/>
  <c r="R403" i="14"/>
  <c r="R409" i="14"/>
  <c r="R414" i="14"/>
  <c r="R421" i="14"/>
  <c r="R574" i="14"/>
  <c r="R670" i="14"/>
  <c r="R849" i="14"/>
  <c r="R856" i="14"/>
  <c r="R868" i="14"/>
  <c r="R954" i="14"/>
  <c r="R992" i="14"/>
  <c r="R996" i="14"/>
  <c r="R1006" i="14"/>
  <c r="R1041" i="14"/>
  <c r="R1045" i="14"/>
  <c r="R18" i="14"/>
  <c r="R22" i="14"/>
  <c r="R28" i="14"/>
  <c r="R31" i="14"/>
  <c r="R35" i="14"/>
  <c r="R38" i="14"/>
  <c r="R42" i="14"/>
  <c r="R47" i="14"/>
  <c r="R226" i="14"/>
  <c r="R1387" i="14"/>
  <c r="R1392" i="14"/>
  <c r="R1397" i="14"/>
  <c r="R1402" i="14"/>
  <c r="R1411" i="14"/>
  <c r="R1415" i="14"/>
  <c r="R1419" i="14"/>
  <c r="R1346" i="14"/>
  <c r="R1347" i="14"/>
  <c r="R1349" i="14"/>
  <c r="R1351" i="14"/>
  <c r="R1352" i="14"/>
  <c r="R1354" i="14"/>
  <c r="R1356" i="14"/>
  <c r="R1357" i="14"/>
  <c r="R1359" i="14"/>
  <c r="H587" i="14"/>
  <c r="H336" i="14"/>
  <c r="H373" i="14"/>
  <c r="H379" i="14"/>
  <c r="H384" i="14"/>
  <c r="H403" i="14"/>
  <c r="H409" i="14"/>
  <c r="H414" i="14"/>
  <c r="H421" i="14"/>
  <c r="H574" i="14"/>
  <c r="H670" i="14"/>
  <c r="H849" i="14"/>
  <c r="H856" i="14"/>
  <c r="H868" i="14"/>
  <c r="H954" i="14"/>
  <c r="H992" i="14"/>
  <c r="H996" i="14"/>
  <c r="H1006" i="14"/>
  <c r="H1041" i="14"/>
  <c r="H1045" i="14"/>
  <c r="H18" i="14"/>
  <c r="H22" i="14"/>
  <c r="H28" i="14"/>
  <c r="H31" i="14"/>
  <c r="H35" i="14"/>
  <c r="H38" i="14"/>
  <c r="H42" i="14"/>
  <c r="H47" i="14"/>
  <c r="H226" i="14"/>
  <c r="H1387" i="14"/>
  <c r="H1392" i="14"/>
  <c r="H1397" i="14"/>
  <c r="H1402" i="14"/>
  <c r="H1411" i="14"/>
  <c r="H1415" i="14"/>
  <c r="H1419" i="14"/>
  <c r="H1346" i="14"/>
  <c r="H1347" i="14"/>
  <c r="H1349" i="14"/>
  <c r="H1351" i="14"/>
  <c r="H1352" i="14"/>
  <c r="H1354" i="14"/>
  <c r="H1356" i="14"/>
  <c r="H1357" i="14"/>
  <c r="H1359" i="14"/>
  <c r="G587" i="14"/>
  <c r="G336" i="14"/>
  <c r="G373" i="14"/>
  <c r="G379" i="14"/>
  <c r="G384" i="14"/>
  <c r="G403" i="14"/>
  <c r="G409" i="14"/>
  <c r="G414" i="14"/>
  <c r="G421" i="14"/>
  <c r="G574" i="14"/>
  <c r="G670" i="14"/>
  <c r="G849" i="14"/>
  <c r="G856" i="14"/>
  <c r="G868" i="14"/>
  <c r="G954" i="14"/>
  <c r="G992" i="14"/>
  <c r="G996" i="14"/>
  <c r="G1006" i="14"/>
  <c r="G1041" i="14"/>
  <c r="G1045" i="14"/>
  <c r="G18" i="14"/>
  <c r="G22" i="14"/>
  <c r="G28" i="14"/>
  <c r="G31" i="14"/>
  <c r="G35" i="14"/>
  <c r="G38" i="14"/>
  <c r="G42" i="14"/>
  <c r="G47" i="14"/>
  <c r="G226" i="14"/>
  <c r="G1387" i="14"/>
  <c r="G1392" i="14"/>
  <c r="G1397" i="14"/>
  <c r="G1402" i="14"/>
  <c r="G1411" i="14"/>
  <c r="G1415" i="14"/>
  <c r="G1419" i="14"/>
  <c r="G1346" i="14"/>
  <c r="G1347" i="14"/>
  <c r="G1349" i="14"/>
  <c r="G1351" i="14"/>
  <c r="G1352" i="14"/>
  <c r="G1354" i="14"/>
  <c r="G1356" i="14"/>
  <c r="G1357" i="14"/>
  <c r="G1359" i="14"/>
  <c r="G808" i="16"/>
  <c r="H808" i="16"/>
  <c r="G809" i="16"/>
  <c r="H809" i="16"/>
  <c r="G811" i="16"/>
  <c r="H811" i="16"/>
  <c r="G812" i="16"/>
  <c r="H812" i="16"/>
  <c r="G813" i="16"/>
  <c r="H813" i="16"/>
  <c r="G814" i="16"/>
  <c r="H814" i="16"/>
  <c r="G815" i="16"/>
  <c r="H815" i="16"/>
  <c r="G816" i="16"/>
  <c r="H816" i="16"/>
  <c r="H828" i="16"/>
  <c r="G828" i="16"/>
  <c r="H827" i="16"/>
  <c r="G827" i="16"/>
  <c r="H826" i="16"/>
  <c r="G826" i="16"/>
  <c r="M823" i="16"/>
  <c r="L823" i="16"/>
  <c r="M822" i="16"/>
  <c r="L822" i="16"/>
  <c r="M821" i="16"/>
  <c r="M820" i="16"/>
  <c r="L820" i="16"/>
  <c r="H823" i="16"/>
  <c r="G823" i="16"/>
  <c r="H822" i="16"/>
  <c r="G822" i="16"/>
  <c r="H821" i="16"/>
  <c r="G821" i="16"/>
  <c r="H820" i="16"/>
  <c r="G820" i="16"/>
  <c r="I814" i="16" l="1"/>
  <c r="I1006" i="14"/>
  <c r="I1411" i="14"/>
  <c r="I336" i="14"/>
  <c r="I1351" i="14"/>
  <c r="I816" i="16"/>
  <c r="I828" i="16"/>
  <c r="I1349" i="14"/>
  <c r="I808" i="16"/>
  <c r="I822" i="16"/>
  <c r="I823" i="16"/>
  <c r="I809" i="16"/>
  <c r="I815" i="16"/>
  <c r="I28" i="14"/>
  <c r="I1346" i="14"/>
  <c r="I1392" i="14"/>
  <c r="I826" i="16"/>
  <c r="I821" i="16"/>
  <c r="I18" i="14"/>
  <c r="I683" i="14"/>
  <c r="I31" i="14"/>
  <c r="I1347" i="14"/>
  <c r="I827" i="16"/>
  <c r="I1387" i="14"/>
  <c r="I226" i="14"/>
  <c r="I1359" i="14"/>
  <c r="I679" i="14"/>
  <c r="I868" i="14"/>
  <c r="I1354" i="14"/>
  <c r="I38" i="14"/>
  <c r="I1352" i="14"/>
  <c r="I35" i="14"/>
  <c r="I1397" i="14"/>
  <c r="I992" i="14"/>
  <c r="I587" i="14"/>
  <c r="I1357" i="14"/>
  <c r="I811" i="16"/>
  <c r="I813" i="16"/>
  <c r="I820" i="16"/>
  <c r="I812" i="16"/>
  <c r="I1402" i="14"/>
  <c r="I996" i="14"/>
  <c r="I954" i="14"/>
  <c r="I856" i="14"/>
  <c r="I47" i="14"/>
  <c r="I849" i="14"/>
  <c r="I1356" i="14"/>
  <c r="I42" i="14"/>
  <c r="I670" i="14"/>
  <c r="I574" i="14"/>
  <c r="I421" i="14"/>
  <c r="I414" i="14"/>
  <c r="I409" i="14"/>
  <c r="I22" i="14"/>
  <c r="I403" i="14"/>
  <c r="I384" i="14"/>
  <c r="I1419" i="14"/>
  <c r="I1045" i="14"/>
  <c r="I379" i="14"/>
  <c r="I1415" i="14"/>
  <c r="I1041" i="14"/>
  <c r="I373" i="14"/>
  <c r="M826" i="16"/>
  <c r="L826" i="16"/>
  <c r="M827" i="16"/>
  <c r="L827" i="16"/>
  <c r="M828" i="16"/>
  <c r="L828" i="16"/>
  <c r="M515" i="16" l="1"/>
  <c r="H515" i="16"/>
  <c r="H497" i="16"/>
  <c r="G497" i="16"/>
  <c r="H496" i="16"/>
  <c r="G496" i="16"/>
  <c r="H495" i="16"/>
  <c r="G495" i="16"/>
  <c r="H494" i="16"/>
  <c r="G494" i="16"/>
  <c r="H493" i="16"/>
  <c r="G493" i="16"/>
  <c r="H492" i="16"/>
  <c r="G492" i="16"/>
  <c r="H491" i="16"/>
  <c r="G491" i="16"/>
  <c r="L655" i="16"/>
  <c r="M27" i="16"/>
  <c r="H27" i="16"/>
  <c r="G27" i="16"/>
  <c r="L763" i="16"/>
  <c r="M763" i="16"/>
  <c r="L764" i="16"/>
  <c r="M764" i="16"/>
  <c r="L771" i="16"/>
  <c r="M771" i="16"/>
  <c r="M502" i="16"/>
  <c r="M540" i="16"/>
  <c r="M549" i="16"/>
  <c r="M765" i="16"/>
  <c r="M557" i="16"/>
  <c r="M481" i="16"/>
  <c r="M589" i="16"/>
  <c r="M772" i="16"/>
  <c r="M610" i="16"/>
  <c r="M484" i="16"/>
  <c r="M647" i="16"/>
  <c r="M649" i="16"/>
  <c r="M660" i="16"/>
  <c r="M678" i="16"/>
  <c r="M682" i="16"/>
  <c r="M690" i="16"/>
  <c r="M692" i="16"/>
  <c r="M694" i="16"/>
  <c r="M695" i="16"/>
  <c r="M696" i="16"/>
  <c r="M715" i="16"/>
  <c r="M483" i="16"/>
  <c r="L502" i="16"/>
  <c r="L540" i="16"/>
  <c r="L765" i="16"/>
  <c r="L481" i="16"/>
  <c r="L589" i="16"/>
  <c r="L772" i="16"/>
  <c r="L610" i="16"/>
  <c r="L647" i="16"/>
  <c r="L649" i="16"/>
  <c r="L660" i="16"/>
  <c r="L678" i="16"/>
  <c r="L682" i="16"/>
  <c r="L690" i="16"/>
  <c r="L692" i="16"/>
  <c r="L694" i="16"/>
  <c r="L695" i="16"/>
  <c r="L696" i="16"/>
  <c r="L715" i="16"/>
  <c r="L483" i="16"/>
  <c r="I494" i="16" l="1"/>
  <c r="I497" i="16"/>
  <c r="I493" i="16"/>
  <c r="I515" i="16"/>
  <c r="I496" i="16"/>
  <c r="I491" i="16"/>
  <c r="I495" i="16"/>
  <c r="I492" i="16"/>
  <c r="I27" i="16"/>
  <c r="L557" i="16"/>
  <c r="M559" i="16"/>
  <c r="M687" i="16"/>
  <c r="L27" i="16"/>
  <c r="L687" i="16"/>
  <c r="M556" i="16"/>
  <c r="L559" i="16"/>
  <c r="G502" i="16"/>
  <c r="H502" i="16"/>
  <c r="G117" i="16"/>
  <c r="H117" i="16"/>
  <c r="G482" i="16"/>
  <c r="H482" i="16"/>
  <c r="G540" i="16"/>
  <c r="H540" i="16"/>
  <c r="G549" i="16"/>
  <c r="H549" i="16"/>
  <c r="G765" i="16"/>
  <c r="H765" i="16"/>
  <c r="G556" i="16"/>
  <c r="H556" i="16"/>
  <c r="G557" i="16"/>
  <c r="H557" i="16"/>
  <c r="G559" i="16"/>
  <c r="H559" i="16"/>
  <c r="G481" i="16"/>
  <c r="H481" i="16"/>
  <c r="G589" i="16"/>
  <c r="H589" i="16"/>
  <c r="G772" i="16"/>
  <c r="H772" i="16"/>
  <c r="G610" i="16"/>
  <c r="H610" i="16"/>
  <c r="G612" i="16"/>
  <c r="H612" i="16"/>
  <c r="G484" i="16"/>
  <c r="H484" i="16"/>
  <c r="G647" i="16"/>
  <c r="H647" i="16"/>
  <c r="G649" i="16"/>
  <c r="H649" i="16"/>
  <c r="G655" i="16"/>
  <c r="H655" i="16"/>
  <c r="G660" i="16"/>
  <c r="H660" i="16"/>
  <c r="G678" i="16"/>
  <c r="H678" i="16"/>
  <c r="G682" i="16"/>
  <c r="H682" i="16"/>
  <c r="G687" i="16"/>
  <c r="H687" i="16"/>
  <c r="G688" i="16"/>
  <c r="H688" i="16"/>
  <c r="G690" i="16"/>
  <c r="H690" i="16"/>
  <c r="G692" i="16"/>
  <c r="H692" i="16"/>
  <c r="G694" i="16"/>
  <c r="H694" i="16"/>
  <c r="G695" i="16"/>
  <c r="H695" i="16"/>
  <c r="G696" i="16"/>
  <c r="H696" i="16"/>
  <c r="G715" i="16"/>
  <c r="H715" i="16"/>
  <c r="G740" i="16"/>
  <c r="H740" i="16"/>
  <c r="G483" i="16"/>
  <c r="H483" i="16"/>
  <c r="G763" i="16"/>
  <c r="H763" i="16"/>
  <c r="G764" i="16"/>
  <c r="H764" i="16"/>
  <c r="G771" i="16"/>
  <c r="H771" i="16"/>
  <c r="I540" i="16" l="1"/>
  <c r="I117" i="16"/>
  <c r="I483" i="16"/>
  <c r="I502" i="16"/>
  <c r="I715" i="16"/>
  <c r="I692" i="16"/>
  <c r="I647" i="16"/>
  <c r="I482" i="16"/>
  <c r="I771" i="16"/>
  <c r="I763" i="16"/>
  <c r="I690" i="16"/>
  <c r="I682" i="16"/>
  <c r="I660" i="16"/>
  <c r="I612" i="16"/>
  <c r="I764" i="16"/>
  <c r="I695" i="16"/>
  <c r="I687" i="16"/>
  <c r="I484" i="16"/>
  <c r="I772" i="16"/>
  <c r="I694" i="16"/>
  <c r="I649" i="16"/>
  <c r="I740" i="16"/>
  <c r="I696" i="16"/>
  <c r="I688" i="16"/>
  <c r="I678" i="16"/>
  <c r="I655" i="16"/>
  <c r="I610" i="16"/>
  <c r="I556" i="16"/>
  <c r="I481" i="16"/>
  <c r="I557" i="16"/>
  <c r="I589" i="16"/>
  <c r="I765" i="16"/>
  <c r="I559" i="16"/>
  <c r="I549" i="16"/>
  <c r="M182" i="16" l="1"/>
  <c r="L182" i="16"/>
  <c r="M176" i="16"/>
  <c r="L176" i="16"/>
  <c r="M173" i="16"/>
  <c r="L173" i="16"/>
  <c r="M36" i="16"/>
  <c r="L36" i="16"/>
  <c r="L158" i="16"/>
  <c r="L157" i="16"/>
  <c r="M156" i="16"/>
  <c r="L156" i="16"/>
  <c r="H33" i="16"/>
  <c r="G33" i="16"/>
  <c r="L151" i="16"/>
  <c r="I33" i="16" l="1"/>
  <c r="L33" i="16"/>
  <c r="M150" i="16" l="1"/>
  <c r="L150" i="16"/>
  <c r="L1005" i="14"/>
  <c r="L1004" i="14"/>
  <c r="L305" i="16"/>
  <c r="L1401" i="14" l="1"/>
  <c r="L1400" i="14"/>
  <c r="L1399" i="14"/>
  <c r="L1398" i="14"/>
  <c r="L53" i="16"/>
  <c r="H53" i="16"/>
  <c r="G53" i="16"/>
  <c r="R1032" i="14"/>
  <c r="H1032" i="14"/>
  <c r="G1032" i="14"/>
  <c r="R1031" i="14"/>
  <c r="M1031" i="14"/>
  <c r="H1031" i="14"/>
  <c r="G1031" i="14"/>
  <c r="M52" i="16"/>
  <c r="H52" i="16"/>
  <c r="G52" i="16"/>
  <c r="R1025" i="14"/>
  <c r="M1025" i="14"/>
  <c r="L1025" i="14"/>
  <c r="H1025" i="14"/>
  <c r="G1025" i="14"/>
  <c r="R1024" i="14"/>
  <c r="M1024" i="14"/>
  <c r="L1024" i="14"/>
  <c r="H1024" i="14"/>
  <c r="G1024" i="14"/>
  <c r="R1019" i="14"/>
  <c r="M1019" i="14"/>
  <c r="L1019" i="14"/>
  <c r="H1019" i="14"/>
  <c r="G1019" i="14"/>
  <c r="R1018" i="14"/>
  <c r="M1018" i="14"/>
  <c r="L1018" i="14"/>
  <c r="H1018" i="14"/>
  <c r="G1018" i="14"/>
  <c r="R1013" i="14"/>
  <c r="M1013" i="14"/>
  <c r="L1013" i="14"/>
  <c r="H1013" i="14"/>
  <c r="G1013" i="14"/>
  <c r="R1012" i="14"/>
  <c r="M1012" i="14"/>
  <c r="L1012" i="14"/>
  <c r="H1012" i="14"/>
  <c r="G1012" i="14"/>
  <c r="H51" i="16"/>
  <c r="G51" i="16"/>
  <c r="L50" i="16"/>
  <c r="H50" i="16"/>
  <c r="G50" i="16"/>
  <c r="L797" i="14"/>
  <c r="G58" i="16"/>
  <c r="I1031" i="14" l="1"/>
  <c r="I1019" i="14"/>
  <c r="I1025" i="14"/>
  <c r="I53" i="16"/>
  <c r="I50" i="16"/>
  <c r="I52" i="16"/>
  <c r="I1024" i="14"/>
  <c r="I1032" i="14"/>
  <c r="I51" i="16"/>
  <c r="I1013" i="14"/>
  <c r="I1018" i="14"/>
  <c r="I1012" i="14"/>
  <c r="L52" i="16"/>
  <c r="L51" i="16"/>
  <c r="M50" i="16"/>
  <c r="M51" i="16"/>
  <c r="M53" i="16"/>
  <c r="L184" i="16" l="1"/>
  <c r="L1110" i="14"/>
  <c r="L608" i="14"/>
  <c r="L609" i="14"/>
  <c r="L604" i="14"/>
  <c r="L602" i="14"/>
  <c r="L346" i="14"/>
  <c r="R344" i="14"/>
  <c r="M344" i="14"/>
  <c r="L344" i="14"/>
  <c r="H344" i="14"/>
  <c r="G344" i="14"/>
  <c r="M124" i="16"/>
  <c r="L124" i="16"/>
  <c r="L313" i="14"/>
  <c r="L312" i="14"/>
  <c r="L717" i="14"/>
  <c r="L718" i="14"/>
  <c r="L719" i="14"/>
  <c r="G365" i="14"/>
  <c r="H365" i="14"/>
  <c r="L365" i="14"/>
  <c r="M365" i="14"/>
  <c r="R365" i="14"/>
  <c r="L361" i="14"/>
  <c r="R354" i="14"/>
  <c r="M354" i="14"/>
  <c r="L354" i="14"/>
  <c r="H354" i="14"/>
  <c r="G354" i="14"/>
  <c r="L280" i="14"/>
  <c r="L1044" i="14"/>
  <c r="L1043" i="14"/>
  <c r="L1178" i="14"/>
  <c r="L1179" i="14"/>
  <c r="L1175" i="14"/>
  <c r="L1174" i="14"/>
  <c r="R233" i="14"/>
  <c r="M233" i="14"/>
  <c r="H233" i="14"/>
  <c r="I233" i="14" s="1"/>
  <c r="G233" i="14"/>
  <c r="G104" i="16"/>
  <c r="M229" i="14"/>
  <c r="L229" i="14"/>
  <c r="L1008" i="14"/>
  <c r="L336" i="16"/>
  <c r="M335" i="16"/>
  <c r="L335" i="16"/>
  <c r="L1123" i="14"/>
  <c r="L639" i="14"/>
  <c r="M201" i="16"/>
  <c r="L201" i="16"/>
  <c r="L635" i="14"/>
  <c r="L636" i="14"/>
  <c r="M200" i="16"/>
  <c r="L200" i="16"/>
  <c r="L631" i="14"/>
  <c r="M199" i="16"/>
  <c r="L199" i="16"/>
  <c r="L627" i="14"/>
  <c r="M918" i="14"/>
  <c r="L918" i="14"/>
  <c r="M917" i="14"/>
  <c r="L917" i="14"/>
  <c r="M280" i="16"/>
  <c r="L280" i="16"/>
  <c r="L908" i="14"/>
  <c r="L905" i="14"/>
  <c r="L906" i="14"/>
  <c r="L907" i="14"/>
  <c r="M907" i="14"/>
  <c r="M908" i="14"/>
  <c r="I354" i="14" l="1"/>
  <c r="I344" i="14"/>
  <c r="I365" i="14"/>
  <c r="L766" i="14"/>
  <c r="L734" i="14"/>
  <c r="L733" i="14"/>
  <c r="L742" i="14"/>
  <c r="L741" i="14"/>
  <c r="L619" i="14" l="1"/>
  <c r="L615" i="14"/>
  <c r="L1051" i="14"/>
  <c r="L589" i="14"/>
  <c r="L832" i="14" l="1"/>
  <c r="L828" i="14"/>
  <c r="L824" i="14"/>
  <c r="L805" i="14"/>
  <c r="L801" i="14"/>
  <c r="L328" i="14" l="1"/>
  <c r="L325" i="14" l="1"/>
  <c r="L324" i="14"/>
  <c r="L127" i="16"/>
  <c r="M234" i="16" l="1"/>
  <c r="L234" i="16"/>
  <c r="H234" i="16"/>
  <c r="G234" i="16"/>
  <c r="L756" i="14"/>
  <c r="L757" i="14"/>
  <c r="L758" i="14"/>
  <c r="M233" i="16"/>
  <c r="L233" i="16"/>
  <c r="H233" i="16"/>
  <c r="G233" i="16"/>
  <c r="L750" i="14"/>
  <c r="L751" i="14"/>
  <c r="L752" i="14"/>
  <c r="I234" i="16" l="1"/>
  <c r="I233" i="16"/>
  <c r="M208" i="16" l="1"/>
  <c r="L208" i="16"/>
  <c r="M660" i="14"/>
  <c r="L660" i="14"/>
  <c r="M299" i="14"/>
  <c r="L299" i="14"/>
  <c r="M24" i="16"/>
  <c r="L24" i="16"/>
  <c r="M295" i="14"/>
  <c r="L295" i="14"/>
  <c r="M292" i="14"/>
  <c r="M289" i="14"/>
  <c r="L289" i="14"/>
  <c r="L292" i="14"/>
  <c r="M23" i="16"/>
  <c r="L23" i="16"/>
  <c r="L202" i="14"/>
  <c r="L201" i="14"/>
  <c r="L1049" i="14" l="1"/>
  <c r="M373" i="16"/>
  <c r="L373" i="16"/>
  <c r="H373" i="16"/>
  <c r="G373" i="16"/>
  <c r="I373" i="16" l="1"/>
  <c r="M848" i="14"/>
  <c r="L848" i="14"/>
  <c r="L159" i="14" l="1"/>
  <c r="L248" i="14"/>
  <c r="L935" i="14"/>
  <c r="L959" i="14" l="1"/>
  <c r="L1093" i="14"/>
  <c r="L1092" i="14"/>
  <c r="G63" i="16" l="1"/>
  <c r="H63" i="16"/>
  <c r="I63" i="16" s="1"/>
  <c r="L63" i="16"/>
  <c r="M63" i="16"/>
  <c r="L974" i="14"/>
  <c r="L705" i="14"/>
  <c r="L699" i="14"/>
  <c r="L695" i="14"/>
  <c r="L682" i="14"/>
  <c r="L681" i="14"/>
  <c r="L555" i="14"/>
  <c r="L554" i="14"/>
  <c r="L546" i="14" l="1"/>
  <c r="L776" i="14" l="1"/>
  <c r="L777" i="14"/>
  <c r="L610" i="14"/>
  <c r="L611" i="14"/>
  <c r="L585" i="14"/>
  <c r="L894" i="14"/>
  <c r="L391" i="14"/>
  <c r="L173" i="14"/>
  <c r="L923" i="14"/>
  <c r="L1080" i="14"/>
  <c r="M1069" i="14"/>
  <c r="M319" i="16"/>
  <c r="L319" i="16"/>
  <c r="L1069" i="14"/>
  <c r="L1065" i="14" l="1"/>
  <c r="L1061" i="14"/>
  <c r="L339" i="16" l="1"/>
  <c r="M339" i="16"/>
  <c r="L1129" i="14"/>
  <c r="L1128" i="14"/>
  <c r="L227" i="16"/>
  <c r="L737" i="14"/>
  <c r="L225" i="16"/>
  <c r="L729" i="14"/>
  <c r="L854" i="14"/>
  <c r="R49" i="14"/>
  <c r="R51" i="14"/>
  <c r="R53" i="14"/>
  <c r="R55" i="14"/>
  <c r="R57" i="14"/>
  <c r="R59" i="14"/>
  <c r="R61" i="14"/>
  <c r="R63" i="14"/>
  <c r="R65" i="14"/>
  <c r="R67" i="14"/>
  <c r="R69" i="14"/>
  <c r="R71" i="14"/>
  <c r="R73" i="14"/>
  <c r="R75" i="14"/>
  <c r="R77" i="14"/>
  <c r="R79" i="14"/>
  <c r="R81" i="14"/>
  <c r="R83" i="14"/>
  <c r="R85" i="14"/>
  <c r="R87" i="14"/>
  <c r="R89" i="14"/>
  <c r="R91" i="14"/>
  <c r="R93" i="14"/>
  <c r="R95" i="14"/>
  <c r="R97" i="14"/>
  <c r="R99" i="14"/>
  <c r="R101" i="14"/>
  <c r="R103" i="14"/>
  <c r="R105" i="14"/>
  <c r="R107" i="14"/>
  <c r="R109" i="14"/>
  <c r="R111" i="14"/>
  <c r="R113" i="14"/>
  <c r="R115" i="14"/>
  <c r="R117" i="14"/>
  <c r="R119" i="14"/>
  <c r="R121" i="14"/>
  <c r="R123" i="14"/>
  <c r="R125" i="14"/>
  <c r="R127" i="14"/>
  <c r="R129" i="14"/>
  <c r="R131" i="14"/>
  <c r="R133" i="14"/>
  <c r="R135" i="14"/>
  <c r="R137" i="14"/>
  <c r="R139" i="14"/>
  <c r="R141" i="14"/>
  <c r="R143" i="14"/>
  <c r="R145" i="14"/>
  <c r="R147" i="14"/>
  <c r="R149" i="14"/>
  <c r="R151" i="14"/>
  <c r="R153" i="14"/>
  <c r="R163" i="14"/>
  <c r="R165" i="14"/>
  <c r="R167" i="14"/>
  <c r="R177" i="14"/>
  <c r="R179" i="14"/>
  <c r="R193" i="14"/>
  <c r="R195" i="14"/>
  <c r="R50" i="14"/>
  <c r="R52" i="14"/>
  <c r="R54" i="14"/>
  <c r="R56" i="14"/>
  <c r="R58" i="14"/>
  <c r="R60" i="14"/>
  <c r="R62" i="14"/>
  <c r="R64" i="14"/>
  <c r="R66" i="14"/>
  <c r="R68" i="14"/>
  <c r="R70" i="14"/>
  <c r="R72" i="14"/>
  <c r="R74" i="14"/>
  <c r="R76" i="14"/>
  <c r="R78" i="14"/>
  <c r="R80" i="14"/>
  <c r="R82" i="14"/>
  <c r="R84" i="14"/>
  <c r="R86" i="14"/>
  <c r="R88" i="14"/>
  <c r="R90" i="14"/>
  <c r="R92" i="14"/>
  <c r="R94" i="14"/>
  <c r="R96" i="14"/>
  <c r="R98" i="14"/>
  <c r="R100" i="14"/>
  <c r="R102" i="14"/>
  <c r="R104" i="14"/>
  <c r="R106" i="14"/>
  <c r="R108" i="14"/>
  <c r="R110" i="14"/>
  <c r="R112" i="14"/>
  <c r="R114" i="14"/>
  <c r="R116" i="14"/>
  <c r="R118" i="14"/>
  <c r="R120" i="14"/>
  <c r="R122" i="14"/>
  <c r="R124" i="14"/>
  <c r="R126" i="14"/>
  <c r="R128" i="14"/>
  <c r="R130" i="14"/>
  <c r="R132" i="14"/>
  <c r="R134" i="14"/>
  <c r="R136" i="14"/>
  <c r="R138" i="14"/>
  <c r="R140" i="14"/>
  <c r="R142" i="14"/>
  <c r="R144" i="14"/>
  <c r="R146" i="14"/>
  <c r="R148" i="14"/>
  <c r="R150" i="14"/>
  <c r="R152" i="14"/>
  <c r="R154" i="14"/>
  <c r="R164" i="14"/>
  <c r="R166" i="14"/>
  <c r="R168" i="14"/>
  <c r="R178" i="14"/>
  <c r="R180" i="14"/>
  <c r="R194" i="14"/>
  <c r="R196" i="14"/>
  <c r="M49" i="14"/>
  <c r="M51" i="14"/>
  <c r="M53" i="14"/>
  <c r="M55" i="14"/>
  <c r="M57" i="14"/>
  <c r="M59" i="14"/>
  <c r="M61" i="14"/>
  <c r="M63" i="14"/>
  <c r="M65" i="14"/>
  <c r="M67" i="14"/>
  <c r="M69" i="14"/>
  <c r="M71" i="14"/>
  <c r="M73" i="14"/>
  <c r="M75" i="14"/>
  <c r="M77" i="14"/>
  <c r="M79" i="14"/>
  <c r="M81" i="14"/>
  <c r="M83" i="14"/>
  <c r="M85" i="14"/>
  <c r="M87" i="14"/>
  <c r="M89" i="14"/>
  <c r="M91" i="14"/>
  <c r="M93" i="14"/>
  <c r="M95" i="14"/>
  <c r="M97" i="14"/>
  <c r="M99" i="14"/>
  <c r="M101" i="14"/>
  <c r="M103" i="14"/>
  <c r="M105" i="14"/>
  <c r="M107" i="14"/>
  <c r="M109" i="14"/>
  <c r="M111" i="14"/>
  <c r="M113" i="14"/>
  <c r="M115" i="14"/>
  <c r="M117" i="14"/>
  <c r="M119" i="14"/>
  <c r="M121" i="14"/>
  <c r="M123" i="14"/>
  <c r="M125" i="14"/>
  <c r="M127" i="14"/>
  <c r="M129" i="14"/>
  <c r="M131" i="14"/>
  <c r="M133" i="14"/>
  <c r="M135" i="14"/>
  <c r="M137" i="14"/>
  <c r="M139" i="14"/>
  <c r="M141" i="14"/>
  <c r="M143" i="14"/>
  <c r="M145" i="14"/>
  <c r="M147" i="14"/>
  <c r="M149" i="14"/>
  <c r="M151" i="14"/>
  <c r="M153" i="14"/>
  <c r="M163" i="14"/>
  <c r="M165" i="14"/>
  <c r="M167" i="14"/>
  <c r="M177" i="14"/>
  <c r="M179" i="14"/>
  <c r="M193" i="14"/>
  <c r="M195" i="14"/>
  <c r="M50" i="14"/>
  <c r="M52" i="14"/>
  <c r="M54" i="14"/>
  <c r="M56" i="14"/>
  <c r="M58" i="14"/>
  <c r="M60" i="14"/>
  <c r="M62" i="14"/>
  <c r="M64" i="14"/>
  <c r="M66" i="14"/>
  <c r="M68" i="14"/>
  <c r="M70" i="14"/>
  <c r="M72" i="14"/>
  <c r="M74" i="14"/>
  <c r="M76" i="14"/>
  <c r="M78" i="14"/>
  <c r="M80" i="14"/>
  <c r="M82" i="14"/>
  <c r="M84" i="14"/>
  <c r="M86" i="14"/>
  <c r="M88" i="14"/>
  <c r="M90" i="14"/>
  <c r="M92" i="14"/>
  <c r="M94" i="14"/>
  <c r="M96" i="14"/>
  <c r="M98" i="14"/>
  <c r="M100" i="14"/>
  <c r="M102" i="14"/>
  <c r="M104" i="14"/>
  <c r="M106" i="14"/>
  <c r="M108" i="14"/>
  <c r="M110" i="14"/>
  <c r="M112" i="14"/>
  <c r="M114" i="14"/>
  <c r="M116" i="14"/>
  <c r="M118" i="14"/>
  <c r="M120" i="14"/>
  <c r="M122" i="14"/>
  <c r="M124" i="14"/>
  <c r="M126" i="14"/>
  <c r="M128" i="14"/>
  <c r="M130" i="14"/>
  <c r="M132" i="14"/>
  <c r="M134" i="14"/>
  <c r="M136" i="14"/>
  <c r="M138" i="14"/>
  <c r="M140" i="14"/>
  <c r="M142" i="14"/>
  <c r="M144" i="14"/>
  <c r="M146" i="14"/>
  <c r="M148" i="14"/>
  <c r="M150" i="14"/>
  <c r="M152" i="14"/>
  <c r="M154" i="14"/>
  <c r="M164" i="14"/>
  <c r="M166" i="14"/>
  <c r="M168" i="14"/>
  <c r="M178" i="14"/>
  <c r="M180" i="14"/>
  <c r="M194" i="14"/>
  <c r="M196" i="14"/>
  <c r="L51" i="14"/>
  <c r="L53" i="14"/>
  <c r="L55" i="14"/>
  <c r="L57" i="14"/>
  <c r="L59" i="14"/>
  <c r="L61" i="14"/>
  <c r="L63" i="14"/>
  <c r="L65" i="14"/>
  <c r="L67" i="14"/>
  <c r="L69" i="14"/>
  <c r="L71" i="14"/>
  <c r="L73" i="14"/>
  <c r="L75" i="14"/>
  <c r="L77" i="14"/>
  <c r="L79" i="14"/>
  <c r="L81" i="14"/>
  <c r="L83" i="14"/>
  <c r="L85" i="14"/>
  <c r="L87" i="14"/>
  <c r="L89" i="14"/>
  <c r="L91" i="14"/>
  <c r="L93" i="14"/>
  <c r="L95" i="14"/>
  <c r="L97" i="14"/>
  <c r="L99" i="14"/>
  <c r="L101" i="14"/>
  <c r="L103" i="14"/>
  <c r="L105" i="14"/>
  <c r="L107" i="14"/>
  <c r="L109" i="14"/>
  <c r="L111" i="14"/>
  <c r="L113" i="14"/>
  <c r="L115" i="14"/>
  <c r="L117" i="14"/>
  <c r="L119" i="14"/>
  <c r="L121" i="14"/>
  <c r="L123" i="14"/>
  <c r="L125" i="14"/>
  <c r="L127" i="14"/>
  <c r="L129" i="14"/>
  <c r="L131" i="14"/>
  <c r="L133" i="14"/>
  <c r="L135" i="14"/>
  <c r="L137" i="14"/>
  <c r="L139" i="14"/>
  <c r="L141" i="14"/>
  <c r="L143" i="14"/>
  <c r="L145" i="14"/>
  <c r="L147" i="14"/>
  <c r="L149" i="14"/>
  <c r="L151" i="14"/>
  <c r="L153" i="14"/>
  <c r="L163" i="14"/>
  <c r="L165" i="14"/>
  <c r="L167" i="14"/>
  <c r="L177" i="14"/>
  <c r="L179" i="14"/>
  <c r="L193" i="14"/>
  <c r="L195" i="14"/>
  <c r="L50" i="14"/>
  <c r="L52" i="14"/>
  <c r="L54" i="14"/>
  <c r="L56" i="14"/>
  <c r="L58" i="14"/>
  <c r="L60" i="14"/>
  <c r="L62" i="14"/>
  <c r="L64" i="14"/>
  <c r="L66" i="14"/>
  <c r="L68" i="14"/>
  <c r="L70" i="14"/>
  <c r="L72" i="14"/>
  <c r="L74" i="14"/>
  <c r="L76" i="14"/>
  <c r="L78" i="14"/>
  <c r="L80" i="14"/>
  <c r="L82" i="14"/>
  <c r="L84" i="14"/>
  <c r="L86" i="14"/>
  <c r="L88" i="14"/>
  <c r="L90" i="14"/>
  <c r="L92" i="14"/>
  <c r="L94" i="14"/>
  <c r="L96" i="14"/>
  <c r="L98" i="14"/>
  <c r="L100" i="14"/>
  <c r="L102" i="14"/>
  <c r="L104" i="14"/>
  <c r="L106" i="14"/>
  <c r="L108" i="14"/>
  <c r="L110" i="14"/>
  <c r="L112" i="14"/>
  <c r="L114" i="14"/>
  <c r="L116" i="14"/>
  <c r="L118" i="14"/>
  <c r="L120" i="14"/>
  <c r="L122" i="14"/>
  <c r="L124" i="14"/>
  <c r="L126" i="14"/>
  <c r="L128" i="14"/>
  <c r="L130" i="14"/>
  <c r="L132" i="14"/>
  <c r="L134" i="14"/>
  <c r="L136" i="14"/>
  <c r="L138" i="14"/>
  <c r="L140" i="14"/>
  <c r="L142" i="14"/>
  <c r="L144" i="14"/>
  <c r="L146" i="14"/>
  <c r="L148" i="14"/>
  <c r="L150" i="14"/>
  <c r="L152" i="14"/>
  <c r="L154" i="14"/>
  <c r="L164" i="14"/>
  <c r="L166" i="14"/>
  <c r="L168" i="14"/>
  <c r="L178" i="14"/>
  <c r="L180" i="14"/>
  <c r="L194" i="14"/>
  <c r="L196" i="14"/>
  <c r="L49" i="14"/>
  <c r="G49" i="14"/>
  <c r="H49" i="14"/>
  <c r="G51" i="14"/>
  <c r="H51" i="14"/>
  <c r="G53" i="14"/>
  <c r="H53" i="14"/>
  <c r="G55" i="14"/>
  <c r="H55" i="14"/>
  <c r="G57" i="14"/>
  <c r="H57" i="14"/>
  <c r="G59" i="14"/>
  <c r="H59" i="14"/>
  <c r="G61" i="14"/>
  <c r="H61" i="14"/>
  <c r="G63" i="14"/>
  <c r="H63" i="14"/>
  <c r="G65" i="14"/>
  <c r="H65" i="14"/>
  <c r="G67" i="14"/>
  <c r="H67" i="14"/>
  <c r="G69" i="14"/>
  <c r="H69" i="14"/>
  <c r="G71" i="14"/>
  <c r="H71" i="14"/>
  <c r="G73" i="14"/>
  <c r="H73" i="14"/>
  <c r="G75" i="14"/>
  <c r="H75" i="14"/>
  <c r="G77" i="14"/>
  <c r="H77" i="14"/>
  <c r="G79" i="14"/>
  <c r="H79" i="14"/>
  <c r="G81" i="14"/>
  <c r="H81" i="14"/>
  <c r="G83" i="14"/>
  <c r="H83" i="14"/>
  <c r="G85" i="14"/>
  <c r="H85" i="14"/>
  <c r="G87" i="14"/>
  <c r="H87" i="14"/>
  <c r="G89" i="14"/>
  <c r="H89" i="14"/>
  <c r="G91" i="14"/>
  <c r="H91" i="14"/>
  <c r="G93" i="14"/>
  <c r="H93" i="14"/>
  <c r="G95" i="14"/>
  <c r="H95" i="14"/>
  <c r="G97" i="14"/>
  <c r="H97" i="14"/>
  <c r="G99" i="14"/>
  <c r="H99" i="14"/>
  <c r="G101" i="14"/>
  <c r="H101" i="14"/>
  <c r="G103" i="14"/>
  <c r="H103" i="14"/>
  <c r="G105" i="14"/>
  <c r="H105" i="14"/>
  <c r="G107" i="14"/>
  <c r="H107" i="14"/>
  <c r="G109" i="14"/>
  <c r="H109" i="14"/>
  <c r="G111" i="14"/>
  <c r="H111" i="14"/>
  <c r="G113" i="14"/>
  <c r="H113" i="14"/>
  <c r="G115" i="14"/>
  <c r="H115" i="14"/>
  <c r="G117" i="14"/>
  <c r="H117" i="14"/>
  <c r="G119" i="14"/>
  <c r="H119" i="14"/>
  <c r="G121" i="14"/>
  <c r="H121" i="14"/>
  <c r="G123" i="14"/>
  <c r="H123" i="14"/>
  <c r="G125" i="14"/>
  <c r="H125" i="14"/>
  <c r="G127" i="14"/>
  <c r="H127" i="14"/>
  <c r="G129" i="14"/>
  <c r="H129" i="14"/>
  <c r="G131" i="14"/>
  <c r="H131" i="14"/>
  <c r="G133" i="14"/>
  <c r="H133" i="14"/>
  <c r="G135" i="14"/>
  <c r="H135" i="14"/>
  <c r="G137" i="14"/>
  <c r="H137" i="14"/>
  <c r="G139" i="14"/>
  <c r="H139" i="14"/>
  <c r="G141" i="14"/>
  <c r="H141" i="14"/>
  <c r="G143" i="14"/>
  <c r="H143" i="14"/>
  <c r="G145" i="14"/>
  <c r="H145" i="14"/>
  <c r="G147" i="14"/>
  <c r="H147" i="14"/>
  <c r="G149" i="14"/>
  <c r="H149" i="14"/>
  <c r="G151" i="14"/>
  <c r="H151" i="14"/>
  <c r="G153" i="14"/>
  <c r="H153" i="14"/>
  <c r="G163" i="14"/>
  <c r="H163" i="14"/>
  <c r="G165" i="14"/>
  <c r="H165" i="14"/>
  <c r="G167" i="14"/>
  <c r="H167" i="14"/>
  <c r="G177" i="14"/>
  <c r="H177" i="14"/>
  <c r="G179" i="14"/>
  <c r="H179" i="14"/>
  <c r="G193" i="14"/>
  <c r="H193" i="14"/>
  <c r="G195" i="14"/>
  <c r="H195" i="14"/>
  <c r="G50" i="14"/>
  <c r="H50" i="14"/>
  <c r="G52" i="14"/>
  <c r="H52" i="14"/>
  <c r="G54" i="14"/>
  <c r="H54" i="14"/>
  <c r="G56" i="14"/>
  <c r="H56" i="14"/>
  <c r="G58" i="14"/>
  <c r="H58" i="14"/>
  <c r="G60" i="14"/>
  <c r="H60" i="14"/>
  <c r="G62" i="14"/>
  <c r="H62" i="14"/>
  <c r="G64" i="14"/>
  <c r="H64" i="14"/>
  <c r="G66" i="14"/>
  <c r="H66" i="14"/>
  <c r="G68" i="14"/>
  <c r="H68" i="14"/>
  <c r="G70" i="14"/>
  <c r="H70" i="14"/>
  <c r="G72" i="14"/>
  <c r="H72" i="14"/>
  <c r="G74" i="14"/>
  <c r="H74" i="14"/>
  <c r="G76" i="14"/>
  <c r="H76" i="14"/>
  <c r="G78" i="14"/>
  <c r="H78" i="14"/>
  <c r="G80" i="14"/>
  <c r="H80" i="14"/>
  <c r="G82" i="14"/>
  <c r="H82" i="14"/>
  <c r="G84" i="14"/>
  <c r="H84" i="14"/>
  <c r="G86" i="14"/>
  <c r="H86" i="14"/>
  <c r="G88" i="14"/>
  <c r="H88" i="14"/>
  <c r="G90" i="14"/>
  <c r="H90" i="14"/>
  <c r="G92" i="14"/>
  <c r="H92" i="14"/>
  <c r="G94" i="14"/>
  <c r="H94" i="14"/>
  <c r="G96" i="14"/>
  <c r="H96" i="14"/>
  <c r="G98" i="14"/>
  <c r="H98" i="14"/>
  <c r="G100" i="14"/>
  <c r="H100" i="14"/>
  <c r="G102" i="14"/>
  <c r="H102" i="14"/>
  <c r="G104" i="14"/>
  <c r="H104" i="14"/>
  <c r="G106" i="14"/>
  <c r="H106" i="14"/>
  <c r="G108" i="14"/>
  <c r="H108" i="14"/>
  <c r="G110" i="14"/>
  <c r="H110" i="14"/>
  <c r="G112" i="14"/>
  <c r="H112" i="14"/>
  <c r="G114" i="14"/>
  <c r="H114" i="14"/>
  <c r="G116" i="14"/>
  <c r="H116" i="14"/>
  <c r="G118" i="14"/>
  <c r="H118" i="14"/>
  <c r="G120" i="14"/>
  <c r="H120" i="14"/>
  <c r="G122" i="14"/>
  <c r="H122" i="14"/>
  <c r="G124" i="14"/>
  <c r="H124" i="14"/>
  <c r="G126" i="14"/>
  <c r="H126" i="14"/>
  <c r="G128" i="14"/>
  <c r="H128" i="14"/>
  <c r="G130" i="14"/>
  <c r="H130" i="14"/>
  <c r="G132" i="14"/>
  <c r="H132" i="14"/>
  <c r="G134" i="14"/>
  <c r="H134" i="14"/>
  <c r="G136" i="14"/>
  <c r="H136" i="14"/>
  <c r="G138" i="14"/>
  <c r="H138" i="14"/>
  <c r="G140" i="14"/>
  <c r="H140" i="14"/>
  <c r="G142" i="14"/>
  <c r="H142" i="14"/>
  <c r="G144" i="14"/>
  <c r="H144" i="14"/>
  <c r="G146" i="14"/>
  <c r="H146" i="14"/>
  <c r="G148" i="14"/>
  <c r="H148" i="14"/>
  <c r="G150" i="14"/>
  <c r="H150" i="14"/>
  <c r="G152" i="14"/>
  <c r="H152" i="14"/>
  <c r="G154" i="14"/>
  <c r="H154" i="14"/>
  <c r="G164" i="14"/>
  <c r="H164" i="14"/>
  <c r="G166" i="14"/>
  <c r="H166" i="14"/>
  <c r="G168" i="14"/>
  <c r="H168" i="14"/>
  <c r="G178" i="14"/>
  <c r="H178" i="14"/>
  <c r="G180" i="14"/>
  <c r="H180" i="14"/>
  <c r="G194" i="14"/>
  <c r="H194" i="14"/>
  <c r="G196" i="14"/>
  <c r="H196" i="14"/>
  <c r="M1233" i="14"/>
  <c r="M1226" i="14"/>
  <c r="M1225" i="14"/>
  <c r="M1224" i="14"/>
  <c r="M1223" i="14"/>
  <c r="M995" i="14"/>
  <c r="M994" i="14"/>
  <c r="M867" i="14"/>
  <c r="M866" i="14"/>
  <c r="M865" i="14"/>
  <c r="M864" i="14"/>
  <c r="M748" i="14"/>
  <c r="M678" i="14"/>
  <c r="M677" i="14"/>
  <c r="M676" i="14"/>
  <c r="M675" i="14"/>
  <c r="M597" i="14"/>
  <c r="M596" i="14"/>
  <c r="M595" i="14"/>
  <c r="M594" i="14"/>
  <c r="M593" i="14"/>
  <c r="M567" i="14"/>
  <c r="M566" i="14"/>
  <c r="M565" i="14"/>
  <c r="M564" i="14"/>
  <c r="M563" i="14"/>
  <c r="M562" i="14"/>
  <c r="M561" i="14"/>
  <c r="M560" i="14"/>
  <c r="M559" i="14"/>
  <c r="M558" i="14"/>
  <c r="M557" i="14"/>
  <c r="M556" i="14"/>
  <c r="M469" i="14"/>
  <c r="M468" i="14"/>
  <c r="M467" i="14"/>
  <c r="M466" i="14"/>
  <c r="M465" i="14"/>
  <c r="M464" i="14"/>
  <c r="M463" i="14"/>
  <c r="M462" i="14"/>
  <c r="M461" i="14"/>
  <c r="M460" i="14"/>
  <c r="M459" i="14"/>
  <c r="M458" i="14"/>
  <c r="M435" i="14"/>
  <c r="M434" i="14"/>
  <c r="M386" i="14"/>
  <c r="M385" i="14"/>
  <c r="M315" i="14"/>
  <c r="M314" i="14"/>
  <c r="M273" i="14"/>
  <c r="M1209" i="14"/>
  <c r="M1418" i="14"/>
  <c r="M1417" i="14"/>
  <c r="M1414" i="14"/>
  <c r="M1413" i="14"/>
  <c r="M1410" i="14"/>
  <c r="M1409" i="14"/>
  <c r="M1407" i="14"/>
  <c r="M1406" i="14"/>
  <c r="M1403" i="14"/>
  <c r="M1401" i="14"/>
  <c r="M1400" i="14"/>
  <c r="M1396" i="14"/>
  <c r="M1395" i="14"/>
  <c r="M1391" i="14"/>
  <c r="M1390" i="14"/>
  <c r="M1386" i="14"/>
  <c r="M1385" i="14"/>
  <c r="M1382" i="14"/>
  <c r="M1381" i="14"/>
  <c r="M1380" i="14"/>
  <c r="M1379" i="14"/>
  <c r="M1378" i="14"/>
  <c r="M1377" i="14"/>
  <c r="M1376" i="14"/>
  <c r="M1375" i="14"/>
  <c r="M1374" i="14"/>
  <c r="M1373" i="14"/>
  <c r="M1372" i="14"/>
  <c r="M1371" i="14"/>
  <c r="M1370" i="14"/>
  <c r="M1369" i="14"/>
  <c r="M1368" i="14"/>
  <c r="M1367" i="14"/>
  <c r="M1366" i="14"/>
  <c r="M1365" i="14"/>
  <c r="M1364" i="14"/>
  <c r="M1363" i="14"/>
  <c r="M1362" i="14"/>
  <c r="M1361" i="14"/>
  <c r="M1360" i="14"/>
  <c r="M1212" i="14"/>
  <c r="M1187" i="14"/>
  <c r="M1186" i="14"/>
  <c r="M1184" i="14"/>
  <c r="M1183" i="14"/>
  <c r="M1089" i="14"/>
  <c r="M1088" i="14"/>
  <c r="M1048" i="14"/>
  <c r="M1047" i="14"/>
  <c r="M1039" i="14"/>
  <c r="M1037" i="14"/>
  <c r="M1027" i="14"/>
  <c r="M1026" i="14"/>
  <c r="M1021" i="14"/>
  <c r="M1020" i="14"/>
  <c r="M1015" i="14"/>
  <c r="M1014" i="14"/>
  <c r="M1005" i="14"/>
  <c r="M1004" i="14"/>
  <c r="M1003" i="14"/>
  <c r="M1002" i="14"/>
  <c r="M999" i="14"/>
  <c r="M998" i="14"/>
  <c r="M991" i="14"/>
  <c r="M990" i="14"/>
  <c r="M989" i="14"/>
  <c r="M988" i="14"/>
  <c r="M959" i="14"/>
  <c r="M943" i="14"/>
  <c r="M922" i="14"/>
  <c r="M921" i="14"/>
  <c r="M898" i="14"/>
  <c r="M884" i="14"/>
  <c r="M870" i="14"/>
  <c r="M855" i="14"/>
  <c r="M854" i="14"/>
  <c r="M853" i="14"/>
  <c r="M847" i="14"/>
  <c r="M846" i="14"/>
  <c r="M845" i="14"/>
  <c r="M838" i="14"/>
  <c r="M837" i="14"/>
  <c r="M810" i="14"/>
  <c r="M809" i="14"/>
  <c r="M798" i="14"/>
  <c r="M797" i="14"/>
  <c r="M794" i="14"/>
  <c r="M793" i="14"/>
  <c r="M790" i="14"/>
  <c r="M789" i="14"/>
  <c r="M786" i="14"/>
  <c r="M785" i="14"/>
  <c r="M747" i="14"/>
  <c r="M746" i="14"/>
  <c r="M745" i="14"/>
  <c r="M726" i="14"/>
  <c r="M725" i="14"/>
  <c r="M724" i="14"/>
  <c r="M723" i="14"/>
  <c r="M669" i="14"/>
  <c r="M668" i="14"/>
  <c r="M667" i="14"/>
  <c r="M666" i="14"/>
  <c r="M584" i="14"/>
  <c r="M583" i="14"/>
  <c r="M582" i="14"/>
  <c r="M581" i="14"/>
  <c r="M555" i="14"/>
  <c r="M554" i="14"/>
  <c r="M551" i="14"/>
  <c r="M550" i="14"/>
  <c r="M543" i="14"/>
  <c r="M542" i="14"/>
  <c r="M506" i="14"/>
  <c r="M499" i="14"/>
  <c r="M498" i="14"/>
  <c r="M497" i="14"/>
  <c r="M496" i="14"/>
  <c r="M495" i="14"/>
  <c r="M494" i="14"/>
  <c r="M493" i="14"/>
  <c r="M492" i="14"/>
  <c r="M491" i="14"/>
  <c r="M490" i="14"/>
  <c r="M489" i="14"/>
  <c r="M488" i="14"/>
  <c r="M455" i="14"/>
  <c r="M454" i="14"/>
  <c r="M453" i="14"/>
  <c r="M452" i="14"/>
  <c r="M451" i="14"/>
  <c r="M450" i="14"/>
  <c r="M449" i="14"/>
  <c r="M448" i="14"/>
  <c r="M447" i="14"/>
  <c r="M446" i="14"/>
  <c r="M445" i="14"/>
  <c r="M444" i="14"/>
  <c r="M430" i="14"/>
  <c r="M417" i="14"/>
  <c r="M416" i="14"/>
  <c r="M413" i="14"/>
  <c r="M412" i="14"/>
  <c r="M406" i="14"/>
  <c r="M405" i="14"/>
  <c r="M399" i="14"/>
  <c r="M397" i="14"/>
  <c r="M383" i="14"/>
  <c r="M382" i="14"/>
  <c r="M381" i="14"/>
  <c r="M380" i="14"/>
  <c r="M378" i="14"/>
  <c r="M377" i="14"/>
  <c r="M376" i="14"/>
  <c r="M375" i="14"/>
  <c r="M372" i="14"/>
  <c r="M371" i="14"/>
  <c r="M370" i="14"/>
  <c r="M369" i="14"/>
  <c r="M366" i="14"/>
  <c r="M358" i="14"/>
  <c r="M357" i="14"/>
  <c r="M339" i="14"/>
  <c r="M338" i="14"/>
  <c r="M334" i="14"/>
  <c r="M308" i="14"/>
  <c r="M307" i="14"/>
  <c r="M280" i="14"/>
  <c r="M279" i="14"/>
  <c r="M271" i="14"/>
  <c r="M270" i="14"/>
  <c r="M268" i="14"/>
  <c r="M267" i="14"/>
  <c r="M264" i="14"/>
  <c r="M263" i="14"/>
  <c r="M259" i="14"/>
  <c r="M258" i="14"/>
  <c r="M256" i="14"/>
  <c r="M255" i="14"/>
  <c r="M253" i="14"/>
  <c r="M252" i="14"/>
  <c r="M246" i="14"/>
  <c r="M245" i="14"/>
  <c r="M234" i="14"/>
  <c r="M232" i="14"/>
  <c r="M228" i="14"/>
  <c r="M227" i="14"/>
  <c r="M225" i="14"/>
  <c r="M224" i="14"/>
  <c r="M223" i="14"/>
  <c r="M192" i="14"/>
  <c r="M191" i="14"/>
  <c r="M190" i="14"/>
  <c r="M189" i="14"/>
  <c r="M186" i="14"/>
  <c r="M185" i="14"/>
  <c r="M182" i="14"/>
  <c r="M181" i="14"/>
  <c r="M46" i="14"/>
  <c r="M45" i="14"/>
  <c r="M44" i="14"/>
  <c r="M43" i="14"/>
  <c r="M41" i="14"/>
  <c r="M40" i="14"/>
  <c r="M37" i="14"/>
  <c r="M34" i="14"/>
  <c r="M33" i="14"/>
  <c r="M30" i="14"/>
  <c r="M29" i="14"/>
  <c r="M27" i="14"/>
  <c r="M26" i="14"/>
  <c r="M25" i="14"/>
  <c r="M24" i="14"/>
  <c r="M21" i="14"/>
  <c r="M20" i="14"/>
  <c r="M17" i="14"/>
  <c r="M16" i="14"/>
  <c r="M14" i="14"/>
  <c r="M13" i="14"/>
  <c r="M12" i="14"/>
  <c r="M11" i="14"/>
  <c r="M10" i="14"/>
  <c r="M9" i="14"/>
  <c r="M8" i="14"/>
  <c r="M7" i="14"/>
  <c r="M6" i="14"/>
  <c r="M5" i="14"/>
  <c r="M4" i="14"/>
  <c r="M3" i="14"/>
  <c r="L2" i="14"/>
  <c r="L745" i="14"/>
  <c r="L229" i="16"/>
  <c r="I154" i="14" l="1"/>
  <c r="I106" i="14"/>
  <c r="I58" i="14"/>
  <c r="I129" i="14"/>
  <c r="I81" i="14"/>
  <c r="I164" i="14"/>
  <c r="I142" i="14"/>
  <c r="I144" i="14"/>
  <c r="I108" i="14"/>
  <c r="I96" i="14"/>
  <c r="I60" i="14"/>
  <c r="I195" i="14"/>
  <c r="I131" i="14"/>
  <c r="I119" i="14"/>
  <c r="I83" i="14"/>
  <c r="I140" i="14"/>
  <c r="I128" i="14"/>
  <c r="I166" i="14"/>
  <c r="I122" i="14"/>
  <c r="I74" i="14"/>
  <c r="I145" i="14"/>
  <c r="I97" i="14"/>
  <c r="I92" i="14"/>
  <c r="I80" i="14"/>
  <c r="I179" i="14"/>
  <c r="I151" i="14"/>
  <c r="I115" i="14"/>
  <c r="I67" i="14"/>
  <c r="I138" i="14"/>
  <c r="I126" i="14"/>
  <c r="I90" i="14"/>
  <c r="I177" i="14"/>
  <c r="I113" i="14"/>
  <c r="I168" i="14"/>
  <c r="I124" i="14"/>
  <c r="I112" i="14"/>
  <c r="I76" i="14"/>
  <c r="I64" i="14"/>
  <c r="I147" i="14"/>
  <c r="I135" i="14"/>
  <c r="I99" i="14"/>
  <c r="I103" i="14"/>
  <c r="I87" i="14"/>
  <c r="I71" i="14"/>
  <c r="I180" i="14"/>
  <c r="I148" i="14"/>
  <c r="I132" i="14"/>
  <c r="I116" i="14"/>
  <c r="I194" i="14"/>
  <c r="I150" i="14"/>
  <c r="I100" i="14"/>
  <c r="I84" i="14"/>
  <c r="I68" i="14"/>
  <c r="I52" i="14"/>
  <c r="I134" i="14"/>
  <c r="I118" i="14"/>
  <c r="I102" i="14"/>
  <c r="I86" i="14"/>
  <c r="I110" i="14"/>
  <c r="I94" i="14"/>
  <c r="I78" i="14"/>
  <c r="I62" i="14"/>
  <c r="I193" i="14"/>
  <c r="I149" i="14"/>
  <c r="I133" i="14"/>
  <c r="I117" i="14"/>
  <c r="I101" i="14"/>
  <c r="I85" i="14"/>
  <c r="I69" i="14"/>
  <c r="I70" i="14"/>
  <c r="I54" i="14"/>
  <c r="I165" i="14"/>
  <c r="I141" i="14"/>
  <c r="I125" i="14"/>
  <c r="I109" i="14"/>
  <c r="I93" i="14"/>
  <c r="I77" i="14"/>
  <c r="I178" i="14"/>
  <c r="I146" i="14"/>
  <c r="I130" i="14"/>
  <c r="I114" i="14"/>
  <c r="I98" i="14"/>
  <c r="I82" i="14"/>
  <c r="I66" i="14"/>
  <c r="I50" i="14"/>
  <c r="I153" i="14"/>
  <c r="I137" i="14"/>
  <c r="I121" i="14"/>
  <c r="I105" i="14"/>
  <c r="I89" i="14"/>
  <c r="I73" i="14"/>
  <c r="I65" i="14"/>
  <c r="I163" i="14"/>
  <c r="I139" i="14"/>
  <c r="I123" i="14"/>
  <c r="I107" i="14"/>
  <c r="I91" i="14"/>
  <c r="I75" i="14"/>
  <c r="I196" i="14"/>
  <c r="I152" i="14"/>
  <c r="I136" i="14"/>
  <c r="I120" i="14"/>
  <c r="I104" i="14"/>
  <c r="I88" i="14"/>
  <c r="I72" i="14"/>
  <c r="I56" i="14"/>
  <c r="I167" i="14"/>
  <c r="I143" i="14"/>
  <c r="I127" i="14"/>
  <c r="I111" i="14"/>
  <c r="I95" i="14"/>
  <c r="I79" i="14"/>
  <c r="I57" i="14"/>
  <c r="I51" i="14"/>
  <c r="I59" i="14"/>
  <c r="I49" i="14"/>
  <c r="I55" i="14"/>
  <c r="I53" i="14"/>
  <c r="I63" i="14"/>
  <c r="I61" i="14"/>
  <c r="M362" i="16" l="1"/>
  <c r="M284" i="16"/>
  <c r="M266" i="16"/>
  <c r="M263" i="16"/>
  <c r="M46" i="16"/>
  <c r="M232" i="16"/>
  <c r="M231" i="16"/>
  <c r="M42" i="16"/>
  <c r="M196" i="16"/>
  <c r="M190" i="16"/>
  <c r="M158" i="16"/>
  <c r="M141" i="16"/>
  <c r="M21" i="16"/>
  <c r="M87" i="16"/>
  <c r="L87" i="16"/>
  <c r="L266" i="16" l="1"/>
  <c r="L263" i="16"/>
  <c r="L46" i="16"/>
  <c r="L232" i="16"/>
  <c r="L231" i="16"/>
  <c r="L196" i="16"/>
  <c r="L190" i="16"/>
  <c r="L141" i="16"/>
  <c r="L21" i="16"/>
  <c r="M480" i="16"/>
  <c r="M479" i="16"/>
  <c r="M478" i="16"/>
  <c r="M477" i="16"/>
  <c r="M476" i="16"/>
  <c r="M475" i="16"/>
  <c r="M474" i="16"/>
  <c r="M473" i="16"/>
  <c r="M472" i="16"/>
  <c r="M471" i="16"/>
  <c r="M470" i="16"/>
  <c r="M469" i="16"/>
  <c r="M468" i="16"/>
  <c r="M467" i="16"/>
  <c r="M466" i="16"/>
  <c r="M465" i="16"/>
  <c r="M464" i="16"/>
  <c r="M463" i="16"/>
  <c r="M462" i="16"/>
  <c r="M461" i="16"/>
  <c r="M460" i="16"/>
  <c r="M459" i="16"/>
  <c r="M458" i="16"/>
  <c r="M392" i="16"/>
  <c r="M13" i="16"/>
  <c r="M391" i="16"/>
  <c r="M390" i="16"/>
  <c r="M62" i="16"/>
  <c r="M389" i="16"/>
  <c r="M61" i="16"/>
  <c r="M60" i="16"/>
  <c r="M388" i="16"/>
  <c r="M387" i="16"/>
  <c r="M386" i="16"/>
  <c r="M385" i="16"/>
  <c r="M384" i="16"/>
  <c r="M59" i="16"/>
  <c r="M383" i="16"/>
  <c r="M382" i="16"/>
  <c r="M818" i="16"/>
  <c r="M381" i="16"/>
  <c r="M380" i="16"/>
  <c r="M379" i="16"/>
  <c r="M378" i="16"/>
  <c r="M377" i="16"/>
  <c r="M376" i="16"/>
  <c r="M375" i="16"/>
  <c r="M374" i="16"/>
  <c r="M58" i="16"/>
  <c r="M12" i="16"/>
  <c r="M366" i="16"/>
  <c r="M365" i="16"/>
  <c r="M364" i="16"/>
  <c r="M363" i="16"/>
  <c r="M351" i="16"/>
  <c r="M350" i="16"/>
  <c r="M56" i="16"/>
  <c r="M349" i="16"/>
  <c r="M55" i="16"/>
  <c r="M348" i="16"/>
  <c r="M347" i="16"/>
  <c r="M346" i="16"/>
  <c r="M345" i="16"/>
  <c r="M344" i="16"/>
  <c r="M343" i="16"/>
  <c r="M342" i="16"/>
  <c r="M341" i="16"/>
  <c r="M340" i="16"/>
  <c r="M338" i="16"/>
  <c r="M337" i="16"/>
  <c r="M336" i="16"/>
  <c r="M334" i="16"/>
  <c r="M333" i="16"/>
  <c r="M332" i="16"/>
  <c r="M331" i="16"/>
  <c r="M329" i="16"/>
  <c r="M328" i="16"/>
  <c r="M327" i="16"/>
  <c r="M326" i="16"/>
  <c r="M325" i="16"/>
  <c r="M324" i="16"/>
  <c r="M323" i="16"/>
  <c r="M322" i="16"/>
  <c r="M321" i="16"/>
  <c r="M320" i="16"/>
  <c r="M318" i="16"/>
  <c r="M317" i="16"/>
  <c r="M316" i="16"/>
  <c r="M315" i="16"/>
  <c r="M314" i="16"/>
  <c r="M313" i="16"/>
  <c r="M312" i="16"/>
  <c r="M311" i="16"/>
  <c r="M54" i="16"/>
  <c r="M310" i="16"/>
  <c r="M309" i="16"/>
  <c r="M308" i="16"/>
  <c r="M307" i="16"/>
  <c r="M306" i="16"/>
  <c r="M305" i="16"/>
  <c r="M49" i="16"/>
  <c r="M304" i="16"/>
  <c r="M302" i="16"/>
  <c r="M11" i="16"/>
  <c r="M301" i="16"/>
  <c r="M300" i="16"/>
  <c r="M298" i="16"/>
  <c r="M297" i="16"/>
  <c r="M296" i="16"/>
  <c r="M295" i="16"/>
  <c r="M294" i="16"/>
  <c r="M293" i="16"/>
  <c r="M48" i="16"/>
  <c r="M292" i="16"/>
  <c r="M291" i="16"/>
  <c r="M288" i="16"/>
  <c r="M287" i="16"/>
  <c r="M286" i="16"/>
  <c r="M285" i="16"/>
  <c r="M283" i="16"/>
  <c r="M282" i="16"/>
  <c r="M281" i="16"/>
  <c r="M278" i="16"/>
  <c r="M277" i="16"/>
  <c r="M276" i="16"/>
  <c r="M274" i="16"/>
  <c r="M273" i="16"/>
  <c r="M272" i="16"/>
  <c r="M271" i="16"/>
  <c r="M269" i="16"/>
  <c r="M268" i="16"/>
  <c r="M267" i="16"/>
  <c r="M265" i="16"/>
  <c r="M264" i="16"/>
  <c r="M47" i="16"/>
  <c r="M262" i="16"/>
  <c r="M261" i="16"/>
  <c r="M260" i="16"/>
  <c r="M259" i="16"/>
  <c r="M45" i="16"/>
  <c r="M258" i="16"/>
  <c r="M257" i="16"/>
  <c r="M44" i="16"/>
  <c r="M256" i="16"/>
  <c r="M255" i="16"/>
  <c r="M43" i="16"/>
  <c r="M254" i="16"/>
  <c r="M253" i="16"/>
  <c r="M252" i="16"/>
  <c r="M251" i="16"/>
  <c r="M250" i="16"/>
  <c r="M249" i="16"/>
  <c r="M248" i="16"/>
  <c r="M247" i="16"/>
  <c r="M246" i="16"/>
  <c r="M245" i="16"/>
  <c r="M244" i="16"/>
  <c r="M243" i="16"/>
  <c r="M242" i="16"/>
  <c r="M241" i="16"/>
  <c r="M240" i="16"/>
  <c r="M239" i="16"/>
  <c r="M238" i="16"/>
  <c r="M237" i="16"/>
  <c r="M235" i="16"/>
  <c r="M230" i="16"/>
  <c r="M229" i="16"/>
  <c r="M228" i="16"/>
  <c r="M227" i="16"/>
  <c r="M226" i="16"/>
  <c r="M225" i="16"/>
  <c r="M224" i="16"/>
  <c r="M223" i="16"/>
  <c r="M222" i="16"/>
  <c r="M221" i="16"/>
  <c r="M220" i="16"/>
  <c r="M219" i="16"/>
  <c r="M218" i="16"/>
  <c r="M217" i="16"/>
  <c r="M216" i="16"/>
  <c r="M215" i="16"/>
  <c r="M214" i="16"/>
  <c r="M213" i="16"/>
  <c r="M210" i="16"/>
  <c r="M41" i="16"/>
  <c r="M209" i="16"/>
  <c r="M207" i="16"/>
  <c r="M206" i="16"/>
  <c r="M205" i="16"/>
  <c r="M204" i="16"/>
  <c r="M203" i="16"/>
  <c r="M202" i="16"/>
  <c r="M195" i="16"/>
  <c r="M194" i="16"/>
  <c r="M192" i="16"/>
  <c r="M191" i="16"/>
  <c r="M189" i="16"/>
  <c r="M188" i="16"/>
  <c r="M187" i="16"/>
  <c r="M186" i="16"/>
  <c r="M185" i="16"/>
  <c r="M184" i="16"/>
  <c r="M183" i="16"/>
  <c r="M40" i="16"/>
  <c r="M180" i="16"/>
  <c r="M179" i="16"/>
  <c r="M178" i="16"/>
  <c r="M177" i="16"/>
  <c r="M174" i="16"/>
  <c r="M168" i="16"/>
  <c r="M165" i="16"/>
  <c r="M164" i="16"/>
  <c r="M163" i="16"/>
  <c r="M162" i="16"/>
  <c r="M161" i="16"/>
  <c r="M153" i="16"/>
  <c r="M152" i="16"/>
  <c r="M147" i="16"/>
  <c r="M10" i="16"/>
  <c r="M31" i="16"/>
  <c r="M145" i="16"/>
  <c r="M144" i="16"/>
  <c r="M143" i="16"/>
  <c r="M368" i="16"/>
  <c r="M57" i="16"/>
  <c r="M140" i="16"/>
  <c r="M30" i="16"/>
  <c r="M139" i="16"/>
  <c r="M29" i="16"/>
  <c r="M138" i="16"/>
  <c r="M137" i="16"/>
  <c r="M136" i="16"/>
  <c r="M135" i="16"/>
  <c r="M134" i="16"/>
  <c r="M133" i="16"/>
  <c r="M132" i="16"/>
  <c r="M131" i="16"/>
  <c r="M9" i="16"/>
  <c r="M130" i="16"/>
  <c r="M129" i="16"/>
  <c r="M128" i="16"/>
  <c r="M127" i="16"/>
  <c r="M126" i="16"/>
  <c r="M125" i="16"/>
  <c r="M123" i="16"/>
  <c r="M122" i="16"/>
  <c r="M121" i="16"/>
  <c r="M8" i="16"/>
  <c r="M115" i="16"/>
  <c r="M113" i="16"/>
  <c r="M7" i="16"/>
  <c r="M70" i="16"/>
  <c r="M6" i="16"/>
  <c r="M112" i="16"/>
  <c r="M68" i="16"/>
  <c r="M5" i="16"/>
  <c r="M67" i="16"/>
  <c r="M4" i="16"/>
  <c r="M111" i="16"/>
  <c r="M110" i="16"/>
  <c r="M2" i="16"/>
  <c r="M105" i="16"/>
  <c r="M20" i="16"/>
  <c r="M104" i="16"/>
  <c r="M19" i="16"/>
  <c r="M103" i="16"/>
  <c r="M18" i="16"/>
  <c r="M97" i="16"/>
  <c r="M96" i="16"/>
  <c r="M95" i="16"/>
  <c r="M94" i="16"/>
  <c r="M93" i="16"/>
  <c r="M92" i="16"/>
  <c r="M91" i="16"/>
  <c r="M90" i="16"/>
  <c r="M89" i="16"/>
  <c r="M17" i="16"/>
  <c r="M88" i="16"/>
  <c r="M86" i="16"/>
  <c r="M85" i="16"/>
  <c r="M84" i="16"/>
  <c r="M16" i="16"/>
  <c r="L480" i="16"/>
  <c r="L479" i="16"/>
  <c r="L478" i="16"/>
  <c r="L477" i="16"/>
  <c r="L476" i="16"/>
  <c r="L475" i="16"/>
  <c r="L474" i="16"/>
  <c r="L473" i="16"/>
  <c r="L472" i="16"/>
  <c r="L471" i="16"/>
  <c r="L470" i="16"/>
  <c r="L469" i="16"/>
  <c r="L468" i="16"/>
  <c r="L467" i="16"/>
  <c r="L466" i="16"/>
  <c r="L465" i="16"/>
  <c r="L464" i="16"/>
  <c r="L463" i="16"/>
  <c r="L462" i="16"/>
  <c r="L461" i="16"/>
  <c r="L460" i="16"/>
  <c r="L459" i="16"/>
  <c r="L458" i="16"/>
  <c r="L392" i="16"/>
  <c r="L13" i="16"/>
  <c r="L391" i="16"/>
  <c r="L390" i="16"/>
  <c r="L62" i="16"/>
  <c r="L389" i="16"/>
  <c r="L61" i="16"/>
  <c r="L60" i="16"/>
  <c r="L388" i="16"/>
  <c r="L387" i="16"/>
  <c r="L386" i="16"/>
  <c r="L385" i="16"/>
  <c r="L384" i="16"/>
  <c r="L59" i="16"/>
  <c r="L383" i="16"/>
  <c r="L382" i="16"/>
  <c r="L818" i="16"/>
  <c r="L381" i="16"/>
  <c r="L380" i="16"/>
  <c r="L379" i="16"/>
  <c r="L378" i="16"/>
  <c r="L377" i="16"/>
  <c r="L376" i="16"/>
  <c r="L375" i="16"/>
  <c r="L374" i="16"/>
  <c r="L58" i="16"/>
  <c r="L12" i="16"/>
  <c r="L366" i="16"/>
  <c r="L365" i="16"/>
  <c r="L364" i="16"/>
  <c r="L363" i="16"/>
  <c r="L351" i="16"/>
  <c r="L350" i="16"/>
  <c r="L56" i="16"/>
  <c r="L349" i="16"/>
  <c r="L55" i="16"/>
  <c r="L348" i="16"/>
  <c r="L347" i="16"/>
  <c r="L346" i="16"/>
  <c r="L345" i="16"/>
  <c r="L344" i="16"/>
  <c r="L343" i="16"/>
  <c r="L342" i="16"/>
  <c r="L341" i="16"/>
  <c r="L340" i="16"/>
  <c r="L338" i="16"/>
  <c r="L337" i="16"/>
  <c r="L334" i="16"/>
  <c r="L333" i="16"/>
  <c r="L332" i="16"/>
  <c r="L331" i="16"/>
  <c r="L329" i="16"/>
  <c r="L328" i="16"/>
  <c r="L327" i="16"/>
  <c r="L326" i="16"/>
  <c r="L325" i="16"/>
  <c r="L324" i="16"/>
  <c r="L323" i="16"/>
  <c r="L322" i="16"/>
  <c r="L321" i="16"/>
  <c r="L320" i="16"/>
  <c r="L318" i="16"/>
  <c r="L317" i="16"/>
  <c r="L316" i="16"/>
  <c r="L315" i="16"/>
  <c r="L314" i="16"/>
  <c r="L313" i="16"/>
  <c r="L312" i="16"/>
  <c r="L311" i="16"/>
  <c r="L54" i="16"/>
  <c r="L310" i="16"/>
  <c r="L309" i="16"/>
  <c r="L308" i="16"/>
  <c r="L307" i="16"/>
  <c r="L306" i="16"/>
  <c r="L49" i="16"/>
  <c r="L304" i="16"/>
  <c r="L302" i="16"/>
  <c r="L11" i="16"/>
  <c r="L301" i="16"/>
  <c r="L300" i="16"/>
  <c r="L298" i="16"/>
  <c r="L297" i="16"/>
  <c r="L296" i="16"/>
  <c r="L295" i="16"/>
  <c r="L294" i="16"/>
  <c r="L293" i="16"/>
  <c r="L48" i="16"/>
  <c r="L292" i="16"/>
  <c r="L291" i="16"/>
  <c r="L288" i="16"/>
  <c r="L287" i="16"/>
  <c r="L286" i="16"/>
  <c r="L285" i="16"/>
  <c r="L283" i="16"/>
  <c r="L282" i="16"/>
  <c r="L281" i="16"/>
  <c r="L278" i="16"/>
  <c r="L277" i="16"/>
  <c r="L276" i="16"/>
  <c r="L274" i="16"/>
  <c r="L273" i="16"/>
  <c r="L272" i="16"/>
  <c r="L271" i="16"/>
  <c r="L269" i="16"/>
  <c r="L268" i="16"/>
  <c r="L267" i="16"/>
  <c r="L265" i="16"/>
  <c r="L262" i="16"/>
  <c r="L261" i="16"/>
  <c r="L260" i="16"/>
  <c r="L259" i="16"/>
  <c r="L45" i="16"/>
  <c r="L258" i="16"/>
  <c r="L257" i="16"/>
  <c r="L44" i="16"/>
  <c r="L256" i="16"/>
  <c r="L255" i="16"/>
  <c r="L43" i="16"/>
  <c r="L254" i="16"/>
  <c r="L253" i="16"/>
  <c r="L252" i="16"/>
  <c r="L251" i="16"/>
  <c r="L250" i="16"/>
  <c r="L249" i="16"/>
  <c r="L248" i="16"/>
  <c r="L247" i="16"/>
  <c r="L246" i="16"/>
  <c r="L245" i="16"/>
  <c r="L244" i="16"/>
  <c r="L243" i="16"/>
  <c r="L242" i="16"/>
  <c r="L241" i="16"/>
  <c r="L240" i="16"/>
  <c r="L239" i="16"/>
  <c r="L238" i="16"/>
  <c r="L237" i="16"/>
  <c r="L235" i="16"/>
  <c r="L230" i="16"/>
  <c r="L228" i="16"/>
  <c r="L226" i="16"/>
  <c r="L224" i="16"/>
  <c r="L223" i="16"/>
  <c r="L222" i="16"/>
  <c r="L221" i="16"/>
  <c r="L220" i="16"/>
  <c r="L219" i="16"/>
  <c r="L217" i="16"/>
  <c r="L216" i="16"/>
  <c r="L215" i="16"/>
  <c r="L214" i="16"/>
  <c r="L213" i="16"/>
  <c r="L210" i="16"/>
  <c r="L41" i="16"/>
  <c r="L209" i="16"/>
  <c r="L207" i="16"/>
  <c r="L206" i="16"/>
  <c r="L205" i="16"/>
  <c r="L204" i="16"/>
  <c r="L203" i="16"/>
  <c r="L195" i="16"/>
  <c r="L194" i="16"/>
  <c r="L192" i="16"/>
  <c r="L191" i="16"/>
  <c r="L189" i="16"/>
  <c r="L188" i="16"/>
  <c r="L187" i="16"/>
  <c r="L186" i="16"/>
  <c r="L185" i="16"/>
  <c r="L183" i="16"/>
  <c r="L40" i="16"/>
  <c r="L180" i="16"/>
  <c r="L179" i="16"/>
  <c r="L178" i="16"/>
  <c r="L177" i="16"/>
  <c r="L174" i="16"/>
  <c r="L165" i="16"/>
  <c r="L164" i="16"/>
  <c r="L163" i="16"/>
  <c r="L162" i="16"/>
  <c r="L161" i="16"/>
  <c r="L152" i="16"/>
  <c r="L147" i="16"/>
  <c r="L10" i="16"/>
  <c r="L31" i="16"/>
  <c r="L145" i="16"/>
  <c r="L144" i="16"/>
  <c r="L143" i="16"/>
  <c r="L368" i="16"/>
  <c r="L57" i="16"/>
  <c r="L140" i="16"/>
  <c r="L30" i="16"/>
  <c r="L138" i="16"/>
  <c r="L137" i="16"/>
  <c r="L136" i="16"/>
  <c r="L135" i="16"/>
  <c r="L134" i="16"/>
  <c r="L133" i="16"/>
  <c r="L132" i="16"/>
  <c r="L131" i="16"/>
  <c r="L9" i="16"/>
  <c r="L130" i="16"/>
  <c r="L129" i="16"/>
  <c r="L128" i="16"/>
  <c r="L126" i="16"/>
  <c r="L125" i="16"/>
  <c r="L123" i="16"/>
  <c r="L122" i="16"/>
  <c r="L121" i="16"/>
  <c r="L8" i="16"/>
  <c r="L115" i="16"/>
  <c r="L113" i="16"/>
  <c r="L7" i="16"/>
  <c r="L70" i="16"/>
  <c r="L6" i="16"/>
  <c r="L112" i="16"/>
  <c r="L68" i="16"/>
  <c r="L5" i="16"/>
  <c r="L67" i="16"/>
  <c r="L4" i="16"/>
  <c r="L110" i="16"/>
  <c r="L2" i="16"/>
  <c r="L105" i="16"/>
  <c r="L20" i="16"/>
  <c r="L104" i="16"/>
  <c r="L19" i="16"/>
  <c r="L97" i="16"/>
  <c r="L96" i="16"/>
  <c r="L95" i="16"/>
  <c r="L94" i="16"/>
  <c r="L93" i="16"/>
  <c r="L92" i="16"/>
  <c r="L91" i="16"/>
  <c r="L89" i="16"/>
  <c r="L17" i="16"/>
  <c r="L88" i="16"/>
  <c r="L86" i="16"/>
  <c r="L85" i="16"/>
  <c r="R1209" i="14"/>
  <c r="L1209" i="14"/>
  <c r="H1209" i="14"/>
  <c r="G1209" i="14"/>
  <c r="G458" i="16"/>
  <c r="H458" i="16"/>
  <c r="G459" i="16"/>
  <c r="H459" i="16"/>
  <c r="G460" i="16"/>
  <c r="H460" i="16"/>
  <c r="G461" i="16"/>
  <c r="H461" i="16"/>
  <c r="G462" i="16"/>
  <c r="H462" i="16"/>
  <c r="G463" i="16"/>
  <c r="H463" i="16"/>
  <c r="G464" i="16"/>
  <c r="H464" i="16"/>
  <c r="G465" i="16"/>
  <c r="H465" i="16"/>
  <c r="G466" i="16"/>
  <c r="H466" i="16"/>
  <c r="G467" i="16"/>
  <c r="H467" i="16"/>
  <c r="G468" i="16"/>
  <c r="H468" i="16"/>
  <c r="G469" i="16"/>
  <c r="H469" i="16"/>
  <c r="G470" i="16"/>
  <c r="H470" i="16"/>
  <c r="G471" i="16"/>
  <c r="H471" i="16"/>
  <c r="G472" i="16"/>
  <c r="H472" i="16"/>
  <c r="G473" i="16"/>
  <c r="H473" i="16"/>
  <c r="G474" i="16"/>
  <c r="H474" i="16"/>
  <c r="G475" i="16"/>
  <c r="H475" i="16"/>
  <c r="G476" i="16"/>
  <c r="H476" i="16"/>
  <c r="G477" i="16"/>
  <c r="H477" i="16"/>
  <c r="G478" i="16"/>
  <c r="H478" i="16"/>
  <c r="G479" i="16"/>
  <c r="H479" i="16"/>
  <c r="G480" i="16"/>
  <c r="H480" i="16"/>
  <c r="I477" i="16" l="1"/>
  <c r="I471" i="16"/>
  <c r="I472" i="16"/>
  <c r="I480" i="16"/>
  <c r="I479" i="16"/>
  <c r="I463" i="16"/>
  <c r="I464" i="16"/>
  <c r="I478" i="16"/>
  <c r="I469" i="16"/>
  <c r="I475" i="16"/>
  <c r="I473" i="16"/>
  <c r="I467" i="16"/>
  <c r="I474" i="16"/>
  <c r="I466" i="16"/>
  <c r="I465" i="16"/>
  <c r="I458" i="16"/>
  <c r="I476" i="16"/>
  <c r="I468" i="16"/>
  <c r="I470" i="16"/>
  <c r="I459" i="16"/>
  <c r="I462" i="16"/>
  <c r="I461" i="16"/>
  <c r="I460" i="16"/>
  <c r="M1208" i="14"/>
  <c r="M356" i="16"/>
  <c r="L356" i="16"/>
  <c r="I1209" i="14"/>
  <c r="G398" i="16"/>
  <c r="H398" i="16"/>
  <c r="G402" i="16"/>
  <c r="H402" i="16"/>
  <c r="G403" i="16"/>
  <c r="H403" i="16"/>
  <c r="G404" i="16"/>
  <c r="H404" i="16"/>
  <c r="G405" i="16"/>
  <c r="H405" i="16"/>
  <c r="G406" i="16"/>
  <c r="H406" i="16"/>
  <c r="G407" i="16"/>
  <c r="H407" i="16"/>
  <c r="G408" i="16"/>
  <c r="H408" i="16"/>
  <c r="G409" i="16"/>
  <c r="H409" i="16"/>
  <c r="G399" i="16"/>
  <c r="H399" i="16"/>
  <c r="G400" i="16"/>
  <c r="H400" i="16"/>
  <c r="G401" i="16"/>
  <c r="H401" i="16"/>
  <c r="G410" i="16"/>
  <c r="H410" i="16"/>
  <c r="G411" i="16"/>
  <c r="H411" i="16"/>
  <c r="G412" i="16"/>
  <c r="H412" i="16"/>
  <c r="G413" i="16"/>
  <c r="H413" i="16"/>
  <c r="G414" i="16"/>
  <c r="H414" i="16"/>
  <c r="G415" i="16"/>
  <c r="H415" i="16"/>
  <c r="G416" i="16"/>
  <c r="H416" i="16"/>
  <c r="G417" i="16"/>
  <c r="H417" i="16"/>
  <c r="G418" i="16"/>
  <c r="H418" i="16"/>
  <c r="G420" i="16"/>
  <c r="H420" i="16"/>
  <c r="G419" i="16"/>
  <c r="H419" i="16"/>
  <c r="G421" i="16"/>
  <c r="H421" i="16"/>
  <c r="G422" i="16"/>
  <c r="H422" i="16"/>
  <c r="G423" i="16"/>
  <c r="H423" i="16"/>
  <c r="G424" i="16"/>
  <c r="H424" i="16"/>
  <c r="G425" i="16"/>
  <c r="H425" i="16"/>
  <c r="G426" i="16"/>
  <c r="H426" i="16"/>
  <c r="G429" i="16"/>
  <c r="H429" i="16"/>
  <c r="G430" i="16"/>
  <c r="H430" i="16"/>
  <c r="G431" i="16"/>
  <c r="H431" i="16"/>
  <c r="G434" i="16"/>
  <c r="H434" i="16"/>
  <c r="G432" i="16"/>
  <c r="H432" i="16"/>
  <c r="G433" i="16"/>
  <c r="H433" i="16"/>
  <c r="G435" i="16"/>
  <c r="H435" i="16"/>
  <c r="G436" i="16"/>
  <c r="H436" i="16"/>
  <c r="G437" i="16"/>
  <c r="H437" i="16"/>
  <c r="G438" i="16"/>
  <c r="H438" i="16"/>
  <c r="G439" i="16"/>
  <c r="H439" i="16"/>
  <c r="G440" i="16"/>
  <c r="H440" i="16"/>
  <c r="G441" i="16"/>
  <c r="H441" i="16"/>
  <c r="G442" i="16"/>
  <c r="H442" i="16"/>
  <c r="G443" i="16"/>
  <c r="H443" i="16"/>
  <c r="G457" i="16"/>
  <c r="H457" i="16"/>
  <c r="G449" i="16"/>
  <c r="H449" i="16"/>
  <c r="G451" i="16"/>
  <c r="H451" i="16"/>
  <c r="G452" i="16"/>
  <c r="H452" i="16"/>
  <c r="G453" i="16"/>
  <c r="H453" i="16"/>
  <c r="G454" i="16"/>
  <c r="H454" i="16"/>
  <c r="G455" i="16"/>
  <c r="H455" i="16"/>
  <c r="G456" i="16"/>
  <c r="H456" i="16"/>
  <c r="G450" i="16"/>
  <c r="H450" i="16"/>
  <c r="G444" i="16"/>
  <c r="H444" i="16"/>
  <c r="G445" i="16"/>
  <c r="H445" i="16"/>
  <c r="G446" i="16"/>
  <c r="H446" i="16"/>
  <c r="G427" i="16"/>
  <c r="H427" i="16"/>
  <c r="G428" i="16"/>
  <c r="H428" i="16"/>
  <c r="G447" i="16"/>
  <c r="H447" i="16"/>
  <c r="G448" i="16"/>
  <c r="H448" i="16"/>
  <c r="I447" i="16" l="1"/>
  <c r="I433" i="16"/>
  <c r="I400" i="16"/>
  <c r="I448" i="16"/>
  <c r="I435" i="16"/>
  <c r="I401" i="16"/>
  <c r="I455" i="16"/>
  <c r="I424" i="16"/>
  <c r="I403" i="16"/>
  <c r="I442" i="16"/>
  <c r="I416" i="16"/>
  <c r="I443" i="16"/>
  <c r="I417" i="16"/>
  <c r="I456" i="16"/>
  <c r="I425" i="16"/>
  <c r="I404" i="16"/>
  <c r="I446" i="16"/>
  <c r="I452" i="16"/>
  <c r="I439" i="16"/>
  <c r="I431" i="16"/>
  <c r="I421" i="16"/>
  <c r="I413" i="16"/>
  <c r="I408" i="16"/>
  <c r="I427" i="16"/>
  <c r="I453" i="16"/>
  <c r="I440" i="16"/>
  <c r="I434" i="16"/>
  <c r="I422" i="16"/>
  <c r="I414" i="16"/>
  <c r="I409" i="16"/>
  <c r="I398" i="16"/>
  <c r="I450" i="16"/>
  <c r="I457" i="16"/>
  <c r="I436" i="16"/>
  <c r="I426" i="16"/>
  <c r="I418" i="16"/>
  <c r="I410" i="16"/>
  <c r="I405" i="16"/>
  <c r="I445" i="16"/>
  <c r="I451" i="16"/>
  <c r="I438" i="16"/>
  <c r="I430" i="16"/>
  <c r="I419" i="16"/>
  <c r="I412" i="16"/>
  <c r="I407" i="16"/>
  <c r="I428" i="16"/>
  <c r="I454" i="16"/>
  <c r="I441" i="16"/>
  <c r="I432" i="16"/>
  <c r="I423" i="16"/>
  <c r="I415" i="16"/>
  <c r="I399" i="16"/>
  <c r="I402" i="16"/>
  <c r="I444" i="16"/>
  <c r="I449" i="16"/>
  <c r="I437" i="16"/>
  <c r="I429" i="16"/>
  <c r="I420" i="16"/>
  <c r="I411" i="16"/>
  <c r="I406" i="16"/>
  <c r="M102" i="16"/>
  <c r="L102" i="16"/>
  <c r="L98" i="16"/>
  <c r="M98" i="16"/>
  <c r="L99" i="16"/>
  <c r="M99" i="16"/>
  <c r="M358" i="16"/>
  <c r="L100" i="16"/>
  <c r="M100" i="16"/>
  <c r="L101" i="16"/>
  <c r="M101" i="16"/>
  <c r="M106" i="16"/>
  <c r="L106" i="16"/>
  <c r="L357" i="16"/>
  <c r="M357" i="16"/>
  <c r="L417" i="14"/>
  <c r="L416" i="14"/>
  <c r="L809" i="14"/>
  <c r="L793" i="14"/>
  <c r="L789" i="14"/>
  <c r="L785" i="14"/>
  <c r="H130" i="16"/>
  <c r="G130" i="16"/>
  <c r="L1047" i="14"/>
  <c r="R3" i="14"/>
  <c r="R4" i="14"/>
  <c r="R5" i="14"/>
  <c r="R6" i="14"/>
  <c r="R7" i="14"/>
  <c r="R8" i="14"/>
  <c r="R9" i="14"/>
  <c r="R10" i="14"/>
  <c r="R11" i="14"/>
  <c r="R12" i="14"/>
  <c r="R13" i="14"/>
  <c r="R14" i="14"/>
  <c r="R16" i="14"/>
  <c r="R17" i="14"/>
  <c r="R20" i="14"/>
  <c r="R21" i="14"/>
  <c r="R24" i="14"/>
  <c r="R25" i="14"/>
  <c r="R26" i="14"/>
  <c r="R27" i="14"/>
  <c r="R29" i="14"/>
  <c r="R30" i="14"/>
  <c r="R33" i="14"/>
  <c r="R34" i="14"/>
  <c r="R37" i="14"/>
  <c r="R40" i="14"/>
  <c r="R41" i="14"/>
  <c r="R43" i="14"/>
  <c r="R44" i="14"/>
  <c r="R45" i="14"/>
  <c r="R46" i="14"/>
  <c r="R156" i="14"/>
  <c r="R160" i="14"/>
  <c r="R170" i="14"/>
  <c r="R174" i="14"/>
  <c r="R181" i="14"/>
  <c r="R182" i="14"/>
  <c r="R185" i="14"/>
  <c r="R190" i="14"/>
  <c r="R189" i="14"/>
  <c r="R197" i="14"/>
  <c r="R199" i="14"/>
  <c r="R202" i="14"/>
  <c r="R205" i="14"/>
  <c r="R207" i="14"/>
  <c r="R209" i="14"/>
  <c r="R211" i="14"/>
  <c r="R213" i="14"/>
  <c r="R215" i="14"/>
  <c r="R217" i="14"/>
  <c r="R220" i="14"/>
  <c r="R223" i="14"/>
  <c r="R224" i="14"/>
  <c r="R227" i="14"/>
  <c r="R228" i="14"/>
  <c r="R229" i="14"/>
  <c r="R232" i="14"/>
  <c r="R234" i="14"/>
  <c r="R235" i="14"/>
  <c r="R237" i="14"/>
  <c r="R239" i="14"/>
  <c r="R241" i="14"/>
  <c r="R243" i="14"/>
  <c r="R245" i="14"/>
  <c r="R246" i="14"/>
  <c r="R249" i="14"/>
  <c r="R252" i="14"/>
  <c r="R253" i="14"/>
  <c r="R255" i="14"/>
  <c r="R256" i="14"/>
  <c r="R258" i="14"/>
  <c r="R259" i="14"/>
  <c r="R261" i="14"/>
  <c r="R264" i="14"/>
  <c r="R267" i="14"/>
  <c r="R268" i="14"/>
  <c r="R270" i="14"/>
  <c r="R271" i="14"/>
  <c r="R276" i="14"/>
  <c r="R279" i="14"/>
  <c r="R295" i="14"/>
  <c r="R299" i="14"/>
  <c r="R304" i="14"/>
  <c r="R307" i="14"/>
  <c r="R308" i="14"/>
  <c r="R311" i="14"/>
  <c r="R313" i="14"/>
  <c r="R315" i="14"/>
  <c r="R319" i="14"/>
  <c r="R322" i="14"/>
  <c r="R325" i="14"/>
  <c r="R329" i="14"/>
  <c r="R332" i="14"/>
  <c r="R334" i="14"/>
  <c r="R335" i="14"/>
  <c r="R338" i="14"/>
  <c r="R339" i="14"/>
  <c r="R341" i="14"/>
  <c r="R343" i="14"/>
  <c r="R347" i="14"/>
  <c r="R351" i="14"/>
  <c r="R358" i="14"/>
  <c r="R362" i="14"/>
  <c r="R366" i="14"/>
  <c r="R369" i="14"/>
  <c r="R370" i="14"/>
  <c r="R371" i="14"/>
  <c r="R372" i="14"/>
  <c r="R375" i="14"/>
  <c r="R376" i="14"/>
  <c r="R377" i="14"/>
  <c r="R378" i="14"/>
  <c r="R380" i="14"/>
  <c r="R381" i="14"/>
  <c r="R382" i="14"/>
  <c r="R383" i="14"/>
  <c r="R385" i="14"/>
  <c r="R386" i="14"/>
  <c r="R388" i="14"/>
  <c r="R392" i="14"/>
  <c r="R395" i="14"/>
  <c r="R397" i="14"/>
  <c r="R399" i="14"/>
  <c r="R400" i="14"/>
  <c r="R401" i="14"/>
  <c r="R402" i="14"/>
  <c r="R405" i="14"/>
  <c r="R406" i="14"/>
  <c r="R407" i="14"/>
  <c r="R408" i="14"/>
  <c r="R412" i="14"/>
  <c r="R413" i="14"/>
  <c r="R416" i="14"/>
  <c r="R417" i="14"/>
  <c r="R419" i="14"/>
  <c r="R420" i="14"/>
  <c r="R427" i="14"/>
  <c r="R430" i="14"/>
  <c r="R431" i="14"/>
  <c r="R439" i="14"/>
  <c r="R442" i="14"/>
  <c r="R450" i="14"/>
  <c r="R451" i="14"/>
  <c r="R452" i="14"/>
  <c r="R444" i="14"/>
  <c r="R464" i="14"/>
  <c r="R465" i="14"/>
  <c r="R466" i="14"/>
  <c r="R458" i="14"/>
  <c r="R473" i="14"/>
  <c r="R477" i="14"/>
  <c r="R480" i="14"/>
  <c r="R482" i="14"/>
  <c r="R484" i="14"/>
  <c r="R486" i="14"/>
  <c r="R494" i="14"/>
  <c r="R495" i="14"/>
  <c r="R496" i="14"/>
  <c r="R488" i="14"/>
  <c r="R502" i="14"/>
  <c r="R504" i="14"/>
  <c r="R506" i="14"/>
  <c r="R509" i="14"/>
  <c r="R513" i="14"/>
  <c r="R517" i="14"/>
  <c r="R523" i="14"/>
  <c r="R529" i="14"/>
  <c r="R532" i="14"/>
  <c r="R534" i="14"/>
  <c r="R539" i="14"/>
  <c r="R543" i="14"/>
  <c r="R547" i="14"/>
  <c r="R551" i="14"/>
  <c r="R555" i="14"/>
  <c r="R562" i="14"/>
  <c r="R563" i="14"/>
  <c r="R564" i="14"/>
  <c r="R567" i="14"/>
  <c r="R568" i="14"/>
  <c r="R570" i="14"/>
  <c r="R571" i="14"/>
  <c r="R572" i="14"/>
  <c r="R573" i="14"/>
  <c r="R576" i="14"/>
  <c r="R581" i="14"/>
  <c r="R582" i="14"/>
  <c r="R583" i="14"/>
  <c r="R584" i="14"/>
  <c r="R586" i="14"/>
  <c r="R590" i="14"/>
  <c r="R593" i="14"/>
  <c r="R594" i="14"/>
  <c r="R599" i="14"/>
  <c r="R602" i="14"/>
  <c r="R605" i="14"/>
  <c r="R609" i="14"/>
  <c r="R612" i="14"/>
  <c r="R616" i="14"/>
  <c r="R620" i="14"/>
  <c r="R624" i="14"/>
  <c r="R628" i="14"/>
  <c r="R632" i="14"/>
  <c r="R636" i="14"/>
  <c r="R640" i="14"/>
  <c r="R643" i="14"/>
  <c r="R645" i="14"/>
  <c r="R649" i="14"/>
  <c r="R653" i="14"/>
  <c r="R657" i="14"/>
  <c r="R660" i="14"/>
  <c r="R663" i="14"/>
  <c r="R666" i="14"/>
  <c r="R667" i="14"/>
  <c r="R668" i="14"/>
  <c r="R669" i="14"/>
  <c r="R672" i="14"/>
  <c r="R675" i="14"/>
  <c r="R676" i="14"/>
  <c r="R677" i="14"/>
  <c r="R678" i="14"/>
  <c r="R682" i="14"/>
  <c r="R686" i="14"/>
  <c r="R690" i="14"/>
  <c r="R692" i="14"/>
  <c r="R694" i="14"/>
  <c r="R696" i="14"/>
  <c r="R700" i="14"/>
  <c r="R704" i="14"/>
  <c r="R706" i="14"/>
  <c r="R710" i="14"/>
  <c r="R714" i="14"/>
  <c r="R720" i="14"/>
  <c r="R723" i="14"/>
  <c r="R724" i="14"/>
  <c r="R730" i="14"/>
  <c r="R734" i="14"/>
  <c r="R738" i="14"/>
  <c r="R742" i="14"/>
  <c r="R746" i="14"/>
  <c r="R747" i="14"/>
  <c r="R748" i="14"/>
  <c r="R749" i="14"/>
  <c r="R753" i="14"/>
  <c r="R759" i="14"/>
  <c r="R763" i="14"/>
  <c r="R767" i="14"/>
  <c r="R771" i="14"/>
  <c r="R774" i="14"/>
  <c r="R778" i="14"/>
  <c r="R782" i="14"/>
  <c r="R786" i="14"/>
  <c r="R790" i="14"/>
  <c r="R794" i="14"/>
  <c r="R798" i="14"/>
  <c r="R802" i="14"/>
  <c r="R806" i="14"/>
  <c r="R810" i="14"/>
  <c r="R814" i="14"/>
  <c r="R818" i="14"/>
  <c r="R819" i="14"/>
  <c r="R822" i="14"/>
  <c r="R825" i="14"/>
  <c r="R829" i="14"/>
  <c r="R833" i="14"/>
  <c r="R837" i="14"/>
  <c r="R838" i="14"/>
  <c r="R842" i="14"/>
  <c r="R845" i="14"/>
  <c r="R846" i="14"/>
  <c r="R847" i="14"/>
  <c r="R848" i="14"/>
  <c r="R851" i="14"/>
  <c r="R855" i="14"/>
  <c r="R858" i="14"/>
  <c r="R860" i="14"/>
  <c r="R862" i="14"/>
  <c r="R864" i="14"/>
  <c r="R865" i="14"/>
  <c r="R866" i="14"/>
  <c r="R867" i="14"/>
  <c r="R870" i="14"/>
  <c r="R872" i="14"/>
  <c r="R874" i="14"/>
  <c r="R877" i="14"/>
  <c r="R881" i="14"/>
  <c r="R884" i="14"/>
  <c r="R887" i="14"/>
  <c r="R891" i="14"/>
  <c r="R895" i="14"/>
  <c r="R898" i="14"/>
  <c r="R899" i="14"/>
  <c r="R902" i="14"/>
  <c r="R908" i="14"/>
  <c r="R911" i="14"/>
  <c r="R912" i="14"/>
  <c r="R914" i="14"/>
  <c r="R918" i="14"/>
  <c r="R921" i="14"/>
  <c r="R922" i="14"/>
  <c r="R924" i="14"/>
  <c r="R925" i="14"/>
  <c r="R928" i="14"/>
  <c r="R932" i="14"/>
  <c r="R936" i="14"/>
  <c r="R939" i="14"/>
  <c r="R942" i="14"/>
  <c r="R943" i="14"/>
  <c r="R945" i="14"/>
  <c r="R949" i="14"/>
  <c r="R952" i="14"/>
  <c r="R953" i="14"/>
  <c r="R956" i="14"/>
  <c r="R957" i="14"/>
  <c r="R959" i="14"/>
  <c r="R961" i="14"/>
  <c r="R964" i="14"/>
  <c r="R965" i="14"/>
  <c r="R969" i="14"/>
  <c r="R971" i="14"/>
  <c r="R975" i="14"/>
  <c r="R981" i="14"/>
  <c r="R984" i="14"/>
  <c r="R985" i="14"/>
  <c r="R988" i="14"/>
  <c r="R989" i="14"/>
  <c r="R990" i="14"/>
  <c r="R991" i="14"/>
  <c r="R994" i="14"/>
  <c r="R995" i="14"/>
  <c r="R1002" i="14"/>
  <c r="R1003" i="14"/>
  <c r="R1004" i="14"/>
  <c r="R1005" i="14"/>
  <c r="R1009" i="14"/>
  <c r="R1014" i="14"/>
  <c r="R1020" i="14"/>
  <c r="R1026" i="14"/>
  <c r="R1033" i="14"/>
  <c r="R1037" i="14"/>
  <c r="R1038" i="14"/>
  <c r="R1039" i="14"/>
  <c r="R1040" i="14"/>
  <c r="R1044" i="14"/>
  <c r="R1048" i="14"/>
  <c r="R1050" i="14"/>
  <c r="R1052" i="14"/>
  <c r="R1058" i="14"/>
  <c r="R1062" i="14"/>
  <c r="R1066" i="14"/>
  <c r="R1069" i="14"/>
  <c r="R1072" i="14"/>
  <c r="R1076" i="14"/>
  <c r="R1079" i="14"/>
  <c r="R1081" i="14"/>
  <c r="R1085" i="14"/>
  <c r="R1088" i="14"/>
  <c r="R1089" i="14"/>
  <c r="R1093" i="14"/>
  <c r="R1097" i="14"/>
  <c r="R1100" i="14"/>
  <c r="R1103" i="14"/>
  <c r="R1107" i="14"/>
  <c r="R1111" i="14"/>
  <c r="R1114" i="14"/>
  <c r="R1117" i="14"/>
  <c r="R1120" i="14"/>
  <c r="R1124" i="14"/>
  <c r="R1127" i="14"/>
  <c r="R1129" i="14"/>
  <c r="R1130" i="14"/>
  <c r="R1132" i="14"/>
  <c r="R1137" i="14"/>
  <c r="R1143" i="14"/>
  <c r="R1149" i="14"/>
  <c r="R1155" i="14"/>
  <c r="R1161" i="14"/>
  <c r="R1167" i="14"/>
  <c r="R1171" i="14"/>
  <c r="R1175" i="14"/>
  <c r="R1179" i="14"/>
  <c r="R1183" i="14"/>
  <c r="R1184" i="14"/>
  <c r="R1186" i="14"/>
  <c r="R1187" i="14"/>
  <c r="R1189" i="14"/>
  <c r="R1193" i="14"/>
  <c r="R1197" i="14"/>
  <c r="R1201" i="14"/>
  <c r="R1205" i="14"/>
  <c r="R1208" i="14"/>
  <c r="R1212" i="14"/>
  <c r="R1213" i="14"/>
  <c r="R1216" i="14"/>
  <c r="R1220" i="14"/>
  <c r="R1223" i="14"/>
  <c r="R1230" i="14"/>
  <c r="R1236" i="14"/>
  <c r="R1238" i="14"/>
  <c r="R1239" i="14"/>
  <c r="R1242" i="14"/>
  <c r="R1360" i="14"/>
  <c r="R1361" i="14"/>
  <c r="R1362" i="14"/>
  <c r="R1363" i="14"/>
  <c r="R1364" i="14"/>
  <c r="R1365" i="14"/>
  <c r="R1366" i="14"/>
  <c r="R1367" i="14"/>
  <c r="R1368" i="14"/>
  <c r="R1369" i="14"/>
  <c r="R1370" i="14"/>
  <c r="R1371" i="14"/>
  <c r="R1372" i="14"/>
  <c r="R1373" i="14"/>
  <c r="R1374" i="14"/>
  <c r="R1375" i="14"/>
  <c r="R1376" i="14"/>
  <c r="R1377" i="14"/>
  <c r="R1378" i="14"/>
  <c r="R1379" i="14"/>
  <c r="R1380" i="14"/>
  <c r="R1381" i="14"/>
  <c r="R1382" i="14"/>
  <c r="R1383" i="14"/>
  <c r="R1384" i="14"/>
  <c r="R1385" i="14"/>
  <c r="R1388" i="14"/>
  <c r="R1389" i="14"/>
  <c r="R1390" i="14"/>
  <c r="R1393" i="14"/>
  <c r="R1394" i="14"/>
  <c r="R1395" i="14"/>
  <c r="R1398" i="14"/>
  <c r="R1399" i="14"/>
  <c r="R1400" i="14"/>
  <c r="R1403" i="14"/>
  <c r="R1404" i="14"/>
  <c r="R1406" i="14"/>
  <c r="R1407" i="14"/>
  <c r="R1409" i="14"/>
  <c r="R1413" i="14"/>
  <c r="R1417" i="14"/>
  <c r="R225" i="14"/>
  <c r="R1386" i="14"/>
  <c r="R1391" i="14"/>
  <c r="R1396" i="14"/>
  <c r="R1401" i="14"/>
  <c r="R1410" i="14"/>
  <c r="R1414" i="14"/>
  <c r="R1418" i="14"/>
  <c r="R1015" i="14"/>
  <c r="R1034" i="14"/>
  <c r="R1027" i="14"/>
  <c r="R1021" i="14"/>
  <c r="R853" i="14"/>
  <c r="R273" i="14"/>
  <c r="R274" i="14"/>
  <c r="R275" i="14"/>
  <c r="R289" i="14"/>
  <c r="R292" i="14"/>
  <c r="R303" i="14"/>
  <c r="R314" i="14"/>
  <c r="R357" i="14"/>
  <c r="R542" i="14"/>
  <c r="R550" i="14"/>
  <c r="R554" i="14"/>
  <c r="R556" i="14"/>
  <c r="R557" i="14"/>
  <c r="R558" i="14"/>
  <c r="R559" i="14"/>
  <c r="R560" i="14"/>
  <c r="R561" i="14"/>
  <c r="R565" i="14"/>
  <c r="R566" i="14"/>
  <c r="R283" i="14"/>
  <c r="R286" i="14"/>
  <c r="R998" i="14"/>
  <c r="R999" i="14"/>
  <c r="R579" i="14"/>
  <c r="R580" i="14"/>
  <c r="R1233" i="14"/>
  <c r="R423" i="14"/>
  <c r="R424" i="14"/>
  <c r="R434" i="14"/>
  <c r="R435" i="14"/>
  <c r="R445" i="14"/>
  <c r="R446" i="14"/>
  <c r="R447" i="14"/>
  <c r="R448" i="14"/>
  <c r="R449" i="14"/>
  <c r="R453" i="14"/>
  <c r="R454" i="14"/>
  <c r="R455" i="14"/>
  <c r="R459" i="14"/>
  <c r="R460" i="14"/>
  <c r="R461" i="14"/>
  <c r="R462" i="14"/>
  <c r="R463" i="14"/>
  <c r="R467" i="14"/>
  <c r="R468" i="14"/>
  <c r="R469" i="14"/>
  <c r="R489" i="14"/>
  <c r="R490" i="14"/>
  <c r="R491" i="14"/>
  <c r="R492" i="14"/>
  <c r="R493" i="14"/>
  <c r="R497" i="14"/>
  <c r="R498" i="14"/>
  <c r="R499" i="14"/>
  <c r="R1224" i="14"/>
  <c r="R1225" i="14"/>
  <c r="R1226" i="14"/>
  <c r="R186" i="14"/>
  <c r="R192" i="14"/>
  <c r="R191" i="14"/>
  <c r="R263" i="14"/>
  <c r="R280" i="14"/>
  <c r="R595" i="14"/>
  <c r="R596" i="14"/>
  <c r="R597" i="14"/>
  <c r="R725" i="14"/>
  <c r="R726" i="14"/>
  <c r="R522" i="14"/>
  <c r="R528" i="14"/>
  <c r="R538" i="14"/>
  <c r="R611" i="14"/>
  <c r="R719" i="14"/>
  <c r="R752" i="14"/>
  <c r="R758" i="14"/>
  <c r="R777" i="14"/>
  <c r="R907" i="14"/>
  <c r="R974" i="14"/>
  <c r="R980" i="14"/>
  <c r="R1057" i="14"/>
  <c r="R1136" i="14"/>
  <c r="R1142" i="14"/>
  <c r="R1148" i="14"/>
  <c r="R1154" i="14"/>
  <c r="R1160" i="14"/>
  <c r="R1166" i="14"/>
  <c r="R1170" i="14"/>
  <c r="R159" i="14"/>
  <c r="R248" i="14"/>
  <c r="R312" i="14"/>
  <c r="R387" i="14"/>
  <c r="R429" i="14"/>
  <c r="R521" i="14"/>
  <c r="R527" i="14"/>
  <c r="R537" i="14"/>
  <c r="R546" i="14"/>
  <c r="R585" i="14"/>
  <c r="R598" i="14"/>
  <c r="R610" i="14"/>
  <c r="R627" i="14"/>
  <c r="R718" i="14"/>
  <c r="R751" i="14"/>
  <c r="R757" i="14"/>
  <c r="R776" i="14"/>
  <c r="R886" i="14"/>
  <c r="R901" i="14"/>
  <c r="R906" i="14"/>
  <c r="R913" i="14"/>
  <c r="R917" i="14"/>
  <c r="R979" i="14"/>
  <c r="R1056" i="14"/>
  <c r="R1123" i="14"/>
  <c r="R1135" i="14"/>
  <c r="R1141" i="14"/>
  <c r="R1147" i="14"/>
  <c r="R1153" i="14"/>
  <c r="R1159" i="14"/>
  <c r="R1165" i="14"/>
  <c r="R1169" i="14"/>
  <c r="R428" i="14"/>
  <c r="R520" i="14"/>
  <c r="R526" i="14"/>
  <c r="R536" i="14"/>
  <c r="R717" i="14"/>
  <c r="R750" i="14"/>
  <c r="R756" i="14"/>
  <c r="R905" i="14"/>
  <c r="R978" i="14"/>
  <c r="R1055" i="14"/>
  <c r="R1134" i="14"/>
  <c r="R1140" i="14"/>
  <c r="R1146" i="14"/>
  <c r="R1152" i="14"/>
  <c r="R1158" i="14"/>
  <c r="R1164" i="14"/>
  <c r="R1168" i="14"/>
  <c r="R155" i="14"/>
  <c r="R169" i="14"/>
  <c r="R173" i="14"/>
  <c r="R201" i="14"/>
  <c r="R219" i="14"/>
  <c r="R310" i="14"/>
  <c r="R318" i="14"/>
  <c r="R324" i="14"/>
  <c r="R328" i="14"/>
  <c r="R346" i="14"/>
  <c r="R350" i="14"/>
  <c r="R361" i="14"/>
  <c r="R391" i="14"/>
  <c r="R438" i="14"/>
  <c r="R472" i="14"/>
  <c r="R476" i="14"/>
  <c r="R508" i="14"/>
  <c r="R512" i="14"/>
  <c r="R516" i="14"/>
  <c r="R589" i="14"/>
  <c r="R604" i="14"/>
  <c r="R608" i="14"/>
  <c r="R615" i="14"/>
  <c r="R619" i="14"/>
  <c r="R623" i="14"/>
  <c r="R631" i="14"/>
  <c r="R635" i="14"/>
  <c r="R639" i="14"/>
  <c r="R644" i="14"/>
  <c r="R648" i="14"/>
  <c r="R652" i="14"/>
  <c r="R656" i="14"/>
  <c r="R662" i="14"/>
  <c r="R681" i="14"/>
  <c r="R685" i="14"/>
  <c r="R689" i="14"/>
  <c r="R691" i="14"/>
  <c r="R693" i="14"/>
  <c r="R695" i="14"/>
  <c r="R699" i="14"/>
  <c r="R703" i="14"/>
  <c r="R705" i="14"/>
  <c r="R709" i="14"/>
  <c r="R713" i="14"/>
  <c r="R729" i="14"/>
  <c r="R733" i="14"/>
  <c r="R737" i="14"/>
  <c r="R741" i="14"/>
  <c r="R745" i="14"/>
  <c r="R762" i="14"/>
  <c r="R766" i="14"/>
  <c r="R770" i="14"/>
  <c r="R781" i="14"/>
  <c r="R785" i="14"/>
  <c r="R789" i="14"/>
  <c r="R793" i="14"/>
  <c r="R797" i="14"/>
  <c r="R801" i="14"/>
  <c r="R805" i="14"/>
  <c r="R809" i="14"/>
  <c r="R813" i="14"/>
  <c r="R817" i="14"/>
  <c r="R821" i="14"/>
  <c r="R824" i="14"/>
  <c r="R828" i="14"/>
  <c r="R832" i="14"/>
  <c r="R841" i="14"/>
  <c r="R854" i="14"/>
  <c r="R876" i="14"/>
  <c r="R880" i="14"/>
  <c r="R890" i="14"/>
  <c r="R894" i="14"/>
  <c r="R923" i="14"/>
  <c r="R931" i="14"/>
  <c r="R935" i="14"/>
  <c r="R941" i="14"/>
  <c r="R948" i="14"/>
  <c r="R968" i="14"/>
  <c r="R970" i="14"/>
  <c r="R1008" i="14"/>
  <c r="R1043" i="14"/>
  <c r="R1047" i="14"/>
  <c r="R1049" i="14"/>
  <c r="R1051" i="14"/>
  <c r="R1061" i="14"/>
  <c r="R1065" i="14"/>
  <c r="R1071" i="14"/>
  <c r="R1075" i="14"/>
  <c r="R1080" i="14"/>
  <c r="R1084" i="14"/>
  <c r="R1092" i="14"/>
  <c r="R1096" i="14"/>
  <c r="R1102" i="14"/>
  <c r="R1106" i="14"/>
  <c r="R1110" i="14"/>
  <c r="R1128" i="14"/>
  <c r="R1174" i="14"/>
  <c r="R1178" i="14"/>
  <c r="R1192" i="14"/>
  <c r="R1196" i="14"/>
  <c r="R1200" i="14"/>
  <c r="R1204" i="14"/>
  <c r="R1219" i="14"/>
  <c r="R1229" i="14"/>
  <c r="I130" i="16" l="1"/>
  <c r="M757" i="14"/>
  <c r="M484" i="14"/>
  <c r="M1102" i="14"/>
  <c r="M841" i="14"/>
  <c r="M766" i="14"/>
  <c r="M689" i="14"/>
  <c r="M589" i="14"/>
  <c r="M219" i="14"/>
  <c r="M1055" i="14"/>
  <c r="M1147" i="14"/>
  <c r="M751" i="14"/>
  <c r="M1170" i="14"/>
  <c r="M1399" i="14"/>
  <c r="M1201" i="14"/>
  <c r="M1137" i="14"/>
  <c r="M1038" i="14"/>
  <c r="M956" i="14"/>
  <c r="M833" i="14"/>
  <c r="M774" i="14"/>
  <c r="M734" i="14"/>
  <c r="M640" i="14"/>
  <c r="M534" i="14"/>
  <c r="M482" i="14"/>
  <c r="M249" i="14"/>
  <c r="M970" i="14"/>
  <c r="M1398" i="14"/>
  <c r="M832" i="14"/>
  <c r="M771" i="14"/>
  <c r="M968" i="14"/>
  <c r="M828" i="14"/>
  <c r="M681" i="14"/>
  <c r="M516" i="14"/>
  <c r="M173" i="14"/>
  <c r="M536" i="14"/>
  <c r="M1135" i="14"/>
  <c r="M627" i="14"/>
  <c r="M1160" i="14"/>
  <c r="M777" i="14"/>
  <c r="M1242" i="14"/>
  <c r="M1193" i="14"/>
  <c r="M1130" i="14"/>
  <c r="M1081" i="14"/>
  <c r="M952" i="14"/>
  <c r="M911" i="14"/>
  <c r="M825" i="14"/>
  <c r="M767" i="14"/>
  <c r="M632" i="14"/>
  <c r="M529" i="14"/>
  <c r="M477" i="14"/>
  <c r="M431" i="14"/>
  <c r="M351" i="14"/>
  <c r="M217" i="14"/>
  <c r="M978" i="14"/>
  <c r="M220" i="14"/>
  <c r="M610" i="14"/>
  <c r="M1154" i="14"/>
  <c r="M758" i="14"/>
  <c r="M1394" i="14"/>
  <c r="M1239" i="14"/>
  <c r="M1189" i="14"/>
  <c r="M1129" i="14"/>
  <c r="M1079" i="14"/>
  <c r="M949" i="14"/>
  <c r="M822" i="14"/>
  <c r="M763" i="14"/>
  <c r="M628" i="14"/>
  <c r="M523" i="14"/>
  <c r="M347" i="14"/>
  <c r="M313" i="14"/>
  <c r="M215" i="14"/>
  <c r="M1166" i="14"/>
  <c r="M1197" i="14"/>
  <c r="M512" i="14"/>
  <c r="M1204" i="14"/>
  <c r="M741" i="14"/>
  <c r="M520" i="14"/>
  <c r="M1123" i="14"/>
  <c r="M598" i="14"/>
  <c r="M1148" i="14"/>
  <c r="M752" i="14"/>
  <c r="M579" i="14"/>
  <c r="M1393" i="14"/>
  <c r="M1238" i="14"/>
  <c r="M1076" i="14"/>
  <c r="M945" i="14"/>
  <c r="M862" i="14"/>
  <c r="M819" i="14"/>
  <c r="M759" i="14"/>
  <c r="M720" i="14"/>
  <c r="M672" i="14"/>
  <c r="M517" i="14"/>
  <c r="M427" i="14"/>
  <c r="M343" i="14"/>
  <c r="M311" i="14"/>
  <c r="M243" i="14"/>
  <c r="M213" i="14"/>
  <c r="M480" i="14"/>
  <c r="M1219" i="14"/>
  <c r="M526" i="14"/>
  <c r="M821" i="14"/>
  <c r="M1200" i="14"/>
  <c r="M817" i="14"/>
  <c r="M476" i="14"/>
  <c r="M428" i="14"/>
  <c r="M1056" i="14"/>
  <c r="M585" i="14"/>
  <c r="M1142" i="14"/>
  <c r="M719" i="14"/>
  <c r="M1236" i="14"/>
  <c r="M1124" i="14"/>
  <c r="M1072" i="14"/>
  <c r="M985" i="14"/>
  <c r="M899" i="14"/>
  <c r="M860" i="14"/>
  <c r="M818" i="14"/>
  <c r="M753" i="14"/>
  <c r="M714" i="14"/>
  <c r="M513" i="14"/>
  <c r="M341" i="14"/>
  <c r="M241" i="14"/>
  <c r="M211" i="14"/>
  <c r="M1096" i="14"/>
  <c r="M580" i="14"/>
  <c r="M912" i="14"/>
  <c r="M1080" i="14"/>
  <c r="M656" i="14"/>
  <c r="M737" i="14"/>
  <c r="M1196" i="14"/>
  <c r="M941" i="14"/>
  <c r="M733" i="14"/>
  <c r="M546" i="14"/>
  <c r="M1136" i="14"/>
  <c r="M1389" i="14"/>
  <c r="M1120" i="14"/>
  <c r="M1009" i="14"/>
  <c r="M984" i="14"/>
  <c r="M942" i="14"/>
  <c r="M858" i="14"/>
  <c r="M814" i="14"/>
  <c r="M749" i="14"/>
  <c r="M710" i="14"/>
  <c r="M616" i="14"/>
  <c r="M509" i="14"/>
  <c r="M261" i="14"/>
  <c r="M239" i="14"/>
  <c r="M209" i="14"/>
  <c r="M174" i="14"/>
  <c r="M201" i="14"/>
  <c r="M1132" i="14"/>
  <c r="M532" i="14"/>
  <c r="M824" i="14"/>
  <c r="M948" i="14"/>
  <c r="M508" i="14"/>
  <c r="M652" i="14"/>
  <c r="M1075" i="14"/>
  <c r="M813" i="14"/>
  <c r="M648" i="14"/>
  <c r="M905" i="14"/>
  <c r="M979" i="14"/>
  <c r="M1192" i="14"/>
  <c r="M1071" i="14"/>
  <c r="M935" i="14"/>
  <c r="M729" i="14"/>
  <c r="M644" i="14"/>
  <c r="M438" i="14"/>
  <c r="M1168" i="14"/>
  <c r="M537" i="14"/>
  <c r="M611" i="14"/>
  <c r="M1388" i="14"/>
  <c r="M1117" i="14"/>
  <c r="M1066" i="14"/>
  <c r="M981" i="14"/>
  <c r="M939" i="14"/>
  <c r="M895" i="14"/>
  <c r="M706" i="14"/>
  <c r="M612" i="14"/>
  <c r="M207" i="14"/>
  <c r="M762" i="14"/>
  <c r="M829" i="14"/>
  <c r="M1230" i="14"/>
  <c r="M1179" i="14"/>
  <c r="M1114" i="14"/>
  <c r="M1062" i="14"/>
  <c r="M975" i="14"/>
  <c r="M936" i="14"/>
  <c r="M851" i="14"/>
  <c r="M806" i="14"/>
  <c r="M704" i="14"/>
  <c r="M609" i="14"/>
  <c r="M576" i="14"/>
  <c r="M504" i="14"/>
  <c r="M395" i="14"/>
  <c r="M235" i="14"/>
  <c r="M205" i="14"/>
  <c r="M160" i="14"/>
  <c r="M685" i="14"/>
  <c r="M730" i="14"/>
  <c r="M1065" i="14"/>
  <c r="M1164" i="14"/>
  <c r="M527" i="14"/>
  <c r="M1174" i="14"/>
  <c r="M1061" i="14"/>
  <c r="M927" i="14"/>
  <c r="M801" i="14"/>
  <c r="M709" i="14"/>
  <c r="M635" i="14"/>
  <c r="M361" i="14"/>
  <c r="M1158" i="14"/>
  <c r="M521" i="14"/>
  <c r="M1057" i="14"/>
  <c r="M1384" i="14"/>
  <c r="M1175" i="14"/>
  <c r="M1111" i="14"/>
  <c r="M1058" i="14"/>
  <c r="M971" i="14"/>
  <c r="M932" i="14"/>
  <c r="M802" i="14"/>
  <c r="M700" i="14"/>
  <c r="M663" i="14"/>
  <c r="M605" i="14"/>
  <c r="M502" i="14"/>
  <c r="M392" i="14"/>
  <c r="M202" i="14"/>
  <c r="M156" i="14"/>
  <c r="M636" i="14"/>
  <c r="M662" i="14"/>
  <c r="M639" i="14"/>
  <c r="M1051" i="14"/>
  <c r="M631" i="14"/>
  <c r="M756" i="14"/>
  <c r="M980" i="14"/>
  <c r="M1383" i="14"/>
  <c r="M1220" i="14"/>
  <c r="M1171" i="14"/>
  <c r="M1052" i="14"/>
  <c r="M969" i="14"/>
  <c r="M696" i="14"/>
  <c r="M602" i="14"/>
  <c r="M547" i="14"/>
  <c r="M332" i="14"/>
  <c r="M199" i="14"/>
  <c r="M1141" i="14"/>
  <c r="M1229" i="14"/>
  <c r="M1178" i="14"/>
  <c r="M391" i="14"/>
  <c r="M1128" i="14"/>
  <c r="M923" i="14"/>
  <c r="M705" i="14"/>
  <c r="M350" i="14"/>
  <c r="M1152" i="14"/>
  <c r="M429" i="14"/>
  <c r="M1049" i="14"/>
  <c r="M894" i="14"/>
  <c r="M703" i="14"/>
  <c r="M346" i="14"/>
  <c r="M1146" i="14"/>
  <c r="M750" i="14"/>
  <c r="M906" i="14"/>
  <c r="M974" i="14"/>
  <c r="M538" i="14"/>
  <c r="M1216" i="14"/>
  <c r="M1167" i="14"/>
  <c r="M1103" i="14"/>
  <c r="M1050" i="14"/>
  <c r="M965" i="14"/>
  <c r="M925" i="14"/>
  <c r="M881" i="14"/>
  <c r="M694" i="14"/>
  <c r="M657" i="14"/>
  <c r="M599" i="14"/>
  <c r="M329" i="14"/>
  <c r="M197" i="14"/>
  <c r="M713" i="14"/>
  <c r="M328" i="14"/>
  <c r="M1140" i="14"/>
  <c r="M717" i="14"/>
  <c r="M1169" i="14"/>
  <c r="M312" i="14"/>
  <c r="M528" i="14"/>
  <c r="M1213" i="14"/>
  <c r="M1161" i="14"/>
  <c r="M1100" i="14"/>
  <c r="M964" i="14"/>
  <c r="M924" i="14"/>
  <c r="M877" i="14"/>
  <c r="M692" i="14"/>
  <c r="M653" i="14"/>
  <c r="M442" i="14"/>
  <c r="M325" i="14"/>
  <c r="M1092" i="14"/>
  <c r="M931" i="14"/>
  <c r="M699" i="14"/>
  <c r="M1043" i="14"/>
  <c r="M695" i="14"/>
  <c r="M324" i="14"/>
  <c r="M522" i="14"/>
  <c r="M1155" i="14"/>
  <c r="M1044" i="14"/>
  <c r="M961" i="14"/>
  <c r="M874" i="14"/>
  <c r="M842" i="14"/>
  <c r="M690" i="14"/>
  <c r="M649" i="14"/>
  <c r="M568" i="14"/>
  <c r="M439" i="14"/>
  <c r="M362" i="14"/>
  <c r="M322" i="14"/>
  <c r="M718" i="14"/>
  <c r="M953" i="14"/>
  <c r="M805" i="14"/>
  <c r="M619" i="14"/>
  <c r="M880" i="14"/>
  <c r="M615" i="14"/>
  <c r="M1134" i="14"/>
  <c r="M1165" i="14"/>
  <c r="M248" i="14"/>
  <c r="M1110" i="14"/>
  <c r="M1008" i="14"/>
  <c r="M876" i="14"/>
  <c r="M781" i="14"/>
  <c r="M693" i="14"/>
  <c r="M608" i="14"/>
  <c r="M318" i="14"/>
  <c r="M1159" i="14"/>
  <c r="M776" i="14"/>
  <c r="M159" i="14"/>
  <c r="M1149" i="14"/>
  <c r="M1093" i="14"/>
  <c r="M872" i="14"/>
  <c r="M782" i="14"/>
  <c r="M742" i="14"/>
  <c r="M686" i="14"/>
  <c r="M645" i="14"/>
  <c r="M590" i="14"/>
  <c r="M486" i="14"/>
  <c r="M319" i="14"/>
  <c r="M155" i="14"/>
  <c r="M148" i="16"/>
  <c r="L148" i="16"/>
  <c r="M146" i="16"/>
  <c r="L146" i="16"/>
  <c r="L149" i="16"/>
  <c r="M149" i="16"/>
  <c r="M586" i="14" l="1"/>
  <c r="M1205" i="14"/>
  <c r="M957" i="14"/>
  <c r="M682" i="14"/>
  <c r="M604" i="14"/>
  <c r="M1153" i="14"/>
  <c r="M643" i="14"/>
  <c r="M738" i="14"/>
  <c r="M691" i="14"/>
  <c r="M778" i="14"/>
  <c r="M770" i="14"/>
  <c r="M539" i="14"/>
  <c r="M1143" i="14"/>
  <c r="M169" i="14"/>
  <c r="L169" i="14"/>
  <c r="H1229" i="14"/>
  <c r="G1229" i="14"/>
  <c r="H1219" i="14"/>
  <c r="G1219" i="14"/>
  <c r="H1204" i="14"/>
  <c r="G1204" i="14"/>
  <c r="H1200" i="14"/>
  <c r="G1200" i="14"/>
  <c r="H1196" i="14"/>
  <c r="G1196" i="14"/>
  <c r="H1192" i="14"/>
  <c r="G1192" i="14"/>
  <c r="H1178" i="14"/>
  <c r="G1178" i="14"/>
  <c r="H1174" i="14"/>
  <c r="G1174" i="14"/>
  <c r="H1128" i="14"/>
  <c r="G1128" i="14"/>
  <c r="H1110" i="14"/>
  <c r="G1110" i="14"/>
  <c r="H1106" i="14"/>
  <c r="G1106" i="14"/>
  <c r="H1102" i="14"/>
  <c r="G1102" i="14"/>
  <c r="H1096" i="14"/>
  <c r="G1096" i="14"/>
  <c r="H1092" i="14"/>
  <c r="G1092" i="14"/>
  <c r="H1084" i="14"/>
  <c r="G1084" i="14"/>
  <c r="H1080" i="14"/>
  <c r="G1080" i="14"/>
  <c r="H1075" i="14"/>
  <c r="G1075" i="14"/>
  <c r="H1071" i="14"/>
  <c r="G1071" i="14"/>
  <c r="H1065" i="14"/>
  <c r="G1065" i="14"/>
  <c r="H1061" i="14"/>
  <c r="G1061" i="14"/>
  <c r="H1051" i="14"/>
  <c r="G1051" i="14"/>
  <c r="H1049" i="14"/>
  <c r="G1049" i="14"/>
  <c r="H1047" i="14"/>
  <c r="G1047" i="14"/>
  <c r="H1043" i="14"/>
  <c r="G1043" i="14"/>
  <c r="H1008" i="14"/>
  <c r="G1008" i="14"/>
  <c r="H970" i="14"/>
  <c r="G970" i="14"/>
  <c r="H968" i="14"/>
  <c r="G968" i="14"/>
  <c r="H948" i="14"/>
  <c r="G948" i="14"/>
  <c r="H941" i="14"/>
  <c r="G941" i="14"/>
  <c r="H935" i="14"/>
  <c r="G935" i="14"/>
  <c r="H931" i="14"/>
  <c r="G931" i="14"/>
  <c r="H927" i="14"/>
  <c r="G927" i="14"/>
  <c r="H923" i="14"/>
  <c r="G923" i="14"/>
  <c r="H894" i="14"/>
  <c r="G894" i="14"/>
  <c r="H890" i="14"/>
  <c r="G890" i="14"/>
  <c r="H880" i="14"/>
  <c r="G880" i="14"/>
  <c r="H876" i="14"/>
  <c r="G876" i="14"/>
  <c r="H854" i="14"/>
  <c r="G854" i="14"/>
  <c r="H841" i="14"/>
  <c r="G841" i="14"/>
  <c r="H832" i="14"/>
  <c r="G832" i="14"/>
  <c r="H828" i="14"/>
  <c r="G828" i="14"/>
  <c r="H824" i="14"/>
  <c r="G824" i="14"/>
  <c r="H821" i="14"/>
  <c r="G821" i="14"/>
  <c r="H817" i="14"/>
  <c r="G817" i="14"/>
  <c r="H813" i="14"/>
  <c r="G813" i="14"/>
  <c r="H809" i="14"/>
  <c r="G809" i="14"/>
  <c r="H805" i="14"/>
  <c r="G805" i="14"/>
  <c r="H801" i="14"/>
  <c r="G801" i="14"/>
  <c r="H797" i="14"/>
  <c r="G797" i="14"/>
  <c r="H793" i="14"/>
  <c r="G793" i="14"/>
  <c r="H789" i="14"/>
  <c r="G789" i="14"/>
  <c r="H785" i="14"/>
  <c r="G785" i="14"/>
  <c r="H781" i="14"/>
  <c r="G781" i="14"/>
  <c r="H770" i="14"/>
  <c r="G770" i="14"/>
  <c r="H766" i="14"/>
  <c r="G766" i="14"/>
  <c r="H762" i="14"/>
  <c r="G762" i="14"/>
  <c r="H745" i="14"/>
  <c r="G745" i="14"/>
  <c r="H741" i="14"/>
  <c r="G741" i="14"/>
  <c r="H737" i="14"/>
  <c r="G737" i="14"/>
  <c r="H733" i="14"/>
  <c r="G733" i="14"/>
  <c r="H729" i="14"/>
  <c r="G729" i="14"/>
  <c r="H713" i="14"/>
  <c r="G713" i="14"/>
  <c r="H709" i="14"/>
  <c r="G709" i="14"/>
  <c r="H705" i="14"/>
  <c r="G705" i="14"/>
  <c r="H703" i="14"/>
  <c r="G703" i="14"/>
  <c r="H699" i="14"/>
  <c r="G699" i="14"/>
  <c r="H695" i="14"/>
  <c r="G695" i="14"/>
  <c r="H693" i="14"/>
  <c r="G693" i="14"/>
  <c r="H691" i="14"/>
  <c r="G691" i="14"/>
  <c r="H689" i="14"/>
  <c r="G689" i="14"/>
  <c r="H685" i="14"/>
  <c r="G685" i="14"/>
  <c r="H681" i="14"/>
  <c r="G681" i="14"/>
  <c r="H662" i="14"/>
  <c r="G662" i="14"/>
  <c r="H656" i="14"/>
  <c r="G656" i="14"/>
  <c r="H652" i="14"/>
  <c r="G652" i="14"/>
  <c r="H648" i="14"/>
  <c r="G648" i="14"/>
  <c r="H644" i="14"/>
  <c r="G644" i="14"/>
  <c r="H639" i="14"/>
  <c r="G639" i="14"/>
  <c r="H635" i="14"/>
  <c r="G635" i="14"/>
  <c r="H631" i="14"/>
  <c r="G631" i="14"/>
  <c r="H623" i="14"/>
  <c r="G623" i="14"/>
  <c r="H619" i="14"/>
  <c r="G619" i="14"/>
  <c r="H615" i="14"/>
  <c r="G615" i="14"/>
  <c r="H608" i="14"/>
  <c r="G608" i="14"/>
  <c r="H604" i="14"/>
  <c r="G604" i="14"/>
  <c r="H589" i="14"/>
  <c r="G589" i="14"/>
  <c r="H516" i="14"/>
  <c r="G516" i="14"/>
  <c r="H512" i="14"/>
  <c r="G512" i="14"/>
  <c r="H508" i="14"/>
  <c r="G508" i="14"/>
  <c r="H476" i="14"/>
  <c r="G476" i="14"/>
  <c r="H472" i="14"/>
  <c r="G472" i="14"/>
  <c r="H438" i="14"/>
  <c r="G438" i="14"/>
  <c r="H391" i="14"/>
  <c r="G391" i="14"/>
  <c r="H361" i="14"/>
  <c r="G361" i="14"/>
  <c r="H350" i="14"/>
  <c r="G350" i="14"/>
  <c r="H346" i="14"/>
  <c r="G346" i="14"/>
  <c r="H328" i="14"/>
  <c r="G328" i="14"/>
  <c r="H324" i="14"/>
  <c r="G324" i="14"/>
  <c r="H318" i="14"/>
  <c r="G318" i="14"/>
  <c r="H310" i="14"/>
  <c r="G310" i="14"/>
  <c r="H219" i="14"/>
  <c r="G219" i="14"/>
  <c r="H201" i="14"/>
  <c r="G201" i="14"/>
  <c r="H173" i="14"/>
  <c r="G173" i="14"/>
  <c r="H169" i="14"/>
  <c r="G169" i="14"/>
  <c r="H155" i="14"/>
  <c r="G155" i="14"/>
  <c r="H1168" i="14"/>
  <c r="G1168" i="14"/>
  <c r="H1164" i="14"/>
  <c r="G1164" i="14"/>
  <c r="H1158" i="14"/>
  <c r="G1158" i="14"/>
  <c r="H1152" i="14"/>
  <c r="G1152" i="14"/>
  <c r="H1146" i="14"/>
  <c r="G1146" i="14"/>
  <c r="H1140" i="14"/>
  <c r="G1140" i="14"/>
  <c r="H1134" i="14"/>
  <c r="G1134" i="14"/>
  <c r="H1055" i="14"/>
  <c r="G1055" i="14"/>
  <c r="H978" i="14"/>
  <c r="G978" i="14"/>
  <c r="H905" i="14"/>
  <c r="G905" i="14"/>
  <c r="H756" i="14"/>
  <c r="G756" i="14"/>
  <c r="H750" i="14"/>
  <c r="G750" i="14"/>
  <c r="H717" i="14"/>
  <c r="G717" i="14"/>
  <c r="H536" i="14"/>
  <c r="G536" i="14"/>
  <c r="H526" i="14"/>
  <c r="G526" i="14"/>
  <c r="H520" i="14"/>
  <c r="G520" i="14"/>
  <c r="H428" i="14"/>
  <c r="G428" i="14"/>
  <c r="H1169" i="14"/>
  <c r="G1169" i="14"/>
  <c r="H1165" i="14"/>
  <c r="G1165" i="14"/>
  <c r="H1159" i="14"/>
  <c r="G1159" i="14"/>
  <c r="H1153" i="14"/>
  <c r="G1153" i="14"/>
  <c r="H1147" i="14"/>
  <c r="G1147" i="14"/>
  <c r="H1141" i="14"/>
  <c r="G1141" i="14"/>
  <c r="H1135" i="14"/>
  <c r="G1135" i="14"/>
  <c r="H1123" i="14"/>
  <c r="G1123" i="14"/>
  <c r="H1056" i="14"/>
  <c r="G1056" i="14"/>
  <c r="H979" i="14"/>
  <c r="G979" i="14"/>
  <c r="H917" i="14"/>
  <c r="G917" i="14"/>
  <c r="H913" i="14"/>
  <c r="G913" i="14"/>
  <c r="H906" i="14"/>
  <c r="G906" i="14"/>
  <c r="H901" i="14"/>
  <c r="G901" i="14"/>
  <c r="H886" i="14"/>
  <c r="G886" i="14"/>
  <c r="H776" i="14"/>
  <c r="G776" i="14"/>
  <c r="H757" i="14"/>
  <c r="G757" i="14"/>
  <c r="H751" i="14"/>
  <c r="G751" i="14"/>
  <c r="H718" i="14"/>
  <c r="G718" i="14"/>
  <c r="H627" i="14"/>
  <c r="G627" i="14"/>
  <c r="H610" i="14"/>
  <c r="G610" i="14"/>
  <c r="H598" i="14"/>
  <c r="G598" i="14"/>
  <c r="H585" i="14"/>
  <c r="G585" i="14"/>
  <c r="H546" i="14"/>
  <c r="G546" i="14"/>
  <c r="H537" i="14"/>
  <c r="G537" i="14"/>
  <c r="H527" i="14"/>
  <c r="G527" i="14"/>
  <c r="H521" i="14"/>
  <c r="G521" i="14"/>
  <c r="H429" i="14"/>
  <c r="G429" i="14"/>
  <c r="H387" i="14"/>
  <c r="H312" i="14"/>
  <c r="G312" i="14"/>
  <c r="H248" i="14"/>
  <c r="G248" i="14"/>
  <c r="H159" i="14"/>
  <c r="G159" i="14"/>
  <c r="H1170" i="14"/>
  <c r="G1170" i="14"/>
  <c r="H1166" i="14"/>
  <c r="G1166" i="14"/>
  <c r="H1160" i="14"/>
  <c r="G1160" i="14"/>
  <c r="H1154" i="14"/>
  <c r="G1154" i="14"/>
  <c r="H1148" i="14"/>
  <c r="G1148" i="14"/>
  <c r="H1142" i="14"/>
  <c r="G1142" i="14"/>
  <c r="H1136" i="14"/>
  <c r="G1136" i="14"/>
  <c r="H1057" i="14"/>
  <c r="G1057" i="14"/>
  <c r="H980" i="14"/>
  <c r="G980" i="14"/>
  <c r="H974" i="14"/>
  <c r="G974" i="14"/>
  <c r="H907" i="14"/>
  <c r="G907" i="14"/>
  <c r="H777" i="14"/>
  <c r="G777" i="14"/>
  <c r="H758" i="14"/>
  <c r="G758" i="14"/>
  <c r="H752" i="14"/>
  <c r="G752" i="14"/>
  <c r="H719" i="14"/>
  <c r="G719" i="14"/>
  <c r="H611" i="14"/>
  <c r="G611" i="14"/>
  <c r="H538" i="14"/>
  <c r="G538" i="14"/>
  <c r="H528" i="14"/>
  <c r="G528" i="14"/>
  <c r="H522" i="14"/>
  <c r="G522" i="14"/>
  <c r="L726" i="14"/>
  <c r="L725" i="14"/>
  <c r="L723" i="14"/>
  <c r="L724" i="14"/>
  <c r="H726" i="14"/>
  <c r="G726" i="14"/>
  <c r="H725" i="14"/>
  <c r="G725" i="14"/>
  <c r="L597" i="14"/>
  <c r="L596" i="14"/>
  <c r="L595" i="14"/>
  <c r="L594" i="14"/>
  <c r="L593" i="14"/>
  <c r="H597" i="14"/>
  <c r="G597" i="14"/>
  <c r="H596" i="14"/>
  <c r="G596" i="14"/>
  <c r="H595" i="14"/>
  <c r="G595" i="14"/>
  <c r="H280" i="14"/>
  <c r="G280" i="14"/>
  <c r="H263" i="14"/>
  <c r="G263" i="14"/>
  <c r="L191" i="14"/>
  <c r="H191" i="14"/>
  <c r="G191" i="14"/>
  <c r="L192" i="14"/>
  <c r="H192" i="14"/>
  <c r="G192" i="14"/>
  <c r="L186" i="14"/>
  <c r="H186" i="14"/>
  <c r="G186" i="14"/>
  <c r="L1226" i="14"/>
  <c r="H1226" i="14"/>
  <c r="G1226" i="14"/>
  <c r="L1225" i="14"/>
  <c r="H1225" i="14"/>
  <c r="G1225" i="14"/>
  <c r="L1224" i="14"/>
  <c r="H1224" i="14"/>
  <c r="G1224" i="14"/>
  <c r="L499" i="14"/>
  <c r="H499" i="14"/>
  <c r="G499" i="14"/>
  <c r="L498" i="14"/>
  <c r="H498" i="14"/>
  <c r="G498" i="14"/>
  <c r="L497" i="14"/>
  <c r="H497" i="14"/>
  <c r="G497" i="14"/>
  <c r="L493" i="14"/>
  <c r="H493" i="14"/>
  <c r="G493" i="14"/>
  <c r="L492" i="14"/>
  <c r="H492" i="14"/>
  <c r="G492" i="14"/>
  <c r="L491" i="14"/>
  <c r="H491" i="14"/>
  <c r="G491" i="14"/>
  <c r="L490" i="14"/>
  <c r="H490" i="14"/>
  <c r="G490" i="14"/>
  <c r="L489" i="14"/>
  <c r="H489" i="14"/>
  <c r="G489" i="14"/>
  <c r="L469" i="14"/>
  <c r="H469" i="14"/>
  <c r="G469" i="14"/>
  <c r="L468" i="14"/>
  <c r="H468" i="14"/>
  <c r="G468" i="14"/>
  <c r="L467" i="14"/>
  <c r="H467" i="14"/>
  <c r="G467" i="14"/>
  <c r="L463" i="14"/>
  <c r="H463" i="14"/>
  <c r="G463" i="14"/>
  <c r="L462" i="14"/>
  <c r="H462" i="14"/>
  <c r="G462" i="14"/>
  <c r="L461" i="14"/>
  <c r="H461" i="14"/>
  <c r="G461" i="14"/>
  <c r="L460" i="14"/>
  <c r="H460" i="14"/>
  <c r="G460" i="14"/>
  <c r="L459" i="14"/>
  <c r="H459" i="14"/>
  <c r="G459" i="14"/>
  <c r="L450" i="14"/>
  <c r="L451" i="14"/>
  <c r="L452" i="14"/>
  <c r="L455" i="14"/>
  <c r="H455" i="14"/>
  <c r="G455" i="14"/>
  <c r="L454" i="14"/>
  <c r="H454" i="14"/>
  <c r="G454" i="14"/>
  <c r="L453" i="14"/>
  <c r="H453" i="14"/>
  <c r="G453" i="14"/>
  <c r="L449" i="14"/>
  <c r="H449" i="14"/>
  <c r="G449" i="14"/>
  <c r="L448" i="14"/>
  <c r="H448" i="14"/>
  <c r="G448" i="14"/>
  <c r="L447" i="14"/>
  <c r="H447" i="14"/>
  <c r="G447" i="14"/>
  <c r="L446" i="14"/>
  <c r="H446" i="14"/>
  <c r="G446" i="14"/>
  <c r="L445" i="14"/>
  <c r="H445" i="14"/>
  <c r="G445" i="14"/>
  <c r="H435" i="14"/>
  <c r="G435" i="14"/>
  <c r="L434" i="14"/>
  <c r="H434" i="14"/>
  <c r="G434" i="14"/>
  <c r="H424" i="14"/>
  <c r="G424" i="14"/>
  <c r="H423" i="14"/>
  <c r="G423" i="14"/>
  <c r="L1233" i="14"/>
  <c r="H1233" i="14"/>
  <c r="G1233" i="14"/>
  <c r="L580" i="14"/>
  <c r="H580" i="14"/>
  <c r="G580" i="14"/>
  <c r="L579" i="14"/>
  <c r="H579" i="14"/>
  <c r="G579" i="14"/>
  <c r="L999" i="14"/>
  <c r="H999" i="14"/>
  <c r="G999" i="14"/>
  <c r="L998" i="14"/>
  <c r="H998" i="14"/>
  <c r="G998" i="14"/>
  <c r="H286" i="14"/>
  <c r="G286" i="14"/>
  <c r="H283" i="14"/>
  <c r="G283" i="14"/>
  <c r="L564" i="14"/>
  <c r="L566" i="14"/>
  <c r="H566" i="14"/>
  <c r="G566" i="14"/>
  <c r="L565" i="14"/>
  <c r="L561" i="14"/>
  <c r="L560" i="14"/>
  <c r="L559" i="14"/>
  <c r="L558" i="14"/>
  <c r="L557" i="14"/>
  <c r="L556" i="14"/>
  <c r="L567" i="14"/>
  <c r="H565" i="14"/>
  <c r="G565" i="14"/>
  <c r="H561" i="14"/>
  <c r="G561" i="14"/>
  <c r="H560" i="14"/>
  <c r="G560" i="14"/>
  <c r="H559" i="14"/>
  <c r="G559" i="14"/>
  <c r="H558" i="14"/>
  <c r="G558" i="14"/>
  <c r="H557" i="14"/>
  <c r="G557" i="14"/>
  <c r="H556" i="14"/>
  <c r="G556" i="14"/>
  <c r="H554" i="14"/>
  <c r="G554" i="14"/>
  <c r="L550" i="14"/>
  <c r="H550" i="14"/>
  <c r="G550" i="14"/>
  <c r="L542" i="14"/>
  <c r="H542" i="14"/>
  <c r="G542" i="14"/>
  <c r="R2" i="14"/>
  <c r="L357" i="14"/>
  <c r="H357" i="14"/>
  <c r="G357" i="14"/>
  <c r="L314" i="14"/>
  <c r="H314" i="14"/>
  <c r="G314" i="14"/>
  <c r="H303" i="14"/>
  <c r="G303" i="14"/>
  <c r="H292" i="14"/>
  <c r="G292" i="14"/>
  <c r="H289" i="14"/>
  <c r="G289" i="14"/>
  <c r="H275" i="14"/>
  <c r="G275" i="14"/>
  <c r="H274" i="14"/>
  <c r="G274" i="14"/>
  <c r="H273" i="14"/>
  <c r="G273" i="14"/>
  <c r="L884" i="14"/>
  <c r="L853" i="14"/>
  <c r="H853" i="14"/>
  <c r="G853" i="14"/>
  <c r="H45" i="16"/>
  <c r="G45" i="16"/>
  <c r="H47" i="16"/>
  <c r="G47" i="16"/>
  <c r="H43" i="16"/>
  <c r="G43" i="16"/>
  <c r="H48" i="16"/>
  <c r="G48" i="16"/>
  <c r="H308" i="16"/>
  <c r="G308" i="16"/>
  <c r="H309" i="16"/>
  <c r="G309" i="16"/>
  <c r="H310" i="16"/>
  <c r="G310" i="16"/>
  <c r="H307" i="16"/>
  <c r="G307" i="16"/>
  <c r="H397" i="16"/>
  <c r="G397" i="16"/>
  <c r="H396" i="16"/>
  <c r="G396" i="16"/>
  <c r="H395" i="16"/>
  <c r="G395" i="16"/>
  <c r="H392" i="16"/>
  <c r="G392" i="16"/>
  <c r="H391" i="16"/>
  <c r="G391" i="16"/>
  <c r="H390" i="16"/>
  <c r="G390" i="16"/>
  <c r="H389" i="16"/>
  <c r="G389" i="16"/>
  <c r="H89" i="16"/>
  <c r="G89" i="16"/>
  <c r="H394" i="16"/>
  <c r="G394" i="16"/>
  <c r="H65" i="16"/>
  <c r="G65" i="16"/>
  <c r="H393" i="16"/>
  <c r="G393" i="16"/>
  <c r="H64" i="16"/>
  <c r="G64" i="16"/>
  <c r="H13" i="16"/>
  <c r="G13" i="16"/>
  <c r="H62" i="16"/>
  <c r="G62" i="16"/>
  <c r="H61" i="16"/>
  <c r="G61" i="16"/>
  <c r="H60" i="16"/>
  <c r="G60" i="16"/>
  <c r="H388" i="16"/>
  <c r="I388" i="16" s="1"/>
  <c r="H387" i="16"/>
  <c r="I387" i="16" s="1"/>
  <c r="H386" i="16"/>
  <c r="I386" i="16" s="1"/>
  <c r="H385" i="16"/>
  <c r="I385" i="16" s="1"/>
  <c r="H384" i="16"/>
  <c r="I384" i="16" s="1"/>
  <c r="H59" i="16"/>
  <c r="I59" i="16" s="1"/>
  <c r="H383" i="16"/>
  <c r="I383" i="16" s="1"/>
  <c r="H382" i="16"/>
  <c r="I382" i="16" s="1"/>
  <c r="H818" i="16"/>
  <c r="I818" i="16" s="1"/>
  <c r="H381" i="16"/>
  <c r="I381" i="16" s="1"/>
  <c r="H380" i="16"/>
  <c r="I380" i="16" s="1"/>
  <c r="H379" i="16"/>
  <c r="I379" i="16" s="1"/>
  <c r="H378" i="16"/>
  <c r="I378" i="16" s="1"/>
  <c r="H377" i="16"/>
  <c r="I377" i="16" s="1"/>
  <c r="H376" i="16"/>
  <c r="I376" i="16" s="1"/>
  <c r="H375" i="16"/>
  <c r="I375" i="16" s="1"/>
  <c r="H374" i="16"/>
  <c r="I374" i="16" s="1"/>
  <c r="H58" i="16"/>
  <c r="I58" i="16" s="1"/>
  <c r="H12" i="16"/>
  <c r="G12" i="16"/>
  <c r="H366" i="16"/>
  <c r="G366" i="16"/>
  <c r="H365" i="16"/>
  <c r="G365" i="16"/>
  <c r="H364" i="16"/>
  <c r="G364" i="16"/>
  <c r="H363" i="16"/>
  <c r="G363" i="16"/>
  <c r="H362" i="16"/>
  <c r="G362" i="16"/>
  <c r="H361" i="16"/>
  <c r="G361" i="16"/>
  <c r="H360" i="16"/>
  <c r="G360" i="16"/>
  <c r="H359" i="16"/>
  <c r="G359" i="16"/>
  <c r="H358" i="16"/>
  <c r="G358" i="16"/>
  <c r="H357" i="16"/>
  <c r="G357" i="16"/>
  <c r="H356" i="16"/>
  <c r="G356" i="16"/>
  <c r="H355" i="16"/>
  <c r="G355" i="16"/>
  <c r="H354" i="16"/>
  <c r="G354" i="16"/>
  <c r="H353" i="16"/>
  <c r="G353" i="16"/>
  <c r="H352" i="16"/>
  <c r="G352" i="16"/>
  <c r="H351" i="16"/>
  <c r="G351" i="16"/>
  <c r="H350" i="16"/>
  <c r="G350" i="16"/>
  <c r="H56" i="16"/>
  <c r="G56" i="16"/>
  <c r="H349" i="16"/>
  <c r="G349" i="16"/>
  <c r="H55" i="16"/>
  <c r="G55" i="16"/>
  <c r="H348" i="16"/>
  <c r="G348" i="16"/>
  <c r="H347" i="16"/>
  <c r="G347" i="16"/>
  <c r="H346" i="16"/>
  <c r="G346" i="16"/>
  <c r="H345" i="16"/>
  <c r="G345" i="16"/>
  <c r="H344" i="16"/>
  <c r="G344" i="16"/>
  <c r="H343" i="16"/>
  <c r="G343" i="16"/>
  <c r="H342" i="16"/>
  <c r="G342" i="16"/>
  <c r="H341" i="16"/>
  <c r="G341" i="16"/>
  <c r="H340" i="16"/>
  <c r="G340" i="16"/>
  <c r="H339" i="16"/>
  <c r="G339" i="16"/>
  <c r="H338" i="16"/>
  <c r="G338" i="16"/>
  <c r="H337" i="16"/>
  <c r="G337" i="16"/>
  <c r="H336" i="16"/>
  <c r="G336" i="16"/>
  <c r="H335" i="16"/>
  <c r="G335" i="16"/>
  <c r="H334" i="16"/>
  <c r="G334" i="16"/>
  <c r="H333" i="16"/>
  <c r="G333" i="16"/>
  <c r="H332" i="16"/>
  <c r="G332" i="16"/>
  <c r="H331" i="16"/>
  <c r="G331" i="16"/>
  <c r="H330" i="16"/>
  <c r="G330" i="16"/>
  <c r="H329" i="16"/>
  <c r="G329" i="16"/>
  <c r="H328" i="16"/>
  <c r="G328" i="16"/>
  <c r="H327" i="16"/>
  <c r="G327" i="16"/>
  <c r="H326" i="16"/>
  <c r="G326" i="16"/>
  <c r="H325" i="16"/>
  <c r="G325" i="16"/>
  <c r="H324" i="16"/>
  <c r="G324" i="16"/>
  <c r="H323" i="16"/>
  <c r="G323" i="16"/>
  <c r="H322" i="16"/>
  <c r="G322" i="16"/>
  <c r="H321" i="16"/>
  <c r="G321" i="16"/>
  <c r="H320" i="16"/>
  <c r="G320" i="16"/>
  <c r="H319" i="16"/>
  <c r="G319" i="16"/>
  <c r="H318" i="16"/>
  <c r="G318" i="16"/>
  <c r="H317" i="16"/>
  <c r="G317" i="16"/>
  <c r="H316" i="16"/>
  <c r="G316" i="16"/>
  <c r="H315" i="16"/>
  <c r="G315" i="16"/>
  <c r="H314" i="16"/>
  <c r="G314" i="16"/>
  <c r="H313" i="16"/>
  <c r="G313" i="16"/>
  <c r="H312" i="16"/>
  <c r="G312" i="16"/>
  <c r="H311" i="16"/>
  <c r="G311" i="16"/>
  <c r="H54" i="16"/>
  <c r="G54" i="16"/>
  <c r="H306" i="16"/>
  <c r="G306" i="16"/>
  <c r="H305" i="16"/>
  <c r="G305" i="16"/>
  <c r="H49" i="16"/>
  <c r="G49" i="16"/>
  <c r="H304" i="16"/>
  <c r="G304" i="16"/>
  <c r="H303" i="16"/>
  <c r="G303" i="16"/>
  <c r="H302" i="16"/>
  <c r="G302" i="16"/>
  <c r="H11" i="16"/>
  <c r="G11" i="16"/>
  <c r="H301" i="16"/>
  <c r="G301" i="16"/>
  <c r="H300" i="16"/>
  <c r="G300" i="16"/>
  <c r="H299" i="16"/>
  <c r="G299" i="16"/>
  <c r="H298" i="16"/>
  <c r="G298" i="16"/>
  <c r="H297" i="16"/>
  <c r="G297" i="16"/>
  <c r="H296" i="16"/>
  <c r="G296" i="16"/>
  <c r="H295" i="16"/>
  <c r="G295" i="16"/>
  <c r="H294" i="16"/>
  <c r="G294" i="16"/>
  <c r="H293" i="16"/>
  <c r="G293" i="16"/>
  <c r="H292" i="16"/>
  <c r="G292" i="16"/>
  <c r="H291" i="16"/>
  <c r="G291" i="16"/>
  <c r="H290" i="16"/>
  <c r="G290" i="16"/>
  <c r="H288" i="16"/>
  <c r="G288" i="16"/>
  <c r="H287" i="16"/>
  <c r="G287" i="16"/>
  <c r="H286" i="16"/>
  <c r="G286" i="16"/>
  <c r="H285" i="16"/>
  <c r="G285" i="16"/>
  <c r="H284" i="16"/>
  <c r="G284" i="16"/>
  <c r="H283" i="16"/>
  <c r="G283" i="16"/>
  <c r="H282" i="16"/>
  <c r="G282" i="16"/>
  <c r="H281" i="16"/>
  <c r="G281" i="16"/>
  <c r="H280" i="16"/>
  <c r="G280" i="16"/>
  <c r="H279" i="16"/>
  <c r="G279" i="16"/>
  <c r="H278" i="16"/>
  <c r="G278" i="16"/>
  <c r="H277" i="16"/>
  <c r="G277" i="16"/>
  <c r="H276" i="16"/>
  <c r="G276" i="16"/>
  <c r="H275" i="16"/>
  <c r="G275" i="16"/>
  <c r="H274" i="16"/>
  <c r="G274" i="16"/>
  <c r="H273" i="16"/>
  <c r="G273" i="16"/>
  <c r="H272" i="16"/>
  <c r="G272" i="16"/>
  <c r="H271" i="16"/>
  <c r="G271" i="16"/>
  <c r="H270" i="16"/>
  <c r="G270" i="16"/>
  <c r="H269" i="16"/>
  <c r="G269" i="16"/>
  <c r="H268" i="16"/>
  <c r="G268" i="16"/>
  <c r="H267" i="16"/>
  <c r="G267" i="16"/>
  <c r="H266" i="16"/>
  <c r="G266" i="16"/>
  <c r="H265" i="16"/>
  <c r="G265" i="16"/>
  <c r="H264" i="16"/>
  <c r="G264" i="16"/>
  <c r="H263" i="16"/>
  <c r="G263" i="16"/>
  <c r="H46" i="16"/>
  <c r="G46" i="16"/>
  <c r="H262" i="16"/>
  <c r="G262" i="16"/>
  <c r="H261" i="16"/>
  <c r="G261" i="16"/>
  <c r="H260" i="16"/>
  <c r="G260" i="16"/>
  <c r="H259" i="16"/>
  <c r="G259" i="16"/>
  <c r="H258" i="16"/>
  <c r="G258" i="16"/>
  <c r="H257" i="16"/>
  <c r="G257" i="16"/>
  <c r="H44" i="16"/>
  <c r="G44" i="16"/>
  <c r="H256" i="16"/>
  <c r="G256" i="16"/>
  <c r="H255" i="16"/>
  <c r="G255" i="16"/>
  <c r="H254" i="16"/>
  <c r="G254" i="16"/>
  <c r="H253" i="16"/>
  <c r="G253" i="16"/>
  <c r="H252" i="16"/>
  <c r="G252" i="16"/>
  <c r="H251" i="16"/>
  <c r="G251" i="16"/>
  <c r="H250" i="16"/>
  <c r="G250" i="16"/>
  <c r="H249" i="16"/>
  <c r="G249" i="16"/>
  <c r="H248" i="16"/>
  <c r="G248" i="16"/>
  <c r="H247" i="16"/>
  <c r="G247" i="16"/>
  <c r="H246" i="16"/>
  <c r="G246" i="16"/>
  <c r="H245" i="16"/>
  <c r="G245" i="16"/>
  <c r="H244" i="16"/>
  <c r="G244" i="16"/>
  <c r="H243" i="16"/>
  <c r="G243" i="16"/>
  <c r="H242" i="16"/>
  <c r="G242" i="16"/>
  <c r="H241" i="16"/>
  <c r="G241" i="16"/>
  <c r="H240" i="16"/>
  <c r="G240" i="16"/>
  <c r="H239" i="16"/>
  <c r="G239" i="16"/>
  <c r="H238" i="16"/>
  <c r="G238" i="16"/>
  <c r="H237" i="16"/>
  <c r="G237" i="16"/>
  <c r="H236" i="16"/>
  <c r="G236" i="16"/>
  <c r="H235" i="16"/>
  <c r="G235" i="16"/>
  <c r="H232" i="16"/>
  <c r="G232" i="16"/>
  <c r="H231" i="16"/>
  <c r="G231" i="16"/>
  <c r="H230" i="16"/>
  <c r="G230" i="16"/>
  <c r="H229" i="16"/>
  <c r="G229" i="16"/>
  <c r="H228" i="16"/>
  <c r="G228" i="16"/>
  <c r="H227" i="16"/>
  <c r="G227" i="16"/>
  <c r="H226" i="16"/>
  <c r="G226" i="16"/>
  <c r="H225" i="16"/>
  <c r="G225" i="16"/>
  <c r="H224" i="16"/>
  <c r="G224" i="16"/>
  <c r="H223" i="16"/>
  <c r="G223" i="16"/>
  <c r="H222" i="16"/>
  <c r="G222" i="16"/>
  <c r="H221" i="16"/>
  <c r="G221" i="16"/>
  <c r="H220" i="16"/>
  <c r="G220" i="16"/>
  <c r="H219" i="16"/>
  <c r="G219" i="16"/>
  <c r="H218" i="16"/>
  <c r="G218" i="16"/>
  <c r="H217" i="16"/>
  <c r="G217" i="16"/>
  <c r="H216" i="16"/>
  <c r="G216" i="16"/>
  <c r="H215" i="16"/>
  <c r="G215" i="16"/>
  <c r="H214" i="16"/>
  <c r="G214" i="16"/>
  <c r="H213" i="16"/>
  <c r="G213" i="16"/>
  <c r="H212" i="16"/>
  <c r="G212" i="16"/>
  <c r="H211" i="16"/>
  <c r="G211" i="16"/>
  <c r="H42" i="16"/>
  <c r="G42" i="16"/>
  <c r="H210" i="16"/>
  <c r="G210" i="16"/>
  <c r="H41" i="16"/>
  <c r="G41" i="16"/>
  <c r="H209" i="16"/>
  <c r="G209" i="16"/>
  <c r="H208" i="16"/>
  <c r="G208" i="16"/>
  <c r="H207" i="16"/>
  <c r="G207" i="16"/>
  <c r="H206" i="16"/>
  <c r="G206" i="16"/>
  <c r="H205" i="16"/>
  <c r="G205" i="16"/>
  <c r="H204" i="16"/>
  <c r="G204" i="16"/>
  <c r="H203" i="16"/>
  <c r="G203" i="16"/>
  <c r="H202" i="16"/>
  <c r="G202" i="16"/>
  <c r="H201" i="16"/>
  <c r="G201" i="16"/>
  <c r="H200" i="16"/>
  <c r="G200" i="16"/>
  <c r="H199" i="16"/>
  <c r="G199" i="16"/>
  <c r="H198" i="16"/>
  <c r="G198" i="16"/>
  <c r="H197" i="16"/>
  <c r="G197" i="16"/>
  <c r="H196" i="16"/>
  <c r="G196" i="16"/>
  <c r="H195" i="16"/>
  <c r="G195" i="16"/>
  <c r="H194" i="16"/>
  <c r="G194" i="16"/>
  <c r="H193" i="16"/>
  <c r="G193" i="16"/>
  <c r="H192" i="16"/>
  <c r="G192" i="16"/>
  <c r="H191" i="16"/>
  <c r="G191" i="16"/>
  <c r="H190" i="16"/>
  <c r="G190" i="16"/>
  <c r="H189" i="16"/>
  <c r="G189" i="16"/>
  <c r="H188" i="16"/>
  <c r="G188" i="16"/>
  <c r="H187" i="16"/>
  <c r="G187" i="16"/>
  <c r="H186" i="16"/>
  <c r="G186" i="16"/>
  <c r="H185" i="16"/>
  <c r="G185" i="16"/>
  <c r="H184" i="16"/>
  <c r="G184" i="16"/>
  <c r="H183" i="16"/>
  <c r="G183" i="16"/>
  <c r="H40" i="16"/>
  <c r="G40" i="16"/>
  <c r="H182" i="16"/>
  <c r="G182" i="16"/>
  <c r="H181" i="16"/>
  <c r="G181" i="16"/>
  <c r="H180" i="16"/>
  <c r="G180" i="16"/>
  <c r="H179" i="16"/>
  <c r="G179" i="16"/>
  <c r="H178" i="16"/>
  <c r="G178" i="16"/>
  <c r="H177" i="16"/>
  <c r="G177" i="16"/>
  <c r="H176" i="16"/>
  <c r="G176" i="16"/>
  <c r="H175" i="16"/>
  <c r="G175" i="16"/>
  <c r="H174" i="16"/>
  <c r="G174" i="16"/>
  <c r="H173" i="16"/>
  <c r="G173" i="16"/>
  <c r="H172" i="16"/>
  <c r="G172" i="16"/>
  <c r="H171" i="16"/>
  <c r="G171" i="16"/>
  <c r="H170" i="16"/>
  <c r="G170" i="16"/>
  <c r="H169" i="16"/>
  <c r="G169" i="16"/>
  <c r="H168" i="16"/>
  <c r="G168" i="16"/>
  <c r="H167" i="16"/>
  <c r="G167" i="16"/>
  <c r="H36" i="16"/>
  <c r="G36" i="16"/>
  <c r="H165" i="16"/>
  <c r="G165" i="16"/>
  <c r="H164" i="16"/>
  <c r="G164" i="16"/>
  <c r="H163" i="16"/>
  <c r="G163" i="16"/>
  <c r="H162" i="16"/>
  <c r="G162" i="16"/>
  <c r="H161" i="16"/>
  <c r="G161" i="16"/>
  <c r="H160" i="16"/>
  <c r="G160" i="16"/>
  <c r="H159" i="16"/>
  <c r="G159" i="16"/>
  <c r="H158" i="16"/>
  <c r="G158" i="16"/>
  <c r="H157" i="16"/>
  <c r="G157" i="16"/>
  <c r="H156" i="16"/>
  <c r="G156" i="16"/>
  <c r="H155" i="16"/>
  <c r="G155" i="16"/>
  <c r="H154" i="16"/>
  <c r="G154" i="16"/>
  <c r="H153" i="16"/>
  <c r="G153" i="16"/>
  <c r="H152" i="16"/>
  <c r="G152" i="16"/>
  <c r="H151" i="16"/>
  <c r="G151" i="16"/>
  <c r="H150" i="16"/>
  <c r="G150" i="16"/>
  <c r="H149" i="16"/>
  <c r="G149" i="16"/>
  <c r="H148" i="16"/>
  <c r="G148" i="16"/>
  <c r="H147" i="16"/>
  <c r="G147" i="16"/>
  <c r="H10" i="16"/>
  <c r="G10" i="16"/>
  <c r="H146" i="16"/>
  <c r="G146" i="16"/>
  <c r="H31" i="16"/>
  <c r="G31" i="16"/>
  <c r="H145" i="16"/>
  <c r="G145" i="16"/>
  <c r="H144" i="16"/>
  <c r="G144" i="16"/>
  <c r="H143" i="16"/>
  <c r="G143" i="16"/>
  <c r="H142" i="16"/>
  <c r="G142" i="16"/>
  <c r="H141" i="16"/>
  <c r="G141" i="16"/>
  <c r="H368" i="16"/>
  <c r="G368" i="16"/>
  <c r="H57" i="16"/>
  <c r="G57" i="16"/>
  <c r="H140" i="16"/>
  <c r="G140" i="16"/>
  <c r="H30" i="16"/>
  <c r="G30" i="16"/>
  <c r="H139" i="16"/>
  <c r="G139" i="16"/>
  <c r="H29" i="16"/>
  <c r="G29" i="16"/>
  <c r="H138" i="16"/>
  <c r="G138" i="16"/>
  <c r="H137" i="16"/>
  <c r="G137" i="16"/>
  <c r="H136" i="16"/>
  <c r="G136" i="16"/>
  <c r="H135" i="16"/>
  <c r="G135" i="16"/>
  <c r="H134" i="16"/>
  <c r="G134" i="16"/>
  <c r="H133" i="16"/>
  <c r="G133" i="16"/>
  <c r="H132" i="16"/>
  <c r="G132" i="16"/>
  <c r="H131" i="16"/>
  <c r="I131" i="16" s="1"/>
  <c r="H9" i="16"/>
  <c r="I9" i="16" s="1"/>
  <c r="H129" i="16"/>
  <c r="G129" i="16"/>
  <c r="H128" i="16"/>
  <c r="G128" i="16"/>
  <c r="H127" i="16"/>
  <c r="G127" i="16"/>
  <c r="H126" i="16"/>
  <c r="G126" i="16"/>
  <c r="H125" i="16"/>
  <c r="G125" i="16"/>
  <c r="H124" i="16"/>
  <c r="G124" i="16"/>
  <c r="H123" i="16"/>
  <c r="G123" i="16"/>
  <c r="H122" i="16"/>
  <c r="G122" i="16"/>
  <c r="H121" i="16"/>
  <c r="I121" i="16" s="1"/>
  <c r="H8" i="16"/>
  <c r="I8" i="16" s="1"/>
  <c r="H26" i="16"/>
  <c r="G26" i="16"/>
  <c r="H119" i="16"/>
  <c r="G119" i="16"/>
  <c r="H24" i="16"/>
  <c r="G24" i="16"/>
  <c r="H23" i="16"/>
  <c r="G23" i="16"/>
  <c r="H22" i="16"/>
  <c r="G22" i="16"/>
  <c r="H115" i="16"/>
  <c r="G115" i="16"/>
  <c r="H21" i="16"/>
  <c r="G21" i="16"/>
  <c r="H113" i="16"/>
  <c r="I113" i="16" s="1"/>
  <c r="H7" i="16"/>
  <c r="I7" i="16" s="1"/>
  <c r="H70" i="16"/>
  <c r="I70" i="16" s="1"/>
  <c r="H6" i="16"/>
  <c r="I6" i="16" s="1"/>
  <c r="H112" i="16"/>
  <c r="G112" i="16"/>
  <c r="H68" i="16"/>
  <c r="I68" i="16" s="1"/>
  <c r="H5" i="16"/>
  <c r="I5" i="16" s="1"/>
  <c r="H67" i="16"/>
  <c r="I67" i="16" s="1"/>
  <c r="H4" i="16"/>
  <c r="I4" i="16" s="1"/>
  <c r="H66" i="16"/>
  <c r="I66" i="16" s="1"/>
  <c r="H3" i="16"/>
  <c r="I3" i="16" s="1"/>
  <c r="H111" i="16"/>
  <c r="G111" i="16"/>
  <c r="H110" i="16"/>
  <c r="I110" i="16" s="1"/>
  <c r="H2" i="16"/>
  <c r="I2" i="16" s="1"/>
  <c r="H108" i="16"/>
  <c r="G108" i="16"/>
  <c r="H107" i="16"/>
  <c r="G107" i="16"/>
  <c r="H106" i="16"/>
  <c r="G106" i="16"/>
  <c r="H105" i="16"/>
  <c r="G105" i="16"/>
  <c r="H20" i="16"/>
  <c r="G20" i="16"/>
  <c r="H104" i="16"/>
  <c r="I104" i="16" s="1"/>
  <c r="H19" i="16"/>
  <c r="G19" i="16"/>
  <c r="H18" i="16"/>
  <c r="G18" i="16"/>
  <c r="H102" i="16"/>
  <c r="G102" i="16"/>
  <c r="H101" i="16"/>
  <c r="G101" i="16"/>
  <c r="H100" i="16"/>
  <c r="G100" i="16"/>
  <c r="H99" i="16"/>
  <c r="G99" i="16"/>
  <c r="H98" i="16"/>
  <c r="G98" i="16"/>
  <c r="H97" i="16"/>
  <c r="G97" i="16"/>
  <c r="H96" i="16"/>
  <c r="G96" i="16"/>
  <c r="H95" i="16"/>
  <c r="G95" i="16"/>
  <c r="H94" i="16"/>
  <c r="G94" i="16"/>
  <c r="H93" i="16"/>
  <c r="G93" i="16"/>
  <c r="H92" i="16"/>
  <c r="G92" i="16"/>
  <c r="H91" i="16"/>
  <c r="G91" i="16"/>
  <c r="H90" i="16"/>
  <c r="G90" i="16"/>
  <c r="H17" i="16"/>
  <c r="I17" i="16" s="1"/>
  <c r="H88" i="16"/>
  <c r="G88" i="16"/>
  <c r="H87" i="16"/>
  <c r="G87" i="16"/>
  <c r="H86" i="16"/>
  <c r="G86" i="16"/>
  <c r="H85" i="16"/>
  <c r="G85" i="16"/>
  <c r="H84" i="16"/>
  <c r="G84" i="16"/>
  <c r="H16" i="16"/>
  <c r="G16" i="16"/>
  <c r="H83" i="16"/>
  <c r="G83" i="16"/>
  <c r="H82" i="16"/>
  <c r="G82" i="16"/>
  <c r="H81" i="16"/>
  <c r="G81" i="16"/>
  <c r="H80" i="16"/>
  <c r="G80" i="16"/>
  <c r="H79" i="16"/>
  <c r="G79" i="16"/>
  <c r="H78" i="16"/>
  <c r="G78" i="16"/>
  <c r="H77" i="16"/>
  <c r="G77" i="16"/>
  <c r="H76" i="16"/>
  <c r="G76" i="16"/>
  <c r="H75" i="16"/>
  <c r="G75" i="16"/>
  <c r="H74" i="16"/>
  <c r="G74" i="16"/>
  <c r="H15" i="16"/>
  <c r="G15" i="16"/>
  <c r="H73" i="16"/>
  <c r="G73" i="16"/>
  <c r="H72" i="16"/>
  <c r="G72" i="16"/>
  <c r="H14" i="16"/>
  <c r="G14" i="16"/>
  <c r="H71" i="16"/>
  <c r="G71" i="16"/>
  <c r="L1021" i="14"/>
  <c r="H1021" i="14"/>
  <c r="G1021" i="14"/>
  <c r="L1027" i="14"/>
  <c r="H1027" i="14"/>
  <c r="G1027" i="14"/>
  <c r="H1034" i="14"/>
  <c r="G1034" i="14"/>
  <c r="L1015" i="14"/>
  <c r="H1015" i="14"/>
  <c r="G1015" i="14"/>
  <c r="I75" i="16" l="1"/>
  <c r="I84" i="16"/>
  <c r="I107" i="16"/>
  <c r="I77" i="16"/>
  <c r="I26" i="16"/>
  <c r="I128" i="16"/>
  <c r="I137" i="16"/>
  <c r="I141" i="16"/>
  <c r="I213" i="16"/>
  <c r="I155" i="16"/>
  <c r="I171" i="16"/>
  <c r="I183" i="16"/>
  <c r="I199" i="16"/>
  <c r="I147" i="16"/>
  <c r="I163" i="16"/>
  <c r="I191" i="16"/>
  <c r="I239" i="16"/>
  <c r="I247" i="16"/>
  <c r="I207" i="16"/>
  <c r="I221" i="16"/>
  <c r="I229" i="16"/>
  <c r="I24" i="16"/>
  <c r="I146" i="16"/>
  <c r="I169" i="16"/>
  <c r="I205" i="16"/>
  <c r="I237" i="16"/>
  <c r="I253" i="16"/>
  <c r="I267" i="16"/>
  <c r="I299" i="16"/>
  <c r="I316" i="16"/>
  <c r="I332" i="16"/>
  <c r="I348" i="16"/>
  <c r="I354" i="16"/>
  <c r="I89" i="16"/>
  <c r="I397" i="16"/>
  <c r="I45" i="16"/>
  <c r="I57" i="16"/>
  <c r="I211" i="16"/>
  <c r="I227" i="16"/>
  <c r="I245" i="16"/>
  <c r="I260" i="16"/>
  <c r="I291" i="16"/>
  <c r="I305" i="16"/>
  <c r="I324" i="16"/>
  <c r="I340" i="16"/>
  <c r="I362" i="16"/>
  <c r="I275" i="16"/>
  <c r="I283" i="16"/>
  <c r="I219" i="16"/>
  <c r="I197" i="16"/>
  <c r="I83" i="16"/>
  <c r="I126" i="16"/>
  <c r="I161" i="16"/>
  <c r="I189" i="16"/>
  <c r="I105" i="16"/>
  <c r="I135" i="16"/>
  <c r="I182" i="16"/>
  <c r="I153" i="16"/>
  <c r="I22" i="16"/>
  <c r="I30" i="16"/>
  <c r="I151" i="16"/>
  <c r="I167" i="16"/>
  <c r="I180" i="16"/>
  <c r="I203" i="16"/>
  <c r="I217" i="16"/>
  <c r="I235" i="16"/>
  <c r="I251" i="16"/>
  <c r="I273" i="16"/>
  <c r="I297" i="16"/>
  <c r="I314" i="16"/>
  <c r="I322" i="16"/>
  <c r="I330" i="16"/>
  <c r="I338" i="16"/>
  <c r="I124" i="16"/>
  <c r="I133" i="16"/>
  <c r="I145" i="16"/>
  <c r="I159" i="16"/>
  <c r="I175" i="16"/>
  <c r="I187" i="16"/>
  <c r="I195" i="16"/>
  <c r="I210" i="16"/>
  <c r="I225" i="16"/>
  <c r="I243" i="16"/>
  <c r="I258" i="16"/>
  <c r="I265" i="16"/>
  <c r="I281" i="16"/>
  <c r="I304" i="16"/>
  <c r="I81" i="16"/>
  <c r="I15" i="16"/>
  <c r="I88" i="16"/>
  <c r="I196" i="16"/>
  <c r="I42" i="16"/>
  <c r="I226" i="16"/>
  <c r="I244" i="16"/>
  <c r="I259" i="16"/>
  <c r="I282" i="16"/>
  <c r="I298" i="16"/>
  <c r="I315" i="16"/>
  <c r="I323" i="16"/>
  <c r="I339" i="16"/>
  <c r="I347" i="16"/>
  <c r="I353" i="16"/>
  <c r="I361" i="16"/>
  <c r="I60" i="16"/>
  <c r="I394" i="16"/>
  <c r="I396" i="16"/>
  <c r="I47" i="16"/>
  <c r="I23" i="16"/>
  <c r="I181" i="16"/>
  <c r="I204" i="16"/>
  <c r="I218" i="16"/>
  <c r="I236" i="16"/>
  <c r="I252" i="16"/>
  <c r="I266" i="16"/>
  <c r="I274" i="16"/>
  <c r="I290" i="16"/>
  <c r="I49" i="16"/>
  <c r="I331" i="16"/>
  <c r="I152" i="16"/>
  <c r="I31" i="16"/>
  <c r="I176" i="16"/>
  <c r="I82" i="16"/>
  <c r="I188" i="16"/>
  <c r="I125" i="16"/>
  <c r="I140" i="16"/>
  <c r="I134" i="16"/>
  <c r="I74" i="16"/>
  <c r="I160" i="16"/>
  <c r="I20" i="16"/>
  <c r="I168" i="16"/>
  <c r="I212" i="16"/>
  <c r="I46" i="16"/>
  <c r="I230" i="16"/>
  <c r="I240" i="16"/>
  <c r="I78" i="16"/>
  <c r="I142" i="16"/>
  <c r="I164" i="16"/>
  <c r="I184" i="16"/>
  <c r="I214" i="16"/>
  <c r="I248" i="16"/>
  <c r="I278" i="16"/>
  <c r="I294" i="16"/>
  <c r="I311" i="16"/>
  <c r="I319" i="16"/>
  <c r="I335" i="16"/>
  <c r="I343" i="16"/>
  <c r="I56" i="16"/>
  <c r="I357" i="16"/>
  <c r="I365" i="16"/>
  <c r="I13" i="16"/>
  <c r="I390" i="16"/>
  <c r="I309" i="16"/>
  <c r="I14" i="16"/>
  <c r="I108" i="16"/>
  <c r="I129" i="16"/>
  <c r="I156" i="16"/>
  <c r="I177" i="16"/>
  <c r="I200" i="16"/>
  <c r="I222" i="16"/>
  <c r="I270" i="16"/>
  <c r="I286" i="16"/>
  <c r="I11" i="16"/>
  <c r="I327" i="16"/>
  <c r="I85" i="16"/>
  <c r="I138" i="16"/>
  <c r="I148" i="16"/>
  <c r="I172" i="16"/>
  <c r="I192" i="16"/>
  <c r="I208" i="16"/>
  <c r="I256" i="16"/>
  <c r="I310" i="16"/>
  <c r="I62" i="16"/>
  <c r="I389" i="16"/>
  <c r="I346" i="16"/>
  <c r="I352" i="16"/>
  <c r="I79" i="16"/>
  <c r="I122" i="16"/>
  <c r="I149" i="16"/>
  <c r="I178" i="16"/>
  <c r="I201" i="16"/>
  <c r="I241" i="16"/>
  <c r="I44" i="16"/>
  <c r="I271" i="16"/>
  <c r="I287" i="16"/>
  <c r="I320" i="16"/>
  <c r="I165" i="16"/>
  <c r="I193" i="16"/>
  <c r="I223" i="16"/>
  <c r="I86" i="16"/>
  <c r="I143" i="16"/>
  <c r="I173" i="16"/>
  <c r="I215" i="16"/>
  <c r="I72" i="16"/>
  <c r="I21" i="16"/>
  <c r="I29" i="16"/>
  <c r="I157" i="16"/>
  <c r="I185" i="16"/>
  <c r="I209" i="16"/>
  <c r="I231" i="16"/>
  <c r="I249" i="16"/>
  <c r="I263" i="16"/>
  <c r="I279" i="16"/>
  <c r="I295" i="16"/>
  <c r="I302" i="16"/>
  <c r="I312" i="16"/>
  <c r="I328" i="16"/>
  <c r="I336" i="16"/>
  <c r="I344" i="16"/>
  <c r="I350" i="16"/>
  <c r="I358" i="16"/>
  <c r="I366" i="16"/>
  <c r="I64" i="16"/>
  <c r="I391" i="16"/>
  <c r="I308" i="16"/>
  <c r="I112" i="16"/>
  <c r="I76" i="16"/>
  <c r="I238" i="16"/>
  <c r="I254" i="16"/>
  <c r="I268" i="16"/>
  <c r="I284" i="16"/>
  <c r="I306" i="16"/>
  <c r="I317" i="16"/>
  <c r="I333" i="16"/>
  <c r="I341" i="16"/>
  <c r="I55" i="16"/>
  <c r="I355" i="16"/>
  <c r="I363" i="16"/>
  <c r="I61" i="16"/>
  <c r="I307" i="16"/>
  <c r="I119" i="16"/>
  <c r="I136" i="16"/>
  <c r="I368" i="16"/>
  <c r="I10" i="16"/>
  <c r="I154" i="16"/>
  <c r="I162" i="16"/>
  <c r="I170" i="16"/>
  <c r="I40" i="16"/>
  <c r="I190" i="16"/>
  <c r="I198" i="16"/>
  <c r="I206" i="16"/>
  <c r="I220" i="16"/>
  <c r="I228" i="16"/>
  <c r="I246" i="16"/>
  <c r="I261" i="16"/>
  <c r="I276" i="16"/>
  <c r="I292" i="16"/>
  <c r="I300" i="16"/>
  <c r="I325" i="16"/>
  <c r="I16" i="16"/>
  <c r="I106" i="16"/>
  <c r="I127" i="16"/>
  <c r="I262" i="16"/>
  <c r="I277" i="16"/>
  <c r="I293" i="16"/>
  <c r="I54" i="16"/>
  <c r="I318" i="16"/>
  <c r="I334" i="16"/>
  <c r="I342" i="16"/>
  <c r="I349" i="16"/>
  <c r="I356" i="16"/>
  <c r="I364" i="16"/>
  <c r="I255" i="16"/>
  <c r="I269" i="16"/>
  <c r="I285" i="16"/>
  <c r="I301" i="16"/>
  <c r="I326" i="16"/>
  <c r="I18" i="16"/>
  <c r="I95" i="16"/>
  <c r="I73" i="16"/>
  <c r="I115" i="16"/>
  <c r="I132" i="16"/>
  <c r="I144" i="16"/>
  <c r="I158" i="16"/>
  <c r="I174" i="16"/>
  <c r="I186" i="16"/>
  <c r="I202" i="16"/>
  <c r="I216" i="16"/>
  <c r="I232" i="16"/>
  <c r="I250" i="16"/>
  <c r="I264" i="16"/>
  <c r="I280" i="16"/>
  <c r="I288" i="16"/>
  <c r="I296" i="16"/>
  <c r="I303" i="16"/>
  <c r="I313" i="16"/>
  <c r="I321" i="16"/>
  <c r="I329" i="16"/>
  <c r="I337" i="16"/>
  <c r="I345" i="16"/>
  <c r="I351" i="16"/>
  <c r="I359" i="16"/>
  <c r="I12" i="16"/>
  <c r="I393" i="16"/>
  <c r="I392" i="16"/>
  <c r="I48" i="16"/>
  <c r="I80" i="16"/>
  <c r="I123" i="16"/>
  <c r="I139" i="16"/>
  <c r="I150" i="16"/>
  <c r="I36" i="16"/>
  <c r="I179" i="16"/>
  <c r="I194" i="16"/>
  <c r="I41" i="16"/>
  <c r="I224" i="16"/>
  <c r="I242" i="16"/>
  <c r="I257" i="16"/>
  <c r="I272" i="16"/>
  <c r="I96" i="16"/>
  <c r="I19" i="16"/>
  <c r="I360" i="16"/>
  <c r="I65" i="16"/>
  <c r="I395" i="16"/>
  <c r="I43" i="16"/>
  <c r="I97" i="16"/>
  <c r="I87" i="16"/>
  <c r="I90" i="16"/>
  <c r="I98" i="16"/>
  <c r="I111" i="16"/>
  <c r="I91" i="16"/>
  <c r="I99" i="16"/>
  <c r="I92" i="16"/>
  <c r="I100" i="16"/>
  <c r="I93" i="16"/>
  <c r="I101" i="16"/>
  <c r="I94" i="16"/>
  <c r="I102" i="16"/>
  <c r="I876" i="14"/>
  <c r="I713" i="14"/>
  <c r="I589" i="14"/>
  <c r="I813" i="14"/>
  <c r="I980" i="14"/>
  <c r="I1160" i="14"/>
  <c r="I610" i="14"/>
  <c r="I652" i="14"/>
  <c r="I1084" i="14"/>
  <c r="I428" i="14"/>
  <c r="I585" i="14"/>
  <c r="I824" i="14"/>
  <c r="I1049" i="14"/>
  <c r="I703" i="14"/>
  <c r="I1219" i="14"/>
  <c r="I685" i="14"/>
  <c r="I832" i="14"/>
  <c r="I1096" i="14"/>
  <c r="I1174" i="14"/>
  <c r="I1229" i="14"/>
  <c r="I1128" i="14"/>
  <c r="I635" i="14"/>
  <c r="I801" i="14"/>
  <c r="I766" i="14"/>
  <c r="I841" i="14"/>
  <c r="I623" i="14"/>
  <c r="I662" i="14"/>
  <c r="I941" i="14"/>
  <c r="I1110" i="14"/>
  <c r="I512" i="14"/>
  <c r="I797" i="14"/>
  <c r="I538" i="14"/>
  <c r="I974" i="14"/>
  <c r="I1158" i="14"/>
  <c r="I476" i="14"/>
  <c r="I648" i="14"/>
  <c r="I693" i="14"/>
  <c r="I604" i="14"/>
  <c r="I1102" i="14"/>
  <c r="I785" i="14"/>
  <c r="I691" i="14"/>
  <c r="I328" i="14"/>
  <c r="I1043" i="14"/>
  <c r="I619" i="14"/>
  <c r="I656" i="14"/>
  <c r="I699" i="14"/>
  <c r="I789" i="14"/>
  <c r="I169" i="14"/>
  <c r="I890" i="14"/>
  <c r="I1047" i="14"/>
  <c r="I770" i="14"/>
  <c r="I745" i="14"/>
  <c r="I350" i="14"/>
  <c r="I681" i="14"/>
  <c r="I923" i="14"/>
  <c r="I968" i="14"/>
  <c r="I1051" i="14"/>
  <c r="I762" i="14"/>
  <c r="I979" i="14"/>
  <c r="I201" i="14"/>
  <c r="I631" i="14"/>
  <c r="I705" i="14"/>
  <c r="I894" i="14"/>
  <c r="I1080" i="14"/>
  <c r="I361" i="14"/>
  <c r="I709" i="14"/>
  <c r="I905" i="14"/>
  <c r="I927" i="14"/>
  <c r="I970" i="14"/>
  <c r="I931" i="14"/>
  <c r="I1061" i="14"/>
  <c r="I472" i="14"/>
  <c r="I781" i="14"/>
  <c r="I809" i="14"/>
  <c r="I1200" i="14"/>
  <c r="I1164" i="14"/>
  <c r="I1071" i="14"/>
  <c r="I596" i="14"/>
  <c r="I346" i="14"/>
  <c r="I508" i="14"/>
  <c r="I793" i="14"/>
  <c r="I1075" i="14"/>
  <c r="I817" i="14"/>
  <c r="I689" i="14"/>
  <c r="I880" i="14"/>
  <c r="I935" i="14"/>
  <c r="I1092" i="14"/>
  <c r="I1204" i="14"/>
  <c r="I608" i="14"/>
  <c r="I173" i="14"/>
  <c r="I615" i="14"/>
  <c r="I644" i="14"/>
  <c r="I821" i="14"/>
  <c r="I537" i="14"/>
  <c r="I1168" i="14"/>
  <c r="I639" i="14"/>
  <c r="I1008" i="14"/>
  <c r="I1065" i="14"/>
  <c r="I219" i="14"/>
  <c r="I516" i="14"/>
  <c r="I695" i="14"/>
  <c r="I729" i="14"/>
  <c r="I828" i="14"/>
  <c r="I948" i="14"/>
  <c r="I1106" i="14"/>
  <c r="I310" i="14"/>
  <c r="I733" i="14"/>
  <c r="I1178" i="14"/>
  <c r="I805" i="14"/>
  <c r="I1170" i="14"/>
  <c r="I159" i="14"/>
  <c r="I318" i="14"/>
  <c r="I391" i="14"/>
  <c r="I737" i="14"/>
  <c r="I1192" i="14"/>
  <c r="I324" i="14"/>
  <c r="I438" i="14"/>
  <c r="I741" i="14"/>
  <c r="I854" i="14"/>
  <c r="I1196" i="14"/>
  <c r="I155" i="14"/>
  <c r="I758" i="14"/>
  <c r="I1123" i="14"/>
  <c r="I901" i="14"/>
  <c r="I1057" i="14"/>
  <c r="I627" i="14"/>
  <c r="I1169" i="14"/>
  <c r="I718" i="14"/>
  <c r="I387" i="14"/>
  <c r="I528" i="14"/>
  <c r="I1056" i="14"/>
  <c r="I1147" i="14"/>
  <c r="I1154" i="14"/>
  <c r="I777" i="14"/>
  <c r="I1148" i="14"/>
  <c r="I429" i="14"/>
  <c r="I750" i="14"/>
  <c r="I1146" i="14"/>
  <c r="I521" i="14"/>
  <c r="I1153" i="14"/>
  <c r="I611" i="14"/>
  <c r="I522" i="14"/>
  <c r="I907" i="14"/>
  <c r="I1166" i="14"/>
  <c r="I248" i="14"/>
  <c r="I1159" i="14"/>
  <c r="I719" i="14"/>
  <c r="I1135" i="14"/>
  <c r="I752" i="14"/>
  <c r="I1136" i="14"/>
  <c r="I717" i="14"/>
  <c r="I1142" i="14"/>
  <c r="I751" i="14"/>
  <c r="I424" i="14"/>
  <c r="I191" i="14"/>
  <c r="I520" i="14"/>
  <c r="I526" i="14"/>
  <c r="I1134" i="14"/>
  <c r="I536" i="14"/>
  <c r="I1140" i="14"/>
  <c r="I978" i="14"/>
  <c r="I1055" i="14"/>
  <c r="I756" i="14"/>
  <c r="I1152" i="14"/>
  <c r="I1141" i="14"/>
  <c r="I1165" i="14"/>
  <c r="I546" i="14"/>
  <c r="I757" i="14"/>
  <c r="I906" i="14"/>
  <c r="I776" i="14"/>
  <c r="I913" i="14"/>
  <c r="I312" i="14"/>
  <c r="I527" i="14"/>
  <c r="I598" i="14"/>
  <c r="I886" i="14"/>
  <c r="I917" i="14"/>
  <c r="I597" i="14"/>
  <c r="I446" i="14"/>
  <c r="I453" i="14"/>
  <c r="I461" i="14"/>
  <c r="I468" i="14"/>
  <c r="I192" i="14"/>
  <c r="I595" i="14"/>
  <c r="I186" i="14"/>
  <c r="I491" i="14"/>
  <c r="I498" i="14"/>
  <c r="I448" i="14"/>
  <c r="I455" i="14"/>
  <c r="I1225" i="14"/>
  <c r="I1226" i="14"/>
  <c r="I460" i="14"/>
  <c r="I467" i="14"/>
  <c r="I490" i="14"/>
  <c r="I1224" i="14"/>
  <c r="I435" i="14"/>
  <c r="I447" i="14"/>
  <c r="I454" i="14"/>
  <c r="I462" i="14"/>
  <c r="I469" i="14"/>
  <c r="I492" i="14"/>
  <c r="I499" i="14"/>
  <c r="I497" i="14"/>
  <c r="I489" i="14"/>
  <c r="I493" i="14"/>
  <c r="I459" i="14"/>
  <c r="I463" i="14"/>
  <c r="I449" i="14"/>
  <c r="I445" i="14"/>
  <c r="I434" i="14"/>
  <c r="I999" i="14"/>
  <c r="I580" i="14"/>
  <c r="I1233" i="14"/>
  <c r="I423" i="14"/>
  <c r="I579" i="14"/>
  <c r="I998" i="14"/>
  <c r="I286" i="14"/>
  <c r="I283" i="14"/>
  <c r="I560" i="14"/>
  <c r="I561" i="14"/>
  <c r="I566" i="14"/>
  <c r="I558" i="14"/>
  <c r="I557" i="14"/>
  <c r="I559" i="14"/>
  <c r="I565" i="14"/>
  <c r="I556" i="14"/>
  <c r="I554" i="14"/>
  <c r="I550" i="14"/>
  <c r="I542" i="14"/>
  <c r="I357" i="14"/>
  <c r="I314" i="14"/>
  <c r="I303" i="14"/>
  <c r="I273" i="14"/>
  <c r="I274" i="14"/>
  <c r="I289" i="14"/>
  <c r="I292" i="14"/>
  <c r="I275" i="14"/>
  <c r="I853" i="14"/>
  <c r="I1021" i="14"/>
  <c r="I1015" i="14"/>
  <c r="I1034" i="14"/>
  <c r="I1027" i="14"/>
  <c r="I71" i="16"/>
  <c r="L1223" i="14"/>
  <c r="L1220" i="14"/>
  <c r="L1205" i="14"/>
  <c r="L1201" i="14"/>
  <c r="L1197" i="14"/>
  <c r="L953" i="14"/>
  <c r="L952" i="14"/>
  <c r="L874" i="14"/>
  <c r="L867" i="14"/>
  <c r="L866" i="14"/>
  <c r="L865" i="14"/>
  <c r="L864" i="14"/>
  <c r="L749" i="14"/>
  <c r="L748" i="14"/>
  <c r="L678" i="14"/>
  <c r="L677" i="14"/>
  <c r="L676" i="14"/>
  <c r="L675" i="14"/>
  <c r="L620" i="14"/>
  <c r="L616" i="14"/>
  <c r="L568" i="14"/>
  <c r="L563" i="14"/>
  <c r="L562" i="14"/>
  <c r="L534" i="14"/>
  <c r="L504" i="14"/>
  <c r="L458" i="14"/>
  <c r="L466" i="14"/>
  <c r="L465" i="14"/>
  <c r="L464" i="14"/>
  <c r="L386" i="14"/>
  <c r="L385" i="14"/>
  <c r="L315" i="14"/>
  <c r="L1418" i="14"/>
  <c r="L1410" i="14"/>
  <c r="L1396" i="14"/>
  <c r="L1391" i="14"/>
  <c r="L1386" i="14"/>
  <c r="L225" i="14"/>
  <c r="L1395" i="14"/>
  <c r="L1394" i="14"/>
  <c r="L1393" i="14"/>
  <c r="L1390" i="14"/>
  <c r="L1389" i="14"/>
  <c r="L1388" i="14"/>
  <c r="L1385" i="14"/>
  <c r="L1384" i="14"/>
  <c r="L1383" i="14"/>
  <c r="L1382" i="14"/>
  <c r="L1381" i="14"/>
  <c r="L1362" i="14"/>
  <c r="L1361" i="14"/>
  <c r="L1360" i="14"/>
  <c r="L1187" i="14"/>
  <c r="L1186" i="14"/>
  <c r="L1184" i="14"/>
  <c r="L1183" i="14"/>
  <c r="L1038" i="14"/>
  <c r="L1003" i="14"/>
  <c r="L1002" i="14"/>
  <c r="L991" i="14"/>
  <c r="L989" i="14"/>
  <c r="L988" i="14"/>
  <c r="L965" i="14"/>
  <c r="L964" i="14"/>
  <c r="L943" i="14"/>
  <c r="L942" i="14"/>
  <c r="L922" i="14"/>
  <c r="L921" i="14"/>
  <c r="L898" i="14"/>
  <c r="L870" i="14"/>
  <c r="L862" i="14"/>
  <c r="L847" i="14"/>
  <c r="L846" i="14"/>
  <c r="L845" i="14"/>
  <c r="L838" i="14"/>
  <c r="L837" i="14"/>
  <c r="L669" i="14"/>
  <c r="L668" i="14"/>
  <c r="L667" i="14"/>
  <c r="L666" i="14"/>
  <c r="L584" i="14"/>
  <c r="L583" i="14"/>
  <c r="L582" i="14"/>
  <c r="L581" i="14"/>
  <c r="L506" i="14"/>
  <c r="L413" i="14"/>
  <c r="L406" i="14"/>
  <c r="L405" i="14"/>
  <c r="L397" i="14"/>
  <c r="L395" i="14"/>
  <c r="L383" i="14"/>
  <c r="L382" i="14"/>
  <c r="L381" i="14"/>
  <c r="L380" i="14"/>
  <c r="L378" i="14"/>
  <c r="L377" i="14"/>
  <c r="L376" i="14"/>
  <c r="L375" i="14"/>
  <c r="L372" i="14"/>
  <c r="L371" i="14"/>
  <c r="L370" i="14"/>
  <c r="L369" i="14"/>
  <c r="L334" i="14"/>
  <c r="L232" i="14"/>
  <c r="L228" i="14"/>
  <c r="L227" i="14"/>
  <c r="L224" i="14"/>
  <c r="L223" i="14"/>
  <c r="L182" i="14"/>
  <c r="L181" i="14"/>
  <c r="L46" i="14"/>
  <c r="L45" i="14"/>
  <c r="L44" i="14"/>
  <c r="L43" i="14"/>
  <c r="L41" i="14"/>
  <c r="L40" i="14"/>
  <c r="L37" i="14"/>
  <c r="L34" i="14"/>
  <c r="L33" i="14"/>
  <c r="L30" i="14"/>
  <c r="L29" i="14"/>
  <c r="L27" i="14"/>
  <c r="L26" i="14"/>
  <c r="L21" i="14"/>
  <c r="L20" i="14"/>
  <c r="L17" i="14"/>
  <c r="L16" i="14"/>
  <c r="L12" i="14"/>
  <c r="L11" i="14"/>
  <c r="L10" i="14"/>
  <c r="L9" i="14"/>
  <c r="L8" i="14"/>
  <c r="L7" i="14"/>
  <c r="L6" i="14"/>
  <c r="L5" i="14"/>
  <c r="L4" i="14"/>
  <c r="L3" i="14"/>
  <c r="G29" i="14" l="1"/>
  <c r="H29" i="14"/>
  <c r="I29" i="14" l="1"/>
  <c r="H1418" i="14"/>
  <c r="G1418" i="14"/>
  <c r="H1414" i="14"/>
  <c r="G1414" i="14"/>
  <c r="H1410" i="14"/>
  <c r="G1410" i="14"/>
  <c r="H1401" i="14"/>
  <c r="G1401" i="14"/>
  <c r="H1396" i="14"/>
  <c r="G1396" i="14"/>
  <c r="H1391" i="14"/>
  <c r="G1391" i="14"/>
  <c r="H1386" i="14"/>
  <c r="G1386" i="14"/>
  <c r="I1410" i="14" l="1"/>
  <c r="I1414" i="14"/>
  <c r="I1418" i="14"/>
  <c r="I1401" i="14"/>
  <c r="I1391" i="14"/>
  <c r="I1396" i="14"/>
  <c r="I1386" i="14"/>
  <c r="H335" i="14" l="1"/>
  <c r="G335" i="14"/>
  <c r="H225" i="14"/>
  <c r="G225" i="14"/>
  <c r="L25" i="14"/>
  <c r="L24" i="14"/>
  <c r="L14" i="14"/>
  <c r="L13" i="14"/>
  <c r="H41" i="14"/>
  <c r="G41" i="14"/>
  <c r="H34" i="14"/>
  <c r="G34" i="14"/>
  <c r="H30" i="14"/>
  <c r="G30" i="14"/>
  <c r="H27" i="14"/>
  <c r="G27" i="14"/>
  <c r="H25" i="14"/>
  <c r="G25" i="14"/>
  <c r="H24" i="14"/>
  <c r="G24" i="14"/>
  <c r="H21" i="14"/>
  <c r="G21" i="14"/>
  <c r="H17" i="14"/>
  <c r="G17" i="14"/>
  <c r="H14" i="14"/>
  <c r="G14" i="14"/>
  <c r="H13" i="14"/>
  <c r="G13" i="14"/>
  <c r="H12" i="14"/>
  <c r="G12" i="14"/>
  <c r="H9" i="14"/>
  <c r="G9" i="14"/>
  <c r="H7" i="14"/>
  <c r="G7" i="14"/>
  <c r="H3" i="14"/>
  <c r="G3" i="14"/>
  <c r="H46" i="14"/>
  <c r="G46" i="14"/>
  <c r="I225" i="14" l="1"/>
  <c r="I14" i="14"/>
  <c r="I21" i="14"/>
  <c r="I27" i="14"/>
  <c r="I17" i="14"/>
  <c r="I7" i="14"/>
  <c r="I41" i="14"/>
  <c r="I30" i="14"/>
  <c r="I12" i="14"/>
  <c r="I24" i="14"/>
  <c r="I13" i="14"/>
  <c r="I9" i="14"/>
  <c r="I34" i="14"/>
  <c r="I25" i="14"/>
  <c r="I3" i="14"/>
  <c r="G160" i="14" l="1"/>
  <c r="G170" i="14"/>
  <c r="G174" i="14"/>
  <c r="G185" i="14"/>
  <c r="G189" i="14"/>
  <c r="G197" i="14"/>
  <c r="G199" i="14"/>
  <c r="G202" i="14"/>
  <c r="G205" i="14"/>
  <c r="G207" i="14"/>
  <c r="G209" i="14"/>
  <c r="G211" i="14"/>
  <c r="G213" i="14"/>
  <c r="G215" i="14"/>
  <c r="G217" i="14"/>
  <c r="G220" i="14"/>
  <c r="G235" i="14"/>
  <c r="G237" i="14"/>
  <c r="G239" i="14"/>
  <c r="G241" i="14"/>
  <c r="G243" i="14"/>
  <c r="G249" i="14"/>
  <c r="G261" i="14"/>
  <c r="G264" i="14"/>
  <c r="G276" i="14"/>
  <c r="G279" i="14"/>
  <c r="G299" i="14"/>
  <c r="G304" i="14"/>
  <c r="G311" i="14"/>
  <c r="G313" i="14"/>
  <c r="G315" i="14"/>
  <c r="G319" i="14"/>
  <c r="G322" i="14"/>
  <c r="G325" i="14"/>
  <c r="G329" i="14"/>
  <c r="G332" i="14"/>
  <c r="G341" i="14"/>
  <c r="G343" i="14"/>
  <c r="G347" i="14"/>
  <c r="G351" i="14"/>
  <c r="G358" i="14"/>
  <c r="G362" i="14"/>
  <c r="G366" i="14"/>
  <c r="G372" i="14"/>
  <c r="G378" i="14"/>
  <c r="G383" i="14"/>
  <c r="G386" i="14"/>
  <c r="G388" i="14"/>
  <c r="G392" i="14"/>
  <c r="G395" i="14"/>
  <c r="G402" i="14"/>
  <c r="G408" i="14"/>
  <c r="G413" i="14"/>
  <c r="G417" i="14"/>
  <c r="G420" i="14"/>
  <c r="G427" i="14"/>
  <c r="G431" i="14"/>
  <c r="G439" i="14"/>
  <c r="G442" i="14"/>
  <c r="G444" i="14"/>
  <c r="G458" i="14"/>
  <c r="G473" i="14"/>
  <c r="G477" i="14"/>
  <c r="G480" i="14"/>
  <c r="G482" i="14"/>
  <c r="G484" i="14"/>
  <c r="G486" i="14"/>
  <c r="G488" i="14"/>
  <c r="G502" i="14"/>
  <c r="G504" i="14"/>
  <c r="G506" i="14"/>
  <c r="G509" i="14"/>
  <c r="G513" i="14"/>
  <c r="G517" i="14"/>
  <c r="G523" i="14"/>
  <c r="G529" i="14"/>
  <c r="G532" i="14"/>
  <c r="G534" i="14"/>
  <c r="G539" i="14"/>
  <c r="G543" i="14"/>
  <c r="G547" i="14"/>
  <c r="G551" i="14"/>
  <c r="G555" i="14"/>
  <c r="G567" i="14"/>
  <c r="G568" i="14"/>
  <c r="G573" i="14"/>
  <c r="G576" i="14"/>
  <c r="G582" i="14"/>
  <c r="G584" i="14"/>
  <c r="G586" i="14"/>
  <c r="G590" i="14"/>
  <c r="G594" i="14"/>
  <c r="G599" i="14"/>
  <c r="G602" i="14"/>
  <c r="G605" i="14"/>
  <c r="G609" i="14"/>
  <c r="G612" i="14"/>
  <c r="G616" i="14"/>
  <c r="G620" i="14"/>
  <c r="G624" i="14"/>
  <c r="G628" i="14"/>
  <c r="G632" i="14"/>
  <c r="G636" i="14"/>
  <c r="G640" i="14"/>
  <c r="G643" i="14"/>
  <c r="G645" i="14"/>
  <c r="G649" i="14"/>
  <c r="G653" i="14"/>
  <c r="G657" i="14"/>
  <c r="G660" i="14"/>
  <c r="G663" i="14"/>
  <c r="G669" i="14"/>
  <c r="G672" i="14"/>
  <c r="G678" i="14"/>
  <c r="G682" i="14"/>
  <c r="G686" i="14"/>
  <c r="G690" i="14"/>
  <c r="G692" i="14"/>
  <c r="G694" i="14"/>
  <c r="G696" i="14"/>
  <c r="G700" i="14"/>
  <c r="G704" i="14"/>
  <c r="G706" i="14"/>
  <c r="G710" i="14"/>
  <c r="G714" i="14"/>
  <c r="G720" i="14"/>
  <c r="G724" i="14"/>
  <c r="G730" i="14"/>
  <c r="G734" i="14"/>
  <c r="G738" i="14"/>
  <c r="G742" i="14"/>
  <c r="G746" i="14"/>
  <c r="G747" i="14"/>
  <c r="G748" i="14"/>
  <c r="G749" i="14"/>
  <c r="G753" i="14"/>
  <c r="G759" i="14"/>
  <c r="G763" i="14"/>
  <c r="G767" i="14"/>
  <c r="G771" i="14"/>
  <c r="G774" i="14"/>
  <c r="G778" i="14"/>
  <c r="G782" i="14"/>
  <c r="G786" i="14"/>
  <c r="G790" i="14"/>
  <c r="G794" i="14"/>
  <c r="G798" i="14"/>
  <c r="G802" i="14"/>
  <c r="G806" i="14"/>
  <c r="G810" i="14"/>
  <c r="G814" i="14"/>
  <c r="G818" i="14"/>
  <c r="G819" i="14"/>
  <c r="G822" i="14"/>
  <c r="G825" i="14"/>
  <c r="G829" i="14"/>
  <c r="G833" i="14"/>
  <c r="G838" i="14"/>
  <c r="G842" i="14"/>
  <c r="G848" i="14"/>
  <c r="G851" i="14"/>
  <c r="G855" i="14"/>
  <c r="G858" i="14"/>
  <c r="G860" i="14"/>
  <c r="G862" i="14"/>
  <c r="G867" i="14"/>
  <c r="G870" i="14"/>
  <c r="G872" i="14"/>
  <c r="G874" i="14"/>
  <c r="G877" i="14"/>
  <c r="G881" i="14"/>
  <c r="G884" i="14"/>
  <c r="G887" i="14"/>
  <c r="G891" i="14"/>
  <c r="G895" i="14"/>
  <c r="G898" i="14"/>
  <c r="G899" i="14"/>
  <c r="G902" i="14"/>
  <c r="G908" i="14"/>
  <c r="G911" i="14"/>
  <c r="G912" i="14"/>
  <c r="G914" i="14"/>
  <c r="G918" i="14"/>
  <c r="G922" i="14"/>
  <c r="G924" i="14"/>
  <c r="G925" i="14"/>
  <c r="G928" i="14"/>
  <c r="G932" i="14"/>
  <c r="G936" i="14"/>
  <c r="G939" i="14"/>
  <c r="G942" i="14"/>
  <c r="G943" i="14"/>
  <c r="G945" i="14"/>
  <c r="G949" i="14"/>
  <c r="G953" i="14"/>
  <c r="G956" i="14"/>
  <c r="G957" i="14"/>
  <c r="G959" i="14"/>
  <c r="G961" i="14"/>
  <c r="G965" i="14"/>
  <c r="G969" i="14"/>
  <c r="G971" i="14"/>
  <c r="G975" i="14"/>
  <c r="G981" i="14"/>
  <c r="G984" i="14"/>
  <c r="G985" i="14"/>
  <c r="G991" i="14"/>
  <c r="G995" i="14"/>
  <c r="G1005" i="14"/>
  <c r="G1009" i="14"/>
  <c r="G1014" i="14"/>
  <c r="G1020" i="14"/>
  <c r="G1026" i="14"/>
  <c r="G1033" i="14"/>
  <c r="G1040" i="14"/>
  <c r="G1044" i="14"/>
  <c r="G1048" i="14"/>
  <c r="G1050" i="14"/>
  <c r="G1052" i="14"/>
  <c r="G1058" i="14"/>
  <c r="G1062" i="14"/>
  <c r="G1066" i="14"/>
  <c r="G1069" i="14"/>
  <c r="G1072" i="14"/>
  <c r="G1076" i="14"/>
  <c r="G1079" i="14"/>
  <c r="G1081" i="14"/>
  <c r="G1085" i="14"/>
  <c r="G1089" i="14"/>
  <c r="G1093" i="14"/>
  <c r="G1097" i="14"/>
  <c r="G1100" i="14"/>
  <c r="G1103" i="14"/>
  <c r="G1107" i="14"/>
  <c r="G1111" i="14"/>
  <c r="G1114" i="14"/>
  <c r="G1117" i="14"/>
  <c r="G1120" i="14"/>
  <c r="G1124" i="14"/>
  <c r="G1127" i="14"/>
  <c r="G1129" i="14"/>
  <c r="G1130" i="14"/>
  <c r="G1132" i="14"/>
  <c r="G1137" i="14"/>
  <c r="G1143" i="14"/>
  <c r="G1149" i="14"/>
  <c r="G1155" i="14"/>
  <c r="G1161" i="14"/>
  <c r="G1167" i="14"/>
  <c r="G1171" i="14"/>
  <c r="G1175" i="14"/>
  <c r="G1179" i="14"/>
  <c r="G1184" i="14"/>
  <c r="G1187" i="14"/>
  <c r="G1189" i="14"/>
  <c r="G1193" i="14"/>
  <c r="G1197" i="14"/>
  <c r="G1201" i="14"/>
  <c r="G1205" i="14"/>
  <c r="G1208" i="14"/>
  <c r="G1213" i="14"/>
  <c r="G1216" i="14"/>
  <c r="G1220" i="14"/>
  <c r="G1223" i="14"/>
  <c r="G1230" i="14"/>
  <c r="G1236" i="14"/>
  <c r="G1238" i="14"/>
  <c r="G1239" i="14"/>
  <c r="G1242" i="14"/>
  <c r="G156" i="14"/>
  <c r="L156" i="14"/>
  <c r="L160" i="14"/>
  <c r="L174" i="14"/>
  <c r="L185" i="14"/>
  <c r="L189" i="14"/>
  <c r="L197" i="14"/>
  <c r="L199" i="14"/>
  <c r="L205" i="14"/>
  <c r="L207" i="14"/>
  <c r="L209" i="14"/>
  <c r="L211" i="14"/>
  <c r="L213" i="14"/>
  <c r="L215" i="14"/>
  <c r="L217" i="14"/>
  <c r="L220" i="14"/>
  <c r="L241" i="14"/>
  <c r="L243" i="14"/>
  <c r="L249" i="14"/>
  <c r="L261" i="14"/>
  <c r="L264" i="14"/>
  <c r="L279" i="14"/>
  <c r="L319" i="14"/>
  <c r="L322" i="14"/>
  <c r="L329" i="14"/>
  <c r="L332" i="14"/>
  <c r="L341" i="14"/>
  <c r="L343" i="14"/>
  <c r="L347" i="14"/>
  <c r="L358" i="14"/>
  <c r="L362" i="14"/>
  <c r="L392" i="14"/>
  <c r="L427" i="14"/>
  <c r="L431" i="14"/>
  <c r="L439" i="14"/>
  <c r="L442" i="14"/>
  <c r="L444" i="14"/>
  <c r="L473" i="14"/>
  <c r="L477" i="14"/>
  <c r="L480" i="14"/>
  <c r="L482" i="14"/>
  <c r="L484" i="14"/>
  <c r="L486" i="14"/>
  <c r="L488" i="14"/>
  <c r="L502" i="14"/>
  <c r="L509" i="14"/>
  <c r="L513" i="14"/>
  <c r="L517" i="14"/>
  <c r="L523" i="14"/>
  <c r="L529" i="14"/>
  <c r="L532" i="14"/>
  <c r="L539" i="14"/>
  <c r="L543" i="14"/>
  <c r="L547" i="14"/>
  <c r="L551" i="14"/>
  <c r="L576" i="14"/>
  <c r="L586" i="14"/>
  <c r="L590" i="14"/>
  <c r="L599" i="14"/>
  <c r="L612" i="14"/>
  <c r="L628" i="14"/>
  <c r="L632" i="14"/>
  <c r="L640" i="14"/>
  <c r="L643" i="14"/>
  <c r="L645" i="14"/>
  <c r="L649" i="14"/>
  <c r="L653" i="14"/>
  <c r="L657" i="14"/>
  <c r="L663" i="14"/>
  <c r="L672" i="14"/>
  <c r="L686" i="14"/>
  <c r="L690" i="14"/>
  <c r="L692" i="14"/>
  <c r="L694" i="14"/>
  <c r="L696" i="14"/>
  <c r="L700" i="14"/>
  <c r="L704" i="14"/>
  <c r="L706" i="14"/>
  <c r="L710" i="14"/>
  <c r="L714" i="14"/>
  <c r="L720" i="14"/>
  <c r="L730" i="14"/>
  <c r="L738" i="14"/>
  <c r="L746" i="14"/>
  <c r="L747" i="14"/>
  <c r="L753" i="14"/>
  <c r="L759" i="14"/>
  <c r="L763" i="14"/>
  <c r="L767" i="14"/>
  <c r="L774" i="14"/>
  <c r="L778" i="14"/>
  <c r="L782" i="14"/>
  <c r="L786" i="14"/>
  <c r="L790" i="14"/>
  <c r="L794" i="14"/>
  <c r="L798" i="14"/>
  <c r="L802" i="14"/>
  <c r="L806" i="14"/>
  <c r="L810" i="14"/>
  <c r="L814" i="14"/>
  <c r="L818" i="14"/>
  <c r="L819" i="14"/>
  <c r="L822" i="14"/>
  <c r="L825" i="14"/>
  <c r="L829" i="14"/>
  <c r="L833" i="14"/>
  <c r="L842" i="14"/>
  <c r="L851" i="14"/>
  <c r="L855" i="14"/>
  <c r="L858" i="14"/>
  <c r="L860" i="14"/>
  <c r="L872" i="14"/>
  <c r="L877" i="14"/>
  <c r="L881" i="14"/>
  <c r="L895" i="14"/>
  <c r="L899" i="14"/>
  <c r="L911" i="14"/>
  <c r="L912" i="14"/>
  <c r="L924" i="14"/>
  <c r="L925" i="14"/>
  <c r="L932" i="14"/>
  <c r="L936" i="14"/>
  <c r="L939" i="14"/>
  <c r="L945" i="14"/>
  <c r="L949" i="14"/>
  <c r="L956" i="14"/>
  <c r="L957" i="14"/>
  <c r="L961" i="14"/>
  <c r="L969" i="14"/>
  <c r="L971" i="14"/>
  <c r="L975" i="14"/>
  <c r="L981" i="14"/>
  <c r="L984" i="14"/>
  <c r="L985" i="14"/>
  <c r="L1009" i="14"/>
  <c r="L1014" i="14"/>
  <c r="L1020" i="14"/>
  <c r="L1026" i="14"/>
  <c r="L1048" i="14"/>
  <c r="L1050" i="14"/>
  <c r="L1052" i="14"/>
  <c r="L1058" i="14"/>
  <c r="L1062" i="14"/>
  <c r="L1066" i="14"/>
  <c r="L1079" i="14"/>
  <c r="L1081" i="14"/>
  <c r="L1100" i="14"/>
  <c r="L1103" i="14"/>
  <c r="L1111" i="14"/>
  <c r="L1114" i="14"/>
  <c r="L1117" i="14"/>
  <c r="L1120" i="14"/>
  <c r="L1124" i="14"/>
  <c r="L1130" i="14"/>
  <c r="L1132" i="14"/>
  <c r="L1137" i="14"/>
  <c r="L1143" i="14"/>
  <c r="L1149" i="14"/>
  <c r="L1155" i="14"/>
  <c r="L1161" i="14"/>
  <c r="L1167" i="14"/>
  <c r="L1171" i="14"/>
  <c r="L1189" i="14"/>
  <c r="L1193" i="14"/>
  <c r="L1208" i="14"/>
  <c r="L1213" i="14"/>
  <c r="L1216" i="14"/>
  <c r="L1230" i="14"/>
  <c r="L1236" i="14"/>
  <c r="L1238" i="14"/>
  <c r="L1239" i="14"/>
  <c r="L1242" i="14"/>
  <c r="H156" i="14"/>
  <c r="H160" i="14"/>
  <c r="H170" i="14"/>
  <c r="H174" i="14"/>
  <c r="H185" i="14"/>
  <c r="H189" i="14"/>
  <c r="H197" i="14"/>
  <c r="H199" i="14"/>
  <c r="H202" i="14"/>
  <c r="H205" i="14"/>
  <c r="H207" i="14"/>
  <c r="H209" i="14"/>
  <c r="H211" i="14"/>
  <c r="H213" i="14"/>
  <c r="H215" i="14"/>
  <c r="H217" i="14"/>
  <c r="H220" i="14"/>
  <c r="H235" i="14"/>
  <c r="H237" i="14"/>
  <c r="H239" i="14"/>
  <c r="H241" i="14"/>
  <c r="H243" i="14"/>
  <c r="H249" i="14"/>
  <c r="H261" i="14"/>
  <c r="H264" i="14"/>
  <c r="H276" i="14"/>
  <c r="H279" i="14"/>
  <c r="H295" i="14"/>
  <c r="H299" i="14"/>
  <c r="H304" i="14"/>
  <c r="H311" i="14"/>
  <c r="H313" i="14"/>
  <c r="H315" i="14"/>
  <c r="H319" i="14"/>
  <c r="H322" i="14"/>
  <c r="H325" i="14"/>
  <c r="H329" i="14"/>
  <c r="H332" i="14"/>
  <c r="H341" i="14"/>
  <c r="H343" i="14"/>
  <c r="H347" i="14"/>
  <c r="H351" i="14"/>
  <c r="H358" i="14"/>
  <c r="H362" i="14"/>
  <c r="H366" i="14"/>
  <c r="H372" i="14"/>
  <c r="H378" i="14"/>
  <c r="H383" i="14"/>
  <c r="H386" i="14"/>
  <c r="H388" i="14"/>
  <c r="H392" i="14"/>
  <c r="H395" i="14"/>
  <c r="H402" i="14"/>
  <c r="H408" i="14"/>
  <c r="H413" i="14"/>
  <c r="H417" i="14"/>
  <c r="H420" i="14"/>
  <c r="H427" i="14"/>
  <c r="H431" i="14"/>
  <c r="H439" i="14"/>
  <c r="H442" i="14"/>
  <c r="H444" i="14"/>
  <c r="H458" i="14"/>
  <c r="H473" i="14"/>
  <c r="H477" i="14"/>
  <c r="H480" i="14"/>
  <c r="H482" i="14"/>
  <c r="H484" i="14"/>
  <c r="H486" i="14"/>
  <c r="H488" i="14"/>
  <c r="H502" i="14"/>
  <c r="H504" i="14"/>
  <c r="H506" i="14"/>
  <c r="H509" i="14"/>
  <c r="H513" i="14"/>
  <c r="H517" i="14"/>
  <c r="H523" i="14"/>
  <c r="H529" i="14"/>
  <c r="H532" i="14"/>
  <c r="H534" i="14"/>
  <c r="H539" i="14"/>
  <c r="H543" i="14"/>
  <c r="H547" i="14"/>
  <c r="H551" i="14"/>
  <c r="H555" i="14"/>
  <c r="H567" i="14"/>
  <c r="H568" i="14"/>
  <c r="H573" i="14"/>
  <c r="H576" i="14"/>
  <c r="H582" i="14"/>
  <c r="H584" i="14"/>
  <c r="H586" i="14"/>
  <c r="H590" i="14"/>
  <c r="H594" i="14"/>
  <c r="H599" i="14"/>
  <c r="H602" i="14"/>
  <c r="H605" i="14"/>
  <c r="H609" i="14"/>
  <c r="H612" i="14"/>
  <c r="H616" i="14"/>
  <c r="H620" i="14"/>
  <c r="H624" i="14"/>
  <c r="H628" i="14"/>
  <c r="H632" i="14"/>
  <c r="H636" i="14"/>
  <c r="H640" i="14"/>
  <c r="H643" i="14"/>
  <c r="H645" i="14"/>
  <c r="H649" i="14"/>
  <c r="H653" i="14"/>
  <c r="H657" i="14"/>
  <c r="H660" i="14"/>
  <c r="H663" i="14"/>
  <c r="H669" i="14"/>
  <c r="H672" i="14"/>
  <c r="H678" i="14"/>
  <c r="H682" i="14"/>
  <c r="H686" i="14"/>
  <c r="H690" i="14"/>
  <c r="H692" i="14"/>
  <c r="H694" i="14"/>
  <c r="H696" i="14"/>
  <c r="H700" i="14"/>
  <c r="H704" i="14"/>
  <c r="H706" i="14"/>
  <c r="H710" i="14"/>
  <c r="H714" i="14"/>
  <c r="H720" i="14"/>
  <c r="H724" i="14"/>
  <c r="H730" i="14"/>
  <c r="H734" i="14"/>
  <c r="H738" i="14"/>
  <c r="H742" i="14"/>
  <c r="H746" i="14"/>
  <c r="H747" i="14"/>
  <c r="H748" i="14"/>
  <c r="H749" i="14"/>
  <c r="H753" i="14"/>
  <c r="H759" i="14"/>
  <c r="H763" i="14"/>
  <c r="H767" i="14"/>
  <c r="H771" i="14"/>
  <c r="H774" i="14"/>
  <c r="H778" i="14"/>
  <c r="H782" i="14"/>
  <c r="H786" i="14"/>
  <c r="H790" i="14"/>
  <c r="H794" i="14"/>
  <c r="H798" i="14"/>
  <c r="H802" i="14"/>
  <c r="H806" i="14"/>
  <c r="H810" i="14"/>
  <c r="H814" i="14"/>
  <c r="H818" i="14"/>
  <c r="H819" i="14"/>
  <c r="H822" i="14"/>
  <c r="H825" i="14"/>
  <c r="H829" i="14"/>
  <c r="H833" i="14"/>
  <c r="H838" i="14"/>
  <c r="H842" i="14"/>
  <c r="H848" i="14"/>
  <c r="H851" i="14"/>
  <c r="H855" i="14"/>
  <c r="H858" i="14"/>
  <c r="H860" i="14"/>
  <c r="H862" i="14"/>
  <c r="H867" i="14"/>
  <c r="H870" i="14"/>
  <c r="H872" i="14"/>
  <c r="H874" i="14"/>
  <c r="H877" i="14"/>
  <c r="H881" i="14"/>
  <c r="H884" i="14"/>
  <c r="H887" i="14"/>
  <c r="H891" i="14"/>
  <c r="H895" i="14"/>
  <c r="H898" i="14"/>
  <c r="H899" i="14"/>
  <c r="H902" i="14"/>
  <c r="H908" i="14"/>
  <c r="H911" i="14"/>
  <c r="H912" i="14"/>
  <c r="H914" i="14"/>
  <c r="H918" i="14"/>
  <c r="H922" i="14"/>
  <c r="H924" i="14"/>
  <c r="H925" i="14"/>
  <c r="H928" i="14"/>
  <c r="H932" i="14"/>
  <c r="H936" i="14"/>
  <c r="H939" i="14"/>
  <c r="H942" i="14"/>
  <c r="H943" i="14"/>
  <c r="H945" i="14"/>
  <c r="H949" i="14"/>
  <c r="H953" i="14"/>
  <c r="H956" i="14"/>
  <c r="H957" i="14"/>
  <c r="H959" i="14"/>
  <c r="H961" i="14"/>
  <c r="H965" i="14"/>
  <c r="H969" i="14"/>
  <c r="H971" i="14"/>
  <c r="H975" i="14"/>
  <c r="H981" i="14"/>
  <c r="H984" i="14"/>
  <c r="H985" i="14"/>
  <c r="H991" i="14"/>
  <c r="H995" i="14"/>
  <c r="H1005" i="14"/>
  <c r="H1009" i="14"/>
  <c r="H1014" i="14"/>
  <c r="H1020" i="14"/>
  <c r="H1026" i="14"/>
  <c r="H1033" i="14"/>
  <c r="H1040" i="14"/>
  <c r="H1044" i="14"/>
  <c r="H1048" i="14"/>
  <c r="H1050" i="14"/>
  <c r="H1052" i="14"/>
  <c r="H1058" i="14"/>
  <c r="H1062" i="14"/>
  <c r="H1066" i="14"/>
  <c r="H1069" i="14"/>
  <c r="H1072" i="14"/>
  <c r="H1076" i="14"/>
  <c r="H1079" i="14"/>
  <c r="H1081" i="14"/>
  <c r="H1085" i="14"/>
  <c r="H1089" i="14"/>
  <c r="H1093" i="14"/>
  <c r="H1097" i="14"/>
  <c r="H1100" i="14"/>
  <c r="H1103" i="14"/>
  <c r="H1107" i="14"/>
  <c r="H1111" i="14"/>
  <c r="H1114" i="14"/>
  <c r="H1117" i="14"/>
  <c r="H1120" i="14"/>
  <c r="H1124" i="14"/>
  <c r="H1127" i="14"/>
  <c r="H1129" i="14"/>
  <c r="H1130" i="14"/>
  <c r="H1132" i="14"/>
  <c r="H1137" i="14"/>
  <c r="H1143" i="14"/>
  <c r="H1149" i="14"/>
  <c r="H1155" i="14"/>
  <c r="H1161" i="14"/>
  <c r="H1167" i="14"/>
  <c r="H1171" i="14"/>
  <c r="H1175" i="14"/>
  <c r="H1179" i="14"/>
  <c r="H1184" i="14"/>
  <c r="H1187" i="14"/>
  <c r="H1189" i="14"/>
  <c r="H1193" i="14"/>
  <c r="H1197" i="14"/>
  <c r="H1201" i="14"/>
  <c r="H1205" i="14"/>
  <c r="H1208" i="14"/>
  <c r="H1213" i="14"/>
  <c r="H1216" i="14"/>
  <c r="H1220" i="14"/>
  <c r="H1223" i="14"/>
  <c r="H1230" i="14"/>
  <c r="H1236" i="14"/>
  <c r="H1238" i="14"/>
  <c r="H1239" i="14"/>
  <c r="H1242" i="14"/>
  <c r="H255" i="14"/>
  <c r="I255" i="14" s="1"/>
  <c r="L255" i="14"/>
  <c r="H270" i="14"/>
  <c r="I270" i="14" s="1"/>
  <c r="L270" i="14"/>
  <c r="H245" i="14"/>
  <c r="I245" i="14" s="1"/>
  <c r="L245" i="14"/>
  <c r="H307" i="14"/>
  <c r="I307" i="14" s="1"/>
  <c r="L307" i="14"/>
  <c r="H252" i="14"/>
  <c r="I252" i="14" s="1"/>
  <c r="L252" i="14"/>
  <c r="H1371" i="14"/>
  <c r="I1371" i="14" s="1"/>
  <c r="L1371" i="14"/>
  <c r="H258" i="14"/>
  <c r="I258" i="14" s="1"/>
  <c r="L258" i="14"/>
  <c r="H1375" i="14"/>
  <c r="I1375" i="14" s="1"/>
  <c r="L1375" i="14"/>
  <c r="H338" i="14"/>
  <c r="I338" i="14" s="1"/>
  <c r="L338" i="14"/>
  <c r="H267" i="14"/>
  <c r="I267" i="14" s="1"/>
  <c r="L267" i="14"/>
  <c r="H1363" i="14"/>
  <c r="I1363" i="14" s="1"/>
  <c r="L1363" i="14"/>
  <c r="H1369" i="14"/>
  <c r="I1369" i="14" s="1"/>
  <c r="L1369" i="14"/>
  <c r="H339" i="14"/>
  <c r="I339" i="14" s="1"/>
  <c r="L339" i="14"/>
  <c r="H1368" i="14"/>
  <c r="I1368" i="14" s="1"/>
  <c r="L1368" i="14"/>
  <c r="H308" i="14"/>
  <c r="I308" i="14" s="1"/>
  <c r="L308" i="14"/>
  <c r="H1367" i="14"/>
  <c r="I1367" i="14" s="1"/>
  <c r="L1367" i="14"/>
  <c r="H1370" i="14"/>
  <c r="I1370" i="14" s="1"/>
  <c r="L1370" i="14"/>
  <c r="H1366" i="14"/>
  <c r="I1366" i="14" s="1"/>
  <c r="L1366" i="14"/>
  <c r="H1365" i="14"/>
  <c r="I1365" i="14" s="1"/>
  <c r="L1365" i="14"/>
  <c r="H1380" i="14"/>
  <c r="I1380" i="14" s="1"/>
  <c r="L1380" i="14"/>
  <c r="H1379" i="14"/>
  <c r="I1379" i="14" s="1"/>
  <c r="L1379" i="14"/>
  <c r="H1378" i="14"/>
  <c r="I1378" i="14" s="1"/>
  <c r="L1378" i="14"/>
  <c r="H246" i="14"/>
  <c r="I246" i="14" s="1"/>
  <c r="L246" i="14"/>
  <c r="H1377" i="14"/>
  <c r="I1377" i="14" s="1"/>
  <c r="L1377" i="14"/>
  <c r="H1376" i="14"/>
  <c r="I1376" i="14" s="1"/>
  <c r="L1376" i="14"/>
  <c r="H253" i="14"/>
  <c r="I253" i="14" s="1"/>
  <c r="L253" i="14"/>
  <c r="H1374" i="14"/>
  <c r="I1374" i="14" s="1"/>
  <c r="L1374" i="14"/>
  <c r="H271" i="14"/>
  <c r="I271" i="14" s="1"/>
  <c r="L271" i="14"/>
  <c r="H268" i="14"/>
  <c r="I268" i="14" s="1"/>
  <c r="L268" i="14"/>
  <c r="H1373" i="14"/>
  <c r="I1373" i="14" s="1"/>
  <c r="L1373" i="14"/>
  <c r="H1372" i="14"/>
  <c r="I1372" i="14" s="1"/>
  <c r="L1372" i="14"/>
  <c r="H259" i="14"/>
  <c r="I259" i="14" s="1"/>
  <c r="L259" i="14"/>
  <c r="H256" i="14"/>
  <c r="I256" i="14" s="1"/>
  <c r="L256" i="14"/>
  <c r="H1364" i="14"/>
  <c r="I1364" i="14" s="1"/>
  <c r="L1364" i="14"/>
  <c r="I276" i="14" l="1"/>
  <c r="I332" i="14"/>
  <c r="I1058" i="14"/>
  <c r="I984" i="14"/>
  <c r="I936" i="14"/>
  <c r="I887" i="14"/>
  <c r="I1117" i="14"/>
  <c r="I985" i="14"/>
  <c r="I939" i="14"/>
  <c r="I891" i="14"/>
  <c r="I838" i="14"/>
  <c r="I660" i="14"/>
  <c r="I602" i="14"/>
  <c r="I539" i="14"/>
  <c r="I477" i="14"/>
  <c r="I392" i="14"/>
  <c r="I325" i="14"/>
  <c r="I774" i="14"/>
  <c r="I833" i="14"/>
  <c r="I1114" i="14"/>
  <c r="I1179" i="14"/>
  <c r="I1238" i="14"/>
  <c r="I714" i="14"/>
  <c r="I657" i="14"/>
  <c r="I599" i="14"/>
  <c r="I534" i="14"/>
  <c r="I473" i="14"/>
  <c r="I388" i="14"/>
  <c r="I322" i="14"/>
  <c r="I261" i="14"/>
  <c r="I209" i="14"/>
  <c r="I215" i="14"/>
  <c r="I395" i="14"/>
  <c r="I329" i="14"/>
  <c r="I213" i="14"/>
  <c r="I1111" i="14"/>
  <c r="I458" i="14"/>
  <c r="I1175" i="14"/>
  <c r="I884" i="14"/>
  <c r="I532" i="14"/>
  <c r="I594" i="14"/>
  <c r="I829" i="14"/>
  <c r="I1052" i="14"/>
  <c r="I932" i="14"/>
  <c r="I771" i="14"/>
  <c r="I653" i="14"/>
  <c r="I981" i="14"/>
  <c r="I710" i="14"/>
  <c r="I1236" i="14"/>
  <c r="I197" i="14"/>
  <c r="I881" i="14"/>
  <c r="I928" i="14"/>
  <c r="I1171" i="14"/>
  <c r="I386" i="14"/>
  <c r="I767" i="14"/>
  <c r="I1107" i="14"/>
  <c r="I529" i="14"/>
  <c r="I825" i="14"/>
  <c r="I649" i="14"/>
  <c r="I1050" i="14"/>
  <c r="I590" i="14"/>
  <c r="I975" i="14"/>
  <c r="I706" i="14"/>
  <c r="I444" i="14"/>
  <c r="I1230" i="14"/>
  <c r="I1167" i="14"/>
  <c r="I1103" i="14"/>
  <c r="I1048" i="14"/>
  <c r="I971" i="14"/>
  <c r="I925" i="14"/>
  <c r="I877" i="14"/>
  <c r="I822" i="14"/>
  <c r="I763" i="14"/>
  <c r="I704" i="14"/>
  <c r="I645" i="14"/>
  <c r="I586" i="14"/>
  <c r="I523" i="14"/>
  <c r="I442" i="14"/>
  <c r="I383" i="14"/>
  <c r="I319" i="14"/>
  <c r="I207" i="14"/>
  <c r="I351" i="14"/>
  <c r="I953" i="14"/>
  <c r="I908" i="14"/>
  <c r="I417" i="14"/>
  <c r="I239" i="14"/>
  <c r="I358" i="14"/>
  <c r="I855" i="14"/>
  <c r="I484" i="14"/>
  <c r="I1213" i="14"/>
  <c r="I959" i="14"/>
  <c r="I867" i="14"/>
  <c r="I810" i="14"/>
  <c r="I748" i="14"/>
  <c r="I632" i="14"/>
  <c r="I427" i="14"/>
  <c r="I848" i="14"/>
  <c r="I413" i="14"/>
  <c r="I482" i="14"/>
  <c r="I343" i="14"/>
  <c r="I237" i="14"/>
  <c r="I174" i="14"/>
  <c r="I170" i="14"/>
  <c r="I402" i="14"/>
  <c r="I235" i="14"/>
  <c r="I1062" i="14"/>
  <c r="I1005" i="14"/>
  <c r="I949" i="14"/>
  <c r="I902" i="14"/>
  <c r="I1089" i="14"/>
  <c r="I279" i="14"/>
  <c r="I220" i="14"/>
  <c r="I160" i="14"/>
  <c r="I819" i="14"/>
  <c r="I870" i="14"/>
  <c r="I778" i="14"/>
  <c r="I1069" i="14"/>
  <c r="I860" i="14"/>
  <c r="I914" i="14"/>
  <c r="I912" i="14"/>
  <c r="I956" i="14"/>
  <c r="I1072" i="14"/>
  <c r="I862" i="14"/>
  <c r="I1239" i="14"/>
  <c r="I1184" i="14"/>
  <c r="I995" i="14"/>
  <c r="I945" i="14"/>
  <c r="I899" i="14"/>
  <c r="I858" i="14"/>
  <c r="I506" i="14"/>
  <c r="I818" i="14"/>
  <c r="I911" i="14"/>
  <c r="I943" i="14"/>
  <c r="I898" i="14"/>
  <c r="I742" i="14"/>
  <c r="I682" i="14"/>
  <c r="I814" i="14"/>
  <c r="I362" i="14"/>
  <c r="I759" i="14"/>
  <c r="I643" i="14"/>
  <c r="I694" i="14"/>
  <c r="I1220" i="14"/>
  <c r="I692" i="14"/>
  <c r="I636" i="14"/>
  <c r="I584" i="14"/>
  <c r="I1223" i="14"/>
  <c r="I1161" i="14"/>
  <c r="I1216" i="14"/>
  <c r="I794" i="14"/>
  <c r="I513" i="14"/>
  <c r="I1143" i="14"/>
  <c r="I628" i="14"/>
  <c r="I576" i="14"/>
  <c r="I509" i="14"/>
  <c r="I439" i="14"/>
  <c r="I1137" i="14"/>
  <c r="I1040" i="14"/>
  <c r="I969" i="14"/>
  <c r="I786" i="14"/>
  <c r="I738" i="14"/>
  <c r="I678" i="14"/>
  <c r="I624" i="14"/>
  <c r="I573" i="14"/>
  <c r="I753" i="14"/>
  <c r="I1155" i="14"/>
  <c r="I690" i="14"/>
  <c r="I746" i="14"/>
  <c r="I1205" i="14"/>
  <c r="I620" i="14"/>
  <c r="I378" i="14"/>
  <c r="I1201" i="14"/>
  <c r="I1130" i="14"/>
  <c r="I1085" i="14"/>
  <c r="I1026" i="14"/>
  <c r="I961" i="14"/>
  <c r="I924" i="14"/>
  <c r="I730" i="14"/>
  <c r="I669" i="14"/>
  <c r="I616" i="14"/>
  <c r="I567" i="14"/>
  <c r="I504" i="14"/>
  <c r="I372" i="14"/>
  <c r="I749" i="14"/>
  <c r="I517" i="14"/>
  <c r="I1097" i="14"/>
  <c r="I1044" i="14"/>
  <c r="I1197" i="14"/>
  <c r="I1129" i="14"/>
  <c r="I1081" i="14"/>
  <c r="I1020" i="14"/>
  <c r="I922" i="14"/>
  <c r="I612" i="14"/>
  <c r="I555" i="14"/>
  <c r="I502" i="14"/>
  <c r="I366" i="14"/>
  <c r="I806" i="14"/>
  <c r="I1100" i="14"/>
  <c r="I582" i="14"/>
  <c r="I686" i="14"/>
  <c r="I1132" i="14"/>
  <c r="I1033" i="14"/>
  <c r="I672" i="14"/>
  <c r="I431" i="14"/>
  <c r="I1193" i="14"/>
  <c r="I1127" i="14"/>
  <c r="I1079" i="14"/>
  <c r="I1014" i="14"/>
  <c r="I918" i="14"/>
  <c r="I874" i="14"/>
  <c r="I720" i="14"/>
  <c r="I609" i="14"/>
  <c r="I551" i="14"/>
  <c r="I488" i="14"/>
  <c r="I700" i="14"/>
  <c r="I696" i="14"/>
  <c r="I1149" i="14"/>
  <c r="I1093" i="14"/>
  <c r="I790" i="14"/>
  <c r="I965" i="14"/>
  <c r="I734" i="14"/>
  <c r="I1189" i="14"/>
  <c r="I1124" i="14"/>
  <c r="I1076" i="14"/>
  <c r="I1009" i="14"/>
  <c r="I957" i="14"/>
  <c r="I872" i="14"/>
  <c r="I547" i="14"/>
  <c r="I486" i="14"/>
  <c r="I420" i="14"/>
  <c r="I311" i="14"/>
  <c r="I249" i="14"/>
  <c r="I199" i="14"/>
  <c r="I241" i="14"/>
  <c r="I189" i="14"/>
  <c r="I185" i="14"/>
  <c r="I568" i="14"/>
  <c r="I156" i="14"/>
  <c r="I315" i="14"/>
  <c r="I313" i="14"/>
  <c r="I205" i="14"/>
  <c r="I408" i="14"/>
  <c r="I347" i="14"/>
  <c r="I304" i="14"/>
  <c r="I202" i="14"/>
  <c r="I802" i="14"/>
  <c r="I299" i="14"/>
  <c r="I1208" i="14"/>
  <c r="I851" i="14"/>
  <c r="I798" i="14"/>
  <c r="I747" i="14"/>
  <c r="I640" i="14"/>
  <c r="I341" i="14"/>
  <c r="I295" i="14"/>
  <c r="I243" i="14"/>
  <c r="I991" i="14"/>
  <c r="I543" i="14"/>
  <c r="I942" i="14"/>
  <c r="I480" i="14"/>
  <c r="I895" i="14"/>
  <c r="I842" i="14"/>
  <c r="I1242" i="14"/>
  <c r="I782" i="14"/>
  <c r="I1187" i="14"/>
  <c r="I724" i="14"/>
  <c r="I217" i="14"/>
  <c r="I1120" i="14"/>
  <c r="I663" i="14"/>
  <c r="I264" i="14"/>
  <c r="I1066" i="14"/>
  <c r="I605" i="14"/>
  <c r="I211" i="14"/>
  <c r="L1409" i="14" l="1"/>
  <c r="G450" i="14"/>
  <c r="H450" i="14"/>
  <c r="G464" i="14"/>
  <c r="H464" i="14"/>
  <c r="G494" i="14"/>
  <c r="H494" i="14"/>
  <c r="G562" i="14"/>
  <c r="H562" i="14"/>
  <c r="G451" i="14"/>
  <c r="H451" i="14"/>
  <c r="G465" i="14"/>
  <c r="H465" i="14"/>
  <c r="G495" i="14"/>
  <c r="H495" i="14"/>
  <c r="G563" i="14"/>
  <c r="H563" i="14"/>
  <c r="G2" i="14"/>
  <c r="H2" i="14"/>
  <c r="G1212" i="14"/>
  <c r="H1212" i="14"/>
  <c r="G190" i="14"/>
  <c r="H190" i="14"/>
  <c r="G593" i="14"/>
  <c r="H593" i="14"/>
  <c r="G430" i="14"/>
  <c r="H430" i="14"/>
  <c r="G452" i="14"/>
  <c r="H452" i="14"/>
  <c r="G496" i="14"/>
  <c r="H496" i="14"/>
  <c r="G466" i="14"/>
  <c r="H466" i="14"/>
  <c r="G564" i="14"/>
  <c r="H564" i="14"/>
  <c r="G397" i="14"/>
  <c r="H397" i="14"/>
  <c r="G723" i="14"/>
  <c r="H723" i="14"/>
  <c r="H1088" i="14"/>
  <c r="G1088" i="14"/>
  <c r="H227" i="14"/>
  <c r="G227" i="14"/>
  <c r="H232" i="14"/>
  <c r="G232" i="14"/>
  <c r="H228" i="14"/>
  <c r="G228" i="14"/>
  <c r="H234" i="14"/>
  <c r="I234" i="14" s="1"/>
  <c r="G234" i="14"/>
  <c r="H229" i="14"/>
  <c r="G229" i="14"/>
  <c r="H864" i="14"/>
  <c r="G864" i="14"/>
  <c r="H405" i="14"/>
  <c r="G405" i="14"/>
  <c r="H406" i="14"/>
  <c r="G406" i="14"/>
  <c r="H988" i="14"/>
  <c r="G988" i="14"/>
  <c r="H989" i="14"/>
  <c r="G989" i="14"/>
  <c r="H1382" i="14"/>
  <c r="G1382" i="14"/>
  <c r="H865" i="14"/>
  <c r="G865" i="14"/>
  <c r="H181" i="14"/>
  <c r="I181" i="14" s="1"/>
  <c r="H182" i="14"/>
  <c r="I182" i="14" s="1"/>
  <c r="H1398" i="14"/>
  <c r="G1398" i="14"/>
  <c r="H1399" i="14"/>
  <c r="G1399" i="14"/>
  <c r="H1393" i="14"/>
  <c r="G1393" i="14"/>
  <c r="H1394" i="14"/>
  <c r="G1394" i="14"/>
  <c r="H1383" i="14"/>
  <c r="G1383" i="14"/>
  <c r="H1384" i="14"/>
  <c r="G1384" i="14"/>
  <c r="H1388" i="14"/>
  <c r="G1388" i="14"/>
  <c r="H1389" i="14"/>
  <c r="G1389" i="14"/>
  <c r="H399" i="14"/>
  <c r="G399" i="14"/>
  <c r="H400" i="14"/>
  <c r="G400" i="14"/>
  <c r="H380" i="14"/>
  <c r="G380" i="14"/>
  <c r="H381" i="14"/>
  <c r="G381" i="14"/>
  <c r="H375" i="14"/>
  <c r="G375" i="14"/>
  <c r="H376" i="14"/>
  <c r="G376" i="14"/>
  <c r="H369" i="14"/>
  <c r="G369" i="14"/>
  <c r="H370" i="14"/>
  <c r="G370" i="14"/>
  <c r="H570" i="14"/>
  <c r="G570" i="14"/>
  <c r="H571" i="14"/>
  <c r="G571" i="14"/>
  <c r="H1186" i="14"/>
  <c r="G1186" i="14"/>
  <c r="H1183" i="14"/>
  <c r="G1183" i="14"/>
  <c r="L1406" i="14"/>
  <c r="H1406" i="14"/>
  <c r="G1406" i="14"/>
  <c r="L1403" i="14"/>
  <c r="H1403" i="14"/>
  <c r="G1403" i="14"/>
  <c r="H1407" i="14"/>
  <c r="I1407" i="14" s="1"/>
  <c r="H1404" i="14"/>
  <c r="G1404" i="14"/>
  <c r="H43" i="14"/>
  <c r="G43" i="14"/>
  <c r="H666" i="14"/>
  <c r="G666" i="14"/>
  <c r="H667" i="14"/>
  <c r="G667" i="14"/>
  <c r="H1002" i="14"/>
  <c r="G1002" i="14"/>
  <c r="H1003" i="14"/>
  <c r="G1003" i="14"/>
  <c r="H1038" i="14"/>
  <c r="G1038" i="14"/>
  <c r="H1037" i="14"/>
  <c r="G1037" i="14"/>
  <c r="H845" i="14"/>
  <c r="G845" i="14"/>
  <c r="H223" i="14"/>
  <c r="G223" i="14"/>
  <c r="H224" i="14"/>
  <c r="G224" i="14"/>
  <c r="H675" i="14"/>
  <c r="G675" i="14"/>
  <c r="H10" i="14"/>
  <c r="G10" i="14"/>
  <c r="H1381" i="14"/>
  <c r="G1381" i="14"/>
  <c r="H5" i="14"/>
  <c r="G5" i="14"/>
  <c r="H4" i="14"/>
  <c r="G4" i="14"/>
  <c r="H1362" i="14"/>
  <c r="G1362" i="14"/>
  <c r="H1361" i="14"/>
  <c r="G1361" i="14"/>
  <c r="H1360" i="14"/>
  <c r="G1360" i="14"/>
  <c r="H1417" i="14"/>
  <c r="G1417" i="14"/>
  <c r="H1413" i="14"/>
  <c r="G1413" i="14"/>
  <c r="H1409" i="14"/>
  <c r="G1409" i="14"/>
  <c r="H1400" i="14"/>
  <c r="G1400" i="14"/>
  <c r="H1395" i="14"/>
  <c r="G1395" i="14"/>
  <c r="H1390" i="14"/>
  <c r="G1390" i="14"/>
  <c r="H1385" i="14"/>
  <c r="G1385" i="14"/>
  <c r="H44" i="14"/>
  <c r="G44" i="14"/>
  <c r="H846" i="14"/>
  <c r="G846" i="14"/>
  <c r="H676" i="14"/>
  <c r="G676" i="14"/>
  <c r="H45" i="14"/>
  <c r="G45" i="14"/>
  <c r="H33" i="14"/>
  <c r="G33" i="14"/>
  <c r="H26" i="14"/>
  <c r="G26" i="14"/>
  <c r="H20" i="14"/>
  <c r="G20" i="14"/>
  <c r="H16" i="14"/>
  <c r="G16" i="14"/>
  <c r="H11" i="14"/>
  <c r="G11" i="14"/>
  <c r="H8" i="14"/>
  <c r="G8" i="14"/>
  <c r="H6" i="14"/>
  <c r="G6" i="14"/>
  <c r="H37" i="14"/>
  <c r="G37" i="14"/>
  <c r="H40" i="14"/>
  <c r="G40" i="14"/>
  <c r="H1039" i="14"/>
  <c r="G1039" i="14"/>
  <c r="H1004" i="14"/>
  <c r="G1004" i="14"/>
  <c r="H994" i="14"/>
  <c r="G994" i="14"/>
  <c r="H990" i="14"/>
  <c r="G990" i="14"/>
  <c r="H964" i="14"/>
  <c r="G964" i="14"/>
  <c r="H952" i="14"/>
  <c r="G952" i="14"/>
  <c r="H921" i="14"/>
  <c r="G921" i="14"/>
  <c r="H866" i="14"/>
  <c r="G866" i="14"/>
  <c r="H847" i="14"/>
  <c r="G847" i="14"/>
  <c r="H837" i="14"/>
  <c r="G837" i="14"/>
  <c r="H677" i="14"/>
  <c r="G677" i="14"/>
  <c r="H668" i="14"/>
  <c r="G668" i="14"/>
  <c r="H583" i="14"/>
  <c r="G583" i="14"/>
  <c r="H581" i="14"/>
  <c r="G581" i="14"/>
  <c r="H572" i="14"/>
  <c r="G572" i="14"/>
  <c r="H419" i="14"/>
  <c r="G419" i="14"/>
  <c r="H416" i="14"/>
  <c r="G416" i="14"/>
  <c r="H412" i="14"/>
  <c r="G412" i="14"/>
  <c r="H407" i="14"/>
  <c r="G407" i="14"/>
  <c r="H401" i="14"/>
  <c r="G401" i="14"/>
  <c r="H385" i="14"/>
  <c r="G385" i="14"/>
  <c r="H382" i="14"/>
  <c r="G382" i="14"/>
  <c r="H377" i="14"/>
  <c r="G377" i="14"/>
  <c r="H371" i="14"/>
  <c r="G371" i="14"/>
  <c r="H334" i="14"/>
  <c r="G334" i="14"/>
  <c r="I228" i="14" l="1"/>
  <c r="I232" i="14"/>
  <c r="I227" i="14"/>
  <c r="I229" i="14"/>
  <c r="I1406" i="14"/>
  <c r="L990" i="14"/>
  <c r="L994" i="14"/>
  <c r="L1413" i="14"/>
  <c r="L412" i="14"/>
  <c r="L1039" i="14"/>
  <c r="L1037" i="14"/>
  <c r="L1417" i="14"/>
  <c r="I5" i="14"/>
  <c r="I4" i="14"/>
  <c r="I224" i="14"/>
  <c r="I223" i="14"/>
  <c r="I2" i="14"/>
  <c r="I33" i="14"/>
  <c r="I10" i="14"/>
  <c r="I6" i="14"/>
  <c r="I26" i="14"/>
  <c r="I8" i="14"/>
  <c r="I11" i="14"/>
  <c r="I37" i="14"/>
  <c r="I40" i="14"/>
  <c r="I16" i="14"/>
  <c r="I20" i="14"/>
  <c r="M352" i="16" l="1"/>
  <c r="L352" i="16"/>
  <c r="L236" i="16"/>
  <c r="M236" i="16"/>
  <c r="L366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tc={D11CFBA5-5A24-4DD9-9374-0CB8B5A19564}</author>
  </authors>
  <commentList>
    <comment ref="A28" authorId="0" shapeId="0" xr:uid="{D11CFBA5-5A24-4DD9-9374-0CB8B5A195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num 237 por 3 id proyecto</t>
      </text>
    </comment>
  </commentList>
</comments>
</file>

<file path=xl/sharedStrings.xml><?xml version="1.0" encoding="utf-8"?>
<sst xmlns="http://schemas.openxmlformats.org/spreadsheetml/2006/main" count="34074" uniqueCount="909">
  <si>
    <t>Id</t>
  </si>
  <si>
    <t>Indicador</t>
  </si>
  <si>
    <t>Proceso</t>
  </si>
  <si>
    <t>Periodicidad</t>
  </si>
  <si>
    <t>Sentido</t>
  </si>
  <si>
    <t>Meta</t>
  </si>
  <si>
    <t>Evaluación de desempeño a proveedores críticos</t>
  </si>
  <si>
    <t>GESTIÓN DE ABASTECIMIENTO</t>
  </si>
  <si>
    <t>Semestral</t>
  </si>
  <si>
    <t>Positivo</t>
  </si>
  <si>
    <t>Oportunidad de Respuesta Solicitudes de Compra No Licitadas</t>
  </si>
  <si>
    <t>Trimestral</t>
  </si>
  <si>
    <t>Tiempo respuesta selección y contratación de colaboradores de planta</t>
  </si>
  <si>
    <t>GESTIÓN Y DESARROLLO DEL TALENTO HUMANO</t>
  </si>
  <si>
    <t>Negativo</t>
  </si>
  <si>
    <t>Efectividad en las contrataciones</t>
  </si>
  <si>
    <t>Disponibilidad de servicios tecnológicos</t>
  </si>
  <si>
    <t>GESTIÓN DE LA TECNOLOGÍA E INNOVACIÓN DIGITAL</t>
  </si>
  <si>
    <t>Mensual</t>
  </si>
  <si>
    <t>Cumplimiento programa de auditoría</t>
  </si>
  <si>
    <t>AUDITORÍA INTERNA</t>
  </si>
  <si>
    <t>Bimestral</t>
  </si>
  <si>
    <t>Cierre Eficaz De Oportunidades De Mejora De Auditoria Interna</t>
  </si>
  <si>
    <t>Funcionamiento del COPASST</t>
  </si>
  <si>
    <t>GESTIÓN DE SEGURIDAD Y SALUD EN EL TRABAJO</t>
  </si>
  <si>
    <t>Anual</t>
  </si>
  <si>
    <t>Plan de Emergencias</t>
  </si>
  <si>
    <t>Reporte e investigación</t>
  </si>
  <si>
    <t>Autoevaluación</t>
  </si>
  <si>
    <t>Ejecución del plan de trabajo</t>
  </si>
  <si>
    <t>Ejecución plan de capacitación</t>
  </si>
  <si>
    <t>Ejecución de Simulacros</t>
  </si>
  <si>
    <t>Participación en capacitaciones SST</t>
  </si>
  <si>
    <t>Evaluación condiciones de salud (examen médico)</t>
  </si>
  <si>
    <t>Cobertura Elementos de Protección Personal</t>
  </si>
  <si>
    <t>Inspecciones de seguridad</t>
  </si>
  <si>
    <t>Cumplimiento de requisitos legales SST</t>
  </si>
  <si>
    <t>Tasa de accidentalidad</t>
  </si>
  <si>
    <t>Mortalidad de los accidentes laborales</t>
  </si>
  <si>
    <t>Nivel de Satisfacción Servicios Prestados</t>
  </si>
  <si>
    <t>DIRECCIONAMIENTO ESTRATÉGICO</t>
  </si>
  <si>
    <t>COMUNICACIÓN Y POSICIONAMIENTO ESTRATÉGICO</t>
  </si>
  <si>
    <t>GESTIÓN FINANCIERA</t>
  </si>
  <si>
    <t>Gestión Infraestructura Física</t>
  </si>
  <si>
    <t>Nivel de Satisfacción del sistema de gestión de calidad</t>
  </si>
  <si>
    <t>Gestión de calidad</t>
  </si>
  <si>
    <t>Ejecución presupuestal de la nómina acumulada</t>
  </si>
  <si>
    <t>Eficacia en la solicitud documental- por periodo</t>
  </si>
  <si>
    <t>Indice de Frecuencia de accidentalidad</t>
  </si>
  <si>
    <t>Indice de severidad</t>
  </si>
  <si>
    <t>Indice de Prevalencia EL Enfermedad laboral</t>
  </si>
  <si>
    <t>Indice de Incidencia EL Enfermedad laboral</t>
  </si>
  <si>
    <t>Ausentísmo por causa médica</t>
  </si>
  <si>
    <t>VISIBILIDAD NACIONAL E INTERNACIONAL</t>
  </si>
  <si>
    <t>Ejecución de actividades culturales</t>
  </si>
  <si>
    <t>Biblioteca Institucional</t>
  </si>
  <si>
    <t>Ejecución de Talleres de formación</t>
  </si>
  <si>
    <t>Ejecución presupuestal del gasto</t>
  </si>
  <si>
    <t>Proyectos de investigación e innovación</t>
  </si>
  <si>
    <t>Investigación, desarrollo tecnológico, innovación y creación</t>
  </si>
  <si>
    <t>Productos de investigación</t>
  </si>
  <si>
    <t>Semilleros de Investigación, Innovación y Creación</t>
  </si>
  <si>
    <t>Formación para la investigación, creación e innovación</t>
  </si>
  <si>
    <t>Docentes vinculados a investigación</t>
  </si>
  <si>
    <t>Grupos de investigación categorizados</t>
  </si>
  <si>
    <t>Estudiantes vinculados a investigación</t>
  </si>
  <si>
    <t>Indexación de bases de datos o SIRES</t>
  </si>
  <si>
    <t>Editorial y Publicaciones</t>
  </si>
  <si>
    <t>Satisfacción actividades plan de bienestar</t>
  </si>
  <si>
    <t>ANS documentos operativos</t>
  </si>
  <si>
    <t>Cumplimiento plan operativo del SGC</t>
  </si>
  <si>
    <t>Cumplimiento Plan de Formación SGC</t>
  </si>
  <si>
    <t>Cumplimiento Planes de Mejora</t>
  </si>
  <si>
    <t>Mejorar flujo de atención en todos los niveles de servicio al estudiante (ANS)</t>
  </si>
  <si>
    <t>Servicio</t>
  </si>
  <si>
    <t>Índice de satisfacción del estudiante (SSI)</t>
  </si>
  <si>
    <t>NPS- Net Promotor Score</t>
  </si>
  <si>
    <t>(% de solicitudes procesos Pareto)</t>
  </si>
  <si>
    <t>Cumplimiento cronograma Mantenimiento de Equipos</t>
  </si>
  <si>
    <t>Nivel de cumplimiento de eficacia las capacitaciones</t>
  </si>
  <si>
    <t>Nivel de efectividad de las capacitaciones</t>
  </si>
  <si>
    <t>N/A</t>
  </si>
  <si>
    <t>Great Place to Work</t>
  </si>
  <si>
    <t>Cumplimiento de Ingresos</t>
  </si>
  <si>
    <t>Planeación Financiera</t>
  </si>
  <si>
    <t>Caja</t>
  </si>
  <si>
    <t>Utilidad Neta</t>
  </si>
  <si>
    <t>Inversión en CAPEX de la utilidad anterior</t>
  </si>
  <si>
    <t>Nivel de Cumplimiento Opex</t>
  </si>
  <si>
    <t>Consumo de Agua m3 Mensual</t>
  </si>
  <si>
    <t>GESTIÓN AMBIENTAL</t>
  </si>
  <si>
    <t>Aporte de los Procesos a los Objetivos de Desarrollo Sostenible</t>
  </si>
  <si>
    <t>Cumplimiento del Plan Anual del Sistema de Gestión Ambiental</t>
  </si>
  <si>
    <t>Generación de Residuos Sólidos Mensual</t>
  </si>
  <si>
    <t>Disminución de la Generación de Residuos per Cápita</t>
  </si>
  <si>
    <t>Disposición Ambientalmente Adecuada de Residuos Peligrosos</t>
  </si>
  <si>
    <t>Aprovechamiento de Residuos</t>
  </si>
  <si>
    <t>Consumo de Energía Eléctrica kWh Mensual</t>
  </si>
  <si>
    <t>Disminución del Consumo de Energía Eléctrica per Cápita</t>
  </si>
  <si>
    <t>Disminución del Consumo de Agua per Cápita</t>
  </si>
  <si>
    <t>Riesgo de la Calidad del Agua Potable</t>
  </si>
  <si>
    <t>Calidad de las Aguas Residuales Domesticas</t>
  </si>
  <si>
    <t>Registro de Publicidad Exterior Visual</t>
  </si>
  <si>
    <t>Acciones para el Cuidado y Mantenimiento de las Especies de Flora y el Suelo de las Áreas Naturales</t>
  </si>
  <si>
    <t>Generación de Gases de Efecto Invernadero</t>
  </si>
  <si>
    <t>Generación de  Gases de Efecto Invernadero per Cápita</t>
  </si>
  <si>
    <t>Compensación de Gases de Efecto Invernadero</t>
  </si>
  <si>
    <t>Ejecución de Eventos de Formación en Materia Ambiental</t>
  </si>
  <si>
    <t>Asistencia Eventos de Formación en Materia Ambiental</t>
  </si>
  <si>
    <t>Ejecución de las Comunicaciones en Materia Ambiental</t>
  </si>
  <si>
    <t>Impacto de las Comunicaciones Correo Electrónico</t>
  </si>
  <si>
    <t>Impacto de las Comunicaciones en Materia Ambiental a Través de Redes Sociales - Instagram</t>
  </si>
  <si>
    <t>Cumplimiento de Requisitos Legales Ambientales Aplicables</t>
  </si>
  <si>
    <t>Actos Administrativos o Decisiones Judiciales Ambientales</t>
  </si>
  <si>
    <t>Planificación POLISIGS</t>
  </si>
  <si>
    <t>Cumplimiento de la Protección del Medio Ambiente</t>
  </si>
  <si>
    <t>Portafolio de Proyectos</t>
  </si>
  <si>
    <t>Gestión de Proyectos</t>
  </si>
  <si>
    <t>Cumplimiento de Gestión De Proyectos Cerrados</t>
  </si>
  <si>
    <t>Cumplimiento de gestión de proyectos fase inicio</t>
  </si>
  <si>
    <t>Cumplimiento a cronograma de proyectos</t>
  </si>
  <si>
    <t>Cumplimiento de gestión de proyectos control de cambios</t>
  </si>
  <si>
    <t>GreenMetric - Nacional</t>
  </si>
  <si>
    <t>Permanencia Intersemestral</t>
  </si>
  <si>
    <t>Permanencia</t>
  </si>
  <si>
    <t>Satisfacción del proceso de grados</t>
  </si>
  <si>
    <t>Registro y Control</t>
  </si>
  <si>
    <t>Solicitud de certificados</t>
  </si>
  <si>
    <t>Programas con reforzamiento curricular</t>
  </si>
  <si>
    <t>Gestión, Evaluación e Innovación Curricular</t>
  </si>
  <si>
    <t>Programas con matriz de resultado de aprendizaje</t>
  </si>
  <si>
    <t>Planeación Estratégica</t>
  </si>
  <si>
    <t>Trianual</t>
  </si>
  <si>
    <t>Subprocesos Con CMI Estructurado</t>
  </si>
  <si>
    <t>Desempeño Institucional</t>
  </si>
  <si>
    <t>Permanencia intersemestral ingresantes</t>
  </si>
  <si>
    <t>Oportunidad en la entrega de informes de auditoria</t>
  </si>
  <si>
    <t>Informe anual de variación de índice H</t>
  </si>
  <si>
    <t>Publicaciones editadas por la editorial</t>
  </si>
  <si>
    <t>N de publicaciones aprobadas en convocatorias</t>
  </si>
  <si>
    <t>Subprocesos con indicadores reportados oportunamente</t>
  </si>
  <si>
    <t>CES- Costumer Effort Score del proceso de Rematrícula</t>
  </si>
  <si>
    <t>Rematrícula</t>
  </si>
  <si>
    <t>CES- Costumer Effort Score del proceso de Saber Pro</t>
  </si>
  <si>
    <t>Evitar erogación de dinero por multas asociadas en contra del POLI por los procesos en curso</t>
  </si>
  <si>
    <t>GESTIÓN JURÍDICA Y NORMATIVA</t>
  </si>
  <si>
    <t>Oportunidad de respuesta de PQRS</t>
  </si>
  <si>
    <t>Emisión De Conceptos Jurídicos (Educación)</t>
  </si>
  <si>
    <t>Emisión De Conceptos Jurídicos (Jurídicos)</t>
  </si>
  <si>
    <t>Oportunidad en la elaboración de contratos</t>
  </si>
  <si>
    <t>Satisfacción procesos de Homologaciones</t>
  </si>
  <si>
    <t>Cantidad de usuarios</t>
  </si>
  <si>
    <t>Centro de Medios Audiovisuales</t>
  </si>
  <si>
    <t>N de personas promedio por evento</t>
  </si>
  <si>
    <t>N de horas promedio por evento</t>
  </si>
  <si>
    <t>N de horas por solicitud</t>
  </si>
  <si>
    <t>Proporción de accidentes de trabajo mortales</t>
  </si>
  <si>
    <t>Número de programas con condiciones iniciales elaboradas y analizadas institucionalmente</t>
  </si>
  <si>
    <t>Autoevaluación de programas académicos</t>
  </si>
  <si>
    <t>Cumplimiento total estudiantes antiguos</t>
  </si>
  <si>
    <t>EXPERIENCIA INSTITUCIONAL</t>
  </si>
  <si>
    <t>Relación Estudiante-Docente Tiempo completo</t>
  </si>
  <si>
    <t>Gestión Docente</t>
  </si>
  <si>
    <t>Relación estudiante docente Tiempo Completo Equivalente</t>
  </si>
  <si>
    <t>Docentes contratados</t>
  </si>
  <si>
    <t>Docentes tiempo completo</t>
  </si>
  <si>
    <t>Docentes medio tiempo</t>
  </si>
  <si>
    <t>Docentes cátedra</t>
  </si>
  <si>
    <t>Docentes evaluados</t>
  </si>
  <si>
    <t>Resultado evaluación docente</t>
  </si>
  <si>
    <t>Número Horas semanales docentes</t>
  </si>
  <si>
    <t>Docentes con plan de trabajo asignado</t>
  </si>
  <si>
    <t>Total docentes por nivel de estudios</t>
  </si>
  <si>
    <t>Número docentes escalafonados presentados en convocatoria</t>
  </si>
  <si>
    <t>Cumplimiento plan de comunicaciones SGC</t>
  </si>
  <si>
    <t>Cierre eficaz de las oportunidades de mejora</t>
  </si>
  <si>
    <t>Cumplimiento del cronograma de actividades deportivas</t>
  </si>
  <si>
    <t>Cultura y Deporte</t>
  </si>
  <si>
    <t>Participación en Actividades deportivas presenciales</t>
  </si>
  <si>
    <t>Cumplimiento del cronograma de actividades culturales</t>
  </si>
  <si>
    <t>Participación en actividades culturales presenciales</t>
  </si>
  <si>
    <t>Cumplimiento Del Cierre De Oportunidades De Mejora De Auditoria</t>
  </si>
  <si>
    <t>GESTIÓN DE RIESGOS</t>
  </si>
  <si>
    <t>N de riesgos materializados</t>
  </si>
  <si>
    <t>Cumplimiento de Inspecciones de control</t>
  </si>
  <si>
    <t>Administración de Servicios Generales</t>
  </si>
  <si>
    <t>Cumplimiento plan de trabajo</t>
  </si>
  <si>
    <t>N de solicitudes radicadas</t>
  </si>
  <si>
    <t>Cumplimiento del cronograma de actividades de salud</t>
  </si>
  <si>
    <t>Servicio de Salud</t>
  </si>
  <si>
    <t>Impacto de Campañas de promoción y prevención</t>
  </si>
  <si>
    <t>Cumplimiento del plan anual de mantenimiento de equipos médicos</t>
  </si>
  <si>
    <t>Seguimiento KPI Plan de Desarrollo Institucional</t>
  </si>
  <si>
    <t>Organización de escenarios de visibilidad nacional e internacional</t>
  </si>
  <si>
    <t>Movilidad Física Entrantes Profesores</t>
  </si>
  <si>
    <t>Movilidad Física Profesores Salientes</t>
  </si>
  <si>
    <t>Movilidad Física Entrante Estudiantes</t>
  </si>
  <si>
    <t>Movilidad Física Saliente Estudiantes</t>
  </si>
  <si>
    <t>Clases espejo</t>
  </si>
  <si>
    <t>Seminarios y cursos internacionales virtuales impartidos y certificados por entidades externas</t>
  </si>
  <si>
    <t>N de asignaturas COIL - (Collaborative Online International Learning)</t>
  </si>
  <si>
    <t>Convenios con doble titulación</t>
  </si>
  <si>
    <t>Asignaturas con sesiones en segundo idioma</t>
  </si>
  <si>
    <t>Plan De Internacionalización A 7 Años</t>
  </si>
  <si>
    <t>Convenios, alianzas activas con actividades desde 2018</t>
  </si>
  <si>
    <t>Nivel de cumplimiento de la gestión de internacionalización descrito en el plan de trabajo de la ORNI</t>
  </si>
  <si>
    <t>Participación docentes eventos académicos internacionales virtuales</t>
  </si>
  <si>
    <t>Participación estudiantes eventos académicos internacionales virtuales</t>
  </si>
  <si>
    <t>Número de renovaciones de registro calificado</t>
  </si>
  <si>
    <t>Creación, modificación y cierre de programas académicos</t>
  </si>
  <si>
    <t>Número de programas nuevos radicados en el Ministerio de Educación</t>
  </si>
  <si>
    <t>Número de programas nuevos con registro calificado aprobado</t>
  </si>
  <si>
    <t>Número de informes de autoevaluación con fines de acreditación en alta calidad radicados</t>
  </si>
  <si>
    <t>Número de programas con obtención de acreditación por primera vez</t>
  </si>
  <si>
    <t>Gestión de Graduados</t>
  </si>
  <si>
    <t>Participación en actividades diseñadas para graduados</t>
  </si>
  <si>
    <t>Nivel de empleabilidad del graduado</t>
  </si>
  <si>
    <t>Índice de rotación</t>
  </si>
  <si>
    <t>Resultado de la evaluación 360 (evaluación por competencias)</t>
  </si>
  <si>
    <t>Cumplimiento de diagnóstico necesidades de capacitación por área</t>
  </si>
  <si>
    <t>Materiales bibliográficos en formato físico con estado de perdida</t>
  </si>
  <si>
    <t>Número de programas con renovación de acreditación en alta calidad</t>
  </si>
  <si>
    <t>Número de programas con condiciones iniciales aprobadas (indicador externo)</t>
  </si>
  <si>
    <t>Programas acreditables acreditados Sede Bogotá</t>
  </si>
  <si>
    <t>Autoevaluación institucional</t>
  </si>
  <si>
    <t>Cumplimiento cronograma revisiones locativas</t>
  </si>
  <si>
    <t>Monto total de ahorro en gestión de abastecimiento</t>
  </si>
  <si>
    <t>Cumplimiento del plan de Inducción institucional</t>
  </si>
  <si>
    <t>% de profesores impactados plan de desarrollo docente</t>
  </si>
  <si>
    <t>% de profesores impactados en actividades de Bienestar</t>
  </si>
  <si>
    <t>Legalizaciones y anticipos</t>
  </si>
  <si>
    <t>Contabilidad</t>
  </si>
  <si>
    <t>Cuentas por pagar</t>
  </si>
  <si>
    <t>Número de redes de investigación</t>
  </si>
  <si>
    <t>Centros de investigación, ciencia y de apoyo a CTI en consolidación</t>
  </si>
  <si>
    <t>Partidas conciliatorias de bancos</t>
  </si>
  <si>
    <t>Cobertura de tableros BI en procesos</t>
  </si>
  <si>
    <t>DATOS Y ANALÍTICA</t>
  </si>
  <si>
    <t>Plan de formación en analitica</t>
  </si>
  <si>
    <t>Indice de liquidez</t>
  </si>
  <si>
    <t>Tesorería</t>
  </si>
  <si>
    <t>Indice de Endeudamiento</t>
  </si>
  <si>
    <t>Cartera</t>
  </si>
  <si>
    <t>Acompañamiento a estudiantes en practicas</t>
  </si>
  <si>
    <t>Prácticas</t>
  </si>
  <si>
    <t>Porcentaje Iniciativas aprobadas</t>
  </si>
  <si>
    <t>Cumplimiento de cronogramas</t>
  </si>
  <si>
    <t>Inclusión</t>
  </si>
  <si>
    <t>Gestión de la Responsabilidad Social</t>
  </si>
  <si>
    <t>Operaciones Académica pregrado y posgrado presencial.</t>
  </si>
  <si>
    <t>Seguimiento a la parametrización de aulas master y secciones de asignaturas</t>
  </si>
  <si>
    <t>Operaciones Académica pregrado y posgrado virtual</t>
  </si>
  <si>
    <t>Impacto de actividades de Responsabilidad y proyección</t>
  </si>
  <si>
    <t>Normalización de cobros pecuniarios</t>
  </si>
  <si>
    <t>Estudiantes con Becas</t>
  </si>
  <si>
    <t>Satisfacción de los estudiantes de Educación para toda la vida</t>
  </si>
  <si>
    <t>Operación de Educación no Formal</t>
  </si>
  <si>
    <t>Participación de POLI- voluntariados (Estudiantes- Colaboradores)</t>
  </si>
  <si>
    <t>Oportunidades de mejora - Huella Verde</t>
  </si>
  <si>
    <t>Recaudación de fondos</t>
  </si>
  <si>
    <t>Satisfacción de los clientes corporativos Educación para toda la vida</t>
  </si>
  <si>
    <t>Cumplimiento de planes anuales por líneas</t>
  </si>
  <si>
    <t>Disponibilidad de máster modalidad virtual</t>
  </si>
  <si>
    <t>Cumplimiento EBIDTA</t>
  </si>
  <si>
    <t>CAPEX</t>
  </si>
  <si>
    <t>Proyectos tecnológicos</t>
  </si>
  <si>
    <t>Total estudiantes nuevos</t>
  </si>
  <si>
    <t>Inscripción, admisión y matrícula de estudiantes nuevos</t>
  </si>
  <si>
    <t>Ingresos de matriculas de estudiantes nuevos</t>
  </si>
  <si>
    <t>Cumplimiento de matrículas pregrado presencial nuevos</t>
  </si>
  <si>
    <t>Cumplimiento de matrículas pregrado virtual nuevos</t>
  </si>
  <si>
    <t>Cumplimiento de matrículas posgrado virtual nuevos</t>
  </si>
  <si>
    <t>Cumplimiento de matrículas posgrado presencial nuevos</t>
  </si>
  <si>
    <t>Ingresos totales de educación para la vida</t>
  </si>
  <si>
    <t>Mercadeo y venta de educación para la vida</t>
  </si>
  <si>
    <t>Cumplimiento Meta comercial Educación para toda la vida por linea</t>
  </si>
  <si>
    <t>Programas con reforzamiento curricular por escuela</t>
  </si>
  <si>
    <t>Programas con matriz de resultados de aprendizaje por escuela</t>
  </si>
  <si>
    <t>Permanencia por escuela</t>
  </si>
  <si>
    <t>Cumplimiento Plan Anual por escuela</t>
  </si>
  <si>
    <t>Satisfacción del cliente con campañas integradas de marketing</t>
  </si>
  <si>
    <t>Gestión de campañas integradas de marketing</t>
  </si>
  <si>
    <t>Ahorro institucional con base en la monetización de los servicios</t>
  </si>
  <si>
    <t>Disminución de los tiempos empleados en el desarrollo de las solicitudes</t>
  </si>
  <si>
    <t>Publicaciones en medios de comunicación Tier 1 y Tier 2</t>
  </si>
  <si>
    <t>Comunicaciones Externas</t>
  </si>
  <si>
    <t>Publicaciones en medios de comunicación Tier 1 y Tier 2 de la región Antioquia</t>
  </si>
  <si>
    <t>Publicaciones en el Campus Virtual</t>
  </si>
  <si>
    <t>Gestión de casos del Estudio de Emisión</t>
  </si>
  <si>
    <t>Participación en actividades de desarrollo de Cultura y Formación Emprendedora</t>
  </si>
  <si>
    <t>Emprendimiento</t>
  </si>
  <si>
    <t>Acompañamiento a emprendedores en creación de empresas</t>
  </si>
  <si>
    <t>Puesta en marcha de proyectos de emprendimiento</t>
  </si>
  <si>
    <t>Producción de nuevos MI-Books</t>
  </si>
  <si>
    <t>LEI</t>
  </si>
  <si>
    <t>Informe anual de consulta de MI-Books</t>
  </si>
  <si>
    <t>Número de estudiantes que ha realizado la simulación</t>
  </si>
  <si>
    <t>Casos presentados y solucionados</t>
  </si>
  <si>
    <t>Proyecto de reingenieria y arquitectura de software LEI</t>
  </si>
  <si>
    <t>Programas con condiciones iniciales aprobadas por facultad</t>
  </si>
  <si>
    <t>Programas 1ra fase de condiciones iniciales radicadas por facultad</t>
  </si>
  <si>
    <t>Programas nuevos radicados por facultad</t>
  </si>
  <si>
    <t>Oportunidad en tiempo de envios</t>
  </si>
  <si>
    <t>Solicitudes de gestión documental</t>
  </si>
  <si>
    <t>Cumplimiento Planes De Relacionamiento</t>
  </si>
  <si>
    <t>Participaciones en 2 eventos externos de impacto</t>
  </si>
  <si>
    <t>Participaciones del Poli como sede o patrocinador</t>
  </si>
  <si>
    <t>Cumplimiento Plan Anual Rectoría</t>
  </si>
  <si>
    <t>Cumplimiento Plan Anual Vicerrectoría del estudiante</t>
  </si>
  <si>
    <t>Cumplimiento Plan Anual Vicerrectoría de crecimiento</t>
  </si>
  <si>
    <t>Cumplimiento Plan Anual Vicerrectoría Financiera</t>
  </si>
  <si>
    <t>Cumplimiento Plan Anual Vicerrectoría Académica</t>
  </si>
  <si>
    <t>Cumplimiento Plan Anual Áreas sede Medellín</t>
  </si>
  <si>
    <t>Cumplimiento Plan Anual Gerencia de estrategia</t>
  </si>
  <si>
    <t>Total Leads por canales de captación</t>
  </si>
  <si>
    <t>Mercadeo de programas académicos</t>
  </si>
  <si>
    <t>Total conversión</t>
  </si>
  <si>
    <t>Brand equity</t>
  </si>
  <si>
    <t>Cumplimiento Leads Educación para la vida</t>
  </si>
  <si>
    <t>Cumplimiento en la respuesta a solicitudes de comunicaciones internas</t>
  </si>
  <si>
    <t>Comunicaciones Internas</t>
  </si>
  <si>
    <t>Consumo de Agua per Cápita Semestral</t>
  </si>
  <si>
    <t>Consumo de Energía Eléctrica per Cápita Semestral</t>
  </si>
  <si>
    <t>Generación de Residuos Sólidos per Cápita Semestral</t>
  </si>
  <si>
    <t>Cumplimiento ingresos por matriculas</t>
  </si>
  <si>
    <t>Gestión de casos de salud que impactan a los colaboradores</t>
  </si>
  <si>
    <t>Intervención a la gestión del riesgo de los colaboradores</t>
  </si>
  <si>
    <t>Fecha</t>
  </si>
  <si>
    <t>Cumplimiento</t>
  </si>
  <si>
    <t>Avance de reingenieria y arquitectura de software LEI</t>
  </si>
  <si>
    <t>Innovación curricular - Fase I</t>
  </si>
  <si>
    <t>Plan Talento</t>
  </si>
  <si>
    <t>Nuevo POLISIGS</t>
  </si>
  <si>
    <t>Certificación SGA sede los Colores</t>
  </si>
  <si>
    <t>Equidad de Genero</t>
  </si>
  <si>
    <t>Portal Universitario</t>
  </si>
  <si>
    <t>Data Lake Institucional</t>
  </si>
  <si>
    <t>Catalogo de recursos virtuales</t>
  </si>
  <si>
    <t>Ecosistema Banner</t>
  </si>
  <si>
    <t>Acreditación Institucional Sede Bogotá - Fase II - Condiciones iniciales</t>
  </si>
  <si>
    <t>Diseño del Modelo de Experiencia Institucional - Fase 2</t>
  </si>
  <si>
    <t>Total Población</t>
  </si>
  <si>
    <t>Gestión ambiental</t>
  </si>
  <si>
    <t>Gestión de la tecnología e innovación digital</t>
  </si>
  <si>
    <t>Experiencia institucional</t>
  </si>
  <si>
    <t>Gestión de unidades académicas</t>
  </si>
  <si>
    <t>Productos de investigación, innovación y creación</t>
  </si>
  <si>
    <t>%</t>
  </si>
  <si>
    <t>14.1</t>
  </si>
  <si>
    <t>Estudiantes Presencial</t>
  </si>
  <si>
    <t>14.2</t>
  </si>
  <si>
    <t>Estudiantes Virtual</t>
  </si>
  <si>
    <t>14.3</t>
  </si>
  <si>
    <t>Estudiantes Pregrado</t>
  </si>
  <si>
    <t>14.4</t>
  </si>
  <si>
    <t>Estudiantes Posgrado</t>
  </si>
  <si>
    <t>386.1</t>
  </si>
  <si>
    <t>386.2</t>
  </si>
  <si>
    <t>386.3</t>
  </si>
  <si>
    <t>B2B</t>
  </si>
  <si>
    <t>B2G</t>
  </si>
  <si>
    <t>Otros ingresos (Cursos -Opciones de grado)</t>
  </si>
  <si>
    <t>kWh</t>
  </si>
  <si>
    <t>Total Estudiantes  Sede Medellín</t>
  </si>
  <si>
    <t>Estudiante nuevos presencial pregrado</t>
  </si>
  <si>
    <t>Estudiante nuevos presencial posgrado</t>
  </si>
  <si>
    <t xml:space="preserve">Total estudiantes nuevos presencial Medellin </t>
  </si>
  <si>
    <t xml:space="preserve">Estudiantes antiguos presencial Medellin </t>
  </si>
  <si>
    <t>Med 1.1</t>
  </si>
  <si>
    <t>Med 1.2</t>
  </si>
  <si>
    <t>Med 1.3</t>
  </si>
  <si>
    <t>Med 1.4</t>
  </si>
  <si>
    <t xml:space="preserve">Total Estudiantes Pregrado nuevos y antiguos Medellín </t>
  </si>
  <si>
    <t>Estudiantes Postgrado antiguos</t>
  </si>
  <si>
    <t>Total estudiantes Postgrado antiguos y nuevos Medellin</t>
  </si>
  <si>
    <t xml:space="preserve">Estudiantes virtuales pregrado nuevos </t>
  </si>
  <si>
    <t xml:space="preserve">Estudiantes virtuales posgrado nuevos </t>
  </si>
  <si>
    <t>Estudiantes virtuales pregrado antiguos - Medellín</t>
  </si>
  <si>
    <t>Estudiantes virtuales posgrado antiguos - Medellín</t>
  </si>
  <si>
    <t>Total Estudiantes virtuales antiguos-Antioquia</t>
  </si>
  <si>
    <t>Ingresos Educación para la vida</t>
  </si>
  <si>
    <t>Satisfacción NPS</t>
  </si>
  <si>
    <t xml:space="preserve">Tasa de permanencia </t>
  </si>
  <si>
    <t xml:space="preserve">Satisfacción SSI </t>
  </si>
  <si>
    <t>Total ingresos sede</t>
  </si>
  <si>
    <t>EBITDA sede</t>
  </si>
  <si>
    <t xml:space="preserve">Ejecución Presupuestal </t>
  </si>
  <si>
    <t>Cumplimiento proyecto Certificación SGA - medellín</t>
  </si>
  <si>
    <t>Cumplimiento del Plan Anual</t>
  </si>
  <si>
    <t>Convenios con impacto en ingresos adicionales</t>
  </si>
  <si>
    <t>Medición Clima organizacional Sede - Great Place to work</t>
  </si>
  <si>
    <t>Med 2</t>
  </si>
  <si>
    <t>Med 2.1</t>
  </si>
  <si>
    <t>Med 3</t>
  </si>
  <si>
    <t>Med 4</t>
  </si>
  <si>
    <t>Med 4.1</t>
  </si>
  <si>
    <t>Med 4.2</t>
  </si>
  <si>
    <t>Med 2.2</t>
  </si>
  <si>
    <t>Med 5</t>
  </si>
  <si>
    <t>Med 6</t>
  </si>
  <si>
    <t>Med 7</t>
  </si>
  <si>
    <t>Med 8</t>
  </si>
  <si>
    <t>Med 9</t>
  </si>
  <si>
    <t>Med 10</t>
  </si>
  <si>
    <t>Med 11</t>
  </si>
  <si>
    <t>Med 12</t>
  </si>
  <si>
    <t>Med 14</t>
  </si>
  <si>
    <t>Med 15</t>
  </si>
  <si>
    <t>Med 16</t>
  </si>
  <si>
    <t>Med 17</t>
  </si>
  <si>
    <t>Sede Medellín</t>
  </si>
  <si>
    <t>Med 1</t>
  </si>
  <si>
    <t>Nivel de facturas generadas con error</t>
  </si>
  <si>
    <t>Gestión de riesgos por subprocesos</t>
  </si>
  <si>
    <t>N de riesgos operacionales intervenidos</t>
  </si>
  <si>
    <t>Áreas con reportes de plan de retos</t>
  </si>
  <si>
    <t>Generación de Residuos Peligrosos per Cápita Semestral</t>
  </si>
  <si>
    <t/>
  </si>
  <si>
    <t>Semestre</t>
  </si>
  <si>
    <t>Año</t>
  </si>
  <si>
    <t>Mes</t>
  </si>
  <si>
    <t>Periodo</t>
  </si>
  <si>
    <t>2023-1</t>
  </si>
  <si>
    <t>2022-2</t>
  </si>
  <si>
    <t>10.1</t>
  </si>
  <si>
    <t>Acreditación Institucional Sede Bogotá - Fase I</t>
  </si>
  <si>
    <t>2022-1</t>
  </si>
  <si>
    <t>13.1</t>
  </si>
  <si>
    <t>Diseño del Modelo de Experiencia Institucional - Fase 1</t>
  </si>
  <si>
    <t>325.1</t>
  </si>
  <si>
    <t>Lanzamiento de nuevos programas presencial</t>
  </si>
  <si>
    <t>325.2</t>
  </si>
  <si>
    <t>Lanzamiento de nuevos programas virtual</t>
  </si>
  <si>
    <t>Conocimiento espontaneo</t>
  </si>
  <si>
    <t>2023-2</t>
  </si>
  <si>
    <t>108.1</t>
  </si>
  <si>
    <t>108.2</t>
  </si>
  <si>
    <t>108.3</t>
  </si>
  <si>
    <t>Gestión y Desarrollo del Talento Humano</t>
  </si>
  <si>
    <t>Gestión Seguridad y Salud en el Trabajo</t>
  </si>
  <si>
    <t>Gestión de Calidad</t>
  </si>
  <si>
    <t>Gestión Normativa y Jurídica</t>
  </si>
  <si>
    <t>Datos y Analítica</t>
  </si>
  <si>
    <t>Prácticas Empresariales</t>
  </si>
  <si>
    <t>Investigación, desarrollo tecnológico e innovación</t>
  </si>
  <si>
    <t>108.4</t>
  </si>
  <si>
    <t>108.5</t>
  </si>
  <si>
    <t>108.6</t>
  </si>
  <si>
    <t>108.7</t>
  </si>
  <si>
    <t>108.8</t>
  </si>
  <si>
    <t>108.9</t>
  </si>
  <si>
    <t>108.10</t>
  </si>
  <si>
    <t>108.11</t>
  </si>
  <si>
    <t>108.12</t>
  </si>
  <si>
    <t>108.13</t>
  </si>
  <si>
    <t>108.14</t>
  </si>
  <si>
    <t>108.15</t>
  </si>
  <si>
    <t>Gestión de seguridad y salud en el trabajo</t>
  </si>
  <si>
    <t>Cumplimiento Nivel de Emisión de Ruido</t>
  </si>
  <si>
    <t>Nivel de encuestas obtenidas en el encuentro institucional de graduados</t>
  </si>
  <si>
    <t>Aseguramiento de matricula académica presencial</t>
  </si>
  <si>
    <t>Seguimiento de asignación docente a NRC Pregrado-Posgrado Presencial</t>
  </si>
  <si>
    <t>Disponibilidad de catálogo de asignaturas pregrado y posgrado presencial</t>
  </si>
  <si>
    <t>Generación de Residuos Peligroso Mensual</t>
  </si>
  <si>
    <t>Disminución de la Generación de Residuos Peligrosos per Cápita</t>
  </si>
  <si>
    <t>Nivel de Satisfacción Servicios Prestados - Riesgos</t>
  </si>
  <si>
    <t>Seguimiento de asignación docente a NRC Pregrado-Posgrado Virtual</t>
  </si>
  <si>
    <t>Disponibilidad de catálogo de asignaturas pregrado y posgrado virtual</t>
  </si>
  <si>
    <t>Aseguramiento de matricula académica virtual</t>
  </si>
  <si>
    <t>INVESTIGACIÓN, INNOVACIÓN Y CREACIÓN</t>
  </si>
  <si>
    <t>% Estudiantes con Becas</t>
  </si>
  <si>
    <t>% Inclusión</t>
  </si>
  <si>
    <t>Acreditación Institucional Sede Bogotá - Fase II - Condiciones iniciales % Avance</t>
  </si>
  <si>
    <t>% Estudiantes vinculados a investigación</t>
  </si>
  <si>
    <t>$</t>
  </si>
  <si>
    <t>LLAVE</t>
  </si>
  <si>
    <t>Llave</t>
  </si>
  <si>
    <t>Linea Base</t>
  </si>
  <si>
    <t>DEC</t>
  </si>
  <si>
    <t>Días</t>
  </si>
  <si>
    <t>Cumplimiento Real</t>
  </si>
  <si>
    <t>Nivel de Satisfacción Servicios Prestados - Planeación Estratégica</t>
  </si>
  <si>
    <t>Nivel de Satisfacción Servicios Prestados - Contabilidad</t>
  </si>
  <si>
    <t>Nivel de Satisfacción Servicios Prestados - Tesorería</t>
  </si>
  <si>
    <t>Nivel de Satisfacción Servicios Prestados - Centro de Medios Audiovisuales</t>
  </si>
  <si>
    <t>Nivel de Satisfacción Servicios Prestados - Desempeño Institucional</t>
  </si>
  <si>
    <t>Nivel de Satisfacción Servicios Prestados - Prácticas</t>
  </si>
  <si>
    <t>Linea base</t>
  </si>
  <si>
    <t>No Aplica</t>
  </si>
  <si>
    <t>Nivel Esfuerzo Editorial</t>
  </si>
  <si>
    <t>ENT</t>
  </si>
  <si>
    <t>Sin Reporte</t>
  </si>
  <si>
    <t>Kg</t>
  </si>
  <si>
    <t>Programas con alineación curricular</t>
  </si>
  <si>
    <t>Reducción de número de sentencias condenatorias en contra del Poli</t>
  </si>
  <si>
    <t>Eficiencia Emisión De Conceptos Jurídicos (Educación)</t>
  </si>
  <si>
    <t>Eficiencia Emisión De Conceptos Jurídicos (Jurídicos)</t>
  </si>
  <si>
    <t>Satisfacción Institucional por grupo de interes</t>
  </si>
  <si>
    <t>Num de programas con convenios de doble titulación</t>
  </si>
  <si>
    <t>Participación docentes Poli en eventos académicos internacionales virtuales</t>
  </si>
  <si>
    <t>Participación estudiantes Poli en eventos académicos internacionales virtuales</t>
  </si>
  <si>
    <t>Reducción de costos en gestión de abastecimiento</t>
  </si>
  <si>
    <t>Satisfacción Institucional</t>
  </si>
  <si>
    <t>Programas con alineación curricular por escuela</t>
  </si>
  <si>
    <t>Gestión de Unidades Académicas</t>
  </si>
  <si>
    <t>Publicaciones en medios de comunicación de la región Antioquia</t>
  </si>
  <si>
    <t>Diseño de Contenido Virtual</t>
  </si>
  <si>
    <t>Sesiones de Acompañamiento a emprendedores en creación de empresas</t>
  </si>
  <si>
    <t>Cumplimiento a cronograma de proyectos 2024</t>
  </si>
  <si>
    <t>Participación de docentes invitados en eventos académicos virtuales en Poli</t>
  </si>
  <si>
    <t>Participación de estudiantes invitados en eventos académicos virtuales en Poli</t>
  </si>
  <si>
    <t>CES Proceso de grados</t>
  </si>
  <si>
    <t>Participación en actividades culturales</t>
  </si>
  <si>
    <t>Participación en actividades de formación</t>
  </si>
  <si>
    <t>Cumplimiento de planes de monitoreo en la gestión del riesgo</t>
  </si>
  <si>
    <t>% Participación de publicaciones positiva</t>
  </si>
  <si>
    <t>Seguimiento a eventos internos y externos institucionales</t>
  </si>
  <si>
    <t>Número de cursos diseñados</t>
  </si>
  <si>
    <t>Satisfacción de la calidad del contenido</t>
  </si>
  <si>
    <t>ANS Diseño de contenidos virtuales</t>
  </si>
  <si>
    <t>Impacto de campañas de Mailing</t>
  </si>
  <si>
    <t>Apertura de enlaces en mensajes de texto</t>
  </si>
  <si>
    <t>Número de publicaciones e historias</t>
  </si>
  <si>
    <t>Cumplimiento de las acciones del Plan de mejoramiento GPW</t>
  </si>
  <si>
    <t>% de depuración histórico  SNIES</t>
  </si>
  <si>
    <t>NPS Estudiantes</t>
  </si>
  <si>
    <t>NPS Graduados</t>
  </si>
  <si>
    <t>CES General</t>
  </si>
  <si>
    <t>Cumplimiento plan anual Secretaria académica y de extensión</t>
  </si>
  <si>
    <t>Cumplimiento plan anual Gerencia de Talento Humano</t>
  </si>
  <si>
    <t>Cobertura de Recolección de Variables ADA (Arquitectura de datos para la analitica)</t>
  </si>
  <si>
    <t>Experiencia Institucional - Fase 3- Hub de experiencia</t>
  </si>
  <si>
    <t>Centro de Idiomas Fase I</t>
  </si>
  <si>
    <t>CREA Centro de Recursos y Experiencias para el aprendizaje - Fase de Adecuación</t>
  </si>
  <si>
    <t>Actualización sistema de transporte rotativo</t>
  </si>
  <si>
    <t>Ecosistema E3</t>
  </si>
  <si>
    <t>Habilidades Poderosas</t>
  </si>
  <si>
    <t>Ser PRO Fase III</t>
  </si>
  <si>
    <t>Cultura de una buena docencia</t>
  </si>
  <si>
    <t>Proyecto Silver</t>
  </si>
  <si>
    <t>Creación del Instituto de Educación para el trabajo y el desarrollo humano- Fase I - Aprobaciones legales</t>
  </si>
  <si>
    <t>Creación del Instituto de Educación para el trabajo y el desarrollo humano - Fase I - Aprobaciones legales</t>
  </si>
  <si>
    <t>Creación del colegio de educación media virtual - Fase I de aprobaciones y tramites</t>
  </si>
  <si>
    <t>381-2023-06-30</t>
  </si>
  <si>
    <t>382-2023-06-30</t>
  </si>
  <si>
    <t>383-2023-06-30</t>
  </si>
  <si>
    <t>384-2023-06-30</t>
  </si>
  <si>
    <t>Productos de investigación, innovación y creación- Parcial</t>
  </si>
  <si>
    <t>Plan anual Escuela De Ciencias Basicas</t>
  </si>
  <si>
    <t>Plan anual Escuela De  Diseño</t>
  </si>
  <si>
    <t>Plan anual Escuela De Optimización, Infra Y Auto</t>
  </si>
  <si>
    <t>Plan anual Escuela TIC</t>
  </si>
  <si>
    <t>Plan anual Escuela De Administración y competitividad</t>
  </si>
  <si>
    <t>Plan anual Escuela De Contabilidad Internacional</t>
  </si>
  <si>
    <t>Plan anual Escuela De Negocios Y Desarrollo Internacional</t>
  </si>
  <si>
    <t>Plan anual Escuela De Comunicaciones, Artes Visuales Y Digitales</t>
  </si>
  <si>
    <t>Plan anual Escuela De Educación E Innovación</t>
  </si>
  <si>
    <t>Plan anual Escuela De Derecho Y Gobierno</t>
  </si>
  <si>
    <t>Plan anual Escuela De Marketing Y Branding</t>
  </si>
  <si>
    <t>Plan anual Escuela De Psic, Talento Hum Y Soc</t>
  </si>
  <si>
    <t>Plan anual Vicerrectoría de crecimiento</t>
  </si>
  <si>
    <t>Plan anual Vicerrectoría del estudiante</t>
  </si>
  <si>
    <t>Plan anual Vicerrectoría financiera</t>
  </si>
  <si>
    <t>Plan anual Vicerrectoría academica</t>
  </si>
  <si>
    <t>Plan anual Gerencia de estrategia</t>
  </si>
  <si>
    <t>Plan anual Gerencia de talento humano y desarrollo</t>
  </si>
  <si>
    <t>Plan anual Gerencia de Medellín</t>
  </si>
  <si>
    <t>Plan anual Secretaría General</t>
  </si>
  <si>
    <t>Plan anual Gerencia de operaciones</t>
  </si>
  <si>
    <t>Plan anual Gerencia de servicio y permanencia</t>
  </si>
  <si>
    <t>Plan anual Gerencia de tecnologÍa e innovación digital</t>
  </si>
  <si>
    <t>Plan anual BI y analitica</t>
  </si>
  <si>
    <t>Plan anual Facultad registro y control</t>
  </si>
  <si>
    <t>Plan anual Transformación de experiencia</t>
  </si>
  <si>
    <t>Plan anual Direccion bienestar universitario y huella grancolombiana</t>
  </si>
  <si>
    <t>Plan anual Gerencia de matriculas</t>
  </si>
  <si>
    <t>Plan anual Gerencia de mercadeo</t>
  </si>
  <si>
    <t>Plan anual Dirección de contabilidad</t>
  </si>
  <si>
    <t>Plan anual Dirección de infraestructura</t>
  </si>
  <si>
    <t>Plan anual Dirección planeación financiera y tesorería</t>
  </si>
  <si>
    <t>Plan anual Dirección de relacionamiento de CSU</t>
  </si>
  <si>
    <t>Plan anual Jefatura administrativa</t>
  </si>
  <si>
    <t>Plan anual Jefatura de compras</t>
  </si>
  <si>
    <t>Plan anual Dirección aseguramiento de la calidad</t>
  </si>
  <si>
    <t>Plan anual Dirección investigación innovación y creación</t>
  </si>
  <si>
    <t>Plan anual Dirección relaciones nacionales e internacionales</t>
  </si>
  <si>
    <t>Plan anual Secretaria academica y de extensión</t>
  </si>
  <si>
    <t>Plan anual Dirección  de docencia</t>
  </si>
  <si>
    <t>Plan anual Dirección de currículo presencial y virtual</t>
  </si>
  <si>
    <t>Plan anual Facultad ingeniería diseño e innovación</t>
  </si>
  <si>
    <t>Plan anual Facultad negocios gestión y sostenibilidad</t>
  </si>
  <si>
    <t>Plan anual Facultad sociedad cultura y creatividad</t>
  </si>
  <si>
    <t>Plan anual FNGS-ADMON Y COMP- ADM DE EMPRESAS</t>
  </si>
  <si>
    <t>Plan anual FNGS-CONTABILID INTERN-CONTADURIA</t>
  </si>
  <si>
    <t>Plan anual FSCC- DERECHO Y GOBIERNO-DERECHO</t>
  </si>
  <si>
    <t>Plan anual FIDI-DISEÑO - DISEÑO GRAFICO</t>
  </si>
  <si>
    <t>Plan anual FIDI-TIC -INGENIERIA DE SISTEMAS</t>
  </si>
  <si>
    <t>Plan anual FIDI-OPINA-INGENIERIA INDUSTRIAL</t>
  </si>
  <si>
    <t>Plan anual FNGS-NEG Y DLLO INTER-NEGOCIOS INTERNACIONALES</t>
  </si>
  <si>
    <t>Plan anual FSCC- EST.PSIC,TH Y SOC- PSICOLOGIA</t>
  </si>
  <si>
    <t>Plan anual DIRECCIÓN DE MATRÍCULAS</t>
  </si>
  <si>
    <t>Plan anual SGC</t>
  </si>
  <si>
    <t>Plan anual SGA</t>
  </si>
  <si>
    <t>Plan anual Riesgos</t>
  </si>
  <si>
    <t>Plan anual COORDINACIÓN COMERCIAL B2G</t>
  </si>
  <si>
    <t>Plan anual JEFE DE SERVICIO</t>
  </si>
  <si>
    <t>Plan anual Auditoría</t>
  </si>
  <si>
    <t>Plan anual Planeación estrategica</t>
  </si>
  <si>
    <t>Plan anual Gerencia de educación Virtual</t>
  </si>
  <si>
    <t>415.1</t>
  </si>
  <si>
    <t>415.2</t>
  </si>
  <si>
    <t>415.3</t>
  </si>
  <si>
    <t>415.4</t>
  </si>
  <si>
    <t>415.5</t>
  </si>
  <si>
    <t>415.6</t>
  </si>
  <si>
    <t>415.7</t>
  </si>
  <si>
    <t>415.8</t>
  </si>
  <si>
    <t>415.9</t>
  </si>
  <si>
    <t>415.10</t>
  </si>
  <si>
    <t>415.11</t>
  </si>
  <si>
    <t>415.12</t>
  </si>
  <si>
    <t>415.13</t>
  </si>
  <si>
    <t>390.1</t>
  </si>
  <si>
    <t>390.2</t>
  </si>
  <si>
    <t>390.3</t>
  </si>
  <si>
    <t>390.4</t>
  </si>
  <si>
    <t>390.5</t>
  </si>
  <si>
    <t>390.6</t>
  </si>
  <si>
    <t>390.7</t>
  </si>
  <si>
    <t>390.8</t>
  </si>
  <si>
    <t>390.9</t>
  </si>
  <si>
    <t>390.10</t>
  </si>
  <si>
    <t>390.11</t>
  </si>
  <si>
    <t>390.12</t>
  </si>
  <si>
    <t>414.1</t>
  </si>
  <si>
    <t>414.2</t>
  </si>
  <si>
    <t>414.3</t>
  </si>
  <si>
    <t>414.4</t>
  </si>
  <si>
    <t>414.5</t>
  </si>
  <si>
    <t>414.6</t>
  </si>
  <si>
    <t>414.7</t>
  </si>
  <si>
    <t>414.8</t>
  </si>
  <si>
    <t>414.9</t>
  </si>
  <si>
    <t>Plan anual Gerencia de servicios corporativos</t>
  </si>
  <si>
    <t>Plan anual Director B2B y B2C</t>
  </si>
  <si>
    <t>Plan anual Director de producto</t>
  </si>
  <si>
    <t>Plan anual Director de estrategia de marca</t>
  </si>
  <si>
    <t>416.1</t>
  </si>
  <si>
    <t>416.2</t>
  </si>
  <si>
    <t>416.3</t>
  </si>
  <si>
    <t>416.4</t>
  </si>
  <si>
    <t>416.5</t>
  </si>
  <si>
    <t>416.6</t>
  </si>
  <si>
    <t>417.1</t>
  </si>
  <si>
    <t>417.2</t>
  </si>
  <si>
    <t>417.3</t>
  </si>
  <si>
    <t>417.4</t>
  </si>
  <si>
    <t>Plan anual Dirección de servicios administrativos</t>
  </si>
  <si>
    <t>Plan anual Dirección de compras y abastecimiento</t>
  </si>
  <si>
    <t>417.5</t>
  </si>
  <si>
    <t>418.1</t>
  </si>
  <si>
    <t>418.2</t>
  </si>
  <si>
    <t>418.3</t>
  </si>
  <si>
    <t>418.4</t>
  </si>
  <si>
    <t>418.5</t>
  </si>
  <si>
    <t>418.6</t>
  </si>
  <si>
    <t>418.7</t>
  </si>
  <si>
    <t>418.8</t>
  </si>
  <si>
    <t>418.9</t>
  </si>
  <si>
    <t>Plan anual FIDI-DISEÑO-DISEÑO GRAFICO</t>
  </si>
  <si>
    <t>Plan anual FIDI-CIENCIAS BÁSICAS MED</t>
  </si>
  <si>
    <t>Plan anual ADMON DE EMPRESAS</t>
  </si>
  <si>
    <t>Plan anual FSCC - MARKETING MED</t>
  </si>
  <si>
    <t>469.1</t>
  </si>
  <si>
    <t>469.2</t>
  </si>
  <si>
    <t>469.3</t>
  </si>
  <si>
    <t>469.4</t>
  </si>
  <si>
    <t>469.5</t>
  </si>
  <si>
    <t>469.6</t>
  </si>
  <si>
    <t>469.7</t>
  </si>
  <si>
    <t>469.8</t>
  </si>
  <si>
    <t>469.9</t>
  </si>
  <si>
    <t>469.10</t>
  </si>
  <si>
    <t>420.1</t>
  </si>
  <si>
    <t>420.2</t>
  </si>
  <si>
    <t>420.3</t>
  </si>
  <si>
    <t>420.4</t>
  </si>
  <si>
    <t>420.5</t>
  </si>
  <si>
    <t>Plan anual Direccionamiento estratégico</t>
  </si>
  <si>
    <t>Plan anual Estudios Internos</t>
  </si>
  <si>
    <t>Plan anual Dirección de experiencia e inclusión</t>
  </si>
  <si>
    <t>Plan anual Dirección Agencia Trompo</t>
  </si>
  <si>
    <t>Plan anual Dirección Centro de medios audiovisuales</t>
  </si>
  <si>
    <t>Plan anual Dirección Editorial</t>
  </si>
  <si>
    <t>Plan anual Dirección Sistema nacional de bibliotecas</t>
  </si>
  <si>
    <t>Plan anual Dirección de Graduados y proyección empresarial</t>
  </si>
  <si>
    <t>470.1</t>
  </si>
  <si>
    <t>470.2</t>
  </si>
  <si>
    <t>470.3</t>
  </si>
  <si>
    <t>470.4</t>
  </si>
  <si>
    <t>470.5</t>
  </si>
  <si>
    <t>469.0</t>
  </si>
  <si>
    <t>416.7</t>
  </si>
  <si>
    <t>416.8</t>
  </si>
  <si>
    <t>417.6</t>
  </si>
  <si>
    <t>11.1</t>
  </si>
  <si>
    <t xml:space="preserve"> Número de programas registrados en la SED</t>
  </si>
  <si>
    <t>Número de programas con condiciones iniciales aprobadas</t>
  </si>
  <si>
    <t>Plan anual Director de gobierno digital</t>
  </si>
  <si>
    <t>Plan anual Gerente de innovación y producto</t>
  </si>
  <si>
    <t>Plan anual Dirección de desarrollo e innovación</t>
  </si>
  <si>
    <t>Plan anual Director de operaciones IT</t>
  </si>
  <si>
    <t>Plan anual Director de operaciones integrales</t>
  </si>
  <si>
    <t>Plan anual Director de permanencia</t>
  </si>
  <si>
    <t>Plan anual Director de servicio</t>
  </si>
  <si>
    <t>100.47</t>
  </si>
  <si>
    <t>Estudios Internos</t>
  </si>
  <si>
    <t>420.6</t>
  </si>
  <si>
    <t>Número de visitas a Pagina Web</t>
  </si>
  <si>
    <t>415.14</t>
  </si>
  <si>
    <t>Cumplimiento del Programa de la Cultura del Autocuidado</t>
  </si>
  <si>
    <t>Satisfacción del proceso de grados presencial</t>
  </si>
  <si>
    <t>Satisfacción del proceso de grados virtual</t>
  </si>
  <si>
    <t>m3</t>
  </si>
  <si>
    <t>Programas con planes de estudios definidos</t>
  </si>
  <si>
    <t>Programas con resultados de aprendizaje definidos</t>
  </si>
  <si>
    <t>Solicitudes de documentación completadas</t>
  </si>
  <si>
    <t>% de profesores (Contrato Indefinido- Fijo) impactados plan de desarrollo docente</t>
  </si>
  <si>
    <t>Metrica</t>
  </si>
  <si>
    <t>Participación en Actividades deportivas</t>
  </si>
  <si>
    <t>Movilidad Física Salientes Profesores</t>
  </si>
  <si>
    <t>Convenios, alianzas activas con actividades en los últimos 5 años</t>
  </si>
  <si>
    <t>Cumplimiento EBITDA</t>
  </si>
  <si>
    <t>Participación en eventos externos de impacto</t>
  </si>
  <si>
    <t>Participación del Poli como sede o patrocinador</t>
  </si>
  <si>
    <t>Generación de Residuos Peligrosos Mensual</t>
  </si>
  <si>
    <t>Cumplimiento en la supervisión y monitoreo a los planes de tratamiento de los riesgos institucionales en nivel alto y extremo</t>
  </si>
  <si>
    <t>Programas con planes de estudios definidos por escuela (Nuevos Programas)</t>
  </si>
  <si>
    <t>Número de renovaciones de registro calificado radicadas al MEN</t>
  </si>
  <si>
    <t>Programas con planes de estudios definidos por escuela (Programas Renovación, modificación y acreditación)</t>
  </si>
  <si>
    <t>Programas con planes de estudios definidos por escuela (Mantenimiento de programas)</t>
  </si>
  <si>
    <t>Programas con resultados de aprendizaje definidos por escuela (Nuevos Programas)</t>
  </si>
  <si>
    <t>Programas con resultados de aprendizaje definidos por escuela (Programas Renovación, modificación y acreditación)</t>
  </si>
  <si>
    <t>Tasa de incremento en la resolución de solicitudes de la vicerrectoría de crecimiento</t>
  </si>
  <si>
    <t>Oportunidad en el cierre de acciones</t>
  </si>
  <si>
    <t>Número de visitas a la página web</t>
  </si>
  <si>
    <t>Impactados Talleres de formación</t>
  </si>
  <si>
    <t>Oportunidad en el cierre de actividades de los planes de mejora</t>
  </si>
  <si>
    <t>Cumplimiento en la evaluación de las oportunidades de mejora (OM)</t>
  </si>
  <si>
    <t>Nivel de Satisfacción Servicios Prestados - Gestión de proyectos</t>
  </si>
  <si>
    <t>Nivel de Satisfacción Servicios Prestados - Gestión Jurídica Y Normativa</t>
  </si>
  <si>
    <t>Nivel de Satisfacción Servicios Prestados - Administración De Servicios Generales</t>
  </si>
  <si>
    <t>Nivel de Satisfacción Servicios Prestados - Planeación Financiera</t>
  </si>
  <si>
    <t>Nivel de Satisfacción Servicios Prestados - Datos y analítica</t>
  </si>
  <si>
    <t>Nivel de Satisfacción Servicios Prestados -Servicio de Salud</t>
  </si>
  <si>
    <t>Nivel de Satisfacción Servicios Prestados -Gestión, evaluación e innovación curricular</t>
  </si>
  <si>
    <t>Nivel de Satisfacción Servicios Prestados -Formación para la investigación, creación e innovación</t>
  </si>
  <si>
    <t>Nivel de Satisfacción Servicios Prestados -Gestión de Unidades Académicas</t>
  </si>
  <si>
    <t>Nivel de Satisfacción Servicios Prestados - LEI</t>
  </si>
  <si>
    <t>Nivel de Satisfacción Servicios Prestados - Mercadeo de programas académicos</t>
  </si>
  <si>
    <t>Nivel de Satisfacción Servicios Prestados -Cultura y Deporte</t>
  </si>
  <si>
    <t>Nivel de Satisfacción Servicios Prestados - Diseño y contenido virtual</t>
  </si>
  <si>
    <t>Operaciones Académicas</t>
  </si>
  <si>
    <t>Junio</t>
  </si>
  <si>
    <t>Diciembre</t>
  </si>
  <si>
    <t>Cumplimiento a cronograma de proyectos 2023</t>
  </si>
  <si>
    <t>Ser PRO</t>
  </si>
  <si>
    <t>Decimales_Meta</t>
  </si>
  <si>
    <t>Decimales_Ejecucion</t>
  </si>
  <si>
    <t>Inversión en CAPEX de la utilidad anterior (veces)</t>
  </si>
  <si>
    <t>Prov-8</t>
  </si>
  <si>
    <t>Índice de Permanencia Docente (NPS)</t>
  </si>
  <si>
    <t>Prov-9</t>
  </si>
  <si>
    <t>Índice de Permanencia Administrativos (NPS)</t>
  </si>
  <si>
    <t>Prov-10</t>
  </si>
  <si>
    <t>Diseño del Gobierno de IT</t>
  </si>
  <si>
    <t>Prov-11</t>
  </si>
  <si>
    <t>Arquitectura de Microservicios</t>
  </si>
  <si>
    <t>Prov-12</t>
  </si>
  <si>
    <t>Smart Assistant</t>
  </si>
  <si>
    <t>Prov-13</t>
  </si>
  <si>
    <t>Optimización de procesos del ciclo de vida del estudiante</t>
  </si>
  <si>
    <t>Prov-14</t>
  </si>
  <si>
    <t xml:space="preserve">Cumplimiento proyecto creación del centro de excelencia analítica </t>
  </si>
  <si>
    <t>Prov-15</t>
  </si>
  <si>
    <t>Indice de madurez analítica institucional y  por proceso 2</t>
  </si>
  <si>
    <t>Prov-16</t>
  </si>
  <si>
    <t>Desempeño de Modelos (Machine Learning - IA)</t>
  </si>
  <si>
    <t>Prov-1</t>
  </si>
  <si>
    <t xml:space="preserve">Valor académico agregado </t>
  </si>
  <si>
    <t>Prov-2</t>
  </si>
  <si>
    <t>Aporte relativo</t>
  </si>
  <si>
    <t>Prov-3</t>
  </si>
  <si>
    <t>N° Programas con nuevo modelo evaluativo implementado</t>
  </si>
  <si>
    <t>Prov-5</t>
  </si>
  <si>
    <t>Número de cursos  con microcertificación</t>
  </si>
  <si>
    <t>Prov-7</t>
  </si>
  <si>
    <t>Número de estudiantes matriculados  IEDTH</t>
  </si>
  <si>
    <t>tCO2e</t>
  </si>
  <si>
    <t>Avance</t>
  </si>
  <si>
    <t>Proyectos de investigación e innovación- Metrica</t>
  </si>
  <si>
    <t>Gestión de casos del Estudio de Grabación Virtual</t>
  </si>
  <si>
    <t>Índice de Inclusión</t>
  </si>
  <si>
    <t>471.1</t>
  </si>
  <si>
    <t>Cumplimiento plan anual Dirección de bienestar y relaciones laborales</t>
  </si>
  <si>
    <t>471.2</t>
  </si>
  <si>
    <t>Cumplimiento plan anual Dirección de formacion y desarrollo</t>
  </si>
  <si>
    <t>471.3</t>
  </si>
  <si>
    <t>Cumplimiento plan anual Dirección de comunicaciones externas Sed Medellín</t>
  </si>
  <si>
    <t>Cumplimiento plan anual Dirección de relaciones publicas y protocolo</t>
  </si>
  <si>
    <t>471.4</t>
  </si>
  <si>
    <t>Cumplimiento plan anual Direccción de comunicaciones</t>
  </si>
  <si>
    <t>471.5</t>
  </si>
  <si>
    <t>Cumplimiento plan anual Dirección de admón laboral y compensación</t>
  </si>
  <si>
    <t>471.6</t>
  </si>
  <si>
    <t>Cumplimiento plan anual Dirección de Gestión de talento</t>
  </si>
  <si>
    <t>471.7</t>
  </si>
  <si>
    <t xml:space="preserve">Matriculas antiguos presencial Medellin </t>
  </si>
  <si>
    <t>Acreditación Institucional  Fase III - Etapa de evaluación externa</t>
  </si>
  <si>
    <t>Fortalecimiento de la investigacion, la innovación y la creación</t>
  </si>
  <si>
    <t>Fortalecimiento de planta docente</t>
  </si>
  <si>
    <t>Plataforma de gestión de la información curricular Fase I</t>
  </si>
  <si>
    <t>Actualización de TRD y creación del Plan de gestión documental</t>
  </si>
  <si>
    <t>ADN Poli</t>
  </si>
  <si>
    <t>Gobierno de datos</t>
  </si>
  <si>
    <t>Herramientas de Gestión para el mejoramiento continuo</t>
  </si>
  <si>
    <t>Proyectos Ilumno Self Service S&amp;P</t>
  </si>
  <si>
    <t>Reingenia de aplicaciones</t>
  </si>
  <si>
    <t>SOPHIA Sistema de optimización y programación horaria institucional</t>
  </si>
  <si>
    <t>Monarca - Ecosistema Banner</t>
  </si>
  <si>
    <t>Hubspot CRM</t>
  </si>
  <si>
    <t>Prime</t>
  </si>
  <si>
    <t>Migración modelo de transporte rotativo</t>
  </si>
  <si>
    <t>Proyecto de permanencia institucional</t>
  </si>
  <si>
    <t>Centro Gastronómico</t>
  </si>
  <si>
    <t>Modelo de seguimiento al graduado</t>
  </si>
  <si>
    <t>Centro de Idiomas Fase I - Stand By</t>
  </si>
  <si>
    <t>Creación del colegio de educación media virtual  - Stand By</t>
  </si>
  <si>
    <t>Creación del Instituto de Educación para el trabajo y el desarrollo humano - Stand By</t>
  </si>
  <si>
    <t>Pricing</t>
  </si>
  <si>
    <t>Nivel de Satisfacción -Comunicaciones internas</t>
  </si>
  <si>
    <t>2025-2</t>
  </si>
  <si>
    <t>Nivel de Satisfacción Servicios Prestados - Comunicaciones Internas</t>
  </si>
  <si>
    <t>% Programas acreditables acreditados Sede Bogotá</t>
  </si>
  <si>
    <t>Total Ingresos B2B</t>
  </si>
  <si>
    <t>Total Ingresos B2G</t>
  </si>
  <si>
    <t>424-2025-12-31</t>
  </si>
  <si>
    <t>Porcentaje de cumplimiento del Acuerdo de Nivel de Servicio (ANS)</t>
  </si>
  <si>
    <t>2024-2</t>
  </si>
  <si>
    <t>Experiencia Institucional - Fase 1</t>
  </si>
  <si>
    <t xml:space="preserve">Creación del colegio de educación media virtual </t>
  </si>
  <si>
    <t>Stand by</t>
  </si>
  <si>
    <t>Reingenieria de aplicaciones</t>
  </si>
  <si>
    <t>Redefinición de Modelo de seguimiento y acompañamiento al Graduado</t>
  </si>
  <si>
    <t>Titulación Autogestionada</t>
  </si>
  <si>
    <t>14.1-2024-06-30</t>
  </si>
  <si>
    <t>14.1-2024-12-31</t>
  </si>
  <si>
    <t>14.2-2024-06-30</t>
  </si>
  <si>
    <t>14.2-2024-12-31</t>
  </si>
  <si>
    <t>14.3-2024-06-30</t>
  </si>
  <si>
    <t>14.3-2024-12-31</t>
  </si>
  <si>
    <t>14.4-2024-06-30</t>
  </si>
  <si>
    <t>14.4-2024-12-31</t>
  </si>
  <si>
    <t>466-2024-12-31</t>
  </si>
  <si>
    <t>2024-1</t>
  </si>
  <si>
    <t>2025-1</t>
  </si>
  <si>
    <t>% de profesores (Contrato Indefinido- Fijo) impactados plan de desarrollo docente *</t>
  </si>
  <si>
    <t>525.2</t>
  </si>
  <si>
    <t xml:space="preserve">Total Ingresos B2G </t>
  </si>
  <si>
    <t>Julio</t>
  </si>
  <si>
    <t>Agosto</t>
  </si>
  <si>
    <t>Portafolio de Proyectos - Metrica</t>
  </si>
  <si>
    <t>Cumplimiento a cronograma de proyectos 2025</t>
  </si>
  <si>
    <t>Tasa de Permanencia Intersemestral de Estudiantes Ingresantes</t>
  </si>
  <si>
    <t>Docentes contratados - Metrica</t>
  </si>
  <si>
    <t>Número de programas con obtención de acreditación por primera vez- Metrica</t>
  </si>
  <si>
    <t>Número de programas con renovación de acreditación en alta calidad - Metrica</t>
  </si>
  <si>
    <t>Número de programas con condiciones iniciales aprobadas (indicador externo)- Metrica</t>
  </si>
  <si>
    <t>Eficiencia en la reducción de costos en la gestión del abastecimiento</t>
  </si>
  <si>
    <t>Nivel de acompañamiento a estudiantes en práctica</t>
  </si>
  <si>
    <t>Satisfacción Institucional CSAT</t>
  </si>
  <si>
    <t>% de publicaciones con sentimiento positivo</t>
  </si>
  <si>
    <t>Respuesta ante nuevas necesidades de control</t>
  </si>
  <si>
    <t>% de publicaciones con sentimiento neutro o negativo</t>
  </si>
  <si>
    <t>Actividades de Cooperación en Internacionalización</t>
  </si>
  <si>
    <t>Participación de estudiantes externos invitados a actividades de cooperación nacional e internacional</t>
  </si>
  <si>
    <t>Participación de estudiantes POLI en actividades de cooperación nacional e internacional</t>
  </si>
  <si>
    <t>Participación de profesores externos invitados a actividades de cooperación nacional e internacional</t>
  </si>
  <si>
    <t>Participación de profesores POLI en actividades de cooperación nacional e internacional</t>
  </si>
  <si>
    <t>FCR- Resolución en primer contacto</t>
  </si>
  <si>
    <t>Tasa de interacción por usuario</t>
  </si>
  <si>
    <t>Producción de ambientes inmersivos LEI</t>
  </si>
  <si>
    <t>Subprocesos Con indicadores definidos</t>
  </si>
  <si>
    <t>Frecuencia de incidentes de riesgos</t>
  </si>
  <si>
    <t>Eficacia de controles</t>
  </si>
  <si>
    <t>Nivel de cumplimiento del plan de seguimiento a controles</t>
  </si>
  <si>
    <t>Participación de la comunidad en la Rendición de Cuentas</t>
  </si>
  <si>
    <t>Gestión y desarrollo del talento humano</t>
  </si>
  <si>
    <t>Plan anual Dirección nacional de registro y control</t>
  </si>
  <si>
    <t>Cumplimiento Plan Anual Gerencia de matricula</t>
  </si>
  <si>
    <t>Cumplimiento Plan Anual Gerencia de mercadeo</t>
  </si>
  <si>
    <t>Cumplimiento Plan Anual Gerencia de servicios corporativos</t>
  </si>
  <si>
    <t>Cumplimiento Plan Anual Director B2B y B2C</t>
  </si>
  <si>
    <t>Cumplimiento Plan Anual Dirección de desarrollo de mercados</t>
  </si>
  <si>
    <t>Cumplimiento Plan Anual Dirección de marca y desarrollo de canales</t>
  </si>
  <si>
    <t>Cumplimiento Plan Anual Gerencia de planeación y gestión</t>
  </si>
  <si>
    <t>Meta_Signo</t>
  </si>
  <si>
    <t>Ejecucion_Signo</t>
  </si>
  <si>
    <t>Ejecucion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</si>
</sst>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0.0"/>
    <numFmt numFmtId="167" formatCode="_-* #,##0.0_-;\-* #,##0.0_-;_-* &quot;-&quot;??_-;_-@_-"/>
    <numFmt numFmtId="168" formatCode="0.000"/>
    <numFmt numFmtId="169" formatCode="_-&quot;$&quot;\ * #,##0_-;\-&quot;$&quot;\ * #,##0_-;_-&quot;$&quot;\ * &quot;-&quot;??_-;_-@_-"/>
    <numFmt numFmtId="170" formatCode="0.000000%"/>
    <numFmt numFmtId="171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AD6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Fill="0" applyProtection="0"/>
  </cellStyleXfs>
  <cellXfs count="10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5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166" fontId="0" fillId="0" borderId="1" xfId="0" applyNumberFormat="1" applyBorder="1"/>
    <xf numFmtId="9" fontId="0" fillId="0" borderId="1" xfId="2" applyFont="1" applyBorder="1"/>
    <xf numFmtId="164" fontId="0" fillId="0" borderId="1" xfId="1" applyNumberFormat="1" applyFont="1" applyBorder="1"/>
    <xf numFmtId="2" fontId="0" fillId="0" borderId="1" xfId="0" applyNumberFormat="1" applyBorder="1"/>
    <xf numFmtId="4" fontId="0" fillId="0" borderId="1" xfId="0" applyNumberFormat="1" applyBorder="1"/>
    <xf numFmtId="43" fontId="0" fillId="0" borderId="1" xfId="1" applyFont="1" applyBorder="1"/>
    <xf numFmtId="0" fontId="0" fillId="4" borderId="1" xfId="0" applyFill="1" applyBorder="1"/>
    <xf numFmtId="14" fontId="0" fillId="4" borderId="1" xfId="0" applyNumberFormat="1" applyFill="1" applyBorder="1"/>
    <xf numFmtId="10" fontId="0" fillId="0" borderId="1" xfId="2" applyNumberFormat="1" applyFont="1" applyBorder="1"/>
    <xf numFmtId="1" fontId="0" fillId="0" borderId="1" xfId="0" applyNumberFormat="1" applyBorder="1"/>
    <xf numFmtId="14" fontId="4" fillId="0" borderId="1" xfId="0" applyNumberFormat="1" applyFont="1" applyBorder="1"/>
    <xf numFmtId="0" fontId="0" fillId="3" borderId="1" xfId="0" applyFill="1" applyBorder="1"/>
    <xf numFmtId="14" fontId="4" fillId="3" borderId="1" xfId="0" applyNumberFormat="1" applyFont="1" applyFill="1" applyBorder="1"/>
    <xf numFmtId="10" fontId="0" fillId="0" borderId="1" xfId="0" applyNumberFormat="1" applyBorder="1"/>
    <xf numFmtId="165" fontId="0" fillId="4" borderId="1" xfId="2" applyNumberFormat="1" applyFont="1" applyFill="1" applyBorder="1"/>
    <xf numFmtId="165" fontId="0" fillId="0" borderId="1" xfId="2" applyNumberFormat="1" applyFont="1" applyBorder="1"/>
    <xf numFmtId="0" fontId="4" fillId="0" borderId="1" xfId="0" applyFont="1" applyBorder="1"/>
    <xf numFmtId="165" fontId="0" fillId="0" borderId="1" xfId="2" applyNumberFormat="1" applyFont="1" applyFill="1" applyBorder="1"/>
    <xf numFmtId="1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9" fontId="0" fillId="0" borderId="1" xfId="2" applyFont="1" applyBorder="1" applyAlignment="1">
      <alignment wrapText="1"/>
    </xf>
    <xf numFmtId="10" fontId="0" fillId="0" borderId="1" xfId="2" applyNumberFormat="1" applyFont="1" applyFill="1" applyBorder="1"/>
    <xf numFmtId="0" fontId="0" fillId="5" borderId="1" xfId="0" applyFill="1" applyBorder="1"/>
    <xf numFmtId="0" fontId="4" fillId="5" borderId="1" xfId="0" applyFont="1" applyFill="1" applyBorder="1"/>
    <xf numFmtId="14" fontId="0" fillId="5" borderId="1" xfId="0" applyNumberFormat="1" applyFill="1" applyBorder="1"/>
    <xf numFmtId="165" fontId="0" fillId="5" borderId="1" xfId="2" applyNumberFormat="1" applyFont="1" applyFill="1" applyBorder="1"/>
    <xf numFmtId="0" fontId="0" fillId="5" borderId="0" xfId="0" applyFill="1"/>
    <xf numFmtId="3" fontId="0" fillId="0" borderId="1" xfId="0" applyNumberFormat="1" applyBorder="1"/>
    <xf numFmtId="0" fontId="0" fillId="3" borderId="1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3" fontId="6" fillId="0" borderId="1" xfId="0" applyNumberFormat="1" applyFont="1" applyBorder="1"/>
    <xf numFmtId="14" fontId="0" fillId="0" borderId="1" xfId="0" quotePrefix="1" applyNumberFormat="1" applyBorder="1"/>
    <xf numFmtId="164" fontId="0" fillId="4" borderId="1" xfId="1" applyNumberFormat="1" applyFont="1" applyFill="1" applyBorder="1"/>
    <xf numFmtId="0" fontId="0" fillId="7" borderId="1" xfId="0" applyFill="1" applyBorder="1"/>
    <xf numFmtId="1" fontId="0" fillId="0" borderId="1" xfId="2" applyNumberFormat="1" applyFont="1" applyBorder="1"/>
    <xf numFmtId="0" fontId="3" fillId="9" borderId="1" xfId="0" applyFont="1" applyFill="1" applyBorder="1" applyAlignment="1">
      <alignment horizontal="center" vertical="center"/>
    </xf>
    <xf numFmtId="10" fontId="0" fillId="9" borderId="1" xfId="2" applyNumberFormat="1" applyFont="1" applyFill="1" applyBorder="1"/>
    <xf numFmtId="0" fontId="0" fillId="9" borderId="1" xfId="0" applyFill="1" applyBorder="1"/>
    <xf numFmtId="0" fontId="5" fillId="0" borderId="0" xfId="0" applyFont="1"/>
    <xf numFmtId="0" fontId="2" fillId="0" borderId="1" xfId="0" applyFont="1" applyBorder="1" applyAlignment="1">
      <alignment horizontal="center" vertical="center"/>
    </xf>
    <xf numFmtId="0" fontId="0" fillId="10" borderId="1" xfId="0" applyFill="1" applyBorder="1"/>
    <xf numFmtId="14" fontId="0" fillId="10" borderId="1" xfId="0" applyNumberFormat="1" applyFill="1" applyBorder="1"/>
    <xf numFmtId="1" fontId="0" fillId="10" borderId="1" xfId="0" applyNumberFormat="1" applyFill="1" applyBorder="1"/>
    <xf numFmtId="0" fontId="2" fillId="0" borderId="1" xfId="0" applyFont="1" applyBorder="1"/>
    <xf numFmtId="0" fontId="0" fillId="8" borderId="1" xfId="0" applyFill="1" applyBorder="1"/>
    <xf numFmtId="49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7" fillId="0" borderId="1" xfId="0" applyFont="1" applyBorder="1"/>
    <xf numFmtId="10" fontId="0" fillId="0" borderId="0" xfId="0" applyNumberFormat="1"/>
    <xf numFmtId="164" fontId="0" fillId="11" borderId="1" xfId="1" applyNumberFormat="1" applyFont="1" applyFill="1" applyBorder="1"/>
    <xf numFmtId="0" fontId="0" fillId="0" borderId="2" xfId="0" applyBorder="1"/>
    <xf numFmtId="10" fontId="0" fillId="0" borderId="2" xfId="2" applyNumberFormat="1" applyFont="1" applyFill="1" applyBorder="1"/>
    <xf numFmtId="2" fontId="0" fillId="0" borderId="1" xfId="1" applyNumberFormat="1" applyFont="1" applyBorder="1"/>
    <xf numFmtId="6" fontId="0" fillId="0" borderId="1" xfId="0" applyNumberFormat="1" applyBorder="1"/>
    <xf numFmtId="14" fontId="0" fillId="0" borderId="0" xfId="0" applyNumberFormat="1"/>
    <xf numFmtId="164" fontId="0" fillId="0" borderId="1" xfId="1" applyNumberFormat="1" applyFont="1" applyFill="1" applyBorder="1"/>
    <xf numFmtId="169" fontId="0" fillId="0" borderId="1" xfId="4" applyNumberFormat="1" applyFont="1" applyFill="1" applyBorder="1"/>
    <xf numFmtId="0" fontId="0" fillId="12" borderId="1" xfId="0" applyFill="1" applyBorder="1" applyAlignment="1">
      <alignment horizontal="right"/>
    </xf>
    <xf numFmtId="0" fontId="0" fillId="12" borderId="1" xfId="0" applyFill="1" applyBorder="1"/>
    <xf numFmtId="14" fontId="0" fillId="12" borderId="1" xfId="0" applyNumberFormat="1" applyFill="1" applyBorder="1"/>
    <xf numFmtId="2" fontId="0" fillId="12" borderId="1" xfId="0" applyNumberFormat="1" applyFill="1" applyBorder="1"/>
    <xf numFmtId="10" fontId="0" fillId="12" borderId="1" xfId="2" applyNumberFormat="1" applyFont="1" applyFill="1" applyBorder="1"/>
    <xf numFmtId="1" fontId="0" fillId="12" borderId="1" xfId="0" applyNumberFormat="1" applyFill="1" applyBorder="1"/>
    <xf numFmtId="164" fontId="0" fillId="0" borderId="0" xfId="1" applyNumberFormat="1" applyFont="1" applyBorder="1"/>
    <xf numFmtId="167" fontId="0" fillId="0" borderId="1" xfId="1" applyNumberFormat="1" applyFont="1" applyBorder="1"/>
    <xf numFmtId="10" fontId="1" fillId="0" borderId="1" xfId="2" applyNumberFormat="1" applyFont="1" applyBorder="1"/>
    <xf numFmtId="170" fontId="0" fillId="0" borderId="1" xfId="2" applyNumberFormat="1" applyFont="1" applyBorder="1"/>
    <xf numFmtId="10" fontId="0" fillId="0" borderId="1" xfId="2" quotePrefix="1" applyNumberFormat="1" applyFont="1" applyBorder="1"/>
    <xf numFmtId="43" fontId="5" fillId="0" borderId="1" xfId="1" applyFont="1" applyBorder="1"/>
    <xf numFmtId="4" fontId="5" fillId="0" borderId="1" xfId="0" applyNumberFormat="1" applyFont="1" applyBorder="1"/>
    <xf numFmtId="164" fontId="5" fillId="0" borderId="1" xfId="1" applyNumberFormat="1" applyFont="1" applyBorder="1"/>
    <xf numFmtId="164" fontId="1" fillId="0" borderId="1" xfId="1" applyNumberFormat="1" applyFont="1" applyBorder="1"/>
    <xf numFmtId="4" fontId="0" fillId="0" borderId="4" xfId="0" applyNumberFormat="1" applyBorder="1"/>
    <xf numFmtId="14" fontId="4" fillId="0" borderId="0" xfId="0" applyNumberFormat="1" applyFont="1"/>
    <xf numFmtId="0" fontId="0" fillId="0" borderId="4" xfId="0" applyBorder="1"/>
    <xf numFmtId="3" fontId="0" fillId="0" borderId="1" xfId="1" applyNumberFormat="1" applyFont="1" applyBorder="1"/>
    <xf numFmtId="164" fontId="0" fillId="0" borderId="1" xfId="0" applyNumberFormat="1" applyBorder="1"/>
    <xf numFmtId="171" fontId="0" fillId="0" borderId="1" xfId="1" applyNumberFormat="1" applyFont="1" applyBorder="1"/>
    <xf numFmtId="171" fontId="0" fillId="0" borderId="1" xfId="0" applyNumberFormat="1" applyBorder="1"/>
    <xf numFmtId="0" fontId="0" fillId="4" borderId="3" xfId="0" applyFill="1" applyBorder="1" applyAlignment="1">
      <alignment horizontal="right"/>
    </xf>
    <xf numFmtId="0" fontId="0" fillId="4" borderId="3" xfId="0" applyFill="1" applyBorder="1"/>
    <xf numFmtId="14" fontId="0" fillId="4" borderId="3" xfId="0" applyNumberFormat="1" applyFill="1" applyBorder="1"/>
    <xf numFmtId="10" fontId="0" fillId="0" borderId="3" xfId="2" applyNumberFormat="1" applyFont="1" applyBorder="1"/>
    <xf numFmtId="14" fontId="0" fillId="0" borderId="3" xfId="0" applyNumberFormat="1" applyBorder="1"/>
    <xf numFmtId="1" fontId="0" fillId="0" borderId="3" xfId="0" applyNumberFormat="1" applyBorder="1"/>
    <xf numFmtId="0" fontId="0" fillId="0" borderId="3" xfId="0" applyBorder="1" applyAlignment="1">
      <alignment horizontal="right"/>
    </xf>
    <xf numFmtId="14" fontId="4" fillId="0" borderId="3" xfId="0" applyNumberFormat="1" applyFont="1" applyBorder="1"/>
    <xf numFmtId="164" fontId="0" fillId="0" borderId="3" xfId="1" applyNumberFormat="1" applyFont="1" applyBorder="1"/>
    <xf numFmtId="168" fontId="0" fillId="0" borderId="1" xfId="0" applyNumberFormat="1" applyBorder="1"/>
    <xf numFmtId="10" fontId="0" fillId="0" borderId="0" xfId="2" applyNumberFormat="1" applyFont="1" applyFill="1" applyBorder="1"/>
    <xf numFmtId="0" fontId="4" fillId="0" borderId="1" xfId="0" applyFont="1" applyBorder="1" applyAlignment="1">
      <alignment horizontal="right"/>
    </xf>
    <xf numFmtId="0" fontId="4" fillId="0" borderId="1" xfId="5" applyFill="1" applyBorder="1" applyProtection="1"/>
    <xf numFmtId="164" fontId="0" fillId="0" borderId="0" xfId="1" applyNumberFormat="1" applyFont="1"/>
    <xf numFmtId="2" fontId="5" fillId="0" borderId="1" xfId="0" applyNumberFormat="1" applyFont="1" applyBorder="1"/>
    <xf numFmtId="0" fontId="0" fillId="13" borderId="1" xfId="0" applyFill="1" applyBorder="1"/>
    <xf numFmtId="43" fontId="0" fillId="0" borderId="1" xfId="0" applyNumberFormat="1" applyBorder="1"/>
  </cellXfs>
  <cellStyles count="6">
    <cellStyle name="Millares" xfId="1" builtinId="3"/>
    <cellStyle name="Moneda" xfId="4" builtinId="4"/>
    <cellStyle name="Moneda 2" xfId="3" xr:uid="{B0448682-6512-4535-ADC2-D73982C90481}"/>
    <cellStyle name="Normal" xfId="0" builtinId="0"/>
    <cellStyle name="Normal 2" xfId="5" xr:uid="{3D748A85-9E4C-4387-8156-C379B089882F}"/>
    <cellStyle name="Porcentaje" xfId="2" builtinId="5"/>
  </cellStyles>
  <dxfs count="1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459C6DF7-B6FC-4A65-BAD0-8ABA7C4E1BF1}"/>
  </tableStyles>
  <colors>
    <mruColors>
      <color rgb="FFDF8F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Ximena Silva" id="{61B842BC-5C17-40AB-B190-7C3A5EABA3CB}" userId="5f15395a9ed9a48f" providerId="Windows Liv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8" dT="2025-03-12T05:43:44.02" personId="{61B842BC-5C17-40AB-B190-7C3A5EABA3CB}" id="{D11CFBA5-5A24-4DD9-9374-0CB8B5A19564}">
    <text>Cambio num 237 por 3 id proyecto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300A-3C7E-4931-8DB1-77A6FC8ADA15}">
  <sheetPr codeName="Hoja2"/>
  <dimension ref="A1:R2551"/>
  <sheetViews>
    <sheetView showGridLines="0" tabSelected="1" zoomScale="75" zoomScaleNormal="75" workbookViewId="0"/>
  </sheetViews>
  <sheetFormatPr baseColWidth="10" defaultRowHeight="14.4" x14ac:dyDescent="0.3"/>
  <cols>
    <col min="2" max="2" width="48.109375" customWidth="1"/>
    <col min="3" max="3" width="51.77734375" bestFit="1" customWidth="1"/>
    <col min="4" max="6" width="11.5546875" customWidth="1"/>
    <col min="7" max="8" width="20" customWidth="1"/>
    <col min="10" max="11" width="20" bestFit="1" customWidth="1"/>
    <col min="12" max="12" width="11.5546875" customWidth="1"/>
    <col min="14" max="15" width="20" customWidth="1"/>
    <col min="17" max="17" width="10.44140625" bestFit="1" customWidth="1"/>
  </cols>
  <sheetData>
    <row r="1" spans="1:18" ht="28.8" x14ac:dyDescent="0.3">
      <c r="A1" s="45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327</v>
      </c>
      <c r="G1" s="1" t="s">
        <v>419</v>
      </c>
      <c r="H1" s="1" t="s">
        <v>420</v>
      </c>
      <c r="I1" s="55" t="s">
        <v>418</v>
      </c>
      <c r="J1" s="1" t="s">
        <v>5</v>
      </c>
      <c r="K1" s="1" t="s">
        <v>908</v>
      </c>
      <c r="L1" s="4" t="s">
        <v>328</v>
      </c>
      <c r="M1" s="1" t="s">
        <v>480</v>
      </c>
      <c r="N1" s="1" t="s">
        <v>906</v>
      </c>
      <c r="O1" s="1" t="s">
        <v>907</v>
      </c>
      <c r="P1" s="56" t="s">
        <v>767</v>
      </c>
      <c r="Q1" s="56" t="s">
        <v>768</v>
      </c>
      <c r="R1" s="1" t="s">
        <v>475</v>
      </c>
    </row>
    <row r="2" spans="1:18" x14ac:dyDescent="0.3">
      <c r="A2" s="90">
        <v>1</v>
      </c>
      <c r="B2" s="91" t="s">
        <v>330</v>
      </c>
      <c r="C2" s="91" t="s">
        <v>129</v>
      </c>
      <c r="D2" s="91" t="s">
        <v>18</v>
      </c>
      <c r="E2" s="91" t="s">
        <v>9</v>
      </c>
      <c r="F2" s="92">
        <v>44957</v>
      </c>
      <c r="G2" s="57">
        <f t="shared" ref="G2:G65" si="0">YEAR(F2)</f>
        <v>2023</v>
      </c>
      <c r="H2" s="57" t="str">
        <f t="shared" ref="H2:H65" si="1">PROPER(TEXT(F2,"mmmm"))</f>
        <v>Enero</v>
      </c>
      <c r="I2" s="94" t="str">
        <f>IF(OR(H2="Enero",H2="Febrero",H2="Marzo",H2="Abril",H2="Mayo",H2="Junio"),G2&amp;"-1",IF(OR(H2="Julio",H2="Agosto",H2="Septiembre",H2="Octubre",H2="Noviembre",H2="Diciembre"),G2&amp;"-2"))</f>
        <v>2023-1</v>
      </c>
      <c r="J2" s="91">
        <v>3</v>
      </c>
      <c r="K2" s="91">
        <v>4</v>
      </c>
      <c r="L2" s="93">
        <f t="shared" ref="L2:L13" si="2">IFERROR(IF((K2/J2)&gt;1.3,1.3,K2/J2),"")</f>
        <v>1.3</v>
      </c>
      <c r="M2" s="93">
        <f t="shared" ref="M2:M13" si="3">IFERROR(IF((K2/J2)&gt;K2/J2,1.3,K2/J2),"")</f>
        <v>1.3333333333333333</v>
      </c>
      <c r="N2" s="91" t="s">
        <v>347</v>
      </c>
      <c r="O2" s="91" t="s">
        <v>347</v>
      </c>
      <c r="P2" s="95">
        <v>0</v>
      </c>
      <c r="Q2" s="95">
        <v>0</v>
      </c>
      <c r="R2" s="57" t="str">
        <f t="shared" ref="R2:R65" si="4">A2&amp;"-"&amp;YEAR(F2)&amp;"-"&amp;IF(LEN(MONTH(F2))=1,"0"&amp;MONTH(F2),MONTH(F2))&amp;"-"&amp;DAY(F2)</f>
        <v>1-2023-01-31</v>
      </c>
    </row>
    <row r="3" spans="1:18" x14ac:dyDescent="0.3">
      <c r="A3" s="37">
        <v>1</v>
      </c>
      <c r="B3" s="13" t="s">
        <v>330</v>
      </c>
      <c r="C3" s="13" t="s">
        <v>129</v>
      </c>
      <c r="D3" s="13" t="s">
        <v>18</v>
      </c>
      <c r="E3" s="13" t="s">
        <v>9</v>
      </c>
      <c r="F3" s="14">
        <v>44985</v>
      </c>
      <c r="G3" s="5">
        <f t="shared" si="0"/>
        <v>2023</v>
      </c>
      <c r="H3" s="5" t="str">
        <f t="shared" si="1"/>
        <v>Febrero</v>
      </c>
      <c r="I3" s="6" t="str">
        <f t="shared" ref="I3:I65" si="5">IF(OR(H3="Enero",H3="Febrero",H3="Marzo",H3="Abril",H3="Mayo",H3="Junio"),G3&amp;"-1",IF(OR(H3="Julio",H3="Agosto",H3="Septiembre",H3="Octubre",H3="Noviembre",H3="Diciembre"),G3&amp;"-2"))</f>
        <v>2023-1</v>
      </c>
      <c r="J3" s="13">
        <v>33</v>
      </c>
      <c r="K3" s="13">
        <v>4</v>
      </c>
      <c r="L3" s="15">
        <f t="shared" si="2"/>
        <v>0.12121212121212122</v>
      </c>
      <c r="M3" s="15">
        <f t="shared" si="3"/>
        <v>0.12121212121212122</v>
      </c>
      <c r="N3" s="13" t="s">
        <v>347</v>
      </c>
      <c r="O3" s="13" t="s">
        <v>347</v>
      </c>
      <c r="P3" s="16">
        <v>0</v>
      </c>
      <c r="Q3" s="16">
        <v>0</v>
      </c>
      <c r="R3" s="5" t="str">
        <f t="shared" si="4"/>
        <v>1-2023-02-28</v>
      </c>
    </row>
    <row r="4" spans="1:18" x14ac:dyDescent="0.3">
      <c r="A4" s="37">
        <v>1</v>
      </c>
      <c r="B4" s="13" t="s">
        <v>330</v>
      </c>
      <c r="C4" s="13" t="s">
        <v>129</v>
      </c>
      <c r="D4" s="13" t="s">
        <v>18</v>
      </c>
      <c r="E4" s="13" t="s">
        <v>9</v>
      </c>
      <c r="F4" s="14">
        <v>45016</v>
      </c>
      <c r="G4" s="5">
        <f t="shared" si="0"/>
        <v>2023</v>
      </c>
      <c r="H4" s="5" t="str">
        <f t="shared" si="1"/>
        <v>Marzo</v>
      </c>
      <c r="I4" s="6" t="str">
        <f t="shared" si="5"/>
        <v>2023-1</v>
      </c>
      <c r="J4" s="13">
        <v>33</v>
      </c>
      <c r="K4" s="13">
        <v>43</v>
      </c>
      <c r="L4" s="15">
        <f t="shared" si="2"/>
        <v>1.3</v>
      </c>
      <c r="M4" s="15">
        <f t="shared" si="3"/>
        <v>1.303030303030303</v>
      </c>
      <c r="N4" s="13" t="s">
        <v>347</v>
      </c>
      <c r="O4" s="13" t="s">
        <v>347</v>
      </c>
      <c r="P4" s="16">
        <v>0</v>
      </c>
      <c r="Q4" s="16">
        <v>0</v>
      </c>
      <c r="R4" s="5" t="str">
        <f t="shared" si="4"/>
        <v>1-2023-03-31</v>
      </c>
    </row>
    <row r="5" spans="1:18" x14ac:dyDescent="0.3">
      <c r="A5" s="37">
        <v>1</v>
      </c>
      <c r="B5" s="13" t="s">
        <v>330</v>
      </c>
      <c r="C5" s="13" t="s">
        <v>129</v>
      </c>
      <c r="D5" s="13" t="s">
        <v>18</v>
      </c>
      <c r="E5" s="13" t="s">
        <v>9</v>
      </c>
      <c r="F5" s="14">
        <v>45046</v>
      </c>
      <c r="G5" s="5">
        <f t="shared" si="0"/>
        <v>2023</v>
      </c>
      <c r="H5" s="5" t="str">
        <f t="shared" si="1"/>
        <v>Abril</v>
      </c>
      <c r="I5" s="6" t="str">
        <f t="shared" si="5"/>
        <v>2023-1</v>
      </c>
      <c r="J5" s="13">
        <v>77</v>
      </c>
      <c r="K5" s="13">
        <v>60</v>
      </c>
      <c r="L5" s="15">
        <f t="shared" si="2"/>
        <v>0.77922077922077926</v>
      </c>
      <c r="M5" s="15">
        <f t="shared" si="3"/>
        <v>0.77922077922077926</v>
      </c>
      <c r="N5" s="13" t="s">
        <v>347</v>
      </c>
      <c r="O5" s="13" t="s">
        <v>347</v>
      </c>
      <c r="P5" s="16">
        <v>0</v>
      </c>
      <c r="Q5" s="16">
        <v>0</v>
      </c>
      <c r="R5" s="5" t="str">
        <f t="shared" si="4"/>
        <v>1-2023-04-30</v>
      </c>
    </row>
    <row r="6" spans="1:18" x14ac:dyDescent="0.3">
      <c r="A6" s="37">
        <v>1</v>
      </c>
      <c r="B6" s="13" t="s">
        <v>330</v>
      </c>
      <c r="C6" s="13" t="s">
        <v>129</v>
      </c>
      <c r="D6" s="13" t="s">
        <v>18</v>
      </c>
      <c r="E6" s="13" t="s">
        <v>9</v>
      </c>
      <c r="F6" s="14">
        <v>45077</v>
      </c>
      <c r="G6" s="5">
        <f t="shared" si="0"/>
        <v>2023</v>
      </c>
      <c r="H6" s="5" t="str">
        <f t="shared" si="1"/>
        <v>Mayo</v>
      </c>
      <c r="I6" s="6" t="str">
        <f t="shared" si="5"/>
        <v>2023-1</v>
      </c>
      <c r="J6" s="13">
        <v>84</v>
      </c>
      <c r="K6" s="13">
        <v>90</v>
      </c>
      <c r="L6" s="15">
        <f t="shared" si="2"/>
        <v>1.0714285714285714</v>
      </c>
      <c r="M6" s="15">
        <f t="shared" si="3"/>
        <v>1.0714285714285714</v>
      </c>
      <c r="N6" s="13" t="s">
        <v>347</v>
      </c>
      <c r="O6" s="13" t="s">
        <v>347</v>
      </c>
      <c r="P6" s="16">
        <v>0</v>
      </c>
      <c r="Q6" s="16">
        <v>0</v>
      </c>
      <c r="R6" s="5" t="str">
        <f t="shared" si="4"/>
        <v>1-2023-05-31</v>
      </c>
    </row>
    <row r="7" spans="1:18" x14ac:dyDescent="0.3">
      <c r="A7" s="37">
        <v>1</v>
      </c>
      <c r="B7" s="13" t="s">
        <v>330</v>
      </c>
      <c r="C7" s="13" t="s">
        <v>129</v>
      </c>
      <c r="D7" s="13" t="s">
        <v>18</v>
      </c>
      <c r="E7" s="13" t="s">
        <v>9</v>
      </c>
      <c r="F7" s="14">
        <v>45107</v>
      </c>
      <c r="G7" s="5">
        <f t="shared" si="0"/>
        <v>2023</v>
      </c>
      <c r="H7" s="5" t="str">
        <f t="shared" si="1"/>
        <v>Junio</v>
      </c>
      <c r="I7" s="6" t="str">
        <f t="shared" si="5"/>
        <v>2023-1</v>
      </c>
      <c r="J7" s="13">
        <v>93</v>
      </c>
      <c r="K7" s="13">
        <v>95</v>
      </c>
      <c r="L7" s="15">
        <f t="shared" si="2"/>
        <v>1.021505376344086</v>
      </c>
      <c r="M7" s="15">
        <f t="shared" si="3"/>
        <v>1.021505376344086</v>
      </c>
      <c r="N7" s="13" t="s">
        <v>347</v>
      </c>
      <c r="O7" s="13" t="s">
        <v>347</v>
      </c>
      <c r="P7" s="16">
        <v>0</v>
      </c>
      <c r="Q7" s="16">
        <v>0</v>
      </c>
      <c r="R7" s="5" t="str">
        <f t="shared" si="4"/>
        <v>1-2023-06-30</v>
      </c>
    </row>
    <row r="8" spans="1:18" x14ac:dyDescent="0.3">
      <c r="A8" s="37">
        <v>1</v>
      </c>
      <c r="B8" s="13" t="s">
        <v>330</v>
      </c>
      <c r="C8" s="13" t="s">
        <v>129</v>
      </c>
      <c r="D8" s="13" t="s">
        <v>18</v>
      </c>
      <c r="E8" s="13" t="s">
        <v>9</v>
      </c>
      <c r="F8" s="14">
        <v>45138</v>
      </c>
      <c r="G8" s="5">
        <f t="shared" si="0"/>
        <v>2023</v>
      </c>
      <c r="H8" s="5" t="str">
        <f t="shared" si="1"/>
        <v>Julio</v>
      </c>
      <c r="I8" s="6" t="str">
        <f t="shared" si="5"/>
        <v>2023-2</v>
      </c>
      <c r="J8" s="13">
        <v>99</v>
      </c>
      <c r="K8" s="13">
        <v>98</v>
      </c>
      <c r="L8" s="15">
        <f t="shared" si="2"/>
        <v>0.98989898989898994</v>
      </c>
      <c r="M8" s="15">
        <f t="shared" si="3"/>
        <v>0.98989898989898994</v>
      </c>
      <c r="N8" s="13" t="s">
        <v>347</v>
      </c>
      <c r="O8" s="13" t="s">
        <v>347</v>
      </c>
      <c r="P8" s="16">
        <v>0</v>
      </c>
      <c r="Q8" s="16">
        <v>0</v>
      </c>
      <c r="R8" s="5" t="str">
        <f t="shared" si="4"/>
        <v>1-2023-07-31</v>
      </c>
    </row>
    <row r="9" spans="1:18" x14ac:dyDescent="0.3">
      <c r="A9" s="37">
        <v>1</v>
      </c>
      <c r="B9" s="13" t="s">
        <v>330</v>
      </c>
      <c r="C9" s="13" t="s">
        <v>129</v>
      </c>
      <c r="D9" s="13" t="s">
        <v>18</v>
      </c>
      <c r="E9" s="13" t="s">
        <v>9</v>
      </c>
      <c r="F9" s="14">
        <v>45169</v>
      </c>
      <c r="G9" s="5">
        <f t="shared" si="0"/>
        <v>2023</v>
      </c>
      <c r="H9" s="5" t="str">
        <f t="shared" si="1"/>
        <v>Agosto</v>
      </c>
      <c r="I9" s="6" t="str">
        <f t="shared" si="5"/>
        <v>2023-2</v>
      </c>
      <c r="J9" s="13">
        <v>100</v>
      </c>
      <c r="K9" s="13">
        <v>99</v>
      </c>
      <c r="L9" s="15">
        <f t="shared" si="2"/>
        <v>0.99</v>
      </c>
      <c r="M9" s="15">
        <f t="shared" si="3"/>
        <v>0.99</v>
      </c>
      <c r="N9" s="13" t="s">
        <v>347</v>
      </c>
      <c r="O9" s="13" t="s">
        <v>347</v>
      </c>
      <c r="P9" s="16">
        <v>0</v>
      </c>
      <c r="Q9" s="16">
        <v>0</v>
      </c>
      <c r="R9" s="5" t="str">
        <f t="shared" si="4"/>
        <v>1-2023-08-31</v>
      </c>
    </row>
    <row r="10" spans="1:18" x14ac:dyDescent="0.3">
      <c r="A10" s="37">
        <v>1</v>
      </c>
      <c r="B10" s="13" t="s">
        <v>330</v>
      </c>
      <c r="C10" s="13" t="s">
        <v>129</v>
      </c>
      <c r="D10" s="13" t="s">
        <v>18</v>
      </c>
      <c r="E10" s="13" t="s">
        <v>9</v>
      </c>
      <c r="F10" s="14">
        <v>45199</v>
      </c>
      <c r="G10" s="5">
        <f t="shared" si="0"/>
        <v>2023</v>
      </c>
      <c r="H10" s="5" t="str">
        <f t="shared" si="1"/>
        <v>Septiembre</v>
      </c>
      <c r="I10" s="6" t="str">
        <f t="shared" si="5"/>
        <v>2023-2</v>
      </c>
      <c r="J10" s="13">
        <v>100</v>
      </c>
      <c r="K10" s="13">
        <v>99</v>
      </c>
      <c r="L10" s="15">
        <f t="shared" si="2"/>
        <v>0.99</v>
      </c>
      <c r="M10" s="15">
        <f t="shared" si="3"/>
        <v>0.99</v>
      </c>
      <c r="N10" s="13" t="s">
        <v>347</v>
      </c>
      <c r="O10" s="13" t="s">
        <v>347</v>
      </c>
      <c r="P10" s="16">
        <v>0</v>
      </c>
      <c r="Q10" s="16">
        <v>0</v>
      </c>
      <c r="R10" s="5" t="str">
        <f t="shared" si="4"/>
        <v>1-2023-09-30</v>
      </c>
    </row>
    <row r="11" spans="1:18" x14ac:dyDescent="0.3">
      <c r="A11" s="37">
        <v>1</v>
      </c>
      <c r="B11" s="13" t="s">
        <v>330</v>
      </c>
      <c r="C11" s="13" t="s">
        <v>129</v>
      </c>
      <c r="D11" s="13" t="s">
        <v>18</v>
      </c>
      <c r="E11" s="13" t="s">
        <v>9</v>
      </c>
      <c r="F11" s="14">
        <v>45230</v>
      </c>
      <c r="G11" s="5">
        <f t="shared" si="0"/>
        <v>2023</v>
      </c>
      <c r="H11" s="5" t="str">
        <f t="shared" si="1"/>
        <v>Octubre</v>
      </c>
      <c r="I11" s="6" t="str">
        <f t="shared" si="5"/>
        <v>2023-2</v>
      </c>
      <c r="J11" s="13">
        <v>100</v>
      </c>
      <c r="K11" s="13">
        <v>98</v>
      </c>
      <c r="L11" s="15">
        <f t="shared" si="2"/>
        <v>0.98</v>
      </c>
      <c r="M11" s="15">
        <f t="shared" si="3"/>
        <v>0.98</v>
      </c>
      <c r="N11" s="13" t="s">
        <v>347</v>
      </c>
      <c r="O11" s="13" t="s">
        <v>347</v>
      </c>
      <c r="P11" s="16">
        <v>0</v>
      </c>
      <c r="Q11" s="16">
        <v>0</v>
      </c>
      <c r="R11" s="5" t="str">
        <f t="shared" si="4"/>
        <v>1-2023-10-31</v>
      </c>
    </row>
    <row r="12" spans="1:18" x14ac:dyDescent="0.3">
      <c r="A12" s="37">
        <v>1</v>
      </c>
      <c r="B12" s="13" t="s">
        <v>330</v>
      </c>
      <c r="C12" s="13" t="s">
        <v>129</v>
      </c>
      <c r="D12" s="13" t="s">
        <v>18</v>
      </c>
      <c r="E12" s="13" t="s">
        <v>9</v>
      </c>
      <c r="F12" s="14">
        <v>45260</v>
      </c>
      <c r="G12" s="5">
        <f t="shared" si="0"/>
        <v>2023</v>
      </c>
      <c r="H12" s="5" t="str">
        <f t="shared" si="1"/>
        <v>Noviembre</v>
      </c>
      <c r="I12" s="6" t="str">
        <f t="shared" si="5"/>
        <v>2023-2</v>
      </c>
      <c r="J12" s="13">
        <v>100</v>
      </c>
      <c r="K12" s="13">
        <v>99</v>
      </c>
      <c r="L12" s="15">
        <f t="shared" si="2"/>
        <v>0.99</v>
      </c>
      <c r="M12" s="15">
        <f t="shared" si="3"/>
        <v>0.99</v>
      </c>
      <c r="N12" s="13" t="s">
        <v>347</v>
      </c>
      <c r="O12" s="13" t="s">
        <v>347</v>
      </c>
      <c r="P12" s="16">
        <v>0</v>
      </c>
      <c r="Q12" s="16">
        <v>0</v>
      </c>
      <c r="R12" s="5" t="str">
        <f t="shared" si="4"/>
        <v>1-2023-11-30</v>
      </c>
    </row>
    <row r="13" spans="1:18" x14ac:dyDescent="0.3">
      <c r="A13" s="37">
        <v>1</v>
      </c>
      <c r="B13" s="13" t="s">
        <v>330</v>
      </c>
      <c r="C13" s="13" t="s">
        <v>129</v>
      </c>
      <c r="D13" s="13" t="s">
        <v>18</v>
      </c>
      <c r="E13" s="13" t="s">
        <v>9</v>
      </c>
      <c r="F13" s="14">
        <v>45291</v>
      </c>
      <c r="G13" s="5">
        <f t="shared" si="0"/>
        <v>2023</v>
      </c>
      <c r="H13" s="5" t="str">
        <f t="shared" si="1"/>
        <v>Diciembre</v>
      </c>
      <c r="I13" s="6" t="str">
        <f t="shared" si="5"/>
        <v>2023-2</v>
      </c>
      <c r="J13" s="13">
        <v>100</v>
      </c>
      <c r="K13" s="13">
        <v>100</v>
      </c>
      <c r="L13" s="15">
        <f t="shared" si="2"/>
        <v>1</v>
      </c>
      <c r="M13" s="15">
        <f t="shared" si="3"/>
        <v>1</v>
      </c>
      <c r="N13" s="13" t="s">
        <v>347</v>
      </c>
      <c r="O13" s="13" t="s">
        <v>347</v>
      </c>
      <c r="P13" s="16">
        <v>0</v>
      </c>
      <c r="Q13" s="16">
        <v>0</v>
      </c>
      <c r="R13" s="5" t="str">
        <f t="shared" si="4"/>
        <v>1-2023-12-31</v>
      </c>
    </row>
    <row r="14" spans="1:18" x14ac:dyDescent="0.3">
      <c r="A14" s="5">
        <v>2</v>
      </c>
      <c r="B14" s="5" t="s">
        <v>331</v>
      </c>
      <c r="C14" s="5" t="s">
        <v>13</v>
      </c>
      <c r="D14" s="5" t="s">
        <v>18</v>
      </c>
      <c r="E14" s="5" t="s">
        <v>9</v>
      </c>
      <c r="F14" s="6">
        <v>44742</v>
      </c>
      <c r="G14" s="5">
        <f t="shared" si="0"/>
        <v>2022</v>
      </c>
      <c r="H14" s="5" t="str">
        <f t="shared" si="1"/>
        <v>Junio</v>
      </c>
      <c r="I14" s="6" t="str">
        <f t="shared" si="5"/>
        <v>2022-1</v>
      </c>
      <c r="J14" s="5">
        <v>33</v>
      </c>
      <c r="K14" s="5">
        <v>33</v>
      </c>
      <c r="L14" s="15">
        <v>1</v>
      </c>
      <c r="M14" s="15">
        <v>1</v>
      </c>
      <c r="N14" s="5" t="s">
        <v>347</v>
      </c>
      <c r="O14" s="5" t="s">
        <v>347</v>
      </c>
      <c r="P14" s="5">
        <v>0</v>
      </c>
      <c r="Q14" s="5">
        <v>0</v>
      </c>
      <c r="R14" s="5" t="str">
        <f t="shared" si="4"/>
        <v>2-2022-06-30</v>
      </c>
    </row>
    <row r="15" spans="1:18" x14ac:dyDescent="0.3">
      <c r="A15" s="5">
        <v>2</v>
      </c>
      <c r="B15" s="5" t="s">
        <v>331</v>
      </c>
      <c r="C15" s="5" t="s">
        <v>13</v>
      </c>
      <c r="D15" s="5" t="s">
        <v>18</v>
      </c>
      <c r="E15" s="5" t="s">
        <v>9</v>
      </c>
      <c r="F15" s="6">
        <v>44926</v>
      </c>
      <c r="G15" s="5">
        <f t="shared" si="0"/>
        <v>2022</v>
      </c>
      <c r="H15" s="5" t="str">
        <f t="shared" si="1"/>
        <v>Diciembre</v>
      </c>
      <c r="I15" s="6" t="str">
        <f t="shared" si="5"/>
        <v>2022-2</v>
      </c>
      <c r="J15" s="5">
        <v>66</v>
      </c>
      <c r="K15" s="5">
        <v>69</v>
      </c>
      <c r="L15" s="15">
        <v>1.0454545454545454</v>
      </c>
      <c r="M15" s="15">
        <v>1.0454545454545501</v>
      </c>
      <c r="N15" s="5" t="s">
        <v>347</v>
      </c>
      <c r="O15" s="5" t="s">
        <v>347</v>
      </c>
      <c r="P15" s="5">
        <v>0</v>
      </c>
      <c r="Q15" s="5">
        <v>0</v>
      </c>
      <c r="R15" s="5" t="str">
        <f t="shared" si="4"/>
        <v>2-2022-12-31</v>
      </c>
    </row>
    <row r="16" spans="1:18" x14ac:dyDescent="0.3">
      <c r="A16" s="5">
        <v>2</v>
      </c>
      <c r="B16" s="5" t="s">
        <v>331</v>
      </c>
      <c r="C16" s="5" t="s">
        <v>13</v>
      </c>
      <c r="D16" s="5" t="s">
        <v>18</v>
      </c>
      <c r="E16" s="5" t="s">
        <v>9</v>
      </c>
      <c r="F16" s="6">
        <v>44957</v>
      </c>
      <c r="G16" s="5">
        <f t="shared" si="0"/>
        <v>2023</v>
      </c>
      <c r="H16" s="5" t="str">
        <f t="shared" si="1"/>
        <v>Enero</v>
      </c>
      <c r="I16" s="6" t="str">
        <f t="shared" si="5"/>
        <v>2023-1</v>
      </c>
      <c r="J16" s="5">
        <v>77</v>
      </c>
      <c r="K16" s="5">
        <v>79</v>
      </c>
      <c r="L16" s="15">
        <f t="shared" ref="L16:L27" si="6">IFERROR(IF((K16/J16)&gt;1.3,1.3,K16/J16),"")</f>
        <v>1.025974025974026</v>
      </c>
      <c r="M16" s="15">
        <f t="shared" ref="M16:M41" si="7">IFERROR(IF((K16/J16)&gt;K16/J16,1.3,K16/J16),"")</f>
        <v>1.025974025974026</v>
      </c>
      <c r="N16" s="5" t="s">
        <v>347</v>
      </c>
      <c r="O16" s="5" t="s">
        <v>347</v>
      </c>
      <c r="P16" s="5">
        <v>0</v>
      </c>
      <c r="Q16" s="5">
        <v>0</v>
      </c>
      <c r="R16" s="5" t="str">
        <f t="shared" si="4"/>
        <v>2-2023-01-31</v>
      </c>
    </row>
    <row r="17" spans="1:18" x14ac:dyDescent="0.3">
      <c r="A17" s="5">
        <v>2</v>
      </c>
      <c r="B17" s="5" t="s">
        <v>331</v>
      </c>
      <c r="C17" s="5" t="s">
        <v>13</v>
      </c>
      <c r="D17" s="5" t="s">
        <v>18</v>
      </c>
      <c r="E17" s="5" t="s">
        <v>9</v>
      </c>
      <c r="F17" s="6">
        <v>44985</v>
      </c>
      <c r="G17" s="5">
        <f t="shared" si="0"/>
        <v>2023</v>
      </c>
      <c r="H17" s="5" t="str">
        <f t="shared" si="1"/>
        <v>Febrero</v>
      </c>
      <c r="I17" s="6" t="str">
        <f t="shared" si="5"/>
        <v>2023-1</v>
      </c>
      <c r="J17" s="5">
        <v>84</v>
      </c>
      <c r="K17" s="5">
        <v>82</v>
      </c>
      <c r="L17" s="15">
        <f t="shared" si="6"/>
        <v>0.97619047619047616</v>
      </c>
      <c r="M17" s="15">
        <f t="shared" si="7"/>
        <v>0.97619047619047616</v>
      </c>
      <c r="N17" s="5" t="s">
        <v>347</v>
      </c>
      <c r="O17" s="5" t="s">
        <v>347</v>
      </c>
      <c r="P17" s="5">
        <v>0</v>
      </c>
      <c r="Q17" s="5">
        <v>0</v>
      </c>
      <c r="R17" s="5" t="str">
        <f t="shared" si="4"/>
        <v>2-2023-02-28</v>
      </c>
    </row>
    <row r="18" spans="1:18" x14ac:dyDescent="0.3">
      <c r="A18" s="5">
        <v>2</v>
      </c>
      <c r="B18" s="5" t="s">
        <v>331</v>
      </c>
      <c r="C18" s="5" t="s">
        <v>13</v>
      </c>
      <c r="D18" s="5" t="s">
        <v>18</v>
      </c>
      <c r="E18" s="5" t="s">
        <v>9</v>
      </c>
      <c r="F18" s="6">
        <v>45016</v>
      </c>
      <c r="G18" s="5">
        <f t="shared" si="0"/>
        <v>2023</v>
      </c>
      <c r="H18" s="5" t="str">
        <f t="shared" si="1"/>
        <v>Marzo</v>
      </c>
      <c r="I18" s="6" t="str">
        <f t="shared" si="5"/>
        <v>2023-1</v>
      </c>
      <c r="J18" s="5">
        <v>84</v>
      </c>
      <c r="K18" s="5">
        <v>88</v>
      </c>
      <c r="L18" s="15">
        <f t="shared" si="6"/>
        <v>1.0476190476190477</v>
      </c>
      <c r="M18" s="15">
        <f t="shared" si="7"/>
        <v>1.0476190476190477</v>
      </c>
      <c r="N18" s="5" t="s">
        <v>347</v>
      </c>
      <c r="O18" s="5" t="s">
        <v>347</v>
      </c>
      <c r="P18" s="5">
        <v>0</v>
      </c>
      <c r="Q18" s="5">
        <v>0</v>
      </c>
      <c r="R18" s="5" t="str">
        <f t="shared" si="4"/>
        <v>2-2023-03-31</v>
      </c>
    </row>
    <row r="19" spans="1:18" x14ac:dyDescent="0.3">
      <c r="A19" s="5">
        <v>2</v>
      </c>
      <c r="B19" s="5" t="s">
        <v>331</v>
      </c>
      <c r="C19" s="5" t="s">
        <v>13</v>
      </c>
      <c r="D19" s="5" t="s">
        <v>18</v>
      </c>
      <c r="E19" s="5" t="s">
        <v>9</v>
      </c>
      <c r="F19" s="6">
        <v>45046</v>
      </c>
      <c r="G19" s="5">
        <f t="shared" si="0"/>
        <v>2023</v>
      </c>
      <c r="H19" s="5" t="str">
        <f t="shared" si="1"/>
        <v>Abril</v>
      </c>
      <c r="I19" s="6" t="str">
        <f t="shared" si="5"/>
        <v>2023-1</v>
      </c>
      <c r="J19" s="5">
        <v>91</v>
      </c>
      <c r="K19" s="5">
        <v>89</v>
      </c>
      <c r="L19" s="15">
        <f t="shared" si="6"/>
        <v>0.97802197802197799</v>
      </c>
      <c r="M19" s="15">
        <f t="shared" si="7"/>
        <v>0.97802197802197799</v>
      </c>
      <c r="N19" s="5" t="s">
        <v>347</v>
      </c>
      <c r="O19" s="5" t="s">
        <v>347</v>
      </c>
      <c r="P19" s="5">
        <v>0</v>
      </c>
      <c r="Q19" s="5">
        <v>0</v>
      </c>
      <c r="R19" s="5" t="str">
        <f t="shared" si="4"/>
        <v>2-2023-04-30</v>
      </c>
    </row>
    <row r="20" spans="1:18" x14ac:dyDescent="0.3">
      <c r="A20" s="5">
        <v>2</v>
      </c>
      <c r="B20" s="5" t="s">
        <v>331</v>
      </c>
      <c r="C20" s="5" t="s">
        <v>13</v>
      </c>
      <c r="D20" s="5" t="s">
        <v>18</v>
      </c>
      <c r="E20" s="5" t="s">
        <v>9</v>
      </c>
      <c r="F20" s="6">
        <v>45077</v>
      </c>
      <c r="G20" s="5">
        <f t="shared" si="0"/>
        <v>2023</v>
      </c>
      <c r="H20" s="5" t="str">
        <f t="shared" si="1"/>
        <v>Mayo</v>
      </c>
      <c r="I20" s="6" t="str">
        <f t="shared" si="5"/>
        <v>2023-1</v>
      </c>
      <c r="J20" s="5">
        <v>97</v>
      </c>
      <c r="K20" s="5">
        <v>91</v>
      </c>
      <c r="L20" s="15">
        <f t="shared" si="6"/>
        <v>0.93814432989690721</v>
      </c>
      <c r="M20" s="15">
        <f t="shared" si="7"/>
        <v>0.93814432989690721</v>
      </c>
      <c r="N20" s="5" t="s">
        <v>347</v>
      </c>
      <c r="O20" s="5" t="s">
        <v>347</v>
      </c>
      <c r="P20" s="5">
        <v>0</v>
      </c>
      <c r="Q20" s="5">
        <v>0</v>
      </c>
      <c r="R20" s="5" t="str">
        <f t="shared" si="4"/>
        <v>2-2023-05-31</v>
      </c>
    </row>
    <row r="21" spans="1:18" x14ac:dyDescent="0.3">
      <c r="A21" s="5">
        <v>2</v>
      </c>
      <c r="B21" s="5" t="s">
        <v>331</v>
      </c>
      <c r="C21" s="5" t="s">
        <v>13</v>
      </c>
      <c r="D21" s="5" t="s">
        <v>18</v>
      </c>
      <c r="E21" s="5" t="s">
        <v>9</v>
      </c>
      <c r="F21" s="6">
        <v>45107</v>
      </c>
      <c r="G21" s="5">
        <f t="shared" si="0"/>
        <v>2023</v>
      </c>
      <c r="H21" s="5" t="str">
        <f t="shared" si="1"/>
        <v>Junio</v>
      </c>
      <c r="I21" s="6" t="str">
        <f t="shared" si="5"/>
        <v>2023-1</v>
      </c>
      <c r="J21" s="5">
        <v>97</v>
      </c>
      <c r="K21" s="5">
        <v>94</v>
      </c>
      <c r="L21" s="15">
        <f t="shared" si="6"/>
        <v>0.96907216494845361</v>
      </c>
      <c r="M21" s="15">
        <f t="shared" si="7"/>
        <v>0.96907216494845361</v>
      </c>
      <c r="N21" s="5" t="s">
        <v>347</v>
      </c>
      <c r="O21" s="5" t="s">
        <v>347</v>
      </c>
      <c r="P21" s="5">
        <v>0</v>
      </c>
      <c r="Q21" s="5">
        <v>0</v>
      </c>
      <c r="R21" s="5" t="str">
        <f t="shared" si="4"/>
        <v>2-2023-06-30</v>
      </c>
    </row>
    <row r="22" spans="1:18" x14ac:dyDescent="0.3">
      <c r="A22" s="5">
        <v>2</v>
      </c>
      <c r="B22" s="5" t="s">
        <v>331</v>
      </c>
      <c r="C22" s="5" t="s">
        <v>13</v>
      </c>
      <c r="D22" s="5" t="s">
        <v>18</v>
      </c>
      <c r="E22" s="5" t="s">
        <v>9</v>
      </c>
      <c r="F22" s="6">
        <v>45138</v>
      </c>
      <c r="G22" s="5">
        <f t="shared" si="0"/>
        <v>2023</v>
      </c>
      <c r="H22" s="5" t="str">
        <f t="shared" si="1"/>
        <v>Julio</v>
      </c>
      <c r="I22" s="6" t="str">
        <f t="shared" si="5"/>
        <v>2023-2</v>
      </c>
      <c r="J22" s="5">
        <v>100</v>
      </c>
      <c r="K22" s="5">
        <v>98</v>
      </c>
      <c r="L22" s="15">
        <f t="shared" si="6"/>
        <v>0.98</v>
      </c>
      <c r="M22" s="15">
        <f t="shared" si="7"/>
        <v>0.98</v>
      </c>
      <c r="N22" s="5" t="s">
        <v>347</v>
      </c>
      <c r="O22" s="5" t="s">
        <v>347</v>
      </c>
      <c r="P22" s="5">
        <v>0</v>
      </c>
      <c r="Q22" s="5">
        <v>0</v>
      </c>
      <c r="R22" s="5" t="str">
        <f t="shared" si="4"/>
        <v>2-2023-07-31</v>
      </c>
    </row>
    <row r="23" spans="1:18" x14ac:dyDescent="0.3">
      <c r="A23" s="5">
        <v>2</v>
      </c>
      <c r="B23" s="5" t="s">
        <v>331</v>
      </c>
      <c r="C23" s="5" t="s">
        <v>13</v>
      </c>
      <c r="D23" s="5" t="s">
        <v>18</v>
      </c>
      <c r="E23" s="5" t="s">
        <v>9</v>
      </c>
      <c r="F23" s="6">
        <v>45169</v>
      </c>
      <c r="G23" s="5">
        <f t="shared" si="0"/>
        <v>2023</v>
      </c>
      <c r="H23" s="5" t="str">
        <f t="shared" si="1"/>
        <v>Agosto</v>
      </c>
      <c r="I23" s="6" t="str">
        <f t="shared" si="5"/>
        <v>2023-2</v>
      </c>
      <c r="J23" s="5">
        <v>100</v>
      </c>
      <c r="K23" s="5">
        <v>99</v>
      </c>
      <c r="L23" s="15">
        <f t="shared" si="6"/>
        <v>0.99</v>
      </c>
      <c r="M23" s="15">
        <f t="shared" si="7"/>
        <v>0.99</v>
      </c>
      <c r="N23" s="5" t="s">
        <v>347</v>
      </c>
      <c r="O23" s="5" t="s">
        <v>347</v>
      </c>
      <c r="P23" s="5">
        <v>0</v>
      </c>
      <c r="Q23" s="5">
        <v>0</v>
      </c>
      <c r="R23" s="5" t="str">
        <f t="shared" si="4"/>
        <v>2-2023-08-31</v>
      </c>
    </row>
    <row r="24" spans="1:18" x14ac:dyDescent="0.3">
      <c r="A24" s="5">
        <v>2</v>
      </c>
      <c r="B24" s="5" t="s">
        <v>331</v>
      </c>
      <c r="C24" s="5" t="s">
        <v>13</v>
      </c>
      <c r="D24" s="5" t="s">
        <v>18</v>
      </c>
      <c r="E24" s="5" t="s">
        <v>9</v>
      </c>
      <c r="F24" s="6">
        <v>45199</v>
      </c>
      <c r="G24" s="5">
        <f t="shared" si="0"/>
        <v>2023</v>
      </c>
      <c r="H24" s="5" t="str">
        <f t="shared" si="1"/>
        <v>Septiembre</v>
      </c>
      <c r="I24" s="6" t="str">
        <f t="shared" si="5"/>
        <v>2023-2</v>
      </c>
      <c r="J24" s="5">
        <v>100</v>
      </c>
      <c r="K24" s="5">
        <v>98</v>
      </c>
      <c r="L24" s="15">
        <f t="shared" si="6"/>
        <v>0.98</v>
      </c>
      <c r="M24" s="15">
        <f t="shared" si="7"/>
        <v>0.98</v>
      </c>
      <c r="N24" s="5" t="s">
        <v>347</v>
      </c>
      <c r="O24" s="5" t="s">
        <v>347</v>
      </c>
      <c r="P24" s="5">
        <v>0</v>
      </c>
      <c r="Q24" s="5">
        <v>0</v>
      </c>
      <c r="R24" s="5" t="str">
        <f t="shared" si="4"/>
        <v>2-2023-09-30</v>
      </c>
    </row>
    <row r="25" spans="1:18" x14ac:dyDescent="0.3">
      <c r="A25" s="5">
        <v>2</v>
      </c>
      <c r="B25" s="5" t="s">
        <v>331</v>
      </c>
      <c r="C25" s="5" t="s">
        <v>13</v>
      </c>
      <c r="D25" s="5" t="s">
        <v>18</v>
      </c>
      <c r="E25" s="5" t="s">
        <v>9</v>
      </c>
      <c r="F25" s="6">
        <v>45230</v>
      </c>
      <c r="G25" s="5">
        <f t="shared" si="0"/>
        <v>2023</v>
      </c>
      <c r="H25" s="5" t="str">
        <f t="shared" si="1"/>
        <v>Octubre</v>
      </c>
      <c r="I25" s="6" t="str">
        <f t="shared" si="5"/>
        <v>2023-2</v>
      </c>
      <c r="J25" s="5">
        <v>100</v>
      </c>
      <c r="K25" s="5">
        <v>99</v>
      </c>
      <c r="L25" s="15">
        <f t="shared" si="6"/>
        <v>0.99</v>
      </c>
      <c r="M25" s="15">
        <f t="shared" si="7"/>
        <v>0.99</v>
      </c>
      <c r="N25" s="5" t="s">
        <v>347</v>
      </c>
      <c r="O25" s="5" t="s">
        <v>347</v>
      </c>
      <c r="P25" s="5">
        <v>0</v>
      </c>
      <c r="Q25" s="5">
        <v>0</v>
      </c>
      <c r="R25" s="5" t="str">
        <f t="shared" si="4"/>
        <v>2-2023-10-31</v>
      </c>
    </row>
    <row r="26" spans="1:18" x14ac:dyDescent="0.3">
      <c r="A26" s="5">
        <v>2</v>
      </c>
      <c r="B26" s="5" t="s">
        <v>331</v>
      </c>
      <c r="C26" s="5" t="s">
        <v>13</v>
      </c>
      <c r="D26" s="5" t="s">
        <v>18</v>
      </c>
      <c r="E26" s="5" t="s">
        <v>9</v>
      </c>
      <c r="F26" s="6">
        <v>45260</v>
      </c>
      <c r="G26" s="5">
        <f t="shared" si="0"/>
        <v>2023</v>
      </c>
      <c r="H26" s="5" t="str">
        <f t="shared" si="1"/>
        <v>Noviembre</v>
      </c>
      <c r="I26" s="6" t="str">
        <f t="shared" si="5"/>
        <v>2023-2</v>
      </c>
      <c r="J26" s="5">
        <v>100</v>
      </c>
      <c r="K26" s="5">
        <v>99</v>
      </c>
      <c r="L26" s="15">
        <f t="shared" si="6"/>
        <v>0.99</v>
      </c>
      <c r="M26" s="15">
        <f t="shared" si="7"/>
        <v>0.99</v>
      </c>
      <c r="N26" s="5" t="s">
        <v>347</v>
      </c>
      <c r="O26" s="5" t="s">
        <v>347</v>
      </c>
      <c r="P26" s="5">
        <v>0</v>
      </c>
      <c r="Q26" s="5">
        <v>0</v>
      </c>
      <c r="R26" s="5" t="str">
        <f t="shared" si="4"/>
        <v>2-2023-11-30</v>
      </c>
    </row>
    <row r="27" spans="1:18" x14ac:dyDescent="0.3">
      <c r="A27" s="37">
        <v>2</v>
      </c>
      <c r="B27" s="13" t="s">
        <v>331</v>
      </c>
      <c r="C27" s="5" t="s">
        <v>13</v>
      </c>
      <c r="D27" s="13" t="s">
        <v>18</v>
      </c>
      <c r="E27" s="13" t="s">
        <v>9</v>
      </c>
      <c r="F27" s="14">
        <v>45291</v>
      </c>
      <c r="G27" s="5">
        <f t="shared" si="0"/>
        <v>2023</v>
      </c>
      <c r="H27" s="5" t="str">
        <f t="shared" si="1"/>
        <v>Diciembre</v>
      </c>
      <c r="I27" s="6" t="str">
        <f t="shared" si="5"/>
        <v>2023-2</v>
      </c>
      <c r="J27" s="13">
        <v>100</v>
      </c>
      <c r="K27" s="13">
        <v>100</v>
      </c>
      <c r="L27" s="15">
        <f t="shared" si="6"/>
        <v>1</v>
      </c>
      <c r="M27" s="15">
        <f t="shared" si="7"/>
        <v>1</v>
      </c>
      <c r="N27" s="13" t="s">
        <v>347</v>
      </c>
      <c r="O27" s="13" t="s">
        <v>347</v>
      </c>
      <c r="P27" s="16">
        <v>0</v>
      </c>
      <c r="Q27" s="16">
        <v>0</v>
      </c>
      <c r="R27" s="5" t="str">
        <f t="shared" si="4"/>
        <v>2-2023-12-31</v>
      </c>
    </row>
    <row r="28" spans="1:18" x14ac:dyDescent="0.3">
      <c r="A28" s="37">
        <v>3</v>
      </c>
      <c r="B28" s="13" t="s">
        <v>332</v>
      </c>
      <c r="C28" s="5" t="s">
        <v>114</v>
      </c>
      <c r="D28" s="5" t="s">
        <v>18</v>
      </c>
      <c r="E28" s="5" t="s">
        <v>9</v>
      </c>
      <c r="F28" s="6">
        <v>44957</v>
      </c>
      <c r="G28" s="5">
        <f t="shared" si="0"/>
        <v>2023</v>
      </c>
      <c r="H28" s="5" t="str">
        <f t="shared" si="1"/>
        <v>Enero</v>
      </c>
      <c r="I28" s="6" t="str">
        <f t="shared" si="5"/>
        <v>2023-1</v>
      </c>
      <c r="J28" s="5">
        <v>8</v>
      </c>
      <c r="K28" s="9">
        <v>8</v>
      </c>
      <c r="L28" s="8">
        <f t="shared" ref="L28:L33" si="8">IFERROR(K28/J28,"")</f>
        <v>1</v>
      </c>
      <c r="M28" s="15">
        <f t="shared" si="7"/>
        <v>1</v>
      </c>
      <c r="N28" s="5" t="s">
        <v>347</v>
      </c>
      <c r="O28" s="5" t="s">
        <v>347</v>
      </c>
      <c r="P28" s="16">
        <v>0</v>
      </c>
      <c r="Q28" s="16">
        <v>0</v>
      </c>
      <c r="R28" s="5" t="str">
        <f t="shared" si="4"/>
        <v>3-2023-01-31</v>
      </c>
    </row>
    <row r="29" spans="1:18" x14ac:dyDescent="0.3">
      <c r="A29" s="37">
        <v>3</v>
      </c>
      <c r="B29" s="13" t="s">
        <v>332</v>
      </c>
      <c r="C29" s="5" t="s">
        <v>114</v>
      </c>
      <c r="D29" s="5" t="s">
        <v>18</v>
      </c>
      <c r="E29" s="5" t="s">
        <v>9</v>
      </c>
      <c r="F29" s="17">
        <v>44985</v>
      </c>
      <c r="G29" s="5">
        <f t="shared" si="0"/>
        <v>2023</v>
      </c>
      <c r="H29" s="5" t="str">
        <f t="shared" si="1"/>
        <v>Febrero</v>
      </c>
      <c r="I29" s="6" t="str">
        <f t="shared" si="5"/>
        <v>2023-1</v>
      </c>
      <c r="J29" s="5">
        <v>26</v>
      </c>
      <c r="K29" s="9">
        <v>26</v>
      </c>
      <c r="L29" s="8">
        <f t="shared" si="8"/>
        <v>1</v>
      </c>
      <c r="M29" s="15">
        <f t="shared" si="7"/>
        <v>1</v>
      </c>
      <c r="N29" s="5" t="s">
        <v>347</v>
      </c>
      <c r="O29" s="5" t="s">
        <v>347</v>
      </c>
      <c r="P29" s="16">
        <v>0</v>
      </c>
      <c r="Q29" s="16">
        <v>0</v>
      </c>
      <c r="R29" s="5" t="str">
        <f t="shared" si="4"/>
        <v>3-2023-02-28</v>
      </c>
    </row>
    <row r="30" spans="1:18" x14ac:dyDescent="0.3">
      <c r="A30" s="37">
        <v>3</v>
      </c>
      <c r="B30" s="13" t="s">
        <v>332</v>
      </c>
      <c r="C30" s="5" t="s">
        <v>114</v>
      </c>
      <c r="D30" s="5" t="s">
        <v>18</v>
      </c>
      <c r="E30" s="5" t="s">
        <v>9</v>
      </c>
      <c r="F30" s="6">
        <v>45016</v>
      </c>
      <c r="G30" s="5">
        <f t="shared" si="0"/>
        <v>2023</v>
      </c>
      <c r="H30" s="5" t="str">
        <f t="shared" si="1"/>
        <v>Marzo</v>
      </c>
      <c r="I30" s="6" t="str">
        <f t="shared" si="5"/>
        <v>2023-1</v>
      </c>
      <c r="J30" s="5">
        <v>25</v>
      </c>
      <c r="K30" s="9">
        <v>33</v>
      </c>
      <c r="L30" s="8">
        <f t="shared" si="8"/>
        <v>1.32</v>
      </c>
      <c r="M30" s="15">
        <f t="shared" si="7"/>
        <v>1.32</v>
      </c>
      <c r="N30" s="5" t="s">
        <v>347</v>
      </c>
      <c r="O30" s="5" t="s">
        <v>347</v>
      </c>
      <c r="P30" s="16">
        <v>0</v>
      </c>
      <c r="Q30" s="16">
        <v>0</v>
      </c>
      <c r="R30" s="5" t="str">
        <f t="shared" si="4"/>
        <v>3-2023-03-31</v>
      </c>
    </row>
    <row r="31" spans="1:18" x14ac:dyDescent="0.3">
      <c r="A31" s="37">
        <v>3</v>
      </c>
      <c r="B31" s="13" t="s">
        <v>332</v>
      </c>
      <c r="C31" s="5" t="s">
        <v>114</v>
      </c>
      <c r="D31" s="5" t="s">
        <v>18</v>
      </c>
      <c r="E31" s="5" t="s">
        <v>9</v>
      </c>
      <c r="F31" s="6">
        <v>45046</v>
      </c>
      <c r="G31" s="5">
        <f t="shared" si="0"/>
        <v>2023</v>
      </c>
      <c r="H31" s="5" t="str">
        <f t="shared" si="1"/>
        <v>Abril</v>
      </c>
      <c r="I31" s="6" t="str">
        <f t="shared" si="5"/>
        <v>2023-1</v>
      </c>
      <c r="J31" s="5">
        <v>44</v>
      </c>
      <c r="K31" s="9">
        <v>46</v>
      </c>
      <c r="L31" s="8">
        <f t="shared" si="8"/>
        <v>1.0454545454545454</v>
      </c>
      <c r="M31" s="15">
        <f t="shared" si="7"/>
        <v>1.0454545454545454</v>
      </c>
      <c r="N31" s="5" t="s">
        <v>347</v>
      </c>
      <c r="O31" s="5" t="s">
        <v>347</v>
      </c>
      <c r="P31" s="16">
        <v>0</v>
      </c>
      <c r="Q31" s="16">
        <v>0</v>
      </c>
      <c r="R31" s="5" t="str">
        <f t="shared" si="4"/>
        <v>3-2023-04-30</v>
      </c>
    </row>
    <row r="32" spans="1:18" x14ac:dyDescent="0.3">
      <c r="A32" s="37">
        <v>3</v>
      </c>
      <c r="B32" s="13" t="s">
        <v>332</v>
      </c>
      <c r="C32" s="5" t="s">
        <v>114</v>
      </c>
      <c r="D32" s="5" t="s">
        <v>18</v>
      </c>
      <c r="E32" s="5" t="s">
        <v>9</v>
      </c>
      <c r="F32" s="6">
        <v>45077</v>
      </c>
      <c r="G32" s="5">
        <f t="shared" si="0"/>
        <v>2023</v>
      </c>
      <c r="H32" s="5" t="str">
        <f t="shared" si="1"/>
        <v>Mayo</v>
      </c>
      <c r="I32" s="6" t="str">
        <f t="shared" si="5"/>
        <v>2023-1</v>
      </c>
      <c r="J32" s="5">
        <v>57</v>
      </c>
      <c r="K32" s="9">
        <v>60</v>
      </c>
      <c r="L32" s="8">
        <f t="shared" si="8"/>
        <v>1.0526315789473684</v>
      </c>
      <c r="M32" s="15">
        <f t="shared" si="7"/>
        <v>1.0526315789473684</v>
      </c>
      <c r="N32" s="5" t="s">
        <v>347</v>
      </c>
      <c r="O32" s="5" t="s">
        <v>347</v>
      </c>
      <c r="P32" s="16">
        <v>0</v>
      </c>
      <c r="Q32" s="16">
        <v>0</v>
      </c>
      <c r="R32" s="5" t="str">
        <f t="shared" si="4"/>
        <v>3-2023-05-31</v>
      </c>
    </row>
    <row r="33" spans="1:18" x14ac:dyDescent="0.3">
      <c r="A33" s="37">
        <v>3</v>
      </c>
      <c r="B33" s="13" t="s">
        <v>332</v>
      </c>
      <c r="C33" s="5" t="s">
        <v>114</v>
      </c>
      <c r="D33" s="5" t="s">
        <v>18</v>
      </c>
      <c r="E33" s="5" t="s">
        <v>9</v>
      </c>
      <c r="F33" s="6">
        <v>45107</v>
      </c>
      <c r="G33" s="5">
        <f t="shared" si="0"/>
        <v>2023</v>
      </c>
      <c r="H33" s="5" t="str">
        <f t="shared" si="1"/>
        <v>Junio</v>
      </c>
      <c r="I33" s="6" t="str">
        <f t="shared" si="5"/>
        <v>2023-1</v>
      </c>
      <c r="J33" s="5">
        <v>69</v>
      </c>
      <c r="K33" s="9">
        <v>71</v>
      </c>
      <c r="L33" s="8">
        <f t="shared" si="8"/>
        <v>1.0289855072463767</v>
      </c>
      <c r="M33" s="15">
        <f t="shared" si="7"/>
        <v>1.0289855072463767</v>
      </c>
      <c r="N33" s="5" t="s">
        <v>347</v>
      </c>
      <c r="O33" s="5" t="s">
        <v>347</v>
      </c>
      <c r="P33" s="16">
        <v>0</v>
      </c>
      <c r="Q33" s="16">
        <v>0</v>
      </c>
      <c r="R33" s="5" t="str">
        <f t="shared" si="4"/>
        <v>3-2023-06-30</v>
      </c>
    </row>
    <row r="34" spans="1:18" x14ac:dyDescent="0.3">
      <c r="A34" s="37">
        <v>3</v>
      </c>
      <c r="B34" s="13" t="s">
        <v>332</v>
      </c>
      <c r="C34" s="5" t="s">
        <v>114</v>
      </c>
      <c r="D34" s="5" t="s">
        <v>18</v>
      </c>
      <c r="E34" s="5" t="s">
        <v>9</v>
      </c>
      <c r="F34" s="6">
        <v>45138</v>
      </c>
      <c r="G34" s="5">
        <f t="shared" si="0"/>
        <v>2023</v>
      </c>
      <c r="H34" s="5" t="str">
        <f t="shared" si="1"/>
        <v>Julio</v>
      </c>
      <c r="I34" s="6" t="str">
        <f t="shared" si="5"/>
        <v>2023-2</v>
      </c>
      <c r="J34" s="5">
        <v>80</v>
      </c>
      <c r="K34" s="9">
        <v>81</v>
      </c>
      <c r="L34" s="15">
        <f t="shared" ref="L34:L41" si="9">IFERROR(IF((K34/J34)&gt;1.3,1.3,K34/J34),"")</f>
        <v>1.0125</v>
      </c>
      <c r="M34" s="15">
        <f t="shared" si="7"/>
        <v>1.0125</v>
      </c>
      <c r="N34" s="5" t="s">
        <v>347</v>
      </c>
      <c r="O34" s="5" t="s">
        <v>347</v>
      </c>
      <c r="P34" s="16">
        <v>0</v>
      </c>
      <c r="Q34" s="16">
        <v>0</v>
      </c>
      <c r="R34" s="5" t="str">
        <f t="shared" si="4"/>
        <v>3-2023-07-31</v>
      </c>
    </row>
    <row r="35" spans="1:18" x14ac:dyDescent="0.3">
      <c r="A35" s="37">
        <v>3</v>
      </c>
      <c r="B35" s="13" t="s">
        <v>332</v>
      </c>
      <c r="C35" s="5" t="s">
        <v>114</v>
      </c>
      <c r="D35" s="5" t="s">
        <v>18</v>
      </c>
      <c r="E35" s="5" t="s">
        <v>9</v>
      </c>
      <c r="F35" s="6">
        <v>45169</v>
      </c>
      <c r="G35" s="5">
        <f t="shared" si="0"/>
        <v>2023</v>
      </c>
      <c r="H35" s="5" t="str">
        <f t="shared" si="1"/>
        <v>Agosto</v>
      </c>
      <c r="I35" s="6" t="str">
        <f t="shared" si="5"/>
        <v>2023-2</v>
      </c>
      <c r="J35" s="5">
        <v>92</v>
      </c>
      <c r="K35" s="9">
        <v>88</v>
      </c>
      <c r="L35" s="15">
        <f t="shared" si="9"/>
        <v>0.95652173913043481</v>
      </c>
      <c r="M35" s="15">
        <f t="shared" si="7"/>
        <v>0.95652173913043481</v>
      </c>
      <c r="N35" s="5" t="s">
        <v>347</v>
      </c>
      <c r="O35" s="5" t="s">
        <v>347</v>
      </c>
      <c r="P35" s="16">
        <v>0</v>
      </c>
      <c r="Q35" s="16">
        <v>0</v>
      </c>
      <c r="R35" s="5" t="str">
        <f t="shared" si="4"/>
        <v>3-2023-08-31</v>
      </c>
    </row>
    <row r="36" spans="1:18" x14ac:dyDescent="0.3">
      <c r="A36" s="37">
        <v>3</v>
      </c>
      <c r="B36" s="13" t="s">
        <v>332</v>
      </c>
      <c r="C36" s="5" t="s">
        <v>114</v>
      </c>
      <c r="D36" s="5" t="s">
        <v>18</v>
      </c>
      <c r="E36" s="5" t="s">
        <v>9</v>
      </c>
      <c r="F36" s="6">
        <v>45199</v>
      </c>
      <c r="G36" s="5">
        <f t="shared" si="0"/>
        <v>2023</v>
      </c>
      <c r="H36" s="5" t="str">
        <f t="shared" si="1"/>
        <v>Septiembre</v>
      </c>
      <c r="I36" s="6" t="str">
        <f t="shared" si="5"/>
        <v>2023-2</v>
      </c>
      <c r="J36" s="5">
        <v>97</v>
      </c>
      <c r="K36" s="9">
        <v>94</v>
      </c>
      <c r="L36" s="15">
        <f t="shared" si="9"/>
        <v>0.96907216494845361</v>
      </c>
      <c r="M36" s="15">
        <f t="shared" si="7"/>
        <v>0.96907216494845361</v>
      </c>
      <c r="N36" s="5" t="s">
        <v>347</v>
      </c>
      <c r="O36" s="5" t="s">
        <v>347</v>
      </c>
      <c r="P36" s="16">
        <v>0</v>
      </c>
      <c r="Q36" s="16">
        <v>0</v>
      </c>
      <c r="R36" s="5" t="str">
        <f t="shared" si="4"/>
        <v>3-2023-09-30</v>
      </c>
    </row>
    <row r="37" spans="1:18" x14ac:dyDescent="0.3">
      <c r="A37" s="37">
        <v>3</v>
      </c>
      <c r="B37" s="13" t="s">
        <v>332</v>
      </c>
      <c r="C37" s="5" t="s">
        <v>114</v>
      </c>
      <c r="D37" s="5" t="s">
        <v>18</v>
      </c>
      <c r="E37" s="5" t="s">
        <v>9</v>
      </c>
      <c r="F37" s="6">
        <v>45230</v>
      </c>
      <c r="G37" s="5">
        <f t="shared" si="0"/>
        <v>2023</v>
      </c>
      <c r="H37" s="5" t="str">
        <f t="shared" si="1"/>
        <v>Octubre</v>
      </c>
      <c r="I37" s="6" t="str">
        <f t="shared" si="5"/>
        <v>2023-2</v>
      </c>
      <c r="J37" s="5">
        <v>99</v>
      </c>
      <c r="K37" s="9">
        <v>96</v>
      </c>
      <c r="L37" s="15">
        <f t="shared" si="9"/>
        <v>0.96969696969696972</v>
      </c>
      <c r="M37" s="15">
        <f t="shared" si="7"/>
        <v>0.96969696969696972</v>
      </c>
      <c r="N37" s="5" t="s">
        <v>347</v>
      </c>
      <c r="O37" s="5" t="s">
        <v>347</v>
      </c>
      <c r="P37" s="16">
        <v>0</v>
      </c>
      <c r="Q37" s="16">
        <v>0</v>
      </c>
      <c r="R37" s="5" t="str">
        <f t="shared" si="4"/>
        <v>3-2023-10-31</v>
      </c>
    </row>
    <row r="38" spans="1:18" x14ac:dyDescent="0.3">
      <c r="A38" s="37">
        <v>3</v>
      </c>
      <c r="B38" s="13" t="s">
        <v>332</v>
      </c>
      <c r="C38" s="5" t="s">
        <v>114</v>
      </c>
      <c r="D38" s="5" t="s">
        <v>18</v>
      </c>
      <c r="E38" s="5" t="s">
        <v>9</v>
      </c>
      <c r="F38" s="6">
        <v>45260</v>
      </c>
      <c r="G38" s="5">
        <f t="shared" si="0"/>
        <v>2023</v>
      </c>
      <c r="H38" s="5" t="str">
        <f t="shared" si="1"/>
        <v>Noviembre</v>
      </c>
      <c r="I38" s="6" t="str">
        <f t="shared" si="5"/>
        <v>2023-2</v>
      </c>
      <c r="J38" s="5">
        <v>100</v>
      </c>
      <c r="K38" s="9">
        <v>99</v>
      </c>
      <c r="L38" s="15">
        <f t="shared" si="9"/>
        <v>0.99</v>
      </c>
      <c r="M38" s="15">
        <f t="shared" si="7"/>
        <v>0.99</v>
      </c>
      <c r="N38" s="5" t="s">
        <v>347</v>
      </c>
      <c r="O38" s="5" t="s">
        <v>347</v>
      </c>
      <c r="P38" s="16">
        <v>0</v>
      </c>
      <c r="Q38" s="16">
        <v>0</v>
      </c>
      <c r="R38" s="5" t="str">
        <f t="shared" si="4"/>
        <v>3-2023-11-30</v>
      </c>
    </row>
    <row r="39" spans="1:18" x14ac:dyDescent="0.3">
      <c r="A39" s="37">
        <v>3</v>
      </c>
      <c r="B39" s="13" t="s">
        <v>332</v>
      </c>
      <c r="C39" s="5" t="s">
        <v>114</v>
      </c>
      <c r="D39" s="13" t="s">
        <v>18</v>
      </c>
      <c r="E39" s="13" t="s">
        <v>9</v>
      </c>
      <c r="F39" s="14">
        <v>45291</v>
      </c>
      <c r="G39" s="5">
        <f t="shared" si="0"/>
        <v>2023</v>
      </c>
      <c r="H39" s="5" t="str">
        <f t="shared" si="1"/>
        <v>Diciembre</v>
      </c>
      <c r="I39" s="6" t="str">
        <f t="shared" si="5"/>
        <v>2023-2</v>
      </c>
      <c r="J39" s="13">
        <v>100</v>
      </c>
      <c r="K39" s="13">
        <v>99</v>
      </c>
      <c r="L39" s="15">
        <f t="shared" si="9"/>
        <v>0.99</v>
      </c>
      <c r="M39" s="15">
        <f t="shared" si="7"/>
        <v>0.99</v>
      </c>
      <c r="N39" s="13" t="s">
        <v>347</v>
      </c>
      <c r="O39" s="13" t="s">
        <v>347</v>
      </c>
      <c r="P39" s="16">
        <v>0</v>
      </c>
      <c r="Q39" s="16">
        <v>0</v>
      </c>
      <c r="R39" s="5" t="str">
        <f t="shared" si="4"/>
        <v>3-2023-12-31</v>
      </c>
    </row>
    <row r="40" spans="1:18" x14ac:dyDescent="0.3">
      <c r="A40" s="37">
        <v>3</v>
      </c>
      <c r="B40" s="13" t="s">
        <v>332</v>
      </c>
      <c r="C40" s="5" t="s">
        <v>114</v>
      </c>
      <c r="D40" s="13" t="s">
        <v>18</v>
      </c>
      <c r="E40" s="13" t="s">
        <v>9</v>
      </c>
      <c r="F40" s="14">
        <v>45322</v>
      </c>
      <c r="G40" s="5">
        <f t="shared" si="0"/>
        <v>2024</v>
      </c>
      <c r="H40" s="5" t="str">
        <f t="shared" si="1"/>
        <v>Enero</v>
      </c>
      <c r="I40" s="6" t="str">
        <f t="shared" si="5"/>
        <v>2024-1</v>
      </c>
      <c r="J40" s="13">
        <v>100</v>
      </c>
      <c r="K40" s="13">
        <v>99</v>
      </c>
      <c r="L40" s="15">
        <f t="shared" si="9"/>
        <v>0.99</v>
      </c>
      <c r="M40" s="15">
        <f t="shared" si="7"/>
        <v>0.99</v>
      </c>
      <c r="N40" s="13" t="s">
        <v>347</v>
      </c>
      <c r="O40" s="13" t="s">
        <v>347</v>
      </c>
      <c r="P40" s="16">
        <v>0</v>
      </c>
      <c r="Q40" s="16">
        <v>0</v>
      </c>
      <c r="R40" s="5" t="str">
        <f t="shared" si="4"/>
        <v>3-2024-01-31</v>
      </c>
    </row>
    <row r="41" spans="1:18" x14ac:dyDescent="0.3">
      <c r="A41" s="37">
        <v>3</v>
      </c>
      <c r="B41" s="13" t="s">
        <v>332</v>
      </c>
      <c r="C41" s="5" t="s">
        <v>114</v>
      </c>
      <c r="D41" s="13" t="s">
        <v>18</v>
      </c>
      <c r="E41" s="13" t="s">
        <v>9</v>
      </c>
      <c r="F41" s="14">
        <v>45351</v>
      </c>
      <c r="G41" s="5">
        <f t="shared" si="0"/>
        <v>2024</v>
      </c>
      <c r="H41" s="5" t="str">
        <f t="shared" si="1"/>
        <v>Febrero</v>
      </c>
      <c r="I41" s="6" t="str">
        <f t="shared" si="5"/>
        <v>2024-1</v>
      </c>
      <c r="J41" s="13">
        <v>100</v>
      </c>
      <c r="K41" s="13">
        <v>100</v>
      </c>
      <c r="L41" s="15">
        <f t="shared" si="9"/>
        <v>1</v>
      </c>
      <c r="M41" s="15">
        <f t="shared" si="7"/>
        <v>1</v>
      </c>
      <c r="N41" s="13" t="s">
        <v>347</v>
      </c>
      <c r="O41" s="13" t="s">
        <v>347</v>
      </c>
      <c r="P41" s="16">
        <v>0</v>
      </c>
      <c r="Q41" s="16">
        <v>0</v>
      </c>
      <c r="R41" s="5" t="str">
        <f t="shared" si="4"/>
        <v>3-2024-02-29</v>
      </c>
    </row>
    <row r="42" spans="1:18" x14ac:dyDescent="0.3">
      <c r="A42" s="5">
        <v>4</v>
      </c>
      <c r="B42" s="5" t="s">
        <v>333</v>
      </c>
      <c r="C42" s="5" t="s">
        <v>117</v>
      </c>
      <c r="D42" s="5" t="s">
        <v>18</v>
      </c>
      <c r="E42" s="5" t="s">
        <v>9</v>
      </c>
      <c r="F42" s="6">
        <v>44926</v>
      </c>
      <c r="G42" s="5">
        <f t="shared" si="0"/>
        <v>2022</v>
      </c>
      <c r="H42" s="5" t="str">
        <f t="shared" si="1"/>
        <v>Diciembre</v>
      </c>
      <c r="I42" s="6" t="str">
        <f t="shared" si="5"/>
        <v>2022-2</v>
      </c>
      <c r="J42" s="5">
        <v>39</v>
      </c>
      <c r="K42" s="5">
        <v>37</v>
      </c>
      <c r="L42" s="15">
        <v>0.94871794871794868</v>
      </c>
      <c r="M42" s="15">
        <v>0.94871794871794868</v>
      </c>
      <c r="N42" s="5" t="s">
        <v>347</v>
      </c>
      <c r="O42" s="5" t="s">
        <v>347</v>
      </c>
      <c r="P42" s="5">
        <v>0</v>
      </c>
      <c r="Q42" s="5">
        <v>0</v>
      </c>
      <c r="R42" s="5" t="str">
        <f t="shared" si="4"/>
        <v>4-2022-12-31</v>
      </c>
    </row>
    <row r="43" spans="1:18" x14ac:dyDescent="0.3">
      <c r="A43" s="37">
        <v>4</v>
      </c>
      <c r="B43" s="13" t="s">
        <v>333</v>
      </c>
      <c r="C43" s="13" t="s">
        <v>342</v>
      </c>
      <c r="D43" s="13" t="s">
        <v>18</v>
      </c>
      <c r="E43" s="13" t="s">
        <v>9</v>
      </c>
      <c r="F43" s="14">
        <v>44957</v>
      </c>
      <c r="G43" s="5">
        <f t="shared" si="0"/>
        <v>2023</v>
      </c>
      <c r="H43" s="5" t="str">
        <f t="shared" si="1"/>
        <v>Enero</v>
      </c>
      <c r="I43" s="6" t="str">
        <f t="shared" si="5"/>
        <v>2023-1</v>
      </c>
      <c r="J43" s="13">
        <v>62</v>
      </c>
      <c r="K43" s="13">
        <v>57</v>
      </c>
      <c r="L43" s="15">
        <f t="shared" ref="L43:L74" si="10">IFERROR(IF((K43/J43)&gt;1.3,1.3,K43/J43),"")</f>
        <v>0.91935483870967738</v>
      </c>
      <c r="M43" s="15">
        <f t="shared" ref="M43:M74" si="11">IFERROR(IF((K43/J43)&gt;K43/J43,1.3,K43/J43),"")</f>
        <v>0.91935483870967738</v>
      </c>
      <c r="N43" s="13" t="s">
        <v>347</v>
      </c>
      <c r="O43" s="13" t="s">
        <v>347</v>
      </c>
      <c r="P43" s="16">
        <v>0</v>
      </c>
      <c r="Q43" s="16">
        <v>0</v>
      </c>
      <c r="R43" s="5" t="str">
        <f t="shared" si="4"/>
        <v>4-2023-01-31</v>
      </c>
    </row>
    <row r="44" spans="1:18" x14ac:dyDescent="0.3">
      <c r="A44" s="37">
        <v>4</v>
      </c>
      <c r="B44" s="13" t="s">
        <v>333</v>
      </c>
      <c r="C44" s="13" t="s">
        <v>342</v>
      </c>
      <c r="D44" s="13" t="s">
        <v>18</v>
      </c>
      <c r="E44" s="13" t="s">
        <v>9</v>
      </c>
      <c r="F44" s="14">
        <v>44985</v>
      </c>
      <c r="G44" s="5">
        <f t="shared" si="0"/>
        <v>2023</v>
      </c>
      <c r="H44" s="5" t="str">
        <f t="shared" si="1"/>
        <v>Febrero</v>
      </c>
      <c r="I44" s="6" t="str">
        <f t="shared" si="5"/>
        <v>2023-1</v>
      </c>
      <c r="J44" s="13">
        <v>76</v>
      </c>
      <c r="K44" s="13">
        <v>75</v>
      </c>
      <c r="L44" s="15">
        <f t="shared" si="10"/>
        <v>0.98684210526315785</v>
      </c>
      <c r="M44" s="15">
        <f t="shared" si="11"/>
        <v>0.98684210526315785</v>
      </c>
      <c r="N44" s="13" t="s">
        <v>347</v>
      </c>
      <c r="O44" s="13" t="s">
        <v>347</v>
      </c>
      <c r="P44" s="16">
        <v>0</v>
      </c>
      <c r="Q44" s="16">
        <v>0</v>
      </c>
      <c r="R44" s="5" t="str">
        <f t="shared" si="4"/>
        <v>4-2023-02-28</v>
      </c>
    </row>
    <row r="45" spans="1:18" x14ac:dyDescent="0.3">
      <c r="A45" s="37">
        <v>4</v>
      </c>
      <c r="B45" s="13" t="s">
        <v>333</v>
      </c>
      <c r="C45" s="13" t="s">
        <v>342</v>
      </c>
      <c r="D45" s="13" t="s">
        <v>18</v>
      </c>
      <c r="E45" s="13" t="s">
        <v>9</v>
      </c>
      <c r="F45" s="14">
        <v>45016</v>
      </c>
      <c r="G45" s="5">
        <f t="shared" si="0"/>
        <v>2023</v>
      </c>
      <c r="H45" s="5" t="str">
        <f t="shared" si="1"/>
        <v>Marzo</v>
      </c>
      <c r="I45" s="6" t="str">
        <f t="shared" si="5"/>
        <v>2023-1</v>
      </c>
      <c r="J45" s="13">
        <v>62</v>
      </c>
      <c r="K45" s="13">
        <v>76</v>
      </c>
      <c r="L45" s="15">
        <f t="shared" si="10"/>
        <v>1.2258064516129032</v>
      </c>
      <c r="M45" s="15">
        <f t="shared" si="11"/>
        <v>1.2258064516129032</v>
      </c>
      <c r="N45" s="13" t="s">
        <v>347</v>
      </c>
      <c r="O45" s="13" t="s">
        <v>347</v>
      </c>
      <c r="P45" s="16">
        <v>0</v>
      </c>
      <c r="Q45" s="16">
        <v>0</v>
      </c>
      <c r="R45" s="5" t="str">
        <f t="shared" si="4"/>
        <v>4-2023-03-31</v>
      </c>
    </row>
    <row r="46" spans="1:18" x14ac:dyDescent="0.3">
      <c r="A46" s="37">
        <v>4</v>
      </c>
      <c r="B46" s="13" t="s">
        <v>333</v>
      </c>
      <c r="C46" s="13" t="s">
        <v>342</v>
      </c>
      <c r="D46" s="13" t="s">
        <v>18</v>
      </c>
      <c r="E46" s="13" t="s">
        <v>9</v>
      </c>
      <c r="F46" s="14">
        <v>45046</v>
      </c>
      <c r="G46" s="5">
        <f t="shared" si="0"/>
        <v>2023</v>
      </c>
      <c r="H46" s="5" t="str">
        <f t="shared" si="1"/>
        <v>Abril</v>
      </c>
      <c r="I46" s="6" t="str">
        <f t="shared" si="5"/>
        <v>2023-1</v>
      </c>
      <c r="J46" s="13">
        <v>87</v>
      </c>
      <c r="K46" s="13">
        <v>89</v>
      </c>
      <c r="L46" s="15">
        <f t="shared" si="10"/>
        <v>1.0229885057471264</v>
      </c>
      <c r="M46" s="15">
        <f t="shared" si="11"/>
        <v>1.0229885057471264</v>
      </c>
      <c r="N46" s="13" t="s">
        <v>347</v>
      </c>
      <c r="O46" s="13" t="s">
        <v>347</v>
      </c>
      <c r="P46" s="16">
        <v>0</v>
      </c>
      <c r="Q46" s="16">
        <v>0</v>
      </c>
      <c r="R46" s="5" t="str">
        <f t="shared" si="4"/>
        <v>4-2023-04-30</v>
      </c>
    </row>
    <row r="47" spans="1:18" x14ac:dyDescent="0.3">
      <c r="A47" s="37">
        <v>4</v>
      </c>
      <c r="B47" s="13" t="s">
        <v>333</v>
      </c>
      <c r="C47" s="13" t="s">
        <v>342</v>
      </c>
      <c r="D47" s="13" t="s">
        <v>18</v>
      </c>
      <c r="E47" s="13" t="s">
        <v>9</v>
      </c>
      <c r="F47" s="14">
        <v>45077</v>
      </c>
      <c r="G47" s="5">
        <f t="shared" si="0"/>
        <v>2023</v>
      </c>
      <c r="H47" s="5" t="str">
        <f t="shared" si="1"/>
        <v>Mayo</v>
      </c>
      <c r="I47" s="6" t="str">
        <f t="shared" si="5"/>
        <v>2023-1</v>
      </c>
      <c r="J47" s="13">
        <v>95</v>
      </c>
      <c r="K47" s="13">
        <v>93</v>
      </c>
      <c r="L47" s="15">
        <f t="shared" si="10"/>
        <v>0.97894736842105268</v>
      </c>
      <c r="M47" s="15">
        <f t="shared" si="11"/>
        <v>0.97894736842105268</v>
      </c>
      <c r="N47" s="13" t="s">
        <v>347</v>
      </c>
      <c r="O47" s="13" t="s">
        <v>347</v>
      </c>
      <c r="P47" s="16">
        <v>0</v>
      </c>
      <c r="Q47" s="16">
        <v>0</v>
      </c>
      <c r="R47" s="5" t="str">
        <f t="shared" si="4"/>
        <v>4-2023-05-31</v>
      </c>
    </row>
    <row r="48" spans="1:18" x14ac:dyDescent="0.3">
      <c r="A48" s="37">
        <v>4</v>
      </c>
      <c r="B48" s="13" t="s">
        <v>333</v>
      </c>
      <c r="C48" s="13" t="s">
        <v>342</v>
      </c>
      <c r="D48" s="13" t="s">
        <v>18</v>
      </c>
      <c r="E48" s="13" t="s">
        <v>9</v>
      </c>
      <c r="F48" s="14">
        <v>45107</v>
      </c>
      <c r="G48" s="5">
        <f t="shared" si="0"/>
        <v>2023</v>
      </c>
      <c r="H48" s="5" t="str">
        <f t="shared" si="1"/>
        <v>Junio</v>
      </c>
      <c r="I48" s="6" t="str">
        <f t="shared" si="5"/>
        <v>2023-1</v>
      </c>
      <c r="J48" s="13">
        <v>95</v>
      </c>
      <c r="K48" s="13">
        <v>93</v>
      </c>
      <c r="L48" s="15">
        <f t="shared" si="10"/>
        <v>0.97894736842105268</v>
      </c>
      <c r="M48" s="15">
        <f t="shared" si="11"/>
        <v>0.97894736842105268</v>
      </c>
      <c r="N48" s="13" t="s">
        <v>347</v>
      </c>
      <c r="O48" s="13" t="s">
        <v>347</v>
      </c>
      <c r="P48" s="16">
        <v>0</v>
      </c>
      <c r="Q48" s="16">
        <v>0</v>
      </c>
      <c r="R48" s="5" t="str">
        <f t="shared" si="4"/>
        <v>4-2023-06-30</v>
      </c>
    </row>
    <row r="49" spans="1:18" x14ac:dyDescent="0.3">
      <c r="A49" s="37">
        <v>4</v>
      </c>
      <c r="B49" s="13" t="s">
        <v>333</v>
      </c>
      <c r="C49" s="13" t="s">
        <v>342</v>
      </c>
      <c r="D49" s="13" t="s">
        <v>18</v>
      </c>
      <c r="E49" s="13" t="s">
        <v>9</v>
      </c>
      <c r="F49" s="14">
        <v>45138</v>
      </c>
      <c r="G49" s="5">
        <f t="shared" si="0"/>
        <v>2023</v>
      </c>
      <c r="H49" s="5" t="str">
        <f t="shared" si="1"/>
        <v>Julio</v>
      </c>
      <c r="I49" s="6" t="str">
        <f t="shared" si="5"/>
        <v>2023-2</v>
      </c>
      <c r="J49" s="13">
        <v>96</v>
      </c>
      <c r="K49" s="13">
        <v>93</v>
      </c>
      <c r="L49" s="15">
        <f t="shared" si="10"/>
        <v>0.96875</v>
      </c>
      <c r="M49" s="15">
        <f t="shared" si="11"/>
        <v>0.96875</v>
      </c>
      <c r="N49" s="13" t="s">
        <v>347</v>
      </c>
      <c r="O49" s="13" t="s">
        <v>347</v>
      </c>
      <c r="P49" s="16">
        <v>0</v>
      </c>
      <c r="Q49" s="16">
        <v>0</v>
      </c>
      <c r="R49" s="5" t="str">
        <f t="shared" si="4"/>
        <v>4-2023-07-31</v>
      </c>
    </row>
    <row r="50" spans="1:18" x14ac:dyDescent="0.3">
      <c r="A50" s="37">
        <v>4</v>
      </c>
      <c r="B50" s="13" t="s">
        <v>333</v>
      </c>
      <c r="C50" s="13" t="s">
        <v>342</v>
      </c>
      <c r="D50" s="13" t="s">
        <v>18</v>
      </c>
      <c r="E50" s="13" t="s">
        <v>9</v>
      </c>
      <c r="F50" s="14">
        <v>45169</v>
      </c>
      <c r="G50" s="5">
        <f t="shared" si="0"/>
        <v>2023</v>
      </c>
      <c r="H50" s="5" t="str">
        <f t="shared" si="1"/>
        <v>Agosto</v>
      </c>
      <c r="I50" s="6" t="str">
        <f t="shared" si="5"/>
        <v>2023-2</v>
      </c>
      <c r="J50" s="13">
        <v>97</v>
      </c>
      <c r="K50" s="13">
        <v>96</v>
      </c>
      <c r="L50" s="15">
        <f t="shared" si="10"/>
        <v>0.98969072164948457</v>
      </c>
      <c r="M50" s="15">
        <f t="shared" si="11"/>
        <v>0.98969072164948457</v>
      </c>
      <c r="N50" s="13" t="s">
        <v>347</v>
      </c>
      <c r="O50" s="13" t="s">
        <v>347</v>
      </c>
      <c r="P50" s="16">
        <v>0</v>
      </c>
      <c r="Q50" s="16">
        <v>0</v>
      </c>
      <c r="R50" s="5" t="str">
        <f t="shared" si="4"/>
        <v>4-2023-08-31</v>
      </c>
    </row>
    <row r="51" spans="1:18" x14ac:dyDescent="0.3">
      <c r="A51" s="37">
        <v>4</v>
      </c>
      <c r="B51" s="13" t="s">
        <v>333</v>
      </c>
      <c r="C51" s="13" t="s">
        <v>342</v>
      </c>
      <c r="D51" s="13" t="s">
        <v>18</v>
      </c>
      <c r="E51" s="13" t="s">
        <v>9</v>
      </c>
      <c r="F51" s="14">
        <v>45199</v>
      </c>
      <c r="G51" s="5">
        <f t="shared" si="0"/>
        <v>2023</v>
      </c>
      <c r="H51" s="5" t="str">
        <f t="shared" si="1"/>
        <v>Septiembre</v>
      </c>
      <c r="I51" s="6" t="str">
        <f t="shared" si="5"/>
        <v>2023-2</v>
      </c>
      <c r="J51" s="13">
        <v>96</v>
      </c>
      <c r="K51" s="13">
        <v>97</v>
      </c>
      <c r="L51" s="15">
        <f t="shared" si="10"/>
        <v>1.0104166666666667</v>
      </c>
      <c r="M51" s="15">
        <f t="shared" si="11"/>
        <v>1.0104166666666667</v>
      </c>
      <c r="N51" s="13" t="s">
        <v>347</v>
      </c>
      <c r="O51" s="13" t="s">
        <v>347</v>
      </c>
      <c r="P51" s="16">
        <v>0</v>
      </c>
      <c r="Q51" s="16">
        <v>0</v>
      </c>
      <c r="R51" s="5" t="str">
        <f t="shared" si="4"/>
        <v>4-2023-09-30</v>
      </c>
    </row>
    <row r="52" spans="1:18" x14ac:dyDescent="0.3">
      <c r="A52" s="37">
        <v>4</v>
      </c>
      <c r="B52" s="13" t="s">
        <v>333</v>
      </c>
      <c r="C52" s="13" t="s">
        <v>342</v>
      </c>
      <c r="D52" s="13" t="s">
        <v>18</v>
      </c>
      <c r="E52" s="13" t="s">
        <v>9</v>
      </c>
      <c r="F52" s="14">
        <v>45230</v>
      </c>
      <c r="G52" s="5">
        <f t="shared" si="0"/>
        <v>2023</v>
      </c>
      <c r="H52" s="5" t="str">
        <f t="shared" si="1"/>
        <v>Octubre</v>
      </c>
      <c r="I52" s="6" t="str">
        <f t="shared" si="5"/>
        <v>2023-2</v>
      </c>
      <c r="J52" s="13">
        <v>97</v>
      </c>
      <c r="K52" s="13">
        <v>97</v>
      </c>
      <c r="L52" s="15">
        <f t="shared" si="10"/>
        <v>1</v>
      </c>
      <c r="M52" s="15">
        <f t="shared" si="11"/>
        <v>1</v>
      </c>
      <c r="N52" s="13" t="s">
        <v>347</v>
      </c>
      <c r="O52" s="13" t="s">
        <v>347</v>
      </c>
      <c r="P52" s="16">
        <v>0</v>
      </c>
      <c r="Q52" s="16">
        <v>0</v>
      </c>
      <c r="R52" s="5" t="str">
        <f t="shared" si="4"/>
        <v>4-2023-10-31</v>
      </c>
    </row>
    <row r="53" spans="1:18" x14ac:dyDescent="0.3">
      <c r="A53" s="37">
        <v>4</v>
      </c>
      <c r="B53" s="13" t="s">
        <v>333</v>
      </c>
      <c r="C53" s="13" t="s">
        <v>342</v>
      </c>
      <c r="D53" s="13" t="s">
        <v>18</v>
      </c>
      <c r="E53" s="13" t="s">
        <v>9</v>
      </c>
      <c r="F53" s="14">
        <v>45260</v>
      </c>
      <c r="G53" s="5">
        <f t="shared" si="0"/>
        <v>2023</v>
      </c>
      <c r="H53" s="5" t="str">
        <f t="shared" si="1"/>
        <v>Noviembre</v>
      </c>
      <c r="I53" s="6" t="str">
        <f t="shared" si="5"/>
        <v>2023-2</v>
      </c>
      <c r="J53" s="13">
        <v>100</v>
      </c>
      <c r="K53" s="13">
        <v>99</v>
      </c>
      <c r="L53" s="15">
        <f t="shared" si="10"/>
        <v>0.99</v>
      </c>
      <c r="M53" s="15">
        <f t="shared" si="11"/>
        <v>0.99</v>
      </c>
      <c r="N53" s="13" t="s">
        <v>347</v>
      </c>
      <c r="O53" s="13" t="s">
        <v>347</v>
      </c>
      <c r="P53" s="16">
        <v>0</v>
      </c>
      <c r="Q53" s="16">
        <v>0</v>
      </c>
      <c r="R53" s="5" t="str">
        <f t="shared" si="4"/>
        <v>4-2023-11-30</v>
      </c>
    </row>
    <row r="54" spans="1:18" x14ac:dyDescent="0.3">
      <c r="A54" s="37">
        <v>4</v>
      </c>
      <c r="B54" s="13" t="s">
        <v>333</v>
      </c>
      <c r="C54" s="13" t="s">
        <v>342</v>
      </c>
      <c r="D54" s="13" t="s">
        <v>18</v>
      </c>
      <c r="E54" s="13" t="s">
        <v>9</v>
      </c>
      <c r="F54" s="14">
        <v>45291</v>
      </c>
      <c r="G54" s="5">
        <f t="shared" si="0"/>
        <v>2023</v>
      </c>
      <c r="H54" s="5" t="str">
        <f t="shared" si="1"/>
        <v>Diciembre</v>
      </c>
      <c r="I54" s="6" t="str">
        <f t="shared" si="5"/>
        <v>2023-2</v>
      </c>
      <c r="J54" s="13">
        <v>100</v>
      </c>
      <c r="K54" s="13">
        <v>100</v>
      </c>
      <c r="L54" s="15">
        <f t="shared" si="10"/>
        <v>1</v>
      </c>
      <c r="M54" s="15">
        <f t="shared" si="11"/>
        <v>1</v>
      </c>
      <c r="N54" s="13" t="s">
        <v>347</v>
      </c>
      <c r="O54" s="13" t="s">
        <v>347</v>
      </c>
      <c r="P54" s="16">
        <v>0</v>
      </c>
      <c r="Q54" s="16">
        <v>0</v>
      </c>
      <c r="R54" s="5" t="str">
        <f t="shared" si="4"/>
        <v>4-2023-12-31</v>
      </c>
    </row>
    <row r="55" spans="1:18" x14ac:dyDescent="0.3">
      <c r="A55" s="37">
        <v>5</v>
      </c>
      <c r="B55" s="13" t="s">
        <v>334</v>
      </c>
      <c r="C55" s="13" t="s">
        <v>248</v>
      </c>
      <c r="D55" s="13" t="s">
        <v>18</v>
      </c>
      <c r="E55" s="13" t="s">
        <v>9</v>
      </c>
      <c r="F55" s="14">
        <v>44957</v>
      </c>
      <c r="G55" s="5">
        <f t="shared" si="0"/>
        <v>2023</v>
      </c>
      <c r="H55" s="5" t="str">
        <f t="shared" si="1"/>
        <v>Enero</v>
      </c>
      <c r="I55" s="6" t="str">
        <f t="shared" si="5"/>
        <v>2023-1</v>
      </c>
      <c r="J55" s="13">
        <v>36</v>
      </c>
      <c r="K55" s="13">
        <v>40</v>
      </c>
      <c r="L55" s="15">
        <f t="shared" si="10"/>
        <v>1.1111111111111112</v>
      </c>
      <c r="M55" s="15">
        <f t="shared" si="11"/>
        <v>1.1111111111111112</v>
      </c>
      <c r="N55" s="13" t="s">
        <v>347</v>
      </c>
      <c r="O55" s="13" t="s">
        <v>347</v>
      </c>
      <c r="P55" s="16">
        <v>0</v>
      </c>
      <c r="Q55" s="16">
        <v>0</v>
      </c>
      <c r="R55" s="5" t="str">
        <f t="shared" si="4"/>
        <v>5-2023-01-31</v>
      </c>
    </row>
    <row r="56" spans="1:18" x14ac:dyDescent="0.3">
      <c r="A56" s="37">
        <v>5</v>
      </c>
      <c r="B56" s="13" t="s">
        <v>334</v>
      </c>
      <c r="C56" s="13" t="s">
        <v>248</v>
      </c>
      <c r="D56" s="13" t="s">
        <v>18</v>
      </c>
      <c r="E56" s="13" t="s">
        <v>9</v>
      </c>
      <c r="F56" s="14">
        <v>44985</v>
      </c>
      <c r="G56" s="5">
        <f t="shared" si="0"/>
        <v>2023</v>
      </c>
      <c r="H56" s="5" t="str">
        <f t="shared" si="1"/>
        <v>Febrero</v>
      </c>
      <c r="I56" s="6" t="str">
        <f t="shared" si="5"/>
        <v>2023-1</v>
      </c>
      <c r="J56" s="13">
        <v>42</v>
      </c>
      <c r="K56" s="13">
        <v>42</v>
      </c>
      <c r="L56" s="15">
        <f t="shared" si="10"/>
        <v>1</v>
      </c>
      <c r="M56" s="15">
        <f t="shared" si="11"/>
        <v>1</v>
      </c>
      <c r="N56" s="13" t="s">
        <v>347</v>
      </c>
      <c r="O56" s="13" t="s">
        <v>347</v>
      </c>
      <c r="P56" s="16">
        <v>0</v>
      </c>
      <c r="Q56" s="16">
        <v>0</v>
      </c>
      <c r="R56" s="5" t="str">
        <f t="shared" si="4"/>
        <v>5-2023-02-28</v>
      </c>
    </row>
    <row r="57" spans="1:18" x14ac:dyDescent="0.3">
      <c r="A57" s="37">
        <v>5</v>
      </c>
      <c r="B57" s="13" t="s">
        <v>334</v>
      </c>
      <c r="C57" s="13" t="s">
        <v>248</v>
      </c>
      <c r="D57" s="13" t="s">
        <v>18</v>
      </c>
      <c r="E57" s="13" t="s">
        <v>9</v>
      </c>
      <c r="F57" s="14">
        <v>45016</v>
      </c>
      <c r="G57" s="5">
        <f t="shared" si="0"/>
        <v>2023</v>
      </c>
      <c r="H57" s="5" t="str">
        <f t="shared" si="1"/>
        <v>Marzo</v>
      </c>
      <c r="I57" s="6" t="str">
        <f t="shared" si="5"/>
        <v>2023-1</v>
      </c>
      <c r="J57" s="13">
        <v>50</v>
      </c>
      <c r="K57" s="13">
        <v>54</v>
      </c>
      <c r="L57" s="15">
        <f t="shared" si="10"/>
        <v>1.08</v>
      </c>
      <c r="M57" s="15">
        <f t="shared" si="11"/>
        <v>1.08</v>
      </c>
      <c r="N57" s="13" t="s">
        <v>347</v>
      </c>
      <c r="O57" s="13" t="s">
        <v>347</v>
      </c>
      <c r="P57" s="16">
        <v>0</v>
      </c>
      <c r="Q57" s="16">
        <v>0</v>
      </c>
      <c r="R57" s="5" t="str">
        <f t="shared" si="4"/>
        <v>5-2023-03-31</v>
      </c>
    </row>
    <row r="58" spans="1:18" x14ac:dyDescent="0.3">
      <c r="A58" s="37">
        <v>5</v>
      </c>
      <c r="B58" s="13" t="s">
        <v>334</v>
      </c>
      <c r="C58" s="13" t="s">
        <v>248</v>
      </c>
      <c r="D58" s="13" t="s">
        <v>18</v>
      </c>
      <c r="E58" s="13" t="s">
        <v>9</v>
      </c>
      <c r="F58" s="14">
        <v>45046</v>
      </c>
      <c r="G58" s="5">
        <f t="shared" si="0"/>
        <v>2023</v>
      </c>
      <c r="H58" s="5" t="str">
        <f t="shared" si="1"/>
        <v>Abril</v>
      </c>
      <c r="I58" s="6" t="str">
        <f t="shared" si="5"/>
        <v>2023-1</v>
      </c>
      <c r="J58" s="13">
        <v>53</v>
      </c>
      <c r="K58" s="13">
        <v>55</v>
      </c>
      <c r="L58" s="15">
        <f t="shared" si="10"/>
        <v>1.0377358490566038</v>
      </c>
      <c r="M58" s="15">
        <f t="shared" si="11"/>
        <v>1.0377358490566038</v>
      </c>
      <c r="N58" s="13" t="s">
        <v>347</v>
      </c>
      <c r="O58" s="13" t="s">
        <v>347</v>
      </c>
      <c r="P58" s="16">
        <v>0</v>
      </c>
      <c r="Q58" s="16">
        <v>0</v>
      </c>
      <c r="R58" s="5" t="str">
        <f t="shared" si="4"/>
        <v>5-2023-04-30</v>
      </c>
    </row>
    <row r="59" spans="1:18" x14ac:dyDescent="0.3">
      <c r="A59" s="37">
        <v>5</v>
      </c>
      <c r="B59" s="13" t="s">
        <v>334</v>
      </c>
      <c r="C59" s="13" t="s">
        <v>248</v>
      </c>
      <c r="D59" s="13" t="s">
        <v>18</v>
      </c>
      <c r="E59" s="13" t="s">
        <v>9</v>
      </c>
      <c r="F59" s="14">
        <v>45077</v>
      </c>
      <c r="G59" s="5">
        <f t="shared" si="0"/>
        <v>2023</v>
      </c>
      <c r="H59" s="5" t="str">
        <f t="shared" si="1"/>
        <v>Mayo</v>
      </c>
      <c r="I59" s="6" t="str">
        <f t="shared" si="5"/>
        <v>2023-1</v>
      </c>
      <c r="J59" s="13">
        <v>58</v>
      </c>
      <c r="K59" s="13">
        <v>59</v>
      </c>
      <c r="L59" s="15">
        <f t="shared" si="10"/>
        <v>1.0172413793103448</v>
      </c>
      <c r="M59" s="15">
        <f t="shared" si="11"/>
        <v>1.0172413793103448</v>
      </c>
      <c r="N59" s="13" t="s">
        <v>347</v>
      </c>
      <c r="O59" s="13" t="s">
        <v>347</v>
      </c>
      <c r="P59" s="16">
        <v>0</v>
      </c>
      <c r="Q59" s="16">
        <v>0</v>
      </c>
      <c r="R59" s="5" t="str">
        <f t="shared" si="4"/>
        <v>5-2023-05-31</v>
      </c>
    </row>
    <row r="60" spans="1:18" x14ac:dyDescent="0.3">
      <c r="A60" s="37">
        <v>5</v>
      </c>
      <c r="B60" s="13" t="s">
        <v>334</v>
      </c>
      <c r="C60" s="13" t="s">
        <v>248</v>
      </c>
      <c r="D60" s="13" t="s">
        <v>18</v>
      </c>
      <c r="E60" s="13" t="s">
        <v>9</v>
      </c>
      <c r="F60" s="14">
        <v>45107</v>
      </c>
      <c r="G60" s="5">
        <f t="shared" si="0"/>
        <v>2023</v>
      </c>
      <c r="H60" s="5" t="str">
        <f t="shared" si="1"/>
        <v>Junio</v>
      </c>
      <c r="I60" s="6" t="str">
        <f t="shared" si="5"/>
        <v>2023-1</v>
      </c>
      <c r="J60" s="13">
        <v>64</v>
      </c>
      <c r="K60" s="13">
        <v>64</v>
      </c>
      <c r="L60" s="15">
        <f t="shared" si="10"/>
        <v>1</v>
      </c>
      <c r="M60" s="15">
        <f t="shared" si="11"/>
        <v>1</v>
      </c>
      <c r="N60" s="13" t="s">
        <v>347</v>
      </c>
      <c r="O60" s="13" t="s">
        <v>347</v>
      </c>
      <c r="P60" s="16">
        <v>0</v>
      </c>
      <c r="Q60" s="16">
        <v>0</v>
      </c>
      <c r="R60" s="5" t="str">
        <f t="shared" si="4"/>
        <v>5-2023-06-30</v>
      </c>
    </row>
    <row r="61" spans="1:18" x14ac:dyDescent="0.3">
      <c r="A61" s="37">
        <v>5</v>
      </c>
      <c r="B61" s="13" t="s">
        <v>334</v>
      </c>
      <c r="C61" s="13" t="s">
        <v>248</v>
      </c>
      <c r="D61" s="13" t="s">
        <v>18</v>
      </c>
      <c r="E61" s="13" t="s">
        <v>9</v>
      </c>
      <c r="F61" s="14">
        <v>45138</v>
      </c>
      <c r="G61" s="5">
        <f t="shared" si="0"/>
        <v>2023</v>
      </c>
      <c r="H61" s="5" t="str">
        <f t="shared" si="1"/>
        <v>Julio</v>
      </c>
      <c r="I61" s="6" t="str">
        <f t="shared" si="5"/>
        <v>2023-2</v>
      </c>
      <c r="J61" s="13">
        <v>69</v>
      </c>
      <c r="K61" s="13">
        <v>66</v>
      </c>
      <c r="L61" s="15">
        <f t="shared" si="10"/>
        <v>0.95652173913043481</v>
      </c>
      <c r="M61" s="15">
        <f t="shared" si="11"/>
        <v>0.95652173913043481</v>
      </c>
      <c r="N61" s="13" t="s">
        <v>347</v>
      </c>
      <c r="O61" s="13" t="s">
        <v>347</v>
      </c>
      <c r="P61" s="16">
        <v>0</v>
      </c>
      <c r="Q61" s="16">
        <v>0</v>
      </c>
      <c r="R61" s="5" t="str">
        <f t="shared" si="4"/>
        <v>5-2023-07-31</v>
      </c>
    </row>
    <row r="62" spans="1:18" x14ac:dyDescent="0.3">
      <c r="A62" s="37">
        <v>5</v>
      </c>
      <c r="B62" s="13" t="s">
        <v>334</v>
      </c>
      <c r="C62" s="13" t="s">
        <v>248</v>
      </c>
      <c r="D62" s="13" t="s">
        <v>18</v>
      </c>
      <c r="E62" s="13" t="s">
        <v>9</v>
      </c>
      <c r="F62" s="14">
        <v>45169</v>
      </c>
      <c r="G62" s="5">
        <f t="shared" si="0"/>
        <v>2023</v>
      </c>
      <c r="H62" s="5" t="str">
        <f t="shared" si="1"/>
        <v>Agosto</v>
      </c>
      <c r="I62" s="6" t="str">
        <f t="shared" si="5"/>
        <v>2023-2</v>
      </c>
      <c r="J62" s="13">
        <v>75</v>
      </c>
      <c r="K62" s="13">
        <v>80</v>
      </c>
      <c r="L62" s="15">
        <f t="shared" si="10"/>
        <v>1.0666666666666667</v>
      </c>
      <c r="M62" s="15">
        <f t="shared" si="11"/>
        <v>1.0666666666666667</v>
      </c>
      <c r="N62" s="13" t="s">
        <v>347</v>
      </c>
      <c r="O62" s="13" t="s">
        <v>347</v>
      </c>
      <c r="P62" s="16">
        <v>0</v>
      </c>
      <c r="Q62" s="16">
        <v>0</v>
      </c>
      <c r="R62" s="5" t="str">
        <f t="shared" si="4"/>
        <v>5-2023-08-31</v>
      </c>
    </row>
    <row r="63" spans="1:18" x14ac:dyDescent="0.3">
      <c r="A63" s="37">
        <v>5</v>
      </c>
      <c r="B63" s="13" t="s">
        <v>334</v>
      </c>
      <c r="C63" s="13" t="s">
        <v>248</v>
      </c>
      <c r="D63" s="13" t="s">
        <v>18</v>
      </c>
      <c r="E63" s="13" t="s">
        <v>9</v>
      </c>
      <c r="F63" s="14">
        <v>45199</v>
      </c>
      <c r="G63" s="5">
        <f t="shared" si="0"/>
        <v>2023</v>
      </c>
      <c r="H63" s="5" t="str">
        <f t="shared" si="1"/>
        <v>Septiembre</v>
      </c>
      <c r="I63" s="6" t="str">
        <f t="shared" si="5"/>
        <v>2023-2</v>
      </c>
      <c r="J63" s="13">
        <v>75</v>
      </c>
      <c r="K63" s="13">
        <v>80</v>
      </c>
      <c r="L63" s="15">
        <f t="shared" si="10"/>
        <v>1.0666666666666667</v>
      </c>
      <c r="M63" s="15">
        <f t="shared" si="11"/>
        <v>1.0666666666666667</v>
      </c>
      <c r="N63" s="13" t="s">
        <v>347</v>
      </c>
      <c r="O63" s="13" t="s">
        <v>347</v>
      </c>
      <c r="P63" s="16">
        <v>0</v>
      </c>
      <c r="Q63" s="16">
        <v>0</v>
      </c>
      <c r="R63" s="5" t="str">
        <f t="shared" si="4"/>
        <v>5-2023-09-30</v>
      </c>
    </row>
    <row r="64" spans="1:18" x14ac:dyDescent="0.3">
      <c r="A64" s="37">
        <v>5</v>
      </c>
      <c r="B64" s="13" t="s">
        <v>334</v>
      </c>
      <c r="C64" s="13" t="s">
        <v>248</v>
      </c>
      <c r="D64" s="13" t="s">
        <v>18</v>
      </c>
      <c r="E64" s="13" t="s">
        <v>9</v>
      </c>
      <c r="F64" s="14">
        <v>45230</v>
      </c>
      <c r="G64" s="5">
        <f t="shared" si="0"/>
        <v>2023</v>
      </c>
      <c r="H64" s="5" t="str">
        <f t="shared" si="1"/>
        <v>Octubre</v>
      </c>
      <c r="I64" s="6" t="str">
        <f t="shared" si="5"/>
        <v>2023-2</v>
      </c>
      <c r="J64" s="13">
        <v>91</v>
      </c>
      <c r="K64" s="13">
        <v>84</v>
      </c>
      <c r="L64" s="15">
        <f t="shared" si="10"/>
        <v>0.92307692307692313</v>
      </c>
      <c r="M64" s="15">
        <f t="shared" si="11"/>
        <v>0.92307692307692313</v>
      </c>
      <c r="N64" s="13" t="s">
        <v>347</v>
      </c>
      <c r="O64" s="13" t="s">
        <v>347</v>
      </c>
      <c r="P64" s="16">
        <v>0</v>
      </c>
      <c r="Q64" s="16">
        <v>0</v>
      </c>
      <c r="R64" s="5" t="str">
        <f t="shared" si="4"/>
        <v>5-2023-10-31</v>
      </c>
    </row>
    <row r="65" spans="1:18" x14ac:dyDescent="0.3">
      <c r="A65" s="37">
        <v>5</v>
      </c>
      <c r="B65" s="13" t="s">
        <v>334</v>
      </c>
      <c r="C65" s="13" t="s">
        <v>248</v>
      </c>
      <c r="D65" s="13" t="s">
        <v>18</v>
      </c>
      <c r="E65" s="13" t="s">
        <v>9</v>
      </c>
      <c r="F65" s="14">
        <v>45260</v>
      </c>
      <c r="G65" s="5">
        <f t="shared" si="0"/>
        <v>2023</v>
      </c>
      <c r="H65" s="5" t="str">
        <f t="shared" si="1"/>
        <v>Noviembre</v>
      </c>
      <c r="I65" s="6" t="str">
        <f t="shared" si="5"/>
        <v>2023-2</v>
      </c>
      <c r="J65" s="13">
        <v>92</v>
      </c>
      <c r="K65" s="13">
        <v>85</v>
      </c>
      <c r="L65" s="15">
        <f t="shared" si="10"/>
        <v>0.92391304347826086</v>
      </c>
      <c r="M65" s="15">
        <f t="shared" si="11"/>
        <v>0.92391304347826086</v>
      </c>
      <c r="N65" s="13" t="s">
        <v>347</v>
      </c>
      <c r="O65" s="13" t="s">
        <v>347</v>
      </c>
      <c r="P65" s="16">
        <v>0</v>
      </c>
      <c r="Q65" s="16">
        <v>0</v>
      </c>
      <c r="R65" s="5" t="str">
        <f t="shared" si="4"/>
        <v>5-2023-11-30</v>
      </c>
    </row>
    <row r="66" spans="1:18" x14ac:dyDescent="0.3">
      <c r="A66" s="37">
        <v>5</v>
      </c>
      <c r="B66" s="13" t="s">
        <v>334</v>
      </c>
      <c r="C66" s="13" t="s">
        <v>248</v>
      </c>
      <c r="D66" s="13" t="s">
        <v>18</v>
      </c>
      <c r="E66" s="13" t="s">
        <v>9</v>
      </c>
      <c r="F66" s="14">
        <v>45291</v>
      </c>
      <c r="G66" s="5">
        <f t="shared" ref="G66:G129" si="12">YEAR(F66)</f>
        <v>2023</v>
      </c>
      <c r="H66" s="5" t="str">
        <f t="shared" ref="H66:H129" si="13">PROPER(TEXT(F66,"mmmm"))</f>
        <v>Diciembre</v>
      </c>
      <c r="I66" s="6" t="str">
        <f t="shared" ref="I66:I129" si="14">IF(OR(H66="Enero",H66="Febrero",H66="Marzo",H66="Abril",H66="Mayo",H66="Junio"),G66&amp;"-1",IF(OR(H66="Julio",H66="Agosto",H66="Septiembre",H66="Octubre",H66="Noviembre",H66="Diciembre"),G66&amp;"-2"))</f>
        <v>2023-2</v>
      </c>
      <c r="J66" s="13">
        <v>78</v>
      </c>
      <c r="K66" s="13">
        <v>74</v>
      </c>
      <c r="L66" s="15">
        <f t="shared" si="10"/>
        <v>0.94871794871794868</v>
      </c>
      <c r="M66" s="15">
        <f t="shared" si="11"/>
        <v>0.94871794871794868</v>
      </c>
      <c r="N66" s="13" t="s">
        <v>347</v>
      </c>
      <c r="O66" s="13" t="s">
        <v>347</v>
      </c>
      <c r="P66" s="16">
        <v>0</v>
      </c>
      <c r="Q66" s="16">
        <v>0</v>
      </c>
      <c r="R66" s="5" t="str">
        <f t="shared" ref="R66:R129" si="15">A66&amp;"-"&amp;YEAR(F66)&amp;"-"&amp;IF(LEN(MONTH(F66))=1,"0"&amp;MONTH(F66),MONTH(F66))&amp;"-"&amp;DAY(F66)</f>
        <v>5-2023-12-31</v>
      </c>
    </row>
    <row r="67" spans="1:18" x14ac:dyDescent="0.3">
      <c r="A67" s="37">
        <v>5</v>
      </c>
      <c r="B67" s="13" t="s">
        <v>334</v>
      </c>
      <c r="C67" s="13" t="s">
        <v>248</v>
      </c>
      <c r="D67" s="13" t="s">
        <v>18</v>
      </c>
      <c r="E67" s="13" t="s">
        <v>9</v>
      </c>
      <c r="F67" s="14">
        <v>45322</v>
      </c>
      <c r="G67" s="5">
        <f t="shared" si="12"/>
        <v>2024</v>
      </c>
      <c r="H67" s="5" t="str">
        <f t="shared" si="13"/>
        <v>Enero</v>
      </c>
      <c r="I67" s="6" t="str">
        <f t="shared" si="14"/>
        <v>2024-1</v>
      </c>
      <c r="J67" s="5">
        <v>74</v>
      </c>
      <c r="K67" s="5">
        <v>78</v>
      </c>
      <c r="L67" s="15">
        <f t="shared" si="10"/>
        <v>1.0540540540540539</v>
      </c>
      <c r="M67" s="15">
        <f t="shared" si="11"/>
        <v>1.0540540540540539</v>
      </c>
      <c r="N67" s="13" t="s">
        <v>347</v>
      </c>
      <c r="O67" s="13" t="s">
        <v>347</v>
      </c>
      <c r="P67" s="16">
        <v>0</v>
      </c>
      <c r="Q67" s="16">
        <v>0</v>
      </c>
      <c r="R67" s="5" t="str">
        <f t="shared" si="15"/>
        <v>5-2024-01-31</v>
      </c>
    </row>
    <row r="68" spans="1:18" x14ac:dyDescent="0.3">
      <c r="A68" s="37">
        <v>5</v>
      </c>
      <c r="B68" s="13" t="s">
        <v>334</v>
      </c>
      <c r="C68" s="13" t="s">
        <v>248</v>
      </c>
      <c r="D68" s="13" t="s">
        <v>18</v>
      </c>
      <c r="E68" s="13" t="s">
        <v>9</v>
      </c>
      <c r="F68" s="14">
        <v>45351</v>
      </c>
      <c r="G68" s="5">
        <f t="shared" si="12"/>
        <v>2024</v>
      </c>
      <c r="H68" s="5" t="str">
        <f t="shared" si="13"/>
        <v>Febrero</v>
      </c>
      <c r="I68" s="6" t="str">
        <f t="shared" si="14"/>
        <v>2024-1</v>
      </c>
      <c r="J68" s="5">
        <v>78</v>
      </c>
      <c r="K68" s="5">
        <v>74</v>
      </c>
      <c r="L68" s="15">
        <f t="shared" si="10"/>
        <v>0.94871794871794868</v>
      </c>
      <c r="M68" s="15">
        <f t="shared" si="11"/>
        <v>0.94871794871794868</v>
      </c>
      <c r="N68" s="13" t="s">
        <v>347</v>
      </c>
      <c r="O68" s="13" t="s">
        <v>347</v>
      </c>
      <c r="P68" s="16">
        <v>0</v>
      </c>
      <c r="Q68" s="16">
        <v>0</v>
      </c>
      <c r="R68" s="5" t="str">
        <f t="shared" si="15"/>
        <v>5-2024-02-29</v>
      </c>
    </row>
    <row r="69" spans="1:18" x14ac:dyDescent="0.3">
      <c r="A69" s="37">
        <v>5</v>
      </c>
      <c r="B69" s="13" t="s">
        <v>334</v>
      </c>
      <c r="C69" s="13" t="s">
        <v>248</v>
      </c>
      <c r="D69" s="13" t="s">
        <v>18</v>
      </c>
      <c r="E69" s="13" t="s">
        <v>9</v>
      </c>
      <c r="F69" s="14">
        <v>45382</v>
      </c>
      <c r="G69" s="5">
        <f t="shared" si="12"/>
        <v>2024</v>
      </c>
      <c r="H69" s="5" t="str">
        <f t="shared" si="13"/>
        <v>Marzo</v>
      </c>
      <c r="I69" s="6" t="str">
        <f t="shared" si="14"/>
        <v>2024-1</v>
      </c>
      <c r="J69" s="5">
        <v>100</v>
      </c>
      <c r="K69" s="5">
        <v>98</v>
      </c>
      <c r="L69" s="15">
        <f t="shared" si="10"/>
        <v>0.98</v>
      </c>
      <c r="M69" s="15">
        <f t="shared" si="11"/>
        <v>0.98</v>
      </c>
      <c r="N69" s="13" t="s">
        <v>347</v>
      </c>
      <c r="O69" s="13" t="s">
        <v>347</v>
      </c>
      <c r="P69" s="16">
        <v>0</v>
      </c>
      <c r="Q69" s="16">
        <v>0</v>
      </c>
      <c r="R69" s="5" t="str">
        <f t="shared" si="15"/>
        <v>5-2024-03-31</v>
      </c>
    </row>
    <row r="70" spans="1:18" x14ac:dyDescent="0.3">
      <c r="A70" s="37">
        <v>5</v>
      </c>
      <c r="B70" s="13" t="s">
        <v>334</v>
      </c>
      <c r="C70" s="13" t="s">
        <v>248</v>
      </c>
      <c r="D70" s="13" t="s">
        <v>18</v>
      </c>
      <c r="E70" s="13" t="s">
        <v>9</v>
      </c>
      <c r="F70" s="14">
        <v>45412</v>
      </c>
      <c r="G70" s="5">
        <f t="shared" si="12"/>
        <v>2024</v>
      </c>
      <c r="H70" s="5" t="str">
        <f t="shared" si="13"/>
        <v>Abril</v>
      </c>
      <c r="I70" s="6" t="str">
        <f t="shared" si="14"/>
        <v>2024-1</v>
      </c>
      <c r="J70" s="5">
        <v>100</v>
      </c>
      <c r="K70" s="5">
        <v>98</v>
      </c>
      <c r="L70" s="15">
        <f t="shared" si="10"/>
        <v>0.98</v>
      </c>
      <c r="M70" s="15">
        <f t="shared" si="11"/>
        <v>0.98</v>
      </c>
      <c r="N70" s="13" t="s">
        <v>347</v>
      </c>
      <c r="O70" s="13" t="s">
        <v>347</v>
      </c>
      <c r="P70" s="16">
        <v>0</v>
      </c>
      <c r="Q70" s="16">
        <v>0</v>
      </c>
      <c r="R70" s="5" t="str">
        <f t="shared" si="15"/>
        <v>5-2024-04-30</v>
      </c>
    </row>
    <row r="71" spans="1:18" x14ac:dyDescent="0.3">
      <c r="A71" s="37">
        <v>5</v>
      </c>
      <c r="B71" s="13" t="s">
        <v>334</v>
      </c>
      <c r="C71" s="13" t="s">
        <v>248</v>
      </c>
      <c r="D71" s="13" t="s">
        <v>18</v>
      </c>
      <c r="E71" s="13" t="s">
        <v>9</v>
      </c>
      <c r="F71" s="14">
        <v>45443</v>
      </c>
      <c r="G71" s="5">
        <f t="shared" si="12"/>
        <v>2024</v>
      </c>
      <c r="H71" s="5" t="str">
        <f t="shared" si="13"/>
        <v>Mayo</v>
      </c>
      <c r="I71" s="6" t="str">
        <f t="shared" si="14"/>
        <v>2024-1</v>
      </c>
      <c r="J71" s="5">
        <v>100</v>
      </c>
      <c r="K71" s="5">
        <v>98</v>
      </c>
      <c r="L71" s="15">
        <f t="shared" si="10"/>
        <v>0.98</v>
      </c>
      <c r="M71" s="15">
        <f t="shared" si="11"/>
        <v>0.98</v>
      </c>
      <c r="N71" s="13" t="s">
        <v>347</v>
      </c>
      <c r="O71" s="13" t="s">
        <v>347</v>
      </c>
      <c r="P71" s="16">
        <v>0</v>
      </c>
      <c r="Q71" s="16">
        <v>0</v>
      </c>
      <c r="R71" s="5" t="str">
        <f t="shared" si="15"/>
        <v>5-2024-05-31</v>
      </c>
    </row>
    <row r="72" spans="1:18" x14ac:dyDescent="0.3">
      <c r="A72" s="37">
        <v>5</v>
      </c>
      <c r="B72" s="13" t="s">
        <v>334</v>
      </c>
      <c r="C72" s="13" t="s">
        <v>248</v>
      </c>
      <c r="D72" s="13" t="s">
        <v>18</v>
      </c>
      <c r="E72" s="13" t="s">
        <v>9</v>
      </c>
      <c r="F72" s="14">
        <v>45473</v>
      </c>
      <c r="G72" s="5">
        <f t="shared" si="12"/>
        <v>2024</v>
      </c>
      <c r="H72" s="5" t="str">
        <f t="shared" si="13"/>
        <v>Junio</v>
      </c>
      <c r="I72" s="6" t="str">
        <f t="shared" si="14"/>
        <v>2024-1</v>
      </c>
      <c r="J72" s="5">
        <v>100</v>
      </c>
      <c r="K72" s="5">
        <v>100</v>
      </c>
      <c r="L72" s="15">
        <f t="shared" si="10"/>
        <v>1</v>
      </c>
      <c r="M72" s="15">
        <f t="shared" si="11"/>
        <v>1</v>
      </c>
      <c r="N72" s="13" t="s">
        <v>347</v>
      </c>
      <c r="O72" s="13" t="s">
        <v>347</v>
      </c>
      <c r="P72" s="16">
        <v>0</v>
      </c>
      <c r="Q72" s="16">
        <v>0</v>
      </c>
      <c r="R72" s="5" t="str">
        <f t="shared" si="15"/>
        <v>5-2024-06-30</v>
      </c>
    </row>
    <row r="73" spans="1:18" x14ac:dyDescent="0.3">
      <c r="A73" s="37">
        <v>5</v>
      </c>
      <c r="B73" s="13" t="s">
        <v>334</v>
      </c>
      <c r="C73" s="13" t="s">
        <v>248</v>
      </c>
      <c r="D73" s="13" t="s">
        <v>18</v>
      </c>
      <c r="E73" s="13" t="s">
        <v>9</v>
      </c>
      <c r="F73" s="14">
        <v>45504</v>
      </c>
      <c r="G73" s="5">
        <f t="shared" si="12"/>
        <v>2024</v>
      </c>
      <c r="H73" s="5" t="str">
        <f t="shared" si="13"/>
        <v>Julio</v>
      </c>
      <c r="I73" s="6" t="str">
        <f t="shared" si="14"/>
        <v>2024-2</v>
      </c>
      <c r="J73" s="5">
        <v>100</v>
      </c>
      <c r="K73" s="5">
        <v>99</v>
      </c>
      <c r="L73" s="15">
        <f t="shared" si="10"/>
        <v>0.99</v>
      </c>
      <c r="M73" s="15">
        <f t="shared" si="11"/>
        <v>0.99</v>
      </c>
      <c r="N73" s="13" t="s">
        <v>347</v>
      </c>
      <c r="O73" s="13" t="s">
        <v>347</v>
      </c>
      <c r="P73" s="16">
        <v>0</v>
      </c>
      <c r="Q73" s="16">
        <v>0</v>
      </c>
      <c r="R73" s="5" t="str">
        <f t="shared" si="15"/>
        <v>5-2024-07-31</v>
      </c>
    </row>
    <row r="74" spans="1:18" x14ac:dyDescent="0.3">
      <c r="A74" s="37">
        <v>5</v>
      </c>
      <c r="B74" s="13" t="s">
        <v>334</v>
      </c>
      <c r="C74" s="13" t="s">
        <v>248</v>
      </c>
      <c r="D74" s="13" t="s">
        <v>18</v>
      </c>
      <c r="E74" s="13" t="s">
        <v>9</v>
      </c>
      <c r="F74" s="14">
        <v>45535</v>
      </c>
      <c r="G74" s="5">
        <f t="shared" si="12"/>
        <v>2024</v>
      </c>
      <c r="H74" s="5" t="str">
        <f t="shared" si="13"/>
        <v>Agosto</v>
      </c>
      <c r="I74" s="6" t="str">
        <f t="shared" si="14"/>
        <v>2024-2</v>
      </c>
      <c r="J74" s="5">
        <v>100</v>
      </c>
      <c r="K74" s="5">
        <v>100</v>
      </c>
      <c r="L74" s="15">
        <f t="shared" si="10"/>
        <v>1</v>
      </c>
      <c r="M74" s="15">
        <f t="shared" si="11"/>
        <v>1</v>
      </c>
      <c r="N74" s="13" t="s">
        <v>347</v>
      </c>
      <c r="O74" s="13" t="s">
        <v>347</v>
      </c>
      <c r="P74" s="16">
        <v>0</v>
      </c>
      <c r="Q74" s="16">
        <v>0</v>
      </c>
      <c r="R74" s="5" t="str">
        <f t="shared" si="15"/>
        <v>5-2024-08-31</v>
      </c>
    </row>
    <row r="75" spans="1:18" x14ac:dyDescent="0.3">
      <c r="A75" s="37">
        <v>5</v>
      </c>
      <c r="B75" s="13" t="s">
        <v>334</v>
      </c>
      <c r="C75" s="13" t="s">
        <v>248</v>
      </c>
      <c r="D75" s="13" t="s">
        <v>18</v>
      </c>
      <c r="E75" s="13" t="s">
        <v>9</v>
      </c>
      <c r="F75" s="14">
        <v>45565</v>
      </c>
      <c r="G75" s="5">
        <f t="shared" si="12"/>
        <v>2024</v>
      </c>
      <c r="H75" s="5" t="str">
        <f t="shared" si="13"/>
        <v>Septiembre</v>
      </c>
      <c r="I75" s="6" t="str">
        <f t="shared" si="14"/>
        <v>2024-2</v>
      </c>
      <c r="J75" s="5">
        <v>100</v>
      </c>
      <c r="K75" s="5">
        <v>100</v>
      </c>
      <c r="L75" s="15">
        <f t="shared" ref="L75:L106" si="16">IFERROR(IF((K75/J75)&gt;1.3,1.3,K75/J75),"")</f>
        <v>1</v>
      </c>
      <c r="M75" s="15">
        <f t="shared" ref="M75:M106" si="17">IFERROR(IF((K75/J75)&gt;K75/J75,1.3,K75/J75),"")</f>
        <v>1</v>
      </c>
      <c r="N75" s="13" t="s">
        <v>347</v>
      </c>
      <c r="O75" s="13" t="s">
        <v>347</v>
      </c>
      <c r="P75" s="16">
        <v>0</v>
      </c>
      <c r="Q75" s="16">
        <v>0</v>
      </c>
      <c r="R75" s="5" t="str">
        <f t="shared" si="15"/>
        <v>5-2024-09-30</v>
      </c>
    </row>
    <row r="76" spans="1:18" x14ac:dyDescent="0.3">
      <c r="A76" s="37">
        <v>5</v>
      </c>
      <c r="B76" s="13" t="s">
        <v>334</v>
      </c>
      <c r="C76" s="13" t="s">
        <v>248</v>
      </c>
      <c r="D76" s="13" t="s">
        <v>18</v>
      </c>
      <c r="E76" s="13" t="s">
        <v>9</v>
      </c>
      <c r="F76" s="14">
        <v>45596</v>
      </c>
      <c r="G76" s="5">
        <f t="shared" si="12"/>
        <v>2024</v>
      </c>
      <c r="H76" s="5" t="str">
        <f t="shared" si="13"/>
        <v>Octubre</v>
      </c>
      <c r="I76" s="6" t="str">
        <f t="shared" si="14"/>
        <v>2024-2</v>
      </c>
      <c r="J76" s="5">
        <v>100</v>
      </c>
      <c r="K76" s="5">
        <v>100</v>
      </c>
      <c r="L76" s="15">
        <f t="shared" si="16"/>
        <v>1</v>
      </c>
      <c r="M76" s="15">
        <f t="shared" si="17"/>
        <v>1</v>
      </c>
      <c r="N76" s="13" t="s">
        <v>347</v>
      </c>
      <c r="O76" s="13" t="s">
        <v>347</v>
      </c>
      <c r="P76" s="16">
        <v>0</v>
      </c>
      <c r="Q76" s="16">
        <v>0</v>
      </c>
      <c r="R76" s="5" t="str">
        <f t="shared" si="15"/>
        <v>5-2024-10-31</v>
      </c>
    </row>
    <row r="77" spans="1:18" x14ac:dyDescent="0.3">
      <c r="A77" s="37">
        <v>5</v>
      </c>
      <c r="B77" s="13" t="s">
        <v>334</v>
      </c>
      <c r="C77" s="13" t="s">
        <v>248</v>
      </c>
      <c r="D77" s="13" t="s">
        <v>18</v>
      </c>
      <c r="E77" s="13" t="s">
        <v>9</v>
      </c>
      <c r="F77" s="14">
        <v>45626</v>
      </c>
      <c r="G77" s="5">
        <f t="shared" si="12"/>
        <v>2024</v>
      </c>
      <c r="H77" s="5" t="str">
        <f t="shared" si="13"/>
        <v>Noviembre</v>
      </c>
      <c r="I77" s="6" t="str">
        <f t="shared" si="14"/>
        <v>2024-2</v>
      </c>
      <c r="J77" s="5">
        <v>100</v>
      </c>
      <c r="K77" s="5">
        <v>100</v>
      </c>
      <c r="L77" s="15">
        <f t="shared" si="16"/>
        <v>1</v>
      </c>
      <c r="M77" s="15">
        <f t="shared" si="17"/>
        <v>1</v>
      </c>
      <c r="N77" s="13" t="s">
        <v>347</v>
      </c>
      <c r="O77" s="13" t="s">
        <v>347</v>
      </c>
      <c r="P77" s="16">
        <v>0</v>
      </c>
      <c r="Q77" s="16">
        <v>0</v>
      </c>
      <c r="R77" s="5" t="str">
        <f t="shared" si="15"/>
        <v>5-2024-11-30</v>
      </c>
    </row>
    <row r="78" spans="1:18" x14ac:dyDescent="0.3">
      <c r="A78" s="37">
        <v>5</v>
      </c>
      <c r="B78" s="13" t="s">
        <v>334</v>
      </c>
      <c r="C78" s="13" t="s">
        <v>248</v>
      </c>
      <c r="D78" s="13" t="s">
        <v>18</v>
      </c>
      <c r="E78" s="13" t="s">
        <v>9</v>
      </c>
      <c r="F78" s="14">
        <v>45657</v>
      </c>
      <c r="G78" s="5">
        <f t="shared" si="12"/>
        <v>2024</v>
      </c>
      <c r="H78" s="5" t="str">
        <f t="shared" si="13"/>
        <v>Diciembre</v>
      </c>
      <c r="I78" s="6" t="str">
        <f t="shared" si="14"/>
        <v>2024-2</v>
      </c>
      <c r="J78" s="5">
        <v>100</v>
      </c>
      <c r="K78" s="5">
        <v>100</v>
      </c>
      <c r="L78" s="15">
        <f t="shared" si="16"/>
        <v>1</v>
      </c>
      <c r="M78" s="15">
        <f t="shared" si="17"/>
        <v>1</v>
      </c>
      <c r="N78" s="13" t="s">
        <v>347</v>
      </c>
      <c r="O78" s="13" t="s">
        <v>347</v>
      </c>
      <c r="P78" s="16">
        <v>0</v>
      </c>
      <c r="Q78" s="16">
        <v>0</v>
      </c>
      <c r="R78" s="5" t="str">
        <f t="shared" si="15"/>
        <v>5-2024-12-31</v>
      </c>
    </row>
    <row r="79" spans="1:18" x14ac:dyDescent="0.3">
      <c r="A79" s="37">
        <v>6</v>
      </c>
      <c r="B79" s="13" t="s">
        <v>335</v>
      </c>
      <c r="C79" s="5" t="s">
        <v>343</v>
      </c>
      <c r="D79" s="13" t="s">
        <v>18</v>
      </c>
      <c r="E79" s="13" t="s">
        <v>9</v>
      </c>
      <c r="F79" s="14">
        <v>45046</v>
      </c>
      <c r="G79" s="5">
        <f t="shared" si="12"/>
        <v>2023</v>
      </c>
      <c r="H79" s="5" t="str">
        <f t="shared" si="13"/>
        <v>Abril</v>
      </c>
      <c r="I79" s="6" t="str">
        <f t="shared" si="14"/>
        <v>2023-1</v>
      </c>
      <c r="J79" s="13">
        <v>5</v>
      </c>
      <c r="K79" s="13">
        <v>4</v>
      </c>
      <c r="L79" s="15">
        <f t="shared" si="16"/>
        <v>0.8</v>
      </c>
      <c r="M79" s="15">
        <f t="shared" si="17"/>
        <v>0.8</v>
      </c>
      <c r="N79" s="13" t="s">
        <v>347</v>
      </c>
      <c r="O79" s="13" t="s">
        <v>347</v>
      </c>
      <c r="P79" s="16">
        <v>0</v>
      </c>
      <c r="Q79" s="16">
        <v>0</v>
      </c>
      <c r="R79" s="5" t="str">
        <f t="shared" si="15"/>
        <v>6-2023-04-30</v>
      </c>
    </row>
    <row r="80" spans="1:18" x14ac:dyDescent="0.3">
      <c r="A80" s="37">
        <v>6</v>
      </c>
      <c r="B80" s="13" t="s">
        <v>335</v>
      </c>
      <c r="C80" s="5" t="s">
        <v>343</v>
      </c>
      <c r="D80" s="13" t="s">
        <v>18</v>
      </c>
      <c r="E80" s="13" t="s">
        <v>9</v>
      </c>
      <c r="F80" s="14">
        <v>45077</v>
      </c>
      <c r="G80" s="5">
        <f t="shared" si="12"/>
        <v>2023</v>
      </c>
      <c r="H80" s="5" t="str">
        <f t="shared" si="13"/>
        <v>Mayo</v>
      </c>
      <c r="I80" s="6" t="str">
        <f t="shared" si="14"/>
        <v>2023-1</v>
      </c>
      <c r="J80" s="13">
        <v>9</v>
      </c>
      <c r="K80" s="13">
        <v>5</v>
      </c>
      <c r="L80" s="15">
        <f t="shared" si="16"/>
        <v>0.55555555555555558</v>
      </c>
      <c r="M80" s="15">
        <f t="shared" si="17"/>
        <v>0.55555555555555558</v>
      </c>
      <c r="N80" s="13" t="s">
        <v>347</v>
      </c>
      <c r="O80" s="13" t="s">
        <v>347</v>
      </c>
      <c r="P80" s="16">
        <v>0</v>
      </c>
      <c r="Q80" s="16">
        <v>0</v>
      </c>
      <c r="R80" s="5" t="str">
        <f t="shared" si="15"/>
        <v>6-2023-05-31</v>
      </c>
    </row>
    <row r="81" spans="1:18" x14ac:dyDescent="0.3">
      <c r="A81" s="37">
        <v>6</v>
      </c>
      <c r="B81" s="13" t="s">
        <v>335</v>
      </c>
      <c r="C81" s="5" t="s">
        <v>343</v>
      </c>
      <c r="D81" s="13" t="s">
        <v>18</v>
      </c>
      <c r="E81" s="13" t="s">
        <v>9</v>
      </c>
      <c r="F81" s="14">
        <v>45107</v>
      </c>
      <c r="G81" s="5">
        <f t="shared" si="12"/>
        <v>2023</v>
      </c>
      <c r="H81" s="5" t="str">
        <f t="shared" si="13"/>
        <v>Junio</v>
      </c>
      <c r="I81" s="6" t="str">
        <f t="shared" si="14"/>
        <v>2023-1</v>
      </c>
      <c r="J81" s="13">
        <v>20</v>
      </c>
      <c r="K81" s="13">
        <v>11</v>
      </c>
      <c r="L81" s="15">
        <f t="shared" si="16"/>
        <v>0.55000000000000004</v>
      </c>
      <c r="M81" s="15">
        <f t="shared" si="17"/>
        <v>0.55000000000000004</v>
      </c>
      <c r="N81" s="13" t="s">
        <v>347</v>
      </c>
      <c r="O81" s="13" t="s">
        <v>347</v>
      </c>
      <c r="P81" s="16">
        <v>0</v>
      </c>
      <c r="Q81" s="16">
        <v>0</v>
      </c>
      <c r="R81" s="5" t="str">
        <f t="shared" si="15"/>
        <v>6-2023-06-30</v>
      </c>
    </row>
    <row r="82" spans="1:18" x14ac:dyDescent="0.3">
      <c r="A82" s="37">
        <v>6</v>
      </c>
      <c r="B82" s="13" t="s">
        <v>335</v>
      </c>
      <c r="C82" s="5" t="s">
        <v>343</v>
      </c>
      <c r="D82" s="13" t="s">
        <v>18</v>
      </c>
      <c r="E82" s="13" t="s">
        <v>9</v>
      </c>
      <c r="F82" s="14">
        <v>45138</v>
      </c>
      <c r="G82" s="5">
        <f t="shared" si="12"/>
        <v>2023</v>
      </c>
      <c r="H82" s="5" t="str">
        <f t="shared" si="13"/>
        <v>Julio</v>
      </c>
      <c r="I82" s="6" t="str">
        <f t="shared" si="14"/>
        <v>2023-2</v>
      </c>
      <c r="J82" s="13">
        <v>23</v>
      </c>
      <c r="K82" s="13">
        <v>22</v>
      </c>
      <c r="L82" s="15">
        <f t="shared" si="16"/>
        <v>0.95652173913043481</v>
      </c>
      <c r="M82" s="15">
        <f t="shared" si="17"/>
        <v>0.95652173913043481</v>
      </c>
      <c r="N82" s="13" t="s">
        <v>347</v>
      </c>
      <c r="O82" s="13" t="s">
        <v>347</v>
      </c>
      <c r="P82" s="16">
        <v>0</v>
      </c>
      <c r="Q82" s="16">
        <v>0</v>
      </c>
      <c r="R82" s="5" t="str">
        <f t="shared" si="15"/>
        <v>6-2023-07-31</v>
      </c>
    </row>
    <row r="83" spans="1:18" x14ac:dyDescent="0.3">
      <c r="A83" s="37">
        <v>6</v>
      </c>
      <c r="B83" s="13" t="s">
        <v>335</v>
      </c>
      <c r="C83" s="5" t="s">
        <v>343</v>
      </c>
      <c r="D83" s="13" t="s">
        <v>18</v>
      </c>
      <c r="E83" s="13" t="s">
        <v>9</v>
      </c>
      <c r="F83" s="14">
        <v>45169</v>
      </c>
      <c r="G83" s="5">
        <f t="shared" si="12"/>
        <v>2023</v>
      </c>
      <c r="H83" s="5" t="str">
        <f t="shared" si="13"/>
        <v>Agosto</v>
      </c>
      <c r="I83" s="6" t="str">
        <f t="shared" si="14"/>
        <v>2023-2</v>
      </c>
      <c r="J83" s="13">
        <v>47</v>
      </c>
      <c r="K83" s="13">
        <v>42</v>
      </c>
      <c r="L83" s="15">
        <f t="shared" si="16"/>
        <v>0.8936170212765957</v>
      </c>
      <c r="M83" s="15">
        <f t="shared" si="17"/>
        <v>0.8936170212765957</v>
      </c>
      <c r="N83" s="13" t="s">
        <v>347</v>
      </c>
      <c r="O83" s="13" t="s">
        <v>347</v>
      </c>
      <c r="P83" s="16">
        <v>0</v>
      </c>
      <c r="Q83" s="16">
        <v>0</v>
      </c>
      <c r="R83" s="5" t="str">
        <f t="shared" si="15"/>
        <v>6-2023-08-31</v>
      </c>
    </row>
    <row r="84" spans="1:18" x14ac:dyDescent="0.3">
      <c r="A84" s="37">
        <v>6</v>
      </c>
      <c r="B84" s="13" t="s">
        <v>335</v>
      </c>
      <c r="C84" s="5" t="s">
        <v>343</v>
      </c>
      <c r="D84" s="13" t="s">
        <v>18</v>
      </c>
      <c r="E84" s="13" t="s">
        <v>9</v>
      </c>
      <c r="F84" s="14">
        <v>45199</v>
      </c>
      <c r="G84" s="5">
        <f t="shared" si="12"/>
        <v>2023</v>
      </c>
      <c r="H84" s="5" t="str">
        <f t="shared" si="13"/>
        <v>Septiembre</v>
      </c>
      <c r="I84" s="6" t="str">
        <f t="shared" si="14"/>
        <v>2023-2</v>
      </c>
      <c r="J84" s="13">
        <v>60</v>
      </c>
      <c r="K84" s="13">
        <v>60</v>
      </c>
      <c r="L84" s="15">
        <f t="shared" si="16"/>
        <v>1</v>
      </c>
      <c r="M84" s="15">
        <f t="shared" si="17"/>
        <v>1</v>
      </c>
      <c r="N84" s="13" t="s">
        <v>347</v>
      </c>
      <c r="O84" s="13" t="s">
        <v>347</v>
      </c>
      <c r="P84" s="16">
        <v>0</v>
      </c>
      <c r="Q84" s="16">
        <v>0</v>
      </c>
      <c r="R84" s="5" t="str">
        <f t="shared" si="15"/>
        <v>6-2023-09-30</v>
      </c>
    </row>
    <row r="85" spans="1:18" x14ac:dyDescent="0.3">
      <c r="A85" s="37">
        <v>6</v>
      </c>
      <c r="B85" s="13" t="s">
        <v>335</v>
      </c>
      <c r="C85" s="5" t="s">
        <v>343</v>
      </c>
      <c r="D85" s="13" t="s">
        <v>18</v>
      </c>
      <c r="E85" s="13" t="s">
        <v>9</v>
      </c>
      <c r="F85" s="14">
        <v>45230</v>
      </c>
      <c r="G85" s="5">
        <f t="shared" si="12"/>
        <v>2023</v>
      </c>
      <c r="H85" s="5" t="str">
        <f t="shared" si="13"/>
        <v>Octubre</v>
      </c>
      <c r="I85" s="6" t="str">
        <f t="shared" si="14"/>
        <v>2023-2</v>
      </c>
      <c r="J85" s="13">
        <v>81</v>
      </c>
      <c r="K85" s="13">
        <v>81</v>
      </c>
      <c r="L85" s="15">
        <f t="shared" si="16"/>
        <v>1</v>
      </c>
      <c r="M85" s="15">
        <f t="shared" si="17"/>
        <v>1</v>
      </c>
      <c r="N85" s="13" t="s">
        <v>347</v>
      </c>
      <c r="O85" s="13" t="s">
        <v>347</v>
      </c>
      <c r="P85" s="16">
        <v>0</v>
      </c>
      <c r="Q85" s="16">
        <v>0</v>
      </c>
      <c r="R85" s="5" t="str">
        <f t="shared" si="15"/>
        <v>6-2023-10-31</v>
      </c>
    </row>
    <row r="86" spans="1:18" x14ac:dyDescent="0.3">
      <c r="A86" s="37">
        <v>6</v>
      </c>
      <c r="B86" s="13" t="s">
        <v>335</v>
      </c>
      <c r="C86" s="5" t="s">
        <v>343</v>
      </c>
      <c r="D86" s="13" t="s">
        <v>18</v>
      </c>
      <c r="E86" s="13" t="s">
        <v>9</v>
      </c>
      <c r="F86" s="14">
        <v>45260</v>
      </c>
      <c r="G86" s="5">
        <f t="shared" si="12"/>
        <v>2023</v>
      </c>
      <c r="H86" s="5" t="str">
        <f t="shared" si="13"/>
        <v>Noviembre</v>
      </c>
      <c r="I86" s="6" t="str">
        <f t="shared" si="14"/>
        <v>2023-2</v>
      </c>
      <c r="J86" s="13">
        <v>98</v>
      </c>
      <c r="K86" s="13">
        <v>92</v>
      </c>
      <c r="L86" s="15">
        <f t="shared" si="16"/>
        <v>0.93877551020408168</v>
      </c>
      <c r="M86" s="15">
        <f t="shared" si="17"/>
        <v>0.93877551020408168</v>
      </c>
      <c r="N86" s="13" t="s">
        <v>347</v>
      </c>
      <c r="O86" s="13" t="s">
        <v>347</v>
      </c>
      <c r="P86" s="16">
        <v>0</v>
      </c>
      <c r="Q86" s="16">
        <v>0</v>
      </c>
      <c r="R86" s="5" t="str">
        <f t="shared" si="15"/>
        <v>6-2023-11-30</v>
      </c>
    </row>
    <row r="87" spans="1:18" x14ac:dyDescent="0.3">
      <c r="A87" s="37">
        <v>6</v>
      </c>
      <c r="B87" s="13" t="s">
        <v>335</v>
      </c>
      <c r="C87" s="5" t="s">
        <v>343</v>
      </c>
      <c r="D87" s="13" t="s">
        <v>18</v>
      </c>
      <c r="E87" s="13" t="s">
        <v>9</v>
      </c>
      <c r="F87" s="14">
        <v>45291</v>
      </c>
      <c r="G87" s="5">
        <f t="shared" si="12"/>
        <v>2023</v>
      </c>
      <c r="H87" s="5" t="str">
        <f t="shared" si="13"/>
        <v>Diciembre</v>
      </c>
      <c r="I87" s="6" t="str">
        <f t="shared" si="14"/>
        <v>2023-2</v>
      </c>
      <c r="J87" s="13">
        <v>98</v>
      </c>
      <c r="K87" s="13">
        <v>95</v>
      </c>
      <c r="L87" s="15">
        <f t="shared" si="16"/>
        <v>0.96938775510204078</v>
      </c>
      <c r="M87" s="15">
        <f t="shared" si="17"/>
        <v>0.96938775510204078</v>
      </c>
      <c r="N87" s="13" t="s">
        <v>347</v>
      </c>
      <c r="O87" s="13" t="s">
        <v>347</v>
      </c>
      <c r="P87" s="16">
        <v>0</v>
      </c>
      <c r="Q87" s="16">
        <v>0</v>
      </c>
      <c r="R87" s="5" t="str">
        <f t="shared" si="15"/>
        <v>6-2023-12-31</v>
      </c>
    </row>
    <row r="88" spans="1:18" x14ac:dyDescent="0.3">
      <c r="A88" s="37">
        <v>6</v>
      </c>
      <c r="B88" s="13" t="s">
        <v>335</v>
      </c>
      <c r="C88" s="5" t="s">
        <v>343</v>
      </c>
      <c r="D88" s="13" t="s">
        <v>18</v>
      </c>
      <c r="E88" s="13" t="s">
        <v>9</v>
      </c>
      <c r="F88" s="14">
        <v>45322</v>
      </c>
      <c r="G88" s="5">
        <f t="shared" si="12"/>
        <v>2024</v>
      </c>
      <c r="H88" s="5" t="str">
        <f t="shared" si="13"/>
        <v>Enero</v>
      </c>
      <c r="I88" s="6" t="str">
        <f t="shared" si="14"/>
        <v>2024-1</v>
      </c>
      <c r="J88" s="13">
        <v>90</v>
      </c>
      <c r="K88" s="13">
        <v>82</v>
      </c>
      <c r="L88" s="15">
        <f t="shared" si="16"/>
        <v>0.91111111111111109</v>
      </c>
      <c r="M88" s="15">
        <f t="shared" si="17"/>
        <v>0.91111111111111109</v>
      </c>
      <c r="N88" s="13" t="s">
        <v>347</v>
      </c>
      <c r="O88" s="13" t="s">
        <v>347</v>
      </c>
      <c r="P88" s="16">
        <v>0</v>
      </c>
      <c r="Q88" s="16">
        <v>0</v>
      </c>
      <c r="R88" s="5" t="str">
        <f t="shared" si="15"/>
        <v>6-2024-01-31</v>
      </c>
    </row>
    <row r="89" spans="1:18" x14ac:dyDescent="0.3">
      <c r="A89" s="37">
        <v>6</v>
      </c>
      <c r="B89" s="13" t="s">
        <v>335</v>
      </c>
      <c r="C89" s="5" t="s">
        <v>343</v>
      </c>
      <c r="D89" s="13" t="s">
        <v>18</v>
      </c>
      <c r="E89" s="13" t="s">
        <v>9</v>
      </c>
      <c r="F89" s="14">
        <v>45351</v>
      </c>
      <c r="G89" s="5">
        <f t="shared" si="12"/>
        <v>2024</v>
      </c>
      <c r="H89" s="5" t="str">
        <f t="shared" si="13"/>
        <v>Febrero</v>
      </c>
      <c r="I89" s="6" t="str">
        <f t="shared" si="14"/>
        <v>2024-1</v>
      </c>
      <c r="J89" s="13">
        <v>90</v>
      </c>
      <c r="K89" s="13">
        <v>83</v>
      </c>
      <c r="L89" s="15">
        <f t="shared" si="16"/>
        <v>0.92222222222222228</v>
      </c>
      <c r="M89" s="15">
        <f t="shared" si="17"/>
        <v>0.92222222222222228</v>
      </c>
      <c r="N89" s="13" t="s">
        <v>347</v>
      </c>
      <c r="O89" s="13" t="s">
        <v>347</v>
      </c>
      <c r="P89" s="16">
        <v>0</v>
      </c>
      <c r="Q89" s="16">
        <v>0</v>
      </c>
      <c r="R89" s="5" t="str">
        <f t="shared" si="15"/>
        <v>6-2024-02-29</v>
      </c>
    </row>
    <row r="90" spans="1:18" x14ac:dyDescent="0.3">
      <c r="A90" s="37">
        <v>6</v>
      </c>
      <c r="B90" s="13" t="s">
        <v>335</v>
      </c>
      <c r="C90" s="5" t="s">
        <v>343</v>
      </c>
      <c r="D90" s="13" t="s">
        <v>18</v>
      </c>
      <c r="E90" s="13" t="s">
        <v>9</v>
      </c>
      <c r="F90" s="14">
        <v>45382</v>
      </c>
      <c r="G90" s="5">
        <f t="shared" si="12"/>
        <v>2024</v>
      </c>
      <c r="H90" s="5" t="str">
        <f t="shared" si="13"/>
        <v>Marzo</v>
      </c>
      <c r="I90" s="6" t="str">
        <f t="shared" si="14"/>
        <v>2024-1</v>
      </c>
      <c r="J90" s="13">
        <v>93</v>
      </c>
      <c r="K90" s="13">
        <v>89</v>
      </c>
      <c r="L90" s="15">
        <f t="shared" si="16"/>
        <v>0.956989247311828</v>
      </c>
      <c r="M90" s="15">
        <f t="shared" si="17"/>
        <v>0.956989247311828</v>
      </c>
      <c r="N90" s="13" t="s">
        <v>347</v>
      </c>
      <c r="O90" s="13" t="s">
        <v>347</v>
      </c>
      <c r="P90" s="16">
        <v>0</v>
      </c>
      <c r="Q90" s="16">
        <v>0</v>
      </c>
      <c r="R90" s="5" t="str">
        <f t="shared" si="15"/>
        <v>6-2024-03-31</v>
      </c>
    </row>
    <row r="91" spans="1:18" x14ac:dyDescent="0.3">
      <c r="A91" s="37">
        <v>6</v>
      </c>
      <c r="B91" s="13" t="s">
        <v>335</v>
      </c>
      <c r="C91" s="5" t="s">
        <v>343</v>
      </c>
      <c r="D91" s="13" t="s">
        <v>18</v>
      </c>
      <c r="E91" s="13" t="s">
        <v>9</v>
      </c>
      <c r="F91" s="14">
        <v>45412</v>
      </c>
      <c r="G91" s="5">
        <f t="shared" si="12"/>
        <v>2024</v>
      </c>
      <c r="H91" s="5" t="str">
        <f t="shared" si="13"/>
        <v>Abril</v>
      </c>
      <c r="I91" s="6" t="str">
        <f t="shared" si="14"/>
        <v>2024-1</v>
      </c>
      <c r="J91" s="13">
        <v>97</v>
      </c>
      <c r="K91" s="13">
        <v>89</v>
      </c>
      <c r="L91" s="15">
        <f t="shared" si="16"/>
        <v>0.91752577319587625</v>
      </c>
      <c r="M91" s="15">
        <f t="shared" si="17"/>
        <v>0.91752577319587625</v>
      </c>
      <c r="N91" s="13" t="s">
        <v>347</v>
      </c>
      <c r="O91" s="13" t="s">
        <v>347</v>
      </c>
      <c r="P91" s="16">
        <v>0</v>
      </c>
      <c r="Q91" s="16">
        <v>0</v>
      </c>
      <c r="R91" s="5" t="str">
        <f t="shared" si="15"/>
        <v>6-2024-04-30</v>
      </c>
    </row>
    <row r="92" spans="1:18" x14ac:dyDescent="0.3">
      <c r="A92" s="37">
        <v>6</v>
      </c>
      <c r="B92" s="13" t="s">
        <v>335</v>
      </c>
      <c r="C92" s="5" t="s">
        <v>343</v>
      </c>
      <c r="D92" s="13" t="s">
        <v>18</v>
      </c>
      <c r="E92" s="13" t="s">
        <v>9</v>
      </c>
      <c r="F92" s="14">
        <v>45443</v>
      </c>
      <c r="G92" s="5">
        <f t="shared" si="12"/>
        <v>2024</v>
      </c>
      <c r="H92" s="5" t="str">
        <f t="shared" si="13"/>
        <v>Mayo</v>
      </c>
      <c r="I92" s="6" t="str">
        <f t="shared" si="14"/>
        <v>2024-1</v>
      </c>
      <c r="J92" s="13">
        <v>99</v>
      </c>
      <c r="K92" s="13">
        <v>99</v>
      </c>
      <c r="L92" s="15">
        <f t="shared" si="16"/>
        <v>1</v>
      </c>
      <c r="M92" s="15">
        <f t="shared" si="17"/>
        <v>1</v>
      </c>
      <c r="N92" s="13" t="s">
        <v>347</v>
      </c>
      <c r="O92" s="13" t="s">
        <v>347</v>
      </c>
      <c r="P92" s="16">
        <v>0</v>
      </c>
      <c r="Q92" s="16">
        <v>0</v>
      </c>
      <c r="R92" s="5" t="str">
        <f t="shared" si="15"/>
        <v>6-2024-05-31</v>
      </c>
    </row>
    <row r="93" spans="1:18" x14ac:dyDescent="0.3">
      <c r="A93" s="37">
        <v>6</v>
      </c>
      <c r="B93" s="13" t="s">
        <v>335</v>
      </c>
      <c r="C93" s="5" t="s">
        <v>343</v>
      </c>
      <c r="D93" s="13" t="s">
        <v>18</v>
      </c>
      <c r="E93" s="13" t="s">
        <v>9</v>
      </c>
      <c r="F93" s="14">
        <v>45473</v>
      </c>
      <c r="G93" s="5">
        <f t="shared" si="12"/>
        <v>2024</v>
      </c>
      <c r="H93" s="5" t="str">
        <f t="shared" si="13"/>
        <v>Junio</v>
      </c>
      <c r="I93" s="6" t="str">
        <f t="shared" si="14"/>
        <v>2024-1</v>
      </c>
      <c r="J93" s="13">
        <v>100</v>
      </c>
      <c r="K93" s="13">
        <v>99</v>
      </c>
      <c r="L93" s="15">
        <f t="shared" si="16"/>
        <v>0.99</v>
      </c>
      <c r="M93" s="15">
        <f t="shared" si="17"/>
        <v>0.99</v>
      </c>
      <c r="N93" s="13" t="s">
        <v>347</v>
      </c>
      <c r="O93" s="13" t="s">
        <v>347</v>
      </c>
      <c r="P93" s="16">
        <v>0</v>
      </c>
      <c r="Q93" s="16">
        <v>0</v>
      </c>
      <c r="R93" s="5" t="str">
        <f t="shared" si="15"/>
        <v>6-2024-06-30</v>
      </c>
    </row>
    <row r="94" spans="1:18" x14ac:dyDescent="0.3">
      <c r="A94" s="37">
        <v>6</v>
      </c>
      <c r="B94" s="13" t="s">
        <v>335</v>
      </c>
      <c r="C94" s="5" t="s">
        <v>343</v>
      </c>
      <c r="D94" s="13" t="s">
        <v>18</v>
      </c>
      <c r="E94" s="13" t="s">
        <v>9</v>
      </c>
      <c r="F94" s="14">
        <v>45504</v>
      </c>
      <c r="G94" s="5">
        <f t="shared" si="12"/>
        <v>2024</v>
      </c>
      <c r="H94" s="5" t="str">
        <f t="shared" si="13"/>
        <v>Julio</v>
      </c>
      <c r="I94" s="6" t="str">
        <f t="shared" si="14"/>
        <v>2024-2</v>
      </c>
      <c r="J94" s="13">
        <v>100</v>
      </c>
      <c r="K94" s="13">
        <v>100</v>
      </c>
      <c r="L94" s="15">
        <f t="shared" si="16"/>
        <v>1</v>
      </c>
      <c r="M94" s="15">
        <f t="shared" si="17"/>
        <v>1</v>
      </c>
      <c r="N94" s="13" t="s">
        <v>347</v>
      </c>
      <c r="O94" s="13" t="s">
        <v>347</v>
      </c>
      <c r="P94" s="16">
        <v>0</v>
      </c>
      <c r="Q94" s="16">
        <v>0</v>
      </c>
      <c r="R94" s="5" t="str">
        <f t="shared" si="15"/>
        <v>6-2024-07-31</v>
      </c>
    </row>
    <row r="95" spans="1:18" x14ac:dyDescent="0.3">
      <c r="A95" s="37">
        <v>7</v>
      </c>
      <c r="B95" s="13" t="s">
        <v>336</v>
      </c>
      <c r="C95" s="5" t="s">
        <v>343</v>
      </c>
      <c r="D95" s="13" t="s">
        <v>18</v>
      </c>
      <c r="E95" s="13" t="s">
        <v>9</v>
      </c>
      <c r="F95" s="14">
        <v>45046</v>
      </c>
      <c r="G95" s="5">
        <f t="shared" si="12"/>
        <v>2023</v>
      </c>
      <c r="H95" s="5" t="str">
        <f t="shared" si="13"/>
        <v>Abril</v>
      </c>
      <c r="I95" s="6" t="str">
        <f t="shared" si="14"/>
        <v>2023-1</v>
      </c>
      <c r="J95" s="13">
        <v>38</v>
      </c>
      <c r="K95" s="13">
        <v>35</v>
      </c>
      <c r="L95" s="15">
        <f t="shared" si="16"/>
        <v>0.92105263157894735</v>
      </c>
      <c r="M95" s="15">
        <f t="shared" si="17"/>
        <v>0.92105263157894735</v>
      </c>
      <c r="N95" s="13" t="s">
        <v>347</v>
      </c>
      <c r="O95" s="13" t="s">
        <v>347</v>
      </c>
      <c r="P95" s="16">
        <v>0</v>
      </c>
      <c r="Q95" s="16">
        <v>0</v>
      </c>
      <c r="R95" s="5" t="str">
        <f t="shared" si="15"/>
        <v>7-2023-04-30</v>
      </c>
    </row>
    <row r="96" spans="1:18" x14ac:dyDescent="0.3">
      <c r="A96" s="37">
        <v>7</v>
      </c>
      <c r="B96" s="13" t="s">
        <v>336</v>
      </c>
      <c r="C96" s="5" t="s">
        <v>343</v>
      </c>
      <c r="D96" s="13" t="s">
        <v>18</v>
      </c>
      <c r="E96" s="13" t="s">
        <v>9</v>
      </c>
      <c r="F96" s="14">
        <v>45077</v>
      </c>
      <c r="G96" s="5">
        <f t="shared" si="12"/>
        <v>2023</v>
      </c>
      <c r="H96" s="5" t="str">
        <f t="shared" si="13"/>
        <v>Mayo</v>
      </c>
      <c r="I96" s="6" t="str">
        <f t="shared" si="14"/>
        <v>2023-1</v>
      </c>
      <c r="J96" s="13">
        <v>66</v>
      </c>
      <c r="K96" s="13">
        <v>58</v>
      </c>
      <c r="L96" s="15">
        <f t="shared" si="16"/>
        <v>0.87878787878787878</v>
      </c>
      <c r="M96" s="15">
        <f t="shared" si="17"/>
        <v>0.87878787878787878</v>
      </c>
      <c r="N96" s="13" t="s">
        <v>347</v>
      </c>
      <c r="O96" s="13" t="s">
        <v>347</v>
      </c>
      <c r="P96" s="16">
        <v>0</v>
      </c>
      <c r="Q96" s="16">
        <v>0</v>
      </c>
      <c r="R96" s="5" t="str">
        <f t="shared" si="15"/>
        <v>7-2023-05-31</v>
      </c>
    </row>
    <row r="97" spans="1:18" x14ac:dyDescent="0.3">
      <c r="A97" s="37">
        <v>7</v>
      </c>
      <c r="B97" s="13" t="s">
        <v>336</v>
      </c>
      <c r="C97" s="5" t="s">
        <v>343</v>
      </c>
      <c r="D97" s="13" t="s">
        <v>18</v>
      </c>
      <c r="E97" s="13" t="s">
        <v>9</v>
      </c>
      <c r="F97" s="14">
        <v>45107</v>
      </c>
      <c r="G97" s="5">
        <f t="shared" si="12"/>
        <v>2023</v>
      </c>
      <c r="H97" s="5" t="str">
        <f t="shared" si="13"/>
        <v>Junio</v>
      </c>
      <c r="I97" s="6" t="str">
        <f t="shared" si="14"/>
        <v>2023-1</v>
      </c>
      <c r="J97" s="13">
        <v>81</v>
      </c>
      <c r="K97" s="13">
        <v>70</v>
      </c>
      <c r="L97" s="15">
        <f t="shared" si="16"/>
        <v>0.86419753086419748</v>
      </c>
      <c r="M97" s="15">
        <f t="shared" si="17"/>
        <v>0.86419753086419748</v>
      </c>
      <c r="N97" s="13" t="s">
        <v>347</v>
      </c>
      <c r="O97" s="13" t="s">
        <v>347</v>
      </c>
      <c r="P97" s="16">
        <v>0</v>
      </c>
      <c r="Q97" s="16">
        <v>0</v>
      </c>
      <c r="R97" s="5" t="str">
        <f t="shared" si="15"/>
        <v>7-2023-06-30</v>
      </c>
    </row>
    <row r="98" spans="1:18" x14ac:dyDescent="0.3">
      <c r="A98" s="37">
        <v>7</v>
      </c>
      <c r="B98" s="13" t="s">
        <v>336</v>
      </c>
      <c r="C98" s="5" t="s">
        <v>343</v>
      </c>
      <c r="D98" s="13" t="s">
        <v>18</v>
      </c>
      <c r="E98" s="13" t="s">
        <v>9</v>
      </c>
      <c r="F98" s="14">
        <v>45138</v>
      </c>
      <c r="G98" s="5">
        <f t="shared" si="12"/>
        <v>2023</v>
      </c>
      <c r="H98" s="5" t="str">
        <f t="shared" si="13"/>
        <v>Julio</v>
      </c>
      <c r="I98" s="6" t="str">
        <f t="shared" si="14"/>
        <v>2023-2</v>
      </c>
      <c r="J98" s="13">
        <v>96</v>
      </c>
      <c r="K98" s="13">
        <v>74</v>
      </c>
      <c r="L98" s="15">
        <f t="shared" si="16"/>
        <v>0.77083333333333337</v>
      </c>
      <c r="M98" s="15">
        <f t="shared" si="17"/>
        <v>0.77083333333333337</v>
      </c>
      <c r="N98" s="13" t="s">
        <v>347</v>
      </c>
      <c r="O98" s="13" t="s">
        <v>347</v>
      </c>
      <c r="P98" s="16">
        <v>0</v>
      </c>
      <c r="Q98" s="16">
        <v>0</v>
      </c>
      <c r="R98" s="5" t="str">
        <f t="shared" si="15"/>
        <v>7-2023-07-31</v>
      </c>
    </row>
    <row r="99" spans="1:18" x14ac:dyDescent="0.3">
      <c r="A99" s="37">
        <v>7</v>
      </c>
      <c r="B99" s="13" t="s">
        <v>336</v>
      </c>
      <c r="C99" s="5" t="s">
        <v>343</v>
      </c>
      <c r="D99" s="13" t="s">
        <v>18</v>
      </c>
      <c r="E99" s="13" t="s">
        <v>9</v>
      </c>
      <c r="F99" s="14">
        <v>45169</v>
      </c>
      <c r="G99" s="5">
        <f t="shared" si="12"/>
        <v>2023</v>
      </c>
      <c r="H99" s="5" t="str">
        <f t="shared" si="13"/>
        <v>Agosto</v>
      </c>
      <c r="I99" s="6" t="str">
        <f t="shared" si="14"/>
        <v>2023-2</v>
      </c>
      <c r="J99" s="13">
        <v>60</v>
      </c>
      <c r="K99" s="13">
        <v>62</v>
      </c>
      <c r="L99" s="15">
        <f t="shared" si="16"/>
        <v>1.0333333333333334</v>
      </c>
      <c r="M99" s="15">
        <f t="shared" si="17"/>
        <v>1.0333333333333334</v>
      </c>
      <c r="N99" s="13" t="s">
        <v>347</v>
      </c>
      <c r="O99" s="13" t="s">
        <v>347</v>
      </c>
      <c r="P99" s="16">
        <v>0</v>
      </c>
      <c r="Q99" s="16">
        <v>0</v>
      </c>
      <c r="R99" s="5" t="str">
        <f t="shared" si="15"/>
        <v>7-2023-08-31</v>
      </c>
    </row>
    <row r="100" spans="1:18" x14ac:dyDescent="0.3">
      <c r="A100" s="37">
        <v>7</v>
      </c>
      <c r="B100" s="13" t="s">
        <v>336</v>
      </c>
      <c r="C100" s="5" t="s">
        <v>343</v>
      </c>
      <c r="D100" s="13" t="s">
        <v>18</v>
      </c>
      <c r="E100" s="13" t="s">
        <v>9</v>
      </c>
      <c r="F100" s="14">
        <v>45199</v>
      </c>
      <c r="G100" s="5">
        <f t="shared" si="12"/>
        <v>2023</v>
      </c>
      <c r="H100" s="5" t="str">
        <f t="shared" si="13"/>
        <v>Septiembre</v>
      </c>
      <c r="I100" s="6" t="str">
        <f t="shared" si="14"/>
        <v>2023-2</v>
      </c>
      <c r="J100" s="13">
        <v>74</v>
      </c>
      <c r="K100" s="13">
        <v>71</v>
      </c>
      <c r="L100" s="15">
        <f t="shared" si="16"/>
        <v>0.95945945945945943</v>
      </c>
      <c r="M100" s="15">
        <f t="shared" si="17"/>
        <v>0.95945945945945943</v>
      </c>
      <c r="N100" s="13" t="s">
        <v>347</v>
      </c>
      <c r="O100" s="13" t="s">
        <v>347</v>
      </c>
      <c r="P100" s="16">
        <v>0</v>
      </c>
      <c r="Q100" s="16">
        <v>0</v>
      </c>
      <c r="R100" s="5" t="str">
        <f t="shared" si="15"/>
        <v>7-2023-09-30</v>
      </c>
    </row>
    <row r="101" spans="1:18" x14ac:dyDescent="0.3">
      <c r="A101" s="37">
        <v>7</v>
      </c>
      <c r="B101" s="13" t="s">
        <v>336</v>
      </c>
      <c r="C101" s="5" t="s">
        <v>343</v>
      </c>
      <c r="D101" s="13" t="s">
        <v>18</v>
      </c>
      <c r="E101" s="13" t="s">
        <v>9</v>
      </c>
      <c r="F101" s="14">
        <v>45230</v>
      </c>
      <c r="G101" s="5">
        <f t="shared" si="12"/>
        <v>2023</v>
      </c>
      <c r="H101" s="5" t="str">
        <f t="shared" si="13"/>
        <v>Octubre</v>
      </c>
      <c r="I101" s="6" t="str">
        <f t="shared" si="14"/>
        <v>2023-2</v>
      </c>
      <c r="J101" s="13">
        <v>88</v>
      </c>
      <c r="K101" s="13">
        <v>78</v>
      </c>
      <c r="L101" s="15">
        <f t="shared" si="16"/>
        <v>0.88636363636363635</v>
      </c>
      <c r="M101" s="15">
        <f t="shared" si="17"/>
        <v>0.88636363636363635</v>
      </c>
      <c r="N101" s="13" t="s">
        <v>347</v>
      </c>
      <c r="O101" s="13" t="s">
        <v>347</v>
      </c>
      <c r="P101" s="16">
        <v>0</v>
      </c>
      <c r="Q101" s="16">
        <v>0</v>
      </c>
      <c r="R101" s="5" t="str">
        <f t="shared" si="15"/>
        <v>7-2023-10-31</v>
      </c>
    </row>
    <row r="102" spans="1:18" x14ac:dyDescent="0.3">
      <c r="A102" s="37">
        <v>7</v>
      </c>
      <c r="B102" s="13" t="s">
        <v>336</v>
      </c>
      <c r="C102" s="5" t="s">
        <v>343</v>
      </c>
      <c r="D102" s="13" t="s">
        <v>18</v>
      </c>
      <c r="E102" s="13" t="s">
        <v>9</v>
      </c>
      <c r="F102" s="14">
        <v>45260</v>
      </c>
      <c r="G102" s="5">
        <f t="shared" si="12"/>
        <v>2023</v>
      </c>
      <c r="H102" s="5" t="str">
        <f t="shared" si="13"/>
        <v>Noviembre</v>
      </c>
      <c r="I102" s="6" t="str">
        <f t="shared" si="14"/>
        <v>2023-2</v>
      </c>
      <c r="J102" s="13">
        <v>98</v>
      </c>
      <c r="K102" s="13">
        <v>84</v>
      </c>
      <c r="L102" s="15">
        <f t="shared" si="16"/>
        <v>0.8571428571428571</v>
      </c>
      <c r="M102" s="15">
        <f t="shared" si="17"/>
        <v>0.8571428571428571</v>
      </c>
      <c r="N102" s="13" t="s">
        <v>347</v>
      </c>
      <c r="O102" s="13" t="s">
        <v>347</v>
      </c>
      <c r="P102" s="16">
        <v>0</v>
      </c>
      <c r="Q102" s="16">
        <v>0</v>
      </c>
      <c r="R102" s="5" t="str">
        <f t="shared" si="15"/>
        <v>7-2023-11-30</v>
      </c>
    </row>
    <row r="103" spans="1:18" x14ac:dyDescent="0.3">
      <c r="A103" s="37">
        <v>7</v>
      </c>
      <c r="B103" s="13" t="s">
        <v>336</v>
      </c>
      <c r="C103" s="5" t="s">
        <v>343</v>
      </c>
      <c r="D103" s="13" t="s">
        <v>18</v>
      </c>
      <c r="E103" s="13" t="s">
        <v>9</v>
      </c>
      <c r="F103" s="14">
        <v>45291</v>
      </c>
      <c r="G103" s="5">
        <f t="shared" si="12"/>
        <v>2023</v>
      </c>
      <c r="H103" s="5" t="str">
        <f t="shared" si="13"/>
        <v>Diciembre</v>
      </c>
      <c r="I103" s="6" t="str">
        <f t="shared" si="14"/>
        <v>2023-2</v>
      </c>
      <c r="J103" s="13">
        <v>98</v>
      </c>
      <c r="K103" s="13">
        <v>84</v>
      </c>
      <c r="L103" s="15">
        <f t="shared" si="16"/>
        <v>0.8571428571428571</v>
      </c>
      <c r="M103" s="15">
        <f t="shared" si="17"/>
        <v>0.8571428571428571</v>
      </c>
      <c r="N103" s="13" t="s">
        <v>347</v>
      </c>
      <c r="O103" s="13" t="s">
        <v>347</v>
      </c>
      <c r="P103" s="16">
        <v>0</v>
      </c>
      <c r="Q103" s="16">
        <v>0</v>
      </c>
      <c r="R103" s="5" t="str">
        <f t="shared" si="15"/>
        <v>7-2023-12-31</v>
      </c>
    </row>
    <row r="104" spans="1:18" x14ac:dyDescent="0.3">
      <c r="A104" s="37">
        <v>7</v>
      </c>
      <c r="B104" s="13" t="s">
        <v>336</v>
      </c>
      <c r="C104" s="5" t="s">
        <v>343</v>
      </c>
      <c r="D104" s="13" t="s">
        <v>18</v>
      </c>
      <c r="E104" s="13" t="s">
        <v>9</v>
      </c>
      <c r="F104" s="14">
        <v>45322</v>
      </c>
      <c r="G104" s="5">
        <f t="shared" si="12"/>
        <v>2024</v>
      </c>
      <c r="H104" s="5" t="str">
        <f t="shared" si="13"/>
        <v>Enero</v>
      </c>
      <c r="I104" s="6" t="str">
        <f t="shared" si="14"/>
        <v>2024-1</v>
      </c>
      <c r="J104" s="13">
        <v>100</v>
      </c>
      <c r="K104" s="13">
        <v>84</v>
      </c>
      <c r="L104" s="15">
        <f t="shared" si="16"/>
        <v>0.84</v>
      </c>
      <c r="M104" s="15">
        <f t="shared" si="17"/>
        <v>0.84</v>
      </c>
      <c r="N104" s="13" t="s">
        <v>347</v>
      </c>
      <c r="O104" s="13" t="s">
        <v>347</v>
      </c>
      <c r="P104" s="16">
        <v>0</v>
      </c>
      <c r="Q104" s="16">
        <v>0</v>
      </c>
      <c r="R104" s="5" t="str">
        <f t="shared" si="15"/>
        <v>7-2024-01-31</v>
      </c>
    </row>
    <row r="105" spans="1:18" x14ac:dyDescent="0.3">
      <c r="A105" s="37">
        <v>7</v>
      </c>
      <c r="B105" s="13" t="s">
        <v>336</v>
      </c>
      <c r="C105" s="5" t="s">
        <v>343</v>
      </c>
      <c r="D105" s="13" t="s">
        <v>18</v>
      </c>
      <c r="E105" s="13" t="s">
        <v>9</v>
      </c>
      <c r="F105" s="14">
        <v>45351</v>
      </c>
      <c r="G105" s="5">
        <f t="shared" si="12"/>
        <v>2024</v>
      </c>
      <c r="H105" s="5" t="str">
        <f t="shared" si="13"/>
        <v>Febrero</v>
      </c>
      <c r="I105" s="6" t="str">
        <f t="shared" si="14"/>
        <v>2024-1</v>
      </c>
      <c r="J105" s="13">
        <v>100</v>
      </c>
      <c r="K105" s="13">
        <v>84</v>
      </c>
      <c r="L105" s="15">
        <f t="shared" si="16"/>
        <v>0.84</v>
      </c>
      <c r="M105" s="15">
        <f t="shared" si="17"/>
        <v>0.84</v>
      </c>
      <c r="N105" s="13" t="s">
        <v>347</v>
      </c>
      <c r="O105" s="13" t="s">
        <v>347</v>
      </c>
      <c r="P105" s="16">
        <v>0</v>
      </c>
      <c r="Q105" s="16">
        <v>0</v>
      </c>
      <c r="R105" s="5" t="str">
        <f t="shared" si="15"/>
        <v>7-2024-02-29</v>
      </c>
    </row>
    <row r="106" spans="1:18" x14ac:dyDescent="0.3">
      <c r="A106" s="37">
        <v>7</v>
      </c>
      <c r="B106" s="13" t="s">
        <v>336</v>
      </c>
      <c r="C106" s="5" t="s">
        <v>343</v>
      </c>
      <c r="D106" s="13" t="s">
        <v>18</v>
      </c>
      <c r="E106" s="13" t="s">
        <v>9</v>
      </c>
      <c r="F106" s="14">
        <v>45382</v>
      </c>
      <c r="G106" s="5">
        <f t="shared" si="12"/>
        <v>2024</v>
      </c>
      <c r="H106" s="5" t="str">
        <f t="shared" si="13"/>
        <v>Marzo</v>
      </c>
      <c r="I106" s="6" t="str">
        <f t="shared" si="14"/>
        <v>2024-1</v>
      </c>
      <c r="J106" s="13">
        <v>100</v>
      </c>
      <c r="K106" s="13">
        <v>83</v>
      </c>
      <c r="L106" s="15">
        <f t="shared" si="16"/>
        <v>0.83</v>
      </c>
      <c r="M106" s="15">
        <f t="shared" si="17"/>
        <v>0.83</v>
      </c>
      <c r="N106" s="13" t="s">
        <v>347</v>
      </c>
      <c r="O106" s="13" t="s">
        <v>347</v>
      </c>
      <c r="P106" s="16">
        <v>0</v>
      </c>
      <c r="Q106" s="16">
        <v>0</v>
      </c>
      <c r="R106" s="5" t="str">
        <f t="shared" si="15"/>
        <v>7-2024-03-31</v>
      </c>
    </row>
    <row r="107" spans="1:18" x14ac:dyDescent="0.3">
      <c r="A107" s="37">
        <v>7</v>
      </c>
      <c r="B107" s="13" t="s">
        <v>336</v>
      </c>
      <c r="C107" s="5" t="s">
        <v>343</v>
      </c>
      <c r="D107" s="13" t="s">
        <v>18</v>
      </c>
      <c r="E107" s="13" t="s">
        <v>9</v>
      </c>
      <c r="F107" s="14">
        <v>45412</v>
      </c>
      <c r="G107" s="5">
        <f t="shared" si="12"/>
        <v>2024</v>
      </c>
      <c r="H107" s="5" t="str">
        <f t="shared" si="13"/>
        <v>Abril</v>
      </c>
      <c r="I107" s="6" t="str">
        <f t="shared" si="14"/>
        <v>2024-1</v>
      </c>
      <c r="J107" s="13">
        <v>100</v>
      </c>
      <c r="K107" s="13">
        <v>83</v>
      </c>
      <c r="L107" s="15">
        <f t="shared" ref="L107:L138" si="18">IFERROR(IF((K107/J107)&gt;1.3,1.3,K107/J107),"")</f>
        <v>0.83</v>
      </c>
      <c r="M107" s="15">
        <f t="shared" ref="M107:M138" si="19">IFERROR(IF((K107/J107)&gt;K107/J107,1.3,K107/J107),"")</f>
        <v>0.83</v>
      </c>
      <c r="N107" s="13" t="s">
        <v>347</v>
      </c>
      <c r="O107" s="13" t="s">
        <v>347</v>
      </c>
      <c r="P107" s="16">
        <v>0</v>
      </c>
      <c r="Q107" s="16">
        <v>0</v>
      </c>
      <c r="R107" s="5" t="str">
        <f t="shared" si="15"/>
        <v>7-2024-04-30</v>
      </c>
    </row>
    <row r="108" spans="1:18" x14ac:dyDescent="0.3">
      <c r="A108" s="37">
        <v>7</v>
      </c>
      <c r="B108" s="13" t="s">
        <v>336</v>
      </c>
      <c r="C108" s="5" t="s">
        <v>343</v>
      </c>
      <c r="D108" s="13" t="s">
        <v>18</v>
      </c>
      <c r="E108" s="13" t="s">
        <v>9</v>
      </c>
      <c r="F108" s="14">
        <v>45443</v>
      </c>
      <c r="G108" s="5">
        <f t="shared" si="12"/>
        <v>2024</v>
      </c>
      <c r="H108" s="5" t="str">
        <f t="shared" si="13"/>
        <v>Mayo</v>
      </c>
      <c r="I108" s="6" t="str">
        <f t="shared" si="14"/>
        <v>2024-1</v>
      </c>
      <c r="J108" s="13">
        <v>100</v>
      </c>
      <c r="K108" s="13">
        <v>91</v>
      </c>
      <c r="L108" s="15">
        <f t="shared" si="18"/>
        <v>0.91</v>
      </c>
      <c r="M108" s="15">
        <f t="shared" si="19"/>
        <v>0.91</v>
      </c>
      <c r="N108" s="13" t="s">
        <v>347</v>
      </c>
      <c r="O108" s="13" t="s">
        <v>347</v>
      </c>
      <c r="P108" s="16">
        <v>0</v>
      </c>
      <c r="Q108" s="16">
        <v>0</v>
      </c>
      <c r="R108" s="5" t="str">
        <f t="shared" si="15"/>
        <v>7-2024-05-31</v>
      </c>
    </row>
    <row r="109" spans="1:18" x14ac:dyDescent="0.3">
      <c r="A109" s="37">
        <v>7</v>
      </c>
      <c r="B109" s="13" t="s">
        <v>336</v>
      </c>
      <c r="C109" s="5" t="s">
        <v>343</v>
      </c>
      <c r="D109" s="13" t="s">
        <v>18</v>
      </c>
      <c r="E109" s="13" t="s">
        <v>9</v>
      </c>
      <c r="F109" s="14">
        <v>45473</v>
      </c>
      <c r="G109" s="5">
        <f t="shared" si="12"/>
        <v>2024</v>
      </c>
      <c r="H109" s="5" t="str">
        <f t="shared" si="13"/>
        <v>Junio</v>
      </c>
      <c r="I109" s="6" t="str">
        <f t="shared" si="14"/>
        <v>2024-1</v>
      </c>
      <c r="J109" s="13">
        <v>100</v>
      </c>
      <c r="K109" s="13">
        <v>91</v>
      </c>
      <c r="L109" s="15">
        <f t="shared" si="18"/>
        <v>0.91</v>
      </c>
      <c r="M109" s="15">
        <f t="shared" si="19"/>
        <v>0.91</v>
      </c>
      <c r="N109" s="13" t="s">
        <v>347</v>
      </c>
      <c r="O109" s="13" t="s">
        <v>347</v>
      </c>
      <c r="P109" s="16">
        <v>0</v>
      </c>
      <c r="Q109" s="16">
        <v>0</v>
      </c>
      <c r="R109" s="5" t="str">
        <f t="shared" si="15"/>
        <v>7-2024-06-30</v>
      </c>
    </row>
    <row r="110" spans="1:18" x14ac:dyDescent="0.3">
      <c r="A110" s="37">
        <v>7</v>
      </c>
      <c r="B110" s="13" t="s">
        <v>336</v>
      </c>
      <c r="C110" s="5" t="s">
        <v>343</v>
      </c>
      <c r="D110" s="13" t="s">
        <v>18</v>
      </c>
      <c r="E110" s="13" t="s">
        <v>9</v>
      </c>
      <c r="F110" s="14">
        <v>45504</v>
      </c>
      <c r="G110" s="5">
        <f t="shared" si="12"/>
        <v>2024</v>
      </c>
      <c r="H110" s="5" t="str">
        <f t="shared" si="13"/>
        <v>Julio</v>
      </c>
      <c r="I110" s="6" t="str">
        <f t="shared" si="14"/>
        <v>2024-2</v>
      </c>
      <c r="J110" s="13">
        <v>100</v>
      </c>
      <c r="K110" s="13">
        <v>91</v>
      </c>
      <c r="L110" s="15">
        <f t="shared" si="18"/>
        <v>0.91</v>
      </c>
      <c r="M110" s="15">
        <f t="shared" si="19"/>
        <v>0.91</v>
      </c>
      <c r="N110" s="13" t="s">
        <v>347</v>
      </c>
      <c r="O110" s="13" t="s">
        <v>347</v>
      </c>
      <c r="P110" s="16">
        <v>0</v>
      </c>
      <c r="Q110" s="16">
        <v>0</v>
      </c>
      <c r="R110" s="5" t="str">
        <f t="shared" si="15"/>
        <v>7-2024-07-31</v>
      </c>
    </row>
    <row r="111" spans="1:18" x14ac:dyDescent="0.3">
      <c r="A111" s="37">
        <v>7</v>
      </c>
      <c r="B111" s="13" t="s">
        <v>336</v>
      </c>
      <c r="C111" s="5" t="s">
        <v>343</v>
      </c>
      <c r="D111" s="13" t="s">
        <v>18</v>
      </c>
      <c r="E111" s="13" t="s">
        <v>9</v>
      </c>
      <c r="F111" s="14">
        <v>45535</v>
      </c>
      <c r="G111" s="5">
        <f t="shared" si="12"/>
        <v>2024</v>
      </c>
      <c r="H111" s="5" t="str">
        <f t="shared" si="13"/>
        <v>Agosto</v>
      </c>
      <c r="I111" s="6" t="str">
        <f t="shared" si="14"/>
        <v>2024-2</v>
      </c>
      <c r="J111" s="13">
        <v>100</v>
      </c>
      <c r="K111" s="13">
        <v>95</v>
      </c>
      <c r="L111" s="15">
        <f t="shared" si="18"/>
        <v>0.95</v>
      </c>
      <c r="M111" s="15">
        <f t="shared" si="19"/>
        <v>0.95</v>
      </c>
      <c r="N111" s="13" t="s">
        <v>347</v>
      </c>
      <c r="O111" s="13" t="s">
        <v>347</v>
      </c>
      <c r="P111" s="16">
        <v>0</v>
      </c>
      <c r="Q111" s="16">
        <v>0</v>
      </c>
      <c r="R111" s="5" t="str">
        <f t="shared" si="15"/>
        <v>7-2024-08-31</v>
      </c>
    </row>
    <row r="112" spans="1:18" x14ac:dyDescent="0.3">
      <c r="A112" s="37">
        <v>7</v>
      </c>
      <c r="B112" s="13" t="s">
        <v>336</v>
      </c>
      <c r="C112" s="5" t="s">
        <v>343</v>
      </c>
      <c r="D112" s="13" t="s">
        <v>18</v>
      </c>
      <c r="E112" s="13" t="s">
        <v>9</v>
      </c>
      <c r="F112" s="14">
        <v>45565</v>
      </c>
      <c r="G112" s="5">
        <f t="shared" si="12"/>
        <v>2024</v>
      </c>
      <c r="H112" s="5" t="str">
        <f t="shared" si="13"/>
        <v>Septiembre</v>
      </c>
      <c r="I112" s="6" t="str">
        <f t="shared" si="14"/>
        <v>2024-2</v>
      </c>
      <c r="J112" s="13">
        <v>100</v>
      </c>
      <c r="K112" s="13">
        <v>95</v>
      </c>
      <c r="L112" s="15">
        <f t="shared" si="18"/>
        <v>0.95</v>
      </c>
      <c r="M112" s="15">
        <f t="shared" si="19"/>
        <v>0.95</v>
      </c>
      <c r="N112" s="13" t="s">
        <v>347</v>
      </c>
      <c r="O112" s="13" t="s">
        <v>347</v>
      </c>
      <c r="P112" s="16">
        <v>0</v>
      </c>
      <c r="Q112" s="16">
        <v>0</v>
      </c>
      <c r="R112" s="5" t="str">
        <f t="shared" si="15"/>
        <v>7-2024-09-30</v>
      </c>
    </row>
    <row r="113" spans="1:18" x14ac:dyDescent="0.3">
      <c r="A113" s="37">
        <v>7</v>
      </c>
      <c r="B113" s="13" t="s">
        <v>336</v>
      </c>
      <c r="C113" s="5" t="s">
        <v>343</v>
      </c>
      <c r="D113" s="13" t="s">
        <v>18</v>
      </c>
      <c r="E113" s="13" t="s">
        <v>9</v>
      </c>
      <c r="F113" s="14">
        <v>45596</v>
      </c>
      <c r="G113" s="5">
        <f t="shared" si="12"/>
        <v>2024</v>
      </c>
      <c r="H113" s="5" t="str">
        <f t="shared" si="13"/>
        <v>Octubre</v>
      </c>
      <c r="I113" s="6" t="str">
        <f t="shared" si="14"/>
        <v>2024-2</v>
      </c>
      <c r="J113" s="13">
        <v>100</v>
      </c>
      <c r="K113" s="13">
        <v>99</v>
      </c>
      <c r="L113" s="15">
        <f t="shared" si="18"/>
        <v>0.99</v>
      </c>
      <c r="M113" s="15">
        <f t="shared" si="19"/>
        <v>0.99</v>
      </c>
      <c r="N113" s="13" t="s">
        <v>347</v>
      </c>
      <c r="O113" s="13" t="s">
        <v>347</v>
      </c>
      <c r="P113" s="16">
        <v>0</v>
      </c>
      <c r="Q113" s="16">
        <v>0</v>
      </c>
      <c r="R113" s="5" t="str">
        <f t="shared" si="15"/>
        <v>7-2024-10-31</v>
      </c>
    </row>
    <row r="114" spans="1:18" x14ac:dyDescent="0.3">
      <c r="A114" s="37">
        <v>7</v>
      </c>
      <c r="B114" s="13" t="s">
        <v>336</v>
      </c>
      <c r="C114" s="5" t="s">
        <v>343</v>
      </c>
      <c r="D114" s="13" t="s">
        <v>18</v>
      </c>
      <c r="E114" s="13" t="s">
        <v>9</v>
      </c>
      <c r="F114" s="14">
        <v>45626</v>
      </c>
      <c r="G114" s="5">
        <f t="shared" si="12"/>
        <v>2024</v>
      </c>
      <c r="H114" s="5" t="str">
        <f t="shared" si="13"/>
        <v>Noviembre</v>
      </c>
      <c r="I114" s="6" t="str">
        <f t="shared" si="14"/>
        <v>2024-2</v>
      </c>
      <c r="J114" s="13">
        <v>100</v>
      </c>
      <c r="K114" s="13">
        <v>99</v>
      </c>
      <c r="L114" s="15">
        <f t="shared" si="18"/>
        <v>0.99</v>
      </c>
      <c r="M114" s="15">
        <f t="shared" si="19"/>
        <v>0.99</v>
      </c>
      <c r="N114" s="13" t="s">
        <v>347</v>
      </c>
      <c r="O114" s="13" t="s">
        <v>347</v>
      </c>
      <c r="P114" s="16">
        <v>0</v>
      </c>
      <c r="Q114" s="16">
        <v>0</v>
      </c>
      <c r="R114" s="5" t="str">
        <f t="shared" si="15"/>
        <v>7-2024-11-30</v>
      </c>
    </row>
    <row r="115" spans="1:18" x14ac:dyDescent="0.3">
      <c r="A115" s="37">
        <v>7</v>
      </c>
      <c r="B115" s="13" t="s">
        <v>336</v>
      </c>
      <c r="C115" s="5" t="s">
        <v>343</v>
      </c>
      <c r="D115" s="13" t="s">
        <v>18</v>
      </c>
      <c r="E115" s="13" t="s">
        <v>9</v>
      </c>
      <c r="F115" s="14">
        <v>45657</v>
      </c>
      <c r="G115" s="5">
        <f t="shared" si="12"/>
        <v>2024</v>
      </c>
      <c r="H115" s="5" t="str">
        <f t="shared" si="13"/>
        <v>Diciembre</v>
      </c>
      <c r="I115" s="6" t="str">
        <f t="shared" si="14"/>
        <v>2024-2</v>
      </c>
      <c r="J115" s="13">
        <v>100</v>
      </c>
      <c r="K115" s="13">
        <v>100</v>
      </c>
      <c r="L115" s="15">
        <f t="shared" si="18"/>
        <v>1</v>
      </c>
      <c r="M115" s="15">
        <f t="shared" si="19"/>
        <v>1</v>
      </c>
      <c r="N115" s="13" t="s">
        <v>347</v>
      </c>
      <c r="O115" s="13" t="s">
        <v>347</v>
      </c>
      <c r="P115" s="16">
        <v>0</v>
      </c>
      <c r="Q115" s="16">
        <v>0</v>
      </c>
      <c r="R115" s="5" t="str">
        <f t="shared" si="15"/>
        <v>7-2024-12-31</v>
      </c>
    </row>
    <row r="116" spans="1:18" x14ac:dyDescent="0.3">
      <c r="A116" s="37">
        <v>8</v>
      </c>
      <c r="B116" s="13" t="s">
        <v>337</v>
      </c>
      <c r="C116" s="13" t="s">
        <v>129</v>
      </c>
      <c r="D116" s="13" t="s">
        <v>18</v>
      </c>
      <c r="E116" s="13" t="s">
        <v>9</v>
      </c>
      <c r="F116" s="14">
        <v>44957</v>
      </c>
      <c r="G116" s="5">
        <f t="shared" si="12"/>
        <v>2023</v>
      </c>
      <c r="H116" s="5" t="str">
        <f t="shared" si="13"/>
        <v>Enero</v>
      </c>
      <c r="I116" s="6" t="str">
        <f t="shared" si="14"/>
        <v>2023-1</v>
      </c>
      <c r="J116" s="13">
        <v>21</v>
      </c>
      <c r="K116" s="13">
        <v>21</v>
      </c>
      <c r="L116" s="15">
        <f t="shared" si="18"/>
        <v>1</v>
      </c>
      <c r="M116" s="15">
        <f t="shared" si="19"/>
        <v>1</v>
      </c>
      <c r="N116" s="13" t="s">
        <v>347</v>
      </c>
      <c r="O116" s="13" t="s">
        <v>347</v>
      </c>
      <c r="P116" s="16">
        <v>0</v>
      </c>
      <c r="Q116" s="16">
        <v>0</v>
      </c>
      <c r="R116" s="5" t="str">
        <f t="shared" si="15"/>
        <v>8-2023-01-31</v>
      </c>
    </row>
    <row r="117" spans="1:18" x14ac:dyDescent="0.3">
      <c r="A117" s="37">
        <v>8</v>
      </c>
      <c r="B117" s="13" t="s">
        <v>337</v>
      </c>
      <c r="C117" s="13" t="s">
        <v>129</v>
      </c>
      <c r="D117" s="13" t="s">
        <v>18</v>
      </c>
      <c r="E117" s="13" t="s">
        <v>9</v>
      </c>
      <c r="F117" s="14">
        <v>44985</v>
      </c>
      <c r="G117" s="5">
        <f t="shared" si="12"/>
        <v>2023</v>
      </c>
      <c r="H117" s="5" t="str">
        <f t="shared" si="13"/>
        <v>Febrero</v>
      </c>
      <c r="I117" s="6" t="str">
        <f t="shared" si="14"/>
        <v>2023-1</v>
      </c>
      <c r="J117" s="13">
        <v>29</v>
      </c>
      <c r="K117" s="13">
        <v>27</v>
      </c>
      <c r="L117" s="15">
        <f t="shared" si="18"/>
        <v>0.93103448275862066</v>
      </c>
      <c r="M117" s="15">
        <f t="shared" si="19"/>
        <v>0.93103448275862066</v>
      </c>
      <c r="N117" s="13" t="s">
        <v>347</v>
      </c>
      <c r="O117" s="13" t="s">
        <v>347</v>
      </c>
      <c r="P117" s="16">
        <v>0</v>
      </c>
      <c r="Q117" s="16">
        <v>0</v>
      </c>
      <c r="R117" s="5" t="str">
        <f t="shared" si="15"/>
        <v>8-2023-02-28</v>
      </c>
    </row>
    <row r="118" spans="1:18" x14ac:dyDescent="0.3">
      <c r="A118" s="37">
        <v>8</v>
      </c>
      <c r="B118" s="13" t="s">
        <v>337</v>
      </c>
      <c r="C118" s="13" t="s">
        <v>129</v>
      </c>
      <c r="D118" s="13" t="s">
        <v>18</v>
      </c>
      <c r="E118" s="13" t="s">
        <v>9</v>
      </c>
      <c r="F118" s="14">
        <v>45016</v>
      </c>
      <c r="G118" s="5">
        <f t="shared" si="12"/>
        <v>2023</v>
      </c>
      <c r="H118" s="5" t="str">
        <f t="shared" si="13"/>
        <v>Marzo</v>
      </c>
      <c r="I118" s="6" t="str">
        <f t="shared" si="14"/>
        <v>2023-1</v>
      </c>
      <c r="J118" s="13">
        <v>38</v>
      </c>
      <c r="K118" s="13">
        <v>35</v>
      </c>
      <c r="L118" s="15">
        <f t="shared" si="18"/>
        <v>0.92105263157894735</v>
      </c>
      <c r="M118" s="15">
        <f t="shared" si="19"/>
        <v>0.92105263157894735</v>
      </c>
      <c r="N118" s="13" t="s">
        <v>347</v>
      </c>
      <c r="O118" s="13" t="s">
        <v>347</v>
      </c>
      <c r="P118" s="16">
        <v>0</v>
      </c>
      <c r="Q118" s="16">
        <v>0</v>
      </c>
      <c r="R118" s="5" t="str">
        <f t="shared" si="15"/>
        <v>8-2023-03-31</v>
      </c>
    </row>
    <row r="119" spans="1:18" x14ac:dyDescent="0.3">
      <c r="A119" s="37">
        <v>8</v>
      </c>
      <c r="B119" s="13" t="s">
        <v>337</v>
      </c>
      <c r="C119" s="13" t="s">
        <v>129</v>
      </c>
      <c r="D119" s="13" t="s">
        <v>18</v>
      </c>
      <c r="E119" s="13" t="s">
        <v>9</v>
      </c>
      <c r="F119" s="14">
        <v>45046</v>
      </c>
      <c r="G119" s="5">
        <f t="shared" si="12"/>
        <v>2023</v>
      </c>
      <c r="H119" s="5" t="str">
        <f t="shared" si="13"/>
        <v>Abril</v>
      </c>
      <c r="I119" s="6" t="str">
        <f t="shared" si="14"/>
        <v>2023-1</v>
      </c>
      <c r="J119" s="13">
        <v>46</v>
      </c>
      <c r="K119" s="13">
        <v>44</v>
      </c>
      <c r="L119" s="15">
        <f t="shared" si="18"/>
        <v>0.95652173913043481</v>
      </c>
      <c r="M119" s="15">
        <f t="shared" si="19"/>
        <v>0.95652173913043481</v>
      </c>
      <c r="N119" s="13" t="s">
        <v>347</v>
      </c>
      <c r="O119" s="13" t="s">
        <v>347</v>
      </c>
      <c r="P119" s="16">
        <v>0</v>
      </c>
      <c r="Q119" s="16">
        <v>0</v>
      </c>
      <c r="R119" s="5" t="str">
        <f t="shared" si="15"/>
        <v>8-2023-04-30</v>
      </c>
    </row>
    <row r="120" spans="1:18" x14ac:dyDescent="0.3">
      <c r="A120" s="37">
        <v>8</v>
      </c>
      <c r="B120" s="13" t="s">
        <v>337</v>
      </c>
      <c r="C120" s="13" t="s">
        <v>129</v>
      </c>
      <c r="D120" s="13" t="s">
        <v>18</v>
      </c>
      <c r="E120" s="13" t="s">
        <v>9</v>
      </c>
      <c r="F120" s="14">
        <v>45077</v>
      </c>
      <c r="G120" s="5">
        <f t="shared" si="12"/>
        <v>2023</v>
      </c>
      <c r="H120" s="5" t="str">
        <f t="shared" si="13"/>
        <v>Mayo</v>
      </c>
      <c r="I120" s="6" t="str">
        <f t="shared" si="14"/>
        <v>2023-1</v>
      </c>
      <c r="J120" s="13">
        <v>57</v>
      </c>
      <c r="K120" s="13">
        <v>58</v>
      </c>
      <c r="L120" s="15">
        <f t="shared" si="18"/>
        <v>1.0175438596491229</v>
      </c>
      <c r="M120" s="15">
        <f t="shared" si="19"/>
        <v>1.0175438596491229</v>
      </c>
      <c r="N120" s="13" t="s">
        <v>347</v>
      </c>
      <c r="O120" s="13" t="s">
        <v>347</v>
      </c>
      <c r="P120" s="16">
        <v>0</v>
      </c>
      <c r="Q120" s="16">
        <v>0</v>
      </c>
      <c r="R120" s="5" t="str">
        <f t="shared" si="15"/>
        <v>8-2023-05-31</v>
      </c>
    </row>
    <row r="121" spans="1:18" x14ac:dyDescent="0.3">
      <c r="A121" s="37">
        <v>8</v>
      </c>
      <c r="B121" s="13" t="s">
        <v>337</v>
      </c>
      <c r="C121" s="13" t="s">
        <v>129</v>
      </c>
      <c r="D121" s="13" t="s">
        <v>18</v>
      </c>
      <c r="E121" s="13" t="s">
        <v>9</v>
      </c>
      <c r="F121" s="14">
        <v>45107</v>
      </c>
      <c r="G121" s="5">
        <f t="shared" si="12"/>
        <v>2023</v>
      </c>
      <c r="H121" s="5" t="str">
        <f t="shared" si="13"/>
        <v>Junio</v>
      </c>
      <c r="I121" s="6" t="str">
        <f t="shared" si="14"/>
        <v>2023-1</v>
      </c>
      <c r="J121" s="13">
        <v>65</v>
      </c>
      <c r="K121" s="13">
        <v>75</v>
      </c>
      <c r="L121" s="15">
        <f t="shared" si="18"/>
        <v>1.1538461538461537</v>
      </c>
      <c r="M121" s="15">
        <f t="shared" si="19"/>
        <v>1.1538461538461537</v>
      </c>
      <c r="N121" s="13" t="s">
        <v>347</v>
      </c>
      <c r="O121" s="13" t="s">
        <v>347</v>
      </c>
      <c r="P121" s="16">
        <v>0</v>
      </c>
      <c r="Q121" s="16">
        <v>0</v>
      </c>
      <c r="R121" s="5" t="str">
        <f t="shared" si="15"/>
        <v>8-2023-06-30</v>
      </c>
    </row>
    <row r="122" spans="1:18" x14ac:dyDescent="0.3">
      <c r="A122" s="37">
        <v>8</v>
      </c>
      <c r="B122" s="13" t="s">
        <v>337</v>
      </c>
      <c r="C122" s="13" t="s">
        <v>129</v>
      </c>
      <c r="D122" s="13" t="s">
        <v>18</v>
      </c>
      <c r="E122" s="13" t="s">
        <v>9</v>
      </c>
      <c r="F122" s="14">
        <v>45138</v>
      </c>
      <c r="G122" s="5">
        <f t="shared" si="12"/>
        <v>2023</v>
      </c>
      <c r="H122" s="5" t="str">
        <f t="shared" si="13"/>
        <v>Julio</v>
      </c>
      <c r="I122" s="6" t="str">
        <f t="shared" si="14"/>
        <v>2023-2</v>
      </c>
      <c r="J122" s="13">
        <v>78</v>
      </c>
      <c r="K122" s="13">
        <v>74</v>
      </c>
      <c r="L122" s="15">
        <f t="shared" si="18"/>
        <v>0.94871794871794868</v>
      </c>
      <c r="M122" s="15">
        <f t="shared" si="19"/>
        <v>0.94871794871794868</v>
      </c>
      <c r="N122" s="13" t="s">
        <v>347</v>
      </c>
      <c r="O122" s="13" t="s">
        <v>347</v>
      </c>
      <c r="P122" s="16">
        <v>0</v>
      </c>
      <c r="Q122" s="16">
        <v>0</v>
      </c>
      <c r="R122" s="5" t="str">
        <f t="shared" si="15"/>
        <v>8-2023-07-31</v>
      </c>
    </row>
    <row r="123" spans="1:18" x14ac:dyDescent="0.3">
      <c r="A123" s="37">
        <v>8</v>
      </c>
      <c r="B123" s="13" t="s">
        <v>337</v>
      </c>
      <c r="C123" s="13" t="s">
        <v>129</v>
      </c>
      <c r="D123" s="13" t="s">
        <v>18</v>
      </c>
      <c r="E123" s="13" t="s">
        <v>9</v>
      </c>
      <c r="F123" s="14">
        <v>45169</v>
      </c>
      <c r="G123" s="5">
        <f t="shared" si="12"/>
        <v>2023</v>
      </c>
      <c r="H123" s="5" t="str">
        <f t="shared" si="13"/>
        <v>Agosto</v>
      </c>
      <c r="I123" s="6" t="str">
        <f t="shared" si="14"/>
        <v>2023-2</v>
      </c>
      <c r="J123" s="13">
        <v>78</v>
      </c>
      <c r="K123" s="13">
        <v>78</v>
      </c>
      <c r="L123" s="15">
        <f t="shared" si="18"/>
        <v>1</v>
      </c>
      <c r="M123" s="15">
        <f t="shared" si="19"/>
        <v>1</v>
      </c>
      <c r="N123" s="13" t="s">
        <v>347</v>
      </c>
      <c r="O123" s="13" t="s">
        <v>347</v>
      </c>
      <c r="P123" s="16">
        <v>0</v>
      </c>
      <c r="Q123" s="16">
        <v>0</v>
      </c>
      <c r="R123" s="5" t="str">
        <f t="shared" si="15"/>
        <v>8-2023-08-31</v>
      </c>
    </row>
    <row r="124" spans="1:18" x14ac:dyDescent="0.3">
      <c r="A124" s="37">
        <v>8</v>
      </c>
      <c r="B124" s="13" t="s">
        <v>337</v>
      </c>
      <c r="C124" s="13" t="s">
        <v>129</v>
      </c>
      <c r="D124" s="13" t="s">
        <v>18</v>
      </c>
      <c r="E124" s="13" t="s">
        <v>9</v>
      </c>
      <c r="F124" s="14">
        <v>45199</v>
      </c>
      <c r="G124" s="5">
        <f t="shared" si="12"/>
        <v>2023</v>
      </c>
      <c r="H124" s="5" t="str">
        <f t="shared" si="13"/>
        <v>Septiembre</v>
      </c>
      <c r="I124" s="6" t="str">
        <f t="shared" si="14"/>
        <v>2023-2</v>
      </c>
      <c r="J124" s="13">
        <v>83</v>
      </c>
      <c r="K124" s="13">
        <v>81</v>
      </c>
      <c r="L124" s="15">
        <f t="shared" si="18"/>
        <v>0.97590361445783136</v>
      </c>
      <c r="M124" s="15">
        <f t="shared" si="19"/>
        <v>0.97590361445783136</v>
      </c>
      <c r="N124" s="13" t="s">
        <v>347</v>
      </c>
      <c r="O124" s="13" t="s">
        <v>347</v>
      </c>
      <c r="P124" s="16">
        <v>0</v>
      </c>
      <c r="Q124" s="16">
        <v>0</v>
      </c>
      <c r="R124" s="5" t="str">
        <f t="shared" si="15"/>
        <v>8-2023-09-30</v>
      </c>
    </row>
    <row r="125" spans="1:18" x14ac:dyDescent="0.3">
      <c r="A125" s="37">
        <v>8</v>
      </c>
      <c r="B125" s="13" t="s">
        <v>337</v>
      </c>
      <c r="C125" s="13" t="s">
        <v>129</v>
      </c>
      <c r="D125" s="13" t="s">
        <v>18</v>
      </c>
      <c r="E125" s="13" t="s">
        <v>9</v>
      </c>
      <c r="F125" s="14">
        <v>45230</v>
      </c>
      <c r="G125" s="5">
        <f t="shared" si="12"/>
        <v>2023</v>
      </c>
      <c r="H125" s="5" t="str">
        <f t="shared" si="13"/>
        <v>Octubre</v>
      </c>
      <c r="I125" s="6" t="str">
        <f t="shared" si="14"/>
        <v>2023-2</v>
      </c>
      <c r="J125" s="13">
        <v>94</v>
      </c>
      <c r="K125" s="13">
        <v>90</v>
      </c>
      <c r="L125" s="15">
        <f t="shared" si="18"/>
        <v>0.95744680851063835</v>
      </c>
      <c r="M125" s="15">
        <f t="shared" si="19"/>
        <v>0.95744680851063835</v>
      </c>
      <c r="N125" s="13" t="s">
        <v>347</v>
      </c>
      <c r="O125" s="13" t="s">
        <v>347</v>
      </c>
      <c r="P125" s="16">
        <v>0</v>
      </c>
      <c r="Q125" s="16">
        <v>0</v>
      </c>
      <c r="R125" s="5" t="str">
        <f t="shared" si="15"/>
        <v>8-2023-10-31</v>
      </c>
    </row>
    <row r="126" spans="1:18" x14ac:dyDescent="0.3">
      <c r="A126" s="37">
        <v>8</v>
      </c>
      <c r="B126" s="13" t="s">
        <v>337</v>
      </c>
      <c r="C126" s="13" t="s">
        <v>129</v>
      </c>
      <c r="D126" s="13" t="s">
        <v>18</v>
      </c>
      <c r="E126" s="13" t="s">
        <v>9</v>
      </c>
      <c r="F126" s="14">
        <v>45260</v>
      </c>
      <c r="G126" s="5">
        <f t="shared" si="12"/>
        <v>2023</v>
      </c>
      <c r="H126" s="5" t="str">
        <f t="shared" si="13"/>
        <v>Noviembre</v>
      </c>
      <c r="I126" s="6" t="str">
        <f t="shared" si="14"/>
        <v>2023-2</v>
      </c>
      <c r="J126" s="13">
        <v>99</v>
      </c>
      <c r="K126" s="13">
        <v>99</v>
      </c>
      <c r="L126" s="15">
        <f t="shared" si="18"/>
        <v>1</v>
      </c>
      <c r="M126" s="15">
        <f t="shared" si="19"/>
        <v>1</v>
      </c>
      <c r="N126" s="13" t="s">
        <v>347</v>
      </c>
      <c r="O126" s="13" t="s">
        <v>347</v>
      </c>
      <c r="P126" s="16">
        <v>0</v>
      </c>
      <c r="Q126" s="16">
        <v>0</v>
      </c>
      <c r="R126" s="5" t="str">
        <f t="shared" si="15"/>
        <v>8-2023-11-30</v>
      </c>
    </row>
    <row r="127" spans="1:18" x14ac:dyDescent="0.3">
      <c r="A127" s="37">
        <v>8</v>
      </c>
      <c r="B127" s="13" t="s">
        <v>337</v>
      </c>
      <c r="C127" s="13" t="s">
        <v>129</v>
      </c>
      <c r="D127" s="13" t="s">
        <v>18</v>
      </c>
      <c r="E127" s="13" t="s">
        <v>9</v>
      </c>
      <c r="F127" s="14">
        <v>45291</v>
      </c>
      <c r="G127" s="5">
        <f t="shared" si="12"/>
        <v>2023</v>
      </c>
      <c r="H127" s="5" t="str">
        <f t="shared" si="13"/>
        <v>Diciembre</v>
      </c>
      <c r="I127" s="6" t="str">
        <f t="shared" si="14"/>
        <v>2023-2</v>
      </c>
      <c r="J127" s="13">
        <v>100</v>
      </c>
      <c r="K127" s="13">
        <v>100</v>
      </c>
      <c r="L127" s="15">
        <f t="shared" si="18"/>
        <v>1</v>
      </c>
      <c r="M127" s="15">
        <f t="shared" si="19"/>
        <v>1</v>
      </c>
      <c r="N127" s="13" t="s">
        <v>347</v>
      </c>
      <c r="O127" s="13" t="s">
        <v>347</v>
      </c>
      <c r="P127" s="16">
        <v>0</v>
      </c>
      <c r="Q127" s="16">
        <v>0</v>
      </c>
      <c r="R127" s="5" t="str">
        <f t="shared" si="15"/>
        <v>8-2023-12-31</v>
      </c>
    </row>
    <row r="128" spans="1:18" x14ac:dyDescent="0.3">
      <c r="A128" s="37">
        <v>9</v>
      </c>
      <c r="B128" s="13" t="s">
        <v>338</v>
      </c>
      <c r="C128" s="5" t="s">
        <v>343</v>
      </c>
      <c r="D128" s="13" t="s">
        <v>18</v>
      </c>
      <c r="E128" s="13" t="s">
        <v>9</v>
      </c>
      <c r="F128" s="14">
        <v>45046</v>
      </c>
      <c r="G128" s="5">
        <f t="shared" si="12"/>
        <v>2023</v>
      </c>
      <c r="H128" s="5" t="str">
        <f t="shared" si="13"/>
        <v>Abril</v>
      </c>
      <c r="I128" s="6" t="str">
        <f t="shared" si="14"/>
        <v>2023-1</v>
      </c>
      <c r="J128" s="13">
        <v>18</v>
      </c>
      <c r="K128" s="13">
        <v>13</v>
      </c>
      <c r="L128" s="15">
        <f t="shared" si="18"/>
        <v>0.72222222222222221</v>
      </c>
      <c r="M128" s="15">
        <f t="shared" si="19"/>
        <v>0.72222222222222221</v>
      </c>
      <c r="N128" s="13" t="s">
        <v>347</v>
      </c>
      <c r="O128" s="13" t="s">
        <v>347</v>
      </c>
      <c r="P128" s="16">
        <v>0</v>
      </c>
      <c r="Q128" s="16">
        <v>0</v>
      </c>
      <c r="R128" s="5" t="str">
        <f t="shared" si="15"/>
        <v>9-2023-04-30</v>
      </c>
    </row>
    <row r="129" spans="1:18" x14ac:dyDescent="0.3">
      <c r="A129" s="37">
        <v>9</v>
      </c>
      <c r="B129" s="13" t="s">
        <v>338</v>
      </c>
      <c r="C129" s="5" t="s">
        <v>343</v>
      </c>
      <c r="D129" s="13" t="s">
        <v>18</v>
      </c>
      <c r="E129" s="13" t="s">
        <v>9</v>
      </c>
      <c r="F129" s="14">
        <v>45077</v>
      </c>
      <c r="G129" s="5">
        <f t="shared" si="12"/>
        <v>2023</v>
      </c>
      <c r="H129" s="5" t="str">
        <f t="shared" si="13"/>
        <v>Mayo</v>
      </c>
      <c r="I129" s="6" t="str">
        <f t="shared" si="14"/>
        <v>2023-1</v>
      </c>
      <c r="J129" s="13">
        <v>30</v>
      </c>
      <c r="K129" s="13">
        <v>17</v>
      </c>
      <c r="L129" s="15">
        <f t="shared" si="18"/>
        <v>0.56666666666666665</v>
      </c>
      <c r="M129" s="15">
        <f t="shared" si="19"/>
        <v>0.56666666666666665</v>
      </c>
      <c r="N129" s="13" t="s">
        <v>347</v>
      </c>
      <c r="O129" s="13" t="s">
        <v>347</v>
      </c>
      <c r="P129" s="16">
        <v>0</v>
      </c>
      <c r="Q129" s="16">
        <v>0</v>
      </c>
      <c r="R129" s="5" t="str">
        <f t="shared" si="15"/>
        <v>9-2023-05-31</v>
      </c>
    </row>
    <row r="130" spans="1:18" x14ac:dyDescent="0.3">
      <c r="A130" s="37">
        <v>9</v>
      </c>
      <c r="B130" s="13" t="s">
        <v>338</v>
      </c>
      <c r="C130" s="5" t="s">
        <v>343</v>
      </c>
      <c r="D130" s="13" t="s">
        <v>18</v>
      </c>
      <c r="E130" s="13" t="s">
        <v>9</v>
      </c>
      <c r="F130" s="14">
        <v>45107</v>
      </c>
      <c r="G130" s="5">
        <f t="shared" ref="G130:G193" si="20">YEAR(F130)</f>
        <v>2023</v>
      </c>
      <c r="H130" s="5" t="str">
        <f t="shared" ref="H130:H193" si="21">PROPER(TEXT(F130,"mmmm"))</f>
        <v>Junio</v>
      </c>
      <c r="I130" s="6" t="str">
        <f t="shared" ref="I130:I191" si="22">IF(OR(H130="Enero",H130="Febrero",H130="Marzo",H130="Abril",H130="Mayo",H130="Junio"),G130&amp;"-1",IF(OR(H130="Julio",H130="Agosto",H130="Septiembre",H130="Octubre",H130="Noviembre",H130="Diciembre"),G130&amp;"-2"))</f>
        <v>2023-1</v>
      </c>
      <c r="J130" s="13">
        <v>50</v>
      </c>
      <c r="K130" s="13">
        <v>36</v>
      </c>
      <c r="L130" s="15">
        <f t="shared" si="18"/>
        <v>0.72</v>
      </c>
      <c r="M130" s="15">
        <f t="shared" si="19"/>
        <v>0.72</v>
      </c>
      <c r="N130" s="13" t="s">
        <v>347</v>
      </c>
      <c r="O130" s="13" t="s">
        <v>347</v>
      </c>
      <c r="P130" s="16">
        <v>0</v>
      </c>
      <c r="Q130" s="16">
        <v>0</v>
      </c>
      <c r="R130" s="5" t="str">
        <f t="shared" ref="R130:R191" si="23">A130&amp;"-"&amp;YEAR(F130)&amp;"-"&amp;IF(LEN(MONTH(F130))=1,"0"&amp;MONTH(F130),MONTH(F130))&amp;"-"&amp;DAY(F130)</f>
        <v>9-2023-06-30</v>
      </c>
    </row>
    <row r="131" spans="1:18" x14ac:dyDescent="0.3">
      <c r="A131" s="37">
        <v>9</v>
      </c>
      <c r="B131" s="13" t="s">
        <v>338</v>
      </c>
      <c r="C131" s="5" t="s">
        <v>343</v>
      </c>
      <c r="D131" s="13" t="s">
        <v>18</v>
      </c>
      <c r="E131" s="13" t="s">
        <v>9</v>
      </c>
      <c r="F131" s="14">
        <v>45138</v>
      </c>
      <c r="G131" s="5">
        <f t="shared" si="20"/>
        <v>2023</v>
      </c>
      <c r="H131" s="5" t="str">
        <f t="shared" si="21"/>
        <v>Julio</v>
      </c>
      <c r="I131" s="6" t="str">
        <f t="shared" si="22"/>
        <v>2023-2</v>
      </c>
      <c r="J131" s="13">
        <v>44</v>
      </c>
      <c r="K131" s="13">
        <v>40</v>
      </c>
      <c r="L131" s="15">
        <f t="shared" si="18"/>
        <v>0.90909090909090906</v>
      </c>
      <c r="M131" s="15">
        <f t="shared" si="19"/>
        <v>0.90909090909090906</v>
      </c>
      <c r="N131" s="13" t="s">
        <v>347</v>
      </c>
      <c r="O131" s="13" t="s">
        <v>347</v>
      </c>
      <c r="P131" s="16">
        <v>0</v>
      </c>
      <c r="Q131" s="16">
        <v>0</v>
      </c>
      <c r="R131" s="5" t="str">
        <f t="shared" si="23"/>
        <v>9-2023-07-31</v>
      </c>
    </row>
    <row r="132" spans="1:18" x14ac:dyDescent="0.3">
      <c r="A132" s="37">
        <v>9</v>
      </c>
      <c r="B132" s="13" t="s">
        <v>338</v>
      </c>
      <c r="C132" s="5" t="s">
        <v>343</v>
      </c>
      <c r="D132" s="13" t="s">
        <v>18</v>
      </c>
      <c r="E132" s="13" t="s">
        <v>9</v>
      </c>
      <c r="F132" s="14">
        <v>45169</v>
      </c>
      <c r="G132" s="5">
        <f t="shared" si="20"/>
        <v>2023</v>
      </c>
      <c r="H132" s="5" t="str">
        <f t="shared" si="21"/>
        <v>Agosto</v>
      </c>
      <c r="I132" s="6" t="str">
        <f t="shared" si="22"/>
        <v>2023-2</v>
      </c>
      <c r="J132" s="13">
        <v>71</v>
      </c>
      <c r="K132" s="13">
        <v>65</v>
      </c>
      <c r="L132" s="15">
        <f t="shared" si="18"/>
        <v>0.91549295774647887</v>
      </c>
      <c r="M132" s="15">
        <f t="shared" si="19"/>
        <v>0.91549295774647887</v>
      </c>
      <c r="N132" s="13" t="s">
        <v>347</v>
      </c>
      <c r="O132" s="13" t="s">
        <v>347</v>
      </c>
      <c r="P132" s="16">
        <v>0</v>
      </c>
      <c r="Q132" s="16">
        <v>0</v>
      </c>
      <c r="R132" s="5" t="str">
        <f t="shared" si="23"/>
        <v>9-2023-08-31</v>
      </c>
    </row>
    <row r="133" spans="1:18" x14ac:dyDescent="0.3">
      <c r="A133" s="37">
        <v>9</v>
      </c>
      <c r="B133" s="13" t="s">
        <v>338</v>
      </c>
      <c r="C133" s="5" t="s">
        <v>343</v>
      </c>
      <c r="D133" s="13" t="s">
        <v>18</v>
      </c>
      <c r="E133" s="13" t="s">
        <v>9</v>
      </c>
      <c r="F133" s="14">
        <v>45199</v>
      </c>
      <c r="G133" s="5">
        <f t="shared" si="20"/>
        <v>2023</v>
      </c>
      <c r="H133" s="5" t="str">
        <f t="shared" si="21"/>
        <v>Septiembre</v>
      </c>
      <c r="I133" s="6" t="str">
        <f t="shared" si="22"/>
        <v>2023-2</v>
      </c>
      <c r="J133" s="13">
        <v>77</v>
      </c>
      <c r="K133" s="13">
        <v>74</v>
      </c>
      <c r="L133" s="15">
        <f t="shared" si="18"/>
        <v>0.96103896103896103</v>
      </c>
      <c r="M133" s="15">
        <f t="shared" si="19"/>
        <v>0.96103896103896103</v>
      </c>
      <c r="N133" s="13" t="s">
        <v>347</v>
      </c>
      <c r="O133" s="13" t="s">
        <v>347</v>
      </c>
      <c r="P133" s="16">
        <v>0</v>
      </c>
      <c r="Q133" s="16">
        <v>0</v>
      </c>
      <c r="R133" s="5" t="str">
        <f t="shared" si="23"/>
        <v>9-2023-09-30</v>
      </c>
    </row>
    <row r="134" spans="1:18" x14ac:dyDescent="0.3">
      <c r="A134" s="37">
        <v>9</v>
      </c>
      <c r="B134" s="13" t="s">
        <v>338</v>
      </c>
      <c r="C134" s="5" t="s">
        <v>343</v>
      </c>
      <c r="D134" s="13" t="s">
        <v>18</v>
      </c>
      <c r="E134" s="13" t="s">
        <v>9</v>
      </c>
      <c r="F134" s="14">
        <v>45230</v>
      </c>
      <c r="G134" s="5">
        <f t="shared" si="20"/>
        <v>2023</v>
      </c>
      <c r="H134" s="5" t="str">
        <f t="shared" si="21"/>
        <v>Octubre</v>
      </c>
      <c r="I134" s="6" t="str">
        <f t="shared" si="22"/>
        <v>2023-2</v>
      </c>
      <c r="J134" s="13">
        <v>92</v>
      </c>
      <c r="K134" s="13">
        <v>86</v>
      </c>
      <c r="L134" s="15">
        <f t="shared" si="18"/>
        <v>0.93478260869565222</v>
      </c>
      <c r="M134" s="15">
        <f t="shared" si="19"/>
        <v>0.93478260869565222</v>
      </c>
      <c r="N134" s="13" t="s">
        <v>347</v>
      </c>
      <c r="O134" s="13" t="s">
        <v>347</v>
      </c>
      <c r="P134" s="16">
        <v>0</v>
      </c>
      <c r="Q134" s="16">
        <v>0</v>
      </c>
      <c r="R134" s="5" t="str">
        <f t="shared" si="23"/>
        <v>9-2023-10-31</v>
      </c>
    </row>
    <row r="135" spans="1:18" x14ac:dyDescent="0.3">
      <c r="A135" s="37">
        <v>9</v>
      </c>
      <c r="B135" s="13" t="s">
        <v>338</v>
      </c>
      <c r="C135" s="5" t="s">
        <v>343</v>
      </c>
      <c r="D135" s="13" t="s">
        <v>18</v>
      </c>
      <c r="E135" s="13" t="s">
        <v>9</v>
      </c>
      <c r="F135" s="14">
        <v>45260</v>
      </c>
      <c r="G135" s="5">
        <f t="shared" si="20"/>
        <v>2023</v>
      </c>
      <c r="H135" s="5" t="str">
        <f t="shared" si="21"/>
        <v>Noviembre</v>
      </c>
      <c r="I135" s="6" t="str">
        <f t="shared" si="22"/>
        <v>2023-2</v>
      </c>
      <c r="J135" s="13">
        <v>97</v>
      </c>
      <c r="K135" s="13">
        <v>91</v>
      </c>
      <c r="L135" s="15">
        <f t="shared" si="18"/>
        <v>0.93814432989690721</v>
      </c>
      <c r="M135" s="15">
        <f t="shared" si="19"/>
        <v>0.93814432989690721</v>
      </c>
      <c r="N135" s="13" t="s">
        <v>347</v>
      </c>
      <c r="O135" s="13" t="s">
        <v>347</v>
      </c>
      <c r="P135" s="16">
        <v>0</v>
      </c>
      <c r="Q135" s="16">
        <v>0</v>
      </c>
      <c r="R135" s="5" t="str">
        <f t="shared" si="23"/>
        <v>9-2023-11-30</v>
      </c>
    </row>
    <row r="136" spans="1:18" x14ac:dyDescent="0.3">
      <c r="A136" s="37">
        <v>9</v>
      </c>
      <c r="B136" s="13" t="s">
        <v>338</v>
      </c>
      <c r="C136" s="5" t="s">
        <v>343</v>
      </c>
      <c r="D136" s="13" t="s">
        <v>18</v>
      </c>
      <c r="E136" s="13" t="s">
        <v>9</v>
      </c>
      <c r="F136" s="14">
        <v>45291</v>
      </c>
      <c r="G136" s="5">
        <f t="shared" si="20"/>
        <v>2023</v>
      </c>
      <c r="H136" s="5" t="str">
        <f t="shared" si="21"/>
        <v>Diciembre</v>
      </c>
      <c r="I136" s="6" t="str">
        <f t="shared" si="22"/>
        <v>2023-2</v>
      </c>
      <c r="J136" s="13">
        <v>98</v>
      </c>
      <c r="K136" s="13">
        <v>95</v>
      </c>
      <c r="L136" s="15">
        <f t="shared" si="18"/>
        <v>0.96938775510204078</v>
      </c>
      <c r="M136" s="15">
        <f t="shared" si="19"/>
        <v>0.96938775510204078</v>
      </c>
      <c r="N136" s="13" t="s">
        <v>347</v>
      </c>
      <c r="O136" s="13" t="s">
        <v>347</v>
      </c>
      <c r="P136" s="16">
        <v>0</v>
      </c>
      <c r="Q136" s="16">
        <v>0</v>
      </c>
      <c r="R136" s="5" t="str">
        <f t="shared" si="23"/>
        <v>9-2023-12-31</v>
      </c>
    </row>
    <row r="137" spans="1:18" x14ac:dyDescent="0.3">
      <c r="A137" s="37">
        <v>9</v>
      </c>
      <c r="B137" s="13" t="s">
        <v>338</v>
      </c>
      <c r="C137" s="5" t="s">
        <v>343</v>
      </c>
      <c r="D137" s="13" t="s">
        <v>18</v>
      </c>
      <c r="E137" s="13" t="s">
        <v>9</v>
      </c>
      <c r="F137" s="14">
        <v>45322</v>
      </c>
      <c r="G137" s="5">
        <f t="shared" si="20"/>
        <v>2024</v>
      </c>
      <c r="H137" s="5" t="str">
        <f t="shared" si="21"/>
        <v>Enero</v>
      </c>
      <c r="I137" s="6" t="str">
        <f t="shared" si="22"/>
        <v>2024-1</v>
      </c>
      <c r="J137" s="13">
        <v>98</v>
      </c>
      <c r="K137" s="13">
        <v>95</v>
      </c>
      <c r="L137" s="15">
        <f t="shared" si="18"/>
        <v>0.96938775510204078</v>
      </c>
      <c r="M137" s="15">
        <f t="shared" si="19"/>
        <v>0.96938775510204078</v>
      </c>
      <c r="N137" s="13" t="s">
        <v>347</v>
      </c>
      <c r="O137" s="13" t="s">
        <v>347</v>
      </c>
      <c r="P137" s="16">
        <v>0</v>
      </c>
      <c r="Q137" s="16">
        <v>0</v>
      </c>
      <c r="R137" s="5" t="str">
        <f t="shared" si="23"/>
        <v>9-2024-01-31</v>
      </c>
    </row>
    <row r="138" spans="1:18" x14ac:dyDescent="0.3">
      <c r="A138" s="37">
        <v>9</v>
      </c>
      <c r="B138" s="13" t="s">
        <v>338</v>
      </c>
      <c r="C138" s="5" t="s">
        <v>343</v>
      </c>
      <c r="D138" s="13" t="s">
        <v>18</v>
      </c>
      <c r="E138" s="13" t="s">
        <v>9</v>
      </c>
      <c r="F138" s="14">
        <v>45351</v>
      </c>
      <c r="G138" s="5">
        <f t="shared" si="20"/>
        <v>2024</v>
      </c>
      <c r="H138" s="5" t="str">
        <f t="shared" si="21"/>
        <v>Febrero</v>
      </c>
      <c r="I138" s="6" t="str">
        <f t="shared" si="22"/>
        <v>2024-1</v>
      </c>
      <c r="J138" s="13">
        <v>98</v>
      </c>
      <c r="K138" s="13">
        <v>95</v>
      </c>
      <c r="L138" s="15">
        <f t="shared" si="18"/>
        <v>0.96938775510204078</v>
      </c>
      <c r="M138" s="15">
        <f t="shared" si="19"/>
        <v>0.96938775510204078</v>
      </c>
      <c r="N138" s="13" t="s">
        <v>347</v>
      </c>
      <c r="O138" s="13" t="s">
        <v>347</v>
      </c>
      <c r="P138" s="16">
        <v>0</v>
      </c>
      <c r="Q138" s="16">
        <v>0</v>
      </c>
      <c r="R138" s="5" t="str">
        <f t="shared" si="23"/>
        <v>9-2024-02-29</v>
      </c>
    </row>
    <row r="139" spans="1:18" x14ac:dyDescent="0.3">
      <c r="A139" s="37">
        <v>9</v>
      </c>
      <c r="B139" s="13" t="s">
        <v>338</v>
      </c>
      <c r="C139" s="5" t="s">
        <v>343</v>
      </c>
      <c r="D139" s="13" t="s">
        <v>18</v>
      </c>
      <c r="E139" s="13" t="s">
        <v>9</v>
      </c>
      <c r="F139" s="14">
        <v>45382</v>
      </c>
      <c r="G139" s="5">
        <f t="shared" si="20"/>
        <v>2024</v>
      </c>
      <c r="H139" s="5" t="str">
        <f t="shared" si="21"/>
        <v>Marzo</v>
      </c>
      <c r="I139" s="6" t="str">
        <f t="shared" si="22"/>
        <v>2024-1</v>
      </c>
      <c r="J139" s="13">
        <v>100</v>
      </c>
      <c r="K139" s="13">
        <v>99</v>
      </c>
      <c r="L139" s="15">
        <f t="shared" ref="L139:L170" si="24">IFERROR(IF((K139/J139)&gt;1.3,1.3,K139/J139),"")</f>
        <v>0.99</v>
      </c>
      <c r="M139" s="15">
        <f t="shared" ref="M139:M170" si="25">IFERROR(IF((K139/J139)&gt;K139/J139,1.3,K139/J139),"")</f>
        <v>0.99</v>
      </c>
      <c r="N139" s="13" t="s">
        <v>347</v>
      </c>
      <c r="O139" s="13" t="s">
        <v>347</v>
      </c>
      <c r="P139" s="16">
        <v>0</v>
      </c>
      <c r="Q139" s="16">
        <v>0</v>
      </c>
      <c r="R139" s="5" t="str">
        <f t="shared" si="23"/>
        <v>9-2024-03-31</v>
      </c>
    </row>
    <row r="140" spans="1:18" x14ac:dyDescent="0.3">
      <c r="A140" s="37">
        <v>9</v>
      </c>
      <c r="B140" s="13" t="s">
        <v>338</v>
      </c>
      <c r="C140" s="5" t="s">
        <v>343</v>
      </c>
      <c r="D140" s="13" t="s">
        <v>18</v>
      </c>
      <c r="E140" s="13" t="s">
        <v>9</v>
      </c>
      <c r="F140" s="14">
        <v>45412</v>
      </c>
      <c r="G140" s="5">
        <f t="shared" si="20"/>
        <v>2024</v>
      </c>
      <c r="H140" s="5" t="str">
        <f t="shared" si="21"/>
        <v>Abril</v>
      </c>
      <c r="I140" s="6" t="str">
        <f t="shared" si="22"/>
        <v>2024-1</v>
      </c>
      <c r="J140" s="13">
        <v>100</v>
      </c>
      <c r="K140" s="13">
        <v>100</v>
      </c>
      <c r="L140" s="15">
        <f t="shared" si="24"/>
        <v>1</v>
      </c>
      <c r="M140" s="15">
        <f t="shared" si="25"/>
        <v>1</v>
      </c>
      <c r="N140" s="13" t="s">
        <v>347</v>
      </c>
      <c r="O140" s="13" t="s">
        <v>347</v>
      </c>
      <c r="P140" s="16">
        <v>0</v>
      </c>
      <c r="Q140" s="16">
        <v>0</v>
      </c>
      <c r="R140" s="5" t="str">
        <f t="shared" si="23"/>
        <v>9-2024-04-30</v>
      </c>
    </row>
    <row r="141" spans="1:18" x14ac:dyDescent="0.3">
      <c r="A141" s="37">
        <v>9</v>
      </c>
      <c r="B141" s="13" t="s">
        <v>338</v>
      </c>
      <c r="C141" s="5" t="s">
        <v>343</v>
      </c>
      <c r="D141" s="13" t="s">
        <v>18</v>
      </c>
      <c r="E141" s="13" t="s">
        <v>9</v>
      </c>
      <c r="F141" s="14">
        <v>45443</v>
      </c>
      <c r="G141" s="5">
        <f t="shared" si="20"/>
        <v>2024</v>
      </c>
      <c r="H141" s="5" t="str">
        <f t="shared" si="21"/>
        <v>Mayo</v>
      </c>
      <c r="I141" s="6" t="str">
        <f t="shared" si="22"/>
        <v>2024-1</v>
      </c>
      <c r="J141" s="13">
        <v>100</v>
      </c>
      <c r="K141" s="13">
        <v>100</v>
      </c>
      <c r="L141" s="15">
        <f t="shared" si="24"/>
        <v>1</v>
      </c>
      <c r="M141" s="15">
        <f t="shared" si="25"/>
        <v>1</v>
      </c>
      <c r="N141" s="13" t="s">
        <v>347</v>
      </c>
      <c r="O141" s="13" t="s">
        <v>347</v>
      </c>
      <c r="P141" s="16">
        <v>0</v>
      </c>
      <c r="Q141" s="16">
        <v>0</v>
      </c>
      <c r="R141" s="5" t="str">
        <f t="shared" si="23"/>
        <v>9-2024-05-31</v>
      </c>
    </row>
    <row r="142" spans="1:18" x14ac:dyDescent="0.3">
      <c r="A142" s="37">
        <v>9</v>
      </c>
      <c r="B142" s="13" t="s">
        <v>338</v>
      </c>
      <c r="C142" s="5" t="s">
        <v>343</v>
      </c>
      <c r="D142" s="13" t="s">
        <v>18</v>
      </c>
      <c r="E142" s="13" t="s">
        <v>9</v>
      </c>
      <c r="F142" s="14">
        <v>45473</v>
      </c>
      <c r="G142" s="5">
        <f t="shared" si="20"/>
        <v>2024</v>
      </c>
      <c r="H142" s="5" t="str">
        <f t="shared" si="21"/>
        <v>Junio</v>
      </c>
      <c r="I142" s="6" t="str">
        <f t="shared" si="22"/>
        <v>2024-1</v>
      </c>
      <c r="J142" s="13">
        <v>100</v>
      </c>
      <c r="K142" s="13">
        <v>100</v>
      </c>
      <c r="L142" s="15">
        <f t="shared" si="24"/>
        <v>1</v>
      </c>
      <c r="M142" s="15">
        <f t="shared" si="25"/>
        <v>1</v>
      </c>
      <c r="N142" s="13" t="s">
        <v>347</v>
      </c>
      <c r="O142" s="13" t="s">
        <v>347</v>
      </c>
      <c r="P142" s="16">
        <v>0</v>
      </c>
      <c r="Q142" s="16">
        <v>0</v>
      </c>
      <c r="R142" s="5" t="str">
        <f t="shared" si="23"/>
        <v>9-2024-06-30</v>
      </c>
    </row>
    <row r="143" spans="1:18" x14ac:dyDescent="0.3">
      <c r="A143" s="37">
        <v>10</v>
      </c>
      <c r="B143" s="13" t="s">
        <v>472</v>
      </c>
      <c r="C143" s="13" t="s">
        <v>209</v>
      </c>
      <c r="D143" s="13" t="s">
        <v>18</v>
      </c>
      <c r="E143" s="13" t="s">
        <v>9</v>
      </c>
      <c r="F143" s="14">
        <v>45046</v>
      </c>
      <c r="G143" s="5">
        <f t="shared" si="20"/>
        <v>2023</v>
      </c>
      <c r="H143" s="5" t="str">
        <f t="shared" si="21"/>
        <v>Abril</v>
      </c>
      <c r="I143" s="6" t="str">
        <f t="shared" si="22"/>
        <v>2023-1</v>
      </c>
      <c r="J143" s="13">
        <v>12</v>
      </c>
      <c r="K143" s="13">
        <v>12</v>
      </c>
      <c r="L143" s="15">
        <f t="shared" si="24"/>
        <v>1</v>
      </c>
      <c r="M143" s="15">
        <f t="shared" si="25"/>
        <v>1</v>
      </c>
      <c r="N143" s="13" t="s">
        <v>347</v>
      </c>
      <c r="O143" s="13" t="s">
        <v>347</v>
      </c>
      <c r="P143" s="16">
        <v>0</v>
      </c>
      <c r="Q143" s="16">
        <v>0</v>
      </c>
      <c r="R143" s="5" t="str">
        <f t="shared" si="23"/>
        <v>10-2023-04-30</v>
      </c>
    </row>
    <row r="144" spans="1:18" x14ac:dyDescent="0.3">
      <c r="A144" s="37">
        <v>10</v>
      </c>
      <c r="B144" s="13" t="s">
        <v>472</v>
      </c>
      <c r="C144" s="13" t="s">
        <v>209</v>
      </c>
      <c r="D144" s="13" t="s">
        <v>18</v>
      </c>
      <c r="E144" s="13" t="s">
        <v>9</v>
      </c>
      <c r="F144" s="14">
        <v>45077</v>
      </c>
      <c r="G144" s="5">
        <f t="shared" si="20"/>
        <v>2023</v>
      </c>
      <c r="H144" s="5" t="str">
        <f t="shared" si="21"/>
        <v>Mayo</v>
      </c>
      <c r="I144" s="6" t="str">
        <f t="shared" si="22"/>
        <v>2023-1</v>
      </c>
      <c r="J144" s="13">
        <v>22</v>
      </c>
      <c r="K144" s="13">
        <v>24</v>
      </c>
      <c r="L144" s="15">
        <f t="shared" si="24"/>
        <v>1.0909090909090908</v>
      </c>
      <c r="M144" s="15">
        <f t="shared" si="25"/>
        <v>1.0909090909090908</v>
      </c>
      <c r="N144" s="13" t="s">
        <v>347</v>
      </c>
      <c r="O144" s="13" t="s">
        <v>347</v>
      </c>
      <c r="P144" s="16">
        <v>0</v>
      </c>
      <c r="Q144" s="16">
        <v>0</v>
      </c>
      <c r="R144" s="5" t="str">
        <f t="shared" si="23"/>
        <v>10-2023-05-31</v>
      </c>
    </row>
    <row r="145" spans="1:18" x14ac:dyDescent="0.3">
      <c r="A145" s="37">
        <v>10</v>
      </c>
      <c r="B145" s="13" t="s">
        <v>472</v>
      </c>
      <c r="C145" s="13" t="s">
        <v>209</v>
      </c>
      <c r="D145" s="13" t="s">
        <v>18</v>
      </c>
      <c r="E145" s="13" t="s">
        <v>9</v>
      </c>
      <c r="F145" s="14">
        <v>45107</v>
      </c>
      <c r="G145" s="5">
        <f t="shared" si="20"/>
        <v>2023</v>
      </c>
      <c r="H145" s="5" t="str">
        <f t="shared" si="21"/>
        <v>Junio</v>
      </c>
      <c r="I145" s="6" t="str">
        <f t="shared" si="22"/>
        <v>2023-1</v>
      </c>
      <c r="J145" s="13">
        <v>32</v>
      </c>
      <c r="K145" s="13">
        <v>35</v>
      </c>
      <c r="L145" s="15">
        <f t="shared" si="24"/>
        <v>1.09375</v>
      </c>
      <c r="M145" s="15">
        <f t="shared" si="25"/>
        <v>1.09375</v>
      </c>
      <c r="N145" s="13" t="s">
        <v>347</v>
      </c>
      <c r="O145" s="13" t="s">
        <v>347</v>
      </c>
      <c r="P145" s="16">
        <v>0</v>
      </c>
      <c r="Q145" s="16">
        <v>0</v>
      </c>
      <c r="R145" s="5" t="str">
        <f t="shared" si="23"/>
        <v>10-2023-06-30</v>
      </c>
    </row>
    <row r="146" spans="1:18" x14ac:dyDescent="0.3">
      <c r="A146" s="37">
        <v>10</v>
      </c>
      <c r="B146" s="13" t="s">
        <v>472</v>
      </c>
      <c r="C146" s="13" t="s">
        <v>209</v>
      </c>
      <c r="D146" s="13" t="s">
        <v>18</v>
      </c>
      <c r="E146" s="13" t="s">
        <v>9</v>
      </c>
      <c r="F146" s="14">
        <v>45138</v>
      </c>
      <c r="G146" s="5">
        <f t="shared" si="20"/>
        <v>2023</v>
      </c>
      <c r="H146" s="5" t="str">
        <f t="shared" si="21"/>
        <v>Julio</v>
      </c>
      <c r="I146" s="6" t="str">
        <f t="shared" si="22"/>
        <v>2023-2</v>
      </c>
      <c r="J146" s="13">
        <v>35</v>
      </c>
      <c r="K146" s="13">
        <v>40</v>
      </c>
      <c r="L146" s="15">
        <f t="shared" si="24"/>
        <v>1.1428571428571428</v>
      </c>
      <c r="M146" s="15">
        <f t="shared" si="25"/>
        <v>1.1428571428571428</v>
      </c>
      <c r="N146" s="13" t="s">
        <v>347</v>
      </c>
      <c r="O146" s="13" t="s">
        <v>347</v>
      </c>
      <c r="P146" s="16">
        <v>0</v>
      </c>
      <c r="Q146" s="16">
        <v>0</v>
      </c>
      <c r="R146" s="5" t="str">
        <f t="shared" si="23"/>
        <v>10-2023-07-31</v>
      </c>
    </row>
    <row r="147" spans="1:18" x14ac:dyDescent="0.3">
      <c r="A147" s="37">
        <v>10</v>
      </c>
      <c r="B147" s="13" t="s">
        <v>472</v>
      </c>
      <c r="C147" s="13" t="s">
        <v>209</v>
      </c>
      <c r="D147" s="13" t="s">
        <v>18</v>
      </c>
      <c r="E147" s="13" t="s">
        <v>9</v>
      </c>
      <c r="F147" s="14">
        <v>45169</v>
      </c>
      <c r="G147" s="5">
        <f t="shared" si="20"/>
        <v>2023</v>
      </c>
      <c r="H147" s="5" t="str">
        <f t="shared" si="21"/>
        <v>Agosto</v>
      </c>
      <c r="I147" s="6" t="str">
        <f t="shared" si="22"/>
        <v>2023-2</v>
      </c>
      <c r="J147" s="13">
        <v>36</v>
      </c>
      <c r="K147" s="13">
        <v>46</v>
      </c>
      <c r="L147" s="15">
        <f t="shared" si="24"/>
        <v>1.2777777777777777</v>
      </c>
      <c r="M147" s="15">
        <f t="shared" si="25"/>
        <v>1.2777777777777777</v>
      </c>
      <c r="N147" s="13" t="s">
        <v>347</v>
      </c>
      <c r="O147" s="13" t="s">
        <v>347</v>
      </c>
      <c r="P147" s="16">
        <v>0</v>
      </c>
      <c r="Q147" s="16">
        <v>0</v>
      </c>
      <c r="R147" s="5" t="str">
        <f t="shared" si="23"/>
        <v>10-2023-08-31</v>
      </c>
    </row>
    <row r="148" spans="1:18" x14ac:dyDescent="0.3">
      <c r="A148" s="37">
        <v>10</v>
      </c>
      <c r="B148" s="13" t="s">
        <v>472</v>
      </c>
      <c r="C148" s="13" t="s">
        <v>209</v>
      </c>
      <c r="D148" s="13" t="s">
        <v>18</v>
      </c>
      <c r="E148" s="13" t="s">
        <v>9</v>
      </c>
      <c r="F148" s="14">
        <v>45199</v>
      </c>
      <c r="G148" s="5">
        <f t="shared" si="20"/>
        <v>2023</v>
      </c>
      <c r="H148" s="5" t="str">
        <f t="shared" si="21"/>
        <v>Septiembre</v>
      </c>
      <c r="I148" s="6" t="str">
        <f t="shared" si="22"/>
        <v>2023-2</v>
      </c>
      <c r="J148" s="13">
        <v>39</v>
      </c>
      <c r="K148" s="13">
        <v>39</v>
      </c>
      <c r="L148" s="15">
        <f t="shared" si="24"/>
        <v>1</v>
      </c>
      <c r="M148" s="15">
        <f t="shared" si="25"/>
        <v>1</v>
      </c>
      <c r="N148" s="13" t="s">
        <v>347</v>
      </c>
      <c r="O148" s="13" t="s">
        <v>347</v>
      </c>
      <c r="P148" s="16">
        <v>0</v>
      </c>
      <c r="Q148" s="16">
        <v>0</v>
      </c>
      <c r="R148" s="5" t="str">
        <f t="shared" si="23"/>
        <v>10-2023-09-30</v>
      </c>
    </row>
    <row r="149" spans="1:18" x14ac:dyDescent="0.3">
      <c r="A149" s="37">
        <v>10</v>
      </c>
      <c r="B149" s="13" t="s">
        <v>472</v>
      </c>
      <c r="C149" s="13" t="s">
        <v>209</v>
      </c>
      <c r="D149" s="13" t="s">
        <v>18</v>
      </c>
      <c r="E149" s="13" t="s">
        <v>9</v>
      </c>
      <c r="F149" s="14">
        <v>45230</v>
      </c>
      <c r="G149" s="5">
        <f t="shared" si="20"/>
        <v>2023</v>
      </c>
      <c r="H149" s="5" t="str">
        <f t="shared" si="21"/>
        <v>Octubre</v>
      </c>
      <c r="I149" s="6" t="str">
        <f t="shared" si="22"/>
        <v>2023-2</v>
      </c>
      <c r="J149" s="13">
        <v>43</v>
      </c>
      <c r="K149" s="13">
        <v>44</v>
      </c>
      <c r="L149" s="15">
        <f t="shared" si="24"/>
        <v>1.0232558139534884</v>
      </c>
      <c r="M149" s="15">
        <f t="shared" si="25"/>
        <v>1.0232558139534884</v>
      </c>
      <c r="N149" s="13" t="s">
        <v>347</v>
      </c>
      <c r="O149" s="13" t="s">
        <v>347</v>
      </c>
      <c r="P149" s="16">
        <v>0</v>
      </c>
      <c r="Q149" s="16">
        <v>0</v>
      </c>
      <c r="R149" s="5" t="str">
        <f t="shared" si="23"/>
        <v>10-2023-10-31</v>
      </c>
    </row>
    <row r="150" spans="1:18" x14ac:dyDescent="0.3">
      <c r="A150" s="37">
        <v>10</v>
      </c>
      <c r="B150" s="13" t="s">
        <v>472</v>
      </c>
      <c r="C150" s="13" t="s">
        <v>209</v>
      </c>
      <c r="D150" s="13" t="s">
        <v>18</v>
      </c>
      <c r="E150" s="13" t="s">
        <v>9</v>
      </c>
      <c r="F150" s="14">
        <v>45260</v>
      </c>
      <c r="G150" s="5">
        <f t="shared" si="20"/>
        <v>2023</v>
      </c>
      <c r="H150" s="5" t="str">
        <f t="shared" si="21"/>
        <v>Noviembre</v>
      </c>
      <c r="I150" s="6" t="str">
        <f t="shared" si="22"/>
        <v>2023-2</v>
      </c>
      <c r="J150" s="13">
        <v>47</v>
      </c>
      <c r="K150" s="13">
        <v>47</v>
      </c>
      <c r="L150" s="15">
        <f t="shared" si="24"/>
        <v>1</v>
      </c>
      <c r="M150" s="15">
        <f t="shared" si="25"/>
        <v>1</v>
      </c>
      <c r="N150" s="13" t="s">
        <v>347</v>
      </c>
      <c r="O150" s="13" t="s">
        <v>347</v>
      </c>
      <c r="P150" s="16">
        <v>0</v>
      </c>
      <c r="Q150" s="16">
        <v>0</v>
      </c>
      <c r="R150" s="5" t="str">
        <f t="shared" si="23"/>
        <v>10-2023-11-30</v>
      </c>
    </row>
    <row r="151" spans="1:18" x14ac:dyDescent="0.3">
      <c r="A151" s="37">
        <v>10</v>
      </c>
      <c r="B151" s="13" t="s">
        <v>472</v>
      </c>
      <c r="C151" s="13" t="s">
        <v>209</v>
      </c>
      <c r="D151" s="13" t="s">
        <v>18</v>
      </c>
      <c r="E151" s="13" t="s">
        <v>9</v>
      </c>
      <c r="F151" s="14">
        <v>45291</v>
      </c>
      <c r="G151" s="5">
        <f t="shared" si="20"/>
        <v>2023</v>
      </c>
      <c r="H151" s="5" t="str">
        <f t="shared" si="21"/>
        <v>Diciembre</v>
      </c>
      <c r="I151" s="6" t="str">
        <f t="shared" si="22"/>
        <v>2023-2</v>
      </c>
      <c r="J151" s="13">
        <v>47</v>
      </c>
      <c r="K151" s="13">
        <v>47</v>
      </c>
      <c r="L151" s="15">
        <f t="shared" si="24"/>
        <v>1</v>
      </c>
      <c r="M151" s="15">
        <f t="shared" si="25"/>
        <v>1</v>
      </c>
      <c r="N151" s="13" t="s">
        <v>347</v>
      </c>
      <c r="O151" s="13" t="s">
        <v>347</v>
      </c>
      <c r="P151" s="16">
        <v>0</v>
      </c>
      <c r="Q151" s="16">
        <v>0</v>
      </c>
      <c r="R151" s="5" t="str">
        <f t="shared" si="23"/>
        <v>10-2023-12-31</v>
      </c>
    </row>
    <row r="152" spans="1:18" x14ac:dyDescent="0.3">
      <c r="A152" s="37">
        <v>10</v>
      </c>
      <c r="B152" s="13" t="s">
        <v>472</v>
      </c>
      <c r="C152" s="13" t="s">
        <v>209</v>
      </c>
      <c r="D152" s="13" t="s">
        <v>18</v>
      </c>
      <c r="E152" s="13" t="s">
        <v>9</v>
      </c>
      <c r="F152" s="14">
        <v>45322</v>
      </c>
      <c r="G152" s="5">
        <f t="shared" si="20"/>
        <v>2024</v>
      </c>
      <c r="H152" s="5" t="str">
        <f t="shared" si="21"/>
        <v>Enero</v>
      </c>
      <c r="I152" s="6" t="str">
        <f t="shared" si="22"/>
        <v>2024-1</v>
      </c>
      <c r="J152" s="13">
        <v>38</v>
      </c>
      <c r="K152" s="13">
        <v>34</v>
      </c>
      <c r="L152" s="15">
        <f t="shared" si="24"/>
        <v>0.89473684210526316</v>
      </c>
      <c r="M152" s="15">
        <f t="shared" si="25"/>
        <v>0.89473684210526316</v>
      </c>
      <c r="N152" s="13" t="s">
        <v>347</v>
      </c>
      <c r="O152" s="13" t="s">
        <v>347</v>
      </c>
      <c r="P152" s="16">
        <v>0</v>
      </c>
      <c r="Q152" s="16">
        <v>0</v>
      </c>
      <c r="R152" s="5" t="str">
        <f t="shared" si="23"/>
        <v>10-2024-01-31</v>
      </c>
    </row>
    <row r="153" spans="1:18" x14ac:dyDescent="0.3">
      <c r="A153" s="37">
        <v>10</v>
      </c>
      <c r="B153" s="13" t="s">
        <v>472</v>
      </c>
      <c r="C153" s="13" t="s">
        <v>209</v>
      </c>
      <c r="D153" s="13" t="s">
        <v>18</v>
      </c>
      <c r="E153" s="13" t="s">
        <v>9</v>
      </c>
      <c r="F153" s="14">
        <v>45351</v>
      </c>
      <c r="G153" s="5">
        <f t="shared" si="20"/>
        <v>2024</v>
      </c>
      <c r="H153" s="5" t="str">
        <f t="shared" si="21"/>
        <v>Febrero</v>
      </c>
      <c r="I153" s="6" t="str">
        <f t="shared" si="22"/>
        <v>2024-1</v>
      </c>
      <c r="J153" s="13">
        <v>37</v>
      </c>
      <c r="K153" s="13">
        <v>34</v>
      </c>
      <c r="L153" s="15">
        <f t="shared" si="24"/>
        <v>0.91891891891891897</v>
      </c>
      <c r="M153" s="15">
        <f t="shared" si="25"/>
        <v>0.91891891891891897</v>
      </c>
      <c r="N153" s="13" t="s">
        <v>347</v>
      </c>
      <c r="O153" s="13" t="s">
        <v>347</v>
      </c>
      <c r="P153" s="16">
        <v>0</v>
      </c>
      <c r="Q153" s="16">
        <v>0</v>
      </c>
      <c r="R153" s="5" t="str">
        <f t="shared" si="23"/>
        <v>10-2024-02-29</v>
      </c>
    </row>
    <row r="154" spans="1:18" x14ac:dyDescent="0.3">
      <c r="A154" s="37">
        <v>10</v>
      </c>
      <c r="B154" s="13" t="s">
        <v>472</v>
      </c>
      <c r="C154" s="13" t="s">
        <v>209</v>
      </c>
      <c r="D154" s="13" t="s">
        <v>18</v>
      </c>
      <c r="E154" s="13" t="s">
        <v>9</v>
      </c>
      <c r="F154" s="14">
        <v>45382</v>
      </c>
      <c r="G154" s="5">
        <f t="shared" si="20"/>
        <v>2024</v>
      </c>
      <c r="H154" s="5" t="str">
        <f t="shared" si="21"/>
        <v>Marzo</v>
      </c>
      <c r="I154" s="6" t="str">
        <f t="shared" si="22"/>
        <v>2024-1</v>
      </c>
      <c r="J154" s="13">
        <v>52</v>
      </c>
      <c r="K154" s="13">
        <v>48</v>
      </c>
      <c r="L154" s="15">
        <f t="shared" si="24"/>
        <v>0.92307692307692313</v>
      </c>
      <c r="M154" s="15">
        <f t="shared" si="25"/>
        <v>0.92307692307692313</v>
      </c>
      <c r="N154" s="13" t="s">
        <v>347</v>
      </c>
      <c r="O154" s="13" t="s">
        <v>347</v>
      </c>
      <c r="P154" s="16">
        <v>0</v>
      </c>
      <c r="Q154" s="16">
        <v>0</v>
      </c>
      <c r="R154" s="5" t="str">
        <f t="shared" si="23"/>
        <v>10-2024-03-31</v>
      </c>
    </row>
    <row r="155" spans="1:18" x14ac:dyDescent="0.3">
      <c r="A155" s="37">
        <v>10</v>
      </c>
      <c r="B155" s="13" t="s">
        <v>472</v>
      </c>
      <c r="C155" s="13" t="s">
        <v>209</v>
      </c>
      <c r="D155" s="13" t="s">
        <v>18</v>
      </c>
      <c r="E155" s="13" t="s">
        <v>9</v>
      </c>
      <c r="F155" s="14">
        <v>45412</v>
      </c>
      <c r="G155" s="5">
        <f t="shared" si="20"/>
        <v>2024</v>
      </c>
      <c r="H155" s="5" t="str">
        <f t="shared" si="21"/>
        <v>Abril</v>
      </c>
      <c r="I155" s="6" t="str">
        <f t="shared" si="22"/>
        <v>2024-1</v>
      </c>
      <c r="J155" s="13">
        <v>61</v>
      </c>
      <c r="K155" s="13">
        <v>59</v>
      </c>
      <c r="L155" s="15">
        <f t="shared" si="24"/>
        <v>0.96721311475409832</v>
      </c>
      <c r="M155" s="15">
        <f t="shared" si="25"/>
        <v>0.96721311475409832</v>
      </c>
      <c r="N155" s="13" t="s">
        <v>347</v>
      </c>
      <c r="O155" s="13" t="s">
        <v>347</v>
      </c>
      <c r="P155" s="16">
        <v>0</v>
      </c>
      <c r="Q155" s="16">
        <v>0</v>
      </c>
      <c r="R155" s="5" t="str">
        <f t="shared" si="23"/>
        <v>10-2024-04-30</v>
      </c>
    </row>
    <row r="156" spans="1:18" x14ac:dyDescent="0.3">
      <c r="A156" s="37">
        <v>10</v>
      </c>
      <c r="B156" s="13" t="s">
        <v>472</v>
      </c>
      <c r="C156" s="13" t="s">
        <v>209</v>
      </c>
      <c r="D156" s="13" t="s">
        <v>18</v>
      </c>
      <c r="E156" s="13" t="s">
        <v>9</v>
      </c>
      <c r="F156" s="14">
        <v>45443</v>
      </c>
      <c r="G156" s="5">
        <f t="shared" si="20"/>
        <v>2024</v>
      </c>
      <c r="H156" s="5" t="str">
        <f t="shared" si="21"/>
        <v>Mayo</v>
      </c>
      <c r="I156" s="6" t="str">
        <f t="shared" si="22"/>
        <v>2024-1</v>
      </c>
      <c r="J156" s="13">
        <v>65</v>
      </c>
      <c r="K156" s="13">
        <v>64</v>
      </c>
      <c r="L156" s="15">
        <f t="shared" si="24"/>
        <v>0.98461538461538467</v>
      </c>
      <c r="M156" s="15">
        <f t="shared" si="25"/>
        <v>0.98461538461538467</v>
      </c>
      <c r="N156" s="13" t="s">
        <v>347</v>
      </c>
      <c r="O156" s="13" t="s">
        <v>347</v>
      </c>
      <c r="P156" s="16">
        <v>0</v>
      </c>
      <c r="Q156" s="16">
        <v>0</v>
      </c>
      <c r="R156" s="5" t="str">
        <f t="shared" si="23"/>
        <v>10-2024-05-31</v>
      </c>
    </row>
    <row r="157" spans="1:18" x14ac:dyDescent="0.3">
      <c r="A157" s="37">
        <v>10</v>
      </c>
      <c r="B157" s="13" t="s">
        <v>472</v>
      </c>
      <c r="C157" s="13" t="s">
        <v>209</v>
      </c>
      <c r="D157" s="13" t="s">
        <v>18</v>
      </c>
      <c r="E157" s="13" t="s">
        <v>9</v>
      </c>
      <c r="F157" s="14">
        <v>45473</v>
      </c>
      <c r="G157" s="5">
        <f t="shared" si="20"/>
        <v>2024</v>
      </c>
      <c r="H157" s="5" t="str">
        <f t="shared" si="21"/>
        <v>Junio</v>
      </c>
      <c r="I157" s="6" t="str">
        <f t="shared" si="22"/>
        <v>2024-1</v>
      </c>
      <c r="J157" s="13">
        <v>69</v>
      </c>
      <c r="K157" s="13">
        <v>69</v>
      </c>
      <c r="L157" s="15">
        <f t="shared" si="24"/>
        <v>1</v>
      </c>
      <c r="M157" s="15">
        <f t="shared" si="25"/>
        <v>1</v>
      </c>
      <c r="N157" s="13" t="s">
        <v>347</v>
      </c>
      <c r="O157" s="13" t="s">
        <v>347</v>
      </c>
      <c r="P157" s="16">
        <v>0</v>
      </c>
      <c r="Q157" s="16">
        <v>0</v>
      </c>
      <c r="R157" s="5" t="str">
        <f t="shared" si="23"/>
        <v>10-2024-06-30</v>
      </c>
    </row>
    <row r="158" spans="1:18" x14ac:dyDescent="0.3">
      <c r="A158" s="37">
        <v>10</v>
      </c>
      <c r="B158" s="13" t="s">
        <v>472</v>
      </c>
      <c r="C158" s="13" t="s">
        <v>209</v>
      </c>
      <c r="D158" s="13" t="s">
        <v>18</v>
      </c>
      <c r="E158" s="13" t="s">
        <v>9</v>
      </c>
      <c r="F158" s="14">
        <v>45504</v>
      </c>
      <c r="G158" s="5">
        <f t="shared" si="20"/>
        <v>2024</v>
      </c>
      <c r="H158" s="5" t="str">
        <f t="shared" si="21"/>
        <v>Julio</v>
      </c>
      <c r="I158" s="6" t="str">
        <f t="shared" si="22"/>
        <v>2024-2</v>
      </c>
      <c r="J158" s="13">
        <v>74</v>
      </c>
      <c r="K158" s="13">
        <v>69</v>
      </c>
      <c r="L158" s="15">
        <f t="shared" si="24"/>
        <v>0.93243243243243246</v>
      </c>
      <c r="M158" s="15">
        <f t="shared" si="25"/>
        <v>0.93243243243243246</v>
      </c>
      <c r="N158" s="13" t="s">
        <v>347</v>
      </c>
      <c r="O158" s="13" t="s">
        <v>347</v>
      </c>
      <c r="P158" s="16">
        <v>0</v>
      </c>
      <c r="Q158" s="16">
        <v>0</v>
      </c>
      <c r="R158" s="5" t="str">
        <f t="shared" si="23"/>
        <v>10-2024-07-31</v>
      </c>
    </row>
    <row r="159" spans="1:18" x14ac:dyDescent="0.3">
      <c r="A159" s="37">
        <v>10</v>
      </c>
      <c r="B159" s="13" t="s">
        <v>472</v>
      </c>
      <c r="C159" s="13" t="s">
        <v>209</v>
      </c>
      <c r="D159" s="13" t="s">
        <v>18</v>
      </c>
      <c r="E159" s="13" t="s">
        <v>9</v>
      </c>
      <c r="F159" s="14">
        <v>45535</v>
      </c>
      <c r="G159" s="5">
        <f t="shared" si="20"/>
        <v>2024</v>
      </c>
      <c r="H159" s="5" t="str">
        <f t="shared" si="21"/>
        <v>Agosto</v>
      </c>
      <c r="I159" s="6" t="str">
        <f t="shared" si="22"/>
        <v>2024-2</v>
      </c>
      <c r="J159" s="13">
        <v>78</v>
      </c>
      <c r="K159" s="13">
        <v>77</v>
      </c>
      <c r="L159" s="15">
        <f t="shared" si="24"/>
        <v>0.98717948717948723</v>
      </c>
      <c r="M159" s="15">
        <f t="shared" si="25"/>
        <v>0.98717948717948723</v>
      </c>
      <c r="N159" s="13" t="s">
        <v>347</v>
      </c>
      <c r="O159" s="13" t="s">
        <v>347</v>
      </c>
      <c r="P159" s="16">
        <v>0</v>
      </c>
      <c r="Q159" s="16">
        <v>0</v>
      </c>
      <c r="R159" s="5" t="str">
        <f t="shared" si="23"/>
        <v>10-2024-08-31</v>
      </c>
    </row>
    <row r="160" spans="1:18" x14ac:dyDescent="0.3">
      <c r="A160" s="37">
        <v>10</v>
      </c>
      <c r="B160" s="13" t="s">
        <v>472</v>
      </c>
      <c r="C160" s="13" t="s">
        <v>209</v>
      </c>
      <c r="D160" s="13" t="s">
        <v>18</v>
      </c>
      <c r="E160" s="13" t="s">
        <v>9</v>
      </c>
      <c r="F160" s="14">
        <v>45565</v>
      </c>
      <c r="G160" s="5">
        <f t="shared" si="20"/>
        <v>2024</v>
      </c>
      <c r="H160" s="5" t="str">
        <f t="shared" si="21"/>
        <v>Septiembre</v>
      </c>
      <c r="I160" s="6" t="str">
        <f t="shared" si="22"/>
        <v>2024-2</v>
      </c>
      <c r="J160" s="13">
        <v>83</v>
      </c>
      <c r="K160" s="13">
        <v>83</v>
      </c>
      <c r="L160" s="15">
        <f t="shared" si="24"/>
        <v>1</v>
      </c>
      <c r="M160" s="15">
        <f t="shared" si="25"/>
        <v>1</v>
      </c>
      <c r="N160" s="13" t="s">
        <v>347</v>
      </c>
      <c r="O160" s="13" t="s">
        <v>347</v>
      </c>
      <c r="P160" s="16">
        <v>0</v>
      </c>
      <c r="Q160" s="16">
        <v>0</v>
      </c>
      <c r="R160" s="5" t="str">
        <f t="shared" si="23"/>
        <v>10-2024-09-30</v>
      </c>
    </row>
    <row r="161" spans="1:18" x14ac:dyDescent="0.3">
      <c r="A161" s="37">
        <v>10</v>
      </c>
      <c r="B161" s="13" t="s">
        <v>472</v>
      </c>
      <c r="C161" s="13" t="s">
        <v>209</v>
      </c>
      <c r="D161" s="13" t="s">
        <v>18</v>
      </c>
      <c r="E161" s="13" t="s">
        <v>9</v>
      </c>
      <c r="F161" s="14">
        <v>45596</v>
      </c>
      <c r="G161" s="5">
        <f t="shared" si="20"/>
        <v>2024</v>
      </c>
      <c r="H161" s="5" t="str">
        <f t="shared" si="21"/>
        <v>Octubre</v>
      </c>
      <c r="I161" s="6" t="str">
        <f t="shared" si="22"/>
        <v>2024-2</v>
      </c>
      <c r="J161" s="13">
        <v>92</v>
      </c>
      <c r="K161" s="13">
        <v>92</v>
      </c>
      <c r="L161" s="15">
        <f t="shared" si="24"/>
        <v>1</v>
      </c>
      <c r="M161" s="15">
        <f t="shared" si="25"/>
        <v>1</v>
      </c>
      <c r="N161" s="13" t="s">
        <v>347</v>
      </c>
      <c r="O161" s="13" t="s">
        <v>347</v>
      </c>
      <c r="P161" s="16">
        <v>0</v>
      </c>
      <c r="Q161" s="16">
        <v>0</v>
      </c>
      <c r="R161" s="5" t="str">
        <f t="shared" si="23"/>
        <v>10-2024-10-31</v>
      </c>
    </row>
    <row r="162" spans="1:18" x14ac:dyDescent="0.3">
      <c r="A162" s="37">
        <v>10</v>
      </c>
      <c r="B162" s="13" t="s">
        <v>472</v>
      </c>
      <c r="C162" s="13" t="s">
        <v>209</v>
      </c>
      <c r="D162" s="13" t="s">
        <v>18</v>
      </c>
      <c r="E162" s="13" t="s">
        <v>9</v>
      </c>
      <c r="F162" s="14">
        <v>45626</v>
      </c>
      <c r="G162" s="5">
        <f t="shared" si="20"/>
        <v>2024</v>
      </c>
      <c r="H162" s="5" t="str">
        <f t="shared" si="21"/>
        <v>Noviembre</v>
      </c>
      <c r="I162" s="6" t="str">
        <f t="shared" si="22"/>
        <v>2024-2</v>
      </c>
      <c r="J162" s="13">
        <v>100</v>
      </c>
      <c r="K162" s="13">
        <v>100</v>
      </c>
      <c r="L162" s="15">
        <f t="shared" si="24"/>
        <v>1</v>
      </c>
      <c r="M162" s="15">
        <f t="shared" si="25"/>
        <v>1</v>
      </c>
      <c r="N162" s="13" t="s">
        <v>347</v>
      </c>
      <c r="O162" s="13" t="s">
        <v>347</v>
      </c>
      <c r="P162" s="16">
        <v>0</v>
      </c>
      <c r="Q162" s="16">
        <v>0</v>
      </c>
      <c r="R162" s="5" t="str">
        <f t="shared" si="23"/>
        <v>10-2024-11-30</v>
      </c>
    </row>
    <row r="163" spans="1:18" x14ac:dyDescent="0.3">
      <c r="A163" s="37">
        <v>10</v>
      </c>
      <c r="B163" s="13" t="s">
        <v>472</v>
      </c>
      <c r="C163" s="13" t="s">
        <v>209</v>
      </c>
      <c r="D163" s="13" t="s">
        <v>18</v>
      </c>
      <c r="E163" s="13" t="s">
        <v>9</v>
      </c>
      <c r="F163" s="14">
        <v>45657</v>
      </c>
      <c r="G163" s="5">
        <f t="shared" si="20"/>
        <v>2024</v>
      </c>
      <c r="H163" s="5" t="str">
        <f t="shared" si="21"/>
        <v>Diciembre</v>
      </c>
      <c r="I163" s="6" t="str">
        <f t="shared" si="22"/>
        <v>2024-2</v>
      </c>
      <c r="J163" s="13">
        <v>100</v>
      </c>
      <c r="K163" s="13">
        <v>100</v>
      </c>
      <c r="L163" s="15">
        <f t="shared" si="24"/>
        <v>1</v>
      </c>
      <c r="M163" s="15">
        <f t="shared" si="25"/>
        <v>1</v>
      </c>
      <c r="N163" s="13" t="s">
        <v>347</v>
      </c>
      <c r="O163" s="13" t="s">
        <v>347</v>
      </c>
      <c r="P163" s="16">
        <v>0</v>
      </c>
      <c r="Q163" s="16">
        <v>0</v>
      </c>
      <c r="R163" s="5" t="str">
        <f t="shared" si="23"/>
        <v>10-2024-12-31</v>
      </c>
    </row>
    <row r="164" spans="1:18" x14ac:dyDescent="0.3">
      <c r="A164" s="37">
        <v>11</v>
      </c>
      <c r="B164" s="13" t="s">
        <v>541</v>
      </c>
      <c r="C164" s="13" t="s">
        <v>145</v>
      </c>
      <c r="D164" s="13" t="s">
        <v>18</v>
      </c>
      <c r="E164" s="13" t="s">
        <v>9</v>
      </c>
      <c r="F164" s="14">
        <v>45077</v>
      </c>
      <c r="G164" s="5">
        <f t="shared" si="20"/>
        <v>2023</v>
      </c>
      <c r="H164" s="5" t="str">
        <f t="shared" si="21"/>
        <v>Mayo</v>
      </c>
      <c r="I164" s="6" t="str">
        <f t="shared" si="22"/>
        <v>2023-1</v>
      </c>
      <c r="J164" s="13">
        <v>47</v>
      </c>
      <c r="K164" s="13">
        <v>36</v>
      </c>
      <c r="L164" s="15">
        <f t="shared" si="24"/>
        <v>0.76595744680851063</v>
      </c>
      <c r="M164" s="15">
        <f t="shared" si="25"/>
        <v>0.76595744680851063</v>
      </c>
      <c r="N164" s="13" t="s">
        <v>347</v>
      </c>
      <c r="O164" s="13" t="s">
        <v>347</v>
      </c>
      <c r="P164" s="16">
        <v>0</v>
      </c>
      <c r="Q164" s="16">
        <v>0</v>
      </c>
      <c r="R164" s="5" t="str">
        <f t="shared" si="23"/>
        <v>11-2023-05-31</v>
      </c>
    </row>
    <row r="165" spans="1:18" x14ac:dyDescent="0.3">
      <c r="A165" s="37">
        <v>11</v>
      </c>
      <c r="B165" s="13" t="s">
        <v>541</v>
      </c>
      <c r="C165" s="13" t="s">
        <v>145</v>
      </c>
      <c r="D165" s="13" t="s">
        <v>18</v>
      </c>
      <c r="E165" s="13" t="s">
        <v>9</v>
      </c>
      <c r="F165" s="14">
        <v>45107</v>
      </c>
      <c r="G165" s="5">
        <f t="shared" si="20"/>
        <v>2023</v>
      </c>
      <c r="H165" s="5" t="str">
        <f t="shared" si="21"/>
        <v>Junio</v>
      </c>
      <c r="I165" s="6" t="str">
        <f t="shared" si="22"/>
        <v>2023-1</v>
      </c>
      <c r="J165" s="13">
        <v>67</v>
      </c>
      <c r="K165" s="13">
        <v>58</v>
      </c>
      <c r="L165" s="15">
        <f t="shared" si="24"/>
        <v>0.86567164179104472</v>
      </c>
      <c r="M165" s="15">
        <f t="shared" si="25"/>
        <v>0.86567164179104472</v>
      </c>
      <c r="N165" s="13" t="s">
        <v>347</v>
      </c>
      <c r="O165" s="13" t="s">
        <v>347</v>
      </c>
      <c r="P165" s="16">
        <v>0</v>
      </c>
      <c r="Q165" s="16">
        <v>0</v>
      </c>
      <c r="R165" s="5" t="str">
        <f t="shared" si="23"/>
        <v>11-2023-06-30</v>
      </c>
    </row>
    <row r="166" spans="1:18" x14ac:dyDescent="0.3">
      <c r="A166" s="37">
        <v>11</v>
      </c>
      <c r="B166" s="13" t="s">
        <v>541</v>
      </c>
      <c r="C166" s="13" t="s">
        <v>145</v>
      </c>
      <c r="D166" s="13" t="s">
        <v>18</v>
      </c>
      <c r="E166" s="13" t="s">
        <v>9</v>
      </c>
      <c r="F166" s="14">
        <v>45138</v>
      </c>
      <c r="G166" s="5">
        <f t="shared" si="20"/>
        <v>2023</v>
      </c>
      <c r="H166" s="5" t="str">
        <f t="shared" si="21"/>
        <v>Julio</v>
      </c>
      <c r="I166" s="6" t="str">
        <f t="shared" si="22"/>
        <v>2023-2</v>
      </c>
      <c r="J166" s="13">
        <v>72</v>
      </c>
      <c r="K166" s="13">
        <v>64</v>
      </c>
      <c r="L166" s="15">
        <f t="shared" si="24"/>
        <v>0.88888888888888884</v>
      </c>
      <c r="M166" s="15">
        <f t="shared" si="25"/>
        <v>0.88888888888888884</v>
      </c>
      <c r="N166" s="13" t="s">
        <v>347</v>
      </c>
      <c r="O166" s="13" t="s">
        <v>347</v>
      </c>
      <c r="P166" s="16">
        <v>0</v>
      </c>
      <c r="Q166" s="16">
        <v>0</v>
      </c>
      <c r="R166" s="5" t="str">
        <f t="shared" si="23"/>
        <v>11-2023-07-31</v>
      </c>
    </row>
    <row r="167" spans="1:18" x14ac:dyDescent="0.3">
      <c r="A167" s="37">
        <v>11</v>
      </c>
      <c r="B167" s="13" t="s">
        <v>541</v>
      </c>
      <c r="C167" s="13" t="s">
        <v>145</v>
      </c>
      <c r="D167" s="13" t="s">
        <v>18</v>
      </c>
      <c r="E167" s="13" t="s">
        <v>9</v>
      </c>
      <c r="F167" s="14">
        <v>45169</v>
      </c>
      <c r="G167" s="5">
        <f t="shared" si="20"/>
        <v>2023</v>
      </c>
      <c r="H167" s="5" t="str">
        <f t="shared" si="21"/>
        <v>Agosto</v>
      </c>
      <c r="I167" s="6" t="str">
        <f t="shared" si="22"/>
        <v>2023-2</v>
      </c>
      <c r="J167" s="13">
        <v>78</v>
      </c>
      <c r="K167" s="13">
        <v>68</v>
      </c>
      <c r="L167" s="15">
        <f t="shared" si="24"/>
        <v>0.87179487179487181</v>
      </c>
      <c r="M167" s="15">
        <f t="shared" si="25"/>
        <v>0.87179487179487181</v>
      </c>
      <c r="N167" s="13" t="s">
        <v>347</v>
      </c>
      <c r="O167" s="13" t="s">
        <v>347</v>
      </c>
      <c r="P167" s="16">
        <v>0</v>
      </c>
      <c r="Q167" s="16">
        <v>0</v>
      </c>
      <c r="R167" s="5" t="str">
        <f t="shared" si="23"/>
        <v>11-2023-08-31</v>
      </c>
    </row>
    <row r="168" spans="1:18" x14ac:dyDescent="0.3">
      <c r="A168" s="37">
        <v>11</v>
      </c>
      <c r="B168" s="13" t="s">
        <v>541</v>
      </c>
      <c r="C168" s="13" t="s">
        <v>145</v>
      </c>
      <c r="D168" s="13" t="s">
        <v>18</v>
      </c>
      <c r="E168" s="13" t="s">
        <v>9</v>
      </c>
      <c r="F168" s="14">
        <v>45199</v>
      </c>
      <c r="G168" s="5">
        <f t="shared" si="20"/>
        <v>2023</v>
      </c>
      <c r="H168" s="5" t="str">
        <f t="shared" si="21"/>
        <v>Septiembre</v>
      </c>
      <c r="I168" s="6" t="str">
        <f t="shared" si="22"/>
        <v>2023-2</v>
      </c>
      <c r="J168" s="13">
        <v>81</v>
      </c>
      <c r="K168" s="13">
        <v>67</v>
      </c>
      <c r="L168" s="15">
        <f t="shared" si="24"/>
        <v>0.8271604938271605</v>
      </c>
      <c r="M168" s="15">
        <f t="shared" si="25"/>
        <v>0.8271604938271605</v>
      </c>
      <c r="N168" s="13" t="s">
        <v>347</v>
      </c>
      <c r="O168" s="13" t="s">
        <v>347</v>
      </c>
      <c r="P168" s="16">
        <v>0</v>
      </c>
      <c r="Q168" s="16">
        <v>0</v>
      </c>
      <c r="R168" s="5" t="str">
        <f t="shared" si="23"/>
        <v>11-2023-09-30</v>
      </c>
    </row>
    <row r="169" spans="1:18" x14ac:dyDescent="0.3">
      <c r="A169" s="37">
        <v>11</v>
      </c>
      <c r="B169" s="13" t="s">
        <v>541</v>
      </c>
      <c r="C169" s="13" t="s">
        <v>145</v>
      </c>
      <c r="D169" s="13" t="s">
        <v>18</v>
      </c>
      <c r="E169" s="13" t="s">
        <v>9</v>
      </c>
      <c r="F169" s="14">
        <v>45230</v>
      </c>
      <c r="G169" s="5">
        <f t="shared" si="20"/>
        <v>2023</v>
      </c>
      <c r="H169" s="5" t="str">
        <f t="shared" si="21"/>
        <v>Octubre</v>
      </c>
      <c r="I169" s="6" t="str">
        <f t="shared" si="22"/>
        <v>2023-2</v>
      </c>
      <c r="J169" s="13">
        <v>81</v>
      </c>
      <c r="K169" s="13">
        <v>67</v>
      </c>
      <c r="L169" s="15">
        <f t="shared" si="24"/>
        <v>0.8271604938271605</v>
      </c>
      <c r="M169" s="15">
        <f t="shared" si="25"/>
        <v>0.8271604938271605</v>
      </c>
      <c r="N169" s="13" t="s">
        <v>347</v>
      </c>
      <c r="O169" s="13" t="s">
        <v>347</v>
      </c>
      <c r="P169" s="16">
        <v>0</v>
      </c>
      <c r="Q169" s="16">
        <v>0</v>
      </c>
      <c r="R169" s="5" t="str">
        <f t="shared" si="23"/>
        <v>11-2023-10-31</v>
      </c>
    </row>
    <row r="170" spans="1:18" x14ac:dyDescent="0.3">
      <c r="A170" s="37">
        <v>11</v>
      </c>
      <c r="B170" s="13" t="s">
        <v>541</v>
      </c>
      <c r="C170" s="13" t="s">
        <v>145</v>
      </c>
      <c r="D170" s="13" t="s">
        <v>18</v>
      </c>
      <c r="E170" s="13" t="s">
        <v>9</v>
      </c>
      <c r="F170" s="14">
        <v>45260</v>
      </c>
      <c r="G170" s="5">
        <f t="shared" si="20"/>
        <v>2023</v>
      </c>
      <c r="H170" s="5" t="str">
        <f t="shared" si="21"/>
        <v>Noviembre</v>
      </c>
      <c r="I170" s="6" t="str">
        <f t="shared" si="22"/>
        <v>2023-2</v>
      </c>
      <c r="J170" s="13">
        <v>81</v>
      </c>
      <c r="K170" s="13">
        <v>67</v>
      </c>
      <c r="L170" s="15">
        <f t="shared" si="24"/>
        <v>0.8271604938271605</v>
      </c>
      <c r="M170" s="15">
        <f t="shared" si="25"/>
        <v>0.8271604938271605</v>
      </c>
      <c r="N170" s="13" t="s">
        <v>347</v>
      </c>
      <c r="O170" s="13" t="s">
        <v>347</v>
      </c>
      <c r="P170" s="16">
        <v>0</v>
      </c>
      <c r="Q170" s="16">
        <v>0</v>
      </c>
      <c r="R170" s="5" t="str">
        <f t="shared" si="23"/>
        <v>11-2023-11-30</v>
      </c>
    </row>
    <row r="171" spans="1:18" x14ac:dyDescent="0.3">
      <c r="A171" s="37">
        <v>11</v>
      </c>
      <c r="B171" s="13" t="s">
        <v>541</v>
      </c>
      <c r="C171" s="13" t="s">
        <v>145</v>
      </c>
      <c r="D171" s="13" t="s">
        <v>18</v>
      </c>
      <c r="E171" s="13" t="s">
        <v>9</v>
      </c>
      <c r="F171" s="14">
        <v>45291</v>
      </c>
      <c r="G171" s="5">
        <f t="shared" si="20"/>
        <v>2023</v>
      </c>
      <c r="H171" s="5" t="str">
        <f t="shared" si="21"/>
        <v>Diciembre</v>
      </c>
      <c r="I171" s="6" t="str">
        <f t="shared" si="22"/>
        <v>2023-2</v>
      </c>
      <c r="J171" s="13">
        <v>81</v>
      </c>
      <c r="K171" s="13">
        <v>67</v>
      </c>
      <c r="L171" s="15">
        <f t="shared" ref="L171:L198" si="26">IFERROR(IF((K171/J171)&gt;1.3,1.3,K171/J171),"")</f>
        <v>0.8271604938271605</v>
      </c>
      <c r="M171" s="15">
        <f t="shared" ref="M171:M198" si="27">IFERROR(IF((K171/J171)&gt;K171/J171,1.3,K171/J171),"")</f>
        <v>0.8271604938271605</v>
      </c>
      <c r="N171" s="13" t="s">
        <v>347</v>
      </c>
      <c r="O171" s="13" t="s">
        <v>347</v>
      </c>
      <c r="P171" s="16">
        <v>0</v>
      </c>
      <c r="Q171" s="16">
        <v>0</v>
      </c>
      <c r="R171" s="5" t="str">
        <f t="shared" si="23"/>
        <v>11-2023-12-31</v>
      </c>
    </row>
    <row r="172" spans="1:18" x14ac:dyDescent="0.3">
      <c r="A172" s="37">
        <v>11</v>
      </c>
      <c r="B172" s="13" t="s">
        <v>541</v>
      </c>
      <c r="C172" s="13" t="s">
        <v>145</v>
      </c>
      <c r="D172" s="13" t="s">
        <v>18</v>
      </c>
      <c r="E172" s="13" t="s">
        <v>9</v>
      </c>
      <c r="F172" s="14">
        <v>45322</v>
      </c>
      <c r="G172" s="5">
        <f t="shared" si="20"/>
        <v>2024</v>
      </c>
      <c r="H172" s="5" t="str">
        <f t="shared" si="21"/>
        <v>Enero</v>
      </c>
      <c r="I172" s="6" t="str">
        <f t="shared" si="22"/>
        <v>2024-1</v>
      </c>
      <c r="J172" s="13">
        <v>85</v>
      </c>
      <c r="K172" s="13">
        <v>67</v>
      </c>
      <c r="L172" s="15">
        <f t="shared" si="26"/>
        <v>0.78823529411764703</v>
      </c>
      <c r="M172" s="15">
        <f t="shared" si="27"/>
        <v>0.78823529411764703</v>
      </c>
      <c r="N172" s="13" t="s">
        <v>347</v>
      </c>
      <c r="O172" s="13" t="s">
        <v>347</v>
      </c>
      <c r="P172" s="16">
        <v>0</v>
      </c>
      <c r="Q172" s="16">
        <v>0</v>
      </c>
      <c r="R172" s="5" t="str">
        <f t="shared" si="23"/>
        <v>11-2024-01-31</v>
      </c>
    </row>
    <row r="173" spans="1:18" x14ac:dyDescent="0.3">
      <c r="A173" s="37">
        <v>11</v>
      </c>
      <c r="B173" s="13" t="s">
        <v>541</v>
      </c>
      <c r="C173" s="13" t="s">
        <v>145</v>
      </c>
      <c r="D173" s="13" t="s">
        <v>18</v>
      </c>
      <c r="E173" s="13" t="s">
        <v>9</v>
      </c>
      <c r="F173" s="14">
        <v>45351</v>
      </c>
      <c r="G173" s="5">
        <f t="shared" si="20"/>
        <v>2024</v>
      </c>
      <c r="H173" s="5" t="str">
        <f t="shared" si="21"/>
        <v>Febrero</v>
      </c>
      <c r="I173" s="6" t="str">
        <f t="shared" si="22"/>
        <v>2024-1</v>
      </c>
      <c r="J173" s="13">
        <v>85</v>
      </c>
      <c r="K173" s="13">
        <v>67</v>
      </c>
      <c r="L173" s="15">
        <f t="shared" si="26"/>
        <v>0.78823529411764703</v>
      </c>
      <c r="M173" s="15">
        <f t="shared" si="27"/>
        <v>0.78823529411764703</v>
      </c>
      <c r="N173" s="13" t="s">
        <v>347</v>
      </c>
      <c r="O173" s="13" t="s">
        <v>347</v>
      </c>
      <c r="P173" s="16">
        <v>0</v>
      </c>
      <c r="Q173" s="16">
        <v>0</v>
      </c>
      <c r="R173" s="5" t="str">
        <f t="shared" si="23"/>
        <v>11-2024-02-29</v>
      </c>
    </row>
    <row r="174" spans="1:18" x14ac:dyDescent="0.3">
      <c r="A174" s="37">
        <v>11</v>
      </c>
      <c r="B174" s="13" t="s">
        <v>541</v>
      </c>
      <c r="C174" s="13" t="s">
        <v>145</v>
      </c>
      <c r="D174" s="13" t="s">
        <v>18</v>
      </c>
      <c r="E174" s="13" t="s">
        <v>9</v>
      </c>
      <c r="F174" s="14">
        <v>45382</v>
      </c>
      <c r="G174" s="5">
        <f t="shared" si="20"/>
        <v>2024</v>
      </c>
      <c r="H174" s="5" t="str">
        <f t="shared" si="21"/>
        <v>Marzo</v>
      </c>
      <c r="I174" s="6" t="str">
        <f t="shared" si="22"/>
        <v>2024-1</v>
      </c>
      <c r="J174" s="13">
        <v>85</v>
      </c>
      <c r="K174" s="13">
        <v>67</v>
      </c>
      <c r="L174" s="15">
        <f t="shared" si="26"/>
        <v>0.78823529411764703</v>
      </c>
      <c r="M174" s="15">
        <f t="shared" si="27"/>
        <v>0.78823529411764703</v>
      </c>
      <c r="N174" s="13" t="s">
        <v>347</v>
      </c>
      <c r="O174" s="13" t="s">
        <v>347</v>
      </c>
      <c r="P174" s="16">
        <v>0</v>
      </c>
      <c r="Q174" s="16">
        <v>0</v>
      </c>
      <c r="R174" s="5" t="str">
        <f t="shared" si="23"/>
        <v>11-2024-03-31</v>
      </c>
    </row>
    <row r="175" spans="1:18" x14ac:dyDescent="0.3">
      <c r="A175" s="37">
        <v>11</v>
      </c>
      <c r="B175" s="13" t="s">
        <v>541</v>
      </c>
      <c r="C175" s="13" t="s">
        <v>145</v>
      </c>
      <c r="D175" s="13" t="s">
        <v>18</v>
      </c>
      <c r="E175" s="13" t="s">
        <v>9</v>
      </c>
      <c r="F175" s="14">
        <v>45412</v>
      </c>
      <c r="G175" s="5">
        <f t="shared" si="20"/>
        <v>2024</v>
      </c>
      <c r="H175" s="5" t="str">
        <f t="shared" si="21"/>
        <v>Abril</v>
      </c>
      <c r="I175" s="6" t="str">
        <f t="shared" si="22"/>
        <v>2024-1</v>
      </c>
      <c r="J175" s="13">
        <v>60</v>
      </c>
      <c r="K175" s="13">
        <v>59</v>
      </c>
      <c r="L175" s="15">
        <f t="shared" si="26"/>
        <v>0.98333333333333328</v>
      </c>
      <c r="M175" s="15">
        <f t="shared" si="27"/>
        <v>0.98333333333333328</v>
      </c>
      <c r="N175" s="13" t="s">
        <v>347</v>
      </c>
      <c r="O175" s="13" t="s">
        <v>347</v>
      </c>
      <c r="P175" s="16">
        <v>0</v>
      </c>
      <c r="Q175" s="16">
        <v>0</v>
      </c>
      <c r="R175" s="5" t="str">
        <f t="shared" si="23"/>
        <v>11-2024-04-30</v>
      </c>
    </row>
    <row r="176" spans="1:18" x14ac:dyDescent="0.3">
      <c r="A176" s="37">
        <v>11</v>
      </c>
      <c r="B176" s="13" t="s">
        <v>541</v>
      </c>
      <c r="C176" s="13" t="s">
        <v>145</v>
      </c>
      <c r="D176" s="13" t="s">
        <v>18</v>
      </c>
      <c r="E176" s="13" t="s">
        <v>9</v>
      </c>
      <c r="F176" s="14">
        <v>45443</v>
      </c>
      <c r="G176" s="5">
        <f t="shared" si="20"/>
        <v>2024</v>
      </c>
      <c r="H176" s="5" t="str">
        <f t="shared" si="21"/>
        <v>Mayo</v>
      </c>
      <c r="I176" s="6" t="str">
        <f t="shared" si="22"/>
        <v>2024-1</v>
      </c>
      <c r="J176" s="13">
        <v>60</v>
      </c>
      <c r="K176" s="13">
        <v>59</v>
      </c>
      <c r="L176" s="15">
        <f t="shared" si="26"/>
        <v>0.98333333333333328</v>
      </c>
      <c r="M176" s="15">
        <f t="shared" si="27"/>
        <v>0.98333333333333328</v>
      </c>
      <c r="N176" s="13" t="s">
        <v>347</v>
      </c>
      <c r="O176" s="13" t="s">
        <v>347</v>
      </c>
      <c r="P176" s="16">
        <v>0</v>
      </c>
      <c r="Q176" s="16">
        <v>0</v>
      </c>
      <c r="R176" s="5" t="str">
        <f t="shared" si="23"/>
        <v>11-2024-05-31</v>
      </c>
    </row>
    <row r="177" spans="1:18" x14ac:dyDescent="0.3">
      <c r="A177" s="37">
        <v>11</v>
      </c>
      <c r="B177" s="13" t="s">
        <v>541</v>
      </c>
      <c r="C177" s="13" t="s">
        <v>145</v>
      </c>
      <c r="D177" s="13" t="s">
        <v>18</v>
      </c>
      <c r="E177" s="13" t="s">
        <v>9</v>
      </c>
      <c r="F177" s="14">
        <v>45473</v>
      </c>
      <c r="G177" s="5">
        <f t="shared" si="20"/>
        <v>2024</v>
      </c>
      <c r="H177" s="5" t="str">
        <f t="shared" si="21"/>
        <v>Junio</v>
      </c>
      <c r="I177" s="6" t="str">
        <f t="shared" si="22"/>
        <v>2024-1</v>
      </c>
      <c r="J177" s="13">
        <v>97</v>
      </c>
      <c r="K177" s="13">
        <v>93</v>
      </c>
      <c r="L177" s="15">
        <f t="shared" si="26"/>
        <v>0.95876288659793818</v>
      </c>
      <c r="M177" s="15">
        <f t="shared" si="27"/>
        <v>0.95876288659793818</v>
      </c>
      <c r="N177" s="13" t="s">
        <v>347</v>
      </c>
      <c r="O177" s="13" t="s">
        <v>347</v>
      </c>
      <c r="P177" s="16">
        <v>0</v>
      </c>
      <c r="Q177" s="16">
        <v>0</v>
      </c>
      <c r="R177" s="5" t="str">
        <f t="shared" si="23"/>
        <v>11-2024-06-30</v>
      </c>
    </row>
    <row r="178" spans="1:18" x14ac:dyDescent="0.3">
      <c r="A178" s="37">
        <v>11</v>
      </c>
      <c r="B178" s="13" t="s">
        <v>541</v>
      </c>
      <c r="C178" s="13" t="s">
        <v>145</v>
      </c>
      <c r="D178" s="13" t="s">
        <v>18</v>
      </c>
      <c r="E178" s="13" t="s">
        <v>9</v>
      </c>
      <c r="F178" s="14">
        <v>45504</v>
      </c>
      <c r="G178" s="5">
        <f t="shared" si="20"/>
        <v>2024</v>
      </c>
      <c r="H178" s="5" t="str">
        <f t="shared" si="21"/>
        <v>Julio</v>
      </c>
      <c r="I178" s="6" t="str">
        <f t="shared" si="22"/>
        <v>2024-2</v>
      </c>
      <c r="J178" s="13">
        <v>60</v>
      </c>
      <c r="K178" s="13">
        <v>59</v>
      </c>
      <c r="L178" s="15">
        <f t="shared" si="26"/>
        <v>0.98333333333333328</v>
      </c>
      <c r="M178" s="15">
        <f t="shared" si="27"/>
        <v>0.98333333333333328</v>
      </c>
      <c r="N178" s="13" t="s">
        <v>347</v>
      </c>
      <c r="O178" s="13" t="s">
        <v>347</v>
      </c>
      <c r="P178" s="16">
        <v>0</v>
      </c>
      <c r="Q178" s="16">
        <v>0</v>
      </c>
      <c r="R178" s="5" t="str">
        <f t="shared" si="23"/>
        <v>11-2024-07-31</v>
      </c>
    </row>
    <row r="179" spans="1:18" x14ac:dyDescent="0.3">
      <c r="A179" s="37">
        <v>11</v>
      </c>
      <c r="B179" s="13" t="s">
        <v>541</v>
      </c>
      <c r="C179" s="13" t="s">
        <v>145</v>
      </c>
      <c r="D179" s="13" t="s">
        <v>18</v>
      </c>
      <c r="E179" s="13" t="s">
        <v>9</v>
      </c>
      <c r="F179" s="14">
        <v>45535</v>
      </c>
      <c r="G179" s="5">
        <f t="shared" si="20"/>
        <v>2024</v>
      </c>
      <c r="H179" s="5" t="str">
        <f t="shared" si="21"/>
        <v>Agosto</v>
      </c>
      <c r="I179" s="6" t="str">
        <f t="shared" si="22"/>
        <v>2024-2</v>
      </c>
      <c r="J179" s="13">
        <v>60</v>
      </c>
      <c r="K179" s="13">
        <v>59</v>
      </c>
      <c r="L179" s="15">
        <f t="shared" si="26"/>
        <v>0.98333333333333328</v>
      </c>
      <c r="M179" s="15">
        <f t="shared" si="27"/>
        <v>0.98333333333333328</v>
      </c>
      <c r="N179" s="13" t="s">
        <v>347</v>
      </c>
      <c r="O179" s="13" t="s">
        <v>347</v>
      </c>
      <c r="P179" s="16">
        <v>0</v>
      </c>
      <c r="Q179" s="16">
        <v>0</v>
      </c>
      <c r="R179" s="5" t="str">
        <f t="shared" si="23"/>
        <v>11-2024-08-31</v>
      </c>
    </row>
    <row r="180" spans="1:18" x14ac:dyDescent="0.3">
      <c r="A180" s="37">
        <v>11</v>
      </c>
      <c r="B180" s="13" t="s">
        <v>541</v>
      </c>
      <c r="C180" s="13" t="s">
        <v>145</v>
      </c>
      <c r="D180" s="13" t="s">
        <v>18</v>
      </c>
      <c r="E180" s="13" t="s">
        <v>9</v>
      </c>
      <c r="F180" s="14">
        <v>45596</v>
      </c>
      <c r="G180" s="5">
        <f t="shared" si="20"/>
        <v>2024</v>
      </c>
      <c r="H180" s="5" t="str">
        <f t="shared" si="21"/>
        <v>Octubre</v>
      </c>
      <c r="I180" s="6" t="str">
        <f t="shared" si="22"/>
        <v>2024-2</v>
      </c>
      <c r="J180" s="13">
        <v>77</v>
      </c>
      <c r="K180" s="13">
        <v>59</v>
      </c>
      <c r="L180" s="15">
        <f t="shared" si="26"/>
        <v>0.76623376623376627</v>
      </c>
      <c r="M180" s="15">
        <f t="shared" si="27"/>
        <v>0.76623376623376627</v>
      </c>
      <c r="N180" s="13" t="s">
        <v>347</v>
      </c>
      <c r="O180" s="13" t="s">
        <v>347</v>
      </c>
      <c r="P180" s="16">
        <v>0</v>
      </c>
      <c r="Q180" s="16">
        <v>0</v>
      </c>
      <c r="R180" s="5" t="str">
        <f t="shared" si="23"/>
        <v>11-2024-10-31</v>
      </c>
    </row>
    <row r="181" spans="1:18" x14ac:dyDescent="0.3">
      <c r="A181" s="37">
        <v>11</v>
      </c>
      <c r="B181" s="13" t="s">
        <v>541</v>
      </c>
      <c r="C181" s="13" t="s">
        <v>145</v>
      </c>
      <c r="D181" s="13" t="s">
        <v>18</v>
      </c>
      <c r="E181" s="13" t="s">
        <v>9</v>
      </c>
      <c r="F181" s="14">
        <v>45626</v>
      </c>
      <c r="G181" s="5">
        <f t="shared" si="20"/>
        <v>2024</v>
      </c>
      <c r="H181" s="5" t="str">
        <f t="shared" si="21"/>
        <v>Noviembre</v>
      </c>
      <c r="I181" s="6" t="str">
        <f t="shared" si="22"/>
        <v>2024-2</v>
      </c>
      <c r="J181" s="13">
        <v>56</v>
      </c>
      <c r="K181" s="13">
        <v>56</v>
      </c>
      <c r="L181" s="15">
        <f t="shared" si="26"/>
        <v>1</v>
      </c>
      <c r="M181" s="15">
        <f t="shared" si="27"/>
        <v>1</v>
      </c>
      <c r="N181" s="13" t="s">
        <v>347</v>
      </c>
      <c r="O181" s="13" t="s">
        <v>347</v>
      </c>
      <c r="P181" s="16">
        <v>0</v>
      </c>
      <c r="Q181" s="16">
        <v>0</v>
      </c>
      <c r="R181" s="5" t="str">
        <f t="shared" si="23"/>
        <v>11-2024-11-30</v>
      </c>
    </row>
    <row r="182" spans="1:18" x14ac:dyDescent="0.3">
      <c r="A182" s="37">
        <v>12</v>
      </c>
      <c r="B182" s="13" t="s">
        <v>542</v>
      </c>
      <c r="C182" s="13" t="s">
        <v>145</v>
      </c>
      <c r="D182" s="13" t="s">
        <v>18</v>
      </c>
      <c r="E182" s="13" t="s">
        <v>9</v>
      </c>
      <c r="F182" s="14">
        <v>45169</v>
      </c>
      <c r="G182" s="5">
        <f t="shared" si="20"/>
        <v>2023</v>
      </c>
      <c r="H182" s="5" t="str">
        <f t="shared" si="21"/>
        <v>Agosto</v>
      </c>
      <c r="I182" s="6" t="str">
        <f t="shared" si="22"/>
        <v>2023-2</v>
      </c>
      <c r="J182" s="13">
        <v>51</v>
      </c>
      <c r="K182" s="13">
        <v>51</v>
      </c>
      <c r="L182" s="15">
        <f t="shared" si="26"/>
        <v>1</v>
      </c>
      <c r="M182" s="15">
        <f t="shared" si="27"/>
        <v>1</v>
      </c>
      <c r="N182" s="13" t="s">
        <v>347</v>
      </c>
      <c r="O182" s="13" t="s">
        <v>347</v>
      </c>
      <c r="P182" s="16">
        <v>0</v>
      </c>
      <c r="Q182" s="16">
        <v>0</v>
      </c>
      <c r="R182" s="5" t="str">
        <f t="shared" si="23"/>
        <v>12-2023-08-31</v>
      </c>
    </row>
    <row r="183" spans="1:18" x14ac:dyDescent="0.3">
      <c r="A183" s="37">
        <v>12</v>
      </c>
      <c r="B183" s="13" t="s">
        <v>542</v>
      </c>
      <c r="C183" s="13" t="s">
        <v>145</v>
      </c>
      <c r="D183" s="13" t="s">
        <v>18</v>
      </c>
      <c r="E183" s="13" t="s">
        <v>9</v>
      </c>
      <c r="F183" s="14">
        <v>45199</v>
      </c>
      <c r="G183" s="5">
        <f t="shared" si="20"/>
        <v>2023</v>
      </c>
      <c r="H183" s="5" t="str">
        <f t="shared" si="21"/>
        <v>Septiembre</v>
      </c>
      <c r="I183" s="6" t="str">
        <f t="shared" si="22"/>
        <v>2023-2</v>
      </c>
      <c r="J183" s="13">
        <v>56</v>
      </c>
      <c r="K183" s="13">
        <v>51</v>
      </c>
      <c r="L183" s="15">
        <f t="shared" si="26"/>
        <v>0.9107142857142857</v>
      </c>
      <c r="M183" s="15">
        <f t="shared" si="27"/>
        <v>0.9107142857142857</v>
      </c>
      <c r="N183" s="13" t="s">
        <v>347</v>
      </c>
      <c r="O183" s="13" t="s">
        <v>347</v>
      </c>
      <c r="P183" s="16">
        <v>0</v>
      </c>
      <c r="Q183" s="16">
        <v>0</v>
      </c>
      <c r="R183" s="5" t="str">
        <f t="shared" si="23"/>
        <v>12-2023-09-30</v>
      </c>
    </row>
    <row r="184" spans="1:18" x14ac:dyDescent="0.3">
      <c r="A184" s="37">
        <v>12</v>
      </c>
      <c r="B184" s="13" t="s">
        <v>542</v>
      </c>
      <c r="C184" s="13" t="s">
        <v>145</v>
      </c>
      <c r="D184" s="13" t="s">
        <v>18</v>
      </c>
      <c r="E184" s="13" t="s">
        <v>9</v>
      </c>
      <c r="F184" s="14">
        <v>45230</v>
      </c>
      <c r="G184" s="5">
        <f t="shared" si="20"/>
        <v>2023</v>
      </c>
      <c r="H184" s="5" t="str">
        <f t="shared" si="21"/>
        <v>Octubre</v>
      </c>
      <c r="I184" s="6" t="str">
        <f t="shared" si="22"/>
        <v>2023-2</v>
      </c>
      <c r="J184" s="13">
        <v>65</v>
      </c>
      <c r="K184" s="13">
        <v>51</v>
      </c>
      <c r="L184" s="15">
        <f t="shared" si="26"/>
        <v>0.7846153846153846</v>
      </c>
      <c r="M184" s="15">
        <f t="shared" si="27"/>
        <v>0.7846153846153846</v>
      </c>
      <c r="N184" s="13" t="s">
        <v>347</v>
      </c>
      <c r="O184" s="13" t="s">
        <v>347</v>
      </c>
      <c r="P184" s="16">
        <v>0</v>
      </c>
      <c r="Q184" s="16">
        <v>0</v>
      </c>
      <c r="R184" s="5" t="str">
        <f t="shared" si="23"/>
        <v>12-2023-10-31</v>
      </c>
    </row>
    <row r="185" spans="1:18" x14ac:dyDescent="0.3">
      <c r="A185" s="37">
        <v>12</v>
      </c>
      <c r="B185" s="13" t="s">
        <v>542</v>
      </c>
      <c r="C185" s="13" t="s">
        <v>145</v>
      </c>
      <c r="D185" s="13" t="s">
        <v>18</v>
      </c>
      <c r="E185" s="13" t="s">
        <v>9</v>
      </c>
      <c r="F185" s="14">
        <v>45260</v>
      </c>
      <c r="G185" s="5">
        <f t="shared" si="20"/>
        <v>2023</v>
      </c>
      <c r="H185" s="5" t="str">
        <f t="shared" si="21"/>
        <v>Noviembre</v>
      </c>
      <c r="I185" s="6" t="str">
        <f t="shared" si="22"/>
        <v>2023-2</v>
      </c>
      <c r="J185" s="13">
        <v>65</v>
      </c>
      <c r="K185" s="13">
        <v>51</v>
      </c>
      <c r="L185" s="15">
        <f t="shared" si="26"/>
        <v>0.7846153846153846</v>
      </c>
      <c r="M185" s="15">
        <f t="shared" si="27"/>
        <v>0.7846153846153846</v>
      </c>
      <c r="N185" s="13" t="s">
        <v>347</v>
      </c>
      <c r="O185" s="13" t="s">
        <v>347</v>
      </c>
      <c r="P185" s="16">
        <v>0</v>
      </c>
      <c r="Q185" s="16">
        <v>0</v>
      </c>
      <c r="R185" s="5" t="str">
        <f t="shared" si="23"/>
        <v>12-2023-11-30</v>
      </c>
    </row>
    <row r="186" spans="1:18" x14ac:dyDescent="0.3">
      <c r="A186" s="37">
        <v>12</v>
      </c>
      <c r="B186" s="13" t="s">
        <v>542</v>
      </c>
      <c r="C186" s="13" t="s">
        <v>145</v>
      </c>
      <c r="D186" s="13" t="s">
        <v>18</v>
      </c>
      <c r="E186" s="13" t="s">
        <v>9</v>
      </c>
      <c r="F186" s="14">
        <v>45291</v>
      </c>
      <c r="G186" s="5">
        <f t="shared" si="20"/>
        <v>2023</v>
      </c>
      <c r="H186" s="5" t="str">
        <f t="shared" si="21"/>
        <v>Diciembre</v>
      </c>
      <c r="I186" s="6" t="str">
        <f t="shared" si="22"/>
        <v>2023-2</v>
      </c>
      <c r="J186" s="13">
        <v>65</v>
      </c>
      <c r="K186" s="13">
        <v>51</v>
      </c>
      <c r="L186" s="15">
        <f t="shared" si="26"/>
        <v>0.7846153846153846</v>
      </c>
      <c r="M186" s="15">
        <f t="shared" si="27"/>
        <v>0.7846153846153846</v>
      </c>
      <c r="N186" s="13" t="s">
        <v>347</v>
      </c>
      <c r="O186" s="13" t="s">
        <v>347</v>
      </c>
      <c r="P186" s="16">
        <v>0</v>
      </c>
      <c r="Q186" s="16">
        <v>0</v>
      </c>
      <c r="R186" s="5" t="str">
        <f t="shared" si="23"/>
        <v>12-2023-12-31</v>
      </c>
    </row>
    <row r="187" spans="1:18" x14ac:dyDescent="0.3">
      <c r="A187" s="37">
        <v>12</v>
      </c>
      <c r="B187" s="13" t="s">
        <v>542</v>
      </c>
      <c r="C187" s="13" t="s">
        <v>145</v>
      </c>
      <c r="D187" s="13" t="s">
        <v>18</v>
      </c>
      <c r="E187" s="13" t="s">
        <v>9</v>
      </c>
      <c r="F187" s="14">
        <v>45322</v>
      </c>
      <c r="G187" s="5">
        <f t="shared" si="20"/>
        <v>2024</v>
      </c>
      <c r="H187" s="5" t="str">
        <f t="shared" si="21"/>
        <v>Enero</v>
      </c>
      <c r="I187" s="6" t="str">
        <f t="shared" si="22"/>
        <v>2024-1</v>
      </c>
      <c r="J187" s="13">
        <v>65</v>
      </c>
      <c r="K187" s="13">
        <v>51</v>
      </c>
      <c r="L187" s="15">
        <f t="shared" si="26"/>
        <v>0.7846153846153846</v>
      </c>
      <c r="M187" s="15">
        <f t="shared" si="27"/>
        <v>0.7846153846153846</v>
      </c>
      <c r="N187" s="13" t="s">
        <v>347</v>
      </c>
      <c r="O187" s="13" t="s">
        <v>347</v>
      </c>
      <c r="P187" s="16">
        <v>0</v>
      </c>
      <c r="Q187" s="16">
        <v>0</v>
      </c>
      <c r="R187" s="5" t="str">
        <f t="shared" si="23"/>
        <v>12-2024-01-31</v>
      </c>
    </row>
    <row r="188" spans="1:18" x14ac:dyDescent="0.3">
      <c r="A188" s="37">
        <v>12</v>
      </c>
      <c r="B188" s="13" t="s">
        <v>542</v>
      </c>
      <c r="C188" s="13" t="s">
        <v>145</v>
      </c>
      <c r="D188" s="13" t="s">
        <v>18</v>
      </c>
      <c r="E188" s="13" t="s">
        <v>9</v>
      </c>
      <c r="F188" s="14">
        <v>45351</v>
      </c>
      <c r="G188" s="5">
        <f t="shared" si="20"/>
        <v>2024</v>
      </c>
      <c r="H188" s="5" t="str">
        <f t="shared" si="21"/>
        <v>Febrero</v>
      </c>
      <c r="I188" s="6" t="str">
        <f t="shared" si="22"/>
        <v>2024-1</v>
      </c>
      <c r="J188" s="13">
        <v>65</v>
      </c>
      <c r="K188" s="13">
        <v>51</v>
      </c>
      <c r="L188" s="15">
        <f t="shared" si="26"/>
        <v>0.7846153846153846</v>
      </c>
      <c r="M188" s="15">
        <f t="shared" si="27"/>
        <v>0.7846153846153846</v>
      </c>
      <c r="N188" s="13" t="s">
        <v>347</v>
      </c>
      <c r="O188" s="13" t="s">
        <v>347</v>
      </c>
      <c r="P188" s="16">
        <v>0</v>
      </c>
      <c r="Q188" s="16">
        <v>0</v>
      </c>
      <c r="R188" s="5" t="str">
        <f t="shared" si="23"/>
        <v>12-2024-02-29</v>
      </c>
    </row>
    <row r="189" spans="1:18" x14ac:dyDescent="0.3">
      <c r="A189" s="37">
        <v>12</v>
      </c>
      <c r="B189" s="13" t="s">
        <v>542</v>
      </c>
      <c r="C189" s="13" t="s">
        <v>145</v>
      </c>
      <c r="D189" s="13" t="s">
        <v>18</v>
      </c>
      <c r="E189" s="13" t="s">
        <v>9</v>
      </c>
      <c r="F189" s="14">
        <v>45382</v>
      </c>
      <c r="G189" s="5">
        <f t="shared" si="20"/>
        <v>2024</v>
      </c>
      <c r="H189" s="5" t="str">
        <f t="shared" si="21"/>
        <v>Marzo</v>
      </c>
      <c r="I189" s="6" t="str">
        <f t="shared" si="22"/>
        <v>2024-1</v>
      </c>
      <c r="J189" s="13">
        <v>65</v>
      </c>
      <c r="K189" s="13">
        <v>51</v>
      </c>
      <c r="L189" s="15">
        <f t="shared" si="26"/>
        <v>0.7846153846153846</v>
      </c>
      <c r="M189" s="15">
        <f t="shared" si="27"/>
        <v>0.7846153846153846</v>
      </c>
      <c r="N189" s="13" t="s">
        <v>347</v>
      </c>
      <c r="O189" s="13" t="s">
        <v>347</v>
      </c>
      <c r="P189" s="16">
        <v>0</v>
      </c>
      <c r="Q189" s="16">
        <v>0</v>
      </c>
      <c r="R189" s="5" t="str">
        <f t="shared" si="23"/>
        <v>12-2024-03-31</v>
      </c>
    </row>
    <row r="190" spans="1:18" x14ac:dyDescent="0.3">
      <c r="A190" s="37">
        <v>12</v>
      </c>
      <c r="B190" s="13" t="s">
        <v>542</v>
      </c>
      <c r="C190" s="13" t="s">
        <v>145</v>
      </c>
      <c r="D190" s="13" t="s">
        <v>18</v>
      </c>
      <c r="E190" s="13" t="s">
        <v>9</v>
      </c>
      <c r="F190" s="14">
        <v>45412</v>
      </c>
      <c r="G190" s="5">
        <f t="shared" si="20"/>
        <v>2024</v>
      </c>
      <c r="H190" s="5" t="str">
        <f t="shared" si="21"/>
        <v>Abril</v>
      </c>
      <c r="I190" s="6" t="str">
        <f t="shared" si="22"/>
        <v>2024-1</v>
      </c>
      <c r="J190" s="13">
        <v>64</v>
      </c>
      <c r="K190" s="13">
        <v>64</v>
      </c>
      <c r="L190" s="15">
        <f t="shared" si="26"/>
        <v>1</v>
      </c>
      <c r="M190" s="15">
        <f t="shared" si="27"/>
        <v>1</v>
      </c>
      <c r="N190" s="13" t="s">
        <v>347</v>
      </c>
      <c r="O190" s="13" t="s">
        <v>347</v>
      </c>
      <c r="P190" s="16">
        <v>0</v>
      </c>
      <c r="Q190" s="16">
        <v>0</v>
      </c>
      <c r="R190" s="5" t="str">
        <f t="shared" si="23"/>
        <v>12-2024-04-30</v>
      </c>
    </row>
    <row r="191" spans="1:18" x14ac:dyDescent="0.3">
      <c r="A191" s="37">
        <v>12</v>
      </c>
      <c r="B191" s="13" t="s">
        <v>542</v>
      </c>
      <c r="C191" s="13" t="s">
        <v>145</v>
      </c>
      <c r="D191" s="13" t="s">
        <v>18</v>
      </c>
      <c r="E191" s="13" t="s">
        <v>9</v>
      </c>
      <c r="F191" s="14">
        <v>45443</v>
      </c>
      <c r="G191" s="5">
        <f t="shared" si="20"/>
        <v>2024</v>
      </c>
      <c r="H191" s="5" t="str">
        <f t="shared" si="21"/>
        <v>Mayo</v>
      </c>
      <c r="I191" s="6" t="str">
        <f t="shared" si="22"/>
        <v>2024-1</v>
      </c>
      <c r="J191" s="13">
        <v>53</v>
      </c>
      <c r="K191" s="13">
        <v>48</v>
      </c>
      <c r="L191" s="15">
        <f t="shared" si="26"/>
        <v>0.90566037735849059</v>
      </c>
      <c r="M191" s="15">
        <f t="shared" si="27"/>
        <v>0.90566037735849059</v>
      </c>
      <c r="N191" s="13" t="s">
        <v>347</v>
      </c>
      <c r="O191" s="13" t="s">
        <v>347</v>
      </c>
      <c r="P191" s="16">
        <v>0</v>
      </c>
      <c r="Q191" s="16">
        <v>0</v>
      </c>
      <c r="R191" s="5" t="str">
        <f t="shared" si="23"/>
        <v>12-2024-05-31</v>
      </c>
    </row>
    <row r="192" spans="1:18" x14ac:dyDescent="0.3">
      <c r="A192" s="37">
        <v>12</v>
      </c>
      <c r="B192" s="13" t="s">
        <v>542</v>
      </c>
      <c r="C192" s="13" t="s">
        <v>145</v>
      </c>
      <c r="D192" s="13" t="s">
        <v>18</v>
      </c>
      <c r="E192" s="13" t="s">
        <v>9</v>
      </c>
      <c r="F192" s="14">
        <v>45473</v>
      </c>
      <c r="G192" s="5">
        <f t="shared" si="20"/>
        <v>2024</v>
      </c>
      <c r="H192" s="5" t="str">
        <f t="shared" si="21"/>
        <v>Junio</v>
      </c>
      <c r="I192" s="6" t="str">
        <f t="shared" ref="I192:I253" si="28">IF(OR(H192="Enero",H192="Febrero",H192="Marzo",H192="Abril",H192="Mayo",H192="Junio"),G192&amp;"-1",IF(OR(H192="Julio",H192="Agosto",H192="Septiembre",H192="Octubre",H192="Noviembre",H192="Diciembre"),G192&amp;"-2"))</f>
        <v>2024-1</v>
      </c>
      <c r="J192" s="13">
        <v>89</v>
      </c>
      <c r="K192" s="13">
        <v>91</v>
      </c>
      <c r="L192" s="15">
        <f t="shared" si="26"/>
        <v>1.0224719101123596</v>
      </c>
      <c r="M192" s="15">
        <f t="shared" si="27"/>
        <v>1.0224719101123596</v>
      </c>
      <c r="N192" s="13" t="s">
        <v>347</v>
      </c>
      <c r="O192" s="13" t="s">
        <v>347</v>
      </c>
      <c r="P192" s="16">
        <v>0</v>
      </c>
      <c r="Q192" s="16">
        <v>0</v>
      </c>
      <c r="R192" s="5" t="str">
        <f t="shared" ref="R192:R253" si="29">A192&amp;"-"&amp;YEAR(F192)&amp;"-"&amp;IF(LEN(MONTH(F192))=1,"0"&amp;MONTH(F192),MONTH(F192))&amp;"-"&amp;DAY(F192)</f>
        <v>12-2024-06-30</v>
      </c>
    </row>
    <row r="193" spans="1:18" x14ac:dyDescent="0.3">
      <c r="A193" s="37">
        <v>12</v>
      </c>
      <c r="B193" s="13" t="s">
        <v>542</v>
      </c>
      <c r="C193" s="13" t="s">
        <v>145</v>
      </c>
      <c r="D193" s="13" t="s">
        <v>18</v>
      </c>
      <c r="E193" s="13" t="s">
        <v>9</v>
      </c>
      <c r="F193" s="14">
        <v>45504</v>
      </c>
      <c r="G193" s="5">
        <f t="shared" si="20"/>
        <v>2024</v>
      </c>
      <c r="H193" s="5" t="str">
        <f t="shared" si="21"/>
        <v>Julio</v>
      </c>
      <c r="I193" s="6" t="str">
        <f t="shared" si="28"/>
        <v>2024-2</v>
      </c>
      <c r="J193" s="13">
        <v>64</v>
      </c>
      <c r="K193" s="13">
        <v>54</v>
      </c>
      <c r="L193" s="15">
        <f t="shared" si="26"/>
        <v>0.84375</v>
      </c>
      <c r="M193" s="15">
        <f t="shared" si="27"/>
        <v>0.84375</v>
      </c>
      <c r="N193" s="13" t="s">
        <v>347</v>
      </c>
      <c r="O193" s="13" t="s">
        <v>347</v>
      </c>
      <c r="P193" s="16">
        <v>0</v>
      </c>
      <c r="Q193" s="16">
        <v>0</v>
      </c>
      <c r="R193" s="5" t="str">
        <f t="shared" si="29"/>
        <v>12-2024-07-31</v>
      </c>
    </row>
    <row r="194" spans="1:18" x14ac:dyDescent="0.3">
      <c r="A194" s="37">
        <v>12</v>
      </c>
      <c r="B194" s="13" t="s">
        <v>542</v>
      </c>
      <c r="C194" s="13" t="s">
        <v>145</v>
      </c>
      <c r="D194" s="13" t="s">
        <v>18</v>
      </c>
      <c r="E194" s="13" t="s">
        <v>9</v>
      </c>
      <c r="F194" s="14">
        <v>45535</v>
      </c>
      <c r="G194" s="5">
        <f t="shared" ref="G194:G257" si="30">YEAR(F194)</f>
        <v>2024</v>
      </c>
      <c r="H194" s="5" t="str">
        <f t="shared" ref="H194:H257" si="31">PROPER(TEXT(F194,"mmmm"))</f>
        <v>Agosto</v>
      </c>
      <c r="I194" s="6" t="str">
        <f t="shared" si="28"/>
        <v>2024-2</v>
      </c>
      <c r="J194" s="13">
        <v>64</v>
      </c>
      <c r="K194" s="13">
        <v>54</v>
      </c>
      <c r="L194" s="15">
        <f t="shared" si="26"/>
        <v>0.84375</v>
      </c>
      <c r="M194" s="15">
        <f t="shared" si="27"/>
        <v>0.84375</v>
      </c>
      <c r="N194" s="13" t="s">
        <v>347</v>
      </c>
      <c r="O194" s="13" t="s">
        <v>347</v>
      </c>
      <c r="P194" s="16">
        <v>0</v>
      </c>
      <c r="Q194" s="16">
        <v>0</v>
      </c>
      <c r="R194" s="5" t="str">
        <f t="shared" si="29"/>
        <v>12-2024-08-31</v>
      </c>
    </row>
    <row r="195" spans="1:18" x14ac:dyDescent="0.3">
      <c r="A195" s="37">
        <v>12</v>
      </c>
      <c r="B195" s="13" t="s">
        <v>542</v>
      </c>
      <c r="C195" s="13" t="s">
        <v>145</v>
      </c>
      <c r="D195" s="13" t="s">
        <v>18</v>
      </c>
      <c r="E195" s="13" t="s">
        <v>9</v>
      </c>
      <c r="F195" s="14">
        <v>45596</v>
      </c>
      <c r="G195" s="5">
        <f t="shared" si="30"/>
        <v>2024</v>
      </c>
      <c r="H195" s="5" t="str">
        <f t="shared" si="31"/>
        <v>Octubre</v>
      </c>
      <c r="I195" s="6" t="str">
        <f t="shared" si="28"/>
        <v>2024-2</v>
      </c>
      <c r="J195" s="13">
        <v>64</v>
      </c>
      <c r="K195" s="13">
        <v>54</v>
      </c>
      <c r="L195" s="15">
        <f t="shared" si="26"/>
        <v>0.84375</v>
      </c>
      <c r="M195" s="15">
        <f t="shared" si="27"/>
        <v>0.84375</v>
      </c>
      <c r="N195" s="13" t="s">
        <v>347</v>
      </c>
      <c r="O195" s="13" t="s">
        <v>347</v>
      </c>
      <c r="P195" s="16">
        <v>0</v>
      </c>
      <c r="Q195" s="16">
        <v>0</v>
      </c>
      <c r="R195" s="5" t="str">
        <f t="shared" si="29"/>
        <v>12-2024-10-31</v>
      </c>
    </row>
    <row r="196" spans="1:18" x14ac:dyDescent="0.3">
      <c r="A196" s="37">
        <v>12</v>
      </c>
      <c r="B196" s="13" t="s">
        <v>542</v>
      </c>
      <c r="C196" s="13" t="s">
        <v>145</v>
      </c>
      <c r="D196" s="13" t="s">
        <v>18</v>
      </c>
      <c r="E196" s="13" t="s">
        <v>9</v>
      </c>
      <c r="F196" s="14">
        <v>45626</v>
      </c>
      <c r="G196" s="5">
        <f t="shared" si="30"/>
        <v>2024</v>
      </c>
      <c r="H196" s="5" t="str">
        <f t="shared" si="31"/>
        <v>Noviembre</v>
      </c>
      <c r="I196" s="6" t="str">
        <f t="shared" si="28"/>
        <v>2024-2</v>
      </c>
      <c r="J196" s="13">
        <v>76</v>
      </c>
      <c r="K196" s="13">
        <v>56</v>
      </c>
      <c r="L196" s="15">
        <f t="shared" si="26"/>
        <v>0.73684210526315785</v>
      </c>
      <c r="M196" s="15">
        <f t="shared" si="27"/>
        <v>0.73684210526315785</v>
      </c>
      <c r="N196" s="13" t="s">
        <v>347</v>
      </c>
      <c r="O196" s="13" t="s">
        <v>347</v>
      </c>
      <c r="P196" s="16">
        <v>0</v>
      </c>
      <c r="Q196" s="16">
        <v>0</v>
      </c>
      <c r="R196" s="5" t="str">
        <f t="shared" si="29"/>
        <v>12-2024-11-30</v>
      </c>
    </row>
    <row r="197" spans="1:18" x14ac:dyDescent="0.3">
      <c r="A197" s="37">
        <v>13</v>
      </c>
      <c r="B197" s="13" t="s">
        <v>340</v>
      </c>
      <c r="C197" s="13" t="s">
        <v>344</v>
      </c>
      <c r="D197" s="13" t="s">
        <v>18</v>
      </c>
      <c r="E197" s="13" t="s">
        <v>9</v>
      </c>
      <c r="F197" s="14">
        <v>45107</v>
      </c>
      <c r="G197" s="5">
        <f t="shared" si="30"/>
        <v>2023</v>
      </c>
      <c r="H197" s="5" t="str">
        <f t="shared" si="31"/>
        <v>Junio</v>
      </c>
      <c r="I197" s="6" t="str">
        <f t="shared" si="28"/>
        <v>2023-1</v>
      </c>
      <c r="J197" s="13">
        <v>22</v>
      </c>
      <c r="K197" s="13">
        <v>20</v>
      </c>
      <c r="L197" s="15">
        <f t="shared" si="26"/>
        <v>0.90909090909090906</v>
      </c>
      <c r="M197" s="15">
        <f t="shared" si="27"/>
        <v>0.90909090909090906</v>
      </c>
      <c r="N197" s="13" t="s">
        <v>347</v>
      </c>
      <c r="O197" s="13" t="s">
        <v>347</v>
      </c>
      <c r="P197" s="16">
        <v>0</v>
      </c>
      <c r="Q197" s="16">
        <v>0</v>
      </c>
      <c r="R197" s="5" t="str">
        <f t="shared" si="29"/>
        <v>13-2023-06-30</v>
      </c>
    </row>
    <row r="198" spans="1:18" x14ac:dyDescent="0.3">
      <c r="A198" s="37">
        <v>13</v>
      </c>
      <c r="B198" s="13" t="s">
        <v>340</v>
      </c>
      <c r="C198" s="13" t="s">
        <v>344</v>
      </c>
      <c r="D198" s="13" t="s">
        <v>18</v>
      </c>
      <c r="E198" s="13" t="s">
        <v>9</v>
      </c>
      <c r="F198" s="14">
        <v>45138</v>
      </c>
      <c r="G198" s="5">
        <f t="shared" si="30"/>
        <v>2023</v>
      </c>
      <c r="H198" s="5" t="str">
        <f t="shared" si="31"/>
        <v>Julio</v>
      </c>
      <c r="I198" s="6" t="str">
        <f t="shared" si="28"/>
        <v>2023-2</v>
      </c>
      <c r="J198" s="13">
        <v>41</v>
      </c>
      <c r="K198" s="13">
        <v>25</v>
      </c>
      <c r="L198" s="15">
        <f t="shared" si="26"/>
        <v>0.6097560975609756</v>
      </c>
      <c r="M198" s="15">
        <f t="shared" si="27"/>
        <v>0.6097560975609756</v>
      </c>
      <c r="N198" s="13" t="s">
        <v>347</v>
      </c>
      <c r="O198" s="13" t="s">
        <v>347</v>
      </c>
      <c r="P198" s="16">
        <v>0</v>
      </c>
      <c r="Q198" s="16">
        <v>0</v>
      </c>
      <c r="R198" s="5" t="str">
        <f t="shared" si="29"/>
        <v>13-2023-07-31</v>
      </c>
    </row>
    <row r="199" spans="1:18" x14ac:dyDescent="0.3">
      <c r="A199" s="37">
        <v>13</v>
      </c>
      <c r="B199" s="13" t="s">
        <v>340</v>
      </c>
      <c r="C199" s="13" t="s">
        <v>344</v>
      </c>
      <c r="D199" s="13" t="s">
        <v>18</v>
      </c>
      <c r="E199" s="13" t="s">
        <v>9</v>
      </c>
      <c r="F199" s="14">
        <v>45169</v>
      </c>
      <c r="G199" s="5">
        <f t="shared" si="30"/>
        <v>2023</v>
      </c>
      <c r="H199" s="5" t="str">
        <f t="shared" si="31"/>
        <v>Agosto</v>
      </c>
      <c r="I199" s="6" t="str">
        <f t="shared" si="28"/>
        <v>2023-2</v>
      </c>
      <c r="J199" s="13">
        <v>59</v>
      </c>
      <c r="K199" s="13">
        <v>47</v>
      </c>
      <c r="L199" s="15">
        <f t="shared" ref="L199:L204" si="32">IFERROR(IF((K199/J199)&gt;1.3,1.3,K199/J199),"")</f>
        <v>0.79661016949152541</v>
      </c>
      <c r="M199" s="15">
        <f t="shared" ref="M199:M204" si="33">IFERROR(IF((K199/J199)&gt;K199/J199,1.3,K199/J199),"")</f>
        <v>0.79661016949152541</v>
      </c>
      <c r="N199" s="13" t="s">
        <v>347</v>
      </c>
      <c r="O199" s="13" t="s">
        <v>347</v>
      </c>
      <c r="P199" s="16">
        <v>0</v>
      </c>
      <c r="Q199" s="16">
        <v>0</v>
      </c>
      <c r="R199" s="5" t="str">
        <f t="shared" si="29"/>
        <v>13-2023-08-31</v>
      </c>
    </row>
    <row r="200" spans="1:18" x14ac:dyDescent="0.3">
      <c r="A200" s="37">
        <v>13</v>
      </c>
      <c r="B200" s="13" t="s">
        <v>340</v>
      </c>
      <c r="C200" s="13" t="s">
        <v>344</v>
      </c>
      <c r="D200" s="13" t="s">
        <v>18</v>
      </c>
      <c r="E200" s="13" t="s">
        <v>9</v>
      </c>
      <c r="F200" s="14">
        <v>45199</v>
      </c>
      <c r="G200" s="5">
        <f t="shared" si="30"/>
        <v>2023</v>
      </c>
      <c r="H200" s="5" t="str">
        <f t="shared" si="31"/>
        <v>Septiembre</v>
      </c>
      <c r="I200" s="6" t="str">
        <f t="shared" si="28"/>
        <v>2023-2</v>
      </c>
      <c r="J200" s="13">
        <v>64</v>
      </c>
      <c r="K200" s="13">
        <v>63</v>
      </c>
      <c r="L200" s="15">
        <f t="shared" si="32"/>
        <v>0.984375</v>
      </c>
      <c r="M200" s="15">
        <f t="shared" si="33"/>
        <v>0.984375</v>
      </c>
      <c r="N200" s="13" t="s">
        <v>347</v>
      </c>
      <c r="O200" s="13" t="s">
        <v>347</v>
      </c>
      <c r="P200" s="16">
        <v>0</v>
      </c>
      <c r="Q200" s="16">
        <v>0</v>
      </c>
      <c r="R200" s="5" t="str">
        <f t="shared" si="29"/>
        <v>13-2023-09-30</v>
      </c>
    </row>
    <row r="201" spans="1:18" x14ac:dyDescent="0.3">
      <c r="A201" s="37">
        <v>13</v>
      </c>
      <c r="B201" s="13" t="s">
        <v>340</v>
      </c>
      <c r="C201" s="13" t="s">
        <v>344</v>
      </c>
      <c r="D201" s="13" t="s">
        <v>18</v>
      </c>
      <c r="E201" s="13" t="s">
        <v>9</v>
      </c>
      <c r="F201" s="14">
        <v>45230</v>
      </c>
      <c r="G201" s="5">
        <f t="shared" si="30"/>
        <v>2023</v>
      </c>
      <c r="H201" s="5" t="str">
        <f t="shared" si="31"/>
        <v>Octubre</v>
      </c>
      <c r="I201" s="6" t="str">
        <f t="shared" si="28"/>
        <v>2023-2</v>
      </c>
      <c r="J201" s="13">
        <v>77</v>
      </c>
      <c r="K201" s="13">
        <v>74</v>
      </c>
      <c r="L201" s="15">
        <f t="shared" si="32"/>
        <v>0.96103896103896103</v>
      </c>
      <c r="M201" s="15">
        <f t="shared" si="33"/>
        <v>0.96103896103896103</v>
      </c>
      <c r="N201" s="13" t="s">
        <v>347</v>
      </c>
      <c r="O201" s="13" t="s">
        <v>347</v>
      </c>
      <c r="P201" s="16">
        <v>0</v>
      </c>
      <c r="Q201" s="16">
        <v>0</v>
      </c>
      <c r="R201" s="5" t="str">
        <f t="shared" si="29"/>
        <v>13-2023-10-31</v>
      </c>
    </row>
    <row r="202" spans="1:18" x14ac:dyDescent="0.3">
      <c r="A202" s="37">
        <v>13</v>
      </c>
      <c r="B202" s="13" t="s">
        <v>340</v>
      </c>
      <c r="C202" s="13" t="s">
        <v>344</v>
      </c>
      <c r="D202" s="13" t="s">
        <v>18</v>
      </c>
      <c r="E202" s="13" t="s">
        <v>9</v>
      </c>
      <c r="F202" s="14">
        <v>45260</v>
      </c>
      <c r="G202" s="5">
        <f t="shared" si="30"/>
        <v>2023</v>
      </c>
      <c r="H202" s="5" t="str">
        <f t="shared" si="31"/>
        <v>Noviembre</v>
      </c>
      <c r="I202" s="6" t="str">
        <f t="shared" si="28"/>
        <v>2023-2</v>
      </c>
      <c r="J202" s="13">
        <v>81</v>
      </c>
      <c r="K202" s="13">
        <v>62</v>
      </c>
      <c r="L202" s="15">
        <f t="shared" si="32"/>
        <v>0.76543209876543206</v>
      </c>
      <c r="M202" s="15">
        <f t="shared" si="33"/>
        <v>0.76543209876543206</v>
      </c>
      <c r="N202" s="13" t="s">
        <v>347</v>
      </c>
      <c r="O202" s="13" t="s">
        <v>347</v>
      </c>
      <c r="P202" s="16">
        <v>0</v>
      </c>
      <c r="Q202" s="16">
        <v>0</v>
      </c>
      <c r="R202" s="5" t="str">
        <f t="shared" si="29"/>
        <v>13-2023-11-30</v>
      </c>
    </row>
    <row r="203" spans="1:18" x14ac:dyDescent="0.3">
      <c r="A203" s="37">
        <v>13</v>
      </c>
      <c r="B203" s="13" t="s">
        <v>340</v>
      </c>
      <c r="C203" s="13" t="s">
        <v>344</v>
      </c>
      <c r="D203" s="13" t="s">
        <v>18</v>
      </c>
      <c r="E203" s="13" t="s">
        <v>9</v>
      </c>
      <c r="F203" s="14">
        <v>45291</v>
      </c>
      <c r="G203" s="5">
        <f t="shared" si="30"/>
        <v>2023</v>
      </c>
      <c r="H203" s="5" t="str">
        <f t="shared" si="31"/>
        <v>Diciembre</v>
      </c>
      <c r="I203" s="6" t="str">
        <f t="shared" si="28"/>
        <v>2023-2</v>
      </c>
      <c r="J203" s="13">
        <v>100</v>
      </c>
      <c r="K203" s="13">
        <v>99</v>
      </c>
      <c r="L203" s="15">
        <f t="shared" si="32"/>
        <v>0.99</v>
      </c>
      <c r="M203" s="15">
        <f t="shared" si="33"/>
        <v>0.99</v>
      </c>
      <c r="N203" s="13" t="s">
        <v>347</v>
      </c>
      <c r="O203" s="13" t="s">
        <v>347</v>
      </c>
      <c r="P203" s="16">
        <v>0</v>
      </c>
      <c r="Q203" s="16">
        <v>0</v>
      </c>
      <c r="R203" s="5" t="str">
        <f t="shared" si="29"/>
        <v>13-2023-12-31</v>
      </c>
    </row>
    <row r="204" spans="1:18" x14ac:dyDescent="0.3">
      <c r="A204" s="37">
        <v>13</v>
      </c>
      <c r="B204" s="13" t="s">
        <v>340</v>
      </c>
      <c r="C204" s="13" t="s">
        <v>344</v>
      </c>
      <c r="D204" s="13" t="s">
        <v>18</v>
      </c>
      <c r="E204" s="13" t="s">
        <v>9</v>
      </c>
      <c r="F204" s="14">
        <v>45322</v>
      </c>
      <c r="G204" s="5">
        <f t="shared" si="30"/>
        <v>2024</v>
      </c>
      <c r="H204" s="5" t="str">
        <f t="shared" si="31"/>
        <v>Enero</v>
      </c>
      <c r="I204" s="6" t="str">
        <f t="shared" si="28"/>
        <v>2024-1</v>
      </c>
      <c r="J204" s="13">
        <v>100</v>
      </c>
      <c r="K204" s="13">
        <v>100</v>
      </c>
      <c r="L204" s="15">
        <f t="shared" si="32"/>
        <v>1</v>
      </c>
      <c r="M204" s="15">
        <f t="shared" si="33"/>
        <v>1</v>
      </c>
      <c r="N204" s="13" t="s">
        <v>347</v>
      </c>
      <c r="O204" s="13" t="s">
        <v>347</v>
      </c>
      <c r="P204" s="16">
        <v>0</v>
      </c>
      <c r="Q204" s="16">
        <v>0</v>
      </c>
      <c r="R204" s="5" t="str">
        <f t="shared" si="29"/>
        <v>13-2024-01-31</v>
      </c>
    </row>
    <row r="205" spans="1:18" x14ac:dyDescent="0.3">
      <c r="A205" s="5">
        <v>14</v>
      </c>
      <c r="B205" s="5" t="s">
        <v>341</v>
      </c>
      <c r="C205" s="5" t="s">
        <v>74</v>
      </c>
      <c r="D205" s="5" t="s">
        <v>8</v>
      </c>
      <c r="E205" s="5" t="s">
        <v>9</v>
      </c>
      <c r="F205" s="6">
        <v>44742</v>
      </c>
      <c r="G205" s="5">
        <f t="shared" si="30"/>
        <v>2022</v>
      </c>
      <c r="H205" s="5" t="str">
        <f t="shared" si="31"/>
        <v>Junio</v>
      </c>
      <c r="I205" s="6" t="str">
        <f t="shared" si="28"/>
        <v>2022-1</v>
      </c>
      <c r="J205" s="9">
        <v>49004</v>
      </c>
      <c r="K205" s="60">
        <v>51010</v>
      </c>
      <c r="L205" s="15">
        <v>1.0409354338421353</v>
      </c>
      <c r="M205" s="15">
        <v>1.0409354338421353</v>
      </c>
      <c r="N205" s="5" t="s">
        <v>490</v>
      </c>
      <c r="O205" s="5" t="s">
        <v>490</v>
      </c>
      <c r="P205" s="5">
        <v>0</v>
      </c>
      <c r="Q205" s="5">
        <v>0</v>
      </c>
      <c r="R205" s="5" t="str">
        <f t="shared" si="29"/>
        <v>14-2022-06-30</v>
      </c>
    </row>
    <row r="206" spans="1:18" x14ac:dyDescent="0.3">
      <c r="A206" s="5">
        <v>14</v>
      </c>
      <c r="B206" s="5" t="s">
        <v>341</v>
      </c>
      <c r="C206" s="5" t="s">
        <v>74</v>
      </c>
      <c r="D206" s="5" t="s">
        <v>8</v>
      </c>
      <c r="E206" s="5" t="s">
        <v>9</v>
      </c>
      <c r="F206" s="17">
        <v>44926</v>
      </c>
      <c r="G206" s="5">
        <f t="shared" si="30"/>
        <v>2022</v>
      </c>
      <c r="H206" s="5" t="str">
        <f t="shared" si="31"/>
        <v>Diciembre</v>
      </c>
      <c r="I206" s="6" t="str">
        <f t="shared" si="28"/>
        <v>2022-2</v>
      </c>
      <c r="J206" s="9">
        <v>50430</v>
      </c>
      <c r="K206" s="9">
        <v>50238</v>
      </c>
      <c r="L206" s="15">
        <v>0.99619274241522904</v>
      </c>
      <c r="M206" s="15">
        <v>0.99619274241522904</v>
      </c>
      <c r="N206" s="5" t="s">
        <v>490</v>
      </c>
      <c r="O206" s="5" t="s">
        <v>490</v>
      </c>
      <c r="P206" s="5">
        <v>0</v>
      </c>
      <c r="Q206" s="5">
        <v>0</v>
      </c>
      <c r="R206" s="5" t="str">
        <f t="shared" si="29"/>
        <v>14-2022-12-31</v>
      </c>
    </row>
    <row r="207" spans="1:18" x14ac:dyDescent="0.3">
      <c r="A207" s="26">
        <v>14</v>
      </c>
      <c r="B207" s="5" t="s">
        <v>341</v>
      </c>
      <c r="C207" s="5" t="s">
        <v>74</v>
      </c>
      <c r="D207" s="5" t="s">
        <v>8</v>
      </c>
      <c r="E207" s="5" t="s">
        <v>9</v>
      </c>
      <c r="F207" s="6">
        <v>45107</v>
      </c>
      <c r="G207" s="5">
        <f t="shared" si="30"/>
        <v>2023</v>
      </c>
      <c r="H207" s="5" t="str">
        <f t="shared" si="31"/>
        <v>Junio</v>
      </c>
      <c r="I207" s="6" t="str">
        <f t="shared" si="28"/>
        <v>2023-1</v>
      </c>
      <c r="J207" s="11">
        <v>52177</v>
      </c>
      <c r="K207" s="11">
        <v>51473</v>
      </c>
      <c r="L207" s="15">
        <f>IFERROR(IF((K207/J207)&gt;1.3,1.3,K207/J207),"")</f>
        <v>0.98650746497498898</v>
      </c>
      <c r="M207" s="15">
        <f t="shared" ref="M207:M212" si="34">IFERROR(IF((K207/J207)&gt;K207/J207,1.3,K207/J207),"")</f>
        <v>0.98650746497498898</v>
      </c>
      <c r="N207" s="5" t="s">
        <v>490</v>
      </c>
      <c r="O207" s="5" t="s">
        <v>490</v>
      </c>
      <c r="P207" s="16">
        <v>0</v>
      </c>
      <c r="Q207" s="16">
        <v>0</v>
      </c>
      <c r="R207" s="5" t="str">
        <f t="shared" si="29"/>
        <v>14-2023-06-30</v>
      </c>
    </row>
    <row r="208" spans="1:18" x14ac:dyDescent="0.3">
      <c r="A208" s="26">
        <v>14</v>
      </c>
      <c r="B208" s="5" t="s">
        <v>341</v>
      </c>
      <c r="C208" s="5" t="s">
        <v>74</v>
      </c>
      <c r="D208" s="5" t="s">
        <v>8</v>
      </c>
      <c r="E208" s="5" t="s">
        <v>9</v>
      </c>
      <c r="F208" s="6">
        <v>45291</v>
      </c>
      <c r="G208" s="5">
        <f t="shared" si="30"/>
        <v>2023</v>
      </c>
      <c r="H208" s="5" t="str">
        <f t="shared" si="31"/>
        <v>Diciembre</v>
      </c>
      <c r="I208" s="6" t="str">
        <f t="shared" si="28"/>
        <v>2023-2</v>
      </c>
      <c r="J208" s="11">
        <v>51687</v>
      </c>
      <c r="K208" s="10">
        <v>51375</v>
      </c>
      <c r="L208" s="15">
        <f>IFERROR(IF((K208/J208)&gt;1.3,1.3,K208/J208),"")</f>
        <v>0.99396366591212493</v>
      </c>
      <c r="M208" s="15">
        <f t="shared" si="34"/>
        <v>0.99396366591212493</v>
      </c>
      <c r="N208" s="5" t="s">
        <v>490</v>
      </c>
      <c r="O208" s="5" t="s">
        <v>490</v>
      </c>
      <c r="P208" s="16">
        <v>0</v>
      </c>
      <c r="Q208" s="16">
        <v>0</v>
      </c>
      <c r="R208" s="5" t="str">
        <f t="shared" si="29"/>
        <v>14-2023-12-31</v>
      </c>
    </row>
    <row r="209" spans="1:18" x14ac:dyDescent="0.3">
      <c r="A209" s="26">
        <v>14</v>
      </c>
      <c r="B209" s="5" t="s">
        <v>341</v>
      </c>
      <c r="C209" s="5" t="s">
        <v>74</v>
      </c>
      <c r="D209" s="5" t="s">
        <v>8</v>
      </c>
      <c r="E209" s="5" t="s">
        <v>9</v>
      </c>
      <c r="F209" s="6">
        <v>45473</v>
      </c>
      <c r="G209" s="5">
        <f t="shared" si="30"/>
        <v>2024</v>
      </c>
      <c r="H209" s="5" t="str">
        <f t="shared" si="31"/>
        <v>Junio</v>
      </c>
      <c r="I209" s="6" t="str">
        <f t="shared" si="28"/>
        <v>2024-1</v>
      </c>
      <c r="J209" s="9">
        <v>52403.186118801452</v>
      </c>
      <c r="K209" s="9">
        <v>52585</v>
      </c>
      <c r="L209" s="15">
        <f>IFERROR(IF((K209/J209)&gt;1.3,1.3,K209/J209),"")</f>
        <v>1.0034695195972696</v>
      </c>
      <c r="M209" s="15">
        <f t="shared" si="34"/>
        <v>1.0034695195972696</v>
      </c>
      <c r="N209" s="5" t="s">
        <v>490</v>
      </c>
      <c r="O209" s="5" t="s">
        <v>490</v>
      </c>
      <c r="P209" s="16">
        <v>0</v>
      </c>
      <c r="Q209" s="16">
        <v>0</v>
      </c>
      <c r="R209" s="5" t="str">
        <f t="shared" si="29"/>
        <v>14-2024-06-30</v>
      </c>
    </row>
    <row r="210" spans="1:18" x14ac:dyDescent="0.3">
      <c r="A210" s="26">
        <v>14</v>
      </c>
      <c r="B210" s="5" t="s">
        <v>341</v>
      </c>
      <c r="C210" s="5" t="s">
        <v>74</v>
      </c>
      <c r="D210" s="5" t="s">
        <v>8</v>
      </c>
      <c r="E210" s="5" t="s">
        <v>9</v>
      </c>
      <c r="F210" s="6">
        <v>45657</v>
      </c>
      <c r="G210" s="5">
        <f t="shared" si="30"/>
        <v>2024</v>
      </c>
      <c r="H210" s="5" t="str">
        <f t="shared" si="31"/>
        <v>Diciembre</v>
      </c>
      <c r="I210" s="6" t="str">
        <f t="shared" si="28"/>
        <v>2024-2</v>
      </c>
      <c r="J210" s="82">
        <v>51116.334115206948</v>
      </c>
      <c r="K210" s="9">
        <v>52005</v>
      </c>
      <c r="L210" s="15">
        <f>IFERROR(IF((K210/J210)&gt;1.3,1.3,K210/J210),"")</f>
        <v>1.0173851646479608</v>
      </c>
      <c r="M210" s="15">
        <f t="shared" si="34"/>
        <v>1.0173851646479608</v>
      </c>
      <c r="N210" s="5" t="s">
        <v>490</v>
      </c>
      <c r="O210" s="5" t="s">
        <v>490</v>
      </c>
      <c r="P210" s="16">
        <v>0</v>
      </c>
      <c r="Q210" s="16">
        <v>0</v>
      </c>
      <c r="R210" s="5" t="str">
        <f t="shared" si="29"/>
        <v>14-2024-12-31</v>
      </c>
    </row>
    <row r="211" spans="1:18" x14ac:dyDescent="0.3">
      <c r="A211" s="26">
        <v>68</v>
      </c>
      <c r="B211" s="5" t="s">
        <v>6</v>
      </c>
      <c r="C211" s="5" t="s">
        <v>7</v>
      </c>
      <c r="D211" s="5" t="s">
        <v>8</v>
      </c>
      <c r="E211" s="5" t="s">
        <v>9</v>
      </c>
      <c r="F211" s="17">
        <v>45107</v>
      </c>
      <c r="G211" s="5">
        <f t="shared" si="30"/>
        <v>2023</v>
      </c>
      <c r="H211" s="5" t="str">
        <f t="shared" si="31"/>
        <v>Junio</v>
      </c>
      <c r="I211" s="6" t="str">
        <f t="shared" si="28"/>
        <v>2023-1</v>
      </c>
      <c r="J211" s="5">
        <v>80</v>
      </c>
      <c r="K211" s="5">
        <v>91.5</v>
      </c>
      <c r="L211" s="8">
        <f>IFERROR(K211/J211,"")</f>
        <v>1.14375</v>
      </c>
      <c r="M211" s="15">
        <f t="shared" si="34"/>
        <v>1.14375</v>
      </c>
      <c r="N211" s="5" t="s">
        <v>347</v>
      </c>
      <c r="O211" s="5" t="s">
        <v>347</v>
      </c>
      <c r="P211" s="16">
        <v>1</v>
      </c>
      <c r="Q211" s="16">
        <v>1</v>
      </c>
      <c r="R211" s="5" t="str">
        <f t="shared" si="29"/>
        <v>68-2023-06-30</v>
      </c>
    </row>
    <row r="212" spans="1:18" x14ac:dyDescent="0.3">
      <c r="A212" s="39">
        <v>68</v>
      </c>
      <c r="B212" s="5" t="s">
        <v>6</v>
      </c>
      <c r="C212" s="5" t="s">
        <v>7</v>
      </c>
      <c r="D212" s="5" t="s">
        <v>8</v>
      </c>
      <c r="E212" s="5" t="s">
        <v>9</v>
      </c>
      <c r="F212" s="6">
        <v>45291</v>
      </c>
      <c r="G212" s="5">
        <f t="shared" si="30"/>
        <v>2023</v>
      </c>
      <c r="H212" s="5" t="str">
        <f t="shared" si="31"/>
        <v>Diciembre</v>
      </c>
      <c r="I212" s="6" t="str">
        <f t="shared" si="28"/>
        <v>2023-2</v>
      </c>
      <c r="J212" s="5">
        <v>80</v>
      </c>
      <c r="K212" s="5">
        <v>85</v>
      </c>
      <c r="L212" s="8">
        <f>IFERROR(K212/J212,"")</f>
        <v>1.0625</v>
      </c>
      <c r="M212" s="15">
        <f t="shared" si="34"/>
        <v>1.0625</v>
      </c>
      <c r="N212" s="5" t="s">
        <v>347</v>
      </c>
      <c r="O212" s="5" t="s">
        <v>347</v>
      </c>
      <c r="P212" s="16">
        <v>0</v>
      </c>
      <c r="Q212" s="16">
        <v>0</v>
      </c>
      <c r="R212" s="5" t="str">
        <f t="shared" si="29"/>
        <v>68-2023-12-31</v>
      </c>
    </row>
    <row r="213" spans="1:18" x14ac:dyDescent="0.3">
      <c r="A213" s="5">
        <v>68</v>
      </c>
      <c r="B213" s="5" t="s">
        <v>6</v>
      </c>
      <c r="C213" s="5" t="s">
        <v>7</v>
      </c>
      <c r="D213" s="5" t="s">
        <v>8</v>
      </c>
      <c r="E213" s="5" t="s">
        <v>9</v>
      </c>
      <c r="F213" s="6">
        <v>45473</v>
      </c>
      <c r="G213" s="5">
        <f t="shared" si="30"/>
        <v>2024</v>
      </c>
      <c r="H213" s="5" t="str">
        <f t="shared" si="31"/>
        <v>Junio</v>
      </c>
      <c r="I213" s="6" t="str">
        <f t="shared" si="28"/>
        <v>2024-1</v>
      </c>
      <c r="J213" s="5">
        <v>80</v>
      </c>
      <c r="K213" s="5">
        <v>86</v>
      </c>
      <c r="L213" s="15">
        <v>1.075</v>
      </c>
      <c r="M213" s="15">
        <v>1.075</v>
      </c>
      <c r="N213" s="5" t="s">
        <v>347</v>
      </c>
      <c r="O213" s="5" t="s">
        <v>347</v>
      </c>
      <c r="P213" s="5">
        <v>1</v>
      </c>
      <c r="Q213" s="5">
        <v>1</v>
      </c>
      <c r="R213" s="5" t="str">
        <f t="shared" si="29"/>
        <v>68-2024-06-30</v>
      </c>
    </row>
    <row r="214" spans="1:18" x14ac:dyDescent="0.3">
      <c r="A214" s="26">
        <v>68</v>
      </c>
      <c r="B214" s="5" t="s">
        <v>6</v>
      </c>
      <c r="C214" s="5" t="s">
        <v>7</v>
      </c>
      <c r="D214" s="5" t="s">
        <v>8</v>
      </c>
      <c r="E214" s="5" t="s">
        <v>9</v>
      </c>
      <c r="F214" s="6">
        <v>45657</v>
      </c>
      <c r="G214" s="5">
        <f t="shared" si="30"/>
        <v>2024</v>
      </c>
      <c r="H214" s="5" t="str">
        <f t="shared" si="31"/>
        <v>Diciembre</v>
      </c>
      <c r="I214" s="6" t="str">
        <f t="shared" si="28"/>
        <v>2024-2</v>
      </c>
      <c r="J214" s="5">
        <v>80</v>
      </c>
      <c r="K214" s="10">
        <v>87.5</v>
      </c>
      <c r="L214" s="15">
        <f>IFERROR(IF((K214/J214)&gt;1.3,1.3,K214/J214),"")</f>
        <v>1.09375</v>
      </c>
      <c r="M214" s="15">
        <f t="shared" ref="M214:M219" si="35">IFERROR(IF((K214/J214)&gt;K214/J214,1.3,K214/J214),"")</f>
        <v>1.09375</v>
      </c>
      <c r="N214" s="5" t="s">
        <v>347</v>
      </c>
      <c r="O214" s="5" t="s">
        <v>347</v>
      </c>
      <c r="P214" s="16">
        <v>1</v>
      </c>
      <c r="Q214" s="16">
        <v>1</v>
      </c>
      <c r="R214" s="5" t="str">
        <f t="shared" si="29"/>
        <v>68-2024-12-31</v>
      </c>
    </row>
    <row r="215" spans="1:18" x14ac:dyDescent="0.3">
      <c r="A215" s="26">
        <v>69</v>
      </c>
      <c r="B215" s="5" t="s">
        <v>10</v>
      </c>
      <c r="C215" s="5" t="s">
        <v>7</v>
      </c>
      <c r="D215" s="5" t="s">
        <v>11</v>
      </c>
      <c r="E215" s="5" t="s">
        <v>9</v>
      </c>
      <c r="F215" s="6">
        <v>45016</v>
      </c>
      <c r="G215" s="5">
        <f t="shared" si="30"/>
        <v>2023</v>
      </c>
      <c r="H215" s="5" t="str">
        <f t="shared" si="31"/>
        <v>Marzo</v>
      </c>
      <c r="I215" s="6" t="str">
        <f t="shared" si="28"/>
        <v>2023-1</v>
      </c>
      <c r="J215" s="5">
        <v>90</v>
      </c>
      <c r="K215" s="5">
        <v>90.541781450872406</v>
      </c>
      <c r="L215" s="8">
        <f>IFERROR(K215/J215,"")</f>
        <v>1.0060197938985822</v>
      </c>
      <c r="M215" s="15">
        <f t="shared" si="35"/>
        <v>1.0060197938985822</v>
      </c>
      <c r="N215" s="5" t="s">
        <v>347</v>
      </c>
      <c r="O215" s="5" t="s">
        <v>347</v>
      </c>
      <c r="P215" s="16">
        <v>0</v>
      </c>
      <c r="Q215" s="16">
        <v>0</v>
      </c>
      <c r="R215" s="5" t="str">
        <f t="shared" si="29"/>
        <v>69-2023-03-31</v>
      </c>
    </row>
    <row r="216" spans="1:18" x14ac:dyDescent="0.3">
      <c r="A216" s="26">
        <v>69</v>
      </c>
      <c r="B216" s="5" t="s">
        <v>10</v>
      </c>
      <c r="C216" s="5" t="s">
        <v>7</v>
      </c>
      <c r="D216" s="5" t="s">
        <v>11</v>
      </c>
      <c r="E216" s="5" t="s">
        <v>9</v>
      </c>
      <c r="F216" s="6">
        <v>45107</v>
      </c>
      <c r="G216" s="5">
        <f t="shared" si="30"/>
        <v>2023</v>
      </c>
      <c r="H216" s="5" t="str">
        <f t="shared" si="31"/>
        <v>Junio</v>
      </c>
      <c r="I216" s="6" t="str">
        <f t="shared" si="28"/>
        <v>2023-1</v>
      </c>
      <c r="J216" s="5">
        <v>90</v>
      </c>
      <c r="K216" s="5">
        <v>90.397672162948595</v>
      </c>
      <c r="L216" s="8">
        <f>IFERROR(K216/J216,"")</f>
        <v>1.0044185795883178</v>
      </c>
      <c r="M216" s="15">
        <f t="shared" si="35"/>
        <v>1.0044185795883178</v>
      </c>
      <c r="N216" s="5" t="s">
        <v>347</v>
      </c>
      <c r="O216" s="5" t="s">
        <v>347</v>
      </c>
      <c r="P216" s="16">
        <v>0</v>
      </c>
      <c r="Q216" s="16">
        <v>0</v>
      </c>
      <c r="R216" s="5" t="str">
        <f t="shared" si="29"/>
        <v>69-2023-06-30</v>
      </c>
    </row>
    <row r="217" spans="1:18" x14ac:dyDescent="0.3">
      <c r="A217" s="43">
        <v>69</v>
      </c>
      <c r="B217" s="5" t="s">
        <v>10</v>
      </c>
      <c r="C217" s="5" t="s">
        <v>7</v>
      </c>
      <c r="D217" s="5" t="s">
        <v>11</v>
      </c>
      <c r="E217" s="5" t="s">
        <v>9</v>
      </c>
      <c r="F217" s="6">
        <v>45199</v>
      </c>
      <c r="G217" s="5">
        <f t="shared" si="30"/>
        <v>2023</v>
      </c>
      <c r="H217" s="5" t="str">
        <f t="shared" si="31"/>
        <v>Septiembre</v>
      </c>
      <c r="I217" s="6" t="str">
        <f t="shared" si="28"/>
        <v>2023-2</v>
      </c>
      <c r="J217" s="5">
        <v>90</v>
      </c>
      <c r="K217" s="5">
        <v>92.89</v>
      </c>
      <c r="L217" s="8">
        <f>IFERROR(K217/J217,"")</f>
        <v>1.0321111111111112</v>
      </c>
      <c r="M217" s="15">
        <f t="shared" si="35"/>
        <v>1.0321111111111112</v>
      </c>
      <c r="N217" s="5" t="s">
        <v>347</v>
      </c>
      <c r="O217" s="5" t="s">
        <v>347</v>
      </c>
      <c r="P217" s="16">
        <v>0</v>
      </c>
      <c r="Q217" s="16">
        <v>0</v>
      </c>
      <c r="R217" s="5" t="str">
        <f t="shared" si="29"/>
        <v>69-2023-09-30</v>
      </c>
    </row>
    <row r="218" spans="1:18" x14ac:dyDescent="0.3">
      <c r="A218" s="39">
        <v>69</v>
      </c>
      <c r="B218" s="5" t="s">
        <v>10</v>
      </c>
      <c r="C218" s="5" t="s">
        <v>7</v>
      </c>
      <c r="D218" s="5" t="s">
        <v>11</v>
      </c>
      <c r="E218" s="5" t="s">
        <v>9</v>
      </c>
      <c r="F218" s="6">
        <v>45291</v>
      </c>
      <c r="G218" s="5">
        <f t="shared" si="30"/>
        <v>2023</v>
      </c>
      <c r="H218" s="5" t="str">
        <f t="shared" si="31"/>
        <v>Diciembre</v>
      </c>
      <c r="I218" s="6" t="str">
        <f t="shared" si="28"/>
        <v>2023-2</v>
      </c>
      <c r="J218" s="5">
        <v>90</v>
      </c>
      <c r="K218" s="5">
        <v>92.79</v>
      </c>
      <c r="L218" s="8">
        <f>IFERROR(K218/J218,"")</f>
        <v>1.0310000000000001</v>
      </c>
      <c r="M218" s="15">
        <f t="shared" si="35"/>
        <v>1.0310000000000001</v>
      </c>
      <c r="N218" s="5" t="s">
        <v>347</v>
      </c>
      <c r="O218" s="5" t="s">
        <v>347</v>
      </c>
      <c r="P218" s="16">
        <v>0</v>
      </c>
      <c r="Q218" s="16">
        <v>0</v>
      </c>
      <c r="R218" s="5" t="str">
        <f t="shared" si="29"/>
        <v>69-2023-12-31</v>
      </c>
    </row>
    <row r="219" spans="1:18" x14ac:dyDescent="0.3">
      <c r="A219" s="26">
        <v>69</v>
      </c>
      <c r="B219" s="5" t="s">
        <v>10</v>
      </c>
      <c r="C219" s="5" t="s">
        <v>7</v>
      </c>
      <c r="D219" s="5" t="s">
        <v>11</v>
      </c>
      <c r="E219" s="5" t="s">
        <v>9</v>
      </c>
      <c r="F219" s="6">
        <v>45382</v>
      </c>
      <c r="G219" s="5">
        <f t="shared" si="30"/>
        <v>2024</v>
      </c>
      <c r="H219" s="5" t="str">
        <f t="shared" si="31"/>
        <v>Marzo</v>
      </c>
      <c r="I219" s="6" t="str">
        <f t="shared" si="28"/>
        <v>2024-1</v>
      </c>
      <c r="J219" s="5">
        <v>90</v>
      </c>
      <c r="K219" s="10">
        <v>91.32</v>
      </c>
      <c r="L219" s="15">
        <f>IFERROR(IF((K219/J219)&gt;1.3,1.3,K219/J219),"")</f>
        <v>1.0146666666666666</v>
      </c>
      <c r="M219" s="15">
        <f t="shared" si="35"/>
        <v>1.0146666666666666</v>
      </c>
      <c r="N219" s="5" t="s">
        <v>347</v>
      </c>
      <c r="O219" s="5" t="s">
        <v>347</v>
      </c>
      <c r="P219" s="16">
        <v>0</v>
      </c>
      <c r="Q219" s="16">
        <v>0</v>
      </c>
      <c r="R219" s="5" t="str">
        <f t="shared" si="29"/>
        <v>69-2024-03-31</v>
      </c>
    </row>
    <row r="220" spans="1:18" x14ac:dyDescent="0.3">
      <c r="A220" s="5">
        <v>69</v>
      </c>
      <c r="B220" s="5" t="s">
        <v>10</v>
      </c>
      <c r="C220" s="5" t="s">
        <v>7</v>
      </c>
      <c r="D220" s="5" t="s">
        <v>11</v>
      </c>
      <c r="E220" s="5" t="s">
        <v>9</v>
      </c>
      <c r="F220" s="6">
        <v>45473</v>
      </c>
      <c r="G220" s="5">
        <f t="shared" si="30"/>
        <v>2024</v>
      </c>
      <c r="H220" s="5" t="str">
        <f t="shared" si="31"/>
        <v>Junio</v>
      </c>
      <c r="I220" s="6" t="str">
        <f t="shared" si="28"/>
        <v>2024-1</v>
      </c>
      <c r="J220" s="5">
        <v>90</v>
      </c>
      <c r="K220" s="5">
        <v>91.33</v>
      </c>
      <c r="L220" s="15">
        <v>1.0147777777777778</v>
      </c>
      <c r="M220" s="15">
        <v>1.0147777777777778</v>
      </c>
      <c r="N220" s="5" t="s">
        <v>347</v>
      </c>
      <c r="O220" s="5" t="s">
        <v>347</v>
      </c>
      <c r="P220" s="5">
        <v>0</v>
      </c>
      <c r="Q220" s="5">
        <v>0</v>
      </c>
      <c r="R220" s="5" t="str">
        <f t="shared" si="29"/>
        <v>69-2024-06-30</v>
      </c>
    </row>
    <row r="221" spans="1:18" x14ac:dyDescent="0.3">
      <c r="A221" s="26">
        <v>69</v>
      </c>
      <c r="B221" s="5" t="s">
        <v>10</v>
      </c>
      <c r="C221" s="5" t="s">
        <v>7</v>
      </c>
      <c r="D221" s="5" t="s">
        <v>11</v>
      </c>
      <c r="E221" s="5" t="s">
        <v>9</v>
      </c>
      <c r="F221" s="6">
        <v>45565</v>
      </c>
      <c r="G221" s="5">
        <f t="shared" si="30"/>
        <v>2024</v>
      </c>
      <c r="H221" s="5" t="str">
        <f t="shared" si="31"/>
        <v>Septiembre</v>
      </c>
      <c r="I221" s="6" t="str">
        <f t="shared" si="28"/>
        <v>2024-2</v>
      </c>
      <c r="J221" s="5">
        <v>90</v>
      </c>
      <c r="K221" s="10">
        <v>91.67</v>
      </c>
      <c r="L221" s="15">
        <f>IFERROR(IF((K221/J221)&gt;1.3,1.3,K221/J221),"")</f>
        <v>1.0185555555555557</v>
      </c>
      <c r="M221" s="15">
        <f>IFERROR(IF((K221/J221)&gt;K221/J221,1.3,K221/J221),"")</f>
        <v>1.0185555555555557</v>
      </c>
      <c r="N221" s="5" t="s">
        <v>347</v>
      </c>
      <c r="O221" s="5" t="s">
        <v>347</v>
      </c>
      <c r="P221" s="16">
        <v>0</v>
      </c>
      <c r="Q221" s="16">
        <v>0</v>
      </c>
      <c r="R221" s="5" t="str">
        <f t="shared" si="29"/>
        <v>69-2024-09-30</v>
      </c>
    </row>
    <row r="222" spans="1:18" x14ac:dyDescent="0.3">
      <c r="A222" s="26">
        <v>69</v>
      </c>
      <c r="B222" s="5" t="s">
        <v>10</v>
      </c>
      <c r="C222" s="5" t="s">
        <v>7</v>
      </c>
      <c r="D222" s="5" t="s">
        <v>11</v>
      </c>
      <c r="E222" s="5" t="s">
        <v>9</v>
      </c>
      <c r="F222" s="6">
        <v>45657</v>
      </c>
      <c r="G222" s="5">
        <f t="shared" si="30"/>
        <v>2024</v>
      </c>
      <c r="H222" s="5" t="str">
        <f t="shared" si="31"/>
        <v>Diciembre</v>
      </c>
      <c r="I222" s="6" t="str">
        <f t="shared" si="28"/>
        <v>2024-2</v>
      </c>
      <c r="J222" s="5">
        <v>90</v>
      </c>
      <c r="K222" s="10">
        <v>90.5</v>
      </c>
      <c r="L222" s="15">
        <f>IFERROR(IF((K222/J222)&gt;1.3,1.3,K222/J222),"")</f>
        <v>1.0055555555555555</v>
      </c>
      <c r="M222" s="15">
        <f>IFERROR(IF((K222/J222)&gt;K222/J222,1.3,K222/J222),"")</f>
        <v>1.0055555555555555</v>
      </c>
      <c r="N222" s="5" t="s">
        <v>347</v>
      </c>
      <c r="O222" s="5" t="s">
        <v>347</v>
      </c>
      <c r="P222" s="16">
        <v>0</v>
      </c>
      <c r="Q222" s="16">
        <v>0</v>
      </c>
      <c r="R222" s="5" t="str">
        <f t="shared" si="29"/>
        <v>69-2024-12-31</v>
      </c>
    </row>
    <row r="223" spans="1:18" x14ac:dyDescent="0.3">
      <c r="A223" s="26">
        <v>73</v>
      </c>
      <c r="B223" s="5" t="s">
        <v>12</v>
      </c>
      <c r="C223" s="5" t="s">
        <v>13</v>
      </c>
      <c r="D223" s="5" t="s">
        <v>8</v>
      </c>
      <c r="E223" s="5" t="s">
        <v>14</v>
      </c>
      <c r="F223" s="17">
        <v>45107</v>
      </c>
      <c r="G223" s="5">
        <f t="shared" si="30"/>
        <v>2023</v>
      </c>
      <c r="H223" s="5" t="str">
        <f t="shared" si="31"/>
        <v>Junio</v>
      </c>
      <c r="I223" s="6" t="str">
        <f t="shared" si="28"/>
        <v>2023-1</v>
      </c>
      <c r="J223" s="5">
        <v>20</v>
      </c>
      <c r="K223" s="5">
        <v>19</v>
      </c>
      <c r="L223" s="8">
        <f>IFERROR(J223/K223,"")</f>
        <v>1.0526315789473684</v>
      </c>
      <c r="M223" s="8">
        <f>IFERROR(J223/K223,"")</f>
        <v>1.0526315789473684</v>
      </c>
      <c r="N223" s="8" t="s">
        <v>479</v>
      </c>
      <c r="O223" s="8" t="s">
        <v>479</v>
      </c>
      <c r="P223" s="16">
        <v>0</v>
      </c>
      <c r="Q223" s="16">
        <v>0</v>
      </c>
      <c r="R223" s="5" t="str">
        <f t="shared" si="29"/>
        <v>73-2023-06-30</v>
      </c>
    </row>
    <row r="224" spans="1:18" x14ac:dyDescent="0.3">
      <c r="A224" s="39">
        <v>73</v>
      </c>
      <c r="B224" s="5" t="s">
        <v>12</v>
      </c>
      <c r="C224" s="5" t="s">
        <v>13</v>
      </c>
      <c r="D224" s="5" t="s">
        <v>8</v>
      </c>
      <c r="E224" s="5" t="s">
        <v>14</v>
      </c>
      <c r="F224" s="6">
        <v>45291</v>
      </c>
      <c r="G224" s="5">
        <f t="shared" si="30"/>
        <v>2023</v>
      </c>
      <c r="H224" s="5" t="str">
        <f t="shared" si="31"/>
        <v>Diciembre</v>
      </c>
      <c r="I224" s="6" t="str">
        <f t="shared" si="28"/>
        <v>2023-2</v>
      </c>
      <c r="J224" s="5">
        <v>20</v>
      </c>
      <c r="K224" s="5">
        <v>17</v>
      </c>
      <c r="L224" s="8">
        <f>IFERROR(J224/K224,"")</f>
        <v>1.1764705882352942</v>
      </c>
      <c r="M224" s="8">
        <f>IFERROR(J224/K224,"")</f>
        <v>1.1764705882352942</v>
      </c>
      <c r="N224" s="8" t="s">
        <v>479</v>
      </c>
      <c r="O224" s="8" t="s">
        <v>479</v>
      </c>
      <c r="P224" s="16">
        <v>0</v>
      </c>
      <c r="Q224" s="16">
        <v>0</v>
      </c>
      <c r="R224" s="5" t="str">
        <f t="shared" si="29"/>
        <v>73-2023-12-31</v>
      </c>
    </row>
    <row r="225" spans="1:18" x14ac:dyDescent="0.3">
      <c r="A225" s="5">
        <v>73</v>
      </c>
      <c r="B225" s="5" t="s">
        <v>12</v>
      </c>
      <c r="C225" s="5" t="s">
        <v>13</v>
      </c>
      <c r="D225" s="5" t="s">
        <v>8</v>
      </c>
      <c r="E225" s="5" t="s">
        <v>14</v>
      </c>
      <c r="F225" s="6">
        <v>45473</v>
      </c>
      <c r="G225" s="5">
        <f t="shared" si="30"/>
        <v>2024</v>
      </c>
      <c r="H225" s="5" t="str">
        <f t="shared" si="31"/>
        <v>Junio</v>
      </c>
      <c r="I225" s="6" t="str">
        <f t="shared" si="28"/>
        <v>2024-1</v>
      </c>
      <c r="J225" s="5">
        <v>20</v>
      </c>
      <c r="K225" s="5">
        <v>20</v>
      </c>
      <c r="L225" s="15">
        <v>1</v>
      </c>
      <c r="M225" s="15">
        <v>1</v>
      </c>
      <c r="N225" s="5" t="s">
        <v>479</v>
      </c>
      <c r="O225" s="5" t="s">
        <v>479</v>
      </c>
      <c r="P225" s="5">
        <v>0</v>
      </c>
      <c r="Q225" s="5">
        <v>0</v>
      </c>
      <c r="R225" s="5" t="str">
        <f t="shared" si="29"/>
        <v>73-2024-06-30</v>
      </c>
    </row>
    <row r="226" spans="1:18" x14ac:dyDescent="0.3">
      <c r="A226" s="26">
        <v>73</v>
      </c>
      <c r="B226" s="5" t="s">
        <v>12</v>
      </c>
      <c r="C226" s="5" t="s">
        <v>13</v>
      </c>
      <c r="D226" s="5" t="s">
        <v>8</v>
      </c>
      <c r="E226" s="5" t="s">
        <v>14</v>
      </c>
      <c r="F226" s="6">
        <v>45657</v>
      </c>
      <c r="G226" s="5">
        <f t="shared" si="30"/>
        <v>2024</v>
      </c>
      <c r="H226" s="5" t="str">
        <f t="shared" si="31"/>
        <v>Diciembre</v>
      </c>
      <c r="I226" s="6" t="str">
        <f t="shared" si="28"/>
        <v>2024-2</v>
      </c>
      <c r="J226" s="5">
        <v>20</v>
      </c>
      <c r="K226" s="10">
        <v>17</v>
      </c>
      <c r="L226" s="15">
        <f>IFERROR(IF((K226/J226)&gt;1.3,1.3,K226/J226),"")</f>
        <v>0.85</v>
      </c>
      <c r="M226" s="15">
        <f>IFERROR(IF((K226/J226)&gt;K226/J226,1.3,K226/J226),"")</f>
        <v>0.85</v>
      </c>
      <c r="N226" s="5" t="s">
        <v>479</v>
      </c>
      <c r="O226" s="5" t="s">
        <v>479</v>
      </c>
      <c r="P226" s="16">
        <v>0</v>
      </c>
      <c r="Q226" s="16">
        <v>0</v>
      </c>
      <c r="R226" s="5" t="str">
        <f t="shared" si="29"/>
        <v>73-2024-12-31</v>
      </c>
    </row>
    <row r="227" spans="1:18" x14ac:dyDescent="0.3">
      <c r="A227" s="26">
        <v>74</v>
      </c>
      <c r="B227" s="5" t="s">
        <v>15</v>
      </c>
      <c r="C227" s="5" t="s">
        <v>13</v>
      </c>
      <c r="D227" s="5" t="s">
        <v>8</v>
      </c>
      <c r="E227" s="5" t="s">
        <v>9</v>
      </c>
      <c r="F227" s="17">
        <v>45107</v>
      </c>
      <c r="G227" s="5">
        <f t="shared" si="30"/>
        <v>2023</v>
      </c>
      <c r="H227" s="5" t="str">
        <f t="shared" si="31"/>
        <v>Junio</v>
      </c>
      <c r="I227" s="6" t="str">
        <f t="shared" si="28"/>
        <v>2023-1</v>
      </c>
      <c r="J227" s="5">
        <v>80</v>
      </c>
      <c r="K227" s="5">
        <v>87.179487179486998</v>
      </c>
      <c r="L227" s="8">
        <f>IFERROR(K227/J227,"")</f>
        <v>1.0897435897435874</v>
      </c>
      <c r="M227" s="15">
        <f>IFERROR(IF((K227/J227)&gt;K227/J227,1.3,K227/J227),"")</f>
        <v>1.0897435897435874</v>
      </c>
      <c r="N227" s="5" t="s">
        <v>347</v>
      </c>
      <c r="O227" s="5" t="s">
        <v>347</v>
      </c>
      <c r="P227" s="16">
        <v>0</v>
      </c>
      <c r="Q227" s="16">
        <v>0</v>
      </c>
      <c r="R227" s="5" t="str">
        <f t="shared" si="29"/>
        <v>74-2023-06-30</v>
      </c>
    </row>
    <row r="228" spans="1:18" x14ac:dyDescent="0.3">
      <c r="A228" s="39">
        <v>74</v>
      </c>
      <c r="B228" s="5" t="s">
        <v>15</v>
      </c>
      <c r="C228" s="5" t="s">
        <v>13</v>
      </c>
      <c r="D228" s="5" t="s">
        <v>8</v>
      </c>
      <c r="E228" s="5" t="s">
        <v>9</v>
      </c>
      <c r="F228" s="6">
        <v>45291</v>
      </c>
      <c r="G228" s="5">
        <f t="shared" si="30"/>
        <v>2023</v>
      </c>
      <c r="H228" s="5" t="str">
        <f t="shared" si="31"/>
        <v>Diciembre</v>
      </c>
      <c r="I228" s="6" t="str">
        <f t="shared" si="28"/>
        <v>2023-2</v>
      </c>
      <c r="J228" s="5">
        <v>80</v>
      </c>
      <c r="K228" s="5">
        <v>94.64</v>
      </c>
      <c r="L228" s="8">
        <f>IFERROR(K228/J228,"")</f>
        <v>1.1830000000000001</v>
      </c>
      <c r="M228" s="15">
        <f>IFERROR(IF((K228/J228)&gt;K228/J228,1.3,K228/J228),"")</f>
        <v>1.1830000000000001</v>
      </c>
      <c r="N228" s="5" t="s">
        <v>347</v>
      </c>
      <c r="O228" s="5" t="s">
        <v>347</v>
      </c>
      <c r="P228" s="16">
        <v>0</v>
      </c>
      <c r="Q228" s="16">
        <v>0</v>
      </c>
      <c r="R228" s="5" t="str">
        <f t="shared" si="29"/>
        <v>74-2023-12-31</v>
      </c>
    </row>
    <row r="229" spans="1:18" x14ac:dyDescent="0.3">
      <c r="A229" s="5">
        <v>74</v>
      </c>
      <c r="B229" s="5" t="s">
        <v>15</v>
      </c>
      <c r="C229" s="5" t="s">
        <v>13</v>
      </c>
      <c r="D229" s="5" t="s">
        <v>8</v>
      </c>
      <c r="E229" s="5" t="s">
        <v>9</v>
      </c>
      <c r="F229" s="6">
        <v>45473</v>
      </c>
      <c r="G229" s="5">
        <f t="shared" si="30"/>
        <v>2024</v>
      </c>
      <c r="H229" s="5" t="str">
        <f t="shared" si="31"/>
        <v>Junio</v>
      </c>
      <c r="I229" s="6" t="str">
        <f t="shared" si="28"/>
        <v>2024-1</v>
      </c>
      <c r="J229" s="5">
        <v>80</v>
      </c>
      <c r="K229" s="5">
        <v>91.53</v>
      </c>
      <c r="L229" s="15">
        <v>1.1441250000000001</v>
      </c>
      <c r="M229" s="15">
        <v>1.1441250000000001</v>
      </c>
      <c r="N229" s="5" t="s">
        <v>347</v>
      </c>
      <c r="O229" s="5" t="s">
        <v>347</v>
      </c>
      <c r="P229" s="5">
        <v>0</v>
      </c>
      <c r="Q229" s="5">
        <v>0</v>
      </c>
      <c r="R229" s="5" t="str">
        <f t="shared" si="29"/>
        <v>74-2024-06-30</v>
      </c>
    </row>
    <row r="230" spans="1:18" x14ac:dyDescent="0.3">
      <c r="A230" s="26">
        <v>74</v>
      </c>
      <c r="B230" s="5" t="s">
        <v>15</v>
      </c>
      <c r="C230" s="5" t="s">
        <v>13</v>
      </c>
      <c r="D230" s="5" t="s">
        <v>8</v>
      </c>
      <c r="E230" s="5" t="s">
        <v>9</v>
      </c>
      <c r="F230" s="6">
        <v>45657</v>
      </c>
      <c r="G230" s="5">
        <f t="shared" si="30"/>
        <v>2024</v>
      </c>
      <c r="H230" s="5" t="str">
        <f t="shared" si="31"/>
        <v>Diciembre</v>
      </c>
      <c r="I230" s="6" t="str">
        <f t="shared" si="28"/>
        <v>2024-2</v>
      </c>
      <c r="J230" s="5">
        <v>80</v>
      </c>
      <c r="K230" s="10">
        <v>95.45</v>
      </c>
      <c r="L230" s="15">
        <f>IFERROR(IF((K230/J230)&gt;1.3,1.3,K230/J230),"")</f>
        <v>1.193125</v>
      </c>
      <c r="M230" s="15">
        <f>IFERROR(IF((K230/J230)&gt;K230/J230,1.3,K230/J230),"")</f>
        <v>1.193125</v>
      </c>
      <c r="N230" s="5" t="s">
        <v>347</v>
      </c>
      <c r="O230" s="5" t="s">
        <v>347</v>
      </c>
      <c r="P230" s="16">
        <v>0</v>
      </c>
      <c r="Q230" s="16">
        <v>0</v>
      </c>
      <c r="R230" s="5" t="str">
        <f t="shared" si="29"/>
        <v>74-2024-12-31</v>
      </c>
    </row>
    <row r="231" spans="1:18" x14ac:dyDescent="0.3">
      <c r="A231" s="5">
        <v>77</v>
      </c>
      <c r="B231" s="5" t="s">
        <v>16</v>
      </c>
      <c r="C231" s="5" t="s">
        <v>17</v>
      </c>
      <c r="D231" s="5" t="s">
        <v>18</v>
      </c>
      <c r="E231" s="5" t="s">
        <v>9</v>
      </c>
      <c r="F231" s="6">
        <v>44592</v>
      </c>
      <c r="G231" s="5">
        <f t="shared" si="30"/>
        <v>2022</v>
      </c>
      <c r="H231" s="5" t="str">
        <f t="shared" si="31"/>
        <v>Enero</v>
      </c>
      <c r="I231" s="6" t="str">
        <f t="shared" si="28"/>
        <v>2022-1</v>
      </c>
      <c r="J231" s="5">
        <v>97</v>
      </c>
      <c r="K231" s="5">
        <v>98.2</v>
      </c>
      <c r="L231" s="15">
        <v>1.0123711340206185</v>
      </c>
      <c r="M231" s="15">
        <v>1.0123711340206185</v>
      </c>
      <c r="N231" s="5" t="s">
        <v>347</v>
      </c>
      <c r="O231" s="5" t="s">
        <v>347</v>
      </c>
      <c r="P231" s="5">
        <v>1</v>
      </c>
      <c r="Q231" s="5">
        <v>1</v>
      </c>
      <c r="R231" s="5" t="str">
        <f t="shared" si="29"/>
        <v>77-2022-01-31</v>
      </c>
    </row>
    <row r="232" spans="1:18" x14ac:dyDescent="0.3">
      <c r="A232" s="5">
        <v>77</v>
      </c>
      <c r="B232" s="5" t="s">
        <v>16</v>
      </c>
      <c r="C232" s="5" t="s">
        <v>17</v>
      </c>
      <c r="D232" s="5" t="s">
        <v>18</v>
      </c>
      <c r="E232" s="5" t="s">
        <v>9</v>
      </c>
      <c r="F232" s="6">
        <v>44620</v>
      </c>
      <c r="G232" s="5">
        <f t="shared" si="30"/>
        <v>2022</v>
      </c>
      <c r="H232" s="5" t="str">
        <f t="shared" si="31"/>
        <v>Febrero</v>
      </c>
      <c r="I232" s="6" t="str">
        <f t="shared" si="28"/>
        <v>2022-1</v>
      </c>
      <c r="J232" s="5">
        <v>97</v>
      </c>
      <c r="K232" s="5">
        <v>96.1</v>
      </c>
      <c r="L232" s="15">
        <v>0.990721649484536</v>
      </c>
      <c r="M232" s="15">
        <v>0.990721649484536</v>
      </c>
      <c r="N232" s="5" t="s">
        <v>347</v>
      </c>
      <c r="O232" s="5" t="s">
        <v>347</v>
      </c>
      <c r="P232" s="5">
        <v>1</v>
      </c>
      <c r="Q232" s="5">
        <v>1</v>
      </c>
      <c r="R232" s="5" t="str">
        <f t="shared" si="29"/>
        <v>77-2022-02-28</v>
      </c>
    </row>
    <row r="233" spans="1:18" x14ac:dyDescent="0.3">
      <c r="A233" s="5">
        <v>77</v>
      </c>
      <c r="B233" s="5" t="s">
        <v>16</v>
      </c>
      <c r="C233" s="5" t="s">
        <v>17</v>
      </c>
      <c r="D233" s="5" t="s">
        <v>18</v>
      </c>
      <c r="E233" s="5" t="s">
        <v>9</v>
      </c>
      <c r="F233" s="6">
        <v>44651</v>
      </c>
      <c r="G233" s="5">
        <f t="shared" si="30"/>
        <v>2022</v>
      </c>
      <c r="H233" s="5" t="str">
        <f t="shared" si="31"/>
        <v>Marzo</v>
      </c>
      <c r="I233" s="6" t="str">
        <f t="shared" si="28"/>
        <v>2022-1</v>
      </c>
      <c r="J233" s="5">
        <v>97</v>
      </c>
      <c r="K233" s="5">
        <v>99.1</v>
      </c>
      <c r="L233" s="15">
        <v>1.0216494845360824</v>
      </c>
      <c r="M233" s="15">
        <v>1.0216494845360824</v>
      </c>
      <c r="N233" s="5" t="s">
        <v>347</v>
      </c>
      <c r="O233" s="5" t="s">
        <v>347</v>
      </c>
      <c r="P233" s="5">
        <v>1</v>
      </c>
      <c r="Q233" s="5">
        <v>1</v>
      </c>
      <c r="R233" s="5" t="str">
        <f t="shared" si="29"/>
        <v>77-2022-03-31</v>
      </c>
    </row>
    <row r="234" spans="1:18" x14ac:dyDescent="0.3">
      <c r="A234" s="5">
        <v>77</v>
      </c>
      <c r="B234" s="5" t="s">
        <v>16</v>
      </c>
      <c r="C234" s="5" t="s">
        <v>17</v>
      </c>
      <c r="D234" s="5" t="s">
        <v>18</v>
      </c>
      <c r="E234" s="5" t="s">
        <v>9</v>
      </c>
      <c r="F234" s="6">
        <v>44681</v>
      </c>
      <c r="G234" s="5">
        <f t="shared" si="30"/>
        <v>2022</v>
      </c>
      <c r="H234" s="5" t="str">
        <f t="shared" si="31"/>
        <v>Abril</v>
      </c>
      <c r="I234" s="6" t="str">
        <f t="shared" si="28"/>
        <v>2022-1</v>
      </c>
      <c r="J234" s="5">
        <v>97</v>
      </c>
      <c r="K234" s="5">
        <v>96.5</v>
      </c>
      <c r="L234" s="15">
        <v>0.99484536082474229</v>
      </c>
      <c r="M234" s="15">
        <v>0.99484536082474229</v>
      </c>
      <c r="N234" s="5" t="s">
        <v>347</v>
      </c>
      <c r="O234" s="5" t="s">
        <v>347</v>
      </c>
      <c r="P234" s="5">
        <v>1</v>
      </c>
      <c r="Q234" s="5">
        <v>1</v>
      </c>
      <c r="R234" s="5" t="str">
        <f t="shared" si="29"/>
        <v>77-2022-04-30</v>
      </c>
    </row>
    <row r="235" spans="1:18" x14ac:dyDescent="0.3">
      <c r="A235" s="5">
        <v>77</v>
      </c>
      <c r="B235" s="5" t="s">
        <v>16</v>
      </c>
      <c r="C235" s="5" t="s">
        <v>17</v>
      </c>
      <c r="D235" s="5" t="s">
        <v>18</v>
      </c>
      <c r="E235" s="5" t="s">
        <v>9</v>
      </c>
      <c r="F235" s="6">
        <v>44712</v>
      </c>
      <c r="G235" s="5">
        <f t="shared" si="30"/>
        <v>2022</v>
      </c>
      <c r="H235" s="5" t="str">
        <f t="shared" si="31"/>
        <v>Mayo</v>
      </c>
      <c r="I235" s="6" t="str">
        <f t="shared" si="28"/>
        <v>2022-1</v>
      </c>
      <c r="J235" s="5">
        <v>97</v>
      </c>
      <c r="K235" s="5">
        <v>97.4</v>
      </c>
      <c r="L235" s="15">
        <v>1.0041237113402062</v>
      </c>
      <c r="M235" s="15">
        <v>1.0041237113402062</v>
      </c>
      <c r="N235" s="5" t="s">
        <v>347</v>
      </c>
      <c r="O235" s="5" t="s">
        <v>347</v>
      </c>
      <c r="P235" s="5">
        <v>1</v>
      </c>
      <c r="Q235" s="5">
        <v>1</v>
      </c>
      <c r="R235" s="5" t="str">
        <f t="shared" si="29"/>
        <v>77-2022-05-31</v>
      </c>
    </row>
    <row r="236" spans="1:18" x14ac:dyDescent="0.3">
      <c r="A236" s="5">
        <v>77</v>
      </c>
      <c r="B236" s="5" t="s">
        <v>16</v>
      </c>
      <c r="C236" s="5" t="s">
        <v>17</v>
      </c>
      <c r="D236" s="5" t="s">
        <v>18</v>
      </c>
      <c r="E236" s="5" t="s">
        <v>9</v>
      </c>
      <c r="F236" s="6">
        <v>44742</v>
      </c>
      <c r="G236" s="5">
        <f t="shared" si="30"/>
        <v>2022</v>
      </c>
      <c r="H236" s="5" t="str">
        <f t="shared" si="31"/>
        <v>Junio</v>
      </c>
      <c r="I236" s="6" t="str">
        <f t="shared" si="28"/>
        <v>2022-1</v>
      </c>
      <c r="J236" s="5">
        <v>97</v>
      </c>
      <c r="K236" s="5">
        <v>98.8</v>
      </c>
      <c r="L236" s="15">
        <v>1.0185567010309278</v>
      </c>
      <c r="M236" s="15">
        <v>1.0185567010309278</v>
      </c>
      <c r="N236" s="5" t="s">
        <v>347</v>
      </c>
      <c r="O236" s="5" t="s">
        <v>347</v>
      </c>
      <c r="P236" s="5">
        <v>1</v>
      </c>
      <c r="Q236" s="5">
        <v>1</v>
      </c>
      <c r="R236" s="5" t="str">
        <f t="shared" si="29"/>
        <v>77-2022-06-30</v>
      </c>
    </row>
    <row r="237" spans="1:18" x14ac:dyDescent="0.3">
      <c r="A237" s="5">
        <v>77</v>
      </c>
      <c r="B237" s="5" t="s">
        <v>16</v>
      </c>
      <c r="C237" s="5" t="s">
        <v>17</v>
      </c>
      <c r="D237" s="5" t="s">
        <v>18</v>
      </c>
      <c r="E237" s="5" t="s">
        <v>9</v>
      </c>
      <c r="F237" s="6">
        <v>44773</v>
      </c>
      <c r="G237" s="5">
        <f t="shared" si="30"/>
        <v>2022</v>
      </c>
      <c r="H237" s="5" t="str">
        <f t="shared" si="31"/>
        <v>Julio</v>
      </c>
      <c r="I237" s="6" t="str">
        <f t="shared" si="28"/>
        <v>2022-2</v>
      </c>
      <c r="J237" s="5">
        <v>97</v>
      </c>
      <c r="K237" s="5">
        <v>97.09</v>
      </c>
      <c r="L237" s="15">
        <v>1.0009278350515465</v>
      </c>
      <c r="M237" s="15">
        <v>1.0009278350515465</v>
      </c>
      <c r="N237" s="5" t="s">
        <v>347</v>
      </c>
      <c r="O237" s="5" t="s">
        <v>347</v>
      </c>
      <c r="P237" s="5">
        <v>1</v>
      </c>
      <c r="Q237" s="5">
        <v>1</v>
      </c>
      <c r="R237" s="5" t="str">
        <f t="shared" si="29"/>
        <v>77-2022-07-31</v>
      </c>
    </row>
    <row r="238" spans="1:18" x14ac:dyDescent="0.3">
      <c r="A238" s="5">
        <v>77</v>
      </c>
      <c r="B238" s="5" t="s">
        <v>16</v>
      </c>
      <c r="C238" s="5" t="s">
        <v>17</v>
      </c>
      <c r="D238" s="5" t="s">
        <v>18</v>
      </c>
      <c r="E238" s="5" t="s">
        <v>9</v>
      </c>
      <c r="F238" s="6">
        <v>44804</v>
      </c>
      <c r="G238" s="5">
        <f t="shared" si="30"/>
        <v>2022</v>
      </c>
      <c r="H238" s="5" t="str">
        <f t="shared" si="31"/>
        <v>Agosto</v>
      </c>
      <c r="I238" s="6" t="str">
        <f t="shared" si="28"/>
        <v>2022-2</v>
      </c>
      <c r="J238" s="5">
        <v>97</v>
      </c>
      <c r="K238" s="5">
        <v>99.01</v>
      </c>
      <c r="L238" s="15">
        <v>1.0207216494845361</v>
      </c>
      <c r="M238" s="15">
        <v>1.0207216494845361</v>
      </c>
      <c r="N238" s="5" t="s">
        <v>347</v>
      </c>
      <c r="O238" s="5" t="s">
        <v>347</v>
      </c>
      <c r="P238" s="5">
        <v>1</v>
      </c>
      <c r="Q238" s="5">
        <v>1</v>
      </c>
      <c r="R238" s="5" t="str">
        <f t="shared" si="29"/>
        <v>77-2022-08-31</v>
      </c>
    </row>
    <row r="239" spans="1:18" x14ac:dyDescent="0.3">
      <c r="A239" s="5">
        <v>77</v>
      </c>
      <c r="B239" s="5" t="s">
        <v>16</v>
      </c>
      <c r="C239" s="5" t="s">
        <v>17</v>
      </c>
      <c r="D239" s="5" t="s">
        <v>18</v>
      </c>
      <c r="E239" s="5" t="s">
        <v>9</v>
      </c>
      <c r="F239" s="6">
        <v>44834</v>
      </c>
      <c r="G239" s="5">
        <f t="shared" si="30"/>
        <v>2022</v>
      </c>
      <c r="H239" s="5" t="str">
        <f t="shared" si="31"/>
        <v>Septiembre</v>
      </c>
      <c r="I239" s="6" t="str">
        <f t="shared" si="28"/>
        <v>2022-2</v>
      </c>
      <c r="J239" s="5">
        <v>97</v>
      </c>
      <c r="K239" s="5">
        <v>98.6</v>
      </c>
      <c r="L239" s="15">
        <v>1.0164948453608247</v>
      </c>
      <c r="M239" s="15">
        <v>1.0164948453608247</v>
      </c>
      <c r="N239" s="5" t="s">
        <v>347</v>
      </c>
      <c r="O239" s="5" t="s">
        <v>347</v>
      </c>
      <c r="P239" s="5">
        <v>1</v>
      </c>
      <c r="Q239" s="5">
        <v>1</v>
      </c>
      <c r="R239" s="5" t="str">
        <f t="shared" si="29"/>
        <v>77-2022-09-30</v>
      </c>
    </row>
    <row r="240" spans="1:18" x14ac:dyDescent="0.3">
      <c r="A240" s="5">
        <v>77</v>
      </c>
      <c r="B240" s="5" t="s">
        <v>16</v>
      </c>
      <c r="C240" s="5" t="s">
        <v>17</v>
      </c>
      <c r="D240" s="5" t="s">
        <v>18</v>
      </c>
      <c r="E240" s="5" t="s">
        <v>9</v>
      </c>
      <c r="F240" s="6">
        <v>44865</v>
      </c>
      <c r="G240" s="5">
        <f t="shared" si="30"/>
        <v>2022</v>
      </c>
      <c r="H240" s="5" t="str">
        <f t="shared" si="31"/>
        <v>Octubre</v>
      </c>
      <c r="I240" s="6" t="str">
        <f t="shared" si="28"/>
        <v>2022-2</v>
      </c>
      <c r="J240" s="5">
        <v>97</v>
      </c>
      <c r="K240" s="5">
        <v>98.3</v>
      </c>
      <c r="L240" s="15">
        <v>1.0134020618556701</v>
      </c>
      <c r="M240" s="15">
        <v>1.0134020618556701</v>
      </c>
      <c r="N240" s="5" t="s">
        <v>347</v>
      </c>
      <c r="O240" s="5" t="s">
        <v>347</v>
      </c>
      <c r="P240" s="5">
        <v>1</v>
      </c>
      <c r="Q240" s="5">
        <v>1</v>
      </c>
      <c r="R240" s="5" t="str">
        <f t="shared" si="29"/>
        <v>77-2022-10-31</v>
      </c>
    </row>
    <row r="241" spans="1:18" x14ac:dyDescent="0.3">
      <c r="A241" s="5">
        <v>77</v>
      </c>
      <c r="B241" s="5" t="s">
        <v>16</v>
      </c>
      <c r="C241" s="5" t="s">
        <v>17</v>
      </c>
      <c r="D241" s="5" t="s">
        <v>18</v>
      </c>
      <c r="E241" s="5" t="s">
        <v>9</v>
      </c>
      <c r="F241" s="6">
        <v>44895</v>
      </c>
      <c r="G241" s="5">
        <f t="shared" si="30"/>
        <v>2022</v>
      </c>
      <c r="H241" s="5" t="str">
        <f t="shared" si="31"/>
        <v>Noviembre</v>
      </c>
      <c r="I241" s="6" t="str">
        <f t="shared" si="28"/>
        <v>2022-2</v>
      </c>
      <c r="J241" s="5">
        <v>97</v>
      </c>
      <c r="K241" s="5">
        <v>98.2</v>
      </c>
      <c r="L241" s="15">
        <v>1.0123711340206185</v>
      </c>
      <c r="M241" s="15">
        <v>1.0123711340206185</v>
      </c>
      <c r="N241" s="5" t="s">
        <v>347</v>
      </c>
      <c r="O241" s="5" t="s">
        <v>347</v>
      </c>
      <c r="P241" s="5">
        <v>1</v>
      </c>
      <c r="Q241" s="5">
        <v>1</v>
      </c>
      <c r="R241" s="5" t="str">
        <f t="shared" si="29"/>
        <v>77-2022-11-30</v>
      </c>
    </row>
    <row r="242" spans="1:18" x14ac:dyDescent="0.3">
      <c r="A242" s="5">
        <v>77</v>
      </c>
      <c r="B242" s="5" t="s">
        <v>16</v>
      </c>
      <c r="C242" s="5" t="s">
        <v>17</v>
      </c>
      <c r="D242" s="5" t="s">
        <v>18</v>
      </c>
      <c r="E242" s="5" t="s">
        <v>9</v>
      </c>
      <c r="F242" s="6">
        <v>44926</v>
      </c>
      <c r="G242" s="5">
        <f t="shared" si="30"/>
        <v>2022</v>
      </c>
      <c r="H242" s="5" t="str">
        <f t="shared" si="31"/>
        <v>Diciembre</v>
      </c>
      <c r="I242" s="6" t="str">
        <f t="shared" si="28"/>
        <v>2022-2</v>
      </c>
      <c r="J242" s="5">
        <v>97</v>
      </c>
      <c r="K242" s="5">
        <v>97.5</v>
      </c>
      <c r="L242" s="15">
        <v>1.0051546391752577</v>
      </c>
      <c r="M242" s="15">
        <v>1.0051546391752577</v>
      </c>
      <c r="N242" s="5" t="s">
        <v>347</v>
      </c>
      <c r="O242" s="5" t="s">
        <v>347</v>
      </c>
      <c r="P242" s="5">
        <v>1</v>
      </c>
      <c r="Q242" s="5">
        <v>1</v>
      </c>
      <c r="R242" s="5" t="str">
        <f t="shared" si="29"/>
        <v>77-2022-12-31</v>
      </c>
    </row>
    <row r="243" spans="1:18" x14ac:dyDescent="0.3">
      <c r="A243" s="26">
        <v>77</v>
      </c>
      <c r="B243" s="5" t="s">
        <v>16</v>
      </c>
      <c r="C243" s="5" t="s">
        <v>343</v>
      </c>
      <c r="D243" s="5" t="s">
        <v>18</v>
      </c>
      <c r="E243" s="5" t="s">
        <v>9</v>
      </c>
      <c r="F243" s="6">
        <v>44957</v>
      </c>
      <c r="G243" s="5">
        <f t="shared" si="30"/>
        <v>2023</v>
      </c>
      <c r="H243" s="5" t="str">
        <f t="shared" si="31"/>
        <v>Enero</v>
      </c>
      <c r="I243" s="6" t="str">
        <f t="shared" si="28"/>
        <v>2023-1</v>
      </c>
      <c r="J243" s="5">
        <v>97</v>
      </c>
      <c r="K243" s="10">
        <v>97.5</v>
      </c>
      <c r="L243" s="15">
        <f t="shared" ref="L243:L266" si="36">IFERROR(IF((K243/J243)&gt;1.3,1.3,K243/J243),"")</f>
        <v>1.0051546391752577</v>
      </c>
      <c r="M243" s="15">
        <f t="shared" ref="M243:M272" si="37">IFERROR(IF((K243/J243)&gt;K243/J243,1.3,K243/J243),"")</f>
        <v>1.0051546391752577</v>
      </c>
      <c r="N243" s="5" t="s">
        <v>347</v>
      </c>
      <c r="O243" s="5" t="s">
        <v>347</v>
      </c>
      <c r="P243" s="16">
        <v>1</v>
      </c>
      <c r="Q243" s="16">
        <v>1</v>
      </c>
      <c r="R243" s="5" t="str">
        <f t="shared" si="29"/>
        <v>77-2023-01-31</v>
      </c>
    </row>
    <row r="244" spans="1:18" x14ac:dyDescent="0.3">
      <c r="A244" s="26">
        <v>77</v>
      </c>
      <c r="B244" s="5" t="s">
        <v>16</v>
      </c>
      <c r="C244" s="5" t="s">
        <v>343</v>
      </c>
      <c r="D244" s="5" t="s">
        <v>18</v>
      </c>
      <c r="E244" s="5" t="s">
        <v>9</v>
      </c>
      <c r="F244" s="17">
        <v>44985</v>
      </c>
      <c r="G244" s="5">
        <f t="shared" si="30"/>
        <v>2023</v>
      </c>
      <c r="H244" s="5" t="str">
        <f t="shared" si="31"/>
        <v>Febrero</v>
      </c>
      <c r="I244" s="6" t="str">
        <f t="shared" si="28"/>
        <v>2023-1</v>
      </c>
      <c r="J244" s="5">
        <v>97</v>
      </c>
      <c r="K244" s="10">
        <v>97.2</v>
      </c>
      <c r="L244" s="15">
        <f t="shared" si="36"/>
        <v>1.0020618556701031</v>
      </c>
      <c r="M244" s="15">
        <f t="shared" si="37"/>
        <v>1.0020618556701031</v>
      </c>
      <c r="N244" s="5" t="s">
        <v>347</v>
      </c>
      <c r="O244" s="5" t="s">
        <v>347</v>
      </c>
      <c r="P244" s="16">
        <v>1</v>
      </c>
      <c r="Q244" s="16">
        <v>1</v>
      </c>
      <c r="R244" s="5" t="str">
        <f t="shared" si="29"/>
        <v>77-2023-02-28</v>
      </c>
    </row>
    <row r="245" spans="1:18" x14ac:dyDescent="0.3">
      <c r="A245" s="26">
        <v>77</v>
      </c>
      <c r="B245" s="5" t="s">
        <v>16</v>
      </c>
      <c r="C245" s="5" t="s">
        <v>343</v>
      </c>
      <c r="D245" s="5" t="s">
        <v>18</v>
      </c>
      <c r="E245" s="5" t="s">
        <v>9</v>
      </c>
      <c r="F245" s="6">
        <v>45016</v>
      </c>
      <c r="G245" s="5">
        <f t="shared" si="30"/>
        <v>2023</v>
      </c>
      <c r="H245" s="5" t="str">
        <f t="shared" si="31"/>
        <v>Marzo</v>
      </c>
      <c r="I245" s="6" t="str">
        <f t="shared" si="28"/>
        <v>2023-1</v>
      </c>
      <c r="J245" s="5">
        <v>97</v>
      </c>
      <c r="K245" s="10">
        <v>97.8</v>
      </c>
      <c r="L245" s="15">
        <f t="shared" si="36"/>
        <v>1.0082474226804123</v>
      </c>
      <c r="M245" s="15">
        <f t="shared" si="37"/>
        <v>1.0082474226804123</v>
      </c>
      <c r="N245" s="5" t="s">
        <v>347</v>
      </c>
      <c r="O245" s="5" t="s">
        <v>347</v>
      </c>
      <c r="P245" s="16">
        <v>1</v>
      </c>
      <c r="Q245" s="16">
        <v>1</v>
      </c>
      <c r="R245" s="5" t="str">
        <f t="shared" si="29"/>
        <v>77-2023-03-31</v>
      </c>
    </row>
    <row r="246" spans="1:18" x14ac:dyDescent="0.3">
      <c r="A246" s="26">
        <v>77</v>
      </c>
      <c r="B246" s="5" t="s">
        <v>16</v>
      </c>
      <c r="C246" s="5" t="s">
        <v>343</v>
      </c>
      <c r="D246" s="5" t="s">
        <v>18</v>
      </c>
      <c r="E246" s="5" t="s">
        <v>9</v>
      </c>
      <c r="F246" s="6">
        <v>45046</v>
      </c>
      <c r="G246" s="5">
        <f t="shared" si="30"/>
        <v>2023</v>
      </c>
      <c r="H246" s="5" t="str">
        <f t="shared" si="31"/>
        <v>Abril</v>
      </c>
      <c r="I246" s="6" t="str">
        <f t="shared" si="28"/>
        <v>2023-1</v>
      </c>
      <c r="J246" s="5">
        <v>97</v>
      </c>
      <c r="K246" s="10">
        <v>95.6</v>
      </c>
      <c r="L246" s="15">
        <f t="shared" si="36"/>
        <v>0.98556701030927829</v>
      </c>
      <c r="M246" s="15">
        <f t="shared" si="37"/>
        <v>0.98556701030927829</v>
      </c>
      <c r="N246" s="5" t="s">
        <v>347</v>
      </c>
      <c r="O246" s="5" t="s">
        <v>347</v>
      </c>
      <c r="P246" s="16">
        <v>1</v>
      </c>
      <c r="Q246" s="16">
        <v>1</v>
      </c>
      <c r="R246" s="5" t="str">
        <f t="shared" si="29"/>
        <v>77-2023-04-30</v>
      </c>
    </row>
    <row r="247" spans="1:18" x14ac:dyDescent="0.3">
      <c r="A247" s="26">
        <v>77</v>
      </c>
      <c r="B247" s="5" t="s">
        <v>16</v>
      </c>
      <c r="C247" s="5" t="s">
        <v>343</v>
      </c>
      <c r="D247" s="5" t="s">
        <v>18</v>
      </c>
      <c r="E247" s="5" t="s">
        <v>9</v>
      </c>
      <c r="F247" s="6">
        <v>45077</v>
      </c>
      <c r="G247" s="5">
        <f t="shared" si="30"/>
        <v>2023</v>
      </c>
      <c r="H247" s="5" t="str">
        <f t="shared" si="31"/>
        <v>Mayo</v>
      </c>
      <c r="I247" s="6" t="str">
        <f t="shared" si="28"/>
        <v>2023-1</v>
      </c>
      <c r="J247" s="5">
        <v>97</v>
      </c>
      <c r="K247" s="10">
        <v>99.4</v>
      </c>
      <c r="L247" s="15">
        <f t="shared" si="36"/>
        <v>1.0247422680412372</v>
      </c>
      <c r="M247" s="15">
        <f t="shared" si="37"/>
        <v>1.0247422680412372</v>
      </c>
      <c r="N247" s="5" t="s">
        <v>347</v>
      </c>
      <c r="O247" s="5" t="s">
        <v>347</v>
      </c>
      <c r="P247" s="16">
        <v>1</v>
      </c>
      <c r="Q247" s="16">
        <v>1</v>
      </c>
      <c r="R247" s="5" t="str">
        <f t="shared" si="29"/>
        <v>77-2023-05-31</v>
      </c>
    </row>
    <row r="248" spans="1:18" x14ac:dyDescent="0.3">
      <c r="A248" s="26">
        <v>77</v>
      </c>
      <c r="B248" s="5" t="s">
        <v>16</v>
      </c>
      <c r="C248" s="5" t="s">
        <v>343</v>
      </c>
      <c r="D248" s="5" t="s">
        <v>18</v>
      </c>
      <c r="E248" s="5" t="s">
        <v>9</v>
      </c>
      <c r="F248" s="6">
        <v>45107</v>
      </c>
      <c r="G248" s="5">
        <f t="shared" si="30"/>
        <v>2023</v>
      </c>
      <c r="H248" s="5" t="str">
        <f t="shared" si="31"/>
        <v>Junio</v>
      </c>
      <c r="I248" s="6" t="str">
        <f t="shared" si="28"/>
        <v>2023-1</v>
      </c>
      <c r="J248" s="5">
        <v>97</v>
      </c>
      <c r="K248" s="10">
        <v>98.6</v>
      </c>
      <c r="L248" s="15">
        <f t="shared" si="36"/>
        <v>1.0164948453608247</v>
      </c>
      <c r="M248" s="15">
        <f t="shared" si="37"/>
        <v>1.0164948453608247</v>
      </c>
      <c r="N248" s="5" t="s">
        <v>347</v>
      </c>
      <c r="O248" s="5" t="s">
        <v>347</v>
      </c>
      <c r="P248" s="16">
        <v>1</v>
      </c>
      <c r="Q248" s="16">
        <v>1</v>
      </c>
      <c r="R248" s="5" t="str">
        <f t="shared" si="29"/>
        <v>77-2023-06-30</v>
      </c>
    </row>
    <row r="249" spans="1:18" x14ac:dyDescent="0.3">
      <c r="A249" s="26">
        <v>77</v>
      </c>
      <c r="B249" s="5" t="s">
        <v>16</v>
      </c>
      <c r="C249" s="5" t="s">
        <v>343</v>
      </c>
      <c r="D249" s="5" t="s">
        <v>18</v>
      </c>
      <c r="E249" s="5" t="s">
        <v>9</v>
      </c>
      <c r="F249" s="6">
        <v>45138</v>
      </c>
      <c r="G249" s="5">
        <f t="shared" si="30"/>
        <v>2023</v>
      </c>
      <c r="H249" s="5" t="str">
        <f t="shared" si="31"/>
        <v>Julio</v>
      </c>
      <c r="I249" s="6" t="str">
        <f t="shared" si="28"/>
        <v>2023-2</v>
      </c>
      <c r="J249" s="5">
        <v>97</v>
      </c>
      <c r="K249" s="10">
        <v>96.7</v>
      </c>
      <c r="L249" s="15">
        <f t="shared" si="36"/>
        <v>0.99690721649484537</v>
      </c>
      <c r="M249" s="15">
        <f t="shared" si="37"/>
        <v>0.99690721649484537</v>
      </c>
      <c r="N249" s="5" t="s">
        <v>347</v>
      </c>
      <c r="O249" s="5" t="s">
        <v>347</v>
      </c>
      <c r="P249" s="16">
        <v>1</v>
      </c>
      <c r="Q249" s="16">
        <v>1</v>
      </c>
      <c r="R249" s="5" t="str">
        <f t="shared" si="29"/>
        <v>77-2023-07-31</v>
      </c>
    </row>
    <row r="250" spans="1:18" x14ac:dyDescent="0.3">
      <c r="A250" s="26">
        <v>77</v>
      </c>
      <c r="B250" s="5" t="s">
        <v>16</v>
      </c>
      <c r="C250" s="5" t="s">
        <v>343</v>
      </c>
      <c r="D250" s="5" t="s">
        <v>18</v>
      </c>
      <c r="E250" s="5" t="s">
        <v>9</v>
      </c>
      <c r="F250" s="6">
        <v>45169</v>
      </c>
      <c r="G250" s="5">
        <f t="shared" si="30"/>
        <v>2023</v>
      </c>
      <c r="H250" s="5" t="str">
        <f t="shared" si="31"/>
        <v>Agosto</v>
      </c>
      <c r="I250" s="6" t="str">
        <f t="shared" si="28"/>
        <v>2023-2</v>
      </c>
      <c r="J250" s="5">
        <v>97</v>
      </c>
      <c r="K250" s="10">
        <v>98</v>
      </c>
      <c r="L250" s="15">
        <f t="shared" si="36"/>
        <v>1.0103092783505154</v>
      </c>
      <c r="M250" s="15">
        <f t="shared" si="37"/>
        <v>1.0103092783505154</v>
      </c>
      <c r="N250" s="5" t="s">
        <v>347</v>
      </c>
      <c r="O250" s="5" t="s">
        <v>347</v>
      </c>
      <c r="P250" s="16">
        <v>0</v>
      </c>
      <c r="Q250" s="16">
        <v>0</v>
      </c>
      <c r="R250" s="5" t="str">
        <f t="shared" si="29"/>
        <v>77-2023-08-31</v>
      </c>
    </row>
    <row r="251" spans="1:18" x14ac:dyDescent="0.3">
      <c r="A251" s="26">
        <v>77</v>
      </c>
      <c r="B251" s="5" t="s">
        <v>16</v>
      </c>
      <c r="C251" s="5" t="s">
        <v>343</v>
      </c>
      <c r="D251" s="5" t="s">
        <v>18</v>
      </c>
      <c r="E251" s="5" t="s">
        <v>9</v>
      </c>
      <c r="F251" s="6">
        <v>45199</v>
      </c>
      <c r="G251" s="5">
        <f t="shared" si="30"/>
        <v>2023</v>
      </c>
      <c r="H251" s="5" t="str">
        <f t="shared" si="31"/>
        <v>Septiembre</v>
      </c>
      <c r="I251" s="6" t="str">
        <f t="shared" si="28"/>
        <v>2023-2</v>
      </c>
      <c r="J251" s="5">
        <v>97</v>
      </c>
      <c r="K251" s="10">
        <v>97.4</v>
      </c>
      <c r="L251" s="15">
        <f t="shared" si="36"/>
        <v>1.0041237113402062</v>
      </c>
      <c r="M251" s="15">
        <f t="shared" si="37"/>
        <v>1.0041237113402062</v>
      </c>
      <c r="N251" s="5" t="s">
        <v>347</v>
      </c>
      <c r="O251" s="5" t="s">
        <v>347</v>
      </c>
      <c r="P251" s="16">
        <v>1</v>
      </c>
      <c r="Q251" s="16">
        <v>1</v>
      </c>
      <c r="R251" s="5" t="str">
        <f t="shared" si="29"/>
        <v>77-2023-09-30</v>
      </c>
    </row>
    <row r="252" spans="1:18" x14ac:dyDescent="0.3">
      <c r="A252" s="26">
        <v>77</v>
      </c>
      <c r="B252" s="5" t="s">
        <v>16</v>
      </c>
      <c r="C252" s="5" t="s">
        <v>343</v>
      </c>
      <c r="D252" s="5" t="s">
        <v>18</v>
      </c>
      <c r="E252" s="5" t="s">
        <v>9</v>
      </c>
      <c r="F252" s="6">
        <v>45230</v>
      </c>
      <c r="G252" s="5">
        <f t="shared" si="30"/>
        <v>2023</v>
      </c>
      <c r="H252" s="5" t="str">
        <f t="shared" si="31"/>
        <v>Octubre</v>
      </c>
      <c r="I252" s="6" t="str">
        <f t="shared" si="28"/>
        <v>2023-2</v>
      </c>
      <c r="J252" s="5">
        <v>97</v>
      </c>
      <c r="K252" s="10">
        <v>97.5</v>
      </c>
      <c r="L252" s="15">
        <f t="shared" si="36"/>
        <v>1.0051546391752577</v>
      </c>
      <c r="M252" s="15">
        <f t="shared" si="37"/>
        <v>1.0051546391752577</v>
      </c>
      <c r="N252" s="5" t="s">
        <v>347</v>
      </c>
      <c r="O252" s="5" t="s">
        <v>347</v>
      </c>
      <c r="P252" s="16">
        <v>1</v>
      </c>
      <c r="Q252" s="16">
        <v>1</v>
      </c>
      <c r="R252" s="5" t="str">
        <f t="shared" si="29"/>
        <v>77-2023-10-31</v>
      </c>
    </row>
    <row r="253" spans="1:18" x14ac:dyDescent="0.3">
      <c r="A253" s="26">
        <v>77</v>
      </c>
      <c r="B253" s="5" t="s">
        <v>16</v>
      </c>
      <c r="C253" s="5" t="s">
        <v>343</v>
      </c>
      <c r="D253" s="5" t="s">
        <v>18</v>
      </c>
      <c r="E253" s="5" t="s">
        <v>9</v>
      </c>
      <c r="F253" s="6">
        <v>45260</v>
      </c>
      <c r="G253" s="5">
        <f t="shared" si="30"/>
        <v>2023</v>
      </c>
      <c r="H253" s="5" t="str">
        <f t="shared" si="31"/>
        <v>Noviembre</v>
      </c>
      <c r="I253" s="6" t="str">
        <f t="shared" si="28"/>
        <v>2023-2</v>
      </c>
      <c r="J253" s="5">
        <v>97</v>
      </c>
      <c r="K253" s="10">
        <v>97.3</v>
      </c>
      <c r="L253" s="15">
        <f t="shared" si="36"/>
        <v>1.0030927835051546</v>
      </c>
      <c r="M253" s="15">
        <f t="shared" si="37"/>
        <v>1.0030927835051546</v>
      </c>
      <c r="N253" s="5" t="s">
        <v>347</v>
      </c>
      <c r="O253" s="5" t="s">
        <v>347</v>
      </c>
      <c r="P253" s="16">
        <v>1</v>
      </c>
      <c r="Q253" s="16">
        <v>1</v>
      </c>
      <c r="R253" s="5" t="str">
        <f t="shared" si="29"/>
        <v>77-2023-11-30</v>
      </c>
    </row>
    <row r="254" spans="1:18" x14ac:dyDescent="0.3">
      <c r="A254" s="39">
        <v>77</v>
      </c>
      <c r="B254" s="5" t="s">
        <v>16</v>
      </c>
      <c r="C254" s="5" t="s">
        <v>343</v>
      </c>
      <c r="D254" s="5" t="s">
        <v>18</v>
      </c>
      <c r="E254" s="5" t="s">
        <v>9</v>
      </c>
      <c r="F254" s="6">
        <v>45291</v>
      </c>
      <c r="G254" s="5">
        <f t="shared" si="30"/>
        <v>2023</v>
      </c>
      <c r="H254" s="5" t="str">
        <f t="shared" si="31"/>
        <v>Diciembre</v>
      </c>
      <c r="I254" s="6" t="str">
        <f t="shared" ref="I254:I313" si="38">IF(OR(H254="Enero",H254="Febrero",H254="Marzo",H254="Abril",H254="Mayo",H254="Junio"),G254&amp;"-1",IF(OR(H254="Julio",H254="Agosto",H254="Septiembre",H254="Octubre",H254="Noviembre",H254="Diciembre"),G254&amp;"-2"))</f>
        <v>2023-2</v>
      </c>
      <c r="J254" s="5">
        <v>97</v>
      </c>
      <c r="K254" s="10">
        <v>98.6</v>
      </c>
      <c r="L254" s="15">
        <f t="shared" si="36"/>
        <v>1.0164948453608247</v>
      </c>
      <c r="M254" s="15">
        <f t="shared" si="37"/>
        <v>1.0164948453608247</v>
      </c>
      <c r="N254" s="5" t="s">
        <v>347</v>
      </c>
      <c r="O254" s="5" t="s">
        <v>347</v>
      </c>
      <c r="P254" s="16">
        <v>1</v>
      </c>
      <c r="Q254" s="16">
        <v>1</v>
      </c>
      <c r="R254" s="5" t="str">
        <f t="shared" ref="R254:R313" si="39">A254&amp;"-"&amp;YEAR(F254)&amp;"-"&amp;IF(LEN(MONTH(F254))=1,"0"&amp;MONTH(F254),MONTH(F254))&amp;"-"&amp;DAY(F254)</f>
        <v>77-2023-12-31</v>
      </c>
    </row>
    <row r="255" spans="1:18" x14ac:dyDescent="0.3">
      <c r="A255" s="26">
        <v>77</v>
      </c>
      <c r="B255" s="5" t="s">
        <v>16</v>
      </c>
      <c r="C255" s="5" t="s">
        <v>343</v>
      </c>
      <c r="D255" s="5" t="s">
        <v>18</v>
      </c>
      <c r="E255" s="5" t="s">
        <v>9</v>
      </c>
      <c r="F255" s="6">
        <v>45322</v>
      </c>
      <c r="G255" s="5">
        <f t="shared" si="30"/>
        <v>2024</v>
      </c>
      <c r="H255" s="5" t="str">
        <f t="shared" si="31"/>
        <v>Enero</v>
      </c>
      <c r="I255" s="6" t="str">
        <f t="shared" si="38"/>
        <v>2024-1</v>
      </c>
      <c r="J255" s="5">
        <v>97</v>
      </c>
      <c r="K255" s="10">
        <v>97</v>
      </c>
      <c r="L255" s="15">
        <f t="shared" si="36"/>
        <v>1</v>
      </c>
      <c r="M255" s="15">
        <f t="shared" si="37"/>
        <v>1</v>
      </c>
      <c r="N255" s="5" t="s">
        <v>347</v>
      </c>
      <c r="O255" s="5" t="s">
        <v>347</v>
      </c>
      <c r="P255" s="16">
        <v>1</v>
      </c>
      <c r="Q255" s="16">
        <v>1</v>
      </c>
      <c r="R255" s="5" t="str">
        <f t="shared" si="39"/>
        <v>77-2024-01-31</v>
      </c>
    </row>
    <row r="256" spans="1:18" x14ac:dyDescent="0.3">
      <c r="A256" s="26">
        <v>77</v>
      </c>
      <c r="B256" s="5" t="s">
        <v>16</v>
      </c>
      <c r="C256" s="5" t="s">
        <v>17</v>
      </c>
      <c r="D256" s="5" t="s">
        <v>18</v>
      </c>
      <c r="E256" s="5" t="s">
        <v>9</v>
      </c>
      <c r="F256" s="6">
        <v>45351</v>
      </c>
      <c r="G256" s="5">
        <f t="shared" si="30"/>
        <v>2024</v>
      </c>
      <c r="H256" s="5" t="str">
        <f t="shared" si="31"/>
        <v>Febrero</v>
      </c>
      <c r="I256" s="6" t="str">
        <f t="shared" si="38"/>
        <v>2024-1</v>
      </c>
      <c r="J256" s="5">
        <v>97</v>
      </c>
      <c r="K256" s="10">
        <v>98</v>
      </c>
      <c r="L256" s="15">
        <f t="shared" si="36"/>
        <v>1.0103092783505154</v>
      </c>
      <c r="M256" s="15">
        <f t="shared" si="37"/>
        <v>1.0103092783505154</v>
      </c>
      <c r="N256" s="5" t="s">
        <v>347</v>
      </c>
      <c r="O256" s="5" t="s">
        <v>347</v>
      </c>
      <c r="P256" s="16">
        <v>1</v>
      </c>
      <c r="Q256" s="16">
        <v>1</v>
      </c>
      <c r="R256" s="5" t="str">
        <f t="shared" si="39"/>
        <v>77-2024-02-29</v>
      </c>
    </row>
    <row r="257" spans="1:18" x14ac:dyDescent="0.3">
      <c r="A257" s="26">
        <v>77</v>
      </c>
      <c r="B257" s="5" t="s">
        <v>16</v>
      </c>
      <c r="C257" s="5" t="s">
        <v>343</v>
      </c>
      <c r="D257" s="5" t="s">
        <v>18</v>
      </c>
      <c r="E257" s="5" t="s">
        <v>9</v>
      </c>
      <c r="F257" s="6">
        <v>45382</v>
      </c>
      <c r="G257" s="5">
        <f t="shared" si="30"/>
        <v>2024</v>
      </c>
      <c r="H257" s="5" t="str">
        <f t="shared" si="31"/>
        <v>Marzo</v>
      </c>
      <c r="I257" s="6" t="str">
        <f t="shared" si="38"/>
        <v>2024-1</v>
      </c>
      <c r="J257" s="5">
        <v>97</v>
      </c>
      <c r="K257" s="10">
        <v>99.1</v>
      </c>
      <c r="L257" s="15">
        <f t="shared" si="36"/>
        <v>1.0216494845360824</v>
      </c>
      <c r="M257" s="15">
        <f t="shared" si="37"/>
        <v>1.0216494845360824</v>
      </c>
      <c r="N257" s="5" t="s">
        <v>347</v>
      </c>
      <c r="O257" s="5" t="s">
        <v>347</v>
      </c>
      <c r="P257" s="16">
        <v>1</v>
      </c>
      <c r="Q257" s="16">
        <v>1</v>
      </c>
      <c r="R257" s="5" t="str">
        <f t="shared" si="39"/>
        <v>77-2024-03-31</v>
      </c>
    </row>
    <row r="258" spans="1:18" x14ac:dyDescent="0.3">
      <c r="A258" s="26">
        <v>77</v>
      </c>
      <c r="B258" s="5" t="s">
        <v>16</v>
      </c>
      <c r="C258" s="5" t="s">
        <v>343</v>
      </c>
      <c r="D258" s="5" t="s">
        <v>18</v>
      </c>
      <c r="E258" s="5" t="s">
        <v>9</v>
      </c>
      <c r="F258" s="6">
        <v>45412</v>
      </c>
      <c r="G258" s="5">
        <f t="shared" ref="G258:G321" si="40">YEAR(F258)</f>
        <v>2024</v>
      </c>
      <c r="H258" s="5" t="str">
        <f t="shared" ref="H258:H321" si="41">PROPER(TEXT(F258,"mmmm"))</f>
        <v>Abril</v>
      </c>
      <c r="I258" s="6" t="str">
        <f t="shared" si="38"/>
        <v>2024-1</v>
      </c>
      <c r="J258" s="5">
        <v>97</v>
      </c>
      <c r="K258" s="10">
        <v>98.09</v>
      </c>
      <c r="L258" s="15">
        <f t="shared" si="36"/>
        <v>1.0112371134020619</v>
      </c>
      <c r="M258" s="15">
        <f t="shared" si="37"/>
        <v>1.0112371134020619</v>
      </c>
      <c r="N258" s="5" t="s">
        <v>347</v>
      </c>
      <c r="O258" s="5" t="s">
        <v>347</v>
      </c>
      <c r="P258" s="16">
        <v>1</v>
      </c>
      <c r="Q258" s="16">
        <v>1</v>
      </c>
      <c r="R258" s="5" t="str">
        <f t="shared" si="39"/>
        <v>77-2024-04-30</v>
      </c>
    </row>
    <row r="259" spans="1:18" x14ac:dyDescent="0.3">
      <c r="A259" s="26">
        <v>77</v>
      </c>
      <c r="B259" s="5" t="s">
        <v>16</v>
      </c>
      <c r="C259" s="5" t="s">
        <v>343</v>
      </c>
      <c r="D259" s="5" t="s">
        <v>18</v>
      </c>
      <c r="E259" s="5" t="s">
        <v>9</v>
      </c>
      <c r="F259" s="6">
        <v>45443</v>
      </c>
      <c r="G259" s="5">
        <f t="shared" si="40"/>
        <v>2024</v>
      </c>
      <c r="H259" s="5" t="str">
        <f t="shared" si="41"/>
        <v>Mayo</v>
      </c>
      <c r="I259" s="6" t="str">
        <f t="shared" si="38"/>
        <v>2024-1</v>
      </c>
      <c r="J259" s="5">
        <v>97</v>
      </c>
      <c r="K259" s="10">
        <v>98.8</v>
      </c>
      <c r="L259" s="15">
        <f t="shared" si="36"/>
        <v>1.0185567010309278</v>
      </c>
      <c r="M259" s="15">
        <f t="shared" si="37"/>
        <v>1.0185567010309278</v>
      </c>
      <c r="N259" s="5" t="s">
        <v>347</v>
      </c>
      <c r="O259" s="5" t="s">
        <v>347</v>
      </c>
      <c r="P259" s="16">
        <v>1</v>
      </c>
      <c r="Q259" s="16">
        <v>1</v>
      </c>
      <c r="R259" s="5" t="str">
        <f t="shared" si="39"/>
        <v>77-2024-05-31</v>
      </c>
    </row>
    <row r="260" spans="1:18" x14ac:dyDescent="0.3">
      <c r="A260" s="26">
        <v>77</v>
      </c>
      <c r="B260" s="5" t="s">
        <v>16</v>
      </c>
      <c r="C260" s="5" t="s">
        <v>343</v>
      </c>
      <c r="D260" s="5" t="s">
        <v>18</v>
      </c>
      <c r="E260" s="5" t="s">
        <v>9</v>
      </c>
      <c r="F260" s="6">
        <v>45473</v>
      </c>
      <c r="G260" s="5">
        <f t="shared" si="40"/>
        <v>2024</v>
      </c>
      <c r="H260" s="5" t="str">
        <f t="shared" si="41"/>
        <v>Junio</v>
      </c>
      <c r="I260" s="6" t="str">
        <f t="shared" si="38"/>
        <v>2024-1</v>
      </c>
      <c r="J260" s="5">
        <v>97</v>
      </c>
      <c r="K260" s="10">
        <v>99</v>
      </c>
      <c r="L260" s="15">
        <f t="shared" si="36"/>
        <v>1.0206185567010309</v>
      </c>
      <c r="M260" s="15">
        <f t="shared" si="37"/>
        <v>1.0206185567010309</v>
      </c>
      <c r="N260" s="5" t="s">
        <v>347</v>
      </c>
      <c r="O260" s="5" t="s">
        <v>347</v>
      </c>
      <c r="P260" s="16">
        <v>1</v>
      </c>
      <c r="Q260" s="16">
        <v>1</v>
      </c>
      <c r="R260" s="5" t="str">
        <f t="shared" si="39"/>
        <v>77-2024-06-30</v>
      </c>
    </row>
    <row r="261" spans="1:18" x14ac:dyDescent="0.3">
      <c r="A261" s="26">
        <v>77</v>
      </c>
      <c r="B261" s="5" t="s">
        <v>16</v>
      </c>
      <c r="C261" s="5" t="s">
        <v>343</v>
      </c>
      <c r="D261" s="5" t="s">
        <v>18</v>
      </c>
      <c r="E261" s="5" t="s">
        <v>9</v>
      </c>
      <c r="F261" s="6">
        <v>45504</v>
      </c>
      <c r="G261" s="5">
        <f t="shared" si="40"/>
        <v>2024</v>
      </c>
      <c r="H261" s="5" t="str">
        <f t="shared" si="41"/>
        <v>Julio</v>
      </c>
      <c r="I261" s="6" t="str">
        <f t="shared" si="38"/>
        <v>2024-2</v>
      </c>
      <c r="J261" s="5">
        <v>97</v>
      </c>
      <c r="K261" s="10">
        <v>97</v>
      </c>
      <c r="L261" s="15">
        <f t="shared" si="36"/>
        <v>1</v>
      </c>
      <c r="M261" s="15">
        <f t="shared" si="37"/>
        <v>1</v>
      </c>
      <c r="N261" s="5" t="s">
        <v>347</v>
      </c>
      <c r="O261" s="5" t="s">
        <v>347</v>
      </c>
      <c r="P261" s="16">
        <v>1</v>
      </c>
      <c r="Q261" s="16">
        <v>1</v>
      </c>
      <c r="R261" s="5" t="str">
        <f t="shared" si="39"/>
        <v>77-2024-07-31</v>
      </c>
    </row>
    <row r="262" spans="1:18" x14ac:dyDescent="0.3">
      <c r="A262" s="26">
        <v>77</v>
      </c>
      <c r="B262" s="5" t="s">
        <v>16</v>
      </c>
      <c r="C262" s="5" t="s">
        <v>343</v>
      </c>
      <c r="D262" s="5" t="s">
        <v>18</v>
      </c>
      <c r="E262" s="5" t="s">
        <v>9</v>
      </c>
      <c r="F262" s="6">
        <v>45535</v>
      </c>
      <c r="G262" s="5">
        <f t="shared" si="40"/>
        <v>2024</v>
      </c>
      <c r="H262" s="5" t="str">
        <f t="shared" si="41"/>
        <v>Agosto</v>
      </c>
      <c r="I262" s="6" t="str">
        <f t="shared" si="38"/>
        <v>2024-2</v>
      </c>
      <c r="J262" s="5">
        <v>97</v>
      </c>
      <c r="K262" s="10">
        <v>92.7</v>
      </c>
      <c r="L262" s="15">
        <f t="shared" si="36"/>
        <v>0.95567010309278355</v>
      </c>
      <c r="M262" s="15">
        <f t="shared" si="37"/>
        <v>0.95567010309278355</v>
      </c>
      <c r="N262" s="5" t="s">
        <v>347</v>
      </c>
      <c r="O262" s="5" t="s">
        <v>347</v>
      </c>
      <c r="P262" s="16">
        <v>1</v>
      </c>
      <c r="Q262" s="16">
        <v>1</v>
      </c>
      <c r="R262" s="5" t="str">
        <f t="shared" si="39"/>
        <v>77-2024-08-31</v>
      </c>
    </row>
    <row r="263" spans="1:18" x14ac:dyDescent="0.3">
      <c r="A263" s="26">
        <v>77</v>
      </c>
      <c r="B263" s="5" t="s">
        <v>16</v>
      </c>
      <c r="C263" s="5" t="s">
        <v>343</v>
      </c>
      <c r="D263" s="5" t="s">
        <v>18</v>
      </c>
      <c r="E263" s="5" t="s">
        <v>9</v>
      </c>
      <c r="F263" s="6">
        <v>45565</v>
      </c>
      <c r="G263" s="5">
        <f t="shared" si="40"/>
        <v>2024</v>
      </c>
      <c r="H263" s="5" t="str">
        <f t="shared" si="41"/>
        <v>Septiembre</v>
      </c>
      <c r="I263" s="6" t="str">
        <f t="shared" si="38"/>
        <v>2024-2</v>
      </c>
      <c r="J263" s="5">
        <v>97</v>
      </c>
      <c r="K263" s="10">
        <v>97</v>
      </c>
      <c r="L263" s="15">
        <f t="shared" si="36"/>
        <v>1</v>
      </c>
      <c r="M263" s="15">
        <f t="shared" si="37"/>
        <v>1</v>
      </c>
      <c r="N263" s="5" t="s">
        <v>347</v>
      </c>
      <c r="O263" s="5" t="s">
        <v>347</v>
      </c>
      <c r="P263" s="16">
        <v>1</v>
      </c>
      <c r="Q263" s="16">
        <v>1</v>
      </c>
      <c r="R263" s="5" t="str">
        <f t="shared" si="39"/>
        <v>77-2024-09-30</v>
      </c>
    </row>
    <row r="264" spans="1:18" x14ac:dyDescent="0.3">
      <c r="A264" s="26">
        <v>77</v>
      </c>
      <c r="B264" s="5" t="s">
        <v>16</v>
      </c>
      <c r="C264" s="5" t="s">
        <v>343</v>
      </c>
      <c r="D264" s="5" t="s">
        <v>18</v>
      </c>
      <c r="E264" s="5" t="s">
        <v>9</v>
      </c>
      <c r="F264" s="6">
        <v>45596</v>
      </c>
      <c r="G264" s="5">
        <f t="shared" si="40"/>
        <v>2024</v>
      </c>
      <c r="H264" s="5" t="str">
        <f t="shared" si="41"/>
        <v>Octubre</v>
      </c>
      <c r="I264" s="6" t="str">
        <f t="shared" si="38"/>
        <v>2024-2</v>
      </c>
      <c r="J264" s="5">
        <v>97</v>
      </c>
      <c r="K264" s="10">
        <v>97.3</v>
      </c>
      <c r="L264" s="15">
        <f t="shared" si="36"/>
        <v>1.0030927835051546</v>
      </c>
      <c r="M264" s="15">
        <f t="shared" si="37"/>
        <v>1.0030927835051546</v>
      </c>
      <c r="N264" s="5" t="s">
        <v>347</v>
      </c>
      <c r="O264" s="5" t="s">
        <v>347</v>
      </c>
      <c r="P264" s="16">
        <v>1</v>
      </c>
      <c r="Q264" s="16">
        <v>1</v>
      </c>
      <c r="R264" s="5" t="str">
        <f t="shared" si="39"/>
        <v>77-2024-10-31</v>
      </c>
    </row>
    <row r="265" spans="1:18" x14ac:dyDescent="0.3">
      <c r="A265" s="26">
        <v>77</v>
      </c>
      <c r="B265" s="5" t="s">
        <v>16</v>
      </c>
      <c r="C265" s="5" t="s">
        <v>343</v>
      </c>
      <c r="D265" s="5" t="s">
        <v>18</v>
      </c>
      <c r="E265" s="5" t="s">
        <v>9</v>
      </c>
      <c r="F265" s="6">
        <v>45626</v>
      </c>
      <c r="G265" s="5">
        <f t="shared" si="40"/>
        <v>2024</v>
      </c>
      <c r="H265" s="5" t="str">
        <f t="shared" si="41"/>
        <v>Noviembre</v>
      </c>
      <c r="I265" s="6" t="str">
        <f t="shared" si="38"/>
        <v>2024-2</v>
      </c>
      <c r="J265" s="5">
        <v>97</v>
      </c>
      <c r="K265" s="10">
        <v>97</v>
      </c>
      <c r="L265" s="15">
        <f t="shared" si="36"/>
        <v>1</v>
      </c>
      <c r="M265" s="15">
        <f t="shared" si="37"/>
        <v>1</v>
      </c>
      <c r="N265" s="5" t="s">
        <v>347</v>
      </c>
      <c r="O265" s="5" t="s">
        <v>347</v>
      </c>
      <c r="P265" s="16">
        <v>1</v>
      </c>
      <c r="Q265" s="16">
        <v>1</v>
      </c>
      <c r="R265" s="5" t="str">
        <f t="shared" si="39"/>
        <v>77-2024-11-30</v>
      </c>
    </row>
    <row r="266" spans="1:18" x14ac:dyDescent="0.3">
      <c r="A266" s="68">
        <v>77</v>
      </c>
      <c r="B266" s="69" t="s">
        <v>16</v>
      </c>
      <c r="C266" s="69" t="s">
        <v>343</v>
      </c>
      <c r="D266" s="69" t="s">
        <v>18</v>
      </c>
      <c r="E266" s="69" t="s">
        <v>9</v>
      </c>
      <c r="F266" s="70">
        <v>45657</v>
      </c>
      <c r="G266" s="69">
        <f t="shared" si="40"/>
        <v>2024</v>
      </c>
      <c r="H266" s="69" t="str">
        <f t="shared" si="41"/>
        <v>Diciembre</v>
      </c>
      <c r="I266" s="70" t="str">
        <f t="shared" si="38"/>
        <v>2024-2</v>
      </c>
      <c r="J266" s="69">
        <v>97</v>
      </c>
      <c r="K266" s="71">
        <v>98.2</v>
      </c>
      <c r="L266" s="72">
        <f t="shared" si="36"/>
        <v>1.0123711340206185</v>
      </c>
      <c r="M266" s="72">
        <f t="shared" si="37"/>
        <v>1.0123711340206185</v>
      </c>
      <c r="N266" s="69" t="s">
        <v>347</v>
      </c>
      <c r="O266" s="69" t="s">
        <v>347</v>
      </c>
      <c r="P266" s="73">
        <v>1</v>
      </c>
      <c r="Q266" s="73">
        <v>1</v>
      </c>
      <c r="R266" s="5" t="str">
        <f t="shared" si="39"/>
        <v>77-2024-12-31</v>
      </c>
    </row>
    <row r="267" spans="1:18" x14ac:dyDescent="0.3">
      <c r="A267" s="26">
        <v>78</v>
      </c>
      <c r="B267" s="5" t="s">
        <v>19</v>
      </c>
      <c r="C267" s="5" t="s">
        <v>20</v>
      </c>
      <c r="D267" s="5" t="s">
        <v>21</v>
      </c>
      <c r="E267" s="5" t="s">
        <v>9</v>
      </c>
      <c r="F267" s="17">
        <v>45046</v>
      </c>
      <c r="G267" s="5">
        <f t="shared" si="40"/>
        <v>2023</v>
      </c>
      <c r="H267" s="5" t="str">
        <f t="shared" si="41"/>
        <v>Abril</v>
      </c>
      <c r="I267" s="6" t="str">
        <f t="shared" si="38"/>
        <v>2023-1</v>
      </c>
      <c r="J267" s="5">
        <v>100</v>
      </c>
      <c r="K267" s="10">
        <v>100</v>
      </c>
      <c r="L267" s="8">
        <f>IFERROR(K267/J267,"")</f>
        <v>1</v>
      </c>
      <c r="M267" s="15">
        <f t="shared" si="37"/>
        <v>1</v>
      </c>
      <c r="N267" s="5" t="s">
        <v>347</v>
      </c>
      <c r="O267" s="5" t="s">
        <v>347</v>
      </c>
      <c r="P267" s="16">
        <v>0</v>
      </c>
      <c r="Q267" s="16">
        <v>0</v>
      </c>
      <c r="R267" s="5" t="str">
        <f t="shared" si="39"/>
        <v>78-2023-04-30</v>
      </c>
    </row>
    <row r="268" spans="1:18" x14ac:dyDescent="0.3">
      <c r="A268" s="26">
        <v>78</v>
      </c>
      <c r="B268" s="5" t="s">
        <v>19</v>
      </c>
      <c r="C268" s="5" t="s">
        <v>20</v>
      </c>
      <c r="D268" s="5" t="s">
        <v>21</v>
      </c>
      <c r="E268" s="5" t="s">
        <v>9</v>
      </c>
      <c r="F268" s="6">
        <v>45107</v>
      </c>
      <c r="G268" s="5">
        <f t="shared" si="40"/>
        <v>2023</v>
      </c>
      <c r="H268" s="5" t="str">
        <f t="shared" si="41"/>
        <v>Junio</v>
      </c>
      <c r="I268" s="6" t="str">
        <f t="shared" si="38"/>
        <v>2023-1</v>
      </c>
      <c r="J268" s="5">
        <v>100</v>
      </c>
      <c r="K268" s="10">
        <v>100</v>
      </c>
      <c r="L268" s="8">
        <f>IFERROR(K268/J268,"")</f>
        <v>1</v>
      </c>
      <c r="M268" s="15">
        <f t="shared" si="37"/>
        <v>1</v>
      </c>
      <c r="N268" s="5" t="s">
        <v>347</v>
      </c>
      <c r="O268" s="5" t="s">
        <v>347</v>
      </c>
      <c r="P268" s="16">
        <v>0</v>
      </c>
      <c r="Q268" s="16">
        <v>0</v>
      </c>
      <c r="R268" s="5" t="str">
        <f t="shared" si="39"/>
        <v>78-2023-06-30</v>
      </c>
    </row>
    <row r="269" spans="1:18" x14ac:dyDescent="0.3">
      <c r="A269" s="26">
        <v>78</v>
      </c>
      <c r="B269" s="5" t="s">
        <v>19</v>
      </c>
      <c r="C269" s="5" t="s">
        <v>20</v>
      </c>
      <c r="D269" s="5" t="s">
        <v>21</v>
      </c>
      <c r="E269" s="5" t="s">
        <v>9</v>
      </c>
      <c r="F269" s="6">
        <v>45169</v>
      </c>
      <c r="G269" s="5">
        <f t="shared" si="40"/>
        <v>2023</v>
      </c>
      <c r="H269" s="5" t="str">
        <f t="shared" si="41"/>
        <v>Agosto</v>
      </c>
      <c r="I269" s="6" t="str">
        <f t="shared" si="38"/>
        <v>2023-2</v>
      </c>
      <c r="J269" s="5">
        <v>100</v>
      </c>
      <c r="K269" s="10">
        <v>100</v>
      </c>
      <c r="L269" s="8">
        <f>IFERROR(K269/J269,"")</f>
        <v>1</v>
      </c>
      <c r="M269" s="15">
        <f t="shared" si="37"/>
        <v>1</v>
      </c>
      <c r="N269" s="5" t="s">
        <v>347</v>
      </c>
      <c r="O269" s="5" t="s">
        <v>347</v>
      </c>
      <c r="P269" s="16">
        <v>0</v>
      </c>
      <c r="Q269" s="16">
        <v>0</v>
      </c>
      <c r="R269" s="5" t="str">
        <f t="shared" si="39"/>
        <v>78-2023-08-31</v>
      </c>
    </row>
    <row r="270" spans="1:18" x14ac:dyDescent="0.3">
      <c r="A270" s="39">
        <v>78</v>
      </c>
      <c r="B270" s="5" t="s">
        <v>19</v>
      </c>
      <c r="C270" s="5" t="s">
        <v>20</v>
      </c>
      <c r="D270" s="5" t="s">
        <v>21</v>
      </c>
      <c r="E270" s="5" t="s">
        <v>9</v>
      </c>
      <c r="F270" s="6">
        <v>45230</v>
      </c>
      <c r="G270" s="5">
        <f t="shared" si="40"/>
        <v>2023</v>
      </c>
      <c r="H270" s="5" t="str">
        <f t="shared" si="41"/>
        <v>Octubre</v>
      </c>
      <c r="I270" s="6" t="str">
        <f t="shared" si="38"/>
        <v>2023-2</v>
      </c>
      <c r="J270" s="5">
        <v>100</v>
      </c>
      <c r="K270" s="10">
        <v>100</v>
      </c>
      <c r="L270" s="8">
        <f>IFERROR(K270/J270,"")</f>
        <v>1</v>
      </c>
      <c r="M270" s="15">
        <f t="shared" si="37"/>
        <v>1</v>
      </c>
      <c r="N270" s="5" t="s">
        <v>347</v>
      </c>
      <c r="O270" s="5" t="s">
        <v>347</v>
      </c>
      <c r="P270" s="16">
        <v>0</v>
      </c>
      <c r="Q270" s="16">
        <v>0</v>
      </c>
      <c r="R270" s="5" t="str">
        <f t="shared" si="39"/>
        <v>78-2023-10-31</v>
      </c>
    </row>
    <row r="271" spans="1:18" x14ac:dyDescent="0.3">
      <c r="A271" s="39">
        <v>78</v>
      </c>
      <c r="B271" s="5" t="s">
        <v>19</v>
      </c>
      <c r="C271" s="5" t="s">
        <v>20</v>
      </c>
      <c r="D271" s="5" t="s">
        <v>21</v>
      </c>
      <c r="E271" s="5" t="s">
        <v>9</v>
      </c>
      <c r="F271" s="6">
        <v>45291</v>
      </c>
      <c r="G271" s="5">
        <f t="shared" si="40"/>
        <v>2023</v>
      </c>
      <c r="H271" s="5" t="str">
        <f t="shared" si="41"/>
        <v>Diciembre</v>
      </c>
      <c r="I271" s="6" t="str">
        <f t="shared" si="38"/>
        <v>2023-2</v>
      </c>
      <c r="J271" s="5">
        <v>100</v>
      </c>
      <c r="K271" s="10">
        <v>122.22</v>
      </c>
      <c r="L271" s="8">
        <f>IFERROR(K271/J271,"")</f>
        <v>1.2222</v>
      </c>
      <c r="M271" s="15">
        <f t="shared" si="37"/>
        <v>1.2222</v>
      </c>
      <c r="N271" s="5" t="s">
        <v>347</v>
      </c>
      <c r="O271" s="5" t="s">
        <v>347</v>
      </c>
      <c r="P271" s="16">
        <v>0</v>
      </c>
      <c r="Q271" s="16">
        <v>0</v>
      </c>
      <c r="R271" s="5" t="str">
        <f t="shared" si="39"/>
        <v>78-2023-12-31</v>
      </c>
    </row>
    <row r="272" spans="1:18" x14ac:dyDescent="0.3">
      <c r="A272" s="26">
        <v>78</v>
      </c>
      <c r="B272" s="5" t="s">
        <v>19</v>
      </c>
      <c r="C272" s="5" t="s">
        <v>20</v>
      </c>
      <c r="D272" s="5" t="s">
        <v>21</v>
      </c>
      <c r="E272" s="5" t="s">
        <v>9</v>
      </c>
      <c r="F272" s="6">
        <v>45412</v>
      </c>
      <c r="G272" s="5">
        <f t="shared" si="40"/>
        <v>2024</v>
      </c>
      <c r="H272" s="5" t="str">
        <f t="shared" si="41"/>
        <v>Abril</v>
      </c>
      <c r="I272" s="6" t="str">
        <f t="shared" si="38"/>
        <v>2024-1</v>
      </c>
      <c r="J272" s="5">
        <v>100</v>
      </c>
      <c r="K272" s="10">
        <v>100</v>
      </c>
      <c r="L272" s="15">
        <f>IFERROR(IF((K272/J272)&gt;1.3,1.3,K272/J272),"")</f>
        <v>1</v>
      </c>
      <c r="M272" s="15">
        <f t="shared" si="37"/>
        <v>1</v>
      </c>
      <c r="N272" s="5" t="s">
        <v>347</v>
      </c>
      <c r="O272" s="5" t="s">
        <v>347</v>
      </c>
      <c r="P272" s="16">
        <v>0</v>
      </c>
      <c r="Q272" s="16">
        <v>0</v>
      </c>
      <c r="R272" s="5" t="str">
        <f t="shared" si="39"/>
        <v>78-2024-04-30</v>
      </c>
    </row>
    <row r="273" spans="1:18" x14ac:dyDescent="0.3">
      <c r="A273" s="5">
        <v>78</v>
      </c>
      <c r="B273" s="5" t="s">
        <v>19</v>
      </c>
      <c r="C273" s="5" t="s">
        <v>20</v>
      </c>
      <c r="D273" s="5" t="s">
        <v>21</v>
      </c>
      <c r="E273" s="5" t="s">
        <v>9</v>
      </c>
      <c r="F273" s="6">
        <v>45473</v>
      </c>
      <c r="G273" s="5">
        <f t="shared" si="40"/>
        <v>2024</v>
      </c>
      <c r="H273" s="5" t="str">
        <f t="shared" si="41"/>
        <v>Junio</v>
      </c>
      <c r="I273" s="6" t="str">
        <f t="shared" si="38"/>
        <v>2024-1</v>
      </c>
      <c r="J273" s="5">
        <v>100</v>
      </c>
      <c r="K273" s="5">
        <v>80</v>
      </c>
      <c r="L273" s="15">
        <v>0.8</v>
      </c>
      <c r="M273" s="15">
        <v>0.8</v>
      </c>
      <c r="N273" s="5" t="s">
        <v>347</v>
      </c>
      <c r="O273" s="5" t="s">
        <v>347</v>
      </c>
      <c r="P273" s="16">
        <v>0</v>
      </c>
      <c r="Q273" s="16">
        <v>0</v>
      </c>
      <c r="R273" s="5" t="str">
        <f t="shared" si="39"/>
        <v>78-2024-06-30</v>
      </c>
    </row>
    <row r="274" spans="1:18" x14ac:dyDescent="0.3">
      <c r="A274" s="26">
        <v>78</v>
      </c>
      <c r="B274" s="5" t="s">
        <v>19</v>
      </c>
      <c r="C274" s="5" t="s">
        <v>20</v>
      </c>
      <c r="D274" s="5" t="s">
        <v>21</v>
      </c>
      <c r="E274" s="5" t="s">
        <v>9</v>
      </c>
      <c r="F274" s="6">
        <v>45535</v>
      </c>
      <c r="G274" s="5">
        <f t="shared" si="40"/>
        <v>2024</v>
      </c>
      <c r="H274" s="5" t="str">
        <f t="shared" si="41"/>
        <v>Agosto</v>
      </c>
      <c r="I274" s="6" t="str">
        <f t="shared" si="38"/>
        <v>2024-2</v>
      </c>
      <c r="J274" s="5">
        <v>100</v>
      </c>
      <c r="K274" s="10">
        <v>100</v>
      </c>
      <c r="L274" s="15">
        <f>IFERROR(IF((K274/J274)&gt;1.3,1.3,K274/J274),"")</f>
        <v>1</v>
      </c>
      <c r="M274" s="15">
        <f t="shared" ref="M274:M286" si="42">IFERROR(IF((K274/J274)&gt;K274/J274,1.3,K274/J274),"")</f>
        <v>1</v>
      </c>
      <c r="N274" s="5" t="s">
        <v>347</v>
      </c>
      <c r="O274" s="5" t="s">
        <v>347</v>
      </c>
      <c r="P274" s="16">
        <v>0</v>
      </c>
      <c r="Q274" s="16">
        <v>0</v>
      </c>
      <c r="R274" s="5" t="str">
        <f t="shared" si="39"/>
        <v>78-2024-08-31</v>
      </c>
    </row>
    <row r="275" spans="1:18" x14ac:dyDescent="0.3">
      <c r="A275" s="26">
        <v>78</v>
      </c>
      <c r="B275" s="5" t="s">
        <v>19</v>
      </c>
      <c r="C275" s="5" t="s">
        <v>20</v>
      </c>
      <c r="D275" s="5" t="s">
        <v>21</v>
      </c>
      <c r="E275" s="5" t="s">
        <v>9</v>
      </c>
      <c r="F275" s="6">
        <v>45596</v>
      </c>
      <c r="G275" s="5">
        <f t="shared" si="40"/>
        <v>2024</v>
      </c>
      <c r="H275" s="5" t="str">
        <f t="shared" si="41"/>
        <v>Octubre</v>
      </c>
      <c r="I275" s="6" t="str">
        <f t="shared" si="38"/>
        <v>2024-2</v>
      </c>
      <c r="J275" s="5">
        <v>100</v>
      </c>
      <c r="K275" s="10">
        <v>100</v>
      </c>
      <c r="L275" s="15">
        <f>IFERROR(IF((K275/J275)&gt;1.3,1.3,K275/J275),"")</f>
        <v>1</v>
      </c>
      <c r="M275" s="15">
        <f t="shared" si="42"/>
        <v>1</v>
      </c>
      <c r="N275" s="5" t="s">
        <v>347</v>
      </c>
      <c r="O275" s="5" t="s">
        <v>347</v>
      </c>
      <c r="P275" s="16">
        <v>0</v>
      </c>
      <c r="Q275" s="16">
        <v>0</v>
      </c>
      <c r="R275" s="5" t="str">
        <f t="shared" si="39"/>
        <v>78-2024-10-31</v>
      </c>
    </row>
    <row r="276" spans="1:18" x14ac:dyDescent="0.3">
      <c r="A276" s="26">
        <v>78</v>
      </c>
      <c r="B276" s="5" t="s">
        <v>19</v>
      </c>
      <c r="C276" s="5" t="s">
        <v>20</v>
      </c>
      <c r="D276" s="5" t="s">
        <v>21</v>
      </c>
      <c r="E276" s="5" t="s">
        <v>9</v>
      </c>
      <c r="F276" s="6">
        <v>45657</v>
      </c>
      <c r="G276" s="5">
        <f t="shared" si="40"/>
        <v>2024</v>
      </c>
      <c r="H276" s="5" t="str">
        <f t="shared" si="41"/>
        <v>Diciembre</v>
      </c>
      <c r="I276" s="6" t="str">
        <f t="shared" si="38"/>
        <v>2024-2</v>
      </c>
      <c r="J276" s="5">
        <v>100</v>
      </c>
      <c r="K276" s="10">
        <v>112.5</v>
      </c>
      <c r="L276" s="15">
        <f>IFERROR(IF((K276/J276)&gt;1.3,1.3,K276/J276),"")</f>
        <v>1.125</v>
      </c>
      <c r="M276" s="15">
        <f t="shared" si="42"/>
        <v>1.125</v>
      </c>
      <c r="N276" s="5" t="s">
        <v>347</v>
      </c>
      <c r="O276" s="5" t="s">
        <v>347</v>
      </c>
      <c r="P276" s="16">
        <v>0</v>
      </c>
      <c r="Q276" s="16">
        <v>0</v>
      </c>
      <c r="R276" s="5" t="str">
        <f t="shared" si="39"/>
        <v>78-2024-12-31</v>
      </c>
    </row>
    <row r="277" spans="1:18" x14ac:dyDescent="0.3">
      <c r="A277" s="26">
        <v>79</v>
      </c>
      <c r="B277" s="5" t="s">
        <v>22</v>
      </c>
      <c r="C277" s="5" t="s">
        <v>20</v>
      </c>
      <c r="D277" s="5" t="s">
        <v>21</v>
      </c>
      <c r="E277" s="5" t="s">
        <v>9</v>
      </c>
      <c r="F277" s="6">
        <v>45107</v>
      </c>
      <c r="G277" s="5">
        <f t="shared" si="40"/>
        <v>2023</v>
      </c>
      <c r="H277" s="5" t="str">
        <f t="shared" si="41"/>
        <v>Junio</v>
      </c>
      <c r="I277" s="6" t="str">
        <f t="shared" si="38"/>
        <v>2023-1</v>
      </c>
      <c r="J277" s="5">
        <v>85</v>
      </c>
      <c r="K277" s="10">
        <v>100</v>
      </c>
      <c r="L277" s="8">
        <f t="shared" ref="L277:L281" si="43">IFERROR(K277/J277,"")</f>
        <v>1.1764705882352942</v>
      </c>
      <c r="M277" s="15">
        <f t="shared" si="42"/>
        <v>1.1764705882352942</v>
      </c>
      <c r="N277" s="5" t="s">
        <v>347</v>
      </c>
      <c r="O277" s="5" t="s">
        <v>347</v>
      </c>
      <c r="P277" s="16">
        <v>0</v>
      </c>
      <c r="Q277" s="16">
        <v>0</v>
      </c>
      <c r="R277" s="5" t="str">
        <f t="shared" si="39"/>
        <v>79-2023-06-30</v>
      </c>
    </row>
    <row r="278" spans="1:18" x14ac:dyDescent="0.3">
      <c r="A278" s="26">
        <v>79</v>
      </c>
      <c r="B278" s="5" t="s">
        <v>22</v>
      </c>
      <c r="C278" s="5" t="s">
        <v>20</v>
      </c>
      <c r="D278" s="5" t="s">
        <v>21</v>
      </c>
      <c r="E278" s="5" t="s">
        <v>9</v>
      </c>
      <c r="F278" s="17">
        <v>45169</v>
      </c>
      <c r="G278" s="5">
        <f t="shared" si="40"/>
        <v>2023</v>
      </c>
      <c r="H278" s="5" t="str">
        <f t="shared" si="41"/>
        <v>Agosto</v>
      </c>
      <c r="I278" s="6" t="str">
        <f t="shared" si="38"/>
        <v>2023-2</v>
      </c>
      <c r="J278" s="5">
        <v>85</v>
      </c>
      <c r="K278" s="10">
        <v>100</v>
      </c>
      <c r="L278" s="8">
        <f t="shared" si="43"/>
        <v>1.1764705882352942</v>
      </c>
      <c r="M278" s="15">
        <f t="shared" si="42"/>
        <v>1.1764705882352942</v>
      </c>
      <c r="N278" s="5" t="s">
        <v>347</v>
      </c>
      <c r="O278" s="5" t="s">
        <v>347</v>
      </c>
      <c r="P278" s="16">
        <v>0</v>
      </c>
      <c r="Q278" s="16">
        <v>0</v>
      </c>
      <c r="R278" s="5" t="str">
        <f t="shared" si="39"/>
        <v>79-2023-08-31</v>
      </c>
    </row>
    <row r="279" spans="1:18" x14ac:dyDescent="0.3">
      <c r="A279" s="39">
        <v>79</v>
      </c>
      <c r="B279" s="5" t="s">
        <v>22</v>
      </c>
      <c r="C279" s="5" t="s">
        <v>20</v>
      </c>
      <c r="D279" s="5" t="s">
        <v>21</v>
      </c>
      <c r="E279" s="5" t="s">
        <v>9</v>
      </c>
      <c r="F279" s="6">
        <v>45230</v>
      </c>
      <c r="G279" s="5">
        <f t="shared" si="40"/>
        <v>2023</v>
      </c>
      <c r="H279" s="5" t="str">
        <f t="shared" si="41"/>
        <v>Octubre</v>
      </c>
      <c r="I279" s="6" t="str">
        <f t="shared" si="38"/>
        <v>2023-2</v>
      </c>
      <c r="J279" s="5">
        <v>85</v>
      </c>
      <c r="K279" s="10">
        <v>100</v>
      </c>
      <c r="L279" s="8">
        <f t="shared" si="43"/>
        <v>1.1764705882352942</v>
      </c>
      <c r="M279" s="15">
        <f t="shared" si="42"/>
        <v>1.1764705882352942</v>
      </c>
      <c r="N279" s="5" t="s">
        <v>347</v>
      </c>
      <c r="O279" s="5" t="s">
        <v>347</v>
      </c>
      <c r="P279" s="16">
        <v>0</v>
      </c>
      <c r="Q279" s="16">
        <v>0</v>
      </c>
      <c r="R279" s="5" t="str">
        <f t="shared" si="39"/>
        <v>79-2023-10-31</v>
      </c>
    </row>
    <row r="280" spans="1:18" x14ac:dyDescent="0.3">
      <c r="A280" s="39">
        <v>79</v>
      </c>
      <c r="B280" s="5" t="s">
        <v>22</v>
      </c>
      <c r="C280" s="5" t="s">
        <v>20</v>
      </c>
      <c r="D280" s="5" t="s">
        <v>21</v>
      </c>
      <c r="E280" s="5" t="s">
        <v>9</v>
      </c>
      <c r="F280" s="6">
        <v>45291</v>
      </c>
      <c r="G280" s="5">
        <f t="shared" si="40"/>
        <v>2023</v>
      </c>
      <c r="H280" s="5" t="str">
        <f t="shared" si="41"/>
        <v>Diciembre</v>
      </c>
      <c r="I280" s="6" t="str">
        <f t="shared" si="38"/>
        <v>2023-2</v>
      </c>
      <c r="J280" s="5">
        <v>85</v>
      </c>
      <c r="K280" s="10">
        <v>95.45</v>
      </c>
      <c r="L280" s="8">
        <f t="shared" si="43"/>
        <v>1.1229411764705883</v>
      </c>
      <c r="M280" s="15">
        <f t="shared" si="42"/>
        <v>1.1229411764705883</v>
      </c>
      <c r="N280" s="5" t="s">
        <v>347</v>
      </c>
      <c r="O280" s="5" t="s">
        <v>347</v>
      </c>
      <c r="P280" s="16">
        <v>0</v>
      </c>
      <c r="Q280" s="16">
        <v>0</v>
      </c>
      <c r="R280" s="5" t="str">
        <f t="shared" si="39"/>
        <v>79-2023-12-31</v>
      </c>
    </row>
    <row r="281" spans="1:18" x14ac:dyDescent="0.3">
      <c r="A281" s="39">
        <v>84</v>
      </c>
      <c r="B281" s="5" t="s">
        <v>23</v>
      </c>
      <c r="C281" s="5" t="s">
        <v>24</v>
      </c>
      <c r="D281" s="5" t="s">
        <v>25</v>
      </c>
      <c r="E281" s="5" t="s">
        <v>9</v>
      </c>
      <c r="F281" s="6">
        <v>45291</v>
      </c>
      <c r="G281" s="5">
        <f t="shared" si="40"/>
        <v>2023</v>
      </c>
      <c r="H281" s="5" t="str">
        <f t="shared" si="41"/>
        <v>Diciembre</v>
      </c>
      <c r="I281" s="6" t="str">
        <f t="shared" si="38"/>
        <v>2023-2</v>
      </c>
      <c r="J281" s="5">
        <v>100</v>
      </c>
      <c r="K281" s="10">
        <v>100</v>
      </c>
      <c r="L281" s="8">
        <f t="shared" si="43"/>
        <v>1</v>
      </c>
      <c r="M281" s="15">
        <f t="shared" si="42"/>
        <v>1</v>
      </c>
      <c r="N281" s="5" t="s">
        <v>347</v>
      </c>
      <c r="O281" s="5" t="s">
        <v>347</v>
      </c>
      <c r="P281" s="16">
        <v>0</v>
      </c>
      <c r="Q281" s="16">
        <v>0</v>
      </c>
      <c r="R281" s="5" t="str">
        <f t="shared" si="39"/>
        <v>84-2023-12-31</v>
      </c>
    </row>
    <row r="282" spans="1:18" x14ac:dyDescent="0.3">
      <c r="A282" s="26">
        <v>84</v>
      </c>
      <c r="B282" s="5" t="s">
        <v>23</v>
      </c>
      <c r="C282" s="5" t="s">
        <v>24</v>
      </c>
      <c r="D282" s="5" t="s">
        <v>25</v>
      </c>
      <c r="E282" s="5" t="s">
        <v>9</v>
      </c>
      <c r="F282" s="6">
        <v>45657</v>
      </c>
      <c r="G282" s="5">
        <f t="shared" si="40"/>
        <v>2024</v>
      </c>
      <c r="H282" s="5" t="str">
        <f t="shared" si="41"/>
        <v>Diciembre</v>
      </c>
      <c r="I282" s="6" t="str">
        <f t="shared" si="38"/>
        <v>2024-2</v>
      </c>
      <c r="J282" s="5">
        <v>100</v>
      </c>
      <c r="K282" s="10">
        <v>100</v>
      </c>
      <c r="L282" s="15">
        <f>IFERROR(IF((K282/J282)&gt;1.3,1.3,K282/J282),"")</f>
        <v>1</v>
      </c>
      <c r="M282" s="15">
        <f t="shared" si="42"/>
        <v>1</v>
      </c>
      <c r="N282" s="5" t="s">
        <v>347</v>
      </c>
      <c r="O282" s="5" t="s">
        <v>347</v>
      </c>
      <c r="P282" s="16">
        <v>0</v>
      </c>
      <c r="Q282" s="16">
        <v>0</v>
      </c>
      <c r="R282" s="5" t="str">
        <f t="shared" si="39"/>
        <v>84-2024-12-31</v>
      </c>
    </row>
    <row r="283" spans="1:18" x14ac:dyDescent="0.3">
      <c r="A283" s="39">
        <v>85</v>
      </c>
      <c r="B283" s="5" t="s">
        <v>26</v>
      </c>
      <c r="C283" s="5" t="s">
        <v>24</v>
      </c>
      <c r="D283" s="5" t="s">
        <v>25</v>
      </c>
      <c r="E283" s="5" t="s">
        <v>9</v>
      </c>
      <c r="F283" s="6">
        <v>45291</v>
      </c>
      <c r="G283" s="5">
        <f t="shared" si="40"/>
        <v>2023</v>
      </c>
      <c r="H283" s="5" t="str">
        <f t="shared" si="41"/>
        <v>Diciembre</v>
      </c>
      <c r="I283" s="6" t="str">
        <f t="shared" si="38"/>
        <v>2023-2</v>
      </c>
      <c r="J283" s="5">
        <v>100</v>
      </c>
      <c r="K283" s="10">
        <v>100</v>
      </c>
      <c r="L283" s="8">
        <f>IFERROR(K283/J283,"")</f>
        <v>1</v>
      </c>
      <c r="M283" s="15">
        <f t="shared" si="42"/>
        <v>1</v>
      </c>
      <c r="N283" s="5" t="s">
        <v>347</v>
      </c>
      <c r="O283" s="5" t="s">
        <v>347</v>
      </c>
      <c r="P283" s="16">
        <v>0</v>
      </c>
      <c r="Q283" s="16">
        <v>0</v>
      </c>
      <c r="R283" s="5" t="str">
        <f t="shared" si="39"/>
        <v>85-2023-12-31</v>
      </c>
    </row>
    <row r="284" spans="1:18" x14ac:dyDescent="0.3">
      <c r="A284" s="26">
        <v>85</v>
      </c>
      <c r="B284" s="5" t="s">
        <v>26</v>
      </c>
      <c r="C284" s="5" t="s">
        <v>24</v>
      </c>
      <c r="D284" s="5" t="s">
        <v>25</v>
      </c>
      <c r="E284" s="5" t="s">
        <v>9</v>
      </c>
      <c r="F284" s="6">
        <v>45657</v>
      </c>
      <c r="G284" s="5">
        <f t="shared" si="40"/>
        <v>2024</v>
      </c>
      <c r="H284" s="5" t="str">
        <f t="shared" si="41"/>
        <v>Diciembre</v>
      </c>
      <c r="I284" s="6" t="str">
        <f t="shared" si="38"/>
        <v>2024-2</v>
      </c>
      <c r="J284" s="5">
        <v>100</v>
      </c>
      <c r="K284" s="10">
        <v>100</v>
      </c>
      <c r="L284" s="15">
        <f>IFERROR(IF((K284/J284)&gt;1.3,1.3,K284/J284),"")</f>
        <v>1</v>
      </c>
      <c r="M284" s="15">
        <f t="shared" si="42"/>
        <v>1</v>
      </c>
      <c r="N284" s="5" t="s">
        <v>347</v>
      </c>
      <c r="O284" s="5" t="s">
        <v>347</v>
      </c>
      <c r="P284" s="16">
        <v>0</v>
      </c>
      <c r="Q284" s="16">
        <v>0</v>
      </c>
      <c r="R284" s="5" t="str">
        <f t="shared" si="39"/>
        <v>85-2024-12-31</v>
      </c>
    </row>
    <row r="285" spans="1:18" x14ac:dyDescent="0.3">
      <c r="A285" s="26">
        <v>86</v>
      </c>
      <c r="B285" s="5" t="s">
        <v>27</v>
      </c>
      <c r="C285" s="5" t="s">
        <v>24</v>
      </c>
      <c r="D285" s="5" t="s">
        <v>8</v>
      </c>
      <c r="E285" s="5" t="s">
        <v>9</v>
      </c>
      <c r="F285" s="17">
        <v>45107</v>
      </c>
      <c r="G285" s="5">
        <f t="shared" si="40"/>
        <v>2023</v>
      </c>
      <c r="H285" s="5" t="str">
        <f t="shared" si="41"/>
        <v>Junio</v>
      </c>
      <c r="I285" s="6" t="str">
        <f t="shared" si="38"/>
        <v>2023-1</v>
      </c>
      <c r="J285" s="5">
        <v>100</v>
      </c>
      <c r="K285" s="10">
        <v>100</v>
      </c>
      <c r="L285" s="8">
        <f>IFERROR(K285/J285,"")</f>
        <v>1</v>
      </c>
      <c r="M285" s="15">
        <f t="shared" si="42"/>
        <v>1</v>
      </c>
      <c r="N285" s="5" t="s">
        <v>347</v>
      </c>
      <c r="O285" s="5" t="s">
        <v>347</v>
      </c>
      <c r="P285" s="16">
        <v>0</v>
      </c>
      <c r="Q285" s="16">
        <v>0</v>
      </c>
      <c r="R285" s="5" t="str">
        <f t="shared" si="39"/>
        <v>86-2023-06-30</v>
      </c>
    </row>
    <row r="286" spans="1:18" x14ac:dyDescent="0.3">
      <c r="A286" s="39">
        <v>86</v>
      </c>
      <c r="B286" s="5" t="s">
        <v>27</v>
      </c>
      <c r="C286" s="5" t="s">
        <v>24</v>
      </c>
      <c r="D286" s="5" t="s">
        <v>8</v>
      </c>
      <c r="E286" s="5" t="s">
        <v>9</v>
      </c>
      <c r="F286" s="6">
        <v>45291</v>
      </c>
      <c r="G286" s="5">
        <f t="shared" si="40"/>
        <v>2023</v>
      </c>
      <c r="H286" s="5" t="str">
        <f t="shared" si="41"/>
        <v>Diciembre</v>
      </c>
      <c r="I286" s="6" t="str">
        <f t="shared" si="38"/>
        <v>2023-2</v>
      </c>
      <c r="J286" s="5">
        <v>100</v>
      </c>
      <c r="K286" s="10">
        <v>100</v>
      </c>
      <c r="L286" s="8">
        <f>IFERROR(K286/J286,"")</f>
        <v>1</v>
      </c>
      <c r="M286" s="15">
        <f t="shared" si="42"/>
        <v>1</v>
      </c>
      <c r="N286" s="5" t="s">
        <v>347</v>
      </c>
      <c r="O286" s="5" t="s">
        <v>347</v>
      </c>
      <c r="P286" s="16">
        <v>0</v>
      </c>
      <c r="Q286" s="16">
        <v>0</v>
      </c>
      <c r="R286" s="5" t="str">
        <f t="shared" si="39"/>
        <v>86-2023-12-31</v>
      </c>
    </row>
    <row r="287" spans="1:18" x14ac:dyDescent="0.3">
      <c r="A287" s="5">
        <v>86</v>
      </c>
      <c r="B287" s="5" t="s">
        <v>27</v>
      </c>
      <c r="C287" s="5" t="s">
        <v>24</v>
      </c>
      <c r="D287" s="5" t="s">
        <v>8</v>
      </c>
      <c r="E287" s="5" t="s">
        <v>9</v>
      </c>
      <c r="F287" s="6">
        <v>45473</v>
      </c>
      <c r="G287" s="5">
        <f t="shared" si="40"/>
        <v>2024</v>
      </c>
      <c r="H287" s="5" t="str">
        <f t="shared" si="41"/>
        <v>Junio</v>
      </c>
      <c r="I287" s="6" t="str">
        <f t="shared" si="38"/>
        <v>2024-1</v>
      </c>
      <c r="J287" s="5">
        <v>100</v>
      </c>
      <c r="K287" s="5">
        <v>100</v>
      </c>
      <c r="L287" s="15">
        <v>1</v>
      </c>
      <c r="M287" s="15">
        <v>1</v>
      </c>
      <c r="N287" s="5" t="s">
        <v>347</v>
      </c>
      <c r="O287" s="5" t="s">
        <v>347</v>
      </c>
      <c r="P287" s="5">
        <v>0</v>
      </c>
      <c r="Q287" s="5">
        <v>0</v>
      </c>
      <c r="R287" s="5" t="str">
        <f t="shared" si="39"/>
        <v>86-2024-06-30</v>
      </c>
    </row>
    <row r="288" spans="1:18" x14ac:dyDescent="0.3">
      <c r="A288" s="26">
        <v>86</v>
      </c>
      <c r="B288" s="5" t="s">
        <v>27</v>
      </c>
      <c r="C288" s="5" t="s">
        <v>24</v>
      </c>
      <c r="D288" s="5" t="s">
        <v>8</v>
      </c>
      <c r="E288" s="5" t="s">
        <v>9</v>
      </c>
      <c r="F288" s="6">
        <v>45657</v>
      </c>
      <c r="G288" s="5">
        <f t="shared" si="40"/>
        <v>2024</v>
      </c>
      <c r="H288" s="5" t="str">
        <f t="shared" si="41"/>
        <v>Diciembre</v>
      </c>
      <c r="I288" s="6" t="str">
        <f t="shared" si="38"/>
        <v>2024-2</v>
      </c>
      <c r="J288" s="5">
        <v>100</v>
      </c>
      <c r="K288" s="10">
        <v>100</v>
      </c>
      <c r="L288" s="15">
        <f>IFERROR(IF((K288/J288)&gt;1.3,1.3,K288/J288),"")</f>
        <v>1</v>
      </c>
      <c r="M288" s="15">
        <f t="shared" ref="M288:M303" si="44">IFERROR(IF((K288/J288)&gt;K288/J288,1.3,K288/J288),"")</f>
        <v>1</v>
      </c>
      <c r="N288" s="5" t="s">
        <v>347</v>
      </c>
      <c r="O288" s="5" t="s">
        <v>347</v>
      </c>
      <c r="P288" s="5">
        <v>0</v>
      </c>
      <c r="Q288" s="5">
        <v>0</v>
      </c>
      <c r="R288" s="5" t="str">
        <f t="shared" si="39"/>
        <v>86-2024-12-31</v>
      </c>
    </row>
    <row r="289" spans="1:18" x14ac:dyDescent="0.3">
      <c r="A289" s="39">
        <v>87</v>
      </c>
      <c r="B289" s="5" t="s">
        <v>28</v>
      </c>
      <c r="C289" s="5" t="s">
        <v>24</v>
      </c>
      <c r="D289" s="5" t="s">
        <v>25</v>
      </c>
      <c r="E289" s="5" t="s">
        <v>9</v>
      </c>
      <c r="F289" s="6">
        <v>45291</v>
      </c>
      <c r="G289" s="5">
        <f t="shared" si="40"/>
        <v>2023</v>
      </c>
      <c r="H289" s="5" t="str">
        <f t="shared" si="41"/>
        <v>Diciembre</v>
      </c>
      <c r="I289" s="6" t="str">
        <f t="shared" si="38"/>
        <v>2023-2</v>
      </c>
      <c r="J289" s="5">
        <v>90</v>
      </c>
      <c r="K289" s="10">
        <v>100</v>
      </c>
      <c r="L289" s="8">
        <f>IFERROR(K289/J289,"")</f>
        <v>1.1111111111111112</v>
      </c>
      <c r="M289" s="15">
        <f t="shared" si="44"/>
        <v>1.1111111111111112</v>
      </c>
      <c r="N289" s="5" t="s">
        <v>347</v>
      </c>
      <c r="O289" s="5" t="s">
        <v>347</v>
      </c>
      <c r="P289" s="16">
        <v>0</v>
      </c>
      <c r="Q289" s="16">
        <v>0</v>
      </c>
      <c r="R289" s="5" t="str">
        <f t="shared" si="39"/>
        <v>87-2023-12-31</v>
      </c>
    </row>
    <row r="290" spans="1:18" x14ac:dyDescent="0.3">
      <c r="A290" s="39">
        <v>88</v>
      </c>
      <c r="B290" s="5" t="s">
        <v>29</v>
      </c>
      <c r="C290" s="5" t="s">
        <v>24</v>
      </c>
      <c r="D290" s="5" t="s">
        <v>25</v>
      </c>
      <c r="E290" s="5" t="s">
        <v>9</v>
      </c>
      <c r="F290" s="6">
        <v>45291</v>
      </c>
      <c r="G290" s="5">
        <f t="shared" si="40"/>
        <v>2023</v>
      </c>
      <c r="H290" s="5" t="str">
        <f t="shared" si="41"/>
        <v>Diciembre</v>
      </c>
      <c r="I290" s="6" t="str">
        <f t="shared" si="38"/>
        <v>2023-2</v>
      </c>
      <c r="J290" s="5">
        <v>100</v>
      </c>
      <c r="K290" s="10">
        <v>100</v>
      </c>
      <c r="L290" s="8">
        <f>IFERROR(K290/J290,"")</f>
        <v>1</v>
      </c>
      <c r="M290" s="15">
        <f t="shared" si="44"/>
        <v>1</v>
      </c>
      <c r="N290" s="5" t="s">
        <v>347</v>
      </c>
      <c r="O290" s="5" t="s">
        <v>347</v>
      </c>
      <c r="P290" s="16">
        <v>0</v>
      </c>
      <c r="Q290" s="16">
        <v>0</v>
      </c>
      <c r="R290" s="5" t="str">
        <f t="shared" si="39"/>
        <v>88-2023-12-31</v>
      </c>
    </row>
    <row r="291" spans="1:18" x14ac:dyDescent="0.3">
      <c r="A291" s="26">
        <v>88</v>
      </c>
      <c r="B291" s="5" t="s">
        <v>29</v>
      </c>
      <c r="C291" s="5" t="s">
        <v>24</v>
      </c>
      <c r="D291" s="5" t="s">
        <v>25</v>
      </c>
      <c r="E291" s="5" t="s">
        <v>9</v>
      </c>
      <c r="F291" s="6">
        <v>45657</v>
      </c>
      <c r="G291" s="5">
        <f t="shared" si="40"/>
        <v>2024</v>
      </c>
      <c r="H291" s="5" t="str">
        <f t="shared" si="41"/>
        <v>Diciembre</v>
      </c>
      <c r="I291" s="6" t="str">
        <f t="shared" si="38"/>
        <v>2024-2</v>
      </c>
      <c r="J291" s="5">
        <v>100</v>
      </c>
      <c r="K291" s="10">
        <v>100</v>
      </c>
      <c r="L291" s="15">
        <f>IFERROR(IF((K291/J291)&gt;1.3,1.3,K291/J291),"")</f>
        <v>1</v>
      </c>
      <c r="M291" s="15">
        <f t="shared" si="44"/>
        <v>1</v>
      </c>
      <c r="N291" s="5" t="s">
        <v>347</v>
      </c>
      <c r="O291" s="5" t="s">
        <v>347</v>
      </c>
      <c r="P291" s="16">
        <v>0</v>
      </c>
      <c r="Q291" s="16">
        <v>0</v>
      </c>
      <c r="R291" s="5" t="str">
        <f t="shared" si="39"/>
        <v>88-2024-12-31</v>
      </c>
    </row>
    <row r="292" spans="1:18" x14ac:dyDescent="0.3">
      <c r="A292" s="39">
        <v>89</v>
      </c>
      <c r="B292" s="5" t="s">
        <v>30</v>
      </c>
      <c r="C292" s="5" t="s">
        <v>24</v>
      </c>
      <c r="D292" s="5" t="s">
        <v>25</v>
      </c>
      <c r="E292" s="5" t="s">
        <v>9</v>
      </c>
      <c r="F292" s="6">
        <v>45291</v>
      </c>
      <c r="G292" s="5">
        <f t="shared" si="40"/>
        <v>2023</v>
      </c>
      <c r="H292" s="5" t="str">
        <f t="shared" si="41"/>
        <v>Diciembre</v>
      </c>
      <c r="I292" s="6" t="str">
        <f t="shared" si="38"/>
        <v>2023-2</v>
      </c>
      <c r="J292" s="5">
        <v>100</v>
      </c>
      <c r="K292" s="10">
        <v>100</v>
      </c>
      <c r="L292" s="8">
        <f>IFERROR(K292/J292,"")</f>
        <v>1</v>
      </c>
      <c r="M292" s="15">
        <f t="shared" si="44"/>
        <v>1</v>
      </c>
      <c r="N292" s="5" t="s">
        <v>347</v>
      </c>
      <c r="O292" s="5" t="s">
        <v>347</v>
      </c>
      <c r="P292" s="16">
        <v>0</v>
      </c>
      <c r="Q292" s="16">
        <v>0</v>
      </c>
      <c r="R292" s="5" t="str">
        <f t="shared" si="39"/>
        <v>89-2023-12-31</v>
      </c>
    </row>
    <row r="293" spans="1:18" x14ac:dyDescent="0.3">
      <c r="A293" s="26">
        <v>89</v>
      </c>
      <c r="B293" s="5" t="s">
        <v>30</v>
      </c>
      <c r="C293" s="5" t="s">
        <v>24</v>
      </c>
      <c r="D293" s="5" t="s">
        <v>25</v>
      </c>
      <c r="E293" s="5" t="s">
        <v>9</v>
      </c>
      <c r="F293" s="6">
        <v>45657</v>
      </c>
      <c r="G293" s="5">
        <f t="shared" si="40"/>
        <v>2024</v>
      </c>
      <c r="H293" s="5" t="str">
        <f t="shared" si="41"/>
        <v>Diciembre</v>
      </c>
      <c r="I293" s="6" t="str">
        <f t="shared" si="38"/>
        <v>2024-2</v>
      </c>
      <c r="J293" s="5">
        <v>100</v>
      </c>
      <c r="K293" s="10">
        <v>100</v>
      </c>
      <c r="L293" s="15">
        <f>IFERROR(IF((K293/J293)&gt;1.3,1.3,K293/J293),"")</f>
        <v>1</v>
      </c>
      <c r="M293" s="15">
        <f t="shared" si="44"/>
        <v>1</v>
      </c>
      <c r="N293" s="5" t="s">
        <v>347</v>
      </c>
      <c r="O293" s="5" t="s">
        <v>347</v>
      </c>
      <c r="P293" s="16">
        <v>0</v>
      </c>
      <c r="Q293" s="16">
        <v>0</v>
      </c>
      <c r="R293" s="5" t="str">
        <f t="shared" si="39"/>
        <v>89-2024-12-31</v>
      </c>
    </row>
    <row r="294" spans="1:18" x14ac:dyDescent="0.3">
      <c r="A294" s="39">
        <v>90</v>
      </c>
      <c r="B294" s="5" t="s">
        <v>31</v>
      </c>
      <c r="C294" s="5" t="s">
        <v>24</v>
      </c>
      <c r="D294" s="5" t="s">
        <v>25</v>
      </c>
      <c r="E294" s="5" t="s">
        <v>9</v>
      </c>
      <c r="F294" s="6">
        <v>45291</v>
      </c>
      <c r="G294" s="5">
        <f t="shared" si="40"/>
        <v>2023</v>
      </c>
      <c r="H294" s="5" t="str">
        <f t="shared" si="41"/>
        <v>Diciembre</v>
      </c>
      <c r="I294" s="6" t="str">
        <f t="shared" si="38"/>
        <v>2023-2</v>
      </c>
      <c r="J294" s="5">
        <v>100</v>
      </c>
      <c r="K294" s="10">
        <v>100</v>
      </c>
      <c r="L294" s="8">
        <f>IFERROR(K294/J294,"")</f>
        <v>1</v>
      </c>
      <c r="M294" s="15">
        <f t="shared" si="44"/>
        <v>1</v>
      </c>
      <c r="N294" s="5" t="s">
        <v>347</v>
      </c>
      <c r="O294" s="5" t="s">
        <v>347</v>
      </c>
      <c r="P294" s="16">
        <v>0</v>
      </c>
      <c r="Q294" s="16">
        <v>0</v>
      </c>
      <c r="R294" s="5" t="str">
        <f t="shared" si="39"/>
        <v>90-2023-12-31</v>
      </c>
    </row>
    <row r="295" spans="1:18" x14ac:dyDescent="0.3">
      <c r="A295" s="26">
        <v>90</v>
      </c>
      <c r="B295" s="5" t="s">
        <v>31</v>
      </c>
      <c r="C295" s="5" t="s">
        <v>24</v>
      </c>
      <c r="D295" s="5" t="s">
        <v>25</v>
      </c>
      <c r="E295" s="5" t="s">
        <v>9</v>
      </c>
      <c r="F295" s="6">
        <v>45657</v>
      </c>
      <c r="G295" s="5">
        <f t="shared" si="40"/>
        <v>2024</v>
      </c>
      <c r="H295" s="5" t="str">
        <f t="shared" si="41"/>
        <v>Diciembre</v>
      </c>
      <c r="I295" s="6" t="str">
        <f t="shared" si="38"/>
        <v>2024-2</v>
      </c>
      <c r="J295" s="5">
        <v>100</v>
      </c>
      <c r="K295" s="10">
        <v>100</v>
      </c>
      <c r="L295" s="15">
        <f>IFERROR(IF((K295/J295)&gt;1.3,1.3,K295/J295),"")</f>
        <v>1</v>
      </c>
      <c r="M295" s="15">
        <f t="shared" si="44"/>
        <v>1</v>
      </c>
      <c r="N295" s="5" t="s">
        <v>347</v>
      </c>
      <c r="O295" s="5" t="s">
        <v>347</v>
      </c>
      <c r="P295" s="16">
        <v>0</v>
      </c>
      <c r="Q295" s="16">
        <v>0</v>
      </c>
      <c r="R295" s="5" t="str">
        <f t="shared" si="39"/>
        <v>90-2024-12-31</v>
      </c>
    </row>
    <row r="296" spans="1:18" x14ac:dyDescent="0.3">
      <c r="A296" s="39">
        <v>91</v>
      </c>
      <c r="B296" s="5" t="s">
        <v>32</v>
      </c>
      <c r="C296" s="5" t="s">
        <v>24</v>
      </c>
      <c r="D296" s="5" t="s">
        <v>25</v>
      </c>
      <c r="E296" s="5" t="s">
        <v>9</v>
      </c>
      <c r="F296" s="6">
        <v>45291</v>
      </c>
      <c r="G296" s="5">
        <f t="shared" si="40"/>
        <v>2023</v>
      </c>
      <c r="H296" s="5" t="str">
        <f t="shared" si="41"/>
        <v>Diciembre</v>
      </c>
      <c r="I296" s="6" t="str">
        <f t="shared" si="38"/>
        <v>2023-2</v>
      </c>
      <c r="J296" s="5">
        <v>100</v>
      </c>
      <c r="K296" s="10">
        <v>100</v>
      </c>
      <c r="L296" s="8">
        <f>IFERROR(K296/J296,"")</f>
        <v>1</v>
      </c>
      <c r="M296" s="15">
        <f t="shared" si="44"/>
        <v>1</v>
      </c>
      <c r="N296" s="5" t="s">
        <v>347</v>
      </c>
      <c r="O296" s="5" t="s">
        <v>347</v>
      </c>
      <c r="P296" s="16">
        <v>0</v>
      </c>
      <c r="Q296" s="16">
        <v>0</v>
      </c>
      <c r="R296" s="5" t="str">
        <f t="shared" si="39"/>
        <v>91-2023-12-31</v>
      </c>
    </row>
    <row r="297" spans="1:18" x14ac:dyDescent="0.3">
      <c r="A297" s="26">
        <v>91</v>
      </c>
      <c r="B297" s="5" t="s">
        <v>32</v>
      </c>
      <c r="C297" s="5" t="s">
        <v>24</v>
      </c>
      <c r="D297" s="5" t="s">
        <v>25</v>
      </c>
      <c r="E297" s="5" t="s">
        <v>9</v>
      </c>
      <c r="F297" s="6">
        <v>45657</v>
      </c>
      <c r="G297" s="5">
        <f t="shared" si="40"/>
        <v>2024</v>
      </c>
      <c r="H297" s="5" t="str">
        <f t="shared" si="41"/>
        <v>Diciembre</v>
      </c>
      <c r="I297" s="6" t="str">
        <f t="shared" si="38"/>
        <v>2024-2</v>
      </c>
      <c r="J297" s="5">
        <v>100</v>
      </c>
      <c r="K297" s="10">
        <v>100</v>
      </c>
      <c r="L297" s="15">
        <f>IFERROR(IF((K297/J297)&gt;1.3,1.3,K297/J297),"")</f>
        <v>1</v>
      </c>
      <c r="M297" s="15">
        <f t="shared" si="44"/>
        <v>1</v>
      </c>
      <c r="N297" s="5" t="s">
        <v>347</v>
      </c>
      <c r="O297" s="5" t="s">
        <v>347</v>
      </c>
      <c r="P297" s="16">
        <v>0</v>
      </c>
      <c r="Q297" s="16">
        <v>0</v>
      </c>
      <c r="R297" s="5" t="str">
        <f t="shared" si="39"/>
        <v>91-2024-12-31</v>
      </c>
    </row>
    <row r="298" spans="1:18" x14ac:dyDescent="0.3">
      <c r="A298" s="39">
        <v>92</v>
      </c>
      <c r="B298" s="5" t="s">
        <v>33</v>
      </c>
      <c r="C298" s="5" t="s">
        <v>24</v>
      </c>
      <c r="D298" s="5" t="s">
        <v>25</v>
      </c>
      <c r="E298" s="5" t="s">
        <v>9</v>
      </c>
      <c r="F298" s="6">
        <v>45291</v>
      </c>
      <c r="G298" s="5">
        <f t="shared" si="40"/>
        <v>2023</v>
      </c>
      <c r="H298" s="5" t="str">
        <f t="shared" si="41"/>
        <v>Diciembre</v>
      </c>
      <c r="I298" s="6" t="str">
        <f t="shared" si="38"/>
        <v>2023-2</v>
      </c>
      <c r="J298" s="5">
        <v>100</v>
      </c>
      <c r="K298" s="10">
        <v>100</v>
      </c>
      <c r="L298" s="8">
        <f>IFERROR(K298/J298,"")</f>
        <v>1</v>
      </c>
      <c r="M298" s="15">
        <f t="shared" si="44"/>
        <v>1</v>
      </c>
      <c r="N298" s="5" t="s">
        <v>347</v>
      </c>
      <c r="O298" s="5" t="s">
        <v>347</v>
      </c>
      <c r="P298" s="16">
        <v>0</v>
      </c>
      <c r="Q298" s="16">
        <v>0</v>
      </c>
      <c r="R298" s="5" t="str">
        <f t="shared" si="39"/>
        <v>92-2023-12-31</v>
      </c>
    </row>
    <row r="299" spans="1:18" x14ac:dyDescent="0.3">
      <c r="A299" s="26">
        <v>92</v>
      </c>
      <c r="B299" s="5" t="s">
        <v>33</v>
      </c>
      <c r="C299" s="5" t="s">
        <v>24</v>
      </c>
      <c r="D299" s="5" t="s">
        <v>25</v>
      </c>
      <c r="E299" s="5" t="s">
        <v>9</v>
      </c>
      <c r="F299" s="6">
        <v>45657</v>
      </c>
      <c r="G299" s="5">
        <f t="shared" si="40"/>
        <v>2024</v>
      </c>
      <c r="H299" s="5" t="str">
        <f t="shared" si="41"/>
        <v>Diciembre</v>
      </c>
      <c r="I299" s="6" t="str">
        <f t="shared" si="38"/>
        <v>2024-2</v>
      </c>
      <c r="J299" s="5">
        <v>98</v>
      </c>
      <c r="K299" s="10">
        <v>100</v>
      </c>
      <c r="L299" s="15">
        <f>IFERROR(IF((K299/J299)&gt;1.3,1.3,K299/J299),"")</f>
        <v>1.0204081632653061</v>
      </c>
      <c r="M299" s="15">
        <f t="shared" si="44"/>
        <v>1.0204081632653061</v>
      </c>
      <c r="N299" s="5" t="s">
        <v>347</v>
      </c>
      <c r="O299" s="5" t="s">
        <v>347</v>
      </c>
      <c r="P299" s="16">
        <v>0</v>
      </c>
      <c r="Q299" s="16">
        <v>0</v>
      </c>
      <c r="R299" s="5" t="str">
        <f t="shared" si="39"/>
        <v>92-2024-12-31</v>
      </c>
    </row>
    <row r="300" spans="1:18" x14ac:dyDescent="0.3">
      <c r="A300" s="39">
        <v>94</v>
      </c>
      <c r="B300" s="5" t="s">
        <v>34</v>
      </c>
      <c r="C300" s="5" t="s">
        <v>24</v>
      </c>
      <c r="D300" s="5" t="s">
        <v>25</v>
      </c>
      <c r="E300" s="5" t="s">
        <v>9</v>
      </c>
      <c r="F300" s="6">
        <v>45291</v>
      </c>
      <c r="G300" s="5">
        <f t="shared" si="40"/>
        <v>2023</v>
      </c>
      <c r="H300" s="5" t="str">
        <f t="shared" si="41"/>
        <v>Diciembre</v>
      </c>
      <c r="I300" s="6" t="str">
        <f t="shared" si="38"/>
        <v>2023-2</v>
      </c>
      <c r="J300" s="5">
        <v>100</v>
      </c>
      <c r="K300" s="10">
        <v>100</v>
      </c>
      <c r="L300" s="8">
        <f>IFERROR(K300/J300,"")</f>
        <v>1</v>
      </c>
      <c r="M300" s="15">
        <f t="shared" si="44"/>
        <v>1</v>
      </c>
      <c r="N300" s="5" t="s">
        <v>347</v>
      </c>
      <c r="O300" s="5" t="s">
        <v>347</v>
      </c>
      <c r="P300" s="16">
        <v>0</v>
      </c>
      <c r="Q300" s="16">
        <v>0</v>
      </c>
      <c r="R300" s="5" t="str">
        <f t="shared" si="39"/>
        <v>94-2023-12-31</v>
      </c>
    </row>
    <row r="301" spans="1:18" x14ac:dyDescent="0.3">
      <c r="A301" s="26">
        <v>94</v>
      </c>
      <c r="B301" s="5" t="s">
        <v>34</v>
      </c>
      <c r="C301" s="5" t="s">
        <v>24</v>
      </c>
      <c r="D301" s="5" t="s">
        <v>25</v>
      </c>
      <c r="E301" s="5" t="s">
        <v>9</v>
      </c>
      <c r="F301" s="6">
        <v>45657</v>
      </c>
      <c r="G301" s="5">
        <f t="shared" si="40"/>
        <v>2024</v>
      </c>
      <c r="H301" s="5" t="str">
        <f t="shared" si="41"/>
        <v>Diciembre</v>
      </c>
      <c r="I301" s="6" t="str">
        <f t="shared" si="38"/>
        <v>2024-2</v>
      </c>
      <c r="J301" s="5">
        <v>100</v>
      </c>
      <c r="K301" s="10">
        <v>100</v>
      </c>
      <c r="L301" s="15">
        <f>IFERROR(IF((K301/J301)&gt;1.3,1.3,K301/J301),"")</f>
        <v>1</v>
      </c>
      <c r="M301" s="15">
        <f t="shared" si="44"/>
        <v>1</v>
      </c>
      <c r="N301" s="5" t="s">
        <v>347</v>
      </c>
      <c r="O301" s="5" t="s">
        <v>347</v>
      </c>
      <c r="P301" s="16">
        <v>0</v>
      </c>
      <c r="Q301" s="16">
        <v>0</v>
      </c>
      <c r="R301" s="5" t="str">
        <f t="shared" si="39"/>
        <v>94-2024-12-31</v>
      </c>
    </row>
    <row r="302" spans="1:18" x14ac:dyDescent="0.3">
      <c r="A302" s="26">
        <v>95</v>
      </c>
      <c r="B302" s="5" t="s">
        <v>35</v>
      </c>
      <c r="C302" s="5" t="s">
        <v>24</v>
      </c>
      <c r="D302" s="5" t="s">
        <v>8</v>
      </c>
      <c r="E302" s="5" t="s">
        <v>9</v>
      </c>
      <c r="F302" s="17">
        <v>45107</v>
      </c>
      <c r="G302" s="5">
        <f t="shared" si="40"/>
        <v>2023</v>
      </c>
      <c r="H302" s="5" t="str">
        <f t="shared" si="41"/>
        <v>Junio</v>
      </c>
      <c r="I302" s="6" t="str">
        <f t="shared" si="38"/>
        <v>2023-1</v>
      </c>
      <c r="J302" s="5">
        <v>100</v>
      </c>
      <c r="K302" s="10">
        <v>100</v>
      </c>
      <c r="L302" s="8">
        <f>IFERROR(K302/J302,"")</f>
        <v>1</v>
      </c>
      <c r="M302" s="15">
        <f t="shared" si="44"/>
        <v>1</v>
      </c>
      <c r="N302" s="5" t="s">
        <v>347</v>
      </c>
      <c r="O302" s="5" t="s">
        <v>347</v>
      </c>
      <c r="P302" s="16">
        <v>0</v>
      </c>
      <c r="Q302" s="16">
        <v>0</v>
      </c>
      <c r="R302" s="5" t="str">
        <f t="shared" si="39"/>
        <v>95-2023-06-30</v>
      </c>
    </row>
    <row r="303" spans="1:18" x14ac:dyDescent="0.3">
      <c r="A303" s="39">
        <v>95</v>
      </c>
      <c r="B303" s="5" t="s">
        <v>35</v>
      </c>
      <c r="C303" s="5" t="s">
        <v>24</v>
      </c>
      <c r="D303" s="5" t="s">
        <v>8</v>
      </c>
      <c r="E303" s="5" t="s">
        <v>9</v>
      </c>
      <c r="F303" s="6">
        <v>45291</v>
      </c>
      <c r="G303" s="5">
        <f t="shared" si="40"/>
        <v>2023</v>
      </c>
      <c r="H303" s="5" t="str">
        <f t="shared" si="41"/>
        <v>Diciembre</v>
      </c>
      <c r="I303" s="6" t="str">
        <f t="shared" si="38"/>
        <v>2023-2</v>
      </c>
      <c r="J303" s="5">
        <v>100</v>
      </c>
      <c r="K303" s="10">
        <v>100</v>
      </c>
      <c r="L303" s="8">
        <f>IFERROR(K303/J303,"")</f>
        <v>1</v>
      </c>
      <c r="M303" s="15">
        <f t="shared" si="44"/>
        <v>1</v>
      </c>
      <c r="N303" s="5" t="s">
        <v>347</v>
      </c>
      <c r="O303" s="5" t="s">
        <v>347</v>
      </c>
      <c r="P303" s="16">
        <v>0</v>
      </c>
      <c r="Q303" s="16">
        <v>0</v>
      </c>
      <c r="R303" s="5" t="str">
        <f t="shared" si="39"/>
        <v>95-2023-12-31</v>
      </c>
    </row>
    <row r="304" spans="1:18" x14ac:dyDescent="0.3">
      <c r="A304" s="5">
        <v>95</v>
      </c>
      <c r="B304" s="5" t="s">
        <v>35</v>
      </c>
      <c r="C304" s="5" t="s">
        <v>24</v>
      </c>
      <c r="D304" s="5" t="s">
        <v>8</v>
      </c>
      <c r="E304" s="5" t="s">
        <v>9</v>
      </c>
      <c r="F304" s="6">
        <v>45473</v>
      </c>
      <c r="G304" s="5">
        <f t="shared" si="40"/>
        <v>2024</v>
      </c>
      <c r="H304" s="5" t="str">
        <f t="shared" si="41"/>
        <v>Junio</v>
      </c>
      <c r="I304" s="6" t="str">
        <f t="shared" si="38"/>
        <v>2024-1</v>
      </c>
      <c r="J304" s="5">
        <v>100</v>
      </c>
      <c r="K304" s="5">
        <v>100</v>
      </c>
      <c r="L304" s="15">
        <v>1</v>
      </c>
      <c r="M304" s="15">
        <v>1</v>
      </c>
      <c r="N304" s="5" t="s">
        <v>347</v>
      </c>
      <c r="O304" s="5" t="s">
        <v>347</v>
      </c>
      <c r="P304" s="5">
        <v>0</v>
      </c>
      <c r="Q304" s="5">
        <v>0</v>
      </c>
      <c r="R304" s="5" t="str">
        <f t="shared" si="39"/>
        <v>95-2024-06-30</v>
      </c>
    </row>
    <row r="305" spans="1:18" x14ac:dyDescent="0.3">
      <c r="A305" s="26">
        <v>95</v>
      </c>
      <c r="B305" s="5" t="s">
        <v>35</v>
      </c>
      <c r="C305" s="5" t="s">
        <v>24</v>
      </c>
      <c r="D305" s="5" t="s">
        <v>8</v>
      </c>
      <c r="E305" s="5" t="s">
        <v>9</v>
      </c>
      <c r="F305" s="6">
        <v>45657</v>
      </c>
      <c r="G305" s="5">
        <f t="shared" si="40"/>
        <v>2024</v>
      </c>
      <c r="H305" s="5" t="str">
        <f t="shared" si="41"/>
        <v>Diciembre</v>
      </c>
      <c r="I305" s="6" t="str">
        <f t="shared" si="38"/>
        <v>2024-2</v>
      </c>
      <c r="J305" s="5">
        <v>100</v>
      </c>
      <c r="K305" s="10">
        <v>100</v>
      </c>
      <c r="L305" s="15">
        <f>IFERROR(IF((K305/J305)&gt;1.3,1.3,K305/J305),"")</f>
        <v>1</v>
      </c>
      <c r="M305" s="15">
        <f>IFERROR(IF((K305/J305)&gt;K305/J305,1.3,K305/J305),"")</f>
        <v>1</v>
      </c>
      <c r="N305" s="5" t="s">
        <v>347</v>
      </c>
      <c r="O305" s="5" t="s">
        <v>347</v>
      </c>
      <c r="P305" s="16">
        <v>0</v>
      </c>
      <c r="Q305" s="16">
        <v>0</v>
      </c>
      <c r="R305" s="5" t="str">
        <f t="shared" si="39"/>
        <v>95-2024-12-31</v>
      </c>
    </row>
    <row r="306" spans="1:18" x14ac:dyDescent="0.3">
      <c r="A306" s="5">
        <v>96</v>
      </c>
      <c r="B306" s="23" t="s">
        <v>346</v>
      </c>
      <c r="C306" s="5" t="s">
        <v>59</v>
      </c>
      <c r="D306" s="5" t="s">
        <v>8</v>
      </c>
      <c r="E306" s="5" t="s">
        <v>9</v>
      </c>
      <c r="F306" s="6">
        <v>44926</v>
      </c>
      <c r="G306" s="5">
        <f t="shared" si="40"/>
        <v>2022</v>
      </c>
      <c r="H306" s="5" t="str">
        <f t="shared" si="41"/>
        <v>Diciembre</v>
      </c>
      <c r="I306" s="6" t="str">
        <f t="shared" si="38"/>
        <v>2022-2</v>
      </c>
      <c r="J306" s="5">
        <v>509</v>
      </c>
      <c r="K306" s="5">
        <v>566</v>
      </c>
      <c r="L306" s="15">
        <v>1.111984282907662</v>
      </c>
      <c r="M306" s="15">
        <v>1.111984282907662</v>
      </c>
      <c r="N306" s="5" t="s">
        <v>347</v>
      </c>
      <c r="O306" s="5" t="s">
        <v>347</v>
      </c>
      <c r="P306" s="5">
        <v>0</v>
      </c>
      <c r="Q306" s="5">
        <v>0</v>
      </c>
      <c r="R306" s="5" t="str">
        <f t="shared" si="39"/>
        <v>96-2022-12-31</v>
      </c>
    </row>
    <row r="307" spans="1:18" x14ac:dyDescent="0.3">
      <c r="A307" s="26">
        <v>96</v>
      </c>
      <c r="B307" s="23" t="s">
        <v>346</v>
      </c>
      <c r="C307" s="5" t="s">
        <v>59</v>
      </c>
      <c r="D307" s="5" t="s">
        <v>8</v>
      </c>
      <c r="E307" s="5" t="s">
        <v>9</v>
      </c>
      <c r="F307" s="6">
        <v>45107</v>
      </c>
      <c r="G307" s="5">
        <f t="shared" si="40"/>
        <v>2023</v>
      </c>
      <c r="H307" s="5" t="str">
        <f t="shared" si="41"/>
        <v>Junio</v>
      </c>
      <c r="I307" s="6" t="str">
        <f t="shared" si="38"/>
        <v>2023-1</v>
      </c>
      <c r="J307" s="5">
        <v>305</v>
      </c>
      <c r="K307" s="10">
        <v>209</v>
      </c>
      <c r="L307" s="15">
        <f>IFERROR(IF((K307/J307)&gt;1.3,1.3,K307/J307),"")</f>
        <v>0.68524590163934429</v>
      </c>
      <c r="M307" s="15">
        <f>IFERROR(IF((K307/J307)&gt;K307/J307,1.3,K307/J307),"")</f>
        <v>0.68524590163934429</v>
      </c>
      <c r="N307" s="5" t="s">
        <v>347</v>
      </c>
      <c r="O307" s="5" t="s">
        <v>347</v>
      </c>
      <c r="P307" s="16">
        <v>0</v>
      </c>
      <c r="Q307" s="16">
        <v>0</v>
      </c>
      <c r="R307" s="5" t="str">
        <f t="shared" si="39"/>
        <v>96-2023-06-30</v>
      </c>
    </row>
    <row r="308" spans="1:18" x14ac:dyDescent="0.3">
      <c r="A308" s="26">
        <v>96</v>
      </c>
      <c r="B308" s="23" t="s">
        <v>346</v>
      </c>
      <c r="C308" s="5" t="s">
        <v>59</v>
      </c>
      <c r="D308" s="5" t="s">
        <v>8</v>
      </c>
      <c r="E308" s="5" t="s">
        <v>9</v>
      </c>
      <c r="F308" s="6">
        <v>45291</v>
      </c>
      <c r="G308" s="5">
        <f t="shared" si="40"/>
        <v>2023</v>
      </c>
      <c r="H308" s="5" t="str">
        <f t="shared" si="41"/>
        <v>Diciembre</v>
      </c>
      <c r="I308" s="6" t="str">
        <f t="shared" si="38"/>
        <v>2023-2</v>
      </c>
      <c r="J308" s="5">
        <v>306</v>
      </c>
      <c r="K308" s="10">
        <v>496</v>
      </c>
      <c r="L308" s="15">
        <f>IFERROR(IF((K308/J308)&gt;1.3,1.3,K308/J308),"")</f>
        <v>1.3</v>
      </c>
      <c r="M308" s="15">
        <f>IFERROR(IF((K308/J308)&gt;K308/J308,1.3,K308/J308),"")</f>
        <v>1.6209150326797386</v>
      </c>
      <c r="N308" s="5" t="s">
        <v>347</v>
      </c>
      <c r="O308" s="5" t="s">
        <v>347</v>
      </c>
      <c r="P308" s="16">
        <v>0</v>
      </c>
      <c r="Q308" s="16">
        <v>0</v>
      </c>
      <c r="R308" s="5" t="str">
        <f t="shared" si="39"/>
        <v>96-2023-12-31</v>
      </c>
    </row>
    <row r="309" spans="1:18" s="2" customFormat="1" x14ac:dyDescent="0.3">
      <c r="A309" s="26">
        <v>96</v>
      </c>
      <c r="B309" s="23" t="s">
        <v>346</v>
      </c>
      <c r="C309" s="5" t="s">
        <v>59</v>
      </c>
      <c r="D309" s="5" t="s">
        <v>8</v>
      </c>
      <c r="E309" s="5" t="s">
        <v>9</v>
      </c>
      <c r="F309" s="6">
        <v>45473</v>
      </c>
      <c r="G309" s="5">
        <f t="shared" si="40"/>
        <v>2024</v>
      </c>
      <c r="H309" s="5" t="str">
        <f t="shared" si="41"/>
        <v>Junio</v>
      </c>
      <c r="I309" s="6" t="str">
        <f t="shared" si="38"/>
        <v>2024-1</v>
      </c>
      <c r="J309" s="5">
        <v>336</v>
      </c>
      <c r="K309" s="5">
        <v>143</v>
      </c>
      <c r="L309" s="15">
        <f>IFERROR(IF((K309/J309)&gt;1.3,1.3,K309/J309),"")</f>
        <v>0.42559523809523808</v>
      </c>
      <c r="M309" s="15">
        <f>IFERROR(IF((K309/J309)&gt;K309/J309,1.3,K309/J309),"")</f>
        <v>0.42559523809523808</v>
      </c>
      <c r="N309" s="5" t="s">
        <v>347</v>
      </c>
      <c r="O309" s="5" t="s">
        <v>347</v>
      </c>
      <c r="P309" s="16">
        <v>0</v>
      </c>
      <c r="Q309" s="16">
        <v>0</v>
      </c>
      <c r="R309" s="5" t="str">
        <f t="shared" si="39"/>
        <v>96-2024-06-30</v>
      </c>
    </row>
    <row r="310" spans="1:18" s="2" customFormat="1" x14ac:dyDescent="0.3">
      <c r="A310" s="5">
        <v>97</v>
      </c>
      <c r="B310" s="5" t="s">
        <v>430</v>
      </c>
      <c r="C310" s="5" t="s">
        <v>315</v>
      </c>
      <c r="D310" s="5" t="s">
        <v>8</v>
      </c>
      <c r="E310" s="5" t="s">
        <v>9</v>
      </c>
      <c r="F310" s="17">
        <v>44742</v>
      </c>
      <c r="G310" s="5">
        <f t="shared" si="40"/>
        <v>2022</v>
      </c>
      <c r="H310" s="5" t="str">
        <f t="shared" si="41"/>
        <v>Junio</v>
      </c>
      <c r="I310" s="6" t="str">
        <f t="shared" si="38"/>
        <v>2022-1</v>
      </c>
      <c r="J310" s="5">
        <v>2</v>
      </c>
      <c r="K310" s="5">
        <v>2</v>
      </c>
      <c r="L310" s="15">
        <v>1</v>
      </c>
      <c r="M310" s="15">
        <v>1</v>
      </c>
      <c r="N310" s="5" t="s">
        <v>490</v>
      </c>
      <c r="O310" s="5" t="s">
        <v>490</v>
      </c>
      <c r="P310" s="5">
        <v>0</v>
      </c>
      <c r="Q310" s="5">
        <v>0</v>
      </c>
      <c r="R310" s="5" t="str">
        <f t="shared" si="39"/>
        <v>97-2022-06-30</v>
      </c>
    </row>
    <row r="311" spans="1:18" s="2" customFormat="1" x14ac:dyDescent="0.3">
      <c r="A311" s="5">
        <v>97</v>
      </c>
      <c r="B311" s="5" t="s">
        <v>430</v>
      </c>
      <c r="C311" s="5" t="s">
        <v>315</v>
      </c>
      <c r="D311" s="5" t="s">
        <v>8</v>
      </c>
      <c r="E311" s="5" t="s">
        <v>9</v>
      </c>
      <c r="F311" s="17">
        <v>44926</v>
      </c>
      <c r="G311" s="5">
        <f t="shared" si="40"/>
        <v>2022</v>
      </c>
      <c r="H311" s="5" t="str">
        <f t="shared" si="41"/>
        <v>Diciembre</v>
      </c>
      <c r="I311" s="6" t="str">
        <f t="shared" si="38"/>
        <v>2022-2</v>
      </c>
      <c r="J311" s="5">
        <v>1</v>
      </c>
      <c r="K311" s="5">
        <v>1</v>
      </c>
      <c r="L311" s="15">
        <v>1</v>
      </c>
      <c r="M311" s="15">
        <v>1</v>
      </c>
      <c r="N311" s="5" t="s">
        <v>490</v>
      </c>
      <c r="O311" s="5" t="s">
        <v>490</v>
      </c>
      <c r="P311" s="5">
        <v>0</v>
      </c>
      <c r="Q311" s="5">
        <v>0</v>
      </c>
      <c r="R311" s="5" t="str">
        <f t="shared" si="39"/>
        <v>97-2022-12-31</v>
      </c>
    </row>
    <row r="312" spans="1:18" s="2" customFormat="1" x14ac:dyDescent="0.3">
      <c r="A312" s="5">
        <v>97</v>
      </c>
      <c r="B312" s="5" t="s">
        <v>430</v>
      </c>
      <c r="C312" s="5" t="s">
        <v>315</v>
      </c>
      <c r="D312" s="5" t="s">
        <v>8</v>
      </c>
      <c r="E312" s="5" t="s">
        <v>9</v>
      </c>
      <c r="F312" s="17">
        <v>45107</v>
      </c>
      <c r="G312" s="5">
        <f t="shared" si="40"/>
        <v>2023</v>
      </c>
      <c r="H312" s="5" t="str">
        <f t="shared" si="41"/>
        <v>Junio</v>
      </c>
      <c r="I312" s="6" t="str">
        <f t="shared" si="38"/>
        <v>2023-1</v>
      </c>
      <c r="J312" s="42">
        <v>0</v>
      </c>
      <c r="K312" s="10">
        <v>0</v>
      </c>
      <c r="L312" s="15" t="str">
        <f>IFERROR(IF((K312/J312)&gt;1.3,1.3,K312/J312),"")</f>
        <v/>
      </c>
      <c r="M312" s="15" t="str">
        <f>IFERROR(IF((K312/J312)&gt;K312/J312,1.3,K312/J312),"")</f>
        <v/>
      </c>
      <c r="N312" s="5" t="s">
        <v>490</v>
      </c>
      <c r="O312" s="5" t="s">
        <v>490</v>
      </c>
      <c r="P312" s="16">
        <v>0</v>
      </c>
      <c r="Q312" s="16">
        <v>0</v>
      </c>
      <c r="R312" s="5" t="str">
        <f t="shared" si="39"/>
        <v>97-2023-06-30</v>
      </c>
    </row>
    <row r="313" spans="1:18" s="2" customFormat="1" x14ac:dyDescent="0.3">
      <c r="A313" s="5">
        <v>98</v>
      </c>
      <c r="B313" s="5" t="s">
        <v>432</v>
      </c>
      <c r="C313" s="5" t="s">
        <v>315</v>
      </c>
      <c r="D313" s="5" t="s">
        <v>8</v>
      </c>
      <c r="E313" s="5" t="s">
        <v>9</v>
      </c>
      <c r="F313" s="17">
        <v>44742</v>
      </c>
      <c r="G313" s="5">
        <f t="shared" si="40"/>
        <v>2022</v>
      </c>
      <c r="H313" s="5" t="str">
        <f t="shared" si="41"/>
        <v>Junio</v>
      </c>
      <c r="I313" s="6" t="str">
        <f t="shared" si="38"/>
        <v>2022-1</v>
      </c>
      <c r="J313" s="5">
        <v>2</v>
      </c>
      <c r="K313" s="5">
        <v>2</v>
      </c>
      <c r="L313" s="15">
        <v>1</v>
      </c>
      <c r="M313" s="15">
        <v>1</v>
      </c>
      <c r="N313" s="5" t="s">
        <v>490</v>
      </c>
      <c r="O313" s="5" t="s">
        <v>490</v>
      </c>
      <c r="P313" s="5">
        <v>0</v>
      </c>
      <c r="Q313" s="5">
        <v>0</v>
      </c>
      <c r="R313" s="5" t="str">
        <f t="shared" si="39"/>
        <v>98-2022-06-30</v>
      </c>
    </row>
    <row r="314" spans="1:18" s="2" customFormat="1" x14ac:dyDescent="0.3">
      <c r="A314" s="5">
        <v>98</v>
      </c>
      <c r="B314" s="5" t="s">
        <v>432</v>
      </c>
      <c r="C314" s="5" t="s">
        <v>315</v>
      </c>
      <c r="D314" s="5" t="s">
        <v>8</v>
      </c>
      <c r="E314" s="5" t="s">
        <v>9</v>
      </c>
      <c r="F314" s="17">
        <v>44926</v>
      </c>
      <c r="G314" s="5">
        <f t="shared" si="40"/>
        <v>2022</v>
      </c>
      <c r="H314" s="5" t="str">
        <f t="shared" si="41"/>
        <v>Diciembre</v>
      </c>
      <c r="I314" s="6" t="str">
        <f t="shared" ref="I314:I365" si="45">IF(OR(H314="Enero",H314="Febrero",H314="Marzo",H314="Abril",H314="Mayo",H314="Junio"),G314&amp;"-1",IF(OR(H314="Julio",H314="Agosto",H314="Septiembre",H314="Octubre",H314="Noviembre",H314="Diciembre"),G314&amp;"-2"))</f>
        <v>2022-2</v>
      </c>
      <c r="J314" s="5">
        <v>2</v>
      </c>
      <c r="K314" s="5">
        <v>2</v>
      </c>
      <c r="L314" s="15">
        <v>1</v>
      </c>
      <c r="M314" s="15">
        <v>1</v>
      </c>
      <c r="N314" s="5" t="s">
        <v>490</v>
      </c>
      <c r="O314" s="5" t="s">
        <v>490</v>
      </c>
      <c r="P314" s="5">
        <v>0</v>
      </c>
      <c r="Q314" s="5">
        <v>0</v>
      </c>
      <c r="R314" s="5" t="str">
        <f t="shared" ref="R314:R365" si="46">A314&amp;"-"&amp;YEAR(F314)&amp;"-"&amp;IF(LEN(MONTH(F314))=1,"0"&amp;MONTH(F314),MONTH(F314))&amp;"-"&amp;DAY(F314)</f>
        <v>98-2022-12-31</v>
      </c>
    </row>
    <row r="315" spans="1:18" s="2" customFormat="1" x14ac:dyDescent="0.3">
      <c r="A315" s="5">
        <v>98</v>
      </c>
      <c r="B315" s="5" t="s">
        <v>432</v>
      </c>
      <c r="C315" s="5" t="s">
        <v>315</v>
      </c>
      <c r="D315" s="5" t="s">
        <v>8</v>
      </c>
      <c r="E315" s="5" t="s">
        <v>9</v>
      </c>
      <c r="F315" s="17">
        <v>45107</v>
      </c>
      <c r="G315" s="5">
        <f t="shared" si="40"/>
        <v>2023</v>
      </c>
      <c r="H315" s="5" t="str">
        <f t="shared" si="41"/>
        <v>Junio</v>
      </c>
      <c r="I315" s="6" t="str">
        <f t="shared" si="45"/>
        <v>2023-1</v>
      </c>
      <c r="J315" s="42">
        <v>0</v>
      </c>
      <c r="K315" s="10">
        <v>0</v>
      </c>
      <c r="L315" s="15" t="str">
        <f>IFERROR(IF((K315/J315)&gt;1.3,1.3,K315/J315),"")</f>
        <v/>
      </c>
      <c r="M315" s="15" t="str">
        <f>IFERROR(IF((K315/J315)&gt;K315/J315,1.3,K315/J315),"")</f>
        <v/>
      </c>
      <c r="N315" s="5" t="s">
        <v>490</v>
      </c>
      <c r="O315" s="5" t="s">
        <v>490</v>
      </c>
      <c r="P315" s="16">
        <v>0</v>
      </c>
      <c r="Q315" s="16">
        <v>0</v>
      </c>
      <c r="R315" s="5" t="str">
        <f t="shared" si="46"/>
        <v>98-2023-06-30</v>
      </c>
    </row>
    <row r="316" spans="1:18" s="2" customFormat="1" x14ac:dyDescent="0.3">
      <c r="A316" s="39">
        <v>100</v>
      </c>
      <c r="B316" s="5" t="s">
        <v>36</v>
      </c>
      <c r="C316" s="5" t="s">
        <v>24</v>
      </c>
      <c r="D316" s="5" t="s">
        <v>25</v>
      </c>
      <c r="E316" s="5" t="s">
        <v>9</v>
      </c>
      <c r="F316" s="6">
        <v>45291</v>
      </c>
      <c r="G316" s="5">
        <f t="shared" si="40"/>
        <v>2023</v>
      </c>
      <c r="H316" s="5" t="str">
        <f t="shared" si="41"/>
        <v>Diciembre</v>
      </c>
      <c r="I316" s="6" t="str">
        <f t="shared" si="45"/>
        <v>2023-2</v>
      </c>
      <c r="J316" s="5">
        <v>100</v>
      </c>
      <c r="K316" s="10">
        <v>99</v>
      </c>
      <c r="L316" s="8">
        <f>IFERROR(K316/J316,"")</f>
        <v>0.99</v>
      </c>
      <c r="M316" s="15">
        <f>IFERROR(IF((K316/J316)&gt;K316/J316,1.3,K316/J316),"")</f>
        <v>0.99</v>
      </c>
      <c r="N316" s="5" t="s">
        <v>347</v>
      </c>
      <c r="O316" s="5" t="s">
        <v>347</v>
      </c>
      <c r="P316" s="16">
        <v>0</v>
      </c>
      <c r="Q316" s="16">
        <v>0</v>
      </c>
      <c r="R316" s="5" t="str">
        <f t="shared" si="46"/>
        <v>100-2023-12-31</v>
      </c>
    </row>
    <row r="317" spans="1:18" s="2" customFormat="1" x14ac:dyDescent="0.3">
      <c r="A317" s="26">
        <v>100</v>
      </c>
      <c r="B317" s="5" t="s">
        <v>36</v>
      </c>
      <c r="C317" s="5" t="s">
        <v>24</v>
      </c>
      <c r="D317" s="5" t="s">
        <v>25</v>
      </c>
      <c r="E317" s="5" t="s">
        <v>9</v>
      </c>
      <c r="F317" s="6">
        <v>45657</v>
      </c>
      <c r="G317" s="5">
        <f t="shared" si="40"/>
        <v>2024</v>
      </c>
      <c r="H317" s="5" t="str">
        <f t="shared" si="41"/>
        <v>Diciembre</v>
      </c>
      <c r="I317" s="6" t="str">
        <f t="shared" si="45"/>
        <v>2024-2</v>
      </c>
      <c r="J317" s="5">
        <v>100</v>
      </c>
      <c r="K317" s="10">
        <v>99</v>
      </c>
      <c r="L317" s="15">
        <f>IFERROR(IF((K317/J317)&gt;1.3,1.3,K317/J317),"")</f>
        <v>0.99</v>
      </c>
      <c r="M317" s="15">
        <f>IFERROR(IF((K317/J317)&gt;K317/J317,1.3,K317/J317),"")</f>
        <v>0.99</v>
      </c>
      <c r="N317" s="5" t="s">
        <v>347</v>
      </c>
      <c r="O317" s="5" t="s">
        <v>347</v>
      </c>
      <c r="P317" s="16">
        <v>0</v>
      </c>
      <c r="Q317" s="16">
        <v>0</v>
      </c>
      <c r="R317" s="5" t="str">
        <f t="shared" si="46"/>
        <v>100-2024-12-31</v>
      </c>
    </row>
    <row r="318" spans="1:18" s="2" customFormat="1" x14ac:dyDescent="0.3">
      <c r="A318" s="39">
        <v>104</v>
      </c>
      <c r="B318" s="5" t="s">
        <v>37</v>
      </c>
      <c r="C318" s="5" t="s">
        <v>24</v>
      </c>
      <c r="D318" s="5" t="s">
        <v>25</v>
      </c>
      <c r="E318" s="5" t="s">
        <v>14</v>
      </c>
      <c r="F318" s="6">
        <v>45291</v>
      </c>
      <c r="G318" s="5">
        <f t="shared" si="40"/>
        <v>2023</v>
      </c>
      <c r="H318" s="5" t="str">
        <f t="shared" si="41"/>
        <v>Diciembre</v>
      </c>
      <c r="I318" s="6" t="str">
        <f t="shared" si="45"/>
        <v>2023-2</v>
      </c>
      <c r="J318" s="5">
        <v>2.14</v>
      </c>
      <c r="K318" s="10">
        <v>0.47</v>
      </c>
      <c r="L318" s="8">
        <v>1</v>
      </c>
      <c r="M318" s="8">
        <v>1</v>
      </c>
      <c r="N318" s="5" t="s">
        <v>478</v>
      </c>
      <c r="O318" s="5" t="s">
        <v>478</v>
      </c>
      <c r="P318" s="16">
        <v>2</v>
      </c>
      <c r="Q318" s="16">
        <v>2</v>
      </c>
      <c r="R318" s="5" t="str">
        <f t="shared" si="46"/>
        <v>104-2023-12-31</v>
      </c>
    </row>
    <row r="319" spans="1:18" s="2" customFormat="1" x14ac:dyDescent="0.3">
      <c r="A319" s="26">
        <v>104</v>
      </c>
      <c r="B319" s="5" t="s">
        <v>37</v>
      </c>
      <c r="C319" s="5" t="s">
        <v>24</v>
      </c>
      <c r="D319" s="5" t="s">
        <v>25</v>
      </c>
      <c r="E319" s="5" t="s">
        <v>14</v>
      </c>
      <c r="F319" s="6">
        <v>45657</v>
      </c>
      <c r="G319" s="5">
        <f t="shared" si="40"/>
        <v>2024</v>
      </c>
      <c r="H319" s="5" t="str">
        <f t="shared" si="41"/>
        <v>Diciembre</v>
      </c>
      <c r="I319" s="6" t="str">
        <f t="shared" si="45"/>
        <v>2024-2</v>
      </c>
      <c r="J319" s="5">
        <v>1.2</v>
      </c>
      <c r="K319" s="10">
        <v>0.11</v>
      </c>
      <c r="L319" s="8">
        <v>1</v>
      </c>
      <c r="M319" s="8">
        <v>1</v>
      </c>
      <c r="N319" s="5" t="s">
        <v>478</v>
      </c>
      <c r="O319" s="5" t="s">
        <v>478</v>
      </c>
      <c r="P319" s="16">
        <v>2</v>
      </c>
      <c r="Q319" s="16">
        <v>2</v>
      </c>
      <c r="R319" s="5" t="str">
        <f t="shared" si="46"/>
        <v>104-2024-12-31</v>
      </c>
    </row>
    <row r="320" spans="1:18" s="2" customFormat="1" x14ac:dyDescent="0.3">
      <c r="A320" s="39">
        <v>106</v>
      </c>
      <c r="B320" s="5" t="s">
        <v>38</v>
      </c>
      <c r="C320" s="5" t="s">
        <v>24</v>
      </c>
      <c r="D320" s="5" t="s">
        <v>25</v>
      </c>
      <c r="E320" s="5" t="s">
        <v>14</v>
      </c>
      <c r="F320" s="6">
        <v>45291</v>
      </c>
      <c r="G320" s="5">
        <f t="shared" si="40"/>
        <v>2023</v>
      </c>
      <c r="H320" s="5" t="str">
        <f t="shared" si="41"/>
        <v>Diciembre</v>
      </c>
      <c r="I320" s="6" t="str">
        <f t="shared" si="45"/>
        <v>2023-2</v>
      </c>
      <c r="J320" s="9">
        <v>1.0000000000000001E-5</v>
      </c>
      <c r="K320" s="10">
        <v>1.0000000000000001E-5</v>
      </c>
      <c r="L320" s="15">
        <v>1</v>
      </c>
      <c r="M320" s="8">
        <f>IFERROR(J320/K320,"")</f>
        <v>1</v>
      </c>
      <c r="N320" s="5" t="s">
        <v>490</v>
      </c>
      <c r="O320" s="5" t="s">
        <v>490</v>
      </c>
      <c r="P320" s="16">
        <v>0</v>
      </c>
      <c r="Q320" s="16">
        <v>0</v>
      </c>
      <c r="R320" s="5" t="str">
        <f t="shared" si="46"/>
        <v>106-2023-12-31</v>
      </c>
    </row>
    <row r="321" spans="1:18" x14ac:dyDescent="0.3">
      <c r="A321" s="26">
        <v>106</v>
      </c>
      <c r="B321" s="5" t="s">
        <v>38</v>
      </c>
      <c r="C321" s="5" t="s">
        <v>24</v>
      </c>
      <c r="D321" s="5" t="s">
        <v>25</v>
      </c>
      <c r="E321" s="5" t="s">
        <v>14</v>
      </c>
      <c r="F321" s="6">
        <v>45657</v>
      </c>
      <c r="G321" s="5">
        <f t="shared" si="40"/>
        <v>2024</v>
      </c>
      <c r="H321" s="5" t="str">
        <f t="shared" si="41"/>
        <v>Diciembre</v>
      </c>
      <c r="I321" s="6" t="str">
        <f t="shared" si="45"/>
        <v>2024-2</v>
      </c>
      <c r="J321" s="5">
        <v>0</v>
      </c>
      <c r="K321" s="10">
        <v>0</v>
      </c>
      <c r="L321" s="15">
        <v>1</v>
      </c>
      <c r="M321" s="15">
        <v>1</v>
      </c>
      <c r="N321" s="5" t="s">
        <v>490</v>
      </c>
      <c r="O321" s="5" t="s">
        <v>490</v>
      </c>
      <c r="P321" s="16">
        <v>0</v>
      </c>
      <c r="Q321" s="16">
        <v>0</v>
      </c>
      <c r="R321" s="5" t="str">
        <f t="shared" si="46"/>
        <v>106-2024-12-31</v>
      </c>
    </row>
    <row r="322" spans="1:18" x14ac:dyDescent="0.3">
      <c r="A322" s="5">
        <v>110</v>
      </c>
      <c r="B322" s="5" t="s">
        <v>39</v>
      </c>
      <c r="C322" s="5" t="s">
        <v>84</v>
      </c>
      <c r="D322" s="5" t="s">
        <v>25</v>
      </c>
      <c r="E322" s="5" t="s">
        <v>9</v>
      </c>
      <c r="F322" s="6">
        <v>44865</v>
      </c>
      <c r="G322" s="5">
        <f t="shared" ref="G322:G385" si="47">YEAR(F322)</f>
        <v>2022</v>
      </c>
      <c r="H322" s="5" t="str">
        <f t="shared" ref="H322:H385" si="48">PROPER(TEXT(F322,"mmmm"))</f>
        <v>Octubre</v>
      </c>
      <c r="I322" s="6" t="str">
        <f t="shared" si="45"/>
        <v>2022-2</v>
      </c>
      <c r="J322" s="5">
        <v>80</v>
      </c>
      <c r="K322" s="5">
        <v>73.401915113871596</v>
      </c>
      <c r="L322" s="21">
        <v>0.9175239389233949</v>
      </c>
      <c r="M322" s="15">
        <v>0.9175239389233949</v>
      </c>
      <c r="N322" s="5" t="s">
        <v>347</v>
      </c>
      <c r="O322" s="5" t="s">
        <v>347</v>
      </c>
      <c r="P322" s="5">
        <v>0</v>
      </c>
      <c r="Q322" s="5">
        <v>0</v>
      </c>
      <c r="R322" s="5" t="str">
        <f t="shared" si="46"/>
        <v>110-2022-10-31</v>
      </c>
    </row>
    <row r="323" spans="1:18" x14ac:dyDescent="0.3">
      <c r="A323" s="26">
        <v>110</v>
      </c>
      <c r="B323" s="5" t="s">
        <v>39</v>
      </c>
      <c r="C323" s="5" t="s">
        <v>84</v>
      </c>
      <c r="D323" s="5" t="s">
        <v>25</v>
      </c>
      <c r="E323" s="5" t="s">
        <v>9</v>
      </c>
      <c r="F323" s="6">
        <v>45230</v>
      </c>
      <c r="G323" s="5">
        <f t="shared" si="47"/>
        <v>2023</v>
      </c>
      <c r="H323" s="5" t="str">
        <f t="shared" si="48"/>
        <v>Octubre</v>
      </c>
      <c r="I323" s="6" t="str">
        <f t="shared" si="45"/>
        <v>2023-2</v>
      </c>
      <c r="J323" s="5">
        <v>80</v>
      </c>
      <c r="K323" s="10">
        <v>78</v>
      </c>
      <c r="L323" s="8">
        <f>IFERROR(K323/J323,"")</f>
        <v>0.97499999999999998</v>
      </c>
      <c r="M323" s="15">
        <f>IFERROR(IF((K323/J323)&gt;K323/J323,1.3,K323/J323),"")</f>
        <v>0.97499999999999998</v>
      </c>
      <c r="N323" s="5" t="s">
        <v>347</v>
      </c>
      <c r="O323" s="5" t="s">
        <v>347</v>
      </c>
      <c r="P323" s="16">
        <v>0</v>
      </c>
      <c r="Q323" s="16">
        <v>0</v>
      </c>
      <c r="R323" s="5" t="str">
        <f t="shared" si="46"/>
        <v>110-2023-10-31</v>
      </c>
    </row>
    <row r="324" spans="1:18" x14ac:dyDescent="0.3">
      <c r="A324" s="5">
        <v>110</v>
      </c>
      <c r="B324" s="5" t="s">
        <v>39</v>
      </c>
      <c r="C324" s="5" t="s">
        <v>84</v>
      </c>
      <c r="D324" s="5" t="s">
        <v>25</v>
      </c>
      <c r="E324" s="5" t="s">
        <v>9</v>
      </c>
      <c r="F324" s="6">
        <v>45291</v>
      </c>
      <c r="G324" s="5">
        <f t="shared" si="47"/>
        <v>2023</v>
      </c>
      <c r="H324" s="5" t="str">
        <f t="shared" si="48"/>
        <v>Diciembre</v>
      </c>
      <c r="I324" s="6" t="str">
        <f t="shared" si="45"/>
        <v>2023-2</v>
      </c>
      <c r="J324" s="5">
        <v>80</v>
      </c>
      <c r="K324" s="5">
        <v>78</v>
      </c>
      <c r="L324" s="15">
        <v>0.97499999999999998</v>
      </c>
      <c r="M324" s="15">
        <v>0.97499999999999998</v>
      </c>
      <c r="N324" s="5" t="s">
        <v>347</v>
      </c>
      <c r="O324" s="5" t="s">
        <v>347</v>
      </c>
      <c r="P324" s="5">
        <v>0</v>
      </c>
      <c r="Q324" s="5">
        <v>0</v>
      </c>
      <c r="R324" s="5" t="str">
        <f t="shared" si="46"/>
        <v>110-2023-12-31</v>
      </c>
    </row>
    <row r="325" spans="1:18" x14ac:dyDescent="0.3">
      <c r="A325" s="26">
        <v>111</v>
      </c>
      <c r="B325" s="5" t="s">
        <v>39</v>
      </c>
      <c r="C325" s="5" t="s">
        <v>7</v>
      </c>
      <c r="D325" s="5" t="s">
        <v>11</v>
      </c>
      <c r="E325" s="5" t="s">
        <v>9</v>
      </c>
      <c r="F325" s="6">
        <v>45016</v>
      </c>
      <c r="G325" s="5">
        <f t="shared" si="47"/>
        <v>2023</v>
      </c>
      <c r="H325" s="5" t="str">
        <f t="shared" si="48"/>
        <v>Marzo</v>
      </c>
      <c r="I325" s="6" t="str">
        <f t="shared" si="45"/>
        <v>2023-1</v>
      </c>
      <c r="J325" s="5">
        <v>80</v>
      </c>
      <c r="K325" s="10">
        <v>87</v>
      </c>
      <c r="L325" s="8">
        <f>IFERROR(K325/J325,"")</f>
        <v>1.0874999999999999</v>
      </c>
      <c r="M325" s="15">
        <f t="shared" ref="M325:M329" si="49">IFERROR(IF((K325/J325)&gt;K325/J325,1.3,K325/J325),"")</f>
        <v>1.0874999999999999</v>
      </c>
      <c r="N325" s="5" t="s">
        <v>347</v>
      </c>
      <c r="O325" s="5" t="s">
        <v>347</v>
      </c>
      <c r="P325" s="16">
        <v>0</v>
      </c>
      <c r="Q325" s="16">
        <v>0</v>
      </c>
      <c r="R325" s="5" t="str">
        <f t="shared" si="46"/>
        <v>111-2023-03-31</v>
      </c>
    </row>
    <row r="326" spans="1:18" x14ac:dyDescent="0.3">
      <c r="A326" s="26">
        <v>111</v>
      </c>
      <c r="B326" s="5" t="s">
        <v>39</v>
      </c>
      <c r="C326" s="5" t="s">
        <v>7</v>
      </c>
      <c r="D326" s="5" t="s">
        <v>11</v>
      </c>
      <c r="E326" s="5" t="s">
        <v>9</v>
      </c>
      <c r="F326" s="6">
        <v>45107</v>
      </c>
      <c r="G326" s="5">
        <f t="shared" si="47"/>
        <v>2023</v>
      </c>
      <c r="H326" s="5" t="str">
        <f t="shared" si="48"/>
        <v>Junio</v>
      </c>
      <c r="I326" s="6" t="str">
        <f t="shared" si="45"/>
        <v>2023-1</v>
      </c>
      <c r="J326" s="5">
        <v>80</v>
      </c>
      <c r="K326" s="10">
        <v>90</v>
      </c>
      <c r="L326" s="8">
        <f>IFERROR(K326/J326,"")</f>
        <v>1.125</v>
      </c>
      <c r="M326" s="15">
        <f t="shared" si="49"/>
        <v>1.125</v>
      </c>
      <c r="N326" s="5" t="s">
        <v>347</v>
      </c>
      <c r="O326" s="5" t="s">
        <v>347</v>
      </c>
      <c r="P326" s="16">
        <v>0</v>
      </c>
      <c r="Q326" s="16">
        <v>0</v>
      </c>
      <c r="R326" s="5" t="str">
        <f t="shared" si="46"/>
        <v>111-2023-06-30</v>
      </c>
    </row>
    <row r="327" spans="1:18" x14ac:dyDescent="0.3">
      <c r="A327" s="43">
        <v>111</v>
      </c>
      <c r="B327" s="5" t="s">
        <v>39</v>
      </c>
      <c r="C327" s="5" t="s">
        <v>7</v>
      </c>
      <c r="D327" s="5" t="s">
        <v>11</v>
      </c>
      <c r="E327" s="5" t="s">
        <v>9</v>
      </c>
      <c r="F327" s="6">
        <v>45199</v>
      </c>
      <c r="G327" s="5">
        <f t="shared" si="47"/>
        <v>2023</v>
      </c>
      <c r="H327" s="5" t="str">
        <f t="shared" si="48"/>
        <v>Septiembre</v>
      </c>
      <c r="I327" s="6" t="str">
        <f t="shared" si="45"/>
        <v>2023-2</v>
      </c>
      <c r="J327" s="5">
        <v>80</v>
      </c>
      <c r="K327" s="10">
        <v>93</v>
      </c>
      <c r="L327" s="8">
        <f>IFERROR(K327/J327,"")</f>
        <v>1.1625000000000001</v>
      </c>
      <c r="M327" s="15">
        <f t="shared" si="49"/>
        <v>1.1625000000000001</v>
      </c>
      <c r="N327" s="5" t="s">
        <v>347</v>
      </c>
      <c r="O327" s="5" t="s">
        <v>347</v>
      </c>
      <c r="P327" s="16">
        <v>0</v>
      </c>
      <c r="Q327" s="16">
        <v>0</v>
      </c>
      <c r="R327" s="5" t="str">
        <f t="shared" si="46"/>
        <v>111-2023-09-30</v>
      </c>
    </row>
    <row r="328" spans="1:18" x14ac:dyDescent="0.3">
      <c r="A328" s="39">
        <v>111</v>
      </c>
      <c r="B328" s="5" t="s">
        <v>39</v>
      </c>
      <c r="C328" s="5" t="s">
        <v>7</v>
      </c>
      <c r="D328" s="5" t="s">
        <v>11</v>
      </c>
      <c r="E328" s="5" t="s">
        <v>9</v>
      </c>
      <c r="F328" s="6">
        <v>45291</v>
      </c>
      <c r="G328" s="5">
        <f t="shared" si="47"/>
        <v>2023</v>
      </c>
      <c r="H328" s="5" t="str">
        <f t="shared" si="48"/>
        <v>Diciembre</v>
      </c>
      <c r="I328" s="6" t="str">
        <f t="shared" si="45"/>
        <v>2023-2</v>
      </c>
      <c r="J328" s="5">
        <v>80</v>
      </c>
      <c r="K328" s="10">
        <v>96</v>
      </c>
      <c r="L328" s="8">
        <f>IFERROR(K328/J328,"")</f>
        <v>1.2</v>
      </c>
      <c r="M328" s="15">
        <f t="shared" si="49"/>
        <v>1.2</v>
      </c>
      <c r="N328" s="5" t="s">
        <v>347</v>
      </c>
      <c r="O328" s="5" t="s">
        <v>347</v>
      </c>
      <c r="P328" s="16">
        <v>0</v>
      </c>
      <c r="Q328" s="16">
        <v>0</v>
      </c>
      <c r="R328" s="5" t="str">
        <f t="shared" si="46"/>
        <v>111-2023-12-31</v>
      </c>
    </row>
    <row r="329" spans="1:18" x14ac:dyDescent="0.3">
      <c r="A329" s="26">
        <v>111</v>
      </c>
      <c r="B329" s="5" t="s">
        <v>39</v>
      </c>
      <c r="C329" s="5" t="s">
        <v>7</v>
      </c>
      <c r="D329" s="5" t="s">
        <v>11</v>
      </c>
      <c r="E329" s="5" t="s">
        <v>9</v>
      </c>
      <c r="F329" s="6">
        <v>45382</v>
      </c>
      <c r="G329" s="5">
        <f t="shared" si="47"/>
        <v>2024</v>
      </c>
      <c r="H329" s="5" t="str">
        <f t="shared" si="48"/>
        <v>Marzo</v>
      </c>
      <c r="I329" s="6" t="str">
        <f t="shared" si="45"/>
        <v>2024-1</v>
      </c>
      <c r="J329" s="5">
        <v>80</v>
      </c>
      <c r="K329" s="10">
        <v>94</v>
      </c>
      <c r="L329" s="15">
        <f>IFERROR(IF((K329/J329)&gt;1.3,1.3,K329/J329),"")</f>
        <v>1.175</v>
      </c>
      <c r="M329" s="15">
        <f t="shared" si="49"/>
        <v>1.175</v>
      </c>
      <c r="N329" s="5" t="s">
        <v>347</v>
      </c>
      <c r="O329" s="5" t="s">
        <v>347</v>
      </c>
      <c r="P329" s="16">
        <v>0</v>
      </c>
      <c r="Q329" s="16">
        <v>0</v>
      </c>
      <c r="R329" s="5" t="str">
        <f t="shared" si="46"/>
        <v>111-2024-03-31</v>
      </c>
    </row>
    <row r="330" spans="1:18" x14ac:dyDescent="0.3">
      <c r="A330" s="5">
        <v>111</v>
      </c>
      <c r="B330" s="5" t="s">
        <v>39</v>
      </c>
      <c r="C330" s="5" t="s">
        <v>7</v>
      </c>
      <c r="D330" s="5" t="s">
        <v>11</v>
      </c>
      <c r="E330" s="5" t="s">
        <v>9</v>
      </c>
      <c r="F330" s="6">
        <v>45473</v>
      </c>
      <c r="G330" s="5">
        <f t="shared" si="47"/>
        <v>2024</v>
      </c>
      <c r="H330" s="5" t="str">
        <f t="shared" si="48"/>
        <v>Junio</v>
      </c>
      <c r="I330" s="6" t="str">
        <f t="shared" si="45"/>
        <v>2024-1</v>
      </c>
      <c r="J330" s="5">
        <v>80</v>
      </c>
      <c r="K330" s="5">
        <v>98</v>
      </c>
      <c r="L330" s="15">
        <v>1</v>
      </c>
      <c r="M330" s="15">
        <v>1.2250000000000001</v>
      </c>
      <c r="N330" s="5" t="s">
        <v>347</v>
      </c>
      <c r="O330" s="5" t="s">
        <v>347</v>
      </c>
      <c r="P330" s="5">
        <v>0</v>
      </c>
      <c r="Q330" s="5">
        <v>0</v>
      </c>
      <c r="R330" s="5" t="str">
        <f t="shared" si="46"/>
        <v>111-2024-06-30</v>
      </c>
    </row>
    <row r="331" spans="1:18" x14ac:dyDescent="0.3">
      <c r="A331" s="26">
        <v>111</v>
      </c>
      <c r="B331" s="5" t="s">
        <v>39</v>
      </c>
      <c r="C331" s="5" t="s">
        <v>7</v>
      </c>
      <c r="D331" s="5" t="s">
        <v>11</v>
      </c>
      <c r="E331" s="5" t="s">
        <v>9</v>
      </c>
      <c r="F331" s="6">
        <v>45565</v>
      </c>
      <c r="G331" s="5">
        <f t="shared" si="47"/>
        <v>2024</v>
      </c>
      <c r="H331" s="5" t="str">
        <f t="shared" si="48"/>
        <v>Septiembre</v>
      </c>
      <c r="I331" s="6" t="str">
        <f t="shared" si="45"/>
        <v>2024-2</v>
      </c>
      <c r="J331" s="5">
        <v>80</v>
      </c>
      <c r="K331" s="10">
        <v>86.7</v>
      </c>
      <c r="L331" s="15">
        <f>IFERROR(IF((K331/J331)&gt;1.3,1.3,K331/J331),"")</f>
        <v>1.08375</v>
      </c>
      <c r="M331" s="15">
        <f>IFERROR(IF((K331/J331)&gt;K331/J331,1.3,K331/J331),"")</f>
        <v>1.08375</v>
      </c>
      <c r="N331" s="5" t="s">
        <v>347</v>
      </c>
      <c r="O331" s="5" t="s">
        <v>347</v>
      </c>
      <c r="P331" s="16">
        <v>0</v>
      </c>
      <c r="Q331" s="16">
        <v>0</v>
      </c>
      <c r="R331" s="5" t="str">
        <f t="shared" si="46"/>
        <v>111-2024-09-30</v>
      </c>
    </row>
    <row r="332" spans="1:18" x14ac:dyDescent="0.3">
      <c r="A332" s="26">
        <v>111</v>
      </c>
      <c r="B332" s="5" t="s">
        <v>39</v>
      </c>
      <c r="C332" s="5" t="s">
        <v>7</v>
      </c>
      <c r="D332" s="5" t="s">
        <v>11</v>
      </c>
      <c r="E332" s="5" t="s">
        <v>9</v>
      </c>
      <c r="F332" s="6">
        <v>45657</v>
      </c>
      <c r="G332" s="5">
        <f t="shared" si="47"/>
        <v>2024</v>
      </c>
      <c r="H332" s="5" t="str">
        <f t="shared" si="48"/>
        <v>Diciembre</v>
      </c>
      <c r="I332" s="6" t="str">
        <f t="shared" si="45"/>
        <v>2024-2</v>
      </c>
      <c r="J332" s="5">
        <v>80</v>
      </c>
      <c r="K332" s="10">
        <v>92</v>
      </c>
      <c r="L332" s="15">
        <f>IFERROR(IF((K332/J332)&gt;1.3,1.3,K332/J332),"")</f>
        <v>1.1499999999999999</v>
      </c>
      <c r="M332" s="15">
        <f>IFERROR(IF((K332/J332)&gt;K332/J332,1.3,K332/J332),"")</f>
        <v>1.1499999999999999</v>
      </c>
      <c r="N332" s="5" t="s">
        <v>347</v>
      </c>
      <c r="O332" s="5" t="s">
        <v>347</v>
      </c>
      <c r="P332" s="16">
        <v>0</v>
      </c>
      <c r="Q332" s="16">
        <v>0</v>
      </c>
      <c r="R332" s="5" t="str">
        <f t="shared" si="46"/>
        <v>111-2024-12-31</v>
      </c>
    </row>
    <row r="333" spans="1:18" x14ac:dyDescent="0.3">
      <c r="A333" s="5">
        <v>112</v>
      </c>
      <c r="B333" s="5" t="s">
        <v>39</v>
      </c>
      <c r="C333" s="5" t="s">
        <v>43</v>
      </c>
      <c r="D333" s="5" t="s">
        <v>25</v>
      </c>
      <c r="E333" s="5" t="s">
        <v>9</v>
      </c>
      <c r="F333" s="6">
        <v>44865</v>
      </c>
      <c r="G333" s="5">
        <f t="shared" si="47"/>
        <v>2022</v>
      </c>
      <c r="H333" s="5" t="str">
        <f t="shared" si="48"/>
        <v>Octubre</v>
      </c>
      <c r="I333" s="6" t="str">
        <f t="shared" si="45"/>
        <v>2022-2</v>
      </c>
      <c r="J333" s="5">
        <v>80</v>
      </c>
      <c r="K333" s="5">
        <v>74.166215125198292</v>
      </c>
      <c r="L333" s="21">
        <v>0.92707768906497867</v>
      </c>
      <c r="M333" s="15">
        <v>0.92707768906497867</v>
      </c>
      <c r="N333" s="5" t="s">
        <v>347</v>
      </c>
      <c r="O333" s="5" t="s">
        <v>347</v>
      </c>
      <c r="P333" s="5">
        <v>0</v>
      </c>
      <c r="Q333" s="5">
        <v>0</v>
      </c>
      <c r="R333" s="5" t="str">
        <f t="shared" si="46"/>
        <v>112-2022-10-31</v>
      </c>
    </row>
    <row r="334" spans="1:18" x14ac:dyDescent="0.3">
      <c r="A334" s="26">
        <v>112</v>
      </c>
      <c r="B334" s="5" t="s">
        <v>39</v>
      </c>
      <c r="C334" s="5" t="s">
        <v>43</v>
      </c>
      <c r="D334" s="5" t="s">
        <v>25</v>
      </c>
      <c r="E334" s="5" t="s">
        <v>9</v>
      </c>
      <c r="F334" s="6">
        <v>45230</v>
      </c>
      <c r="G334" s="5">
        <f t="shared" si="47"/>
        <v>2023</v>
      </c>
      <c r="H334" s="5" t="str">
        <f t="shared" si="48"/>
        <v>Octubre</v>
      </c>
      <c r="I334" s="6" t="str">
        <f t="shared" si="45"/>
        <v>2023-2</v>
      </c>
      <c r="J334" s="5">
        <v>80</v>
      </c>
      <c r="K334" s="5">
        <v>89.603847284377991</v>
      </c>
      <c r="L334" s="8">
        <f>IFERROR(K334/J334,"")</f>
        <v>1.1200480910547248</v>
      </c>
      <c r="M334" s="15">
        <f>IFERROR(IF((K334/J334)&gt;K334/J334,1.3,K334/J334),"")</f>
        <v>1.1200480910547248</v>
      </c>
      <c r="N334" s="5" t="s">
        <v>347</v>
      </c>
      <c r="O334" s="5" t="s">
        <v>347</v>
      </c>
      <c r="P334" s="16">
        <v>0</v>
      </c>
      <c r="Q334" s="16">
        <v>0</v>
      </c>
      <c r="R334" s="5" t="str">
        <f t="shared" si="46"/>
        <v>112-2023-10-31</v>
      </c>
    </row>
    <row r="335" spans="1:18" x14ac:dyDescent="0.3">
      <c r="A335" s="26">
        <v>112</v>
      </c>
      <c r="B335" s="5" t="s">
        <v>39</v>
      </c>
      <c r="C335" s="5" t="s">
        <v>43</v>
      </c>
      <c r="D335" s="5" t="s">
        <v>25</v>
      </c>
      <c r="E335" s="5" t="s">
        <v>9</v>
      </c>
      <c r="F335" s="6">
        <v>45596</v>
      </c>
      <c r="G335" s="5">
        <f t="shared" si="47"/>
        <v>2024</v>
      </c>
      <c r="H335" s="5" t="str">
        <f t="shared" si="48"/>
        <v>Octubre</v>
      </c>
      <c r="I335" s="6" t="str">
        <f t="shared" si="45"/>
        <v>2024-2</v>
      </c>
      <c r="J335" s="5">
        <v>80</v>
      </c>
      <c r="K335" s="10">
        <v>90</v>
      </c>
      <c r="L335" s="15">
        <f>IFERROR(IF((K335/J335)&gt;1.3,1.3,K335/J335),"")</f>
        <v>1.125</v>
      </c>
      <c r="M335" s="15">
        <f>IFERROR(IF((K335/J335)&gt;K335/J335,1.3,K335/J335),"")</f>
        <v>1.125</v>
      </c>
      <c r="N335" s="5" t="s">
        <v>347</v>
      </c>
      <c r="O335" s="5" t="s">
        <v>347</v>
      </c>
      <c r="P335" s="16">
        <v>0</v>
      </c>
      <c r="Q335" s="16">
        <v>0</v>
      </c>
      <c r="R335" s="5" t="str">
        <f t="shared" si="46"/>
        <v>112-2024-10-31</v>
      </c>
    </row>
    <row r="336" spans="1:18" x14ac:dyDescent="0.3">
      <c r="A336" s="5">
        <v>113</v>
      </c>
      <c r="B336" s="5" t="s">
        <v>39</v>
      </c>
      <c r="C336" s="5" t="s">
        <v>438</v>
      </c>
      <c r="D336" s="5" t="s">
        <v>25</v>
      </c>
      <c r="E336" s="5" t="s">
        <v>9</v>
      </c>
      <c r="F336" s="6">
        <v>44865</v>
      </c>
      <c r="G336" s="5">
        <f t="shared" si="47"/>
        <v>2022</v>
      </c>
      <c r="H336" s="5" t="str">
        <f t="shared" si="48"/>
        <v>Octubre</v>
      </c>
      <c r="I336" s="6" t="str">
        <f t="shared" si="45"/>
        <v>2022-2</v>
      </c>
      <c r="J336" s="5">
        <v>80</v>
      </c>
      <c r="K336" s="5">
        <v>76.616718813056906</v>
      </c>
      <c r="L336" s="21">
        <v>0.95770898516321135</v>
      </c>
      <c r="M336" s="15">
        <v>0.95770898516321135</v>
      </c>
      <c r="N336" s="5" t="s">
        <v>347</v>
      </c>
      <c r="O336" s="5" t="s">
        <v>347</v>
      </c>
      <c r="P336" s="5">
        <v>0</v>
      </c>
      <c r="Q336" s="5">
        <v>0</v>
      </c>
      <c r="R336" s="5" t="str">
        <f t="shared" si="46"/>
        <v>113-2022-10-31</v>
      </c>
    </row>
    <row r="337" spans="1:18" x14ac:dyDescent="0.3">
      <c r="A337" s="5">
        <v>113</v>
      </c>
      <c r="B337" s="5" t="s">
        <v>39</v>
      </c>
      <c r="C337" s="5" t="s">
        <v>438</v>
      </c>
      <c r="D337" s="5" t="s">
        <v>25</v>
      </c>
      <c r="E337" s="5" t="s">
        <v>9</v>
      </c>
      <c r="F337" s="6">
        <v>45230</v>
      </c>
      <c r="G337" s="5">
        <f t="shared" si="47"/>
        <v>2023</v>
      </c>
      <c r="H337" s="5" t="str">
        <f t="shared" si="48"/>
        <v>Octubre</v>
      </c>
      <c r="I337" s="6" t="str">
        <f t="shared" si="45"/>
        <v>2023-2</v>
      </c>
      <c r="J337" s="5">
        <v>80</v>
      </c>
      <c r="K337" s="5">
        <v>88.101513502306503</v>
      </c>
      <c r="L337" s="15">
        <v>1.1012689187788314</v>
      </c>
      <c r="M337" s="15">
        <v>1.1012689187788314</v>
      </c>
      <c r="N337" s="5" t="s">
        <v>347</v>
      </c>
      <c r="O337" s="5" t="s">
        <v>347</v>
      </c>
      <c r="P337" s="5">
        <v>0</v>
      </c>
      <c r="Q337" s="5">
        <v>0</v>
      </c>
      <c r="R337" s="5" t="str">
        <f t="shared" si="46"/>
        <v>113-2023-10-31</v>
      </c>
    </row>
    <row r="338" spans="1:18" x14ac:dyDescent="0.3">
      <c r="A338" s="26">
        <v>113</v>
      </c>
      <c r="B338" s="5" t="s">
        <v>39</v>
      </c>
      <c r="C338" s="5" t="s">
        <v>13</v>
      </c>
      <c r="D338" s="5" t="s">
        <v>25</v>
      </c>
      <c r="E338" s="5" t="s">
        <v>9</v>
      </c>
      <c r="F338" s="6">
        <v>45596</v>
      </c>
      <c r="G338" s="5">
        <f t="shared" si="47"/>
        <v>2024</v>
      </c>
      <c r="H338" s="5" t="str">
        <f t="shared" si="48"/>
        <v>Octubre</v>
      </c>
      <c r="I338" s="6" t="str">
        <f t="shared" si="45"/>
        <v>2024-2</v>
      </c>
      <c r="J338" s="5">
        <v>80</v>
      </c>
      <c r="K338" s="10">
        <v>88</v>
      </c>
      <c r="L338" s="15">
        <f>IFERROR(IF((K338/J338)&gt;1.3,1.3,K338/J338),"")</f>
        <v>1.1000000000000001</v>
      </c>
      <c r="M338" s="15">
        <f>IFERROR(IF((K338/J338)&gt;K338/J338,1.3,K338/J338),"")</f>
        <v>1.1000000000000001</v>
      </c>
      <c r="N338" s="5" t="s">
        <v>347</v>
      </c>
      <c r="O338" s="5" t="s">
        <v>347</v>
      </c>
      <c r="P338" s="16">
        <v>0</v>
      </c>
      <c r="Q338" s="16">
        <v>0</v>
      </c>
      <c r="R338" s="5" t="str">
        <f t="shared" si="46"/>
        <v>113-2024-10-31</v>
      </c>
    </row>
    <row r="339" spans="1:18" x14ac:dyDescent="0.3">
      <c r="A339" s="5">
        <v>114</v>
      </c>
      <c r="B339" s="5" t="s">
        <v>39</v>
      </c>
      <c r="C339" s="5" t="s">
        <v>343</v>
      </c>
      <c r="D339" s="5" t="s">
        <v>25</v>
      </c>
      <c r="E339" s="5" t="s">
        <v>9</v>
      </c>
      <c r="F339" s="6">
        <v>44865</v>
      </c>
      <c r="G339" s="5">
        <f t="shared" si="47"/>
        <v>2022</v>
      </c>
      <c r="H339" s="5" t="str">
        <f t="shared" si="48"/>
        <v>Octubre</v>
      </c>
      <c r="I339" s="6" t="str">
        <f t="shared" si="45"/>
        <v>2022-2</v>
      </c>
      <c r="J339" s="5">
        <v>80</v>
      </c>
      <c r="K339" s="5">
        <v>79.427055947965997</v>
      </c>
      <c r="L339" s="21">
        <v>0.99283819934957496</v>
      </c>
      <c r="M339" s="15">
        <v>0.99283819934957496</v>
      </c>
      <c r="N339" s="5" t="s">
        <v>347</v>
      </c>
      <c r="O339" s="5" t="s">
        <v>347</v>
      </c>
      <c r="P339" s="5">
        <v>0</v>
      </c>
      <c r="Q339" s="5">
        <v>0</v>
      </c>
      <c r="R339" s="5" t="str">
        <f t="shared" si="46"/>
        <v>114-2022-10-31</v>
      </c>
    </row>
    <row r="340" spans="1:18" x14ac:dyDescent="0.3">
      <c r="A340" s="26">
        <v>114</v>
      </c>
      <c r="B340" s="5" t="s">
        <v>39</v>
      </c>
      <c r="C340" s="5" t="s">
        <v>343</v>
      </c>
      <c r="D340" s="5" t="s">
        <v>25</v>
      </c>
      <c r="E340" s="5" t="s">
        <v>9</v>
      </c>
      <c r="F340" s="6">
        <v>45230</v>
      </c>
      <c r="G340" s="5">
        <f t="shared" si="47"/>
        <v>2023</v>
      </c>
      <c r="H340" s="5" t="str">
        <f t="shared" si="48"/>
        <v>Octubre</v>
      </c>
      <c r="I340" s="6" t="str">
        <f t="shared" si="45"/>
        <v>2023-2</v>
      </c>
      <c r="J340" s="5">
        <v>80</v>
      </c>
      <c r="K340" s="10">
        <v>86.209232514990404</v>
      </c>
      <c r="L340" s="8">
        <f>IFERROR(K340/J340,"")</f>
        <v>1.07761540643738</v>
      </c>
      <c r="M340" s="15">
        <f>IFERROR(IF((K340/J340)&gt;K340/J340,1.3,K340/J340),"")</f>
        <v>1.07761540643738</v>
      </c>
      <c r="N340" s="5" t="s">
        <v>347</v>
      </c>
      <c r="O340" s="5" t="s">
        <v>347</v>
      </c>
      <c r="P340" s="16">
        <v>0</v>
      </c>
      <c r="Q340" s="16">
        <v>0</v>
      </c>
      <c r="R340" s="5" t="str">
        <f t="shared" si="46"/>
        <v>114-2023-10-31</v>
      </c>
    </row>
    <row r="341" spans="1:18" x14ac:dyDescent="0.3">
      <c r="A341" s="26">
        <v>114</v>
      </c>
      <c r="B341" s="5" t="s">
        <v>39</v>
      </c>
      <c r="C341" s="5" t="s">
        <v>343</v>
      </c>
      <c r="D341" s="5" t="s">
        <v>25</v>
      </c>
      <c r="E341" s="5" t="s">
        <v>9</v>
      </c>
      <c r="F341" s="6">
        <v>45596</v>
      </c>
      <c r="G341" s="5">
        <f t="shared" si="47"/>
        <v>2024</v>
      </c>
      <c r="H341" s="5" t="str">
        <f t="shared" si="48"/>
        <v>Octubre</v>
      </c>
      <c r="I341" s="6" t="str">
        <f t="shared" si="45"/>
        <v>2024-2</v>
      </c>
      <c r="J341" s="5">
        <v>80</v>
      </c>
      <c r="K341" s="10">
        <v>81</v>
      </c>
      <c r="L341" s="15">
        <f>IFERROR(IF((K341/J341)&gt;1.3,1.3,K341/J341),"")</f>
        <v>1.0125</v>
      </c>
      <c r="M341" s="15">
        <f>IFERROR(IF((K341/J341)&gt;K341/J341,1.3,K341/J341),"")</f>
        <v>1.0125</v>
      </c>
      <c r="N341" s="5" t="s">
        <v>347</v>
      </c>
      <c r="O341" s="5" t="s">
        <v>347</v>
      </c>
      <c r="P341" s="16">
        <v>0</v>
      </c>
      <c r="Q341" s="16">
        <v>0</v>
      </c>
      <c r="R341" s="5" t="str">
        <f t="shared" si="46"/>
        <v>114-2024-10-31</v>
      </c>
    </row>
    <row r="342" spans="1:18" x14ac:dyDescent="0.3">
      <c r="A342" s="39">
        <v>115</v>
      </c>
      <c r="B342" s="5" t="s">
        <v>39</v>
      </c>
      <c r="C342" s="5" t="s">
        <v>457</v>
      </c>
      <c r="D342" s="5" t="s">
        <v>25</v>
      </c>
      <c r="E342" s="5" t="s">
        <v>9</v>
      </c>
      <c r="F342" s="6">
        <v>45230</v>
      </c>
      <c r="G342" s="5">
        <f t="shared" si="47"/>
        <v>2023</v>
      </c>
      <c r="H342" s="5" t="str">
        <f t="shared" si="48"/>
        <v>Octubre</v>
      </c>
      <c r="I342" s="6" t="str">
        <f t="shared" si="45"/>
        <v>2023-2</v>
      </c>
      <c r="J342" s="5">
        <v>80</v>
      </c>
      <c r="K342" s="10">
        <v>90.789405483854196</v>
      </c>
      <c r="L342" s="8">
        <f>IFERROR(K342/J342,"")</f>
        <v>1.1348675685481775</v>
      </c>
      <c r="M342" s="15">
        <f>IFERROR(IF((K342/J342)&gt;K342/J342,1.3,K342/J342),"")</f>
        <v>1.1348675685481775</v>
      </c>
      <c r="N342" s="5" t="s">
        <v>347</v>
      </c>
      <c r="O342" s="5" t="s">
        <v>347</v>
      </c>
      <c r="P342" s="16">
        <v>0</v>
      </c>
      <c r="Q342" s="16">
        <v>0</v>
      </c>
      <c r="R342" s="5" t="str">
        <f t="shared" si="46"/>
        <v>115-2023-10-31</v>
      </c>
    </row>
    <row r="343" spans="1:18" x14ac:dyDescent="0.3">
      <c r="A343" s="5">
        <v>115</v>
      </c>
      <c r="B343" s="5" t="s">
        <v>39</v>
      </c>
      <c r="C343" s="5" t="s">
        <v>24</v>
      </c>
      <c r="D343" s="5" t="s">
        <v>25</v>
      </c>
      <c r="E343" s="5" t="s">
        <v>9</v>
      </c>
      <c r="F343" s="6">
        <v>45291</v>
      </c>
      <c r="G343" s="5">
        <f t="shared" si="47"/>
        <v>2023</v>
      </c>
      <c r="H343" s="5" t="str">
        <f t="shared" si="48"/>
        <v>Diciembre</v>
      </c>
      <c r="I343" s="6" t="str">
        <f t="shared" si="45"/>
        <v>2023-2</v>
      </c>
      <c r="J343" s="5">
        <v>80</v>
      </c>
      <c r="K343" s="5">
        <v>90.789405483854196</v>
      </c>
      <c r="L343" s="15">
        <v>1</v>
      </c>
      <c r="M343" s="15">
        <v>1.1348675685481775</v>
      </c>
      <c r="N343" s="5" t="s">
        <v>347</v>
      </c>
      <c r="O343" s="5" t="s">
        <v>347</v>
      </c>
      <c r="P343" s="5">
        <v>0</v>
      </c>
      <c r="Q343" s="5">
        <v>0</v>
      </c>
      <c r="R343" s="5" t="str">
        <f t="shared" si="46"/>
        <v>115-2023-12-31</v>
      </c>
    </row>
    <row r="344" spans="1:18" x14ac:dyDescent="0.3">
      <c r="A344" s="26">
        <v>116</v>
      </c>
      <c r="B344" s="5" t="s">
        <v>39</v>
      </c>
      <c r="C344" s="5" t="s">
        <v>20</v>
      </c>
      <c r="D344" s="5" t="s">
        <v>21</v>
      </c>
      <c r="E344" s="5" t="s">
        <v>9</v>
      </c>
      <c r="F344" s="17">
        <v>45046</v>
      </c>
      <c r="G344" s="5">
        <f t="shared" si="47"/>
        <v>2023</v>
      </c>
      <c r="H344" s="5" t="str">
        <f t="shared" si="48"/>
        <v>Abril</v>
      </c>
      <c r="I344" s="6" t="str">
        <f t="shared" si="45"/>
        <v>2023-1</v>
      </c>
      <c r="J344" s="5">
        <v>80</v>
      </c>
      <c r="K344" s="10">
        <v>83</v>
      </c>
      <c r="L344" s="8">
        <f t="shared" ref="L344:L348" si="50">IFERROR(K344/J344,"")</f>
        <v>1.0375000000000001</v>
      </c>
      <c r="M344" s="15">
        <f t="shared" ref="M344:M348" si="51">IFERROR(IF((K344/J344)&gt;K344/J344,1.3,K344/J344),"")</f>
        <v>1.0375000000000001</v>
      </c>
      <c r="N344" s="5" t="s">
        <v>347</v>
      </c>
      <c r="O344" s="5" t="s">
        <v>347</v>
      </c>
      <c r="P344" s="16">
        <v>0</v>
      </c>
      <c r="Q344" s="16">
        <v>0</v>
      </c>
      <c r="R344" s="5" t="str">
        <f t="shared" si="46"/>
        <v>116-2023-04-30</v>
      </c>
    </row>
    <row r="345" spans="1:18" x14ac:dyDescent="0.3">
      <c r="A345" s="26">
        <v>116</v>
      </c>
      <c r="B345" s="5" t="s">
        <v>39</v>
      </c>
      <c r="C345" s="5" t="s">
        <v>20</v>
      </c>
      <c r="D345" s="5" t="s">
        <v>21</v>
      </c>
      <c r="E345" s="5" t="s">
        <v>9</v>
      </c>
      <c r="F345" s="6">
        <v>45107</v>
      </c>
      <c r="G345" s="5">
        <f t="shared" si="47"/>
        <v>2023</v>
      </c>
      <c r="H345" s="5" t="str">
        <f t="shared" si="48"/>
        <v>Junio</v>
      </c>
      <c r="I345" s="6" t="str">
        <f t="shared" si="45"/>
        <v>2023-1</v>
      </c>
      <c r="J345" s="5">
        <v>80</v>
      </c>
      <c r="K345" s="10">
        <v>84</v>
      </c>
      <c r="L345" s="8">
        <f t="shared" si="50"/>
        <v>1.05</v>
      </c>
      <c r="M345" s="15">
        <f t="shared" si="51"/>
        <v>1.05</v>
      </c>
      <c r="N345" s="5" t="s">
        <v>347</v>
      </c>
      <c r="O345" s="5" t="s">
        <v>347</v>
      </c>
      <c r="P345" s="16">
        <v>0</v>
      </c>
      <c r="Q345" s="16">
        <v>0</v>
      </c>
      <c r="R345" s="5" t="str">
        <f t="shared" si="46"/>
        <v>116-2023-06-30</v>
      </c>
    </row>
    <row r="346" spans="1:18" x14ac:dyDescent="0.3">
      <c r="A346" s="26">
        <v>116</v>
      </c>
      <c r="B346" s="5" t="s">
        <v>39</v>
      </c>
      <c r="C346" s="5" t="s">
        <v>20</v>
      </c>
      <c r="D346" s="5" t="s">
        <v>21</v>
      </c>
      <c r="E346" s="5" t="s">
        <v>9</v>
      </c>
      <c r="F346" s="6">
        <v>45169</v>
      </c>
      <c r="G346" s="5">
        <f t="shared" si="47"/>
        <v>2023</v>
      </c>
      <c r="H346" s="5" t="str">
        <f t="shared" si="48"/>
        <v>Agosto</v>
      </c>
      <c r="I346" s="6" t="str">
        <f t="shared" si="45"/>
        <v>2023-2</v>
      </c>
      <c r="J346" s="5">
        <v>80</v>
      </c>
      <c r="K346" s="10">
        <v>84</v>
      </c>
      <c r="L346" s="8">
        <f t="shared" si="50"/>
        <v>1.05</v>
      </c>
      <c r="M346" s="15">
        <f t="shared" si="51"/>
        <v>1.05</v>
      </c>
      <c r="N346" s="5" t="s">
        <v>347</v>
      </c>
      <c r="O346" s="5" t="s">
        <v>347</v>
      </c>
      <c r="P346" s="16">
        <v>0</v>
      </c>
      <c r="Q346" s="16">
        <v>0</v>
      </c>
      <c r="R346" s="5" t="str">
        <f t="shared" si="46"/>
        <v>116-2023-08-31</v>
      </c>
    </row>
    <row r="347" spans="1:18" x14ac:dyDescent="0.3">
      <c r="A347" s="26">
        <v>116</v>
      </c>
      <c r="B347" s="5" t="s">
        <v>39</v>
      </c>
      <c r="C347" s="5" t="s">
        <v>20</v>
      </c>
      <c r="D347" s="5" t="s">
        <v>21</v>
      </c>
      <c r="E347" s="5" t="s">
        <v>9</v>
      </c>
      <c r="F347" s="6">
        <v>45230</v>
      </c>
      <c r="G347" s="5">
        <f t="shared" si="47"/>
        <v>2023</v>
      </c>
      <c r="H347" s="5" t="str">
        <f t="shared" si="48"/>
        <v>Octubre</v>
      </c>
      <c r="I347" s="6" t="str">
        <f t="shared" si="45"/>
        <v>2023-2</v>
      </c>
      <c r="J347" s="5">
        <v>80</v>
      </c>
      <c r="K347" s="10">
        <v>88</v>
      </c>
      <c r="L347" s="8">
        <f t="shared" si="50"/>
        <v>1.1000000000000001</v>
      </c>
      <c r="M347" s="15">
        <f t="shared" si="51"/>
        <v>1.1000000000000001</v>
      </c>
      <c r="N347" s="5" t="s">
        <v>347</v>
      </c>
      <c r="O347" s="5" t="s">
        <v>347</v>
      </c>
      <c r="P347" s="16">
        <v>0</v>
      </c>
      <c r="Q347" s="16">
        <v>0</v>
      </c>
      <c r="R347" s="5" t="str">
        <f t="shared" si="46"/>
        <v>116-2023-10-31</v>
      </c>
    </row>
    <row r="348" spans="1:18" x14ac:dyDescent="0.3">
      <c r="A348" s="39">
        <v>116</v>
      </c>
      <c r="B348" s="5" t="s">
        <v>39</v>
      </c>
      <c r="C348" s="5" t="s">
        <v>20</v>
      </c>
      <c r="D348" s="5" t="s">
        <v>21</v>
      </c>
      <c r="E348" s="5" t="s">
        <v>9</v>
      </c>
      <c r="F348" s="6">
        <v>45291</v>
      </c>
      <c r="G348" s="5">
        <f t="shared" si="47"/>
        <v>2023</v>
      </c>
      <c r="H348" s="5" t="str">
        <f t="shared" si="48"/>
        <v>Diciembre</v>
      </c>
      <c r="I348" s="6" t="str">
        <f t="shared" si="45"/>
        <v>2023-2</v>
      </c>
      <c r="J348" s="5">
        <v>80</v>
      </c>
      <c r="K348" s="10">
        <v>88</v>
      </c>
      <c r="L348" s="8">
        <f t="shared" si="50"/>
        <v>1.1000000000000001</v>
      </c>
      <c r="M348" s="15">
        <f t="shared" si="51"/>
        <v>1.1000000000000001</v>
      </c>
      <c r="N348" s="5" t="s">
        <v>347</v>
      </c>
      <c r="O348" s="5" t="s">
        <v>347</v>
      </c>
      <c r="P348" s="16">
        <v>0</v>
      </c>
      <c r="Q348" s="16">
        <v>0</v>
      </c>
      <c r="R348" s="5" t="str">
        <f t="shared" si="46"/>
        <v>116-2023-12-31</v>
      </c>
    </row>
    <row r="349" spans="1:18" x14ac:dyDescent="0.3">
      <c r="A349" s="26">
        <v>116</v>
      </c>
      <c r="B349" s="5" t="s">
        <v>39</v>
      </c>
      <c r="C349" s="5" t="s">
        <v>20</v>
      </c>
      <c r="D349" s="5" t="s">
        <v>21</v>
      </c>
      <c r="E349" s="5" t="s">
        <v>9</v>
      </c>
      <c r="F349" s="6">
        <v>45535</v>
      </c>
      <c r="G349" s="5">
        <f t="shared" si="47"/>
        <v>2024</v>
      </c>
      <c r="H349" s="5" t="str">
        <f t="shared" si="48"/>
        <v>Agosto</v>
      </c>
      <c r="I349" s="6" t="str">
        <f t="shared" si="45"/>
        <v>2024-2</v>
      </c>
      <c r="J349" s="5">
        <v>80</v>
      </c>
      <c r="K349" s="10">
        <v>88</v>
      </c>
      <c r="L349" s="15">
        <f>IFERROR(IF((K349/J349)&gt;1.3,1.3,K349/J349),"")</f>
        <v>1.1000000000000001</v>
      </c>
      <c r="M349" s="15">
        <f>IFERROR(IF((K349/J349)&gt;K349/J349,1.3,K349/J349),"")</f>
        <v>1.1000000000000001</v>
      </c>
      <c r="N349" s="5" t="s">
        <v>347</v>
      </c>
      <c r="O349" s="5" t="s">
        <v>347</v>
      </c>
      <c r="P349" s="16">
        <v>0</v>
      </c>
      <c r="Q349" s="16">
        <v>0</v>
      </c>
      <c r="R349" s="5" t="str">
        <f t="shared" si="46"/>
        <v>116-2024-08-31</v>
      </c>
    </row>
    <row r="350" spans="1:18" x14ac:dyDescent="0.3">
      <c r="A350" s="5">
        <v>117</v>
      </c>
      <c r="B350" s="5" t="s">
        <v>39</v>
      </c>
      <c r="C350" s="5" t="s">
        <v>90</v>
      </c>
      <c r="D350" s="5" t="s">
        <v>25</v>
      </c>
      <c r="E350" s="5" t="s">
        <v>9</v>
      </c>
      <c r="F350" s="6">
        <v>44865</v>
      </c>
      <c r="G350" s="5">
        <f t="shared" si="47"/>
        <v>2022</v>
      </c>
      <c r="H350" s="5" t="str">
        <f t="shared" si="48"/>
        <v>Octubre</v>
      </c>
      <c r="I350" s="6" t="str">
        <f t="shared" si="45"/>
        <v>2022-2</v>
      </c>
      <c r="J350" s="5">
        <v>80</v>
      </c>
      <c r="K350" s="5">
        <v>86.602201544730292</v>
      </c>
      <c r="L350" s="21">
        <v>1.0825275193091286</v>
      </c>
      <c r="M350" s="15">
        <v>1.0825275193091286</v>
      </c>
      <c r="N350" s="5" t="s">
        <v>347</v>
      </c>
      <c r="O350" s="5" t="s">
        <v>347</v>
      </c>
      <c r="P350" s="5">
        <v>0</v>
      </c>
      <c r="Q350" s="5">
        <v>0</v>
      </c>
      <c r="R350" s="5" t="str">
        <f t="shared" si="46"/>
        <v>117-2022-10-31</v>
      </c>
    </row>
    <row r="351" spans="1:18" x14ac:dyDescent="0.3">
      <c r="A351" s="26">
        <v>117</v>
      </c>
      <c r="B351" s="5" t="s">
        <v>39</v>
      </c>
      <c r="C351" s="5" t="s">
        <v>90</v>
      </c>
      <c r="D351" s="5" t="s">
        <v>25</v>
      </c>
      <c r="E351" s="5" t="s">
        <v>9</v>
      </c>
      <c r="F351" s="6">
        <v>45230</v>
      </c>
      <c r="G351" s="5">
        <f t="shared" si="47"/>
        <v>2023</v>
      </c>
      <c r="H351" s="5" t="str">
        <f t="shared" si="48"/>
        <v>Octubre</v>
      </c>
      <c r="I351" s="6" t="str">
        <f t="shared" si="45"/>
        <v>2023-2</v>
      </c>
      <c r="J351" s="5">
        <v>80</v>
      </c>
      <c r="K351" s="10">
        <v>90.107415856608498</v>
      </c>
      <c r="L351" s="8">
        <f>IFERROR(K351/J351,"")</f>
        <v>1.1263426982076061</v>
      </c>
      <c r="M351" s="15">
        <f>IFERROR(IF((K351/J351)&gt;K351/J351,1.3,K351/J351),"")</f>
        <v>1.1263426982076061</v>
      </c>
      <c r="N351" s="5" t="s">
        <v>347</v>
      </c>
      <c r="O351" s="5" t="s">
        <v>347</v>
      </c>
      <c r="P351" s="16">
        <v>0</v>
      </c>
      <c r="Q351" s="16">
        <v>0</v>
      </c>
      <c r="R351" s="5" t="str">
        <f t="shared" si="46"/>
        <v>117-2023-10-31</v>
      </c>
    </row>
    <row r="352" spans="1:18" x14ac:dyDescent="0.3">
      <c r="A352" s="26">
        <v>117</v>
      </c>
      <c r="B352" s="5" t="s">
        <v>39</v>
      </c>
      <c r="C352" s="5" t="s">
        <v>90</v>
      </c>
      <c r="D352" s="5" t="s">
        <v>25</v>
      </c>
      <c r="E352" s="5" t="s">
        <v>9</v>
      </c>
      <c r="F352" s="6">
        <v>45596</v>
      </c>
      <c r="G352" s="5">
        <f t="shared" si="47"/>
        <v>2024</v>
      </c>
      <c r="H352" s="5" t="str">
        <f t="shared" si="48"/>
        <v>Octubre</v>
      </c>
      <c r="I352" s="6" t="str">
        <f t="shared" si="45"/>
        <v>2024-2</v>
      </c>
      <c r="J352" s="5">
        <v>80</v>
      </c>
      <c r="K352" s="10">
        <v>89</v>
      </c>
      <c r="L352" s="15">
        <f>IFERROR(IF((K352/J352)&gt;1.3,1.3,K352/J352),"")</f>
        <v>1.1125</v>
      </c>
      <c r="M352" s="15">
        <f>IFERROR(IF((K352/J352)&gt;K352/J352,1.3,K352/J352),"")</f>
        <v>1.1125</v>
      </c>
      <c r="N352" s="5" t="s">
        <v>347</v>
      </c>
      <c r="O352" s="5" t="s">
        <v>347</v>
      </c>
      <c r="P352" s="16">
        <v>0</v>
      </c>
      <c r="Q352" s="16">
        <v>0</v>
      </c>
      <c r="R352" s="5" t="str">
        <f t="shared" si="46"/>
        <v>117-2024-10-31</v>
      </c>
    </row>
    <row r="353" spans="1:18" x14ac:dyDescent="0.3">
      <c r="A353" s="5">
        <v>118</v>
      </c>
      <c r="B353" s="5" t="s">
        <v>39</v>
      </c>
      <c r="C353" s="5" t="s">
        <v>440</v>
      </c>
      <c r="D353" s="5" t="s">
        <v>25</v>
      </c>
      <c r="E353" s="5" t="s">
        <v>9</v>
      </c>
      <c r="F353" s="6">
        <v>44865</v>
      </c>
      <c r="G353" s="5">
        <f t="shared" si="47"/>
        <v>2022</v>
      </c>
      <c r="H353" s="5" t="str">
        <f t="shared" si="48"/>
        <v>Octubre</v>
      </c>
      <c r="I353" s="6" t="str">
        <f t="shared" si="45"/>
        <v>2022-2</v>
      </c>
      <c r="J353" s="5">
        <v>80</v>
      </c>
      <c r="K353" s="5">
        <v>88.120620620620599</v>
      </c>
      <c r="L353" s="21">
        <v>1.1015077577577574</v>
      </c>
      <c r="M353" s="15">
        <v>1.1015077577577574</v>
      </c>
      <c r="N353" s="5" t="s">
        <v>347</v>
      </c>
      <c r="O353" s="5" t="s">
        <v>347</v>
      </c>
      <c r="P353" s="5">
        <v>0</v>
      </c>
      <c r="Q353" s="5">
        <v>0</v>
      </c>
      <c r="R353" s="5" t="str">
        <f t="shared" si="46"/>
        <v>118-2022-10-31</v>
      </c>
    </row>
    <row r="354" spans="1:18" x14ac:dyDescent="0.3">
      <c r="A354" s="5">
        <v>118</v>
      </c>
      <c r="B354" s="5" t="s">
        <v>39</v>
      </c>
      <c r="C354" s="5" t="s">
        <v>440</v>
      </c>
      <c r="D354" s="5" t="s">
        <v>25</v>
      </c>
      <c r="E354" s="5" t="s">
        <v>9</v>
      </c>
      <c r="F354" s="6">
        <v>45291</v>
      </c>
      <c r="G354" s="5">
        <f t="shared" si="47"/>
        <v>2023</v>
      </c>
      <c r="H354" s="5" t="str">
        <f t="shared" si="48"/>
        <v>Diciembre</v>
      </c>
      <c r="I354" s="6" t="str">
        <f t="shared" si="45"/>
        <v>2023-2</v>
      </c>
      <c r="J354" s="5">
        <v>80</v>
      </c>
      <c r="K354" s="5">
        <v>94.138576779026195</v>
      </c>
      <c r="L354" s="15">
        <v>1.1767322097378274</v>
      </c>
      <c r="M354" s="15">
        <v>1.1767322097378274</v>
      </c>
      <c r="N354" s="5" t="s">
        <v>347</v>
      </c>
      <c r="O354" s="5" t="s">
        <v>347</v>
      </c>
      <c r="P354" s="5">
        <v>0</v>
      </c>
      <c r="Q354" s="5">
        <v>0</v>
      </c>
      <c r="R354" s="5" t="str">
        <f t="shared" si="46"/>
        <v>118-2023-12-31</v>
      </c>
    </row>
    <row r="355" spans="1:18" x14ac:dyDescent="0.3">
      <c r="A355" s="26">
        <v>118</v>
      </c>
      <c r="B355" s="5" t="s">
        <v>44</v>
      </c>
      <c r="C355" s="5" t="s">
        <v>45</v>
      </c>
      <c r="D355" s="5" t="s">
        <v>25</v>
      </c>
      <c r="E355" s="5" t="s">
        <v>9</v>
      </c>
      <c r="F355" s="6">
        <v>45657</v>
      </c>
      <c r="G355" s="5">
        <f t="shared" si="47"/>
        <v>2024</v>
      </c>
      <c r="H355" s="5" t="str">
        <f t="shared" si="48"/>
        <v>Diciembre</v>
      </c>
      <c r="I355" s="6" t="str">
        <f t="shared" si="45"/>
        <v>2024-2</v>
      </c>
      <c r="J355" s="5">
        <v>80</v>
      </c>
      <c r="K355" s="10">
        <v>86</v>
      </c>
      <c r="L355" s="15">
        <f>IFERROR(IF((K355/J355)&gt;1.3,1.3,K355/J355),"")</f>
        <v>1.075</v>
      </c>
      <c r="M355" s="15">
        <f>IFERROR(IF((K355/J355)&gt;K355/J355,1.3,K355/J355),"")</f>
        <v>1.075</v>
      </c>
      <c r="N355" s="5" t="s">
        <v>347</v>
      </c>
      <c r="O355" s="5" t="s">
        <v>347</v>
      </c>
      <c r="P355" s="16">
        <v>0</v>
      </c>
      <c r="Q355" s="16">
        <v>0</v>
      </c>
      <c r="R355" s="5" t="str">
        <f t="shared" si="46"/>
        <v>118-2024-12-31</v>
      </c>
    </row>
    <row r="356" spans="1:18" x14ac:dyDescent="0.3">
      <c r="A356" s="26">
        <v>121</v>
      </c>
      <c r="B356" s="5" t="s">
        <v>46</v>
      </c>
      <c r="C356" s="5" t="s">
        <v>13</v>
      </c>
      <c r="D356" s="5" t="s">
        <v>18</v>
      </c>
      <c r="E356" s="5" t="s">
        <v>14</v>
      </c>
      <c r="F356" s="6">
        <v>44592</v>
      </c>
      <c r="G356" s="5">
        <f t="shared" si="47"/>
        <v>2022</v>
      </c>
      <c r="H356" s="5" t="str">
        <f t="shared" si="48"/>
        <v>Enero</v>
      </c>
      <c r="I356" s="6" t="str">
        <f t="shared" si="45"/>
        <v>2022-1</v>
      </c>
      <c r="J356" s="81">
        <v>11031480</v>
      </c>
      <c r="K356" s="81">
        <v>11023772</v>
      </c>
      <c r="L356" s="8">
        <f>IFERROR(J356/K356,"")</f>
        <v>1.0006992162029476</v>
      </c>
      <c r="M356" s="8">
        <f>IFERROR(J356/K356,"")</f>
        <v>1.0006992162029476</v>
      </c>
      <c r="N356" s="9" t="s">
        <v>474</v>
      </c>
      <c r="O356" s="9" t="s">
        <v>474</v>
      </c>
      <c r="P356" s="16">
        <v>0</v>
      </c>
      <c r="Q356" s="16">
        <v>0</v>
      </c>
      <c r="R356" s="5" t="str">
        <f t="shared" si="46"/>
        <v>121-2022-01-31</v>
      </c>
    </row>
    <row r="357" spans="1:18" x14ac:dyDescent="0.3">
      <c r="A357" s="26">
        <v>121</v>
      </c>
      <c r="B357" s="5" t="s">
        <v>46</v>
      </c>
      <c r="C357" s="5" t="s">
        <v>13</v>
      </c>
      <c r="D357" s="5" t="s">
        <v>18</v>
      </c>
      <c r="E357" s="5" t="s">
        <v>14</v>
      </c>
      <c r="F357" s="17">
        <v>44620</v>
      </c>
      <c r="G357" s="5">
        <f t="shared" si="47"/>
        <v>2022</v>
      </c>
      <c r="H357" s="5" t="str">
        <f t="shared" si="48"/>
        <v>Febrero</v>
      </c>
      <c r="I357" s="6" t="str">
        <f t="shared" si="45"/>
        <v>2022-1</v>
      </c>
      <c r="J357" s="81">
        <v>19009806</v>
      </c>
      <c r="K357" s="81">
        <v>18978668</v>
      </c>
      <c r="L357" s="8">
        <f>IFERROR(J357/K357,"")</f>
        <v>1.001640684161818</v>
      </c>
      <c r="M357" s="8">
        <f t="shared" ref="M357:M391" si="52">IFERROR(J357/K357,"")</f>
        <v>1.001640684161818</v>
      </c>
      <c r="N357" s="9" t="s">
        <v>474</v>
      </c>
      <c r="O357" s="9" t="s">
        <v>474</v>
      </c>
      <c r="P357" s="16">
        <v>0</v>
      </c>
      <c r="Q357" s="16">
        <v>0</v>
      </c>
      <c r="R357" s="5" t="str">
        <f t="shared" si="46"/>
        <v>121-2022-02-28</v>
      </c>
    </row>
    <row r="358" spans="1:18" x14ac:dyDescent="0.3">
      <c r="A358" s="26">
        <v>121</v>
      </c>
      <c r="B358" s="5" t="s">
        <v>46</v>
      </c>
      <c r="C358" s="5" t="s">
        <v>13</v>
      </c>
      <c r="D358" s="5" t="s">
        <v>18</v>
      </c>
      <c r="E358" s="5" t="s">
        <v>14</v>
      </c>
      <c r="F358" s="6">
        <v>44651</v>
      </c>
      <c r="G358" s="5">
        <f t="shared" si="47"/>
        <v>2022</v>
      </c>
      <c r="H358" s="5" t="str">
        <f t="shared" si="48"/>
        <v>Marzo</v>
      </c>
      <c r="I358" s="6" t="str">
        <f t="shared" si="45"/>
        <v>2022-1</v>
      </c>
      <c r="J358" s="81">
        <v>28116541</v>
      </c>
      <c r="K358" s="81">
        <v>28119507</v>
      </c>
      <c r="L358" s="8">
        <f t="shared" ref="L358:L391" si="53">IFERROR(J358/K358,"")</f>
        <v>0.99989452162159176</v>
      </c>
      <c r="M358" s="8">
        <f t="shared" si="52"/>
        <v>0.99989452162159176</v>
      </c>
      <c r="N358" s="9" t="s">
        <v>474</v>
      </c>
      <c r="O358" s="9" t="s">
        <v>474</v>
      </c>
      <c r="P358" s="16">
        <v>0</v>
      </c>
      <c r="Q358" s="16">
        <v>0</v>
      </c>
      <c r="R358" s="5" t="str">
        <f t="shared" si="46"/>
        <v>121-2022-03-31</v>
      </c>
    </row>
    <row r="359" spans="1:18" x14ac:dyDescent="0.3">
      <c r="A359" s="26">
        <v>121</v>
      </c>
      <c r="B359" s="5" t="s">
        <v>46</v>
      </c>
      <c r="C359" s="5" t="s">
        <v>13</v>
      </c>
      <c r="D359" s="5" t="s">
        <v>18</v>
      </c>
      <c r="E359" s="5" t="s">
        <v>14</v>
      </c>
      <c r="F359" s="6">
        <v>44681</v>
      </c>
      <c r="G359" s="5">
        <f t="shared" si="47"/>
        <v>2022</v>
      </c>
      <c r="H359" s="5" t="str">
        <f t="shared" si="48"/>
        <v>Abril</v>
      </c>
      <c r="I359" s="6" t="str">
        <f t="shared" si="45"/>
        <v>2022-1</v>
      </c>
      <c r="J359" s="81">
        <v>36304455</v>
      </c>
      <c r="K359" s="81">
        <v>36102205</v>
      </c>
      <c r="L359" s="8">
        <f>IFERROR(J359/K359,"")</f>
        <v>1.0056021508935535</v>
      </c>
      <c r="M359" s="8">
        <f t="shared" si="52"/>
        <v>1.0056021508935535</v>
      </c>
      <c r="N359" s="9" t="s">
        <v>474</v>
      </c>
      <c r="O359" s="9" t="s">
        <v>474</v>
      </c>
      <c r="P359" s="16">
        <v>0</v>
      </c>
      <c r="Q359" s="16">
        <v>0</v>
      </c>
      <c r="R359" s="5" t="str">
        <f t="shared" si="46"/>
        <v>121-2022-04-30</v>
      </c>
    </row>
    <row r="360" spans="1:18" x14ac:dyDescent="0.3">
      <c r="A360" s="26">
        <v>121</v>
      </c>
      <c r="B360" s="5" t="s">
        <v>46</v>
      </c>
      <c r="C360" s="5" t="s">
        <v>13</v>
      </c>
      <c r="D360" s="5" t="s">
        <v>18</v>
      </c>
      <c r="E360" s="5" t="s">
        <v>14</v>
      </c>
      <c r="F360" s="6">
        <v>44712</v>
      </c>
      <c r="G360" s="5">
        <f t="shared" si="47"/>
        <v>2022</v>
      </c>
      <c r="H360" s="5" t="str">
        <f t="shared" si="48"/>
        <v>Mayo</v>
      </c>
      <c r="I360" s="6" t="str">
        <f t="shared" si="45"/>
        <v>2022-1</v>
      </c>
      <c r="J360" s="81">
        <v>46155164</v>
      </c>
      <c r="K360" s="81">
        <v>45937108</v>
      </c>
      <c r="L360" s="8">
        <f t="shared" si="53"/>
        <v>1.0047468377852606</v>
      </c>
      <c r="M360" s="8">
        <f t="shared" si="52"/>
        <v>1.0047468377852606</v>
      </c>
      <c r="N360" s="9" t="s">
        <v>474</v>
      </c>
      <c r="O360" s="9" t="s">
        <v>474</v>
      </c>
      <c r="P360" s="16">
        <v>0</v>
      </c>
      <c r="Q360" s="16">
        <v>0</v>
      </c>
      <c r="R360" s="5" t="str">
        <f t="shared" si="46"/>
        <v>121-2022-05-31</v>
      </c>
    </row>
    <row r="361" spans="1:18" x14ac:dyDescent="0.3">
      <c r="A361" s="26">
        <v>121</v>
      </c>
      <c r="B361" s="5" t="s">
        <v>46</v>
      </c>
      <c r="C361" s="5" t="s">
        <v>13</v>
      </c>
      <c r="D361" s="5" t="s">
        <v>18</v>
      </c>
      <c r="E361" s="5" t="s">
        <v>14</v>
      </c>
      <c r="F361" s="6">
        <v>44742</v>
      </c>
      <c r="G361" s="5">
        <f t="shared" si="47"/>
        <v>2022</v>
      </c>
      <c r="H361" s="5" t="str">
        <f t="shared" si="48"/>
        <v>Junio</v>
      </c>
      <c r="I361" s="6" t="str">
        <f t="shared" si="45"/>
        <v>2022-1</v>
      </c>
      <c r="J361" s="81">
        <v>52112928</v>
      </c>
      <c r="K361" s="81">
        <v>52119221</v>
      </c>
      <c r="L361" s="8">
        <f t="shared" si="53"/>
        <v>0.99987925759673191</v>
      </c>
      <c r="M361" s="8">
        <f t="shared" si="52"/>
        <v>0.99987925759673191</v>
      </c>
      <c r="N361" s="9" t="s">
        <v>474</v>
      </c>
      <c r="O361" s="9" t="s">
        <v>474</v>
      </c>
      <c r="P361" s="16">
        <v>0</v>
      </c>
      <c r="Q361" s="16">
        <v>0</v>
      </c>
      <c r="R361" s="5" t="str">
        <f t="shared" si="46"/>
        <v>121-2022-06-30</v>
      </c>
    </row>
    <row r="362" spans="1:18" x14ac:dyDescent="0.3">
      <c r="A362" s="26">
        <v>121</v>
      </c>
      <c r="B362" s="5" t="s">
        <v>46</v>
      </c>
      <c r="C362" s="5" t="s">
        <v>13</v>
      </c>
      <c r="D362" s="5" t="s">
        <v>18</v>
      </c>
      <c r="E362" s="5" t="s">
        <v>14</v>
      </c>
      <c r="F362" s="6">
        <v>44773</v>
      </c>
      <c r="G362" s="5">
        <f t="shared" si="47"/>
        <v>2022</v>
      </c>
      <c r="H362" s="5" t="str">
        <f t="shared" si="48"/>
        <v>Julio</v>
      </c>
      <c r="I362" s="6" t="str">
        <f t="shared" si="45"/>
        <v>2022-2</v>
      </c>
      <c r="J362" s="81">
        <v>58415497</v>
      </c>
      <c r="K362" s="81">
        <v>58456182</v>
      </c>
      <c r="L362" s="8">
        <f t="shared" si="53"/>
        <v>0.99930400859912472</v>
      </c>
      <c r="M362" s="8">
        <f t="shared" si="52"/>
        <v>0.99930400859912472</v>
      </c>
      <c r="N362" s="9" t="s">
        <v>474</v>
      </c>
      <c r="O362" s="9" t="s">
        <v>474</v>
      </c>
      <c r="P362" s="16">
        <v>0</v>
      </c>
      <c r="Q362" s="16">
        <v>0</v>
      </c>
      <c r="R362" s="5" t="str">
        <f t="shared" si="46"/>
        <v>121-2022-07-31</v>
      </c>
    </row>
    <row r="363" spans="1:18" s="33" customFormat="1" x14ac:dyDescent="0.3">
      <c r="A363" s="26">
        <v>121</v>
      </c>
      <c r="B363" s="5" t="s">
        <v>46</v>
      </c>
      <c r="C363" s="5" t="s">
        <v>13</v>
      </c>
      <c r="D363" s="5" t="s">
        <v>18</v>
      </c>
      <c r="E363" s="5" t="s">
        <v>14</v>
      </c>
      <c r="F363" s="6">
        <v>44804</v>
      </c>
      <c r="G363" s="5">
        <f t="shared" si="47"/>
        <v>2022</v>
      </c>
      <c r="H363" s="5" t="str">
        <f t="shared" si="48"/>
        <v>Agosto</v>
      </c>
      <c r="I363" s="6" t="str">
        <f t="shared" si="45"/>
        <v>2022-2</v>
      </c>
      <c r="J363" s="81">
        <v>66288642</v>
      </c>
      <c r="K363" s="81">
        <v>66663793</v>
      </c>
      <c r="L363" s="8">
        <f>IFERROR(J363/K363,"")</f>
        <v>0.994372492426286</v>
      </c>
      <c r="M363" s="8">
        <f t="shared" si="52"/>
        <v>0.994372492426286</v>
      </c>
      <c r="N363" s="9" t="s">
        <v>474</v>
      </c>
      <c r="O363" s="9" t="s">
        <v>474</v>
      </c>
      <c r="P363" s="16">
        <v>0</v>
      </c>
      <c r="Q363" s="16">
        <v>0</v>
      </c>
      <c r="R363" s="5" t="str">
        <f t="shared" si="46"/>
        <v>121-2022-08-31</v>
      </c>
    </row>
    <row r="364" spans="1:18" x14ac:dyDescent="0.3">
      <c r="A364" s="26">
        <v>121</v>
      </c>
      <c r="B364" s="5" t="s">
        <v>46</v>
      </c>
      <c r="C364" s="5" t="s">
        <v>13</v>
      </c>
      <c r="D364" s="5" t="s">
        <v>18</v>
      </c>
      <c r="E364" s="5" t="s">
        <v>14</v>
      </c>
      <c r="F364" s="6">
        <v>44834</v>
      </c>
      <c r="G364" s="5">
        <f t="shared" si="47"/>
        <v>2022</v>
      </c>
      <c r="H364" s="5" t="str">
        <f t="shared" si="48"/>
        <v>Septiembre</v>
      </c>
      <c r="I364" s="6" t="str">
        <f t="shared" si="45"/>
        <v>2022-2</v>
      </c>
      <c r="J364" s="81">
        <v>75258802</v>
      </c>
      <c r="K364" s="81">
        <v>75542774</v>
      </c>
      <c r="L364" s="8">
        <f t="shared" si="53"/>
        <v>0.99624091114260649</v>
      </c>
      <c r="M364" s="8">
        <f t="shared" si="52"/>
        <v>0.99624091114260649</v>
      </c>
      <c r="N364" s="9" t="s">
        <v>474</v>
      </c>
      <c r="O364" s="9" t="s">
        <v>474</v>
      </c>
      <c r="P364" s="16">
        <v>0</v>
      </c>
      <c r="Q364" s="16">
        <v>0</v>
      </c>
      <c r="R364" s="5" t="str">
        <f t="shared" si="46"/>
        <v>121-2022-09-30</v>
      </c>
    </row>
    <row r="365" spans="1:18" x14ac:dyDescent="0.3">
      <c r="A365" s="26">
        <v>121</v>
      </c>
      <c r="B365" s="5" t="s">
        <v>46</v>
      </c>
      <c r="C365" s="5" t="s">
        <v>13</v>
      </c>
      <c r="D365" s="5" t="s">
        <v>18</v>
      </c>
      <c r="E365" s="5" t="s">
        <v>14</v>
      </c>
      <c r="F365" s="6">
        <v>44865</v>
      </c>
      <c r="G365" s="5">
        <f t="shared" si="47"/>
        <v>2022</v>
      </c>
      <c r="H365" s="5" t="str">
        <f t="shared" si="48"/>
        <v>Octubre</v>
      </c>
      <c r="I365" s="6" t="str">
        <f t="shared" si="45"/>
        <v>2022-2</v>
      </c>
      <c r="J365" s="81">
        <v>83898594</v>
      </c>
      <c r="K365" s="81">
        <v>85244168</v>
      </c>
      <c r="L365" s="8">
        <f t="shared" si="53"/>
        <v>0.98421506090598476</v>
      </c>
      <c r="M365" s="8">
        <f t="shared" si="52"/>
        <v>0.98421506090598476</v>
      </c>
      <c r="N365" s="9" t="s">
        <v>474</v>
      </c>
      <c r="O365" s="9" t="s">
        <v>474</v>
      </c>
      <c r="P365" s="16">
        <v>0</v>
      </c>
      <c r="Q365" s="16">
        <v>0</v>
      </c>
      <c r="R365" s="5" t="str">
        <f t="shared" si="46"/>
        <v>121-2022-10-31</v>
      </c>
    </row>
    <row r="366" spans="1:18" x14ac:dyDescent="0.3">
      <c r="A366" s="26">
        <v>121</v>
      </c>
      <c r="B366" s="5" t="s">
        <v>46</v>
      </c>
      <c r="C366" s="5" t="s">
        <v>13</v>
      </c>
      <c r="D366" s="5" t="s">
        <v>18</v>
      </c>
      <c r="E366" s="5" t="s">
        <v>14</v>
      </c>
      <c r="F366" s="6">
        <v>44895</v>
      </c>
      <c r="G366" s="5">
        <f t="shared" si="47"/>
        <v>2022</v>
      </c>
      <c r="H366" s="5" t="str">
        <f t="shared" si="48"/>
        <v>Noviembre</v>
      </c>
      <c r="I366" s="6" t="str">
        <f t="shared" ref="I366:I428" si="54">IF(OR(H366="Enero",H366="Febrero",H366="Marzo",H366="Abril",H366="Mayo",H366="Junio"),G366&amp;"-1",IF(OR(H366="Julio",H366="Agosto",H366="Septiembre",H366="Octubre",H366="Noviembre",H366="Diciembre"),G366&amp;"-2"))</f>
        <v>2022-2</v>
      </c>
      <c r="J366" s="81">
        <v>92023631</v>
      </c>
      <c r="K366" s="81">
        <v>93610292</v>
      </c>
      <c r="L366" s="8">
        <f t="shared" si="53"/>
        <v>0.98305035732609403</v>
      </c>
      <c r="M366" s="8">
        <f t="shared" si="52"/>
        <v>0.98305035732609403</v>
      </c>
      <c r="N366" s="9" t="s">
        <v>474</v>
      </c>
      <c r="O366" s="9" t="s">
        <v>474</v>
      </c>
      <c r="P366" s="16">
        <v>0</v>
      </c>
      <c r="Q366" s="16">
        <v>0</v>
      </c>
      <c r="R366" s="5" t="str">
        <f t="shared" ref="R366:R428" si="55">A366&amp;"-"&amp;YEAR(F366)&amp;"-"&amp;IF(LEN(MONTH(F366))=1,"0"&amp;MONTH(F366),MONTH(F366))&amp;"-"&amp;DAY(F366)</f>
        <v>121-2022-11-30</v>
      </c>
    </row>
    <row r="367" spans="1:18" x14ac:dyDescent="0.3">
      <c r="A367" s="39">
        <v>121</v>
      </c>
      <c r="B367" s="5" t="s">
        <v>46</v>
      </c>
      <c r="C367" s="5" t="s">
        <v>13</v>
      </c>
      <c r="D367" s="5" t="s">
        <v>18</v>
      </c>
      <c r="E367" s="5" t="s">
        <v>14</v>
      </c>
      <c r="F367" s="6">
        <v>44926</v>
      </c>
      <c r="G367" s="5">
        <f t="shared" si="47"/>
        <v>2022</v>
      </c>
      <c r="H367" s="5" t="str">
        <f t="shared" si="48"/>
        <v>Diciembre</v>
      </c>
      <c r="I367" s="6" t="str">
        <f t="shared" si="54"/>
        <v>2022-2</v>
      </c>
      <c r="J367" s="81">
        <v>99442439</v>
      </c>
      <c r="K367" s="81">
        <v>99311458</v>
      </c>
      <c r="L367" s="8">
        <f t="shared" si="53"/>
        <v>1.0013188911192905</v>
      </c>
      <c r="M367" s="8">
        <f t="shared" si="52"/>
        <v>1.0013188911192905</v>
      </c>
      <c r="N367" s="9" t="s">
        <v>474</v>
      </c>
      <c r="O367" s="9" t="s">
        <v>474</v>
      </c>
      <c r="P367" s="16">
        <v>0</v>
      </c>
      <c r="Q367" s="16">
        <v>0</v>
      </c>
      <c r="R367" s="5" t="str">
        <f t="shared" si="55"/>
        <v>121-2022-12-31</v>
      </c>
    </row>
    <row r="368" spans="1:18" x14ac:dyDescent="0.3">
      <c r="A368" s="26">
        <v>121</v>
      </c>
      <c r="B368" s="5" t="s">
        <v>46</v>
      </c>
      <c r="C368" s="5" t="s">
        <v>13</v>
      </c>
      <c r="D368" s="5" t="s">
        <v>18</v>
      </c>
      <c r="E368" s="5" t="s">
        <v>14</v>
      </c>
      <c r="F368" s="6">
        <v>44957</v>
      </c>
      <c r="G368" s="5">
        <f t="shared" si="47"/>
        <v>2023</v>
      </c>
      <c r="H368" s="5" t="str">
        <f t="shared" si="48"/>
        <v>Enero</v>
      </c>
      <c r="I368" s="6" t="str">
        <f t="shared" si="54"/>
        <v>2023-1</v>
      </c>
      <c r="J368" s="9">
        <v>10573482</v>
      </c>
      <c r="K368" s="9">
        <v>11317966</v>
      </c>
      <c r="L368" s="8">
        <f t="shared" si="53"/>
        <v>0.9342210428976373</v>
      </c>
      <c r="M368" s="8">
        <f t="shared" si="52"/>
        <v>0.9342210428976373</v>
      </c>
      <c r="N368" s="9" t="s">
        <v>474</v>
      </c>
      <c r="O368" s="9" t="s">
        <v>474</v>
      </c>
      <c r="P368" s="16">
        <v>0</v>
      </c>
      <c r="Q368" s="16">
        <v>0</v>
      </c>
      <c r="R368" s="5" t="str">
        <f t="shared" si="55"/>
        <v>121-2023-01-31</v>
      </c>
    </row>
    <row r="369" spans="1:18" x14ac:dyDescent="0.3">
      <c r="A369" s="26">
        <v>121</v>
      </c>
      <c r="B369" s="5" t="s">
        <v>46</v>
      </c>
      <c r="C369" s="5" t="s">
        <v>13</v>
      </c>
      <c r="D369" s="5" t="s">
        <v>18</v>
      </c>
      <c r="E369" s="5" t="s">
        <v>14</v>
      </c>
      <c r="F369" s="17">
        <v>44985</v>
      </c>
      <c r="G369" s="5">
        <f t="shared" si="47"/>
        <v>2023</v>
      </c>
      <c r="H369" s="5" t="str">
        <f t="shared" si="48"/>
        <v>Febrero</v>
      </c>
      <c r="I369" s="6" t="str">
        <f t="shared" si="54"/>
        <v>2023-1</v>
      </c>
      <c r="J369" s="9">
        <v>23005526</v>
      </c>
      <c r="K369" s="9">
        <v>24729183</v>
      </c>
      <c r="L369" s="8">
        <f t="shared" si="53"/>
        <v>0.93029866777240477</v>
      </c>
      <c r="M369" s="8">
        <f t="shared" si="52"/>
        <v>0.93029866777240477</v>
      </c>
      <c r="N369" s="9" t="s">
        <v>474</v>
      </c>
      <c r="O369" s="9" t="s">
        <v>474</v>
      </c>
      <c r="P369" s="16">
        <v>0</v>
      </c>
      <c r="Q369" s="16">
        <v>0</v>
      </c>
      <c r="R369" s="5" t="str">
        <f t="shared" si="55"/>
        <v>121-2023-02-28</v>
      </c>
    </row>
    <row r="370" spans="1:18" x14ac:dyDescent="0.3">
      <c r="A370" s="26">
        <v>121</v>
      </c>
      <c r="B370" s="5" t="s">
        <v>46</v>
      </c>
      <c r="C370" s="5" t="s">
        <v>13</v>
      </c>
      <c r="D370" s="5" t="s">
        <v>18</v>
      </c>
      <c r="E370" s="5" t="s">
        <v>14</v>
      </c>
      <c r="F370" s="6">
        <v>45016</v>
      </c>
      <c r="G370" s="5">
        <f t="shared" si="47"/>
        <v>2023</v>
      </c>
      <c r="H370" s="5" t="str">
        <f t="shared" si="48"/>
        <v>Marzo</v>
      </c>
      <c r="I370" s="6" t="str">
        <f t="shared" si="54"/>
        <v>2023-1</v>
      </c>
      <c r="J370" s="9">
        <v>32859507</v>
      </c>
      <c r="K370" s="9">
        <v>33857339</v>
      </c>
      <c r="L370" s="8">
        <f t="shared" si="53"/>
        <v>0.9705283395130373</v>
      </c>
      <c r="M370" s="8">
        <f t="shared" si="52"/>
        <v>0.9705283395130373</v>
      </c>
      <c r="N370" s="9" t="s">
        <v>474</v>
      </c>
      <c r="O370" s="9" t="s">
        <v>474</v>
      </c>
      <c r="P370" s="16">
        <v>0</v>
      </c>
      <c r="Q370" s="16">
        <v>0</v>
      </c>
      <c r="R370" s="5" t="str">
        <f t="shared" si="55"/>
        <v>121-2023-03-31</v>
      </c>
    </row>
    <row r="371" spans="1:18" x14ac:dyDescent="0.3">
      <c r="A371" s="26">
        <v>121</v>
      </c>
      <c r="B371" s="5" t="s">
        <v>46</v>
      </c>
      <c r="C371" s="5" t="s">
        <v>13</v>
      </c>
      <c r="D371" s="5" t="s">
        <v>18</v>
      </c>
      <c r="E371" s="5" t="s">
        <v>14</v>
      </c>
      <c r="F371" s="6">
        <v>45046</v>
      </c>
      <c r="G371" s="5">
        <f t="shared" si="47"/>
        <v>2023</v>
      </c>
      <c r="H371" s="5" t="str">
        <f t="shared" si="48"/>
        <v>Abril</v>
      </c>
      <c r="I371" s="6" t="str">
        <f t="shared" si="54"/>
        <v>2023-1</v>
      </c>
      <c r="J371" s="9">
        <v>43746174</v>
      </c>
      <c r="K371" s="9">
        <v>43091921</v>
      </c>
      <c r="L371" s="8">
        <f t="shared" si="53"/>
        <v>1.0151827299599849</v>
      </c>
      <c r="M371" s="8">
        <f t="shared" si="52"/>
        <v>1.0151827299599849</v>
      </c>
      <c r="N371" s="9" t="s">
        <v>474</v>
      </c>
      <c r="O371" s="9" t="s">
        <v>474</v>
      </c>
      <c r="P371" s="16">
        <v>0</v>
      </c>
      <c r="Q371" s="16">
        <v>0</v>
      </c>
      <c r="R371" s="5" t="str">
        <f t="shared" si="55"/>
        <v>121-2023-04-30</v>
      </c>
    </row>
    <row r="372" spans="1:18" x14ac:dyDescent="0.3">
      <c r="A372" s="26">
        <v>121</v>
      </c>
      <c r="B372" s="5" t="s">
        <v>46</v>
      </c>
      <c r="C372" s="5" t="s">
        <v>13</v>
      </c>
      <c r="D372" s="5" t="s">
        <v>18</v>
      </c>
      <c r="E372" s="5" t="s">
        <v>14</v>
      </c>
      <c r="F372" s="6">
        <v>45077</v>
      </c>
      <c r="G372" s="5">
        <f t="shared" si="47"/>
        <v>2023</v>
      </c>
      <c r="H372" s="5" t="str">
        <f t="shared" si="48"/>
        <v>Mayo</v>
      </c>
      <c r="I372" s="6" t="str">
        <f t="shared" si="54"/>
        <v>2023-1</v>
      </c>
      <c r="J372" s="9">
        <v>53156531</v>
      </c>
      <c r="K372" s="9">
        <v>53803672</v>
      </c>
      <c r="L372" s="8">
        <f t="shared" si="53"/>
        <v>0.98797217780972268</v>
      </c>
      <c r="M372" s="8">
        <f t="shared" si="52"/>
        <v>0.98797217780972268</v>
      </c>
      <c r="N372" s="9" t="s">
        <v>474</v>
      </c>
      <c r="O372" s="9" t="s">
        <v>474</v>
      </c>
      <c r="P372" s="16">
        <v>0</v>
      </c>
      <c r="Q372" s="16">
        <v>0</v>
      </c>
      <c r="R372" s="5" t="str">
        <f t="shared" si="55"/>
        <v>121-2023-05-31</v>
      </c>
    </row>
    <row r="373" spans="1:18" x14ac:dyDescent="0.3">
      <c r="A373" s="26">
        <v>121</v>
      </c>
      <c r="B373" s="5" t="s">
        <v>46</v>
      </c>
      <c r="C373" s="5" t="s">
        <v>13</v>
      </c>
      <c r="D373" s="5" t="s">
        <v>18</v>
      </c>
      <c r="E373" s="5" t="s">
        <v>14</v>
      </c>
      <c r="F373" s="6">
        <v>45107</v>
      </c>
      <c r="G373" s="5">
        <f t="shared" si="47"/>
        <v>2023</v>
      </c>
      <c r="H373" s="5" t="str">
        <f t="shared" si="48"/>
        <v>Junio</v>
      </c>
      <c r="I373" s="6" t="str">
        <f t="shared" si="54"/>
        <v>2023-1</v>
      </c>
      <c r="J373" s="9">
        <v>59906689</v>
      </c>
      <c r="K373" s="9">
        <v>61361410</v>
      </c>
      <c r="L373" s="8">
        <f t="shared" si="53"/>
        <v>0.97629257541506953</v>
      </c>
      <c r="M373" s="8">
        <f t="shared" si="52"/>
        <v>0.97629257541506953</v>
      </c>
      <c r="N373" s="9" t="s">
        <v>474</v>
      </c>
      <c r="O373" s="9" t="s">
        <v>474</v>
      </c>
      <c r="P373" s="16">
        <v>0</v>
      </c>
      <c r="Q373" s="16">
        <v>0</v>
      </c>
      <c r="R373" s="5" t="str">
        <f t="shared" si="55"/>
        <v>121-2023-06-30</v>
      </c>
    </row>
    <row r="374" spans="1:18" x14ac:dyDescent="0.3">
      <c r="A374" s="26">
        <v>121</v>
      </c>
      <c r="B374" s="5" t="s">
        <v>46</v>
      </c>
      <c r="C374" s="5" t="s">
        <v>13</v>
      </c>
      <c r="D374" s="5" t="s">
        <v>18</v>
      </c>
      <c r="E374" s="5" t="s">
        <v>14</v>
      </c>
      <c r="F374" s="6">
        <v>45138</v>
      </c>
      <c r="G374" s="5">
        <f t="shared" si="47"/>
        <v>2023</v>
      </c>
      <c r="H374" s="5" t="str">
        <f t="shared" si="48"/>
        <v>Julio</v>
      </c>
      <c r="I374" s="6" t="str">
        <f t="shared" si="54"/>
        <v>2023-2</v>
      </c>
      <c r="J374" s="9">
        <v>65620204</v>
      </c>
      <c r="K374" s="9">
        <v>68123507</v>
      </c>
      <c r="L374" s="8">
        <f t="shared" si="53"/>
        <v>0.96325346256762734</v>
      </c>
      <c r="M374" s="8">
        <f t="shared" si="52"/>
        <v>0.96325346256762734</v>
      </c>
      <c r="N374" s="9" t="s">
        <v>474</v>
      </c>
      <c r="O374" s="9" t="s">
        <v>474</v>
      </c>
      <c r="P374" s="16">
        <v>0</v>
      </c>
      <c r="Q374" s="16">
        <v>0</v>
      </c>
      <c r="R374" s="5" t="str">
        <f t="shared" si="55"/>
        <v>121-2023-07-31</v>
      </c>
    </row>
    <row r="375" spans="1:18" x14ac:dyDescent="0.3">
      <c r="A375" s="26">
        <v>121</v>
      </c>
      <c r="B375" s="5" t="s">
        <v>46</v>
      </c>
      <c r="C375" s="5" t="s">
        <v>13</v>
      </c>
      <c r="D375" s="5" t="s">
        <v>18</v>
      </c>
      <c r="E375" s="5" t="s">
        <v>14</v>
      </c>
      <c r="F375" s="6">
        <v>45169</v>
      </c>
      <c r="G375" s="5">
        <f t="shared" si="47"/>
        <v>2023</v>
      </c>
      <c r="H375" s="5" t="str">
        <f t="shared" si="48"/>
        <v>Agosto</v>
      </c>
      <c r="I375" s="6" t="str">
        <f t="shared" si="54"/>
        <v>2023-2</v>
      </c>
      <c r="J375" s="9">
        <v>75793547</v>
      </c>
      <c r="K375" s="9">
        <v>79700391</v>
      </c>
      <c r="L375" s="8">
        <f t="shared" si="53"/>
        <v>0.95098086783539115</v>
      </c>
      <c r="M375" s="8">
        <f t="shared" si="52"/>
        <v>0.95098086783539115</v>
      </c>
      <c r="N375" s="9" t="s">
        <v>474</v>
      </c>
      <c r="O375" s="9" t="s">
        <v>474</v>
      </c>
      <c r="P375" s="16">
        <v>0</v>
      </c>
      <c r="Q375" s="16">
        <v>0</v>
      </c>
      <c r="R375" s="5" t="str">
        <f t="shared" si="55"/>
        <v>121-2023-08-31</v>
      </c>
    </row>
    <row r="376" spans="1:18" x14ac:dyDescent="0.3">
      <c r="A376" s="26">
        <v>121</v>
      </c>
      <c r="B376" s="5" t="s">
        <v>46</v>
      </c>
      <c r="C376" s="5" t="s">
        <v>13</v>
      </c>
      <c r="D376" s="5" t="s">
        <v>18</v>
      </c>
      <c r="E376" s="5" t="s">
        <v>14</v>
      </c>
      <c r="F376" s="6">
        <v>45199</v>
      </c>
      <c r="G376" s="5">
        <f t="shared" si="47"/>
        <v>2023</v>
      </c>
      <c r="H376" s="5" t="str">
        <f t="shared" si="48"/>
        <v>Septiembre</v>
      </c>
      <c r="I376" s="6" t="str">
        <f t="shared" si="54"/>
        <v>2023-2</v>
      </c>
      <c r="J376" s="9">
        <v>85150823</v>
      </c>
      <c r="K376" s="9">
        <v>89101921</v>
      </c>
      <c r="L376" s="8">
        <f t="shared" si="53"/>
        <v>0.95565642181833543</v>
      </c>
      <c r="M376" s="8">
        <f t="shared" si="52"/>
        <v>0.95565642181833543</v>
      </c>
      <c r="N376" s="9" t="s">
        <v>474</v>
      </c>
      <c r="O376" s="9" t="s">
        <v>474</v>
      </c>
      <c r="P376" s="16">
        <v>0</v>
      </c>
      <c r="Q376" s="16">
        <v>0</v>
      </c>
      <c r="R376" s="5" t="str">
        <f t="shared" si="55"/>
        <v>121-2023-09-30</v>
      </c>
    </row>
    <row r="377" spans="1:18" x14ac:dyDescent="0.3">
      <c r="A377" s="26">
        <v>121</v>
      </c>
      <c r="B377" s="5" t="s">
        <v>46</v>
      </c>
      <c r="C377" s="5" t="s">
        <v>13</v>
      </c>
      <c r="D377" s="5" t="s">
        <v>18</v>
      </c>
      <c r="E377" s="5" t="s">
        <v>14</v>
      </c>
      <c r="F377" s="6">
        <v>45230</v>
      </c>
      <c r="G377" s="5">
        <f t="shared" si="47"/>
        <v>2023</v>
      </c>
      <c r="H377" s="5" t="str">
        <f t="shared" si="48"/>
        <v>Octubre</v>
      </c>
      <c r="I377" s="6" t="str">
        <f t="shared" si="54"/>
        <v>2023-2</v>
      </c>
      <c r="J377" s="9">
        <v>103504677</v>
      </c>
      <c r="K377" s="9">
        <v>114526582</v>
      </c>
      <c r="L377" s="8">
        <f t="shared" si="53"/>
        <v>0.90376116350001612</v>
      </c>
      <c r="M377" s="8">
        <f t="shared" si="52"/>
        <v>0.90376116350001612</v>
      </c>
      <c r="N377" s="9" t="s">
        <v>474</v>
      </c>
      <c r="O377" s="9" t="s">
        <v>474</v>
      </c>
      <c r="P377" s="16">
        <v>0</v>
      </c>
      <c r="Q377" s="16">
        <v>0</v>
      </c>
      <c r="R377" s="5" t="str">
        <f t="shared" si="55"/>
        <v>121-2023-10-31</v>
      </c>
    </row>
    <row r="378" spans="1:18" x14ac:dyDescent="0.3">
      <c r="A378" s="26">
        <v>121</v>
      </c>
      <c r="B378" s="5" t="s">
        <v>46</v>
      </c>
      <c r="C378" s="5" t="s">
        <v>13</v>
      </c>
      <c r="D378" s="5" t="s">
        <v>18</v>
      </c>
      <c r="E378" s="5" t="s">
        <v>14</v>
      </c>
      <c r="F378" s="6">
        <v>45260</v>
      </c>
      <c r="G378" s="5">
        <f t="shared" si="47"/>
        <v>2023</v>
      </c>
      <c r="H378" s="5" t="str">
        <f t="shared" si="48"/>
        <v>Noviembre</v>
      </c>
      <c r="I378" s="6" t="str">
        <f t="shared" si="54"/>
        <v>2023-2</v>
      </c>
      <c r="J378" s="9">
        <v>110049104</v>
      </c>
      <c r="K378" s="9">
        <v>122487832</v>
      </c>
      <c r="L378" s="8">
        <f t="shared" si="53"/>
        <v>0.89844927616973413</v>
      </c>
      <c r="M378" s="8">
        <f t="shared" si="52"/>
        <v>0.89844927616973413</v>
      </c>
      <c r="N378" s="9" t="s">
        <v>474</v>
      </c>
      <c r="O378" s="9" t="s">
        <v>474</v>
      </c>
      <c r="P378" s="16">
        <v>0</v>
      </c>
      <c r="Q378" s="16">
        <v>0</v>
      </c>
      <c r="R378" s="5" t="str">
        <f t="shared" si="55"/>
        <v>121-2023-11-30</v>
      </c>
    </row>
    <row r="379" spans="1:18" x14ac:dyDescent="0.3">
      <c r="A379" s="39">
        <v>121</v>
      </c>
      <c r="B379" s="5" t="s">
        <v>46</v>
      </c>
      <c r="C379" s="5" t="s">
        <v>13</v>
      </c>
      <c r="D379" s="5" t="s">
        <v>18</v>
      </c>
      <c r="E379" s="5" t="s">
        <v>14</v>
      </c>
      <c r="F379" s="6">
        <v>45291</v>
      </c>
      <c r="G379" s="5">
        <f t="shared" si="47"/>
        <v>2023</v>
      </c>
      <c r="H379" s="5" t="str">
        <f t="shared" si="48"/>
        <v>Diciembre</v>
      </c>
      <c r="I379" s="6" t="str">
        <f t="shared" si="54"/>
        <v>2023-2</v>
      </c>
      <c r="J379" s="9">
        <v>94354868</v>
      </c>
      <c r="K379" s="9">
        <v>100568102</v>
      </c>
      <c r="L379" s="8">
        <f t="shared" si="53"/>
        <v>0.93821864113533737</v>
      </c>
      <c r="M379" s="8">
        <f t="shared" si="52"/>
        <v>0.93821864113533737</v>
      </c>
      <c r="N379" s="9" t="s">
        <v>474</v>
      </c>
      <c r="O379" s="9" t="s">
        <v>474</v>
      </c>
      <c r="P379" s="16">
        <v>0</v>
      </c>
      <c r="Q379" s="16">
        <v>0</v>
      </c>
      <c r="R379" s="5" t="str">
        <f t="shared" si="55"/>
        <v>121-2023-12-31</v>
      </c>
    </row>
    <row r="380" spans="1:18" x14ac:dyDescent="0.3">
      <c r="A380" s="26">
        <v>121</v>
      </c>
      <c r="B380" s="5" t="s">
        <v>46</v>
      </c>
      <c r="C380" s="5" t="s">
        <v>13</v>
      </c>
      <c r="D380" s="5" t="s">
        <v>18</v>
      </c>
      <c r="E380" s="5" t="s">
        <v>14</v>
      </c>
      <c r="F380" s="6">
        <v>45322</v>
      </c>
      <c r="G380" s="5">
        <f t="shared" si="47"/>
        <v>2024</v>
      </c>
      <c r="H380" s="5" t="str">
        <f t="shared" si="48"/>
        <v>Enero</v>
      </c>
      <c r="I380" s="6" t="str">
        <f t="shared" si="54"/>
        <v>2024-1</v>
      </c>
      <c r="J380" s="9">
        <v>14842650</v>
      </c>
      <c r="K380" s="9">
        <v>14589860</v>
      </c>
      <c r="L380" s="8">
        <f t="shared" si="53"/>
        <v>1.0173264171143521</v>
      </c>
      <c r="M380" s="8">
        <f t="shared" si="52"/>
        <v>1.0173264171143521</v>
      </c>
      <c r="N380" s="9" t="s">
        <v>474</v>
      </c>
      <c r="O380" s="9" t="s">
        <v>474</v>
      </c>
      <c r="P380" s="16">
        <v>0</v>
      </c>
      <c r="Q380" s="16">
        <v>0</v>
      </c>
      <c r="R380" s="5" t="str">
        <f t="shared" si="55"/>
        <v>121-2024-01-31</v>
      </c>
    </row>
    <row r="381" spans="1:18" x14ac:dyDescent="0.3">
      <c r="A381" s="26">
        <v>121</v>
      </c>
      <c r="B381" s="5" t="s">
        <v>46</v>
      </c>
      <c r="C381" s="5" t="s">
        <v>13</v>
      </c>
      <c r="D381" s="5" t="s">
        <v>18</v>
      </c>
      <c r="E381" s="5" t="s">
        <v>14</v>
      </c>
      <c r="F381" s="6">
        <v>45351</v>
      </c>
      <c r="G381" s="5">
        <f t="shared" si="47"/>
        <v>2024</v>
      </c>
      <c r="H381" s="5" t="str">
        <f t="shared" si="48"/>
        <v>Febrero</v>
      </c>
      <c r="I381" s="6" t="str">
        <f t="shared" si="54"/>
        <v>2024-1</v>
      </c>
      <c r="J381" s="9">
        <v>25394485</v>
      </c>
      <c r="K381" s="9">
        <v>25489607</v>
      </c>
      <c r="L381" s="8">
        <f t="shared" si="53"/>
        <v>0.99626820452743736</v>
      </c>
      <c r="M381" s="8">
        <f t="shared" si="52"/>
        <v>0.99626820452743736</v>
      </c>
      <c r="N381" s="9" t="s">
        <v>474</v>
      </c>
      <c r="O381" s="9" t="s">
        <v>474</v>
      </c>
      <c r="P381" s="16">
        <v>0</v>
      </c>
      <c r="Q381" s="16">
        <v>0</v>
      </c>
      <c r="R381" s="5" t="str">
        <f t="shared" si="55"/>
        <v>121-2024-02-29</v>
      </c>
    </row>
    <row r="382" spans="1:18" x14ac:dyDescent="0.3">
      <c r="A382" s="26">
        <v>121</v>
      </c>
      <c r="B382" s="5" t="s">
        <v>46</v>
      </c>
      <c r="C382" s="5" t="s">
        <v>13</v>
      </c>
      <c r="D382" s="5" t="s">
        <v>18</v>
      </c>
      <c r="E382" s="5" t="s">
        <v>14</v>
      </c>
      <c r="F382" s="6">
        <v>45382</v>
      </c>
      <c r="G382" s="5">
        <f t="shared" si="47"/>
        <v>2024</v>
      </c>
      <c r="H382" s="5" t="str">
        <f t="shared" si="48"/>
        <v>Marzo</v>
      </c>
      <c r="I382" s="6" t="str">
        <f t="shared" si="54"/>
        <v>2024-1</v>
      </c>
      <c r="J382" s="9">
        <v>36222295</v>
      </c>
      <c r="K382" s="9">
        <v>36593172</v>
      </c>
      <c r="L382" s="8">
        <f t="shared" si="53"/>
        <v>0.98986485784834399</v>
      </c>
      <c r="M382" s="8">
        <f t="shared" si="52"/>
        <v>0.98986485784834399</v>
      </c>
      <c r="N382" s="9" t="s">
        <v>474</v>
      </c>
      <c r="O382" s="9" t="s">
        <v>474</v>
      </c>
      <c r="P382" s="16">
        <v>0</v>
      </c>
      <c r="Q382" s="16">
        <v>0</v>
      </c>
      <c r="R382" s="5" t="str">
        <f t="shared" si="55"/>
        <v>121-2024-03-31</v>
      </c>
    </row>
    <row r="383" spans="1:18" x14ac:dyDescent="0.3">
      <c r="A383" s="26">
        <v>121</v>
      </c>
      <c r="B383" s="5" t="s">
        <v>46</v>
      </c>
      <c r="C383" s="5" t="s">
        <v>13</v>
      </c>
      <c r="D383" s="5" t="s">
        <v>18</v>
      </c>
      <c r="E383" s="5" t="s">
        <v>14</v>
      </c>
      <c r="F383" s="6">
        <v>45412</v>
      </c>
      <c r="G383" s="5">
        <f t="shared" si="47"/>
        <v>2024</v>
      </c>
      <c r="H383" s="5" t="str">
        <f t="shared" si="48"/>
        <v>Abril</v>
      </c>
      <c r="I383" s="6" t="str">
        <f t="shared" si="54"/>
        <v>2024-1</v>
      </c>
      <c r="J383" s="9">
        <v>48002565</v>
      </c>
      <c r="K383" s="9">
        <v>49360068</v>
      </c>
      <c r="L383" s="8">
        <f t="shared" si="53"/>
        <v>0.97249795117786308</v>
      </c>
      <c r="M383" s="8">
        <f t="shared" si="52"/>
        <v>0.97249795117786308</v>
      </c>
      <c r="N383" s="9" t="s">
        <v>474</v>
      </c>
      <c r="O383" s="9" t="s">
        <v>474</v>
      </c>
      <c r="P383" s="16">
        <v>0</v>
      </c>
      <c r="Q383" s="16">
        <v>0</v>
      </c>
      <c r="R383" s="5" t="str">
        <f t="shared" si="55"/>
        <v>121-2024-04-30</v>
      </c>
    </row>
    <row r="384" spans="1:18" x14ac:dyDescent="0.3">
      <c r="A384" s="26">
        <v>121</v>
      </c>
      <c r="B384" s="5" t="s">
        <v>46</v>
      </c>
      <c r="C384" s="5" t="s">
        <v>13</v>
      </c>
      <c r="D384" s="5" t="s">
        <v>18</v>
      </c>
      <c r="E384" s="5" t="s">
        <v>14</v>
      </c>
      <c r="F384" s="6">
        <v>45443</v>
      </c>
      <c r="G384" s="5">
        <f t="shared" si="47"/>
        <v>2024</v>
      </c>
      <c r="H384" s="5" t="str">
        <f t="shared" si="48"/>
        <v>Mayo</v>
      </c>
      <c r="I384" s="6" t="str">
        <f t="shared" si="54"/>
        <v>2024-1</v>
      </c>
      <c r="J384" s="9">
        <v>55499718</v>
      </c>
      <c r="K384" s="9">
        <v>56630838</v>
      </c>
      <c r="L384" s="8">
        <f t="shared" si="53"/>
        <v>0.98002643012275392</v>
      </c>
      <c r="M384" s="8">
        <f t="shared" si="52"/>
        <v>0.98002643012275392</v>
      </c>
      <c r="N384" s="9" t="s">
        <v>474</v>
      </c>
      <c r="O384" s="9" t="s">
        <v>474</v>
      </c>
      <c r="P384" s="16">
        <v>0</v>
      </c>
      <c r="Q384" s="16">
        <v>0</v>
      </c>
      <c r="R384" s="5" t="str">
        <f t="shared" si="55"/>
        <v>121-2024-05-31</v>
      </c>
    </row>
    <row r="385" spans="1:18" x14ac:dyDescent="0.3">
      <c r="A385" s="26">
        <v>121</v>
      </c>
      <c r="B385" s="5" t="s">
        <v>46</v>
      </c>
      <c r="C385" s="5" t="s">
        <v>13</v>
      </c>
      <c r="D385" s="5" t="s">
        <v>18</v>
      </c>
      <c r="E385" s="5" t="s">
        <v>14</v>
      </c>
      <c r="F385" s="6">
        <v>45473</v>
      </c>
      <c r="G385" s="5">
        <f t="shared" si="47"/>
        <v>2024</v>
      </c>
      <c r="H385" s="5" t="str">
        <f t="shared" si="48"/>
        <v>Junio</v>
      </c>
      <c r="I385" s="6" t="str">
        <f t="shared" si="54"/>
        <v>2024-1</v>
      </c>
      <c r="J385" s="9">
        <v>63722202</v>
      </c>
      <c r="K385" s="9">
        <v>64925860</v>
      </c>
      <c r="L385" s="8">
        <f t="shared" si="53"/>
        <v>0.98146103879101487</v>
      </c>
      <c r="M385" s="8">
        <f t="shared" si="52"/>
        <v>0.98146103879101487</v>
      </c>
      <c r="N385" s="9" t="s">
        <v>474</v>
      </c>
      <c r="O385" s="9" t="s">
        <v>474</v>
      </c>
      <c r="P385" s="16">
        <v>0</v>
      </c>
      <c r="Q385" s="16">
        <v>0</v>
      </c>
      <c r="R385" s="5" t="str">
        <f t="shared" si="55"/>
        <v>121-2024-06-30</v>
      </c>
    </row>
    <row r="386" spans="1:18" x14ac:dyDescent="0.3">
      <c r="A386" s="26">
        <v>121</v>
      </c>
      <c r="B386" s="5" t="s">
        <v>46</v>
      </c>
      <c r="C386" s="5" t="s">
        <v>13</v>
      </c>
      <c r="D386" s="5" t="s">
        <v>18</v>
      </c>
      <c r="E386" s="5" t="s">
        <v>14</v>
      </c>
      <c r="F386" s="6">
        <v>45504</v>
      </c>
      <c r="G386" s="5">
        <f t="shared" ref="G386:G449" si="56">YEAR(F386)</f>
        <v>2024</v>
      </c>
      <c r="H386" s="5" t="str">
        <f t="shared" ref="H386:H449" si="57">PROPER(TEXT(F386,"mmmm"))</f>
        <v>Julio</v>
      </c>
      <c r="I386" s="6" t="str">
        <f t="shared" si="54"/>
        <v>2024-2</v>
      </c>
      <c r="J386" s="9">
        <v>73376331</v>
      </c>
      <c r="K386" s="9">
        <v>74294915</v>
      </c>
      <c r="L386" s="8">
        <f t="shared" si="53"/>
        <v>0.98763597750936249</v>
      </c>
      <c r="M386" s="8">
        <f t="shared" si="52"/>
        <v>0.98763597750936249</v>
      </c>
      <c r="N386" s="9" t="s">
        <v>474</v>
      </c>
      <c r="O386" s="9" t="s">
        <v>474</v>
      </c>
      <c r="P386" s="16">
        <v>0</v>
      </c>
      <c r="Q386" s="16">
        <v>0</v>
      </c>
      <c r="R386" s="5" t="str">
        <f t="shared" si="55"/>
        <v>121-2024-07-31</v>
      </c>
    </row>
    <row r="387" spans="1:18" x14ac:dyDescent="0.3">
      <c r="A387" s="26">
        <v>121</v>
      </c>
      <c r="B387" s="5" t="s">
        <v>46</v>
      </c>
      <c r="C387" s="5" t="s">
        <v>13</v>
      </c>
      <c r="D387" s="5" t="s">
        <v>18</v>
      </c>
      <c r="E387" s="5" t="s">
        <v>14</v>
      </c>
      <c r="F387" s="6">
        <v>45535</v>
      </c>
      <c r="G387" s="5">
        <f t="shared" si="56"/>
        <v>2024</v>
      </c>
      <c r="H387" s="5" t="str">
        <f t="shared" si="57"/>
        <v>Agosto</v>
      </c>
      <c r="I387" s="6" t="str">
        <f t="shared" si="54"/>
        <v>2024-2</v>
      </c>
      <c r="J387" s="9">
        <v>83924291</v>
      </c>
      <c r="K387" s="9">
        <v>83784799</v>
      </c>
      <c r="L387" s="8">
        <f t="shared" si="53"/>
        <v>1.0016648843425644</v>
      </c>
      <c r="M387" s="8">
        <f t="shared" si="52"/>
        <v>1.0016648843425644</v>
      </c>
      <c r="N387" s="9" t="s">
        <v>474</v>
      </c>
      <c r="O387" s="9" t="s">
        <v>474</v>
      </c>
      <c r="P387" s="16">
        <v>0</v>
      </c>
      <c r="Q387" s="16">
        <v>0</v>
      </c>
      <c r="R387" s="5" t="str">
        <f t="shared" si="55"/>
        <v>121-2024-08-31</v>
      </c>
    </row>
    <row r="388" spans="1:18" x14ac:dyDescent="0.3">
      <c r="A388" s="26">
        <v>121</v>
      </c>
      <c r="B388" s="5" t="s">
        <v>46</v>
      </c>
      <c r="C388" s="5" t="s">
        <v>13</v>
      </c>
      <c r="D388" s="5" t="s">
        <v>18</v>
      </c>
      <c r="E388" s="5" t="s">
        <v>14</v>
      </c>
      <c r="F388" s="6">
        <v>45565</v>
      </c>
      <c r="G388" s="5">
        <f t="shared" si="56"/>
        <v>2024</v>
      </c>
      <c r="H388" s="5" t="str">
        <f t="shared" si="57"/>
        <v>Septiembre</v>
      </c>
      <c r="I388" s="6" t="str">
        <f t="shared" si="54"/>
        <v>2024-2</v>
      </c>
      <c r="J388" s="9">
        <v>93710314</v>
      </c>
      <c r="K388" s="9">
        <v>95484547</v>
      </c>
      <c r="L388" s="8">
        <f t="shared" si="53"/>
        <v>0.98141863730054668</v>
      </c>
      <c r="M388" s="8">
        <f t="shared" si="52"/>
        <v>0.98141863730054668</v>
      </c>
      <c r="N388" s="9" t="s">
        <v>474</v>
      </c>
      <c r="O388" s="9" t="s">
        <v>474</v>
      </c>
      <c r="P388" s="16">
        <v>0</v>
      </c>
      <c r="Q388" s="16">
        <v>0</v>
      </c>
      <c r="R388" s="5" t="str">
        <f t="shared" si="55"/>
        <v>121-2024-09-30</v>
      </c>
    </row>
    <row r="389" spans="1:18" x14ac:dyDescent="0.3">
      <c r="A389" s="26">
        <v>121</v>
      </c>
      <c r="B389" s="5" t="s">
        <v>46</v>
      </c>
      <c r="C389" s="5" t="s">
        <v>13</v>
      </c>
      <c r="D389" s="5" t="s">
        <v>18</v>
      </c>
      <c r="E389" s="5" t="s">
        <v>14</v>
      </c>
      <c r="F389" s="6">
        <v>45596</v>
      </c>
      <c r="G389" s="5">
        <f t="shared" si="56"/>
        <v>2024</v>
      </c>
      <c r="H389" s="5" t="str">
        <f t="shared" si="57"/>
        <v>Octubre</v>
      </c>
      <c r="I389" s="6" t="str">
        <f t="shared" si="54"/>
        <v>2024-2</v>
      </c>
      <c r="J389" s="9">
        <v>104814162</v>
      </c>
      <c r="K389" s="9">
        <v>105749334</v>
      </c>
      <c r="L389" s="8">
        <f t="shared" si="53"/>
        <v>0.99115671026353702</v>
      </c>
      <c r="M389" s="8">
        <f t="shared" si="52"/>
        <v>0.99115671026353702</v>
      </c>
      <c r="N389" s="9" t="s">
        <v>474</v>
      </c>
      <c r="O389" s="9" t="s">
        <v>474</v>
      </c>
      <c r="P389" s="16">
        <v>0</v>
      </c>
      <c r="Q389" s="16">
        <v>0</v>
      </c>
      <c r="R389" s="5" t="str">
        <f t="shared" si="55"/>
        <v>121-2024-10-31</v>
      </c>
    </row>
    <row r="390" spans="1:18" x14ac:dyDescent="0.3">
      <c r="A390" s="26">
        <v>121</v>
      </c>
      <c r="B390" s="5" t="s">
        <v>46</v>
      </c>
      <c r="C390" s="5" t="s">
        <v>13</v>
      </c>
      <c r="D390" s="5" t="s">
        <v>18</v>
      </c>
      <c r="E390" s="5" t="s">
        <v>14</v>
      </c>
      <c r="F390" s="6">
        <v>45626</v>
      </c>
      <c r="G390" s="5">
        <f t="shared" si="56"/>
        <v>2024</v>
      </c>
      <c r="H390" s="5" t="str">
        <f t="shared" si="57"/>
        <v>Noviembre</v>
      </c>
      <c r="I390" s="6" t="str">
        <f t="shared" si="54"/>
        <v>2024-2</v>
      </c>
      <c r="J390" s="9">
        <v>116198157</v>
      </c>
      <c r="K390" s="9">
        <v>116832953</v>
      </c>
      <c r="L390" s="8">
        <f t="shared" si="53"/>
        <v>0.99456663566485393</v>
      </c>
      <c r="M390" s="8">
        <f t="shared" si="52"/>
        <v>0.99456663566485393</v>
      </c>
      <c r="N390" s="9" t="s">
        <v>474</v>
      </c>
      <c r="O390" s="9" t="s">
        <v>474</v>
      </c>
      <c r="P390" s="16">
        <v>0</v>
      </c>
      <c r="Q390" s="16">
        <v>0</v>
      </c>
      <c r="R390" s="5" t="str">
        <f t="shared" si="55"/>
        <v>121-2024-11-30</v>
      </c>
    </row>
    <row r="391" spans="1:18" x14ac:dyDescent="0.3">
      <c r="A391" s="39">
        <v>121</v>
      </c>
      <c r="B391" s="5" t="s">
        <v>46</v>
      </c>
      <c r="C391" s="5" t="s">
        <v>13</v>
      </c>
      <c r="D391" s="5" t="s">
        <v>18</v>
      </c>
      <c r="E391" s="5" t="s">
        <v>14</v>
      </c>
      <c r="F391" s="6">
        <v>45657</v>
      </c>
      <c r="G391" s="5">
        <f t="shared" si="56"/>
        <v>2024</v>
      </c>
      <c r="H391" s="5" t="str">
        <f t="shared" si="57"/>
        <v>Diciembre</v>
      </c>
      <c r="I391" s="6" t="str">
        <f t="shared" si="54"/>
        <v>2024-2</v>
      </c>
      <c r="J391" s="9">
        <v>122326052</v>
      </c>
      <c r="K391" s="9">
        <v>122528282</v>
      </c>
      <c r="L391" s="8">
        <f t="shared" si="53"/>
        <v>0.99834952390828424</v>
      </c>
      <c r="M391" s="8">
        <f t="shared" si="52"/>
        <v>0.99834952390828424</v>
      </c>
      <c r="N391" s="9" t="s">
        <v>474</v>
      </c>
      <c r="O391" s="9" t="s">
        <v>474</v>
      </c>
      <c r="P391" s="16">
        <v>0</v>
      </c>
      <c r="Q391" s="16">
        <v>0</v>
      </c>
      <c r="R391" s="5" t="str">
        <f t="shared" si="55"/>
        <v>121-2024-12-31</v>
      </c>
    </row>
    <row r="392" spans="1:18" x14ac:dyDescent="0.3">
      <c r="A392" s="26">
        <v>122</v>
      </c>
      <c r="B392" s="5" t="s">
        <v>47</v>
      </c>
      <c r="C392" s="5" t="s">
        <v>45</v>
      </c>
      <c r="D392" s="5" t="s">
        <v>21</v>
      </c>
      <c r="E392" s="5" t="s">
        <v>9</v>
      </c>
      <c r="F392" s="17">
        <v>44985</v>
      </c>
      <c r="G392" s="5">
        <f t="shared" si="56"/>
        <v>2023</v>
      </c>
      <c r="H392" s="5" t="str">
        <f t="shared" si="57"/>
        <v>Febrero</v>
      </c>
      <c r="I392" s="6" t="str">
        <f t="shared" si="54"/>
        <v>2023-1</v>
      </c>
      <c r="J392" s="5">
        <v>80</v>
      </c>
      <c r="K392" s="12">
        <v>100</v>
      </c>
      <c r="L392" s="8">
        <f t="shared" ref="L392:L397" si="58">IFERROR(K392/J392,"")</f>
        <v>1.25</v>
      </c>
      <c r="M392" s="15">
        <f t="shared" ref="M392:M399" si="59">IFERROR(IF((K392/J392)&gt;K392/J392,1.3,K392/J392),"")</f>
        <v>1.25</v>
      </c>
      <c r="N392" s="5" t="s">
        <v>347</v>
      </c>
      <c r="O392" s="5" t="s">
        <v>347</v>
      </c>
      <c r="P392" s="16">
        <v>0</v>
      </c>
      <c r="Q392" s="16">
        <v>0</v>
      </c>
      <c r="R392" s="5" t="str">
        <f t="shared" si="55"/>
        <v>122-2023-02-28</v>
      </c>
    </row>
    <row r="393" spans="1:18" x14ac:dyDescent="0.3">
      <c r="A393" s="26">
        <v>122</v>
      </c>
      <c r="B393" s="5" t="s">
        <v>47</v>
      </c>
      <c r="C393" s="5" t="s">
        <v>45</v>
      </c>
      <c r="D393" s="5" t="s">
        <v>21</v>
      </c>
      <c r="E393" s="5" t="s">
        <v>9</v>
      </c>
      <c r="F393" s="17">
        <v>45046</v>
      </c>
      <c r="G393" s="5">
        <f t="shared" si="56"/>
        <v>2023</v>
      </c>
      <c r="H393" s="5" t="str">
        <f t="shared" si="57"/>
        <v>Abril</v>
      </c>
      <c r="I393" s="6" t="str">
        <f t="shared" si="54"/>
        <v>2023-1</v>
      </c>
      <c r="J393" s="5">
        <v>80</v>
      </c>
      <c r="K393" s="12">
        <v>100</v>
      </c>
      <c r="L393" s="8">
        <f t="shared" si="58"/>
        <v>1.25</v>
      </c>
      <c r="M393" s="15">
        <f t="shared" si="59"/>
        <v>1.25</v>
      </c>
      <c r="N393" s="5" t="s">
        <v>347</v>
      </c>
      <c r="O393" s="5" t="s">
        <v>347</v>
      </c>
      <c r="P393" s="16">
        <v>0</v>
      </c>
      <c r="Q393" s="16">
        <v>0</v>
      </c>
      <c r="R393" s="5" t="str">
        <f t="shared" si="55"/>
        <v>122-2023-04-30</v>
      </c>
    </row>
    <row r="394" spans="1:18" x14ac:dyDescent="0.3">
      <c r="A394" s="26">
        <v>122</v>
      </c>
      <c r="B394" s="5" t="s">
        <v>47</v>
      </c>
      <c r="C394" s="5" t="s">
        <v>45</v>
      </c>
      <c r="D394" s="5" t="s">
        <v>21</v>
      </c>
      <c r="E394" s="5" t="s">
        <v>9</v>
      </c>
      <c r="F394" s="6">
        <v>45107</v>
      </c>
      <c r="G394" s="5">
        <f t="shared" si="56"/>
        <v>2023</v>
      </c>
      <c r="H394" s="5" t="str">
        <f t="shared" si="57"/>
        <v>Junio</v>
      </c>
      <c r="I394" s="6" t="str">
        <f t="shared" si="54"/>
        <v>2023-1</v>
      </c>
      <c r="J394" s="5">
        <v>80</v>
      </c>
      <c r="K394" s="12">
        <v>75</v>
      </c>
      <c r="L394" s="8">
        <f t="shared" si="58"/>
        <v>0.9375</v>
      </c>
      <c r="M394" s="15">
        <f t="shared" si="59"/>
        <v>0.9375</v>
      </c>
      <c r="N394" s="5" t="s">
        <v>347</v>
      </c>
      <c r="O394" s="5" t="s">
        <v>347</v>
      </c>
      <c r="P394" s="16">
        <v>0</v>
      </c>
      <c r="Q394" s="16">
        <v>0</v>
      </c>
      <c r="R394" s="5" t="str">
        <f t="shared" si="55"/>
        <v>122-2023-06-30</v>
      </c>
    </row>
    <row r="395" spans="1:18" x14ac:dyDescent="0.3">
      <c r="A395" s="26">
        <v>122</v>
      </c>
      <c r="B395" s="5" t="s">
        <v>47</v>
      </c>
      <c r="C395" s="5" t="s">
        <v>45</v>
      </c>
      <c r="D395" s="5" t="s">
        <v>21</v>
      </c>
      <c r="E395" s="5" t="s">
        <v>9</v>
      </c>
      <c r="F395" s="6">
        <v>45169</v>
      </c>
      <c r="G395" s="5">
        <f t="shared" si="56"/>
        <v>2023</v>
      </c>
      <c r="H395" s="5" t="str">
        <f t="shared" si="57"/>
        <v>Agosto</v>
      </c>
      <c r="I395" s="6" t="str">
        <f t="shared" si="54"/>
        <v>2023-2</v>
      </c>
      <c r="J395" s="5">
        <v>80</v>
      </c>
      <c r="K395" s="12">
        <v>80</v>
      </c>
      <c r="L395" s="8">
        <f t="shared" si="58"/>
        <v>1</v>
      </c>
      <c r="M395" s="15">
        <f t="shared" si="59"/>
        <v>1</v>
      </c>
      <c r="N395" s="5" t="s">
        <v>347</v>
      </c>
      <c r="O395" s="5" t="s">
        <v>347</v>
      </c>
      <c r="P395" s="16">
        <v>0</v>
      </c>
      <c r="Q395" s="16">
        <v>0</v>
      </c>
      <c r="R395" s="5" t="str">
        <f t="shared" si="55"/>
        <v>122-2023-08-31</v>
      </c>
    </row>
    <row r="396" spans="1:18" x14ac:dyDescent="0.3">
      <c r="A396" s="26">
        <v>122</v>
      </c>
      <c r="B396" s="5" t="s">
        <v>47</v>
      </c>
      <c r="C396" s="5" t="s">
        <v>45</v>
      </c>
      <c r="D396" s="5" t="s">
        <v>21</v>
      </c>
      <c r="E396" s="5" t="s">
        <v>9</v>
      </c>
      <c r="F396" s="6">
        <v>45230</v>
      </c>
      <c r="G396" s="5">
        <f t="shared" si="56"/>
        <v>2023</v>
      </c>
      <c r="H396" s="5" t="str">
        <f t="shared" si="57"/>
        <v>Octubre</v>
      </c>
      <c r="I396" s="6" t="str">
        <f t="shared" si="54"/>
        <v>2023-2</v>
      </c>
      <c r="J396" s="5">
        <v>80</v>
      </c>
      <c r="K396" s="12">
        <v>100</v>
      </c>
      <c r="L396" s="8">
        <f t="shared" si="58"/>
        <v>1.25</v>
      </c>
      <c r="M396" s="15">
        <f t="shared" si="59"/>
        <v>1.25</v>
      </c>
      <c r="N396" s="5" t="s">
        <v>347</v>
      </c>
      <c r="O396" s="5" t="s">
        <v>347</v>
      </c>
      <c r="P396" s="16">
        <v>0</v>
      </c>
      <c r="Q396" s="16">
        <v>0</v>
      </c>
      <c r="R396" s="5" t="str">
        <f t="shared" si="55"/>
        <v>122-2023-10-31</v>
      </c>
    </row>
    <row r="397" spans="1:18" x14ac:dyDescent="0.3">
      <c r="A397" s="39">
        <v>122</v>
      </c>
      <c r="B397" s="5" t="s">
        <v>47</v>
      </c>
      <c r="C397" s="5" t="s">
        <v>45</v>
      </c>
      <c r="D397" s="5" t="s">
        <v>21</v>
      </c>
      <c r="E397" s="5" t="s">
        <v>9</v>
      </c>
      <c r="F397" s="6">
        <v>45291</v>
      </c>
      <c r="G397" s="5">
        <f t="shared" si="56"/>
        <v>2023</v>
      </c>
      <c r="H397" s="5" t="str">
        <f t="shared" si="57"/>
        <v>Diciembre</v>
      </c>
      <c r="I397" s="6" t="str">
        <f t="shared" si="54"/>
        <v>2023-2</v>
      </c>
      <c r="J397" s="5">
        <v>80</v>
      </c>
      <c r="K397" s="12">
        <v>90.91</v>
      </c>
      <c r="L397" s="8">
        <f t="shared" si="58"/>
        <v>1.1363749999999999</v>
      </c>
      <c r="M397" s="15">
        <f t="shared" si="59"/>
        <v>1.1363749999999999</v>
      </c>
      <c r="N397" s="5" t="s">
        <v>347</v>
      </c>
      <c r="O397" s="5" t="s">
        <v>347</v>
      </c>
      <c r="P397" s="16">
        <v>0</v>
      </c>
      <c r="Q397" s="16">
        <v>0</v>
      </c>
      <c r="R397" s="5" t="str">
        <f t="shared" si="55"/>
        <v>122-2023-12-31</v>
      </c>
    </row>
    <row r="398" spans="1:18" x14ac:dyDescent="0.3">
      <c r="A398" s="26">
        <v>122</v>
      </c>
      <c r="B398" s="5" t="s">
        <v>47</v>
      </c>
      <c r="C398" s="5" t="s">
        <v>45</v>
      </c>
      <c r="D398" s="5" t="s">
        <v>21</v>
      </c>
      <c r="E398" s="5" t="s">
        <v>9</v>
      </c>
      <c r="F398" s="6">
        <v>45351</v>
      </c>
      <c r="G398" s="5">
        <f t="shared" si="56"/>
        <v>2024</v>
      </c>
      <c r="H398" s="5" t="str">
        <f t="shared" si="57"/>
        <v>Febrero</v>
      </c>
      <c r="I398" s="6" t="str">
        <f t="shared" si="54"/>
        <v>2024-1</v>
      </c>
      <c r="J398" s="5">
        <v>80</v>
      </c>
      <c r="K398" s="10">
        <v>96.67</v>
      </c>
      <c r="L398" s="15">
        <f>IFERROR(IF((K398/J398)&gt;1.3,1.3,K398/J398),"")</f>
        <v>1.208375</v>
      </c>
      <c r="M398" s="15">
        <f t="shared" si="59"/>
        <v>1.208375</v>
      </c>
      <c r="N398" s="5" t="s">
        <v>347</v>
      </c>
      <c r="O398" s="5" t="s">
        <v>347</v>
      </c>
      <c r="P398" s="16">
        <v>0</v>
      </c>
      <c r="Q398" s="16">
        <v>0</v>
      </c>
      <c r="R398" s="5" t="str">
        <f t="shared" si="55"/>
        <v>122-2024-02-29</v>
      </c>
    </row>
    <row r="399" spans="1:18" x14ac:dyDescent="0.3">
      <c r="A399" s="26">
        <v>122</v>
      </c>
      <c r="B399" s="5" t="s">
        <v>47</v>
      </c>
      <c r="C399" s="5" t="s">
        <v>45</v>
      </c>
      <c r="D399" s="5" t="s">
        <v>21</v>
      </c>
      <c r="E399" s="5" t="s">
        <v>9</v>
      </c>
      <c r="F399" s="6">
        <v>45412</v>
      </c>
      <c r="G399" s="5">
        <f t="shared" si="56"/>
        <v>2024</v>
      </c>
      <c r="H399" s="5" t="str">
        <f t="shared" si="57"/>
        <v>Abril</v>
      </c>
      <c r="I399" s="6" t="str">
        <f t="shared" si="54"/>
        <v>2024-1</v>
      </c>
      <c r="J399" s="5">
        <v>80</v>
      </c>
      <c r="K399" s="10">
        <v>97.67</v>
      </c>
      <c r="L399" s="15">
        <f>IFERROR(IF((K399/J399)&gt;1.3,1.3,K399/J399),"")</f>
        <v>1.2208749999999999</v>
      </c>
      <c r="M399" s="15">
        <f t="shared" si="59"/>
        <v>1.2208749999999999</v>
      </c>
      <c r="N399" s="5" t="s">
        <v>347</v>
      </c>
      <c r="O399" s="5" t="s">
        <v>347</v>
      </c>
      <c r="P399" s="16">
        <v>0</v>
      </c>
      <c r="Q399" s="16">
        <v>0</v>
      </c>
      <c r="R399" s="5" t="str">
        <f t="shared" si="55"/>
        <v>122-2024-04-30</v>
      </c>
    </row>
    <row r="400" spans="1:18" x14ac:dyDescent="0.3">
      <c r="A400" s="5">
        <v>122</v>
      </c>
      <c r="B400" s="5" t="s">
        <v>47</v>
      </c>
      <c r="C400" s="5" t="s">
        <v>45</v>
      </c>
      <c r="D400" s="5" t="s">
        <v>21</v>
      </c>
      <c r="E400" s="5" t="s">
        <v>9</v>
      </c>
      <c r="F400" s="6">
        <v>45473</v>
      </c>
      <c r="G400" s="5">
        <f t="shared" si="56"/>
        <v>2024</v>
      </c>
      <c r="H400" s="5" t="str">
        <f t="shared" si="57"/>
        <v>Junio</v>
      </c>
      <c r="I400" s="6" t="str">
        <f t="shared" si="54"/>
        <v>2024-1</v>
      </c>
      <c r="J400" s="5">
        <v>80</v>
      </c>
      <c r="K400" s="5">
        <v>95</v>
      </c>
      <c r="L400" s="15">
        <v>1.1875</v>
      </c>
      <c r="M400" s="15">
        <v>1.1875</v>
      </c>
      <c r="N400" s="5" t="s">
        <v>347</v>
      </c>
      <c r="O400" s="5" t="s">
        <v>347</v>
      </c>
      <c r="P400" s="5">
        <v>0</v>
      </c>
      <c r="Q400" s="5">
        <v>0</v>
      </c>
      <c r="R400" s="5" t="str">
        <f t="shared" si="55"/>
        <v>122-2024-06-30</v>
      </c>
    </row>
    <row r="401" spans="1:18" x14ac:dyDescent="0.3">
      <c r="A401" s="26">
        <v>122</v>
      </c>
      <c r="B401" s="5" t="s">
        <v>47</v>
      </c>
      <c r="C401" s="5" t="s">
        <v>45</v>
      </c>
      <c r="D401" s="5" t="s">
        <v>21</v>
      </c>
      <c r="E401" s="5" t="s">
        <v>9</v>
      </c>
      <c r="F401" s="6">
        <v>45535</v>
      </c>
      <c r="G401" s="5">
        <f t="shared" si="56"/>
        <v>2024</v>
      </c>
      <c r="H401" s="5" t="str">
        <f t="shared" si="57"/>
        <v>Agosto</v>
      </c>
      <c r="I401" s="6" t="str">
        <f t="shared" si="54"/>
        <v>2024-2</v>
      </c>
      <c r="J401" s="5">
        <v>80</v>
      </c>
      <c r="K401" s="10">
        <v>79.069999999999993</v>
      </c>
      <c r="L401" s="15">
        <f>IFERROR(IF((K401/J401)&gt;1.3,1.3,K401/J401),"")</f>
        <v>0.98837499999999989</v>
      </c>
      <c r="M401" s="15">
        <f>IFERROR(IF((K401/J401)&gt;K401/J401,1.3,K401/J401),"")</f>
        <v>0.98837499999999989</v>
      </c>
      <c r="N401" s="5" t="s">
        <v>347</v>
      </c>
      <c r="O401" s="5" t="s">
        <v>347</v>
      </c>
      <c r="P401" s="16">
        <v>0</v>
      </c>
      <c r="Q401" s="16">
        <v>0</v>
      </c>
      <c r="R401" s="5" t="str">
        <f t="shared" si="55"/>
        <v>122-2024-08-31</v>
      </c>
    </row>
    <row r="402" spans="1:18" x14ac:dyDescent="0.3">
      <c r="A402" s="26">
        <v>122</v>
      </c>
      <c r="B402" s="5" t="s">
        <v>47</v>
      </c>
      <c r="C402" s="5" t="s">
        <v>45</v>
      </c>
      <c r="D402" s="5" t="s">
        <v>21</v>
      </c>
      <c r="E402" s="5" t="s">
        <v>9</v>
      </c>
      <c r="F402" s="6">
        <v>45596</v>
      </c>
      <c r="G402" s="5">
        <f t="shared" si="56"/>
        <v>2024</v>
      </c>
      <c r="H402" s="5" t="str">
        <f t="shared" si="57"/>
        <v>Octubre</v>
      </c>
      <c r="I402" s="6" t="str">
        <f t="shared" si="54"/>
        <v>2024-2</v>
      </c>
      <c r="J402" s="5">
        <v>80</v>
      </c>
      <c r="K402" s="10">
        <v>97.5</v>
      </c>
      <c r="L402" s="15">
        <f>IFERROR(IF((K402/J402)&gt;1.3,1.3,K402/J402),"")</f>
        <v>1.21875</v>
      </c>
      <c r="M402" s="15">
        <f>IFERROR(IF((K402/J402)&gt;K402/J402,1.3,K402/J402),"")</f>
        <v>1.21875</v>
      </c>
      <c r="N402" s="5" t="s">
        <v>347</v>
      </c>
      <c r="O402" s="5" t="s">
        <v>347</v>
      </c>
      <c r="P402" s="16">
        <v>0</v>
      </c>
      <c r="Q402" s="16">
        <v>0</v>
      </c>
      <c r="R402" s="5" t="str">
        <f t="shared" si="55"/>
        <v>122-2024-10-31</v>
      </c>
    </row>
    <row r="403" spans="1:18" x14ac:dyDescent="0.3">
      <c r="A403" s="26">
        <v>122</v>
      </c>
      <c r="B403" s="5" t="s">
        <v>47</v>
      </c>
      <c r="C403" s="5" t="s">
        <v>45</v>
      </c>
      <c r="D403" s="5" t="s">
        <v>21</v>
      </c>
      <c r="E403" s="5" t="s">
        <v>9</v>
      </c>
      <c r="F403" s="6">
        <v>45657</v>
      </c>
      <c r="G403" s="5">
        <f t="shared" si="56"/>
        <v>2024</v>
      </c>
      <c r="H403" s="5" t="str">
        <f t="shared" si="57"/>
        <v>Diciembre</v>
      </c>
      <c r="I403" s="6" t="str">
        <f t="shared" si="54"/>
        <v>2024-2</v>
      </c>
      <c r="J403" s="5">
        <v>80</v>
      </c>
      <c r="K403" s="10">
        <v>100</v>
      </c>
      <c r="L403" s="15">
        <f>IFERROR(IF((K403/J403)&gt;1.3,1.3,K403/J403),"")</f>
        <v>1.25</v>
      </c>
      <c r="M403" s="15">
        <f>IFERROR(IF((K403/J403)&gt;K403/J403,1.3,K403/J403),"")</f>
        <v>1.25</v>
      </c>
      <c r="N403" s="5" t="s">
        <v>347</v>
      </c>
      <c r="O403" s="5" t="s">
        <v>347</v>
      </c>
      <c r="P403" s="16">
        <v>0</v>
      </c>
      <c r="Q403" s="16">
        <v>0</v>
      </c>
      <c r="R403" s="5" t="str">
        <f t="shared" si="55"/>
        <v>122-2024-12-31</v>
      </c>
    </row>
    <row r="404" spans="1:18" x14ac:dyDescent="0.3">
      <c r="A404" s="26">
        <v>124</v>
      </c>
      <c r="B404" s="5" t="s">
        <v>48</v>
      </c>
      <c r="C404" s="5" t="s">
        <v>24</v>
      </c>
      <c r="D404" s="5" t="s">
        <v>18</v>
      </c>
      <c r="E404" s="5" t="s">
        <v>14</v>
      </c>
      <c r="F404" s="6">
        <v>44592</v>
      </c>
      <c r="G404" s="5">
        <f t="shared" si="56"/>
        <v>2022</v>
      </c>
      <c r="H404" s="5" t="str">
        <f t="shared" si="57"/>
        <v>Enero</v>
      </c>
      <c r="I404" s="6" t="str">
        <f t="shared" si="54"/>
        <v>2022-1</v>
      </c>
      <c r="J404" s="5">
        <v>1.6</v>
      </c>
      <c r="K404" s="63">
        <v>0</v>
      </c>
      <c r="L404" s="8">
        <f t="shared" ref="L404:L429" si="60">IF(K404&lt;J404,100%,K404&lt;J404)</f>
        <v>1</v>
      </c>
      <c r="M404" s="8">
        <f t="shared" ref="M404:M429" si="61">IF(K404&lt;J404,100%,K404&lt;J404)</f>
        <v>1</v>
      </c>
      <c r="N404" s="5" t="s">
        <v>478</v>
      </c>
      <c r="O404" s="5" t="s">
        <v>347</v>
      </c>
      <c r="P404" s="16">
        <v>1</v>
      </c>
      <c r="Q404" s="16">
        <v>2</v>
      </c>
      <c r="R404" s="5" t="str">
        <f t="shared" si="55"/>
        <v>124-2022-01-31</v>
      </c>
    </row>
    <row r="405" spans="1:18" x14ac:dyDescent="0.3">
      <c r="A405" s="26">
        <v>124</v>
      </c>
      <c r="B405" s="5" t="s">
        <v>48</v>
      </c>
      <c r="C405" s="5" t="s">
        <v>24</v>
      </c>
      <c r="D405" s="5" t="s">
        <v>18</v>
      </c>
      <c r="E405" s="5" t="s">
        <v>14</v>
      </c>
      <c r="F405" s="17">
        <v>44620</v>
      </c>
      <c r="G405" s="5">
        <f t="shared" si="56"/>
        <v>2022</v>
      </c>
      <c r="H405" s="5" t="str">
        <f t="shared" si="57"/>
        <v>Febrero</v>
      </c>
      <c r="I405" s="6" t="str">
        <f t="shared" si="54"/>
        <v>2022-1</v>
      </c>
      <c r="J405" s="5">
        <v>1.6</v>
      </c>
      <c r="K405" s="63">
        <v>7.0000000000000007E-2</v>
      </c>
      <c r="L405" s="8">
        <f t="shared" si="60"/>
        <v>1</v>
      </c>
      <c r="M405" s="8">
        <f t="shared" si="61"/>
        <v>1</v>
      </c>
      <c r="N405" s="5" t="s">
        <v>478</v>
      </c>
      <c r="O405" s="5" t="s">
        <v>347</v>
      </c>
      <c r="P405" s="16">
        <v>1</v>
      </c>
      <c r="Q405" s="16">
        <v>2</v>
      </c>
      <c r="R405" s="5" t="str">
        <f t="shared" si="55"/>
        <v>124-2022-02-28</v>
      </c>
    </row>
    <row r="406" spans="1:18" x14ac:dyDescent="0.3">
      <c r="A406" s="26">
        <v>124</v>
      </c>
      <c r="B406" s="5" t="s">
        <v>48</v>
      </c>
      <c r="C406" s="5" t="s">
        <v>24</v>
      </c>
      <c r="D406" s="5" t="s">
        <v>18</v>
      </c>
      <c r="E406" s="5" t="s">
        <v>14</v>
      </c>
      <c r="F406" s="6">
        <v>44651</v>
      </c>
      <c r="G406" s="5">
        <f t="shared" si="56"/>
        <v>2022</v>
      </c>
      <c r="H406" s="5" t="str">
        <f t="shared" si="57"/>
        <v>Marzo</v>
      </c>
      <c r="I406" s="6" t="str">
        <f t="shared" si="54"/>
        <v>2022-1</v>
      </c>
      <c r="J406" s="5">
        <v>1.6</v>
      </c>
      <c r="K406" s="63">
        <v>0</v>
      </c>
      <c r="L406" s="8">
        <f t="shared" si="60"/>
        <v>1</v>
      </c>
      <c r="M406" s="8">
        <f t="shared" si="61"/>
        <v>1</v>
      </c>
      <c r="N406" s="5" t="s">
        <v>478</v>
      </c>
      <c r="O406" s="5" t="s">
        <v>347</v>
      </c>
      <c r="P406" s="16">
        <v>1</v>
      </c>
      <c r="Q406" s="16">
        <v>2</v>
      </c>
      <c r="R406" s="5" t="str">
        <f t="shared" si="55"/>
        <v>124-2022-03-31</v>
      </c>
    </row>
    <row r="407" spans="1:18" x14ac:dyDescent="0.3">
      <c r="A407" s="26">
        <v>124</v>
      </c>
      <c r="B407" s="5" t="s">
        <v>48</v>
      </c>
      <c r="C407" s="5" t="s">
        <v>24</v>
      </c>
      <c r="D407" s="5" t="s">
        <v>18</v>
      </c>
      <c r="E407" s="5" t="s">
        <v>14</v>
      </c>
      <c r="F407" s="6">
        <v>44681</v>
      </c>
      <c r="G407" s="5">
        <f t="shared" si="56"/>
        <v>2022</v>
      </c>
      <c r="H407" s="5" t="str">
        <f t="shared" si="57"/>
        <v>Abril</v>
      </c>
      <c r="I407" s="6" t="str">
        <f t="shared" si="54"/>
        <v>2022-1</v>
      </c>
      <c r="J407" s="5">
        <v>1.6</v>
      </c>
      <c r="K407" s="63">
        <v>0</v>
      </c>
      <c r="L407" s="8">
        <f t="shared" si="60"/>
        <v>1</v>
      </c>
      <c r="M407" s="8">
        <f t="shared" si="61"/>
        <v>1</v>
      </c>
      <c r="N407" s="5" t="s">
        <v>478</v>
      </c>
      <c r="O407" s="5" t="s">
        <v>478</v>
      </c>
      <c r="P407" s="16">
        <v>1</v>
      </c>
      <c r="Q407" s="16">
        <v>2</v>
      </c>
      <c r="R407" s="5" t="str">
        <f t="shared" si="55"/>
        <v>124-2022-04-30</v>
      </c>
    </row>
    <row r="408" spans="1:18" x14ac:dyDescent="0.3">
      <c r="A408" s="26">
        <v>124</v>
      </c>
      <c r="B408" s="5" t="s">
        <v>48</v>
      </c>
      <c r="C408" s="5" t="s">
        <v>24</v>
      </c>
      <c r="D408" s="5" t="s">
        <v>18</v>
      </c>
      <c r="E408" s="5" t="s">
        <v>14</v>
      </c>
      <c r="F408" s="6">
        <v>44712</v>
      </c>
      <c r="G408" s="5">
        <f t="shared" si="56"/>
        <v>2022</v>
      </c>
      <c r="H408" s="5" t="str">
        <f t="shared" si="57"/>
        <v>Mayo</v>
      </c>
      <c r="I408" s="6" t="str">
        <f t="shared" si="54"/>
        <v>2022-1</v>
      </c>
      <c r="J408" s="5">
        <v>1.6</v>
      </c>
      <c r="K408" s="63">
        <v>0.05</v>
      </c>
      <c r="L408" s="8">
        <f t="shared" si="60"/>
        <v>1</v>
      </c>
      <c r="M408" s="8">
        <f t="shared" si="61"/>
        <v>1</v>
      </c>
      <c r="N408" s="5" t="s">
        <v>478</v>
      </c>
      <c r="O408" s="5" t="s">
        <v>478</v>
      </c>
      <c r="P408" s="16">
        <v>1</v>
      </c>
      <c r="Q408" s="16">
        <v>2</v>
      </c>
      <c r="R408" s="5" t="str">
        <f t="shared" si="55"/>
        <v>124-2022-05-31</v>
      </c>
    </row>
    <row r="409" spans="1:18" x14ac:dyDescent="0.3">
      <c r="A409" s="26">
        <v>124</v>
      </c>
      <c r="B409" s="5" t="s">
        <v>48</v>
      </c>
      <c r="C409" s="5" t="s">
        <v>24</v>
      </c>
      <c r="D409" s="5" t="s">
        <v>18</v>
      </c>
      <c r="E409" s="5" t="s">
        <v>14</v>
      </c>
      <c r="F409" s="6">
        <v>44742</v>
      </c>
      <c r="G409" s="5">
        <f t="shared" si="56"/>
        <v>2022</v>
      </c>
      <c r="H409" s="5" t="str">
        <f t="shared" si="57"/>
        <v>Junio</v>
      </c>
      <c r="I409" s="6" t="str">
        <f t="shared" si="54"/>
        <v>2022-1</v>
      </c>
      <c r="J409" s="5">
        <v>1.6</v>
      </c>
      <c r="K409" s="63">
        <v>0</v>
      </c>
      <c r="L409" s="8">
        <f t="shared" si="60"/>
        <v>1</v>
      </c>
      <c r="M409" s="8">
        <f t="shared" si="61"/>
        <v>1</v>
      </c>
      <c r="N409" s="5" t="s">
        <v>478</v>
      </c>
      <c r="O409" s="5" t="s">
        <v>478</v>
      </c>
      <c r="P409" s="16">
        <v>1</v>
      </c>
      <c r="Q409" s="16">
        <v>2</v>
      </c>
      <c r="R409" s="5" t="str">
        <f t="shared" si="55"/>
        <v>124-2022-06-30</v>
      </c>
    </row>
    <row r="410" spans="1:18" x14ac:dyDescent="0.3">
      <c r="A410" s="26">
        <v>124</v>
      </c>
      <c r="B410" s="5" t="s">
        <v>48</v>
      </c>
      <c r="C410" s="5" t="s">
        <v>24</v>
      </c>
      <c r="D410" s="5" t="s">
        <v>18</v>
      </c>
      <c r="E410" s="5" t="s">
        <v>14</v>
      </c>
      <c r="F410" s="6">
        <v>44773</v>
      </c>
      <c r="G410" s="5">
        <f t="shared" si="56"/>
        <v>2022</v>
      </c>
      <c r="H410" s="5" t="str">
        <f t="shared" si="57"/>
        <v>Julio</v>
      </c>
      <c r="I410" s="6" t="str">
        <f t="shared" si="54"/>
        <v>2022-2</v>
      </c>
      <c r="J410" s="5">
        <v>1.6</v>
      </c>
      <c r="K410" s="63">
        <v>0</v>
      </c>
      <c r="L410" s="8">
        <f t="shared" si="60"/>
        <v>1</v>
      </c>
      <c r="M410" s="8">
        <f t="shared" si="61"/>
        <v>1</v>
      </c>
      <c r="N410" s="5" t="s">
        <v>478</v>
      </c>
      <c r="O410" s="5" t="s">
        <v>478</v>
      </c>
      <c r="P410" s="16">
        <v>1</v>
      </c>
      <c r="Q410" s="16">
        <v>2</v>
      </c>
      <c r="R410" s="5" t="str">
        <f t="shared" si="55"/>
        <v>124-2022-07-31</v>
      </c>
    </row>
    <row r="411" spans="1:18" x14ac:dyDescent="0.3">
      <c r="A411" s="26">
        <v>124</v>
      </c>
      <c r="B411" s="5" t="s">
        <v>48</v>
      </c>
      <c r="C411" s="5" t="s">
        <v>24</v>
      </c>
      <c r="D411" s="5" t="s">
        <v>18</v>
      </c>
      <c r="E411" s="5" t="s">
        <v>14</v>
      </c>
      <c r="F411" s="6">
        <v>44804</v>
      </c>
      <c r="G411" s="5">
        <f t="shared" si="56"/>
        <v>2022</v>
      </c>
      <c r="H411" s="5" t="str">
        <f t="shared" si="57"/>
        <v>Agosto</v>
      </c>
      <c r="I411" s="6" t="str">
        <f t="shared" si="54"/>
        <v>2022-2</v>
      </c>
      <c r="J411" s="5">
        <v>1.6</v>
      </c>
      <c r="K411" s="63">
        <v>0.19</v>
      </c>
      <c r="L411" s="8">
        <f t="shared" si="60"/>
        <v>1</v>
      </c>
      <c r="M411" s="8">
        <f t="shared" si="61"/>
        <v>1</v>
      </c>
      <c r="N411" s="5" t="s">
        <v>478</v>
      </c>
      <c r="O411" s="5" t="s">
        <v>478</v>
      </c>
      <c r="P411" s="16">
        <v>1</v>
      </c>
      <c r="Q411" s="16">
        <v>2</v>
      </c>
      <c r="R411" s="5" t="str">
        <f t="shared" si="55"/>
        <v>124-2022-08-31</v>
      </c>
    </row>
    <row r="412" spans="1:18" x14ac:dyDescent="0.3">
      <c r="A412" s="26">
        <v>124</v>
      </c>
      <c r="B412" s="5" t="s">
        <v>48</v>
      </c>
      <c r="C412" s="5" t="s">
        <v>24</v>
      </c>
      <c r="D412" s="5" t="s">
        <v>18</v>
      </c>
      <c r="E412" s="5" t="s">
        <v>14</v>
      </c>
      <c r="F412" s="6">
        <v>44834</v>
      </c>
      <c r="G412" s="5">
        <f t="shared" si="56"/>
        <v>2022</v>
      </c>
      <c r="H412" s="5" t="str">
        <f t="shared" si="57"/>
        <v>Septiembre</v>
      </c>
      <c r="I412" s="6" t="str">
        <f t="shared" si="54"/>
        <v>2022-2</v>
      </c>
      <c r="J412" s="5">
        <v>1.6</v>
      </c>
      <c r="K412" s="63">
        <v>0</v>
      </c>
      <c r="L412" s="8">
        <f t="shared" si="60"/>
        <v>1</v>
      </c>
      <c r="M412" s="8">
        <f t="shared" si="61"/>
        <v>1</v>
      </c>
      <c r="N412" s="5" t="s">
        <v>478</v>
      </c>
      <c r="O412" s="5" t="s">
        <v>478</v>
      </c>
      <c r="P412" s="16">
        <v>1</v>
      </c>
      <c r="Q412" s="16">
        <v>2</v>
      </c>
      <c r="R412" s="5" t="str">
        <f t="shared" si="55"/>
        <v>124-2022-09-30</v>
      </c>
    </row>
    <row r="413" spans="1:18" x14ac:dyDescent="0.3">
      <c r="A413" s="39">
        <v>124</v>
      </c>
      <c r="B413" s="5" t="s">
        <v>48</v>
      </c>
      <c r="C413" s="5" t="s">
        <v>24</v>
      </c>
      <c r="D413" s="5" t="s">
        <v>18</v>
      </c>
      <c r="E413" s="5" t="s">
        <v>14</v>
      </c>
      <c r="F413" s="6">
        <v>44865</v>
      </c>
      <c r="G413" s="5">
        <f t="shared" si="56"/>
        <v>2022</v>
      </c>
      <c r="H413" s="5" t="str">
        <f t="shared" si="57"/>
        <v>Octubre</v>
      </c>
      <c r="I413" s="6" t="str">
        <f t="shared" si="54"/>
        <v>2022-2</v>
      </c>
      <c r="J413" s="5">
        <v>1.6</v>
      </c>
      <c r="K413" s="63">
        <v>0.06</v>
      </c>
      <c r="L413" s="8">
        <f t="shared" si="60"/>
        <v>1</v>
      </c>
      <c r="M413" s="8">
        <f t="shared" si="61"/>
        <v>1</v>
      </c>
      <c r="N413" s="5" t="s">
        <v>478</v>
      </c>
      <c r="O413" s="5" t="s">
        <v>478</v>
      </c>
      <c r="P413" s="16">
        <v>1</v>
      </c>
      <c r="Q413" s="16">
        <v>2</v>
      </c>
      <c r="R413" s="5" t="str">
        <f t="shared" si="55"/>
        <v>124-2022-10-31</v>
      </c>
    </row>
    <row r="414" spans="1:18" x14ac:dyDescent="0.3">
      <c r="A414" s="39">
        <v>124</v>
      </c>
      <c r="B414" s="5" t="s">
        <v>48</v>
      </c>
      <c r="C414" s="5" t="s">
        <v>24</v>
      </c>
      <c r="D414" s="5" t="s">
        <v>18</v>
      </c>
      <c r="E414" s="5" t="s">
        <v>14</v>
      </c>
      <c r="F414" s="6">
        <v>44895</v>
      </c>
      <c r="G414" s="5">
        <f t="shared" si="56"/>
        <v>2022</v>
      </c>
      <c r="H414" s="5" t="str">
        <f t="shared" si="57"/>
        <v>Noviembre</v>
      </c>
      <c r="I414" s="6" t="str">
        <f t="shared" si="54"/>
        <v>2022-2</v>
      </c>
      <c r="J414" s="5">
        <v>1.6</v>
      </c>
      <c r="K414" s="63">
        <v>0</v>
      </c>
      <c r="L414" s="8">
        <f t="shared" si="60"/>
        <v>1</v>
      </c>
      <c r="M414" s="8">
        <f t="shared" si="61"/>
        <v>1</v>
      </c>
      <c r="N414" s="5" t="s">
        <v>478</v>
      </c>
      <c r="O414" s="5" t="s">
        <v>478</v>
      </c>
      <c r="P414" s="16">
        <v>1</v>
      </c>
      <c r="Q414" s="16">
        <v>2</v>
      </c>
      <c r="R414" s="5" t="str">
        <f t="shared" si="55"/>
        <v>124-2022-11-30</v>
      </c>
    </row>
    <row r="415" spans="1:18" x14ac:dyDescent="0.3">
      <c r="A415" s="39">
        <v>124</v>
      </c>
      <c r="B415" s="5" t="s">
        <v>48</v>
      </c>
      <c r="C415" s="5" t="s">
        <v>24</v>
      </c>
      <c r="D415" s="5" t="s">
        <v>18</v>
      </c>
      <c r="E415" s="5" t="s">
        <v>14</v>
      </c>
      <c r="F415" s="6">
        <v>44926</v>
      </c>
      <c r="G415" s="5">
        <f t="shared" si="56"/>
        <v>2022</v>
      </c>
      <c r="H415" s="5" t="str">
        <f t="shared" si="57"/>
        <v>Diciembre</v>
      </c>
      <c r="I415" s="6" t="str">
        <f t="shared" si="54"/>
        <v>2022-2</v>
      </c>
      <c r="J415" s="5">
        <v>1.6</v>
      </c>
      <c r="K415" s="63">
        <v>0</v>
      </c>
      <c r="L415" s="8">
        <f t="shared" si="60"/>
        <v>1</v>
      </c>
      <c r="M415" s="8">
        <f t="shared" si="61"/>
        <v>1</v>
      </c>
      <c r="N415" s="5" t="s">
        <v>478</v>
      </c>
      <c r="O415" s="5" t="s">
        <v>478</v>
      </c>
      <c r="P415" s="16">
        <v>1</v>
      </c>
      <c r="Q415" s="16">
        <v>2</v>
      </c>
      <c r="R415" s="5" t="str">
        <f t="shared" si="55"/>
        <v>124-2022-12-31</v>
      </c>
    </row>
    <row r="416" spans="1:18" x14ac:dyDescent="0.3">
      <c r="A416" s="26">
        <v>124</v>
      </c>
      <c r="B416" s="5" t="s">
        <v>48</v>
      </c>
      <c r="C416" s="5" t="s">
        <v>24</v>
      </c>
      <c r="D416" s="5" t="s">
        <v>18</v>
      </c>
      <c r="E416" s="5" t="s">
        <v>14</v>
      </c>
      <c r="F416" s="6">
        <v>44957</v>
      </c>
      <c r="G416" s="5">
        <f t="shared" si="56"/>
        <v>2023</v>
      </c>
      <c r="H416" s="5" t="str">
        <f t="shared" si="57"/>
        <v>Enero</v>
      </c>
      <c r="I416" s="6" t="str">
        <f t="shared" si="54"/>
        <v>2023-1</v>
      </c>
      <c r="J416" s="5">
        <v>1.6</v>
      </c>
      <c r="K416" s="63">
        <v>0</v>
      </c>
      <c r="L416" s="8">
        <f t="shared" si="60"/>
        <v>1</v>
      </c>
      <c r="M416" s="8">
        <f t="shared" si="61"/>
        <v>1</v>
      </c>
      <c r="N416" s="5" t="s">
        <v>478</v>
      </c>
      <c r="O416" s="5" t="s">
        <v>478</v>
      </c>
      <c r="P416" s="16">
        <v>1</v>
      </c>
      <c r="Q416" s="16">
        <v>2</v>
      </c>
      <c r="R416" s="5" t="str">
        <f t="shared" si="55"/>
        <v>124-2023-01-31</v>
      </c>
    </row>
    <row r="417" spans="1:18" x14ac:dyDescent="0.3">
      <c r="A417" s="26">
        <v>124</v>
      </c>
      <c r="B417" s="5" t="s">
        <v>48</v>
      </c>
      <c r="C417" s="5" t="s">
        <v>24</v>
      </c>
      <c r="D417" s="5" t="s">
        <v>18</v>
      </c>
      <c r="E417" s="5" t="s">
        <v>14</v>
      </c>
      <c r="F417" s="17">
        <v>44985</v>
      </c>
      <c r="G417" s="5">
        <f t="shared" si="56"/>
        <v>2023</v>
      </c>
      <c r="H417" s="5" t="str">
        <f t="shared" si="57"/>
        <v>Febrero</v>
      </c>
      <c r="I417" s="6" t="str">
        <f t="shared" si="54"/>
        <v>2023-1</v>
      </c>
      <c r="J417" s="5">
        <v>1.6</v>
      </c>
      <c r="K417" s="63">
        <v>0</v>
      </c>
      <c r="L417" s="8">
        <f t="shared" si="60"/>
        <v>1</v>
      </c>
      <c r="M417" s="8">
        <f t="shared" si="61"/>
        <v>1</v>
      </c>
      <c r="N417" s="5" t="s">
        <v>478</v>
      </c>
      <c r="O417" s="5" t="s">
        <v>478</v>
      </c>
      <c r="P417" s="16">
        <v>1</v>
      </c>
      <c r="Q417" s="16">
        <v>2</v>
      </c>
      <c r="R417" s="5" t="str">
        <f t="shared" si="55"/>
        <v>124-2023-02-28</v>
      </c>
    </row>
    <row r="418" spans="1:18" x14ac:dyDescent="0.3">
      <c r="A418" s="26">
        <v>124</v>
      </c>
      <c r="B418" s="5" t="s">
        <v>48</v>
      </c>
      <c r="C418" s="5" t="s">
        <v>24</v>
      </c>
      <c r="D418" s="5" t="s">
        <v>18</v>
      </c>
      <c r="E418" s="5" t="s">
        <v>14</v>
      </c>
      <c r="F418" s="6">
        <v>45016</v>
      </c>
      <c r="G418" s="5">
        <f t="shared" si="56"/>
        <v>2023</v>
      </c>
      <c r="H418" s="5" t="str">
        <f t="shared" si="57"/>
        <v>Marzo</v>
      </c>
      <c r="I418" s="6" t="str">
        <f t="shared" si="54"/>
        <v>2023-1</v>
      </c>
      <c r="J418" s="5">
        <v>1.6</v>
      </c>
      <c r="K418" s="63">
        <v>0</v>
      </c>
      <c r="L418" s="8">
        <f t="shared" si="60"/>
        <v>1</v>
      </c>
      <c r="M418" s="8">
        <f t="shared" si="61"/>
        <v>1</v>
      </c>
      <c r="N418" s="5" t="s">
        <v>478</v>
      </c>
      <c r="O418" s="5" t="s">
        <v>478</v>
      </c>
      <c r="P418" s="16">
        <v>1</v>
      </c>
      <c r="Q418" s="16">
        <v>2</v>
      </c>
      <c r="R418" s="5" t="str">
        <f t="shared" si="55"/>
        <v>124-2023-03-31</v>
      </c>
    </row>
    <row r="419" spans="1:18" x14ac:dyDescent="0.3">
      <c r="A419" s="26">
        <v>124</v>
      </c>
      <c r="B419" s="5" t="s">
        <v>48</v>
      </c>
      <c r="C419" s="5" t="s">
        <v>24</v>
      </c>
      <c r="D419" s="5" t="s">
        <v>18</v>
      </c>
      <c r="E419" s="5" t="s">
        <v>14</v>
      </c>
      <c r="F419" s="6">
        <v>45046</v>
      </c>
      <c r="G419" s="5">
        <f t="shared" si="56"/>
        <v>2023</v>
      </c>
      <c r="H419" s="5" t="str">
        <f t="shared" si="57"/>
        <v>Abril</v>
      </c>
      <c r="I419" s="6" t="str">
        <f t="shared" si="54"/>
        <v>2023-1</v>
      </c>
      <c r="J419" s="5">
        <v>1.6</v>
      </c>
      <c r="K419" s="12">
        <v>0.104356900600052</v>
      </c>
      <c r="L419" s="8">
        <f t="shared" si="60"/>
        <v>1</v>
      </c>
      <c r="M419" s="8">
        <f t="shared" si="61"/>
        <v>1</v>
      </c>
      <c r="N419" s="5" t="s">
        <v>478</v>
      </c>
      <c r="O419" s="5" t="s">
        <v>478</v>
      </c>
      <c r="P419" s="16">
        <v>1</v>
      </c>
      <c r="Q419" s="16">
        <v>2</v>
      </c>
      <c r="R419" s="5" t="str">
        <f t="shared" si="55"/>
        <v>124-2023-04-30</v>
      </c>
    </row>
    <row r="420" spans="1:18" x14ac:dyDescent="0.3">
      <c r="A420" s="26">
        <v>124</v>
      </c>
      <c r="B420" s="5" t="s">
        <v>48</v>
      </c>
      <c r="C420" s="5" t="s">
        <v>24</v>
      </c>
      <c r="D420" s="5" t="s">
        <v>18</v>
      </c>
      <c r="E420" s="5" t="s">
        <v>14</v>
      </c>
      <c r="F420" s="6">
        <v>45077</v>
      </c>
      <c r="G420" s="5">
        <f t="shared" si="56"/>
        <v>2023</v>
      </c>
      <c r="H420" s="5" t="str">
        <f t="shared" si="57"/>
        <v>Mayo</v>
      </c>
      <c r="I420" s="6" t="str">
        <f t="shared" si="54"/>
        <v>2023-1</v>
      </c>
      <c r="J420" s="5">
        <v>1.6</v>
      </c>
      <c r="K420" s="12">
        <v>5.1072522982635302E-2</v>
      </c>
      <c r="L420" s="8">
        <f t="shared" si="60"/>
        <v>1</v>
      </c>
      <c r="M420" s="8">
        <f t="shared" si="61"/>
        <v>1</v>
      </c>
      <c r="N420" s="5" t="s">
        <v>478</v>
      </c>
      <c r="O420" s="5" t="s">
        <v>478</v>
      </c>
      <c r="P420" s="16">
        <v>1</v>
      </c>
      <c r="Q420" s="16">
        <v>2</v>
      </c>
      <c r="R420" s="5" t="str">
        <f t="shared" si="55"/>
        <v>124-2023-05-31</v>
      </c>
    </row>
    <row r="421" spans="1:18" x14ac:dyDescent="0.3">
      <c r="A421" s="26">
        <v>124</v>
      </c>
      <c r="B421" s="5" t="s">
        <v>48</v>
      </c>
      <c r="C421" s="5" t="s">
        <v>24</v>
      </c>
      <c r="D421" s="5" t="s">
        <v>18</v>
      </c>
      <c r="E421" s="5" t="s">
        <v>14</v>
      </c>
      <c r="F421" s="6">
        <v>45107</v>
      </c>
      <c r="G421" s="5">
        <f t="shared" si="56"/>
        <v>2023</v>
      </c>
      <c r="H421" s="5" t="str">
        <f t="shared" si="57"/>
        <v>Junio</v>
      </c>
      <c r="I421" s="6" t="str">
        <f t="shared" si="54"/>
        <v>2023-1</v>
      </c>
      <c r="J421" s="5">
        <v>1.6</v>
      </c>
      <c r="K421" s="63">
        <v>0</v>
      </c>
      <c r="L421" s="8">
        <f t="shared" si="60"/>
        <v>1</v>
      </c>
      <c r="M421" s="8">
        <f t="shared" si="61"/>
        <v>1</v>
      </c>
      <c r="N421" s="5" t="s">
        <v>478</v>
      </c>
      <c r="O421" s="5" t="s">
        <v>478</v>
      </c>
      <c r="P421" s="16">
        <v>1</v>
      </c>
      <c r="Q421" s="16">
        <v>2</v>
      </c>
      <c r="R421" s="5" t="str">
        <f t="shared" si="55"/>
        <v>124-2023-06-30</v>
      </c>
    </row>
    <row r="422" spans="1:18" x14ac:dyDescent="0.3">
      <c r="A422" s="26">
        <v>124</v>
      </c>
      <c r="B422" s="5" t="s">
        <v>48</v>
      </c>
      <c r="C422" s="5" t="s">
        <v>24</v>
      </c>
      <c r="D422" s="5" t="s">
        <v>18</v>
      </c>
      <c r="E422" s="5" t="s">
        <v>14</v>
      </c>
      <c r="F422" s="6">
        <v>45138</v>
      </c>
      <c r="G422" s="5">
        <f t="shared" si="56"/>
        <v>2023</v>
      </c>
      <c r="H422" s="5" t="str">
        <f t="shared" si="57"/>
        <v>Julio</v>
      </c>
      <c r="I422" s="6" t="str">
        <f t="shared" si="54"/>
        <v>2023-2</v>
      </c>
      <c r="J422" s="5">
        <v>1.6</v>
      </c>
      <c r="K422" s="12">
        <v>7.5471698113208002E-2</v>
      </c>
      <c r="L422" s="8">
        <f t="shared" si="60"/>
        <v>1</v>
      </c>
      <c r="M422" s="8">
        <f t="shared" si="61"/>
        <v>1</v>
      </c>
      <c r="N422" s="5" t="s">
        <v>478</v>
      </c>
      <c r="O422" s="5" t="s">
        <v>478</v>
      </c>
      <c r="P422" s="16">
        <v>1</v>
      </c>
      <c r="Q422" s="16">
        <v>2</v>
      </c>
      <c r="R422" s="5" t="str">
        <f t="shared" si="55"/>
        <v>124-2023-07-31</v>
      </c>
    </row>
    <row r="423" spans="1:18" x14ac:dyDescent="0.3">
      <c r="A423" s="26">
        <v>124</v>
      </c>
      <c r="B423" s="5" t="s">
        <v>48</v>
      </c>
      <c r="C423" s="5" t="s">
        <v>24</v>
      </c>
      <c r="D423" s="5" t="s">
        <v>18</v>
      </c>
      <c r="E423" s="5" t="s">
        <v>14</v>
      </c>
      <c r="F423" s="6">
        <v>45169</v>
      </c>
      <c r="G423" s="5">
        <f t="shared" si="56"/>
        <v>2023</v>
      </c>
      <c r="H423" s="5" t="str">
        <f t="shared" si="57"/>
        <v>Agosto</v>
      </c>
      <c r="I423" s="6" t="str">
        <f t="shared" si="54"/>
        <v>2023-2</v>
      </c>
      <c r="J423" s="5">
        <v>1.6</v>
      </c>
      <c r="K423" s="12">
        <v>0.06</v>
      </c>
      <c r="L423" s="8">
        <f t="shared" si="60"/>
        <v>1</v>
      </c>
      <c r="M423" s="8">
        <f t="shared" si="61"/>
        <v>1</v>
      </c>
      <c r="N423" s="5" t="s">
        <v>478</v>
      </c>
      <c r="O423" s="5" t="s">
        <v>478</v>
      </c>
      <c r="P423" s="16">
        <v>1</v>
      </c>
      <c r="Q423" s="16">
        <v>2</v>
      </c>
      <c r="R423" s="5" t="str">
        <f t="shared" si="55"/>
        <v>124-2023-08-31</v>
      </c>
    </row>
    <row r="424" spans="1:18" x14ac:dyDescent="0.3">
      <c r="A424" s="26">
        <v>124</v>
      </c>
      <c r="B424" s="5" t="s">
        <v>48</v>
      </c>
      <c r="C424" s="5" t="s">
        <v>24</v>
      </c>
      <c r="D424" s="5" t="s">
        <v>18</v>
      </c>
      <c r="E424" s="5" t="s">
        <v>14</v>
      </c>
      <c r="F424" s="6">
        <v>45199</v>
      </c>
      <c r="G424" s="5">
        <f t="shared" si="56"/>
        <v>2023</v>
      </c>
      <c r="H424" s="5" t="str">
        <f t="shared" si="57"/>
        <v>Septiembre</v>
      </c>
      <c r="I424" s="6" t="str">
        <f t="shared" si="54"/>
        <v>2023-2</v>
      </c>
      <c r="J424" s="5">
        <v>1.6</v>
      </c>
      <c r="K424" s="63">
        <v>0</v>
      </c>
      <c r="L424" s="8">
        <f t="shared" si="60"/>
        <v>1</v>
      </c>
      <c r="M424" s="8">
        <f t="shared" si="61"/>
        <v>1</v>
      </c>
      <c r="N424" s="5" t="s">
        <v>478</v>
      </c>
      <c r="O424" s="5" t="s">
        <v>478</v>
      </c>
      <c r="P424" s="16">
        <v>1</v>
      </c>
      <c r="Q424" s="16">
        <v>2</v>
      </c>
      <c r="R424" s="5" t="str">
        <f t="shared" si="55"/>
        <v>124-2023-09-30</v>
      </c>
    </row>
    <row r="425" spans="1:18" x14ac:dyDescent="0.3">
      <c r="A425" s="39">
        <v>124</v>
      </c>
      <c r="B425" s="5" t="s">
        <v>48</v>
      </c>
      <c r="C425" s="5" t="s">
        <v>24</v>
      </c>
      <c r="D425" s="5" t="s">
        <v>18</v>
      </c>
      <c r="E425" s="5" t="s">
        <v>14</v>
      </c>
      <c r="F425" s="6">
        <v>45230</v>
      </c>
      <c r="G425" s="5">
        <f t="shared" si="56"/>
        <v>2023</v>
      </c>
      <c r="H425" s="5" t="str">
        <f t="shared" si="57"/>
        <v>Octubre</v>
      </c>
      <c r="I425" s="6" t="str">
        <f t="shared" si="54"/>
        <v>2023-2</v>
      </c>
      <c r="J425" s="5">
        <v>1.6</v>
      </c>
      <c r="K425" s="12">
        <v>0.05</v>
      </c>
      <c r="L425" s="8">
        <f t="shared" si="60"/>
        <v>1</v>
      </c>
      <c r="M425" s="8">
        <f t="shared" si="61"/>
        <v>1</v>
      </c>
      <c r="N425" s="5" t="s">
        <v>478</v>
      </c>
      <c r="O425" s="5" t="s">
        <v>478</v>
      </c>
      <c r="P425" s="16">
        <v>1</v>
      </c>
      <c r="Q425" s="16">
        <v>2</v>
      </c>
      <c r="R425" s="5" t="str">
        <f t="shared" si="55"/>
        <v>124-2023-10-31</v>
      </c>
    </row>
    <row r="426" spans="1:18" x14ac:dyDescent="0.3">
      <c r="A426" s="39">
        <v>124</v>
      </c>
      <c r="B426" s="5" t="s">
        <v>48</v>
      </c>
      <c r="C426" s="5" t="s">
        <v>24</v>
      </c>
      <c r="D426" s="5" t="s">
        <v>18</v>
      </c>
      <c r="E426" s="5" t="s">
        <v>14</v>
      </c>
      <c r="F426" s="6">
        <v>45260</v>
      </c>
      <c r="G426" s="5">
        <f t="shared" si="56"/>
        <v>2023</v>
      </c>
      <c r="H426" s="5" t="str">
        <f t="shared" si="57"/>
        <v>Noviembre</v>
      </c>
      <c r="I426" s="6" t="str">
        <f t="shared" si="54"/>
        <v>2023-2</v>
      </c>
      <c r="J426" s="5">
        <v>1.6</v>
      </c>
      <c r="K426" s="63">
        <v>0</v>
      </c>
      <c r="L426" s="8">
        <f t="shared" si="60"/>
        <v>1</v>
      </c>
      <c r="M426" s="8">
        <f t="shared" si="61"/>
        <v>1</v>
      </c>
      <c r="N426" s="5" t="s">
        <v>478</v>
      </c>
      <c r="O426" s="5" t="s">
        <v>478</v>
      </c>
      <c r="P426" s="16">
        <v>1</v>
      </c>
      <c r="Q426" s="16">
        <v>2</v>
      </c>
      <c r="R426" s="5" t="str">
        <f t="shared" si="55"/>
        <v>124-2023-11-30</v>
      </c>
    </row>
    <row r="427" spans="1:18" x14ac:dyDescent="0.3">
      <c r="A427" s="39">
        <v>124</v>
      </c>
      <c r="B427" s="5" t="s">
        <v>48</v>
      </c>
      <c r="C427" s="5" t="s">
        <v>24</v>
      </c>
      <c r="D427" s="5" t="s">
        <v>18</v>
      </c>
      <c r="E427" s="5" t="s">
        <v>14</v>
      </c>
      <c r="F427" s="6">
        <v>45291</v>
      </c>
      <c r="G427" s="5">
        <f t="shared" si="56"/>
        <v>2023</v>
      </c>
      <c r="H427" s="5" t="str">
        <f t="shared" si="57"/>
        <v>Diciembre</v>
      </c>
      <c r="I427" s="6" t="str">
        <f t="shared" si="54"/>
        <v>2023-2</v>
      </c>
      <c r="J427" s="5">
        <v>1.6</v>
      </c>
      <c r="K427" s="63">
        <v>0</v>
      </c>
      <c r="L427" s="8">
        <f t="shared" si="60"/>
        <v>1</v>
      </c>
      <c r="M427" s="8">
        <f t="shared" si="61"/>
        <v>1</v>
      </c>
      <c r="N427" s="5" t="s">
        <v>478</v>
      </c>
      <c r="O427" s="5" t="s">
        <v>478</v>
      </c>
      <c r="P427" s="16">
        <v>1</v>
      </c>
      <c r="Q427" s="16">
        <v>2</v>
      </c>
      <c r="R427" s="5" t="str">
        <f t="shared" si="55"/>
        <v>124-2023-12-31</v>
      </c>
    </row>
    <row r="428" spans="1:18" x14ac:dyDescent="0.3">
      <c r="A428" s="26">
        <v>124</v>
      </c>
      <c r="B428" s="5" t="s">
        <v>48</v>
      </c>
      <c r="C428" s="5" t="s">
        <v>24</v>
      </c>
      <c r="D428" s="5" t="s">
        <v>18</v>
      </c>
      <c r="E428" s="5" t="s">
        <v>14</v>
      </c>
      <c r="F428" s="6">
        <v>45322</v>
      </c>
      <c r="G428" s="5">
        <f t="shared" si="56"/>
        <v>2024</v>
      </c>
      <c r="H428" s="5" t="str">
        <f t="shared" si="57"/>
        <v>Enero</v>
      </c>
      <c r="I428" s="6" t="str">
        <f t="shared" si="54"/>
        <v>2024-1</v>
      </c>
      <c r="J428" s="5">
        <v>0.2</v>
      </c>
      <c r="K428" s="63">
        <v>0</v>
      </c>
      <c r="L428" s="8">
        <f t="shared" si="60"/>
        <v>1</v>
      </c>
      <c r="M428" s="8">
        <f t="shared" si="61"/>
        <v>1</v>
      </c>
      <c r="N428" s="5" t="s">
        <v>478</v>
      </c>
      <c r="O428" s="5" t="s">
        <v>478</v>
      </c>
      <c r="P428" s="16">
        <v>1</v>
      </c>
      <c r="Q428" s="16">
        <v>2</v>
      </c>
      <c r="R428" s="5" t="str">
        <f t="shared" si="55"/>
        <v>124-2024-01-31</v>
      </c>
    </row>
    <row r="429" spans="1:18" x14ac:dyDescent="0.3">
      <c r="A429" s="26">
        <v>124</v>
      </c>
      <c r="B429" s="5" t="s">
        <v>48</v>
      </c>
      <c r="C429" s="5" t="s">
        <v>24</v>
      </c>
      <c r="D429" s="5" t="s">
        <v>18</v>
      </c>
      <c r="E429" s="5" t="s">
        <v>14</v>
      </c>
      <c r="F429" s="6">
        <v>45351</v>
      </c>
      <c r="G429" s="5">
        <f t="shared" si="56"/>
        <v>2024</v>
      </c>
      <c r="H429" s="5" t="str">
        <f t="shared" si="57"/>
        <v>Febrero</v>
      </c>
      <c r="I429" s="6" t="str">
        <f t="shared" ref="I429:I492" si="62">IF(OR(H429="Enero",H429="Febrero",H429="Marzo",H429="Abril",H429="Mayo",H429="Junio"),G429&amp;"-1",IF(OR(H429="Julio",H429="Agosto",H429="Septiembre",H429="Octubre",H429="Noviembre",H429="Diciembre"),G429&amp;"-2"))</f>
        <v>2024-1</v>
      </c>
      <c r="J429" s="5">
        <v>0.2</v>
      </c>
      <c r="K429" s="10">
        <v>0</v>
      </c>
      <c r="L429" s="8">
        <f t="shared" si="60"/>
        <v>1</v>
      </c>
      <c r="M429" s="8">
        <f t="shared" si="61"/>
        <v>1</v>
      </c>
      <c r="N429" s="5" t="s">
        <v>478</v>
      </c>
      <c r="O429" s="5" t="s">
        <v>478</v>
      </c>
      <c r="P429" s="16">
        <v>1</v>
      </c>
      <c r="Q429" s="16">
        <v>2</v>
      </c>
      <c r="R429" s="5" t="str">
        <f t="shared" ref="R429:R492" si="63">A429&amp;"-"&amp;YEAR(F429)&amp;"-"&amp;IF(LEN(MONTH(F429))=1,"0"&amp;MONTH(F429),MONTH(F429))&amp;"-"&amp;DAY(F429)</f>
        <v>124-2024-02-29</v>
      </c>
    </row>
    <row r="430" spans="1:18" x14ac:dyDescent="0.3">
      <c r="A430" s="26">
        <v>124</v>
      </c>
      <c r="B430" s="5" t="s">
        <v>48</v>
      </c>
      <c r="C430" s="5" t="s">
        <v>24</v>
      </c>
      <c r="D430" s="5" t="s">
        <v>18</v>
      </c>
      <c r="E430" s="5" t="s">
        <v>14</v>
      </c>
      <c r="F430" s="6">
        <v>45382</v>
      </c>
      <c r="G430" s="5">
        <f t="shared" si="56"/>
        <v>2024</v>
      </c>
      <c r="H430" s="5" t="str">
        <f t="shared" si="57"/>
        <v>Marzo</v>
      </c>
      <c r="I430" s="6" t="str">
        <f t="shared" si="62"/>
        <v>2024-1</v>
      </c>
      <c r="J430" s="5">
        <v>0.2</v>
      </c>
      <c r="K430" s="63">
        <v>0</v>
      </c>
      <c r="L430" s="8">
        <f t="shared" ref="L430:L436" si="64">IF(K430&lt;J430,100%,K430&lt;J430)</f>
        <v>1</v>
      </c>
      <c r="M430" s="8">
        <f t="shared" ref="M430:M436" si="65">IF(K430&lt;J430,100%,K430&lt;J430)</f>
        <v>1</v>
      </c>
      <c r="N430" s="5" t="s">
        <v>478</v>
      </c>
      <c r="O430" s="5" t="s">
        <v>478</v>
      </c>
      <c r="P430" s="16">
        <v>1</v>
      </c>
      <c r="Q430" s="16">
        <v>2</v>
      </c>
      <c r="R430" s="5" t="str">
        <f t="shared" si="63"/>
        <v>124-2024-03-31</v>
      </c>
    </row>
    <row r="431" spans="1:18" x14ac:dyDescent="0.3">
      <c r="A431" s="26">
        <v>124</v>
      </c>
      <c r="B431" s="5" t="s">
        <v>48</v>
      </c>
      <c r="C431" s="5" t="s">
        <v>24</v>
      </c>
      <c r="D431" s="5" t="s">
        <v>18</v>
      </c>
      <c r="E431" s="5" t="s">
        <v>14</v>
      </c>
      <c r="F431" s="6">
        <v>45412</v>
      </c>
      <c r="G431" s="5">
        <f t="shared" si="56"/>
        <v>2024</v>
      </c>
      <c r="H431" s="5" t="str">
        <f t="shared" si="57"/>
        <v>Abril</v>
      </c>
      <c r="I431" s="6" t="str">
        <f t="shared" si="62"/>
        <v>2024-1</v>
      </c>
      <c r="J431" s="5">
        <v>0.2</v>
      </c>
      <c r="K431" s="63">
        <v>0</v>
      </c>
      <c r="L431" s="8">
        <f t="shared" si="64"/>
        <v>1</v>
      </c>
      <c r="M431" s="8">
        <f t="shared" si="65"/>
        <v>1</v>
      </c>
      <c r="N431" s="5" t="s">
        <v>478</v>
      </c>
      <c r="O431" s="5" t="s">
        <v>478</v>
      </c>
      <c r="P431" s="16">
        <v>1</v>
      </c>
      <c r="Q431" s="16">
        <v>2</v>
      </c>
      <c r="R431" s="5" t="str">
        <f t="shared" si="63"/>
        <v>124-2024-04-30</v>
      </c>
    </row>
    <row r="432" spans="1:18" x14ac:dyDescent="0.3">
      <c r="A432" s="26">
        <v>124</v>
      </c>
      <c r="B432" s="5" t="s">
        <v>48</v>
      </c>
      <c r="C432" s="5" t="s">
        <v>24</v>
      </c>
      <c r="D432" s="5" t="s">
        <v>18</v>
      </c>
      <c r="E432" s="5" t="s">
        <v>14</v>
      </c>
      <c r="F432" s="6">
        <v>45443</v>
      </c>
      <c r="G432" s="5">
        <f t="shared" si="56"/>
        <v>2024</v>
      </c>
      <c r="H432" s="5" t="str">
        <f t="shared" si="57"/>
        <v>Mayo</v>
      </c>
      <c r="I432" s="6" t="str">
        <f t="shared" si="62"/>
        <v>2024-1</v>
      </c>
      <c r="J432" s="5">
        <v>0.2</v>
      </c>
      <c r="K432" s="63">
        <v>0.04</v>
      </c>
      <c r="L432" s="8">
        <f t="shared" si="64"/>
        <v>1</v>
      </c>
      <c r="M432" s="8">
        <f t="shared" si="65"/>
        <v>1</v>
      </c>
      <c r="N432" s="5" t="s">
        <v>478</v>
      </c>
      <c r="O432" s="5" t="s">
        <v>478</v>
      </c>
      <c r="P432" s="16">
        <v>1</v>
      </c>
      <c r="Q432" s="16">
        <v>2</v>
      </c>
      <c r="R432" s="5" t="str">
        <f t="shared" si="63"/>
        <v>124-2024-05-31</v>
      </c>
    </row>
    <row r="433" spans="1:18" x14ac:dyDescent="0.3">
      <c r="A433" s="26">
        <v>124</v>
      </c>
      <c r="B433" s="5" t="s">
        <v>48</v>
      </c>
      <c r="C433" s="5" t="s">
        <v>24</v>
      </c>
      <c r="D433" s="5" t="s">
        <v>18</v>
      </c>
      <c r="E433" s="5" t="s">
        <v>14</v>
      </c>
      <c r="F433" s="6">
        <v>45473</v>
      </c>
      <c r="G433" s="5">
        <f t="shared" si="56"/>
        <v>2024</v>
      </c>
      <c r="H433" s="5" t="str">
        <f t="shared" si="57"/>
        <v>Junio</v>
      </c>
      <c r="I433" s="6" t="str">
        <f t="shared" si="62"/>
        <v>2024-1</v>
      </c>
      <c r="J433" s="5">
        <v>0.2</v>
      </c>
      <c r="K433" s="63">
        <v>0</v>
      </c>
      <c r="L433" s="8">
        <f t="shared" si="64"/>
        <v>1</v>
      </c>
      <c r="M433" s="8">
        <f t="shared" si="65"/>
        <v>1</v>
      </c>
      <c r="N433" s="5" t="s">
        <v>478</v>
      </c>
      <c r="O433" s="5" t="s">
        <v>478</v>
      </c>
      <c r="P433" s="16">
        <v>1</v>
      </c>
      <c r="Q433" s="16">
        <v>2</v>
      </c>
      <c r="R433" s="5" t="str">
        <f t="shared" si="63"/>
        <v>124-2024-06-30</v>
      </c>
    </row>
    <row r="434" spans="1:18" x14ac:dyDescent="0.3">
      <c r="A434" s="26">
        <v>124</v>
      </c>
      <c r="B434" s="5" t="s">
        <v>48</v>
      </c>
      <c r="C434" s="5" t="s">
        <v>24</v>
      </c>
      <c r="D434" s="5" t="s">
        <v>18</v>
      </c>
      <c r="E434" s="5" t="s">
        <v>14</v>
      </c>
      <c r="F434" s="6">
        <v>45504</v>
      </c>
      <c r="G434" s="5">
        <f t="shared" si="56"/>
        <v>2024</v>
      </c>
      <c r="H434" s="5" t="str">
        <f t="shared" si="57"/>
        <v>Julio</v>
      </c>
      <c r="I434" s="6" t="str">
        <f t="shared" si="62"/>
        <v>2024-2</v>
      </c>
      <c r="J434" s="5">
        <v>0.2</v>
      </c>
      <c r="K434" s="63">
        <v>0</v>
      </c>
      <c r="L434" s="8">
        <f t="shared" si="64"/>
        <v>1</v>
      </c>
      <c r="M434" s="8">
        <f t="shared" si="65"/>
        <v>1</v>
      </c>
      <c r="N434" s="5" t="s">
        <v>478</v>
      </c>
      <c r="O434" s="5" t="s">
        <v>478</v>
      </c>
      <c r="P434" s="16">
        <v>1</v>
      </c>
      <c r="Q434" s="16">
        <v>2</v>
      </c>
      <c r="R434" s="5" t="str">
        <f t="shared" si="63"/>
        <v>124-2024-07-31</v>
      </c>
    </row>
    <row r="435" spans="1:18" x14ac:dyDescent="0.3">
      <c r="A435" s="26">
        <v>124</v>
      </c>
      <c r="B435" s="5" t="s">
        <v>48</v>
      </c>
      <c r="C435" s="5" t="s">
        <v>24</v>
      </c>
      <c r="D435" s="5" t="s">
        <v>18</v>
      </c>
      <c r="E435" s="5" t="s">
        <v>14</v>
      </c>
      <c r="F435" s="6">
        <v>45535</v>
      </c>
      <c r="G435" s="5">
        <f t="shared" si="56"/>
        <v>2024</v>
      </c>
      <c r="H435" s="5" t="str">
        <f t="shared" si="57"/>
        <v>Agosto</v>
      </c>
      <c r="I435" s="6" t="str">
        <f t="shared" si="62"/>
        <v>2024-2</v>
      </c>
      <c r="J435" s="5">
        <v>0.2</v>
      </c>
      <c r="K435" s="63">
        <v>0</v>
      </c>
      <c r="L435" s="8">
        <f t="shared" si="64"/>
        <v>1</v>
      </c>
      <c r="M435" s="8">
        <f t="shared" si="65"/>
        <v>1</v>
      </c>
      <c r="N435" s="5" t="s">
        <v>478</v>
      </c>
      <c r="O435" s="5" t="s">
        <v>478</v>
      </c>
      <c r="P435" s="16">
        <v>1</v>
      </c>
      <c r="Q435" s="16">
        <v>2</v>
      </c>
      <c r="R435" s="5" t="str">
        <f t="shared" si="63"/>
        <v>124-2024-08-31</v>
      </c>
    </row>
    <row r="436" spans="1:18" x14ac:dyDescent="0.3">
      <c r="A436" s="26">
        <v>124</v>
      </c>
      <c r="B436" s="5" t="s">
        <v>48</v>
      </c>
      <c r="C436" s="5" t="s">
        <v>24</v>
      </c>
      <c r="D436" s="5" t="s">
        <v>18</v>
      </c>
      <c r="E436" s="5" t="s">
        <v>14</v>
      </c>
      <c r="F436" s="6">
        <v>45565</v>
      </c>
      <c r="G436" s="5">
        <f t="shared" si="56"/>
        <v>2024</v>
      </c>
      <c r="H436" s="5" t="str">
        <f t="shared" si="57"/>
        <v>Septiembre</v>
      </c>
      <c r="I436" s="6" t="str">
        <f t="shared" si="62"/>
        <v>2024-2</v>
      </c>
      <c r="J436" s="5">
        <v>0.2</v>
      </c>
      <c r="K436" s="63">
        <v>0</v>
      </c>
      <c r="L436" s="8">
        <f t="shared" si="64"/>
        <v>1</v>
      </c>
      <c r="M436" s="8">
        <f t="shared" si="65"/>
        <v>1</v>
      </c>
      <c r="N436" s="5" t="s">
        <v>478</v>
      </c>
      <c r="O436" s="5" t="s">
        <v>478</v>
      </c>
      <c r="P436" s="16">
        <v>1</v>
      </c>
      <c r="Q436" s="16">
        <v>2</v>
      </c>
      <c r="R436" s="5" t="str">
        <f t="shared" si="63"/>
        <v>124-2024-09-30</v>
      </c>
    </row>
    <row r="437" spans="1:18" x14ac:dyDescent="0.3">
      <c r="A437" s="39">
        <v>124</v>
      </c>
      <c r="B437" s="5" t="s">
        <v>48</v>
      </c>
      <c r="C437" s="5" t="s">
        <v>24</v>
      </c>
      <c r="D437" s="5" t="s">
        <v>18</v>
      </c>
      <c r="E437" s="5" t="s">
        <v>14</v>
      </c>
      <c r="F437" s="6">
        <v>45596</v>
      </c>
      <c r="G437" s="5">
        <f t="shared" si="56"/>
        <v>2024</v>
      </c>
      <c r="H437" s="5" t="str">
        <f t="shared" si="57"/>
        <v>Octubre</v>
      </c>
      <c r="I437" s="6" t="str">
        <f t="shared" si="62"/>
        <v>2024-2</v>
      </c>
      <c r="J437" s="5">
        <v>0.2</v>
      </c>
      <c r="K437" s="63">
        <v>0</v>
      </c>
      <c r="L437" s="8">
        <f t="shared" ref="L437:L439" si="66">IF(K437&lt;J437,100%,K437&lt;J437)</f>
        <v>1</v>
      </c>
      <c r="M437" s="8">
        <f t="shared" ref="M437:M439" si="67">IF(K437&lt;J437,100%,K437&lt;J437)</f>
        <v>1</v>
      </c>
      <c r="N437" s="5" t="s">
        <v>478</v>
      </c>
      <c r="O437" s="5" t="s">
        <v>478</v>
      </c>
      <c r="P437" s="16">
        <v>1</v>
      </c>
      <c r="Q437" s="16">
        <v>2</v>
      </c>
      <c r="R437" s="5" t="str">
        <f t="shared" si="63"/>
        <v>124-2024-10-31</v>
      </c>
    </row>
    <row r="438" spans="1:18" x14ac:dyDescent="0.3">
      <c r="A438" s="39">
        <v>124</v>
      </c>
      <c r="B438" s="5" t="s">
        <v>48</v>
      </c>
      <c r="C438" s="5" t="s">
        <v>24</v>
      </c>
      <c r="D438" s="5" t="s">
        <v>18</v>
      </c>
      <c r="E438" s="5" t="s">
        <v>14</v>
      </c>
      <c r="F438" s="6">
        <v>45626</v>
      </c>
      <c r="G438" s="5">
        <f t="shared" si="56"/>
        <v>2024</v>
      </c>
      <c r="H438" s="5" t="str">
        <f t="shared" si="57"/>
        <v>Noviembre</v>
      </c>
      <c r="I438" s="6" t="str">
        <f t="shared" si="62"/>
        <v>2024-2</v>
      </c>
      <c r="J438" s="5">
        <v>0.2</v>
      </c>
      <c r="K438" s="63">
        <v>0</v>
      </c>
      <c r="L438" s="8">
        <f t="shared" si="66"/>
        <v>1</v>
      </c>
      <c r="M438" s="8">
        <f t="shared" si="67"/>
        <v>1</v>
      </c>
      <c r="N438" s="5" t="s">
        <v>478</v>
      </c>
      <c r="O438" s="5" t="s">
        <v>478</v>
      </c>
      <c r="P438" s="16">
        <v>1</v>
      </c>
      <c r="Q438" s="16">
        <v>2</v>
      </c>
      <c r="R438" s="5" t="str">
        <f t="shared" si="63"/>
        <v>124-2024-11-30</v>
      </c>
    </row>
    <row r="439" spans="1:18" x14ac:dyDescent="0.3">
      <c r="A439" s="39">
        <v>124</v>
      </c>
      <c r="B439" s="5" t="s">
        <v>48</v>
      </c>
      <c r="C439" s="5" t="s">
        <v>24</v>
      </c>
      <c r="D439" s="5" t="s">
        <v>18</v>
      </c>
      <c r="E439" s="5" t="s">
        <v>14</v>
      </c>
      <c r="F439" s="6">
        <v>45657</v>
      </c>
      <c r="G439" s="5">
        <f t="shared" si="56"/>
        <v>2024</v>
      </c>
      <c r="H439" s="5" t="str">
        <f t="shared" si="57"/>
        <v>Diciembre</v>
      </c>
      <c r="I439" s="6" t="str">
        <f t="shared" si="62"/>
        <v>2024-2</v>
      </c>
      <c r="J439" s="5">
        <v>0.2</v>
      </c>
      <c r="K439" s="63">
        <v>0.11</v>
      </c>
      <c r="L439" s="8">
        <f t="shared" si="66"/>
        <v>1</v>
      </c>
      <c r="M439" s="8">
        <f t="shared" si="67"/>
        <v>1</v>
      </c>
      <c r="N439" s="5" t="s">
        <v>478</v>
      </c>
      <c r="O439" s="5" t="s">
        <v>478</v>
      </c>
      <c r="P439" s="16">
        <v>1</v>
      </c>
      <c r="Q439" s="16">
        <v>2</v>
      </c>
      <c r="R439" s="5" t="str">
        <f t="shared" si="63"/>
        <v>124-2024-12-31</v>
      </c>
    </row>
    <row r="440" spans="1:18" x14ac:dyDescent="0.3">
      <c r="A440" s="26">
        <v>125</v>
      </c>
      <c r="B440" s="5" t="s">
        <v>49</v>
      </c>
      <c r="C440" s="5" t="s">
        <v>24</v>
      </c>
      <c r="D440" s="5" t="s">
        <v>18</v>
      </c>
      <c r="E440" s="5" t="s">
        <v>14</v>
      </c>
      <c r="F440" s="6">
        <v>44592</v>
      </c>
      <c r="G440" s="5">
        <f t="shared" si="56"/>
        <v>2022</v>
      </c>
      <c r="H440" s="5" t="str">
        <f t="shared" si="57"/>
        <v>Enero</v>
      </c>
      <c r="I440" s="6" t="str">
        <f t="shared" si="62"/>
        <v>2022-1</v>
      </c>
      <c r="J440" s="5">
        <v>4.7</v>
      </c>
      <c r="K440" s="12">
        <v>0</v>
      </c>
      <c r="L440" s="8">
        <f t="shared" ref="L440:L464" si="68">IF(K440&lt;=J440,100%,J440/K440)</f>
        <v>1</v>
      </c>
      <c r="M440" s="8">
        <v>1</v>
      </c>
      <c r="N440" s="5" t="s">
        <v>478</v>
      </c>
      <c r="O440" s="11" t="s">
        <v>478</v>
      </c>
      <c r="P440" s="16">
        <v>1</v>
      </c>
      <c r="Q440" s="16">
        <v>2</v>
      </c>
      <c r="R440" s="5" t="str">
        <f t="shared" si="63"/>
        <v>125-2022-01-31</v>
      </c>
    </row>
    <row r="441" spans="1:18" x14ac:dyDescent="0.3">
      <c r="A441" s="26">
        <v>125</v>
      </c>
      <c r="B441" s="5" t="s">
        <v>49</v>
      </c>
      <c r="C441" s="5" t="s">
        <v>24</v>
      </c>
      <c r="D441" s="5" t="s">
        <v>18</v>
      </c>
      <c r="E441" s="5" t="s">
        <v>14</v>
      </c>
      <c r="F441" s="17">
        <v>44620</v>
      </c>
      <c r="G441" s="5">
        <f t="shared" si="56"/>
        <v>2022</v>
      </c>
      <c r="H441" s="5" t="str">
        <f t="shared" si="57"/>
        <v>Febrero</v>
      </c>
      <c r="I441" s="6" t="str">
        <f t="shared" si="62"/>
        <v>2022-1</v>
      </c>
      <c r="J441" s="5">
        <v>4.7</v>
      </c>
      <c r="K441" s="12">
        <v>0.21</v>
      </c>
      <c r="L441" s="8">
        <f t="shared" si="68"/>
        <v>1</v>
      </c>
      <c r="M441" s="8">
        <v>1</v>
      </c>
      <c r="N441" s="5" t="s">
        <v>478</v>
      </c>
      <c r="O441" s="11" t="s">
        <v>478</v>
      </c>
      <c r="P441" s="16">
        <v>1</v>
      </c>
      <c r="Q441" s="16">
        <v>2</v>
      </c>
      <c r="R441" s="5" t="str">
        <f t="shared" si="63"/>
        <v>125-2022-02-28</v>
      </c>
    </row>
    <row r="442" spans="1:18" x14ac:dyDescent="0.3">
      <c r="A442" s="26">
        <v>125</v>
      </c>
      <c r="B442" s="5" t="s">
        <v>49</v>
      </c>
      <c r="C442" s="5" t="s">
        <v>24</v>
      </c>
      <c r="D442" s="5" t="s">
        <v>18</v>
      </c>
      <c r="E442" s="5" t="s">
        <v>14</v>
      </c>
      <c r="F442" s="6">
        <v>44651</v>
      </c>
      <c r="G442" s="5">
        <f t="shared" si="56"/>
        <v>2022</v>
      </c>
      <c r="H442" s="5" t="str">
        <f t="shared" si="57"/>
        <v>Marzo</v>
      </c>
      <c r="I442" s="6" t="str">
        <f t="shared" si="62"/>
        <v>2022-1</v>
      </c>
      <c r="J442" s="5">
        <v>4.7</v>
      </c>
      <c r="K442" s="12">
        <v>0</v>
      </c>
      <c r="L442" s="8">
        <f t="shared" si="68"/>
        <v>1</v>
      </c>
      <c r="M442" s="8">
        <v>1</v>
      </c>
      <c r="N442" s="5" t="s">
        <v>478</v>
      </c>
      <c r="O442" s="11" t="s">
        <v>478</v>
      </c>
      <c r="P442" s="16">
        <v>1</v>
      </c>
      <c r="Q442" s="16">
        <v>2</v>
      </c>
      <c r="R442" s="5" t="str">
        <f t="shared" si="63"/>
        <v>125-2022-03-31</v>
      </c>
    </row>
    <row r="443" spans="1:18" x14ac:dyDescent="0.3">
      <c r="A443" s="26">
        <v>125</v>
      </c>
      <c r="B443" s="5" t="s">
        <v>49</v>
      </c>
      <c r="C443" s="5" t="s">
        <v>24</v>
      </c>
      <c r="D443" s="5" t="s">
        <v>18</v>
      </c>
      <c r="E443" s="5" t="s">
        <v>14</v>
      </c>
      <c r="F443" s="6">
        <v>44681</v>
      </c>
      <c r="G443" s="5">
        <f t="shared" si="56"/>
        <v>2022</v>
      </c>
      <c r="H443" s="5" t="str">
        <f t="shared" si="57"/>
        <v>Abril</v>
      </c>
      <c r="I443" s="6" t="str">
        <f t="shared" si="62"/>
        <v>2022-1</v>
      </c>
      <c r="J443" s="5">
        <v>4.7</v>
      </c>
      <c r="K443" s="12">
        <v>0</v>
      </c>
      <c r="L443" s="8">
        <f t="shared" si="68"/>
        <v>1</v>
      </c>
      <c r="M443" s="8">
        <v>1</v>
      </c>
      <c r="N443" s="5" t="s">
        <v>478</v>
      </c>
      <c r="O443" s="5" t="s">
        <v>478</v>
      </c>
      <c r="P443" s="16">
        <v>1</v>
      </c>
      <c r="Q443" s="16">
        <v>2</v>
      </c>
      <c r="R443" s="5" t="str">
        <f t="shared" si="63"/>
        <v>125-2022-04-30</v>
      </c>
    </row>
    <row r="444" spans="1:18" x14ac:dyDescent="0.3">
      <c r="A444" s="26">
        <v>125</v>
      </c>
      <c r="B444" s="5" t="s">
        <v>49</v>
      </c>
      <c r="C444" s="5" t="s">
        <v>24</v>
      </c>
      <c r="D444" s="5" t="s">
        <v>18</v>
      </c>
      <c r="E444" s="5" t="s">
        <v>14</v>
      </c>
      <c r="F444" s="6">
        <v>44712</v>
      </c>
      <c r="G444" s="5">
        <f t="shared" si="56"/>
        <v>2022</v>
      </c>
      <c r="H444" s="5" t="str">
        <f t="shared" si="57"/>
        <v>Mayo</v>
      </c>
      <c r="I444" s="6" t="str">
        <f t="shared" si="62"/>
        <v>2022-1</v>
      </c>
      <c r="J444" s="5">
        <v>4.7</v>
      </c>
      <c r="K444" s="12">
        <v>0.27</v>
      </c>
      <c r="L444" s="8">
        <f t="shared" si="68"/>
        <v>1</v>
      </c>
      <c r="M444" s="8">
        <v>1</v>
      </c>
      <c r="N444" s="5" t="s">
        <v>478</v>
      </c>
      <c r="O444" s="11" t="s">
        <v>478</v>
      </c>
      <c r="P444" s="16">
        <v>1</v>
      </c>
      <c r="Q444" s="16">
        <v>2</v>
      </c>
      <c r="R444" s="5" t="str">
        <f t="shared" si="63"/>
        <v>125-2022-05-31</v>
      </c>
    </row>
    <row r="445" spans="1:18" x14ac:dyDescent="0.3">
      <c r="A445" s="26">
        <v>125</v>
      </c>
      <c r="B445" s="5" t="s">
        <v>49</v>
      </c>
      <c r="C445" s="5" t="s">
        <v>24</v>
      </c>
      <c r="D445" s="5" t="s">
        <v>18</v>
      </c>
      <c r="E445" s="5" t="s">
        <v>14</v>
      </c>
      <c r="F445" s="6">
        <v>44742</v>
      </c>
      <c r="G445" s="5">
        <f t="shared" si="56"/>
        <v>2022</v>
      </c>
      <c r="H445" s="5" t="str">
        <f t="shared" si="57"/>
        <v>Junio</v>
      </c>
      <c r="I445" s="6" t="str">
        <f t="shared" si="62"/>
        <v>2022-1</v>
      </c>
      <c r="J445" s="5">
        <v>4.7</v>
      </c>
      <c r="K445" s="12">
        <v>0</v>
      </c>
      <c r="L445" s="8">
        <f t="shared" si="68"/>
        <v>1</v>
      </c>
      <c r="M445" s="8">
        <v>1</v>
      </c>
      <c r="N445" s="5" t="s">
        <v>478</v>
      </c>
      <c r="O445" s="11" t="s">
        <v>478</v>
      </c>
      <c r="P445" s="16">
        <v>1</v>
      </c>
      <c r="Q445" s="16">
        <v>2</v>
      </c>
      <c r="R445" s="5" t="str">
        <f t="shared" si="63"/>
        <v>125-2022-06-30</v>
      </c>
    </row>
    <row r="446" spans="1:18" x14ac:dyDescent="0.3">
      <c r="A446" s="26">
        <v>125</v>
      </c>
      <c r="B446" s="5" t="s">
        <v>49</v>
      </c>
      <c r="C446" s="5" t="s">
        <v>24</v>
      </c>
      <c r="D446" s="5" t="s">
        <v>18</v>
      </c>
      <c r="E446" s="5" t="s">
        <v>14</v>
      </c>
      <c r="F446" s="6">
        <v>44773</v>
      </c>
      <c r="G446" s="5">
        <f t="shared" si="56"/>
        <v>2022</v>
      </c>
      <c r="H446" s="5" t="str">
        <f t="shared" si="57"/>
        <v>Julio</v>
      </c>
      <c r="I446" s="6" t="str">
        <f t="shared" si="62"/>
        <v>2022-2</v>
      </c>
      <c r="J446" s="5">
        <v>4.7</v>
      </c>
      <c r="K446" s="12">
        <v>0</v>
      </c>
      <c r="L446" s="8">
        <f t="shared" si="68"/>
        <v>1</v>
      </c>
      <c r="M446" s="8">
        <v>1</v>
      </c>
      <c r="N446" s="5" t="s">
        <v>478</v>
      </c>
      <c r="O446" s="5" t="s">
        <v>478</v>
      </c>
      <c r="P446" s="16">
        <v>1</v>
      </c>
      <c r="Q446" s="16">
        <v>2</v>
      </c>
      <c r="R446" s="5" t="str">
        <f t="shared" si="63"/>
        <v>125-2022-07-31</v>
      </c>
    </row>
    <row r="447" spans="1:18" x14ac:dyDescent="0.3">
      <c r="A447" s="26">
        <v>125</v>
      </c>
      <c r="B447" s="5" t="s">
        <v>49</v>
      </c>
      <c r="C447" s="5" t="s">
        <v>24</v>
      </c>
      <c r="D447" s="5" t="s">
        <v>18</v>
      </c>
      <c r="E447" s="5" t="s">
        <v>14</v>
      </c>
      <c r="F447" s="6">
        <v>44804</v>
      </c>
      <c r="G447" s="5">
        <f t="shared" si="56"/>
        <v>2022</v>
      </c>
      <c r="H447" s="5" t="str">
        <f t="shared" si="57"/>
        <v>Agosto</v>
      </c>
      <c r="I447" s="6" t="str">
        <f t="shared" si="62"/>
        <v>2022-2</v>
      </c>
      <c r="J447" s="5">
        <v>4.7</v>
      </c>
      <c r="K447" s="12">
        <v>0.31</v>
      </c>
      <c r="L447" s="8">
        <f t="shared" si="68"/>
        <v>1</v>
      </c>
      <c r="M447" s="8">
        <v>1</v>
      </c>
      <c r="N447" s="5" t="s">
        <v>478</v>
      </c>
      <c r="O447" s="5" t="s">
        <v>478</v>
      </c>
      <c r="P447" s="16">
        <v>1</v>
      </c>
      <c r="Q447" s="16">
        <v>2</v>
      </c>
      <c r="R447" s="5" t="str">
        <f t="shared" si="63"/>
        <v>125-2022-08-31</v>
      </c>
    </row>
    <row r="448" spans="1:18" x14ac:dyDescent="0.3">
      <c r="A448" s="26">
        <v>125</v>
      </c>
      <c r="B448" s="5" t="s">
        <v>49</v>
      </c>
      <c r="C448" s="5" t="s">
        <v>24</v>
      </c>
      <c r="D448" s="5" t="s">
        <v>18</v>
      </c>
      <c r="E448" s="5" t="s">
        <v>14</v>
      </c>
      <c r="F448" s="6">
        <v>44834</v>
      </c>
      <c r="G448" s="5">
        <f t="shared" si="56"/>
        <v>2022</v>
      </c>
      <c r="H448" s="5" t="str">
        <f t="shared" si="57"/>
        <v>Septiembre</v>
      </c>
      <c r="I448" s="6" t="str">
        <f t="shared" si="62"/>
        <v>2022-2</v>
      </c>
      <c r="J448" s="5">
        <v>4.7</v>
      </c>
      <c r="K448" s="12">
        <v>0</v>
      </c>
      <c r="L448" s="8">
        <f t="shared" si="68"/>
        <v>1</v>
      </c>
      <c r="M448" s="8">
        <v>1</v>
      </c>
      <c r="N448" s="5" t="s">
        <v>478</v>
      </c>
      <c r="O448" s="11" t="s">
        <v>478</v>
      </c>
      <c r="P448" s="16">
        <v>1</v>
      </c>
      <c r="Q448" s="16">
        <v>2</v>
      </c>
      <c r="R448" s="5" t="str">
        <f t="shared" si="63"/>
        <v>125-2022-09-30</v>
      </c>
    </row>
    <row r="449" spans="1:18" x14ac:dyDescent="0.3">
      <c r="A449" s="39">
        <v>125</v>
      </c>
      <c r="B449" s="5" t="s">
        <v>49</v>
      </c>
      <c r="C449" s="5" t="s">
        <v>24</v>
      </c>
      <c r="D449" s="5" t="s">
        <v>18</v>
      </c>
      <c r="E449" s="5" t="s">
        <v>14</v>
      </c>
      <c r="F449" s="6">
        <v>44865</v>
      </c>
      <c r="G449" s="5">
        <f t="shared" si="56"/>
        <v>2022</v>
      </c>
      <c r="H449" s="5" t="str">
        <f t="shared" si="57"/>
        <v>Octubre</v>
      </c>
      <c r="I449" s="6" t="str">
        <f t="shared" si="62"/>
        <v>2022-2</v>
      </c>
      <c r="J449" s="5">
        <v>4.7</v>
      </c>
      <c r="K449" s="12">
        <v>0.17</v>
      </c>
      <c r="L449" s="8">
        <f t="shared" si="68"/>
        <v>1</v>
      </c>
      <c r="M449" s="8">
        <v>1</v>
      </c>
      <c r="N449" s="5" t="s">
        <v>478</v>
      </c>
      <c r="O449" s="5" t="s">
        <v>478</v>
      </c>
      <c r="P449" s="16">
        <v>1</v>
      </c>
      <c r="Q449" s="16">
        <v>2</v>
      </c>
      <c r="R449" s="5" t="str">
        <f t="shared" si="63"/>
        <v>125-2022-10-31</v>
      </c>
    </row>
    <row r="450" spans="1:18" x14ac:dyDescent="0.3">
      <c r="A450" s="26">
        <v>125</v>
      </c>
      <c r="B450" s="5" t="s">
        <v>49</v>
      </c>
      <c r="C450" s="5" t="s">
        <v>24</v>
      </c>
      <c r="D450" s="5" t="s">
        <v>18</v>
      </c>
      <c r="E450" s="5" t="s">
        <v>14</v>
      </c>
      <c r="F450" s="6">
        <v>44895</v>
      </c>
      <c r="G450" s="5">
        <f t="shared" ref="G450:G513" si="69">YEAR(F450)</f>
        <v>2022</v>
      </c>
      <c r="H450" s="5" t="str">
        <f t="shared" ref="H450:H513" si="70">PROPER(TEXT(F450,"mmmm"))</f>
        <v>Noviembre</v>
      </c>
      <c r="I450" s="6" t="str">
        <f t="shared" si="62"/>
        <v>2022-2</v>
      </c>
      <c r="J450" s="5">
        <v>4.7</v>
      </c>
      <c r="K450" s="12">
        <v>0</v>
      </c>
      <c r="L450" s="8">
        <f t="shared" si="68"/>
        <v>1</v>
      </c>
      <c r="M450" s="8">
        <v>1</v>
      </c>
      <c r="N450" s="5" t="s">
        <v>478</v>
      </c>
      <c r="O450" s="5" t="s">
        <v>478</v>
      </c>
      <c r="P450" s="16">
        <v>1</v>
      </c>
      <c r="Q450" s="16">
        <v>2</v>
      </c>
      <c r="R450" s="5" t="str">
        <f t="shared" si="63"/>
        <v>125-2022-11-30</v>
      </c>
    </row>
    <row r="451" spans="1:18" x14ac:dyDescent="0.3">
      <c r="A451" s="26">
        <v>125</v>
      </c>
      <c r="B451" s="5" t="s">
        <v>49</v>
      </c>
      <c r="C451" s="5" t="s">
        <v>24</v>
      </c>
      <c r="D451" s="5" t="s">
        <v>18</v>
      </c>
      <c r="E451" s="5" t="s">
        <v>14</v>
      </c>
      <c r="F451" s="6">
        <v>44926</v>
      </c>
      <c r="G451" s="5">
        <f t="shared" si="69"/>
        <v>2022</v>
      </c>
      <c r="H451" s="5" t="str">
        <f t="shared" si="70"/>
        <v>Diciembre</v>
      </c>
      <c r="I451" s="6" t="str">
        <f t="shared" si="62"/>
        <v>2022-2</v>
      </c>
      <c r="J451" s="5">
        <v>4.7</v>
      </c>
      <c r="K451" s="12">
        <v>0</v>
      </c>
      <c r="L451" s="8">
        <f t="shared" si="68"/>
        <v>1</v>
      </c>
      <c r="M451" s="8">
        <v>1</v>
      </c>
      <c r="N451" s="5" t="s">
        <v>478</v>
      </c>
      <c r="O451" s="5" t="s">
        <v>478</v>
      </c>
      <c r="P451" s="16">
        <v>1</v>
      </c>
      <c r="Q451" s="16">
        <v>2</v>
      </c>
      <c r="R451" s="5" t="str">
        <f t="shared" si="63"/>
        <v>125-2022-12-31</v>
      </c>
    </row>
    <row r="452" spans="1:18" x14ac:dyDescent="0.3">
      <c r="A452" s="26">
        <v>125</v>
      </c>
      <c r="B452" s="5" t="s">
        <v>49</v>
      </c>
      <c r="C452" s="5" t="s">
        <v>24</v>
      </c>
      <c r="D452" s="5" t="s">
        <v>18</v>
      </c>
      <c r="E452" s="5" t="s">
        <v>14</v>
      </c>
      <c r="F452" s="6">
        <v>44957</v>
      </c>
      <c r="G452" s="5">
        <f t="shared" si="69"/>
        <v>2023</v>
      </c>
      <c r="H452" s="5" t="str">
        <f t="shared" si="70"/>
        <v>Enero</v>
      </c>
      <c r="I452" s="6" t="str">
        <f t="shared" si="62"/>
        <v>2023-1</v>
      </c>
      <c r="J452" s="5">
        <v>4.7</v>
      </c>
      <c r="K452" s="12">
        <v>0</v>
      </c>
      <c r="L452" s="8">
        <f t="shared" si="68"/>
        <v>1</v>
      </c>
      <c r="M452" s="8">
        <v>1</v>
      </c>
      <c r="N452" s="5" t="s">
        <v>478</v>
      </c>
      <c r="O452" s="11" t="s">
        <v>478</v>
      </c>
      <c r="P452" s="16">
        <v>1</v>
      </c>
      <c r="Q452" s="16">
        <v>2</v>
      </c>
      <c r="R452" s="5" t="str">
        <f t="shared" si="63"/>
        <v>125-2023-01-31</v>
      </c>
    </row>
    <row r="453" spans="1:18" x14ac:dyDescent="0.3">
      <c r="A453" s="26">
        <v>125</v>
      </c>
      <c r="B453" s="5" t="s">
        <v>49</v>
      </c>
      <c r="C453" s="5" t="s">
        <v>24</v>
      </c>
      <c r="D453" s="5" t="s">
        <v>18</v>
      </c>
      <c r="E453" s="5" t="s">
        <v>14</v>
      </c>
      <c r="F453" s="17">
        <v>44985</v>
      </c>
      <c r="G453" s="5">
        <f t="shared" si="69"/>
        <v>2023</v>
      </c>
      <c r="H453" s="5" t="str">
        <f t="shared" si="70"/>
        <v>Febrero</v>
      </c>
      <c r="I453" s="6" t="str">
        <f t="shared" si="62"/>
        <v>2023-1</v>
      </c>
      <c r="J453" s="5">
        <v>4.7</v>
      </c>
      <c r="K453" s="12">
        <v>0</v>
      </c>
      <c r="L453" s="8">
        <f t="shared" si="68"/>
        <v>1</v>
      </c>
      <c r="M453" s="8">
        <v>1</v>
      </c>
      <c r="N453" s="5" t="s">
        <v>478</v>
      </c>
      <c r="O453" s="11" t="s">
        <v>478</v>
      </c>
      <c r="P453" s="16">
        <v>1</v>
      </c>
      <c r="Q453" s="16">
        <v>2</v>
      </c>
      <c r="R453" s="5" t="str">
        <f t="shared" si="63"/>
        <v>125-2023-02-28</v>
      </c>
    </row>
    <row r="454" spans="1:18" x14ac:dyDescent="0.3">
      <c r="A454" s="26">
        <v>125</v>
      </c>
      <c r="B454" s="5" t="s">
        <v>49</v>
      </c>
      <c r="C454" s="5" t="s">
        <v>24</v>
      </c>
      <c r="D454" s="5" t="s">
        <v>18</v>
      </c>
      <c r="E454" s="5" t="s">
        <v>14</v>
      </c>
      <c r="F454" s="6">
        <v>45016</v>
      </c>
      <c r="G454" s="5">
        <f t="shared" si="69"/>
        <v>2023</v>
      </c>
      <c r="H454" s="5" t="str">
        <f t="shared" si="70"/>
        <v>Marzo</v>
      </c>
      <c r="I454" s="6" t="str">
        <f t="shared" si="62"/>
        <v>2023-1</v>
      </c>
      <c r="J454" s="5">
        <v>4.7</v>
      </c>
      <c r="K454" s="12">
        <v>0</v>
      </c>
      <c r="L454" s="8">
        <f t="shared" si="68"/>
        <v>1</v>
      </c>
      <c r="M454" s="8">
        <v>1</v>
      </c>
      <c r="N454" s="5" t="s">
        <v>478</v>
      </c>
      <c r="O454" s="11" t="s">
        <v>478</v>
      </c>
      <c r="P454" s="16">
        <v>1</v>
      </c>
      <c r="Q454" s="16">
        <v>2</v>
      </c>
      <c r="R454" s="5" t="str">
        <f t="shared" si="63"/>
        <v>125-2023-03-31</v>
      </c>
    </row>
    <row r="455" spans="1:18" x14ac:dyDescent="0.3">
      <c r="A455" s="26">
        <v>125</v>
      </c>
      <c r="B455" s="5" t="s">
        <v>49</v>
      </c>
      <c r="C455" s="5" t="s">
        <v>24</v>
      </c>
      <c r="D455" s="5" t="s">
        <v>18</v>
      </c>
      <c r="E455" s="5" t="s">
        <v>14</v>
      </c>
      <c r="F455" s="6">
        <v>45046</v>
      </c>
      <c r="G455" s="5">
        <f t="shared" si="69"/>
        <v>2023</v>
      </c>
      <c r="H455" s="5" t="str">
        <f t="shared" si="70"/>
        <v>Abril</v>
      </c>
      <c r="I455" s="6" t="str">
        <f t="shared" si="62"/>
        <v>2023-1</v>
      </c>
      <c r="J455" s="5">
        <v>4.7</v>
      </c>
      <c r="K455" s="12">
        <v>0.13044612575006501</v>
      </c>
      <c r="L455" s="8">
        <f t="shared" si="68"/>
        <v>1</v>
      </c>
      <c r="M455" s="8">
        <v>1</v>
      </c>
      <c r="N455" s="5" t="s">
        <v>478</v>
      </c>
      <c r="O455" s="5" t="s">
        <v>478</v>
      </c>
      <c r="P455" s="16">
        <v>1</v>
      </c>
      <c r="Q455" s="16">
        <v>2</v>
      </c>
      <c r="R455" s="5" t="str">
        <f t="shared" si="63"/>
        <v>125-2023-04-30</v>
      </c>
    </row>
    <row r="456" spans="1:18" x14ac:dyDescent="0.3">
      <c r="A456" s="26">
        <v>125</v>
      </c>
      <c r="B456" s="5" t="s">
        <v>49</v>
      </c>
      <c r="C456" s="5" t="s">
        <v>24</v>
      </c>
      <c r="D456" s="5" t="s">
        <v>18</v>
      </c>
      <c r="E456" s="5" t="s">
        <v>14</v>
      </c>
      <c r="F456" s="6">
        <v>45077</v>
      </c>
      <c r="G456" s="5">
        <f t="shared" si="69"/>
        <v>2023</v>
      </c>
      <c r="H456" s="5" t="str">
        <f t="shared" si="70"/>
        <v>Mayo</v>
      </c>
      <c r="I456" s="6" t="str">
        <f t="shared" si="62"/>
        <v>2023-1</v>
      </c>
      <c r="J456" s="5">
        <v>4.7</v>
      </c>
      <c r="K456" s="12">
        <v>0</v>
      </c>
      <c r="L456" s="8">
        <f t="shared" si="68"/>
        <v>1</v>
      </c>
      <c r="M456" s="8">
        <v>1</v>
      </c>
      <c r="N456" s="5" t="s">
        <v>478</v>
      </c>
      <c r="O456" s="11" t="s">
        <v>478</v>
      </c>
      <c r="P456" s="16">
        <v>1</v>
      </c>
      <c r="Q456" s="16">
        <v>2</v>
      </c>
      <c r="R456" s="5" t="str">
        <f t="shared" si="63"/>
        <v>125-2023-05-31</v>
      </c>
    </row>
    <row r="457" spans="1:18" x14ac:dyDescent="0.3">
      <c r="A457" s="26">
        <v>125</v>
      </c>
      <c r="B457" s="5" t="s">
        <v>49</v>
      </c>
      <c r="C457" s="5" t="s">
        <v>24</v>
      </c>
      <c r="D457" s="5" t="s">
        <v>18</v>
      </c>
      <c r="E457" s="5" t="s">
        <v>14</v>
      </c>
      <c r="F457" s="6">
        <v>45107</v>
      </c>
      <c r="G457" s="5">
        <f t="shared" si="69"/>
        <v>2023</v>
      </c>
      <c r="H457" s="5" t="str">
        <f t="shared" si="70"/>
        <v>Junio</v>
      </c>
      <c r="I457" s="6" t="str">
        <f t="shared" si="62"/>
        <v>2023-1</v>
      </c>
      <c r="J457" s="5">
        <v>4.7</v>
      </c>
      <c r="K457" s="12">
        <v>0</v>
      </c>
      <c r="L457" s="8">
        <f t="shared" si="68"/>
        <v>1</v>
      </c>
      <c r="M457" s="8">
        <v>1</v>
      </c>
      <c r="N457" s="5" t="s">
        <v>478</v>
      </c>
      <c r="O457" s="11" t="s">
        <v>478</v>
      </c>
      <c r="P457" s="16">
        <v>1</v>
      </c>
      <c r="Q457" s="16">
        <v>2</v>
      </c>
      <c r="R457" s="5" t="str">
        <f t="shared" si="63"/>
        <v>125-2023-06-30</v>
      </c>
    </row>
    <row r="458" spans="1:18" x14ac:dyDescent="0.3">
      <c r="A458" s="26">
        <v>125</v>
      </c>
      <c r="B458" s="5" t="s">
        <v>49</v>
      </c>
      <c r="C458" s="5" t="s">
        <v>24</v>
      </c>
      <c r="D458" s="5" t="s">
        <v>18</v>
      </c>
      <c r="E458" s="5" t="s">
        <v>14</v>
      </c>
      <c r="F458" s="6">
        <v>45138</v>
      </c>
      <c r="G458" s="5">
        <f t="shared" si="69"/>
        <v>2023</v>
      </c>
      <c r="H458" s="5" t="str">
        <f t="shared" si="70"/>
        <v>Julio</v>
      </c>
      <c r="I458" s="6" t="str">
        <f t="shared" si="62"/>
        <v>2023-2</v>
      </c>
      <c r="J458" s="5">
        <v>4.7</v>
      </c>
      <c r="K458" s="12">
        <v>1.0566037735849001</v>
      </c>
      <c r="L458" s="8">
        <f t="shared" si="68"/>
        <v>1</v>
      </c>
      <c r="M458" s="8">
        <v>1</v>
      </c>
      <c r="N458" s="5" t="s">
        <v>478</v>
      </c>
      <c r="O458" s="5" t="s">
        <v>478</v>
      </c>
      <c r="P458" s="16">
        <v>1</v>
      </c>
      <c r="Q458" s="16">
        <v>2</v>
      </c>
      <c r="R458" s="5" t="str">
        <f t="shared" si="63"/>
        <v>125-2023-07-31</v>
      </c>
    </row>
    <row r="459" spans="1:18" x14ac:dyDescent="0.3">
      <c r="A459" s="26">
        <v>125</v>
      </c>
      <c r="B459" s="5" t="s">
        <v>49</v>
      </c>
      <c r="C459" s="5" t="s">
        <v>24</v>
      </c>
      <c r="D459" s="5" t="s">
        <v>18</v>
      </c>
      <c r="E459" s="5" t="s">
        <v>14</v>
      </c>
      <c r="F459" s="6">
        <v>45169</v>
      </c>
      <c r="G459" s="5">
        <f t="shared" si="69"/>
        <v>2023</v>
      </c>
      <c r="H459" s="5" t="str">
        <f t="shared" si="70"/>
        <v>Agosto</v>
      </c>
      <c r="I459" s="6" t="str">
        <f t="shared" si="62"/>
        <v>2023-2</v>
      </c>
      <c r="J459" s="5">
        <v>4.7</v>
      </c>
      <c r="K459" s="12">
        <v>0.92</v>
      </c>
      <c r="L459" s="8">
        <f t="shared" si="68"/>
        <v>1</v>
      </c>
      <c r="M459" s="8">
        <v>1</v>
      </c>
      <c r="N459" s="5" t="s">
        <v>478</v>
      </c>
      <c r="O459" s="5" t="s">
        <v>478</v>
      </c>
      <c r="P459" s="16">
        <v>1</v>
      </c>
      <c r="Q459" s="16">
        <v>2</v>
      </c>
      <c r="R459" s="5" t="str">
        <f t="shared" si="63"/>
        <v>125-2023-08-31</v>
      </c>
    </row>
    <row r="460" spans="1:18" x14ac:dyDescent="0.3">
      <c r="A460" s="26">
        <v>125</v>
      </c>
      <c r="B460" s="5" t="s">
        <v>49</v>
      </c>
      <c r="C460" s="5" t="s">
        <v>24</v>
      </c>
      <c r="D460" s="5" t="s">
        <v>18</v>
      </c>
      <c r="E460" s="5" t="s">
        <v>14</v>
      </c>
      <c r="F460" s="6">
        <v>45199</v>
      </c>
      <c r="G460" s="5">
        <f t="shared" si="69"/>
        <v>2023</v>
      </c>
      <c r="H460" s="5" t="str">
        <f t="shared" si="70"/>
        <v>Septiembre</v>
      </c>
      <c r="I460" s="6" t="str">
        <f t="shared" si="62"/>
        <v>2023-2</v>
      </c>
      <c r="J460" s="5">
        <v>4.7</v>
      </c>
      <c r="K460" s="12">
        <v>0</v>
      </c>
      <c r="L460" s="8">
        <f t="shared" si="68"/>
        <v>1</v>
      </c>
      <c r="M460" s="8">
        <v>1</v>
      </c>
      <c r="N460" s="5" t="s">
        <v>478</v>
      </c>
      <c r="O460" s="11" t="s">
        <v>478</v>
      </c>
      <c r="P460" s="16">
        <v>1</v>
      </c>
      <c r="Q460" s="16">
        <v>2</v>
      </c>
      <c r="R460" s="5" t="str">
        <f t="shared" si="63"/>
        <v>125-2023-09-30</v>
      </c>
    </row>
    <row r="461" spans="1:18" x14ac:dyDescent="0.3">
      <c r="A461" s="39">
        <v>125</v>
      </c>
      <c r="B461" s="5" t="s">
        <v>49</v>
      </c>
      <c r="C461" s="5" t="s">
        <v>24</v>
      </c>
      <c r="D461" s="5" t="s">
        <v>18</v>
      </c>
      <c r="E461" s="5" t="s">
        <v>14</v>
      </c>
      <c r="F461" s="6">
        <v>45230</v>
      </c>
      <c r="G461" s="5">
        <f t="shared" si="69"/>
        <v>2023</v>
      </c>
      <c r="H461" s="5" t="str">
        <f t="shared" si="70"/>
        <v>Octubre</v>
      </c>
      <c r="I461" s="6" t="str">
        <f t="shared" si="62"/>
        <v>2023-2</v>
      </c>
      <c r="J461" s="5">
        <v>4.7</v>
      </c>
      <c r="K461" s="12">
        <v>0</v>
      </c>
      <c r="L461" s="8">
        <f t="shared" si="68"/>
        <v>1</v>
      </c>
      <c r="M461" s="8">
        <v>1</v>
      </c>
      <c r="N461" s="5" t="s">
        <v>478</v>
      </c>
      <c r="O461" s="5" t="s">
        <v>478</v>
      </c>
      <c r="P461" s="16">
        <v>1</v>
      </c>
      <c r="Q461" s="16">
        <v>2</v>
      </c>
      <c r="R461" s="5" t="str">
        <f t="shared" si="63"/>
        <v>125-2023-10-31</v>
      </c>
    </row>
    <row r="462" spans="1:18" x14ac:dyDescent="0.3">
      <c r="A462" s="26">
        <v>125</v>
      </c>
      <c r="B462" s="5" t="s">
        <v>49</v>
      </c>
      <c r="C462" s="5" t="s">
        <v>24</v>
      </c>
      <c r="D462" s="5" t="s">
        <v>18</v>
      </c>
      <c r="E462" s="5" t="s">
        <v>14</v>
      </c>
      <c r="F462" s="6">
        <v>45260</v>
      </c>
      <c r="G462" s="5">
        <f t="shared" si="69"/>
        <v>2023</v>
      </c>
      <c r="H462" s="5" t="str">
        <f t="shared" si="70"/>
        <v>Noviembre</v>
      </c>
      <c r="I462" s="6" t="str">
        <f t="shared" si="62"/>
        <v>2023-2</v>
      </c>
      <c r="J462" s="5">
        <v>4.7</v>
      </c>
      <c r="K462" s="12">
        <v>0</v>
      </c>
      <c r="L462" s="8">
        <f t="shared" si="68"/>
        <v>1</v>
      </c>
      <c r="M462" s="8">
        <v>1</v>
      </c>
      <c r="N462" s="5" t="s">
        <v>478</v>
      </c>
      <c r="O462" s="5" t="s">
        <v>478</v>
      </c>
      <c r="P462" s="16">
        <v>1</v>
      </c>
      <c r="Q462" s="16">
        <v>2</v>
      </c>
      <c r="R462" s="5" t="str">
        <f t="shared" si="63"/>
        <v>125-2023-11-30</v>
      </c>
    </row>
    <row r="463" spans="1:18" x14ac:dyDescent="0.3">
      <c r="A463" s="26">
        <v>125</v>
      </c>
      <c r="B463" s="5" t="s">
        <v>49</v>
      </c>
      <c r="C463" s="5" t="s">
        <v>24</v>
      </c>
      <c r="D463" s="5" t="s">
        <v>18</v>
      </c>
      <c r="E463" s="5" t="s">
        <v>14</v>
      </c>
      <c r="F463" s="6">
        <v>45291</v>
      </c>
      <c r="G463" s="5">
        <f t="shared" si="69"/>
        <v>2023</v>
      </c>
      <c r="H463" s="5" t="str">
        <f t="shared" si="70"/>
        <v>Diciembre</v>
      </c>
      <c r="I463" s="6" t="str">
        <f t="shared" si="62"/>
        <v>2023-2</v>
      </c>
      <c r="J463" s="5">
        <v>4.7</v>
      </c>
      <c r="K463" s="12">
        <v>0</v>
      </c>
      <c r="L463" s="8">
        <f t="shared" si="68"/>
        <v>1</v>
      </c>
      <c r="M463" s="8">
        <v>1</v>
      </c>
      <c r="N463" s="5" t="s">
        <v>478</v>
      </c>
      <c r="O463" s="5" t="s">
        <v>478</v>
      </c>
      <c r="P463" s="16">
        <v>1</v>
      </c>
      <c r="Q463" s="16">
        <v>2</v>
      </c>
      <c r="R463" s="5" t="str">
        <f t="shared" si="63"/>
        <v>125-2023-12-31</v>
      </c>
    </row>
    <row r="464" spans="1:18" x14ac:dyDescent="0.3">
      <c r="A464" s="26">
        <v>125</v>
      </c>
      <c r="B464" s="5" t="s">
        <v>49</v>
      </c>
      <c r="C464" s="5" t="s">
        <v>24</v>
      </c>
      <c r="D464" s="5" t="s">
        <v>18</v>
      </c>
      <c r="E464" s="5" t="s">
        <v>14</v>
      </c>
      <c r="F464" s="6">
        <v>45322</v>
      </c>
      <c r="G464" s="5">
        <f t="shared" si="69"/>
        <v>2024</v>
      </c>
      <c r="H464" s="5" t="str">
        <f t="shared" si="70"/>
        <v>Enero</v>
      </c>
      <c r="I464" s="6" t="str">
        <f t="shared" si="62"/>
        <v>2024-1</v>
      </c>
      <c r="J464" s="5">
        <v>1.9</v>
      </c>
      <c r="K464" s="12">
        <v>0</v>
      </c>
      <c r="L464" s="8">
        <f t="shared" si="68"/>
        <v>1</v>
      </c>
      <c r="M464" s="8">
        <v>1</v>
      </c>
      <c r="N464" s="5" t="s">
        <v>478</v>
      </c>
      <c r="O464" s="5" t="s">
        <v>478</v>
      </c>
      <c r="P464" s="16">
        <v>1</v>
      </c>
      <c r="Q464" s="16">
        <v>2</v>
      </c>
      <c r="R464" s="5" t="str">
        <f t="shared" si="63"/>
        <v>125-2024-01-31</v>
      </c>
    </row>
    <row r="465" spans="1:18" x14ac:dyDescent="0.3">
      <c r="A465" s="26">
        <v>125</v>
      </c>
      <c r="B465" s="5" t="s">
        <v>49</v>
      </c>
      <c r="C465" s="5" t="s">
        <v>24</v>
      </c>
      <c r="D465" s="5" t="s">
        <v>18</v>
      </c>
      <c r="E465" s="5" t="s">
        <v>14</v>
      </c>
      <c r="F465" s="6">
        <v>45351</v>
      </c>
      <c r="G465" s="5">
        <f t="shared" si="69"/>
        <v>2024</v>
      </c>
      <c r="H465" s="5" t="str">
        <f t="shared" si="70"/>
        <v>Febrero</v>
      </c>
      <c r="I465" s="6" t="str">
        <f t="shared" si="62"/>
        <v>2024-1</v>
      </c>
      <c r="J465" s="5">
        <v>1.9</v>
      </c>
      <c r="K465" s="10">
        <v>0</v>
      </c>
      <c r="L465" s="8">
        <f t="shared" ref="L465:L467" si="71">IF(K465&lt;=J465,100%,J465/K465)</f>
        <v>1</v>
      </c>
      <c r="M465" s="8">
        <v>1</v>
      </c>
      <c r="N465" s="5" t="s">
        <v>478</v>
      </c>
      <c r="O465" s="5" t="s">
        <v>478</v>
      </c>
      <c r="P465" s="16">
        <v>1</v>
      </c>
      <c r="Q465" s="16">
        <v>2</v>
      </c>
      <c r="R465" s="5" t="str">
        <f t="shared" si="63"/>
        <v>125-2024-02-29</v>
      </c>
    </row>
    <row r="466" spans="1:18" x14ac:dyDescent="0.3">
      <c r="A466" s="26">
        <v>125</v>
      </c>
      <c r="B466" s="5" t="s">
        <v>49</v>
      </c>
      <c r="C466" s="5" t="s">
        <v>24</v>
      </c>
      <c r="D466" s="5" t="s">
        <v>18</v>
      </c>
      <c r="E466" s="5" t="s">
        <v>14</v>
      </c>
      <c r="F466" s="6">
        <v>45382</v>
      </c>
      <c r="G466" s="5">
        <f t="shared" si="69"/>
        <v>2024</v>
      </c>
      <c r="H466" s="5" t="str">
        <f t="shared" si="70"/>
        <v>Marzo</v>
      </c>
      <c r="I466" s="6" t="str">
        <f t="shared" si="62"/>
        <v>2024-1</v>
      </c>
      <c r="J466" s="5">
        <v>1.9</v>
      </c>
      <c r="K466" s="12">
        <v>0</v>
      </c>
      <c r="L466" s="8">
        <f t="shared" si="71"/>
        <v>1</v>
      </c>
      <c r="M466" s="8">
        <v>1</v>
      </c>
      <c r="N466" s="5" t="s">
        <v>478</v>
      </c>
      <c r="O466" s="5" t="s">
        <v>478</v>
      </c>
      <c r="P466" s="16">
        <v>1</v>
      </c>
      <c r="Q466" s="16">
        <v>2</v>
      </c>
      <c r="R466" s="5" t="str">
        <f t="shared" si="63"/>
        <v>125-2024-03-31</v>
      </c>
    </row>
    <row r="467" spans="1:18" x14ac:dyDescent="0.3">
      <c r="A467" s="26">
        <v>125</v>
      </c>
      <c r="B467" s="5" t="s">
        <v>49</v>
      </c>
      <c r="C467" s="5" t="s">
        <v>24</v>
      </c>
      <c r="D467" s="5" t="s">
        <v>18</v>
      </c>
      <c r="E467" s="5" t="s">
        <v>14</v>
      </c>
      <c r="F467" s="6">
        <v>45412</v>
      </c>
      <c r="G467" s="5">
        <f t="shared" si="69"/>
        <v>2024</v>
      </c>
      <c r="H467" s="5" t="str">
        <f t="shared" si="70"/>
        <v>Abril</v>
      </c>
      <c r="I467" s="6" t="str">
        <f t="shared" si="62"/>
        <v>2024-1</v>
      </c>
      <c r="J467" s="5">
        <v>1.9</v>
      </c>
      <c r="K467" s="12">
        <v>0</v>
      </c>
      <c r="L467" s="8">
        <f t="shared" si="71"/>
        <v>1</v>
      </c>
      <c r="M467" s="8">
        <v>1</v>
      </c>
      <c r="N467" s="5" t="s">
        <v>478</v>
      </c>
      <c r="O467" s="5" t="s">
        <v>478</v>
      </c>
      <c r="P467" s="16">
        <v>1</v>
      </c>
      <c r="Q467" s="16">
        <v>2</v>
      </c>
      <c r="R467" s="5" t="str">
        <f t="shared" si="63"/>
        <v>125-2024-04-30</v>
      </c>
    </row>
    <row r="468" spans="1:18" x14ac:dyDescent="0.3">
      <c r="A468" s="26">
        <v>125</v>
      </c>
      <c r="B468" s="5" t="s">
        <v>49</v>
      </c>
      <c r="C468" s="5" t="s">
        <v>24</v>
      </c>
      <c r="D468" s="5" t="s">
        <v>18</v>
      </c>
      <c r="E468" s="5" t="s">
        <v>14</v>
      </c>
      <c r="F468" s="6">
        <v>45443</v>
      </c>
      <c r="G468" s="5">
        <f t="shared" si="69"/>
        <v>2024</v>
      </c>
      <c r="H468" s="5" t="str">
        <f t="shared" si="70"/>
        <v>Mayo</v>
      </c>
      <c r="I468" s="6" t="str">
        <f t="shared" si="62"/>
        <v>2024-1</v>
      </c>
      <c r="J468" s="5">
        <v>1.9</v>
      </c>
      <c r="K468" s="12">
        <v>0.21</v>
      </c>
      <c r="L468" s="8">
        <f t="shared" ref="L468:L476" si="72">IF(K468&lt;=J468,100%,J468/K468)</f>
        <v>1</v>
      </c>
      <c r="M468" s="8">
        <v>1</v>
      </c>
      <c r="N468" s="5" t="s">
        <v>478</v>
      </c>
      <c r="O468" s="11" t="s">
        <v>478</v>
      </c>
      <c r="P468" s="16">
        <v>1</v>
      </c>
      <c r="Q468" s="16">
        <v>2</v>
      </c>
      <c r="R468" s="5" t="str">
        <f t="shared" si="63"/>
        <v>125-2024-05-31</v>
      </c>
    </row>
    <row r="469" spans="1:18" x14ac:dyDescent="0.3">
      <c r="A469" s="26">
        <v>125</v>
      </c>
      <c r="B469" s="5" t="s">
        <v>49</v>
      </c>
      <c r="C469" s="5" t="s">
        <v>24</v>
      </c>
      <c r="D469" s="5" t="s">
        <v>18</v>
      </c>
      <c r="E469" s="5" t="s">
        <v>14</v>
      </c>
      <c r="F469" s="6">
        <v>45473</v>
      </c>
      <c r="G469" s="5">
        <f t="shared" si="69"/>
        <v>2024</v>
      </c>
      <c r="H469" s="5" t="str">
        <f t="shared" si="70"/>
        <v>Junio</v>
      </c>
      <c r="I469" s="6" t="str">
        <f t="shared" si="62"/>
        <v>2024-1</v>
      </c>
      <c r="J469" s="5">
        <v>1.9</v>
      </c>
      <c r="K469" s="12">
        <v>0</v>
      </c>
      <c r="L469" s="8">
        <f t="shared" si="72"/>
        <v>1</v>
      </c>
      <c r="M469" s="8">
        <v>1</v>
      </c>
      <c r="N469" s="5" t="s">
        <v>478</v>
      </c>
      <c r="O469" s="11" t="s">
        <v>478</v>
      </c>
      <c r="P469" s="16">
        <v>1</v>
      </c>
      <c r="Q469" s="16">
        <v>2</v>
      </c>
      <c r="R469" s="5" t="str">
        <f t="shared" si="63"/>
        <v>125-2024-06-30</v>
      </c>
    </row>
    <row r="470" spans="1:18" x14ac:dyDescent="0.3">
      <c r="A470" s="26">
        <v>125</v>
      </c>
      <c r="B470" s="5" t="s">
        <v>49</v>
      </c>
      <c r="C470" s="5" t="s">
        <v>24</v>
      </c>
      <c r="D470" s="5" t="s">
        <v>18</v>
      </c>
      <c r="E470" s="5" t="s">
        <v>14</v>
      </c>
      <c r="F470" s="6">
        <v>45504</v>
      </c>
      <c r="G470" s="5">
        <f t="shared" si="69"/>
        <v>2024</v>
      </c>
      <c r="H470" s="5" t="str">
        <f t="shared" si="70"/>
        <v>Julio</v>
      </c>
      <c r="I470" s="6" t="str">
        <f t="shared" si="62"/>
        <v>2024-2</v>
      </c>
      <c r="J470" s="5">
        <v>1.9</v>
      </c>
      <c r="K470" s="12">
        <v>0</v>
      </c>
      <c r="L470" s="8">
        <f t="shared" si="72"/>
        <v>1</v>
      </c>
      <c r="M470" s="8">
        <v>1</v>
      </c>
      <c r="N470" s="5" t="s">
        <v>478</v>
      </c>
      <c r="O470" s="5" t="s">
        <v>478</v>
      </c>
      <c r="P470" s="16">
        <v>1</v>
      </c>
      <c r="Q470" s="16">
        <v>2</v>
      </c>
      <c r="R470" s="5" t="str">
        <f t="shared" si="63"/>
        <v>125-2024-07-31</v>
      </c>
    </row>
    <row r="471" spans="1:18" x14ac:dyDescent="0.3">
      <c r="A471" s="26">
        <v>125</v>
      </c>
      <c r="B471" s="5" t="s">
        <v>49</v>
      </c>
      <c r="C471" s="5" t="s">
        <v>24</v>
      </c>
      <c r="D471" s="5" t="s">
        <v>18</v>
      </c>
      <c r="E471" s="5" t="s">
        <v>14</v>
      </c>
      <c r="F471" s="6">
        <v>45535</v>
      </c>
      <c r="G471" s="5">
        <f t="shared" si="69"/>
        <v>2024</v>
      </c>
      <c r="H471" s="5" t="str">
        <f t="shared" si="70"/>
        <v>Agosto</v>
      </c>
      <c r="I471" s="6" t="str">
        <f t="shared" si="62"/>
        <v>2024-2</v>
      </c>
      <c r="J471" s="5">
        <v>1.9</v>
      </c>
      <c r="K471" s="12">
        <v>0</v>
      </c>
      <c r="L471" s="8">
        <f t="shared" si="72"/>
        <v>1</v>
      </c>
      <c r="M471" s="8">
        <v>1</v>
      </c>
      <c r="N471" s="5" t="s">
        <v>478</v>
      </c>
      <c r="O471" s="5" t="s">
        <v>478</v>
      </c>
      <c r="P471" s="16">
        <v>1</v>
      </c>
      <c r="Q471" s="16">
        <v>2</v>
      </c>
      <c r="R471" s="5" t="str">
        <f t="shared" si="63"/>
        <v>125-2024-08-31</v>
      </c>
    </row>
    <row r="472" spans="1:18" x14ac:dyDescent="0.3">
      <c r="A472" s="26">
        <v>125</v>
      </c>
      <c r="B472" s="5" t="s">
        <v>49</v>
      </c>
      <c r="C472" s="5" t="s">
        <v>24</v>
      </c>
      <c r="D472" s="5" t="s">
        <v>18</v>
      </c>
      <c r="E472" s="5" t="s">
        <v>14</v>
      </c>
      <c r="F472" s="6">
        <v>45565</v>
      </c>
      <c r="G472" s="5">
        <f t="shared" si="69"/>
        <v>2024</v>
      </c>
      <c r="H472" s="5" t="str">
        <f t="shared" si="70"/>
        <v>Septiembre</v>
      </c>
      <c r="I472" s="6" t="str">
        <f t="shared" si="62"/>
        <v>2024-2</v>
      </c>
      <c r="J472" s="5">
        <v>1.9</v>
      </c>
      <c r="K472" s="12">
        <v>0</v>
      </c>
      <c r="L472" s="8">
        <f t="shared" si="72"/>
        <v>1</v>
      </c>
      <c r="M472" s="8">
        <v>1</v>
      </c>
      <c r="N472" s="5" t="s">
        <v>478</v>
      </c>
      <c r="O472" s="11" t="s">
        <v>478</v>
      </c>
      <c r="P472" s="16">
        <v>1</v>
      </c>
      <c r="Q472" s="16">
        <v>2</v>
      </c>
      <c r="R472" s="5" t="str">
        <f t="shared" si="63"/>
        <v>125-2024-09-30</v>
      </c>
    </row>
    <row r="473" spans="1:18" x14ac:dyDescent="0.3">
      <c r="A473" s="39">
        <v>125</v>
      </c>
      <c r="B473" s="5" t="s">
        <v>49</v>
      </c>
      <c r="C473" s="5" t="s">
        <v>24</v>
      </c>
      <c r="D473" s="5" t="s">
        <v>18</v>
      </c>
      <c r="E473" s="5" t="s">
        <v>14</v>
      </c>
      <c r="F473" s="6">
        <v>45596</v>
      </c>
      <c r="G473" s="5">
        <f t="shared" si="69"/>
        <v>2024</v>
      </c>
      <c r="H473" s="5" t="str">
        <f t="shared" si="70"/>
        <v>Octubre</v>
      </c>
      <c r="I473" s="6" t="str">
        <f t="shared" si="62"/>
        <v>2024-2</v>
      </c>
      <c r="J473" s="5">
        <v>1.9</v>
      </c>
      <c r="K473" s="9">
        <v>0</v>
      </c>
      <c r="L473" s="8">
        <f t="shared" si="72"/>
        <v>1</v>
      </c>
      <c r="M473" s="8">
        <v>1</v>
      </c>
      <c r="N473" s="5" t="s">
        <v>478</v>
      </c>
      <c r="O473" s="5" t="s">
        <v>478</v>
      </c>
      <c r="P473" s="16">
        <v>1</v>
      </c>
      <c r="Q473" s="16">
        <v>2</v>
      </c>
      <c r="R473" s="5" t="str">
        <f t="shared" si="63"/>
        <v>125-2024-10-31</v>
      </c>
    </row>
    <row r="474" spans="1:18" x14ac:dyDescent="0.3">
      <c r="A474" s="26">
        <v>125</v>
      </c>
      <c r="B474" s="5" t="s">
        <v>49</v>
      </c>
      <c r="C474" s="5" t="s">
        <v>24</v>
      </c>
      <c r="D474" s="5" t="s">
        <v>18</v>
      </c>
      <c r="E474" s="5" t="s">
        <v>14</v>
      </c>
      <c r="F474" s="6">
        <v>45626</v>
      </c>
      <c r="G474" s="5">
        <f t="shared" si="69"/>
        <v>2024</v>
      </c>
      <c r="H474" s="5" t="str">
        <f t="shared" si="70"/>
        <v>Noviembre</v>
      </c>
      <c r="I474" s="6" t="str">
        <f t="shared" si="62"/>
        <v>2024-2</v>
      </c>
      <c r="J474" s="5">
        <v>1.9</v>
      </c>
      <c r="K474" s="9">
        <v>0</v>
      </c>
      <c r="L474" s="8">
        <f t="shared" si="72"/>
        <v>1</v>
      </c>
      <c r="M474" s="8">
        <v>1</v>
      </c>
      <c r="N474" s="5" t="s">
        <v>478</v>
      </c>
      <c r="O474" s="5" t="s">
        <v>478</v>
      </c>
      <c r="P474" s="16">
        <v>1</v>
      </c>
      <c r="Q474" s="16">
        <v>2</v>
      </c>
      <c r="R474" s="5" t="str">
        <f t="shared" si="63"/>
        <v>125-2024-11-30</v>
      </c>
    </row>
    <row r="475" spans="1:18" x14ac:dyDescent="0.3">
      <c r="A475" s="26">
        <v>125</v>
      </c>
      <c r="B475" s="5" t="s">
        <v>49</v>
      </c>
      <c r="C475" s="5" t="s">
        <v>24</v>
      </c>
      <c r="D475" s="5" t="s">
        <v>18</v>
      </c>
      <c r="E475" s="5" t="s">
        <v>14</v>
      </c>
      <c r="F475" s="6">
        <v>45657</v>
      </c>
      <c r="G475" s="5">
        <f t="shared" si="69"/>
        <v>2024</v>
      </c>
      <c r="H475" s="5" t="str">
        <f t="shared" si="70"/>
        <v>Diciembre</v>
      </c>
      <c r="I475" s="6" t="str">
        <f t="shared" si="62"/>
        <v>2024-2</v>
      </c>
      <c r="J475" s="5">
        <v>1.9</v>
      </c>
      <c r="K475" s="12">
        <v>0.91</v>
      </c>
      <c r="L475" s="8">
        <f t="shared" si="72"/>
        <v>1</v>
      </c>
      <c r="M475" s="8">
        <v>1</v>
      </c>
      <c r="N475" s="5" t="s">
        <v>478</v>
      </c>
      <c r="O475" s="5" t="s">
        <v>478</v>
      </c>
      <c r="P475" s="16">
        <v>1</v>
      </c>
      <c r="Q475" s="16">
        <v>2</v>
      </c>
      <c r="R475" s="5" t="str">
        <f t="shared" si="63"/>
        <v>125-2024-12-31</v>
      </c>
    </row>
    <row r="476" spans="1:18" x14ac:dyDescent="0.3">
      <c r="A476" s="39">
        <v>126</v>
      </c>
      <c r="B476" s="5" t="s">
        <v>50</v>
      </c>
      <c r="C476" s="5" t="s">
        <v>24</v>
      </c>
      <c r="D476" s="5" t="s">
        <v>25</v>
      </c>
      <c r="E476" s="5" t="s">
        <v>14</v>
      </c>
      <c r="F476" s="6">
        <v>44926</v>
      </c>
      <c r="G476" s="5">
        <f t="shared" si="69"/>
        <v>2022</v>
      </c>
      <c r="H476" s="5" t="str">
        <f t="shared" si="70"/>
        <v>Diciembre</v>
      </c>
      <c r="I476" s="6" t="str">
        <f t="shared" si="62"/>
        <v>2022-2</v>
      </c>
      <c r="J476" s="5">
        <v>2</v>
      </c>
      <c r="K476" s="12">
        <v>0.12</v>
      </c>
      <c r="L476" s="8">
        <f t="shared" si="72"/>
        <v>1</v>
      </c>
      <c r="M476" s="8">
        <f t="shared" ref="M476:M481" si="73">IF(K476&lt;=J476,100%,J476/K476)</f>
        <v>1</v>
      </c>
      <c r="N476" s="5" t="s">
        <v>478</v>
      </c>
      <c r="O476" s="5" t="s">
        <v>478</v>
      </c>
      <c r="P476" s="16">
        <v>0</v>
      </c>
      <c r="Q476" s="16">
        <v>2</v>
      </c>
      <c r="R476" s="5" t="str">
        <f t="shared" si="63"/>
        <v>126-2022-12-31</v>
      </c>
    </row>
    <row r="477" spans="1:18" x14ac:dyDescent="0.3">
      <c r="A477" s="39">
        <v>126</v>
      </c>
      <c r="B477" s="5" t="s">
        <v>50</v>
      </c>
      <c r="C477" s="5" t="s">
        <v>24</v>
      </c>
      <c r="D477" s="5" t="s">
        <v>25</v>
      </c>
      <c r="E477" s="5" t="s">
        <v>14</v>
      </c>
      <c r="F477" s="6">
        <v>45291</v>
      </c>
      <c r="G477" s="5">
        <f t="shared" si="69"/>
        <v>2023</v>
      </c>
      <c r="H477" s="5" t="str">
        <f t="shared" si="70"/>
        <v>Diciembre</v>
      </c>
      <c r="I477" s="6" t="str">
        <f t="shared" ref="I477" si="74">IF(OR(H477="Enero",H477="Febrero",H477="Marzo",H477="Abril",H477="Mayo",H477="Junio"),G477&amp;"-1",IF(OR(H477="Julio",H477="Agosto",H477="Septiembre",H477="Octubre",H477="Noviembre",H477="Diciembre"),G477&amp;"-2"))</f>
        <v>2023-2</v>
      </c>
      <c r="J477" s="5">
        <v>2</v>
      </c>
      <c r="K477" s="12">
        <v>0.12</v>
      </c>
      <c r="L477" s="8">
        <f t="shared" ref="L477:L478" si="75">IF(K477&lt;=J477,100%,J477/K477)</f>
        <v>1</v>
      </c>
      <c r="M477" s="8">
        <f t="shared" si="73"/>
        <v>1</v>
      </c>
      <c r="N477" s="5" t="s">
        <v>478</v>
      </c>
      <c r="O477" s="5" t="s">
        <v>478</v>
      </c>
      <c r="P477" s="16">
        <v>0</v>
      </c>
      <c r="Q477" s="16">
        <v>2</v>
      </c>
      <c r="R477" s="5" t="str">
        <f t="shared" ref="R477" si="76">A477&amp;"-"&amp;YEAR(F477)&amp;"-"&amp;IF(LEN(MONTH(F477))=1,"0"&amp;MONTH(F477),MONTH(F477))&amp;"-"&amp;DAY(F477)</f>
        <v>126-2023-12-31</v>
      </c>
    </row>
    <row r="478" spans="1:18" x14ac:dyDescent="0.3">
      <c r="A478" s="26">
        <v>126</v>
      </c>
      <c r="B478" s="5" t="s">
        <v>50</v>
      </c>
      <c r="C478" s="5" t="s">
        <v>24</v>
      </c>
      <c r="D478" s="5" t="s">
        <v>25</v>
      </c>
      <c r="E478" s="5" t="s">
        <v>14</v>
      </c>
      <c r="F478" s="6">
        <v>45657</v>
      </c>
      <c r="G478" s="5">
        <f t="shared" si="69"/>
        <v>2024</v>
      </c>
      <c r="H478" s="5" t="str">
        <f t="shared" si="70"/>
        <v>Diciembre</v>
      </c>
      <c r="I478" s="6" t="str">
        <f t="shared" si="62"/>
        <v>2024-2</v>
      </c>
      <c r="J478" s="5">
        <v>2</v>
      </c>
      <c r="K478" s="10">
        <v>0.1</v>
      </c>
      <c r="L478" s="8">
        <f t="shared" si="75"/>
        <v>1</v>
      </c>
      <c r="M478" s="8">
        <f t="shared" si="73"/>
        <v>1</v>
      </c>
      <c r="N478" s="5" t="s">
        <v>478</v>
      </c>
      <c r="O478" s="5" t="s">
        <v>478</v>
      </c>
      <c r="P478" s="16">
        <v>0</v>
      </c>
      <c r="Q478" s="16">
        <v>1</v>
      </c>
      <c r="R478" s="5" t="str">
        <f t="shared" si="63"/>
        <v>126-2024-12-31</v>
      </c>
    </row>
    <row r="479" spans="1:18" x14ac:dyDescent="0.3">
      <c r="A479" s="39">
        <v>127</v>
      </c>
      <c r="B479" s="5" t="s">
        <v>51</v>
      </c>
      <c r="C479" s="5" t="s">
        <v>24</v>
      </c>
      <c r="D479" s="5" t="s">
        <v>25</v>
      </c>
      <c r="E479" s="5" t="s">
        <v>14</v>
      </c>
      <c r="F479" s="6">
        <v>44926</v>
      </c>
      <c r="G479" s="5">
        <f t="shared" si="69"/>
        <v>2022</v>
      </c>
      <c r="H479" s="5" t="str">
        <f t="shared" si="70"/>
        <v>Diciembre</v>
      </c>
      <c r="I479" s="6" t="str">
        <f t="shared" si="62"/>
        <v>2022-2</v>
      </c>
      <c r="J479" s="5">
        <v>0</v>
      </c>
      <c r="K479" s="9">
        <v>0</v>
      </c>
      <c r="L479" s="8">
        <f>IF(K479&lt;=J479,100%,J479/K479)</f>
        <v>1</v>
      </c>
      <c r="M479" s="8">
        <f t="shared" si="73"/>
        <v>1</v>
      </c>
      <c r="N479" s="5"/>
      <c r="O479" s="5"/>
      <c r="P479" s="16">
        <v>0</v>
      </c>
      <c r="Q479" s="16">
        <v>0</v>
      </c>
      <c r="R479" s="5" t="str">
        <f t="shared" si="63"/>
        <v>127-2022-12-31</v>
      </c>
    </row>
    <row r="480" spans="1:18" x14ac:dyDescent="0.3">
      <c r="A480" s="39">
        <v>127</v>
      </c>
      <c r="B480" s="5" t="s">
        <v>51</v>
      </c>
      <c r="C480" s="5" t="s">
        <v>24</v>
      </c>
      <c r="D480" s="5" t="s">
        <v>25</v>
      </c>
      <c r="E480" s="5" t="s">
        <v>14</v>
      </c>
      <c r="F480" s="6">
        <v>45291</v>
      </c>
      <c r="G480" s="5">
        <f t="shared" si="69"/>
        <v>2023</v>
      </c>
      <c r="H480" s="5" t="str">
        <f t="shared" si="70"/>
        <v>Diciembre</v>
      </c>
      <c r="I480" s="6" t="str">
        <f t="shared" ref="I480" si="77">IF(OR(H480="Enero",H480="Febrero",H480="Marzo",H480="Abril",H480="Mayo",H480="Junio"),G480&amp;"-1",IF(OR(H480="Julio",H480="Agosto",H480="Septiembre",H480="Octubre",H480="Noviembre",H480="Diciembre"),G480&amp;"-2"))</f>
        <v>2023-2</v>
      </c>
      <c r="J480" s="5">
        <v>0</v>
      </c>
      <c r="K480" s="9">
        <v>0</v>
      </c>
      <c r="L480" s="8">
        <f>IF(K480&lt;=J480,100%,J480/K480)</f>
        <v>1</v>
      </c>
      <c r="M480" s="8">
        <f t="shared" si="73"/>
        <v>1</v>
      </c>
      <c r="N480" s="5"/>
      <c r="O480" s="5"/>
      <c r="P480" s="16">
        <v>0</v>
      </c>
      <c r="Q480" s="16">
        <v>0</v>
      </c>
      <c r="R480" s="5" t="str">
        <f t="shared" ref="R480" si="78">A480&amp;"-"&amp;YEAR(F480)&amp;"-"&amp;IF(LEN(MONTH(F480))=1,"0"&amp;MONTH(F480),MONTH(F480))&amp;"-"&amp;DAY(F480)</f>
        <v>127-2023-12-31</v>
      </c>
    </row>
    <row r="481" spans="1:18" x14ac:dyDescent="0.3">
      <c r="A481" s="26">
        <v>127</v>
      </c>
      <c r="B481" s="5" t="s">
        <v>51</v>
      </c>
      <c r="C481" s="5" t="s">
        <v>24</v>
      </c>
      <c r="D481" s="5" t="s">
        <v>25</v>
      </c>
      <c r="E481" s="5" t="s">
        <v>14</v>
      </c>
      <c r="F481" s="6">
        <v>45657</v>
      </c>
      <c r="G481" s="5">
        <f t="shared" si="69"/>
        <v>2024</v>
      </c>
      <c r="H481" s="5" t="str">
        <f t="shared" si="70"/>
        <v>Diciembre</v>
      </c>
      <c r="I481" s="6" t="str">
        <f t="shared" si="62"/>
        <v>2024-2</v>
      </c>
      <c r="J481" s="5">
        <v>0</v>
      </c>
      <c r="K481" s="10">
        <v>0</v>
      </c>
      <c r="L481" s="8">
        <f>IF(K481&lt;=J481,100%,J481/K481)</f>
        <v>1</v>
      </c>
      <c r="M481" s="8">
        <f t="shared" si="73"/>
        <v>1</v>
      </c>
      <c r="N481" s="5"/>
      <c r="O481" s="5"/>
      <c r="P481" s="16">
        <v>0</v>
      </c>
      <c r="Q481" s="16">
        <v>0</v>
      </c>
      <c r="R481" s="5" t="str">
        <f t="shared" si="63"/>
        <v>127-2024-12-31</v>
      </c>
    </row>
    <row r="482" spans="1:18" x14ac:dyDescent="0.3">
      <c r="A482" s="26">
        <v>128</v>
      </c>
      <c r="B482" s="5" t="s">
        <v>52</v>
      </c>
      <c r="C482" s="5" t="s">
        <v>24</v>
      </c>
      <c r="D482" s="5" t="s">
        <v>18</v>
      </c>
      <c r="E482" s="5" t="s">
        <v>14</v>
      </c>
      <c r="F482" s="6">
        <v>44592</v>
      </c>
      <c r="G482" s="5">
        <f t="shared" si="69"/>
        <v>2022</v>
      </c>
      <c r="H482" s="5" t="str">
        <f t="shared" si="70"/>
        <v>Enero</v>
      </c>
      <c r="I482" s="6" t="str">
        <f t="shared" si="62"/>
        <v>2022-1</v>
      </c>
      <c r="J482" s="5">
        <v>1</v>
      </c>
      <c r="K482" s="12">
        <v>0.56000000000000005</v>
      </c>
      <c r="L482" s="8">
        <f t="shared" ref="L482:L517" si="79">IF(IFERROR(J482/K482,"")&gt;1,1,J482/K482)</f>
        <v>1</v>
      </c>
      <c r="M482" s="8">
        <f t="shared" ref="M482:M517" si="80">IF(IFERROR(J482/K482,"")&gt;1,1,J482/K482)</f>
        <v>1</v>
      </c>
      <c r="N482" s="5" t="s">
        <v>478</v>
      </c>
      <c r="O482" s="5" t="s">
        <v>478</v>
      </c>
      <c r="P482" s="16">
        <v>0</v>
      </c>
      <c r="Q482" s="16">
        <v>2</v>
      </c>
      <c r="R482" s="5" t="str">
        <f t="shared" si="63"/>
        <v>128-2022-01-31</v>
      </c>
    </row>
    <row r="483" spans="1:18" x14ac:dyDescent="0.3">
      <c r="A483" s="26">
        <v>128</v>
      </c>
      <c r="B483" s="5" t="s">
        <v>52</v>
      </c>
      <c r="C483" s="5" t="s">
        <v>24</v>
      </c>
      <c r="D483" s="5" t="s">
        <v>18</v>
      </c>
      <c r="E483" s="5" t="s">
        <v>14</v>
      </c>
      <c r="F483" s="17">
        <v>44620</v>
      </c>
      <c r="G483" s="5">
        <f t="shared" si="69"/>
        <v>2022</v>
      </c>
      <c r="H483" s="5" t="str">
        <f t="shared" si="70"/>
        <v>Febrero</v>
      </c>
      <c r="I483" s="6" t="str">
        <f t="shared" si="62"/>
        <v>2022-1</v>
      </c>
      <c r="J483" s="5">
        <v>1</v>
      </c>
      <c r="K483" s="12">
        <v>0.94</v>
      </c>
      <c r="L483" s="8">
        <f t="shared" si="79"/>
        <v>1</v>
      </c>
      <c r="M483" s="8">
        <f t="shared" si="80"/>
        <v>1</v>
      </c>
      <c r="N483" s="5" t="s">
        <v>478</v>
      </c>
      <c r="O483" s="5" t="s">
        <v>478</v>
      </c>
      <c r="P483" s="16">
        <v>0</v>
      </c>
      <c r="Q483" s="16">
        <v>2</v>
      </c>
      <c r="R483" s="5" t="str">
        <f t="shared" si="63"/>
        <v>128-2022-02-28</v>
      </c>
    </row>
    <row r="484" spans="1:18" x14ac:dyDescent="0.3">
      <c r="A484" s="26">
        <v>128</v>
      </c>
      <c r="B484" s="5" t="s">
        <v>52</v>
      </c>
      <c r="C484" s="5" t="s">
        <v>24</v>
      </c>
      <c r="D484" s="5" t="s">
        <v>18</v>
      </c>
      <c r="E484" s="5" t="s">
        <v>14</v>
      </c>
      <c r="F484" s="6">
        <v>44651</v>
      </c>
      <c r="G484" s="5">
        <f t="shared" si="69"/>
        <v>2022</v>
      </c>
      <c r="H484" s="5" t="str">
        <f t="shared" si="70"/>
        <v>Marzo</v>
      </c>
      <c r="I484" s="6" t="str">
        <f t="shared" si="62"/>
        <v>2022-1</v>
      </c>
      <c r="J484" s="5">
        <v>1</v>
      </c>
      <c r="K484" s="12">
        <v>0.67</v>
      </c>
      <c r="L484" s="8">
        <f t="shared" si="79"/>
        <v>1</v>
      </c>
      <c r="M484" s="8">
        <f t="shared" si="80"/>
        <v>1</v>
      </c>
      <c r="N484" s="5" t="s">
        <v>478</v>
      </c>
      <c r="O484" s="5" t="s">
        <v>478</v>
      </c>
      <c r="P484" s="16">
        <v>0</v>
      </c>
      <c r="Q484" s="16">
        <v>2</v>
      </c>
      <c r="R484" s="5" t="str">
        <f t="shared" si="63"/>
        <v>128-2022-03-31</v>
      </c>
    </row>
    <row r="485" spans="1:18" x14ac:dyDescent="0.3">
      <c r="A485" s="26">
        <v>128</v>
      </c>
      <c r="B485" s="5" t="s">
        <v>52</v>
      </c>
      <c r="C485" s="5" t="s">
        <v>24</v>
      </c>
      <c r="D485" s="5" t="s">
        <v>18</v>
      </c>
      <c r="E485" s="5" t="s">
        <v>14</v>
      </c>
      <c r="F485" s="6">
        <v>44681</v>
      </c>
      <c r="G485" s="5">
        <f t="shared" si="69"/>
        <v>2022</v>
      </c>
      <c r="H485" s="5" t="str">
        <f t="shared" si="70"/>
        <v>Abril</v>
      </c>
      <c r="I485" s="6" t="str">
        <f t="shared" si="62"/>
        <v>2022-1</v>
      </c>
      <c r="J485" s="5">
        <v>1</v>
      </c>
      <c r="K485" s="12">
        <v>0.78</v>
      </c>
      <c r="L485" s="8">
        <f t="shared" si="79"/>
        <v>1</v>
      </c>
      <c r="M485" s="8">
        <f t="shared" si="80"/>
        <v>1</v>
      </c>
      <c r="N485" s="5" t="s">
        <v>478</v>
      </c>
      <c r="O485" s="5" t="s">
        <v>478</v>
      </c>
      <c r="P485" s="16">
        <v>0</v>
      </c>
      <c r="Q485" s="16">
        <v>2</v>
      </c>
      <c r="R485" s="5" t="str">
        <f t="shared" si="63"/>
        <v>128-2022-04-30</v>
      </c>
    </row>
    <row r="486" spans="1:18" x14ac:dyDescent="0.3">
      <c r="A486" s="26">
        <v>128</v>
      </c>
      <c r="B486" s="5" t="s">
        <v>52</v>
      </c>
      <c r="C486" s="5" t="s">
        <v>24</v>
      </c>
      <c r="D486" s="5" t="s">
        <v>18</v>
      </c>
      <c r="E486" s="5" t="s">
        <v>14</v>
      </c>
      <c r="F486" s="6">
        <v>44712</v>
      </c>
      <c r="G486" s="5">
        <f t="shared" si="69"/>
        <v>2022</v>
      </c>
      <c r="H486" s="5" t="str">
        <f t="shared" si="70"/>
        <v>Mayo</v>
      </c>
      <c r="I486" s="6" t="str">
        <f t="shared" si="62"/>
        <v>2022-1</v>
      </c>
      <c r="J486" s="5">
        <v>1</v>
      </c>
      <c r="K486" s="12">
        <v>0.54</v>
      </c>
      <c r="L486" s="8">
        <f t="shared" si="79"/>
        <v>1</v>
      </c>
      <c r="M486" s="8">
        <f t="shared" si="80"/>
        <v>1</v>
      </c>
      <c r="N486" s="5" t="s">
        <v>478</v>
      </c>
      <c r="O486" s="5" t="s">
        <v>478</v>
      </c>
      <c r="P486" s="16">
        <v>0</v>
      </c>
      <c r="Q486" s="16">
        <v>2</v>
      </c>
      <c r="R486" s="5" t="str">
        <f t="shared" si="63"/>
        <v>128-2022-05-31</v>
      </c>
    </row>
    <row r="487" spans="1:18" x14ac:dyDescent="0.3">
      <c r="A487" s="26">
        <v>128</v>
      </c>
      <c r="B487" s="5" t="s">
        <v>52</v>
      </c>
      <c r="C487" s="5" t="s">
        <v>24</v>
      </c>
      <c r="D487" s="5" t="s">
        <v>18</v>
      </c>
      <c r="E487" s="5" t="s">
        <v>14</v>
      </c>
      <c r="F487" s="6">
        <v>44742</v>
      </c>
      <c r="G487" s="5">
        <f t="shared" si="69"/>
        <v>2022</v>
      </c>
      <c r="H487" s="5" t="str">
        <f t="shared" si="70"/>
        <v>Junio</v>
      </c>
      <c r="I487" s="6" t="str">
        <f t="shared" si="62"/>
        <v>2022-1</v>
      </c>
      <c r="J487" s="5">
        <v>1</v>
      </c>
      <c r="K487" s="12">
        <v>0.81</v>
      </c>
      <c r="L487" s="8">
        <f t="shared" si="79"/>
        <v>1</v>
      </c>
      <c r="M487" s="8">
        <f t="shared" si="80"/>
        <v>1</v>
      </c>
      <c r="N487" s="5" t="s">
        <v>478</v>
      </c>
      <c r="O487" s="5" t="s">
        <v>478</v>
      </c>
      <c r="P487" s="16">
        <v>0</v>
      </c>
      <c r="Q487" s="16">
        <v>2</v>
      </c>
      <c r="R487" s="5" t="str">
        <f t="shared" si="63"/>
        <v>128-2022-06-30</v>
      </c>
    </row>
    <row r="488" spans="1:18" x14ac:dyDescent="0.3">
      <c r="A488" s="26">
        <v>128</v>
      </c>
      <c r="B488" s="5" t="s">
        <v>52</v>
      </c>
      <c r="C488" s="5" t="s">
        <v>24</v>
      </c>
      <c r="D488" s="5" t="s">
        <v>18</v>
      </c>
      <c r="E488" s="5" t="s">
        <v>14</v>
      </c>
      <c r="F488" s="6">
        <v>44773</v>
      </c>
      <c r="G488" s="5">
        <f t="shared" si="69"/>
        <v>2022</v>
      </c>
      <c r="H488" s="5" t="str">
        <f t="shared" si="70"/>
        <v>Julio</v>
      </c>
      <c r="I488" s="6" t="str">
        <f t="shared" si="62"/>
        <v>2022-2</v>
      </c>
      <c r="J488" s="5">
        <v>1</v>
      </c>
      <c r="K488" s="12">
        <v>1.2</v>
      </c>
      <c r="L488" s="8">
        <f t="shared" si="79"/>
        <v>0.83333333333333337</v>
      </c>
      <c r="M488" s="8">
        <f t="shared" si="80"/>
        <v>0.83333333333333337</v>
      </c>
      <c r="N488" s="5" t="s">
        <v>478</v>
      </c>
      <c r="O488" s="5" t="s">
        <v>478</v>
      </c>
      <c r="P488" s="16">
        <v>0</v>
      </c>
      <c r="Q488" s="16">
        <v>2</v>
      </c>
      <c r="R488" s="5" t="str">
        <f t="shared" si="63"/>
        <v>128-2022-07-31</v>
      </c>
    </row>
    <row r="489" spans="1:18" x14ac:dyDescent="0.3">
      <c r="A489" s="26">
        <v>128</v>
      </c>
      <c r="B489" s="5" t="s">
        <v>52</v>
      </c>
      <c r="C489" s="5" t="s">
        <v>24</v>
      </c>
      <c r="D489" s="5" t="s">
        <v>18</v>
      </c>
      <c r="E489" s="5" t="s">
        <v>14</v>
      </c>
      <c r="F489" s="6">
        <v>44804</v>
      </c>
      <c r="G489" s="5">
        <f t="shared" si="69"/>
        <v>2022</v>
      </c>
      <c r="H489" s="5" t="str">
        <f t="shared" si="70"/>
        <v>Agosto</v>
      </c>
      <c r="I489" s="6" t="str">
        <f t="shared" si="62"/>
        <v>2022-2</v>
      </c>
      <c r="J489" s="5">
        <v>1</v>
      </c>
      <c r="K489" s="12">
        <v>0.85</v>
      </c>
      <c r="L489" s="8">
        <f t="shared" si="79"/>
        <v>1</v>
      </c>
      <c r="M489" s="8">
        <f t="shared" si="80"/>
        <v>1</v>
      </c>
      <c r="N489" s="5" t="s">
        <v>478</v>
      </c>
      <c r="O489" s="5" t="s">
        <v>478</v>
      </c>
      <c r="P489" s="16">
        <v>0</v>
      </c>
      <c r="Q489" s="16">
        <v>2</v>
      </c>
      <c r="R489" s="5" t="str">
        <f t="shared" si="63"/>
        <v>128-2022-08-31</v>
      </c>
    </row>
    <row r="490" spans="1:18" x14ac:dyDescent="0.3">
      <c r="A490" s="26">
        <v>128</v>
      </c>
      <c r="B490" s="5" t="s">
        <v>52</v>
      </c>
      <c r="C490" s="5" t="s">
        <v>24</v>
      </c>
      <c r="D490" s="5" t="s">
        <v>18</v>
      </c>
      <c r="E490" s="5" t="s">
        <v>14</v>
      </c>
      <c r="F490" s="6">
        <v>44834</v>
      </c>
      <c r="G490" s="5">
        <f t="shared" si="69"/>
        <v>2022</v>
      </c>
      <c r="H490" s="5" t="str">
        <f t="shared" si="70"/>
        <v>Septiembre</v>
      </c>
      <c r="I490" s="6" t="str">
        <f t="shared" si="62"/>
        <v>2022-2</v>
      </c>
      <c r="J490" s="5">
        <v>1</v>
      </c>
      <c r="K490" s="12">
        <v>0.6</v>
      </c>
      <c r="L490" s="8">
        <f t="shared" si="79"/>
        <v>1</v>
      </c>
      <c r="M490" s="8">
        <f t="shared" si="80"/>
        <v>1</v>
      </c>
      <c r="N490" s="5" t="s">
        <v>478</v>
      </c>
      <c r="O490" s="5" t="s">
        <v>478</v>
      </c>
      <c r="P490" s="16">
        <v>0</v>
      </c>
      <c r="Q490" s="16">
        <v>2</v>
      </c>
      <c r="R490" s="5" t="str">
        <f t="shared" si="63"/>
        <v>128-2022-09-30</v>
      </c>
    </row>
    <row r="491" spans="1:18" x14ac:dyDescent="0.3">
      <c r="A491" s="39">
        <v>128</v>
      </c>
      <c r="B491" s="5" t="s">
        <v>52</v>
      </c>
      <c r="C491" s="5" t="s">
        <v>24</v>
      </c>
      <c r="D491" s="5" t="s">
        <v>18</v>
      </c>
      <c r="E491" s="5" t="s">
        <v>14</v>
      </c>
      <c r="F491" s="6">
        <v>44865</v>
      </c>
      <c r="G491" s="5">
        <f t="shared" si="69"/>
        <v>2022</v>
      </c>
      <c r="H491" s="5" t="str">
        <f t="shared" si="70"/>
        <v>Octubre</v>
      </c>
      <c r="I491" s="6" t="str">
        <f t="shared" si="62"/>
        <v>2022-2</v>
      </c>
      <c r="J491" s="5">
        <v>1</v>
      </c>
      <c r="K491" s="12">
        <v>0.75</v>
      </c>
      <c r="L491" s="8">
        <f t="shared" si="79"/>
        <v>1</v>
      </c>
      <c r="M491" s="8">
        <f t="shared" si="80"/>
        <v>1</v>
      </c>
      <c r="N491" s="5" t="s">
        <v>478</v>
      </c>
      <c r="O491" s="5" t="s">
        <v>478</v>
      </c>
      <c r="P491" s="16">
        <v>0</v>
      </c>
      <c r="Q491" s="16">
        <v>1</v>
      </c>
      <c r="R491" s="5" t="str">
        <f t="shared" si="63"/>
        <v>128-2022-10-31</v>
      </c>
    </row>
    <row r="492" spans="1:18" x14ac:dyDescent="0.3">
      <c r="A492" s="39">
        <v>128</v>
      </c>
      <c r="B492" s="5" t="s">
        <v>52</v>
      </c>
      <c r="C492" s="5" t="s">
        <v>24</v>
      </c>
      <c r="D492" s="5" t="s">
        <v>18</v>
      </c>
      <c r="E492" s="5" t="s">
        <v>14</v>
      </c>
      <c r="F492" s="6">
        <v>44895</v>
      </c>
      <c r="G492" s="5">
        <f t="shared" si="69"/>
        <v>2022</v>
      </c>
      <c r="H492" s="5" t="str">
        <f t="shared" si="70"/>
        <v>Noviembre</v>
      </c>
      <c r="I492" s="6" t="str">
        <f t="shared" si="62"/>
        <v>2022-2</v>
      </c>
      <c r="J492" s="5">
        <v>1</v>
      </c>
      <c r="K492" s="12">
        <v>0.92</v>
      </c>
      <c r="L492" s="8">
        <f t="shared" si="79"/>
        <v>1</v>
      </c>
      <c r="M492" s="8">
        <f t="shared" si="80"/>
        <v>1</v>
      </c>
      <c r="N492" s="5" t="s">
        <v>478</v>
      </c>
      <c r="O492" s="5" t="s">
        <v>478</v>
      </c>
      <c r="P492" s="16">
        <v>0</v>
      </c>
      <c r="Q492" s="16">
        <v>2</v>
      </c>
      <c r="R492" s="5" t="str">
        <f t="shared" si="63"/>
        <v>128-2022-11-30</v>
      </c>
    </row>
    <row r="493" spans="1:18" x14ac:dyDescent="0.3">
      <c r="A493" s="39">
        <v>128</v>
      </c>
      <c r="B493" s="5" t="s">
        <v>52</v>
      </c>
      <c r="C493" s="5" t="s">
        <v>24</v>
      </c>
      <c r="D493" s="5" t="s">
        <v>18</v>
      </c>
      <c r="E493" s="5" t="s">
        <v>14</v>
      </c>
      <c r="F493" s="6">
        <v>44926</v>
      </c>
      <c r="G493" s="5">
        <f t="shared" si="69"/>
        <v>2022</v>
      </c>
      <c r="H493" s="5" t="str">
        <f t="shared" si="70"/>
        <v>Diciembre</v>
      </c>
      <c r="I493" s="6" t="str">
        <f t="shared" ref="I493:I554" si="81">IF(OR(H493="Enero",H493="Febrero",H493="Marzo",H493="Abril",H493="Mayo",H493="Junio"),G493&amp;"-1",IF(OR(H493="Julio",H493="Agosto",H493="Septiembre",H493="Octubre",H493="Noviembre",H493="Diciembre"),G493&amp;"-2"))</f>
        <v>2022-2</v>
      </c>
      <c r="J493" s="5">
        <v>1</v>
      </c>
      <c r="K493" s="12">
        <v>0.8</v>
      </c>
      <c r="L493" s="8">
        <f t="shared" si="79"/>
        <v>1</v>
      </c>
      <c r="M493" s="8">
        <f t="shared" si="80"/>
        <v>1</v>
      </c>
      <c r="N493" s="5" t="s">
        <v>478</v>
      </c>
      <c r="O493" s="5" t="s">
        <v>478</v>
      </c>
      <c r="P493" s="16">
        <v>0</v>
      </c>
      <c r="Q493" s="16">
        <v>2</v>
      </c>
      <c r="R493" s="5" t="str">
        <f t="shared" ref="R493:R554" si="82">A493&amp;"-"&amp;YEAR(F493)&amp;"-"&amp;IF(LEN(MONTH(F493))=1,"0"&amp;MONTH(F493),MONTH(F493))&amp;"-"&amp;DAY(F493)</f>
        <v>128-2022-12-31</v>
      </c>
    </row>
    <row r="494" spans="1:18" x14ac:dyDescent="0.3">
      <c r="A494" s="26">
        <v>128</v>
      </c>
      <c r="B494" s="5" t="s">
        <v>52</v>
      </c>
      <c r="C494" s="5" t="s">
        <v>24</v>
      </c>
      <c r="D494" s="5" t="s">
        <v>18</v>
      </c>
      <c r="E494" s="5" t="s">
        <v>14</v>
      </c>
      <c r="F494" s="6">
        <v>44957</v>
      </c>
      <c r="G494" s="5">
        <f t="shared" si="69"/>
        <v>2023</v>
      </c>
      <c r="H494" s="5" t="str">
        <f t="shared" si="70"/>
        <v>Enero</v>
      </c>
      <c r="I494" s="6" t="str">
        <f t="shared" si="81"/>
        <v>2023-1</v>
      </c>
      <c r="J494" s="5">
        <v>1</v>
      </c>
      <c r="K494" s="12">
        <v>1.0900000000000001</v>
      </c>
      <c r="L494" s="8">
        <f t="shared" si="79"/>
        <v>0.9174311926605504</v>
      </c>
      <c r="M494" s="8">
        <f t="shared" si="80"/>
        <v>0.9174311926605504</v>
      </c>
      <c r="N494" s="5" t="s">
        <v>478</v>
      </c>
      <c r="O494" s="5" t="s">
        <v>478</v>
      </c>
      <c r="P494" s="16">
        <v>0</v>
      </c>
      <c r="Q494" s="16">
        <v>2</v>
      </c>
      <c r="R494" s="5" t="str">
        <f t="shared" si="82"/>
        <v>128-2023-01-31</v>
      </c>
    </row>
    <row r="495" spans="1:18" x14ac:dyDescent="0.3">
      <c r="A495" s="26">
        <v>128</v>
      </c>
      <c r="B495" s="5" t="s">
        <v>52</v>
      </c>
      <c r="C495" s="5" t="s">
        <v>24</v>
      </c>
      <c r="D495" s="5" t="s">
        <v>18</v>
      </c>
      <c r="E495" s="5" t="s">
        <v>14</v>
      </c>
      <c r="F495" s="17">
        <v>44985</v>
      </c>
      <c r="G495" s="5">
        <f t="shared" si="69"/>
        <v>2023</v>
      </c>
      <c r="H495" s="5" t="str">
        <f t="shared" si="70"/>
        <v>Febrero</v>
      </c>
      <c r="I495" s="6" t="str">
        <f t="shared" si="81"/>
        <v>2023-1</v>
      </c>
      <c r="J495" s="5">
        <v>1</v>
      </c>
      <c r="K495" s="12">
        <v>0.92</v>
      </c>
      <c r="L495" s="8">
        <f t="shared" si="79"/>
        <v>1</v>
      </c>
      <c r="M495" s="8">
        <f t="shared" si="80"/>
        <v>1</v>
      </c>
      <c r="N495" s="5" t="s">
        <v>478</v>
      </c>
      <c r="O495" s="5" t="s">
        <v>478</v>
      </c>
      <c r="P495" s="16">
        <v>0</v>
      </c>
      <c r="Q495" s="16">
        <v>2</v>
      </c>
      <c r="R495" s="5" t="str">
        <f t="shared" si="82"/>
        <v>128-2023-02-28</v>
      </c>
    </row>
    <row r="496" spans="1:18" x14ac:dyDescent="0.3">
      <c r="A496" s="26">
        <v>128</v>
      </c>
      <c r="B496" s="5" t="s">
        <v>52</v>
      </c>
      <c r="C496" s="5" t="s">
        <v>24</v>
      </c>
      <c r="D496" s="5" t="s">
        <v>18</v>
      </c>
      <c r="E496" s="5" t="s">
        <v>14</v>
      </c>
      <c r="F496" s="6">
        <v>45016</v>
      </c>
      <c r="G496" s="5">
        <f t="shared" si="69"/>
        <v>2023</v>
      </c>
      <c r="H496" s="5" t="str">
        <f t="shared" si="70"/>
        <v>Marzo</v>
      </c>
      <c r="I496" s="6" t="str">
        <f t="shared" si="81"/>
        <v>2023-1</v>
      </c>
      <c r="J496" s="5">
        <v>1</v>
      </c>
      <c r="K496" s="12">
        <v>0.76</v>
      </c>
      <c r="L496" s="8">
        <f t="shared" si="79"/>
        <v>1</v>
      </c>
      <c r="M496" s="8">
        <f t="shared" si="80"/>
        <v>1</v>
      </c>
      <c r="N496" s="5" t="s">
        <v>478</v>
      </c>
      <c r="O496" s="5" t="s">
        <v>478</v>
      </c>
      <c r="P496" s="16">
        <v>0</v>
      </c>
      <c r="Q496" s="16">
        <v>2</v>
      </c>
      <c r="R496" s="5" t="str">
        <f t="shared" si="82"/>
        <v>128-2023-03-31</v>
      </c>
    </row>
    <row r="497" spans="1:18" x14ac:dyDescent="0.3">
      <c r="A497" s="26">
        <v>128</v>
      </c>
      <c r="B497" s="5" t="s">
        <v>52</v>
      </c>
      <c r="C497" s="5" t="s">
        <v>24</v>
      </c>
      <c r="D497" s="5" t="s">
        <v>18</v>
      </c>
      <c r="E497" s="5" t="s">
        <v>14</v>
      </c>
      <c r="F497" s="6">
        <v>45046</v>
      </c>
      <c r="G497" s="5">
        <f t="shared" si="69"/>
        <v>2023</v>
      </c>
      <c r="H497" s="5" t="str">
        <f t="shared" si="70"/>
        <v>Abril</v>
      </c>
      <c r="I497" s="6" t="str">
        <f t="shared" si="81"/>
        <v>2023-1</v>
      </c>
      <c r="J497" s="5">
        <v>1</v>
      </c>
      <c r="K497" s="12">
        <v>1.01</v>
      </c>
      <c r="L497" s="8">
        <f t="shared" si="79"/>
        <v>0.99009900990099009</v>
      </c>
      <c r="M497" s="8">
        <f t="shared" si="80"/>
        <v>0.99009900990099009</v>
      </c>
      <c r="N497" s="5" t="s">
        <v>478</v>
      </c>
      <c r="O497" s="5" t="s">
        <v>478</v>
      </c>
      <c r="P497" s="16">
        <v>0</v>
      </c>
      <c r="Q497" s="16">
        <v>2</v>
      </c>
      <c r="R497" s="5" t="str">
        <f t="shared" si="82"/>
        <v>128-2023-04-30</v>
      </c>
    </row>
    <row r="498" spans="1:18" x14ac:dyDescent="0.3">
      <c r="A498" s="26">
        <v>128</v>
      </c>
      <c r="B498" s="5" t="s">
        <v>52</v>
      </c>
      <c r="C498" s="5" t="s">
        <v>24</v>
      </c>
      <c r="D498" s="5" t="s">
        <v>18</v>
      </c>
      <c r="E498" s="5" t="s">
        <v>14</v>
      </c>
      <c r="F498" s="6">
        <v>45077</v>
      </c>
      <c r="G498" s="5">
        <f t="shared" si="69"/>
        <v>2023</v>
      </c>
      <c r="H498" s="5" t="str">
        <f t="shared" si="70"/>
        <v>Mayo</v>
      </c>
      <c r="I498" s="6" t="str">
        <f t="shared" si="81"/>
        <v>2023-1</v>
      </c>
      <c r="J498" s="5">
        <v>1</v>
      </c>
      <c r="K498" s="12">
        <v>0.76</v>
      </c>
      <c r="L498" s="8">
        <f t="shared" si="79"/>
        <v>1</v>
      </c>
      <c r="M498" s="8">
        <f t="shared" si="80"/>
        <v>1</v>
      </c>
      <c r="N498" s="5" t="s">
        <v>478</v>
      </c>
      <c r="O498" s="5" t="s">
        <v>478</v>
      </c>
      <c r="P498" s="16">
        <v>0</v>
      </c>
      <c r="Q498" s="16">
        <v>2</v>
      </c>
      <c r="R498" s="5" t="str">
        <f t="shared" si="82"/>
        <v>128-2023-05-31</v>
      </c>
    </row>
    <row r="499" spans="1:18" x14ac:dyDescent="0.3">
      <c r="A499" s="26">
        <v>128</v>
      </c>
      <c r="B499" s="5" t="s">
        <v>52</v>
      </c>
      <c r="C499" s="5" t="s">
        <v>24</v>
      </c>
      <c r="D499" s="5" t="s">
        <v>18</v>
      </c>
      <c r="E499" s="5" t="s">
        <v>14</v>
      </c>
      <c r="F499" s="6">
        <v>45107</v>
      </c>
      <c r="G499" s="5">
        <f t="shared" si="69"/>
        <v>2023</v>
      </c>
      <c r="H499" s="5" t="str">
        <f t="shared" si="70"/>
        <v>Junio</v>
      </c>
      <c r="I499" s="6" t="str">
        <f t="shared" si="81"/>
        <v>2023-1</v>
      </c>
      <c r="J499" s="5">
        <v>1</v>
      </c>
      <c r="K499" s="12">
        <v>1.12622826908541</v>
      </c>
      <c r="L499" s="8">
        <f t="shared" si="79"/>
        <v>0.88791946308724989</v>
      </c>
      <c r="M499" s="8">
        <f t="shared" si="80"/>
        <v>0.88791946308724989</v>
      </c>
      <c r="N499" s="5" t="s">
        <v>478</v>
      </c>
      <c r="O499" s="5" t="s">
        <v>478</v>
      </c>
      <c r="P499" s="16">
        <v>0</v>
      </c>
      <c r="Q499" s="16">
        <v>2</v>
      </c>
      <c r="R499" s="5" t="str">
        <f t="shared" si="82"/>
        <v>128-2023-06-30</v>
      </c>
    </row>
    <row r="500" spans="1:18" x14ac:dyDescent="0.3">
      <c r="A500" s="26">
        <v>128</v>
      </c>
      <c r="B500" s="5" t="s">
        <v>52</v>
      </c>
      <c r="C500" s="5" t="s">
        <v>24</v>
      </c>
      <c r="D500" s="5" t="s">
        <v>18</v>
      </c>
      <c r="E500" s="5" t="s">
        <v>14</v>
      </c>
      <c r="F500" s="6">
        <v>45138</v>
      </c>
      <c r="G500" s="5">
        <f t="shared" si="69"/>
        <v>2023</v>
      </c>
      <c r="H500" s="5" t="str">
        <f t="shared" si="70"/>
        <v>Julio</v>
      </c>
      <c r="I500" s="6" t="str">
        <f t="shared" si="81"/>
        <v>2023-2</v>
      </c>
      <c r="J500" s="5">
        <v>1</v>
      </c>
      <c r="K500" s="12">
        <v>1.17</v>
      </c>
      <c r="L500" s="8">
        <f t="shared" si="79"/>
        <v>0.85470085470085477</v>
      </c>
      <c r="M500" s="8">
        <f t="shared" si="80"/>
        <v>0.85470085470085477</v>
      </c>
      <c r="N500" s="5" t="s">
        <v>478</v>
      </c>
      <c r="O500" s="5" t="s">
        <v>478</v>
      </c>
      <c r="P500" s="16">
        <v>0</v>
      </c>
      <c r="Q500" s="16">
        <v>2</v>
      </c>
      <c r="R500" s="5" t="str">
        <f t="shared" si="82"/>
        <v>128-2023-07-31</v>
      </c>
    </row>
    <row r="501" spans="1:18" x14ac:dyDescent="0.3">
      <c r="A501" s="26">
        <v>128</v>
      </c>
      <c r="B501" s="5" t="s">
        <v>52</v>
      </c>
      <c r="C501" s="5" t="s">
        <v>24</v>
      </c>
      <c r="D501" s="5" t="s">
        <v>18</v>
      </c>
      <c r="E501" s="5" t="s">
        <v>14</v>
      </c>
      <c r="F501" s="6">
        <v>45169</v>
      </c>
      <c r="G501" s="5">
        <f t="shared" si="69"/>
        <v>2023</v>
      </c>
      <c r="H501" s="5" t="str">
        <f t="shared" si="70"/>
        <v>Agosto</v>
      </c>
      <c r="I501" s="6" t="str">
        <f t="shared" si="81"/>
        <v>2023-2</v>
      </c>
      <c r="J501" s="5">
        <v>1</v>
      </c>
      <c r="K501" s="12">
        <v>0.95</v>
      </c>
      <c r="L501" s="8">
        <f t="shared" si="79"/>
        <v>1</v>
      </c>
      <c r="M501" s="8">
        <f t="shared" si="80"/>
        <v>1</v>
      </c>
      <c r="N501" s="5" t="s">
        <v>478</v>
      </c>
      <c r="O501" s="5" t="s">
        <v>478</v>
      </c>
      <c r="P501" s="16">
        <v>0</v>
      </c>
      <c r="Q501" s="16">
        <v>2</v>
      </c>
      <c r="R501" s="5" t="str">
        <f t="shared" si="82"/>
        <v>128-2023-08-31</v>
      </c>
    </row>
    <row r="502" spans="1:18" x14ac:dyDescent="0.3">
      <c r="A502" s="26">
        <v>128</v>
      </c>
      <c r="B502" s="5" t="s">
        <v>52</v>
      </c>
      <c r="C502" s="5" t="s">
        <v>24</v>
      </c>
      <c r="D502" s="5" t="s">
        <v>18</v>
      </c>
      <c r="E502" s="5" t="s">
        <v>14</v>
      </c>
      <c r="F502" s="6">
        <v>45199</v>
      </c>
      <c r="G502" s="5">
        <f t="shared" si="69"/>
        <v>2023</v>
      </c>
      <c r="H502" s="5" t="str">
        <f t="shared" si="70"/>
        <v>Septiembre</v>
      </c>
      <c r="I502" s="6" t="str">
        <f t="shared" si="81"/>
        <v>2023-2</v>
      </c>
      <c r="J502" s="5">
        <v>1</v>
      </c>
      <c r="K502" s="12">
        <v>0.51</v>
      </c>
      <c r="L502" s="8">
        <f t="shared" si="79"/>
        <v>1</v>
      </c>
      <c r="M502" s="8">
        <f t="shared" si="80"/>
        <v>1</v>
      </c>
      <c r="N502" s="5" t="s">
        <v>478</v>
      </c>
      <c r="O502" s="5" t="s">
        <v>478</v>
      </c>
      <c r="P502" s="16">
        <v>0</v>
      </c>
      <c r="Q502" s="16">
        <v>2</v>
      </c>
      <c r="R502" s="5" t="str">
        <f t="shared" si="82"/>
        <v>128-2023-09-30</v>
      </c>
    </row>
    <row r="503" spans="1:18" x14ac:dyDescent="0.3">
      <c r="A503" s="39">
        <v>128</v>
      </c>
      <c r="B503" s="5" t="s">
        <v>52</v>
      </c>
      <c r="C503" s="5" t="s">
        <v>24</v>
      </c>
      <c r="D503" s="5" t="s">
        <v>18</v>
      </c>
      <c r="E503" s="5" t="s">
        <v>14</v>
      </c>
      <c r="F503" s="6">
        <v>45230</v>
      </c>
      <c r="G503" s="5">
        <f t="shared" si="69"/>
        <v>2023</v>
      </c>
      <c r="H503" s="5" t="str">
        <f t="shared" si="70"/>
        <v>Octubre</v>
      </c>
      <c r="I503" s="6" t="str">
        <f t="shared" si="81"/>
        <v>2023-2</v>
      </c>
      <c r="J503" s="5">
        <v>1</v>
      </c>
      <c r="K503" s="12">
        <v>0.5</v>
      </c>
      <c r="L503" s="8">
        <f t="shared" si="79"/>
        <v>1</v>
      </c>
      <c r="M503" s="8">
        <f t="shared" si="80"/>
        <v>1</v>
      </c>
      <c r="N503" s="5" t="s">
        <v>478</v>
      </c>
      <c r="O503" s="5" t="s">
        <v>478</v>
      </c>
      <c r="P503" s="16">
        <v>0</v>
      </c>
      <c r="Q503" s="16">
        <v>1</v>
      </c>
      <c r="R503" s="5" t="str">
        <f t="shared" si="82"/>
        <v>128-2023-10-31</v>
      </c>
    </row>
    <row r="504" spans="1:18" x14ac:dyDescent="0.3">
      <c r="A504" s="39">
        <v>128</v>
      </c>
      <c r="B504" s="5" t="s">
        <v>52</v>
      </c>
      <c r="C504" s="5" t="s">
        <v>24</v>
      </c>
      <c r="D504" s="5" t="s">
        <v>18</v>
      </c>
      <c r="E504" s="5" t="s">
        <v>14</v>
      </c>
      <c r="F504" s="6">
        <v>45260</v>
      </c>
      <c r="G504" s="5">
        <f t="shared" si="69"/>
        <v>2023</v>
      </c>
      <c r="H504" s="5" t="str">
        <f t="shared" si="70"/>
        <v>Noviembre</v>
      </c>
      <c r="I504" s="6" t="str">
        <f t="shared" si="81"/>
        <v>2023-2</v>
      </c>
      <c r="J504" s="5">
        <v>1</v>
      </c>
      <c r="K504" s="12">
        <v>0.72</v>
      </c>
      <c r="L504" s="8">
        <f t="shared" si="79"/>
        <v>1</v>
      </c>
      <c r="M504" s="8">
        <f t="shared" si="80"/>
        <v>1</v>
      </c>
      <c r="N504" s="5" t="s">
        <v>478</v>
      </c>
      <c r="O504" s="5" t="s">
        <v>478</v>
      </c>
      <c r="P504" s="16">
        <v>0</v>
      </c>
      <c r="Q504" s="16">
        <v>2</v>
      </c>
      <c r="R504" s="5" t="str">
        <f t="shared" si="82"/>
        <v>128-2023-11-30</v>
      </c>
    </row>
    <row r="505" spans="1:18" x14ac:dyDescent="0.3">
      <c r="A505" s="39">
        <v>128</v>
      </c>
      <c r="B505" s="5" t="s">
        <v>52</v>
      </c>
      <c r="C505" s="5" t="s">
        <v>24</v>
      </c>
      <c r="D505" s="5" t="s">
        <v>18</v>
      </c>
      <c r="E505" s="5" t="s">
        <v>14</v>
      </c>
      <c r="F505" s="6">
        <v>45291</v>
      </c>
      <c r="G505" s="5">
        <f t="shared" si="69"/>
        <v>2023</v>
      </c>
      <c r="H505" s="5" t="str">
        <f t="shared" si="70"/>
        <v>Diciembre</v>
      </c>
      <c r="I505" s="6" t="str">
        <f t="shared" si="81"/>
        <v>2023-2</v>
      </c>
      <c r="J505" s="5">
        <v>1</v>
      </c>
      <c r="K505" s="12">
        <v>0.64</v>
      </c>
      <c r="L505" s="8">
        <f t="shared" si="79"/>
        <v>1</v>
      </c>
      <c r="M505" s="8">
        <f t="shared" si="80"/>
        <v>1</v>
      </c>
      <c r="N505" s="5" t="s">
        <v>478</v>
      </c>
      <c r="O505" s="5" t="s">
        <v>478</v>
      </c>
      <c r="P505" s="16">
        <v>0</v>
      </c>
      <c r="Q505" s="16">
        <v>2</v>
      </c>
      <c r="R505" s="5" t="str">
        <f t="shared" si="82"/>
        <v>128-2023-12-31</v>
      </c>
    </row>
    <row r="506" spans="1:18" x14ac:dyDescent="0.3">
      <c r="A506" s="26">
        <v>128</v>
      </c>
      <c r="B506" s="5" t="s">
        <v>52</v>
      </c>
      <c r="C506" s="5" t="s">
        <v>24</v>
      </c>
      <c r="D506" s="5" t="s">
        <v>18</v>
      </c>
      <c r="E506" s="5" t="s">
        <v>14</v>
      </c>
      <c r="F506" s="6">
        <v>45322</v>
      </c>
      <c r="G506" s="5">
        <f t="shared" si="69"/>
        <v>2024</v>
      </c>
      <c r="H506" s="5" t="str">
        <f t="shared" si="70"/>
        <v>Enero</v>
      </c>
      <c r="I506" s="6" t="str">
        <f t="shared" si="81"/>
        <v>2024-1</v>
      </c>
      <c r="J506" s="5">
        <v>1</v>
      </c>
      <c r="K506" s="12">
        <v>0.7</v>
      </c>
      <c r="L506" s="8">
        <f>IF(IFERROR(J506/K506,"")&gt;1,1,J506/K506)</f>
        <v>1</v>
      </c>
      <c r="M506" s="8">
        <f t="shared" si="80"/>
        <v>1</v>
      </c>
      <c r="N506" s="5" t="s">
        <v>478</v>
      </c>
      <c r="O506" s="5" t="s">
        <v>478</v>
      </c>
      <c r="P506" s="16">
        <v>0</v>
      </c>
      <c r="Q506" s="16">
        <v>2</v>
      </c>
      <c r="R506" s="5" t="str">
        <f t="shared" si="82"/>
        <v>128-2024-01-31</v>
      </c>
    </row>
    <row r="507" spans="1:18" x14ac:dyDescent="0.3">
      <c r="A507" s="26">
        <v>128</v>
      </c>
      <c r="B507" s="5" t="s">
        <v>52</v>
      </c>
      <c r="C507" s="5" t="s">
        <v>24</v>
      </c>
      <c r="D507" s="5" t="s">
        <v>18</v>
      </c>
      <c r="E507" s="5" t="s">
        <v>14</v>
      </c>
      <c r="F507" s="6">
        <v>45351</v>
      </c>
      <c r="G507" s="5">
        <f t="shared" si="69"/>
        <v>2024</v>
      </c>
      <c r="H507" s="5" t="str">
        <f t="shared" si="70"/>
        <v>Febrero</v>
      </c>
      <c r="I507" s="6" t="str">
        <f t="shared" si="81"/>
        <v>2024-1</v>
      </c>
      <c r="J507" s="5">
        <v>1</v>
      </c>
      <c r="K507" s="10">
        <v>0.9</v>
      </c>
      <c r="L507" s="8">
        <f t="shared" si="79"/>
        <v>1</v>
      </c>
      <c r="M507" s="8">
        <f t="shared" si="80"/>
        <v>1</v>
      </c>
      <c r="N507" s="5" t="s">
        <v>478</v>
      </c>
      <c r="O507" s="5" t="s">
        <v>478</v>
      </c>
      <c r="P507" s="16">
        <v>0</v>
      </c>
      <c r="Q507" s="16">
        <v>2</v>
      </c>
      <c r="R507" s="5" t="str">
        <f t="shared" si="82"/>
        <v>128-2024-02-29</v>
      </c>
    </row>
    <row r="508" spans="1:18" x14ac:dyDescent="0.3">
      <c r="A508" s="26">
        <v>128</v>
      </c>
      <c r="B508" s="5" t="s">
        <v>52</v>
      </c>
      <c r="C508" s="5" t="s">
        <v>24</v>
      </c>
      <c r="D508" s="5" t="s">
        <v>18</v>
      </c>
      <c r="E508" s="5" t="s">
        <v>14</v>
      </c>
      <c r="F508" s="6">
        <v>45382</v>
      </c>
      <c r="G508" s="5">
        <f t="shared" si="69"/>
        <v>2024</v>
      </c>
      <c r="H508" s="5" t="str">
        <f t="shared" si="70"/>
        <v>Marzo</v>
      </c>
      <c r="I508" s="6" t="str">
        <f t="shared" si="81"/>
        <v>2024-1</v>
      </c>
      <c r="J508" s="5">
        <v>1</v>
      </c>
      <c r="K508" s="12">
        <v>1.05</v>
      </c>
      <c r="L508" s="8">
        <f t="shared" si="79"/>
        <v>0.95238095238095233</v>
      </c>
      <c r="M508" s="8">
        <f t="shared" si="80"/>
        <v>0.95238095238095233</v>
      </c>
      <c r="N508" s="5" t="s">
        <v>478</v>
      </c>
      <c r="O508" s="5" t="s">
        <v>478</v>
      </c>
      <c r="P508" s="16">
        <v>0</v>
      </c>
      <c r="Q508" s="16">
        <v>2</v>
      </c>
      <c r="R508" s="5" t="str">
        <f t="shared" si="82"/>
        <v>128-2024-03-31</v>
      </c>
    </row>
    <row r="509" spans="1:18" x14ac:dyDescent="0.3">
      <c r="A509" s="26">
        <v>128</v>
      </c>
      <c r="B509" s="5" t="s">
        <v>52</v>
      </c>
      <c r="C509" s="5" t="s">
        <v>24</v>
      </c>
      <c r="D509" s="5" t="s">
        <v>18</v>
      </c>
      <c r="E509" s="5" t="s">
        <v>14</v>
      </c>
      <c r="F509" s="6">
        <v>45412</v>
      </c>
      <c r="G509" s="5">
        <f t="shared" si="69"/>
        <v>2024</v>
      </c>
      <c r="H509" s="5" t="str">
        <f t="shared" si="70"/>
        <v>Abril</v>
      </c>
      <c r="I509" s="6" t="str">
        <f t="shared" si="81"/>
        <v>2024-1</v>
      </c>
      <c r="J509" s="5">
        <v>1</v>
      </c>
      <c r="K509" s="12">
        <v>0.4</v>
      </c>
      <c r="L509" s="8">
        <f t="shared" si="79"/>
        <v>1</v>
      </c>
      <c r="M509" s="8">
        <f t="shared" si="80"/>
        <v>1</v>
      </c>
      <c r="N509" s="5" t="s">
        <v>478</v>
      </c>
      <c r="O509" s="5" t="s">
        <v>478</v>
      </c>
      <c r="P509" s="16">
        <v>0</v>
      </c>
      <c r="Q509" s="16">
        <v>2</v>
      </c>
      <c r="R509" s="5" t="str">
        <f t="shared" si="82"/>
        <v>128-2024-04-30</v>
      </c>
    </row>
    <row r="510" spans="1:18" x14ac:dyDescent="0.3">
      <c r="A510" s="26">
        <v>128</v>
      </c>
      <c r="B510" s="5" t="s">
        <v>52</v>
      </c>
      <c r="C510" s="5" t="s">
        <v>24</v>
      </c>
      <c r="D510" s="5" t="s">
        <v>18</v>
      </c>
      <c r="E510" s="5" t="s">
        <v>14</v>
      </c>
      <c r="F510" s="6">
        <v>45443</v>
      </c>
      <c r="G510" s="5">
        <f t="shared" si="69"/>
        <v>2024</v>
      </c>
      <c r="H510" s="5" t="str">
        <f t="shared" si="70"/>
        <v>Mayo</v>
      </c>
      <c r="I510" s="6" t="str">
        <f t="shared" si="81"/>
        <v>2024-1</v>
      </c>
      <c r="J510" s="5">
        <v>1</v>
      </c>
      <c r="K510" s="12">
        <v>0.55000000000000004</v>
      </c>
      <c r="L510" s="8">
        <f t="shared" si="79"/>
        <v>1</v>
      </c>
      <c r="M510" s="8">
        <f t="shared" si="80"/>
        <v>1</v>
      </c>
      <c r="N510" s="5" t="s">
        <v>478</v>
      </c>
      <c r="O510" s="5" t="s">
        <v>478</v>
      </c>
      <c r="P510" s="16">
        <v>0</v>
      </c>
      <c r="Q510" s="16">
        <v>2</v>
      </c>
      <c r="R510" s="5" t="str">
        <f t="shared" si="82"/>
        <v>128-2024-05-31</v>
      </c>
    </row>
    <row r="511" spans="1:18" x14ac:dyDescent="0.3">
      <c r="A511" s="26">
        <v>128</v>
      </c>
      <c r="B511" s="5" t="s">
        <v>52</v>
      </c>
      <c r="C511" s="5" t="s">
        <v>24</v>
      </c>
      <c r="D511" s="5" t="s">
        <v>18</v>
      </c>
      <c r="E511" s="5" t="s">
        <v>14</v>
      </c>
      <c r="F511" s="6">
        <v>45473</v>
      </c>
      <c r="G511" s="5">
        <f t="shared" si="69"/>
        <v>2024</v>
      </c>
      <c r="H511" s="5" t="str">
        <f t="shared" si="70"/>
        <v>Junio</v>
      </c>
      <c r="I511" s="6" t="str">
        <f t="shared" si="81"/>
        <v>2024-1</v>
      </c>
      <c r="J511" s="5">
        <v>1</v>
      </c>
      <c r="K511" s="12">
        <v>0.36</v>
      </c>
      <c r="L511" s="8">
        <f t="shared" si="79"/>
        <v>1</v>
      </c>
      <c r="M511" s="8">
        <f t="shared" si="80"/>
        <v>1</v>
      </c>
      <c r="N511" s="5" t="s">
        <v>478</v>
      </c>
      <c r="O511" s="5" t="s">
        <v>478</v>
      </c>
      <c r="P511" s="16">
        <v>0</v>
      </c>
      <c r="Q511" s="16">
        <v>2</v>
      </c>
      <c r="R511" s="5" t="str">
        <f t="shared" si="82"/>
        <v>128-2024-06-30</v>
      </c>
    </row>
    <row r="512" spans="1:18" x14ac:dyDescent="0.3">
      <c r="A512" s="26">
        <v>128</v>
      </c>
      <c r="B512" s="5" t="s">
        <v>52</v>
      </c>
      <c r="C512" s="5" t="s">
        <v>24</v>
      </c>
      <c r="D512" s="5" t="s">
        <v>18</v>
      </c>
      <c r="E512" s="5" t="s">
        <v>14</v>
      </c>
      <c r="F512" s="6">
        <v>45504</v>
      </c>
      <c r="G512" s="5">
        <f t="shared" si="69"/>
        <v>2024</v>
      </c>
      <c r="H512" s="5" t="str">
        <f t="shared" si="70"/>
        <v>Julio</v>
      </c>
      <c r="I512" s="6" t="str">
        <f t="shared" si="81"/>
        <v>2024-2</v>
      </c>
      <c r="J512" s="5">
        <v>1</v>
      </c>
      <c r="K512" s="12">
        <v>0.65</v>
      </c>
      <c r="L512" s="8">
        <f t="shared" si="79"/>
        <v>1</v>
      </c>
      <c r="M512" s="8">
        <f t="shared" si="80"/>
        <v>1</v>
      </c>
      <c r="N512" s="5" t="s">
        <v>478</v>
      </c>
      <c r="O512" s="5" t="s">
        <v>478</v>
      </c>
      <c r="P512" s="16">
        <v>0</v>
      </c>
      <c r="Q512" s="16">
        <v>2</v>
      </c>
      <c r="R512" s="5" t="str">
        <f t="shared" si="82"/>
        <v>128-2024-07-31</v>
      </c>
    </row>
    <row r="513" spans="1:18" x14ac:dyDescent="0.3">
      <c r="A513" s="26">
        <v>128</v>
      </c>
      <c r="B513" s="5" t="s">
        <v>52</v>
      </c>
      <c r="C513" s="5" t="s">
        <v>24</v>
      </c>
      <c r="D513" s="5" t="s">
        <v>18</v>
      </c>
      <c r="E513" s="5" t="s">
        <v>14</v>
      </c>
      <c r="F513" s="6">
        <v>45535</v>
      </c>
      <c r="G513" s="5">
        <f t="shared" si="69"/>
        <v>2024</v>
      </c>
      <c r="H513" s="5" t="str">
        <f t="shared" si="70"/>
        <v>Agosto</v>
      </c>
      <c r="I513" s="6" t="str">
        <f t="shared" si="81"/>
        <v>2024-2</v>
      </c>
      <c r="J513" s="5">
        <v>1</v>
      </c>
      <c r="K513" s="12">
        <v>0.51</v>
      </c>
      <c r="L513" s="8">
        <f t="shared" si="79"/>
        <v>1</v>
      </c>
      <c r="M513" s="8">
        <f t="shared" si="80"/>
        <v>1</v>
      </c>
      <c r="N513" s="5" t="s">
        <v>478</v>
      </c>
      <c r="O513" s="5" t="s">
        <v>478</v>
      </c>
      <c r="P513" s="16">
        <v>0</v>
      </c>
      <c r="Q513" s="16">
        <v>2</v>
      </c>
      <c r="R513" s="5" t="str">
        <f t="shared" si="82"/>
        <v>128-2024-08-31</v>
      </c>
    </row>
    <row r="514" spans="1:18" x14ac:dyDescent="0.3">
      <c r="A514" s="26">
        <v>128</v>
      </c>
      <c r="B514" s="5" t="s">
        <v>52</v>
      </c>
      <c r="C514" s="5" t="s">
        <v>24</v>
      </c>
      <c r="D514" s="5" t="s">
        <v>18</v>
      </c>
      <c r="E514" s="5" t="s">
        <v>14</v>
      </c>
      <c r="F514" s="6">
        <v>45565</v>
      </c>
      <c r="G514" s="5">
        <f t="shared" ref="G514:G577" si="83">YEAR(F514)</f>
        <v>2024</v>
      </c>
      <c r="H514" s="5" t="str">
        <f t="shared" ref="H514:H577" si="84">PROPER(TEXT(F514,"mmmm"))</f>
        <v>Septiembre</v>
      </c>
      <c r="I514" s="6" t="str">
        <f t="shared" si="81"/>
        <v>2024-2</v>
      </c>
      <c r="J514" s="5">
        <v>1</v>
      </c>
      <c r="K514" s="12">
        <v>0.7</v>
      </c>
      <c r="L514" s="8">
        <f t="shared" si="79"/>
        <v>1</v>
      </c>
      <c r="M514" s="8">
        <f t="shared" si="80"/>
        <v>1</v>
      </c>
      <c r="N514" s="5" t="s">
        <v>478</v>
      </c>
      <c r="O514" s="5" t="s">
        <v>478</v>
      </c>
      <c r="P514" s="16">
        <v>0</v>
      </c>
      <c r="Q514" s="16">
        <v>2</v>
      </c>
      <c r="R514" s="5" t="str">
        <f t="shared" si="82"/>
        <v>128-2024-09-30</v>
      </c>
    </row>
    <row r="515" spans="1:18" x14ac:dyDescent="0.3">
      <c r="A515" s="39">
        <v>128</v>
      </c>
      <c r="B515" s="5" t="s">
        <v>52</v>
      </c>
      <c r="C515" s="5" t="s">
        <v>24</v>
      </c>
      <c r="D515" s="5" t="s">
        <v>18</v>
      </c>
      <c r="E515" s="5" t="s">
        <v>14</v>
      </c>
      <c r="F515" s="6">
        <v>45596</v>
      </c>
      <c r="G515" s="5">
        <f t="shared" si="83"/>
        <v>2024</v>
      </c>
      <c r="H515" s="5" t="str">
        <f t="shared" si="84"/>
        <v>Octubre</v>
      </c>
      <c r="I515" s="6" t="str">
        <f t="shared" si="81"/>
        <v>2024-2</v>
      </c>
      <c r="J515" s="5">
        <v>1</v>
      </c>
      <c r="K515" s="12">
        <v>0.61</v>
      </c>
      <c r="L515" s="8">
        <f t="shared" si="79"/>
        <v>1</v>
      </c>
      <c r="M515" s="8">
        <f t="shared" si="80"/>
        <v>1</v>
      </c>
      <c r="N515" s="5" t="s">
        <v>478</v>
      </c>
      <c r="O515" s="5" t="s">
        <v>478</v>
      </c>
      <c r="P515" s="16">
        <v>0</v>
      </c>
      <c r="Q515" s="16">
        <v>1</v>
      </c>
      <c r="R515" s="5" t="str">
        <f t="shared" si="82"/>
        <v>128-2024-10-31</v>
      </c>
    </row>
    <row r="516" spans="1:18" x14ac:dyDescent="0.3">
      <c r="A516" s="39">
        <v>128</v>
      </c>
      <c r="B516" s="5" t="s">
        <v>52</v>
      </c>
      <c r="C516" s="5" t="s">
        <v>24</v>
      </c>
      <c r="D516" s="5" t="s">
        <v>18</v>
      </c>
      <c r="E516" s="5" t="s">
        <v>14</v>
      </c>
      <c r="F516" s="6">
        <v>45626</v>
      </c>
      <c r="G516" s="5">
        <f t="shared" si="83"/>
        <v>2024</v>
      </c>
      <c r="H516" s="5" t="str">
        <f t="shared" si="84"/>
        <v>Noviembre</v>
      </c>
      <c r="I516" s="6" t="str">
        <f t="shared" si="81"/>
        <v>2024-2</v>
      </c>
      <c r="J516" s="5">
        <v>1</v>
      </c>
      <c r="K516" s="12">
        <v>0.96</v>
      </c>
      <c r="L516" s="8">
        <f t="shared" si="79"/>
        <v>1</v>
      </c>
      <c r="M516" s="8">
        <f t="shared" si="80"/>
        <v>1</v>
      </c>
      <c r="N516" s="5" t="s">
        <v>478</v>
      </c>
      <c r="O516" s="5" t="s">
        <v>478</v>
      </c>
      <c r="P516" s="16">
        <v>0</v>
      </c>
      <c r="Q516" s="16">
        <v>2</v>
      </c>
      <c r="R516" s="5" t="str">
        <f t="shared" si="82"/>
        <v>128-2024-11-30</v>
      </c>
    </row>
    <row r="517" spans="1:18" x14ac:dyDescent="0.3">
      <c r="A517" s="39">
        <v>128</v>
      </c>
      <c r="B517" s="5" t="s">
        <v>52</v>
      </c>
      <c r="C517" s="5" t="s">
        <v>24</v>
      </c>
      <c r="D517" s="5" t="s">
        <v>18</v>
      </c>
      <c r="E517" s="5" t="s">
        <v>14</v>
      </c>
      <c r="F517" s="6">
        <v>45657</v>
      </c>
      <c r="G517" s="5">
        <f t="shared" si="83"/>
        <v>2024</v>
      </c>
      <c r="H517" s="5" t="str">
        <f t="shared" si="84"/>
        <v>Diciembre</v>
      </c>
      <c r="I517" s="6" t="str">
        <f t="shared" si="81"/>
        <v>2024-2</v>
      </c>
      <c r="J517" s="5">
        <v>1</v>
      </c>
      <c r="K517" s="12">
        <v>0.78</v>
      </c>
      <c r="L517" s="8">
        <f t="shared" si="79"/>
        <v>1</v>
      </c>
      <c r="M517" s="8">
        <f t="shared" si="80"/>
        <v>1</v>
      </c>
      <c r="N517" s="5" t="s">
        <v>478</v>
      </c>
      <c r="O517" s="5" t="s">
        <v>478</v>
      </c>
      <c r="P517" s="16">
        <v>0</v>
      </c>
      <c r="Q517" s="16">
        <v>2</v>
      </c>
      <c r="R517" s="5" t="str">
        <f t="shared" si="82"/>
        <v>128-2024-12-31</v>
      </c>
    </row>
    <row r="518" spans="1:18" x14ac:dyDescent="0.3">
      <c r="A518" s="5">
        <v>133</v>
      </c>
      <c r="B518" s="5" t="s">
        <v>39</v>
      </c>
      <c r="C518" s="5" t="s">
        <v>53</v>
      </c>
      <c r="D518" s="5" t="s">
        <v>25</v>
      </c>
      <c r="E518" s="5" t="s">
        <v>9</v>
      </c>
      <c r="F518" s="6">
        <v>44865</v>
      </c>
      <c r="G518" s="5">
        <f t="shared" si="83"/>
        <v>2022</v>
      </c>
      <c r="H518" s="5" t="str">
        <f t="shared" si="84"/>
        <v>Octubre</v>
      </c>
      <c r="I518" s="6" t="str">
        <f t="shared" si="81"/>
        <v>2022-2</v>
      </c>
      <c r="J518" s="5">
        <v>80</v>
      </c>
      <c r="K518" s="9">
        <v>84.895356277709197</v>
      </c>
      <c r="L518" s="21">
        <v>1.061191953471365</v>
      </c>
      <c r="M518" s="15">
        <v>1.061191953471365</v>
      </c>
      <c r="N518" s="5" t="s">
        <v>347</v>
      </c>
      <c r="O518" s="5" t="s">
        <v>347</v>
      </c>
      <c r="P518" s="5">
        <v>0</v>
      </c>
      <c r="Q518" s="5">
        <v>0</v>
      </c>
      <c r="R518" s="5" t="str">
        <f t="shared" si="82"/>
        <v>133-2022-10-31</v>
      </c>
    </row>
    <row r="519" spans="1:18" x14ac:dyDescent="0.3">
      <c r="A519" s="5">
        <v>133</v>
      </c>
      <c r="B519" s="5" t="s">
        <v>39</v>
      </c>
      <c r="C519" s="5" t="s">
        <v>53</v>
      </c>
      <c r="D519" s="5" t="s">
        <v>25</v>
      </c>
      <c r="E519" s="5" t="s">
        <v>9</v>
      </c>
      <c r="F519" s="6">
        <v>45291</v>
      </c>
      <c r="G519" s="5">
        <f t="shared" si="83"/>
        <v>2023</v>
      </c>
      <c r="H519" s="5" t="str">
        <f t="shared" si="84"/>
        <v>Diciembre</v>
      </c>
      <c r="I519" s="6" t="str">
        <f t="shared" si="81"/>
        <v>2023-2</v>
      </c>
      <c r="J519" s="5">
        <v>80</v>
      </c>
      <c r="K519" s="5">
        <v>92.789115646258509</v>
      </c>
      <c r="L519" s="15">
        <v>1.1598639455782314</v>
      </c>
      <c r="M519" s="15">
        <v>1.1598639455782314</v>
      </c>
      <c r="N519" s="5" t="s">
        <v>347</v>
      </c>
      <c r="O519" s="5" t="s">
        <v>347</v>
      </c>
      <c r="P519" s="5">
        <v>0</v>
      </c>
      <c r="Q519" s="5">
        <v>0</v>
      </c>
      <c r="R519" s="5" t="str">
        <f t="shared" si="82"/>
        <v>133-2023-12-31</v>
      </c>
    </row>
    <row r="520" spans="1:18" x14ac:dyDescent="0.3">
      <c r="A520" s="26">
        <v>133</v>
      </c>
      <c r="B520" s="5" t="s">
        <v>39</v>
      </c>
      <c r="C520" s="5" t="s">
        <v>53</v>
      </c>
      <c r="D520" s="5" t="s">
        <v>25</v>
      </c>
      <c r="E520" s="5" t="s">
        <v>9</v>
      </c>
      <c r="F520" s="6">
        <v>45657</v>
      </c>
      <c r="G520" s="5">
        <f t="shared" si="83"/>
        <v>2024</v>
      </c>
      <c r="H520" s="5" t="str">
        <f t="shared" si="84"/>
        <v>Diciembre</v>
      </c>
      <c r="I520" s="6" t="str">
        <f t="shared" si="81"/>
        <v>2024-2</v>
      </c>
      <c r="J520" s="5">
        <v>80</v>
      </c>
      <c r="K520">
        <v>91</v>
      </c>
      <c r="L520" s="15">
        <f>IFERROR(IF((K520/J520)&gt;1.3,1.3,K520/J520),"")</f>
        <v>1.1375</v>
      </c>
      <c r="M520" s="15">
        <f>IFERROR(IF((K520/J520)&gt;K520/J520,1.3,K520/J520),"")</f>
        <v>1.1375</v>
      </c>
      <c r="N520" s="5" t="s">
        <v>347</v>
      </c>
      <c r="O520" s="5" t="s">
        <v>347</v>
      </c>
      <c r="P520" s="16">
        <v>0</v>
      </c>
      <c r="Q520" s="16">
        <v>0</v>
      </c>
      <c r="R520" s="5" t="str">
        <f t="shared" si="82"/>
        <v>133-2024-12-31</v>
      </c>
    </row>
    <row r="521" spans="1:18" x14ac:dyDescent="0.3">
      <c r="A521" s="26">
        <v>136</v>
      </c>
      <c r="B521" s="5" t="s">
        <v>54</v>
      </c>
      <c r="C521" s="5" t="s">
        <v>55</v>
      </c>
      <c r="D521" s="5" t="s">
        <v>8</v>
      </c>
      <c r="E521" s="5" t="s">
        <v>9</v>
      </c>
      <c r="F521" s="17">
        <v>45107</v>
      </c>
      <c r="G521" s="5">
        <f t="shared" si="83"/>
        <v>2023</v>
      </c>
      <c r="H521" s="5" t="str">
        <f t="shared" si="84"/>
        <v>Junio</v>
      </c>
      <c r="I521" s="6" t="str">
        <f t="shared" si="81"/>
        <v>2023-1</v>
      </c>
      <c r="J521" s="5">
        <v>90</v>
      </c>
      <c r="K521" s="9">
        <v>105.56</v>
      </c>
      <c r="L521" s="8">
        <v>1.0556000000000001</v>
      </c>
      <c r="M521" s="15">
        <f>IFERROR(IF((K521/J521)&gt;K521/J521,1.3,K521/J521),"")</f>
        <v>1.1728888888888889</v>
      </c>
      <c r="N521" s="5" t="s">
        <v>347</v>
      </c>
      <c r="O521" s="5" t="s">
        <v>347</v>
      </c>
      <c r="P521" s="16">
        <v>0</v>
      </c>
      <c r="Q521" s="16">
        <v>0</v>
      </c>
      <c r="R521" s="5" t="str">
        <f t="shared" si="82"/>
        <v>136-2023-06-30</v>
      </c>
    </row>
    <row r="522" spans="1:18" x14ac:dyDescent="0.3">
      <c r="A522" s="39">
        <v>136</v>
      </c>
      <c r="B522" s="5" t="s">
        <v>54</v>
      </c>
      <c r="C522" s="5" t="s">
        <v>55</v>
      </c>
      <c r="D522" s="5" t="s">
        <v>8</v>
      </c>
      <c r="E522" s="5" t="s">
        <v>9</v>
      </c>
      <c r="F522" s="6">
        <v>45291</v>
      </c>
      <c r="G522" s="5">
        <f t="shared" si="83"/>
        <v>2023</v>
      </c>
      <c r="H522" s="5" t="str">
        <f t="shared" si="84"/>
        <v>Diciembre</v>
      </c>
      <c r="I522" s="6" t="str">
        <f t="shared" si="81"/>
        <v>2023-2</v>
      </c>
      <c r="J522" s="5">
        <v>90</v>
      </c>
      <c r="K522" s="9">
        <v>94.44</v>
      </c>
      <c r="L522" s="8">
        <v>0.94440000000000002</v>
      </c>
      <c r="M522" s="15">
        <f>IFERROR(IF((K522/J522)&gt;K522/J522,1.3,K522/J522),"")</f>
        <v>1.0493333333333332</v>
      </c>
      <c r="N522" s="5" t="s">
        <v>347</v>
      </c>
      <c r="O522" s="5" t="s">
        <v>347</v>
      </c>
      <c r="P522" s="16">
        <v>0</v>
      </c>
      <c r="Q522" s="16">
        <v>0</v>
      </c>
      <c r="R522" s="5" t="str">
        <f t="shared" si="82"/>
        <v>136-2023-12-31</v>
      </c>
    </row>
    <row r="523" spans="1:18" x14ac:dyDescent="0.3">
      <c r="A523" s="5">
        <v>136</v>
      </c>
      <c r="B523" s="5" t="s">
        <v>54</v>
      </c>
      <c r="C523" s="5" t="s">
        <v>55</v>
      </c>
      <c r="D523" s="5" t="s">
        <v>8</v>
      </c>
      <c r="E523" s="5" t="s">
        <v>9</v>
      </c>
      <c r="F523" s="6">
        <v>45473</v>
      </c>
      <c r="G523" s="5">
        <f t="shared" si="83"/>
        <v>2024</v>
      </c>
      <c r="H523" s="5" t="str">
        <f t="shared" si="84"/>
        <v>Junio</v>
      </c>
      <c r="I523" s="6" t="str">
        <f t="shared" si="81"/>
        <v>2024-1</v>
      </c>
      <c r="J523" s="5">
        <v>90</v>
      </c>
      <c r="K523" s="5">
        <v>95.24</v>
      </c>
      <c r="L523" s="15">
        <v>1.0582222222222222</v>
      </c>
      <c r="M523" s="15">
        <v>1.0582222222222222</v>
      </c>
      <c r="N523" s="5" t="s">
        <v>347</v>
      </c>
      <c r="O523" s="5" t="s">
        <v>347</v>
      </c>
      <c r="P523" s="5">
        <v>0</v>
      </c>
      <c r="Q523" s="5">
        <v>0</v>
      </c>
      <c r="R523" s="5" t="str">
        <f t="shared" si="82"/>
        <v>136-2024-06-30</v>
      </c>
    </row>
    <row r="524" spans="1:18" x14ac:dyDescent="0.3">
      <c r="A524" s="26">
        <v>137</v>
      </c>
      <c r="B524" s="5" t="s">
        <v>56</v>
      </c>
      <c r="C524" s="5" t="s">
        <v>55</v>
      </c>
      <c r="D524" s="5" t="s">
        <v>11</v>
      </c>
      <c r="E524" s="5" t="s">
        <v>9</v>
      </c>
      <c r="F524" s="6">
        <v>45016</v>
      </c>
      <c r="G524" s="5">
        <f t="shared" si="83"/>
        <v>2023</v>
      </c>
      <c r="H524" s="5" t="str">
        <f t="shared" si="84"/>
        <v>Marzo</v>
      </c>
      <c r="I524" s="6" t="str">
        <f t="shared" si="81"/>
        <v>2023-1</v>
      </c>
      <c r="J524" s="5">
        <v>86</v>
      </c>
      <c r="K524" s="9">
        <v>87</v>
      </c>
      <c r="L524" s="8">
        <f>IFERROR(K524/J524,"")</f>
        <v>1.0116279069767442</v>
      </c>
      <c r="M524" s="15">
        <f>IFERROR(IF((K524/J524)&gt;K524/J524,1.3,K524/J524),"")</f>
        <v>1.0116279069767442</v>
      </c>
      <c r="N524" s="5" t="s">
        <v>347</v>
      </c>
      <c r="O524" s="5" t="s">
        <v>347</v>
      </c>
      <c r="P524" s="16">
        <v>0</v>
      </c>
      <c r="Q524" s="16">
        <v>0</v>
      </c>
      <c r="R524" s="5" t="str">
        <f t="shared" si="82"/>
        <v>137-2023-03-31</v>
      </c>
    </row>
    <row r="525" spans="1:18" x14ac:dyDescent="0.3">
      <c r="A525" s="26">
        <v>137</v>
      </c>
      <c r="B525" s="5" t="s">
        <v>56</v>
      </c>
      <c r="C525" s="5" t="s">
        <v>55</v>
      </c>
      <c r="D525" s="5" t="s">
        <v>11</v>
      </c>
      <c r="E525" s="5" t="s">
        <v>9</v>
      </c>
      <c r="F525" s="6">
        <v>45107</v>
      </c>
      <c r="G525" s="5">
        <f t="shared" si="83"/>
        <v>2023</v>
      </c>
      <c r="H525" s="5" t="str">
        <f t="shared" si="84"/>
        <v>Junio</v>
      </c>
      <c r="I525" s="6" t="str">
        <f t="shared" si="81"/>
        <v>2023-1</v>
      </c>
      <c r="J525" s="5">
        <v>126</v>
      </c>
      <c r="K525" s="9">
        <v>126</v>
      </c>
      <c r="L525" s="8">
        <f>IFERROR(K525/J525,"")</f>
        <v>1</v>
      </c>
      <c r="M525" s="15">
        <f>IFERROR(IF((K525/J525)&gt;K525/J525,1.3,K525/J525),"")</f>
        <v>1</v>
      </c>
      <c r="N525" s="5" t="s">
        <v>347</v>
      </c>
      <c r="O525" s="5" t="s">
        <v>347</v>
      </c>
      <c r="P525" s="16">
        <v>0</v>
      </c>
      <c r="Q525" s="16">
        <v>0</v>
      </c>
      <c r="R525" s="5" t="str">
        <f t="shared" si="82"/>
        <v>137-2023-06-30</v>
      </c>
    </row>
    <row r="526" spans="1:18" x14ac:dyDescent="0.3">
      <c r="A526" s="43">
        <v>137</v>
      </c>
      <c r="B526" s="5" t="s">
        <v>56</v>
      </c>
      <c r="C526" s="5" t="s">
        <v>55</v>
      </c>
      <c r="D526" s="5" t="s">
        <v>11</v>
      </c>
      <c r="E526" s="5" t="s">
        <v>9</v>
      </c>
      <c r="F526" s="6">
        <v>45199</v>
      </c>
      <c r="G526" s="5">
        <f t="shared" si="83"/>
        <v>2023</v>
      </c>
      <c r="H526" s="5" t="str">
        <f t="shared" si="84"/>
        <v>Septiembre</v>
      </c>
      <c r="I526" s="6" t="str">
        <f t="shared" si="81"/>
        <v>2023-2</v>
      </c>
      <c r="J526" s="5">
        <v>138</v>
      </c>
      <c r="K526" s="9">
        <v>138</v>
      </c>
      <c r="L526" s="8">
        <f>IFERROR(K526/J526,"")</f>
        <v>1</v>
      </c>
      <c r="M526" s="15">
        <f>IFERROR(IF((K526/J526)&gt;K526/J526,1.3,K526/J526),"")</f>
        <v>1</v>
      </c>
      <c r="N526" s="5" t="s">
        <v>347</v>
      </c>
      <c r="O526" s="5" t="s">
        <v>347</v>
      </c>
      <c r="P526" s="16">
        <v>0</v>
      </c>
      <c r="Q526" s="16">
        <v>0</v>
      </c>
      <c r="R526" s="5" t="str">
        <f t="shared" si="82"/>
        <v>137-2023-09-30</v>
      </c>
    </row>
    <row r="527" spans="1:18" x14ac:dyDescent="0.3">
      <c r="A527" s="39">
        <v>137</v>
      </c>
      <c r="B527" s="5" t="s">
        <v>56</v>
      </c>
      <c r="C527" s="5" t="s">
        <v>55</v>
      </c>
      <c r="D527" s="5" t="s">
        <v>11</v>
      </c>
      <c r="E527" s="5" t="s">
        <v>9</v>
      </c>
      <c r="F527" s="6">
        <v>45291</v>
      </c>
      <c r="G527" s="5">
        <f t="shared" si="83"/>
        <v>2023</v>
      </c>
      <c r="H527" s="5" t="str">
        <f t="shared" si="84"/>
        <v>Diciembre</v>
      </c>
      <c r="I527" s="6" t="str">
        <f t="shared" si="81"/>
        <v>2023-2</v>
      </c>
      <c r="J527" s="5">
        <v>97</v>
      </c>
      <c r="K527" s="9">
        <v>97</v>
      </c>
      <c r="L527" s="8">
        <f>IFERROR(K527/J527,"")</f>
        <v>1</v>
      </c>
      <c r="M527" s="15">
        <f>IFERROR(IF((K527/J527)&gt;K527/J527,1.3,K527/J527),"")</f>
        <v>1</v>
      </c>
      <c r="N527" s="5" t="s">
        <v>347</v>
      </c>
      <c r="O527" s="5" t="s">
        <v>347</v>
      </c>
      <c r="P527" s="16">
        <v>0</v>
      </c>
      <c r="Q527" s="16">
        <v>0</v>
      </c>
      <c r="R527" s="5" t="str">
        <f t="shared" si="82"/>
        <v>137-2023-12-31</v>
      </c>
    </row>
    <row r="528" spans="1:18" x14ac:dyDescent="0.3">
      <c r="A528" s="5">
        <v>137</v>
      </c>
      <c r="B528" s="5" t="s">
        <v>56</v>
      </c>
      <c r="C528" s="5" t="s">
        <v>55</v>
      </c>
      <c r="D528" s="5" t="s">
        <v>11</v>
      </c>
      <c r="E528" s="5" t="s">
        <v>9</v>
      </c>
      <c r="F528" s="6">
        <v>45473</v>
      </c>
      <c r="G528" s="5">
        <f t="shared" si="83"/>
        <v>2024</v>
      </c>
      <c r="H528" s="5" t="str">
        <f t="shared" si="84"/>
        <v>Junio</v>
      </c>
      <c r="I528" s="6" t="str">
        <f t="shared" si="81"/>
        <v>2024-1</v>
      </c>
      <c r="J528" s="5">
        <v>90</v>
      </c>
      <c r="K528" s="5">
        <v>100</v>
      </c>
      <c r="L528" s="15">
        <v>1.1111111111111112</v>
      </c>
      <c r="M528" s="15">
        <v>1.1111111111111112</v>
      </c>
      <c r="N528" s="5" t="s">
        <v>347</v>
      </c>
      <c r="O528" s="5" t="s">
        <v>347</v>
      </c>
      <c r="P528" s="5">
        <v>0</v>
      </c>
      <c r="Q528" s="5">
        <v>0</v>
      </c>
      <c r="R528" s="5" t="str">
        <f t="shared" si="82"/>
        <v>137-2024-06-30</v>
      </c>
    </row>
    <row r="529" spans="1:18" x14ac:dyDescent="0.3">
      <c r="A529" s="26">
        <v>139</v>
      </c>
      <c r="B529" s="5" t="s">
        <v>57</v>
      </c>
      <c r="C529" s="5" t="s">
        <v>55</v>
      </c>
      <c r="D529" s="5" t="s">
        <v>18</v>
      </c>
      <c r="E529" s="5" t="s">
        <v>14</v>
      </c>
      <c r="F529" s="6">
        <v>44957</v>
      </c>
      <c r="G529" s="5">
        <f t="shared" si="83"/>
        <v>2023</v>
      </c>
      <c r="H529" s="5" t="str">
        <f t="shared" si="84"/>
        <v>Enero</v>
      </c>
      <c r="I529" s="6" t="str">
        <f t="shared" si="81"/>
        <v>2023-1</v>
      </c>
      <c r="J529" s="12">
        <v>58.043999999999997</v>
      </c>
      <c r="K529" s="12">
        <v>60.66</v>
      </c>
      <c r="L529" s="15">
        <f t="shared" ref="L529" si="85">IFERROR(IF((J529/K529)&gt;1.3,1.3,J529/K529),"")</f>
        <v>0.95687438180019779</v>
      </c>
      <c r="M529" s="8">
        <f t="shared" ref="M529" si="86">IFERROR(J529/K529,"")</f>
        <v>0.95687438180019779</v>
      </c>
      <c r="N529" s="9" t="s">
        <v>474</v>
      </c>
      <c r="O529" s="9" t="s">
        <v>474</v>
      </c>
      <c r="P529" s="16">
        <v>2</v>
      </c>
      <c r="Q529" s="16">
        <v>2</v>
      </c>
      <c r="R529" s="5" t="str">
        <f t="shared" si="82"/>
        <v>139-2023-01-31</v>
      </c>
    </row>
    <row r="530" spans="1:18" x14ac:dyDescent="0.3">
      <c r="A530" s="26">
        <v>139</v>
      </c>
      <c r="B530" s="5" t="s">
        <v>57</v>
      </c>
      <c r="C530" s="5" t="s">
        <v>55</v>
      </c>
      <c r="D530" s="5" t="s">
        <v>18</v>
      </c>
      <c r="E530" s="5" t="s">
        <v>14</v>
      </c>
      <c r="F530" s="17">
        <v>44985</v>
      </c>
      <c r="G530" s="5">
        <f t="shared" si="83"/>
        <v>2023</v>
      </c>
      <c r="H530" s="5" t="str">
        <f t="shared" si="84"/>
        <v>Febrero</v>
      </c>
      <c r="I530" s="6" t="str">
        <f t="shared" si="81"/>
        <v>2023-1</v>
      </c>
      <c r="J530" s="12">
        <v>163.87299999999999</v>
      </c>
      <c r="K530" s="12">
        <v>115.42100000000001</v>
      </c>
      <c r="L530" s="15">
        <f t="shared" ref="L530:L552" si="87">IFERROR(IF((J530/K530)&gt;1.3,1.3,J530/K530),"")</f>
        <v>1.3</v>
      </c>
      <c r="M530" s="8">
        <f t="shared" ref="M530:M552" si="88">IFERROR(J530/K530,"")</f>
        <v>1.4197849611422531</v>
      </c>
      <c r="N530" s="9" t="s">
        <v>474</v>
      </c>
      <c r="O530" s="9" t="s">
        <v>474</v>
      </c>
      <c r="P530" s="16">
        <v>2</v>
      </c>
      <c r="Q530" s="16">
        <v>2</v>
      </c>
      <c r="R530" s="5" t="str">
        <f t="shared" si="82"/>
        <v>139-2023-02-28</v>
      </c>
    </row>
    <row r="531" spans="1:18" x14ac:dyDescent="0.3">
      <c r="A531" s="26">
        <v>139</v>
      </c>
      <c r="B531" s="5" t="s">
        <v>57</v>
      </c>
      <c r="C531" s="5" t="s">
        <v>55</v>
      </c>
      <c r="D531" s="5" t="s">
        <v>18</v>
      </c>
      <c r="E531" s="5" t="s">
        <v>14</v>
      </c>
      <c r="F531" s="6">
        <v>45016</v>
      </c>
      <c r="G531" s="5">
        <f t="shared" si="83"/>
        <v>2023</v>
      </c>
      <c r="H531" s="5" t="str">
        <f t="shared" si="84"/>
        <v>Marzo</v>
      </c>
      <c r="I531" s="6" t="str">
        <f t="shared" si="81"/>
        <v>2023-1</v>
      </c>
      <c r="J531" s="12">
        <v>336.81799999999998</v>
      </c>
      <c r="K531" s="12">
        <v>167.49299999999999</v>
      </c>
      <c r="L531" s="15">
        <f t="shared" si="87"/>
        <v>1.3</v>
      </c>
      <c r="M531" s="8">
        <f t="shared" si="88"/>
        <v>2.0109377705336939</v>
      </c>
      <c r="N531" s="9" t="s">
        <v>474</v>
      </c>
      <c r="O531" s="9" t="s">
        <v>474</v>
      </c>
      <c r="P531" s="16">
        <v>2</v>
      </c>
      <c r="Q531" s="16">
        <v>2</v>
      </c>
      <c r="R531" s="5" t="str">
        <f t="shared" si="82"/>
        <v>139-2023-03-31</v>
      </c>
    </row>
    <row r="532" spans="1:18" x14ac:dyDescent="0.3">
      <c r="A532" s="26">
        <v>139</v>
      </c>
      <c r="B532" s="5" t="s">
        <v>57</v>
      </c>
      <c r="C532" s="5" t="s">
        <v>55</v>
      </c>
      <c r="D532" s="5" t="s">
        <v>18</v>
      </c>
      <c r="E532" s="5" t="s">
        <v>14</v>
      </c>
      <c r="F532" s="6">
        <v>45046</v>
      </c>
      <c r="G532" s="5">
        <f t="shared" si="83"/>
        <v>2023</v>
      </c>
      <c r="H532" s="5" t="str">
        <f t="shared" si="84"/>
        <v>Abril</v>
      </c>
      <c r="I532" s="6" t="str">
        <f t="shared" si="81"/>
        <v>2023-1</v>
      </c>
      <c r="J532" s="12">
        <v>424.51799999999997</v>
      </c>
      <c r="K532" s="12">
        <v>251.40600000000001</v>
      </c>
      <c r="L532" s="15">
        <f t="shared" si="87"/>
        <v>1.3</v>
      </c>
      <c r="M532" s="8">
        <f t="shared" si="88"/>
        <v>1.6885754516598648</v>
      </c>
      <c r="N532" s="9" t="s">
        <v>474</v>
      </c>
      <c r="O532" s="9" t="s">
        <v>474</v>
      </c>
      <c r="P532" s="16">
        <v>2</v>
      </c>
      <c r="Q532" s="16">
        <v>2</v>
      </c>
      <c r="R532" s="5" t="str">
        <f t="shared" si="82"/>
        <v>139-2023-04-30</v>
      </c>
    </row>
    <row r="533" spans="1:18" x14ac:dyDescent="0.3">
      <c r="A533" s="26">
        <v>139</v>
      </c>
      <c r="B533" s="5" t="s">
        <v>57</v>
      </c>
      <c r="C533" s="5" t="s">
        <v>55</v>
      </c>
      <c r="D533" s="5" t="s">
        <v>18</v>
      </c>
      <c r="E533" s="5" t="s">
        <v>14</v>
      </c>
      <c r="F533" s="6">
        <v>45077</v>
      </c>
      <c r="G533" s="5">
        <f t="shared" si="83"/>
        <v>2023</v>
      </c>
      <c r="H533" s="5" t="str">
        <f t="shared" si="84"/>
        <v>Mayo</v>
      </c>
      <c r="I533" s="6" t="str">
        <f t="shared" si="81"/>
        <v>2023-1</v>
      </c>
      <c r="J533" s="12">
        <v>498.73899999999998</v>
      </c>
      <c r="K533" s="12">
        <v>329.68</v>
      </c>
      <c r="L533" s="15">
        <f t="shared" si="87"/>
        <v>1.3</v>
      </c>
      <c r="M533" s="8">
        <f t="shared" si="88"/>
        <v>1.5127972579471001</v>
      </c>
      <c r="N533" s="9" t="s">
        <v>474</v>
      </c>
      <c r="O533" s="9" t="s">
        <v>474</v>
      </c>
      <c r="P533" s="16">
        <v>2</v>
      </c>
      <c r="Q533" s="16">
        <v>2</v>
      </c>
      <c r="R533" s="5" t="str">
        <f t="shared" si="82"/>
        <v>139-2023-05-31</v>
      </c>
    </row>
    <row r="534" spans="1:18" x14ac:dyDescent="0.3">
      <c r="A534" s="26">
        <v>139</v>
      </c>
      <c r="B534" s="5" t="s">
        <v>57</v>
      </c>
      <c r="C534" s="5" t="s">
        <v>55</v>
      </c>
      <c r="D534" s="5" t="s">
        <v>18</v>
      </c>
      <c r="E534" s="5" t="s">
        <v>14</v>
      </c>
      <c r="F534" s="6">
        <v>45107</v>
      </c>
      <c r="G534" s="5">
        <f t="shared" si="83"/>
        <v>2023</v>
      </c>
      <c r="H534" s="5" t="str">
        <f t="shared" si="84"/>
        <v>Junio</v>
      </c>
      <c r="I534" s="6" t="str">
        <f t="shared" si="81"/>
        <v>2023-1</v>
      </c>
      <c r="J534" s="12">
        <v>570.08299999999997</v>
      </c>
      <c r="K534" s="12">
        <v>410.077</v>
      </c>
      <c r="L534" s="15">
        <f t="shared" si="87"/>
        <v>1.3</v>
      </c>
      <c r="M534" s="8">
        <f t="shared" si="88"/>
        <v>1.3901852578905911</v>
      </c>
      <c r="N534" s="9" t="s">
        <v>474</v>
      </c>
      <c r="O534" s="9" t="s">
        <v>474</v>
      </c>
      <c r="P534" s="16">
        <v>2</v>
      </c>
      <c r="Q534" s="16">
        <v>2</v>
      </c>
      <c r="R534" s="5" t="str">
        <f t="shared" si="82"/>
        <v>139-2023-06-30</v>
      </c>
    </row>
    <row r="535" spans="1:18" x14ac:dyDescent="0.3">
      <c r="A535" s="26">
        <v>139</v>
      </c>
      <c r="B535" s="5" t="s">
        <v>57</v>
      </c>
      <c r="C535" s="5" t="s">
        <v>55</v>
      </c>
      <c r="D535" s="5" t="s">
        <v>18</v>
      </c>
      <c r="E535" s="5" t="s">
        <v>14</v>
      </c>
      <c r="F535" s="6">
        <v>45138</v>
      </c>
      <c r="G535" s="5">
        <f t="shared" si="83"/>
        <v>2023</v>
      </c>
      <c r="H535" s="5" t="str">
        <f t="shared" si="84"/>
        <v>Julio</v>
      </c>
      <c r="I535" s="6" t="str">
        <f t="shared" si="81"/>
        <v>2023-2</v>
      </c>
      <c r="J535" s="12">
        <v>657.57899999999995</v>
      </c>
      <c r="K535" s="12">
        <v>491.44</v>
      </c>
      <c r="L535" s="15">
        <f t="shared" si="87"/>
        <v>1.3</v>
      </c>
      <c r="M535" s="8">
        <f t="shared" si="88"/>
        <v>1.3380656845189647</v>
      </c>
      <c r="N535" s="9" t="s">
        <v>474</v>
      </c>
      <c r="O535" s="9" t="s">
        <v>474</v>
      </c>
      <c r="P535" s="16">
        <v>2</v>
      </c>
      <c r="Q535" s="16">
        <v>2</v>
      </c>
      <c r="R535" s="5" t="str">
        <f t="shared" si="82"/>
        <v>139-2023-07-31</v>
      </c>
    </row>
    <row r="536" spans="1:18" x14ac:dyDescent="0.3">
      <c r="A536" s="26">
        <v>139</v>
      </c>
      <c r="B536" s="5" t="s">
        <v>57</v>
      </c>
      <c r="C536" s="5" t="s">
        <v>55</v>
      </c>
      <c r="D536" s="5" t="s">
        <v>18</v>
      </c>
      <c r="E536" s="5" t="s">
        <v>14</v>
      </c>
      <c r="F536" s="6">
        <v>45169</v>
      </c>
      <c r="G536" s="5">
        <f t="shared" si="83"/>
        <v>2023</v>
      </c>
      <c r="H536" s="5" t="str">
        <f t="shared" si="84"/>
        <v>Agosto</v>
      </c>
      <c r="I536" s="6" t="str">
        <f t="shared" si="81"/>
        <v>2023-2</v>
      </c>
      <c r="J536" s="12">
        <v>742.86199999999997</v>
      </c>
      <c r="K536" s="12">
        <v>579.83399999999995</v>
      </c>
      <c r="L536" s="15">
        <f t="shared" si="87"/>
        <v>1.2811632294760225</v>
      </c>
      <c r="M536" s="8">
        <f t="shared" si="88"/>
        <v>1.2811632294760225</v>
      </c>
      <c r="N536" s="9" t="s">
        <v>474</v>
      </c>
      <c r="O536" s="9" t="s">
        <v>474</v>
      </c>
      <c r="P536" s="16">
        <v>2</v>
      </c>
      <c r="Q536" s="16">
        <v>2</v>
      </c>
      <c r="R536" s="5" t="str">
        <f t="shared" si="82"/>
        <v>139-2023-08-31</v>
      </c>
    </row>
    <row r="537" spans="1:18" x14ac:dyDescent="0.3">
      <c r="A537" s="26">
        <v>139</v>
      </c>
      <c r="B537" s="5" t="s">
        <v>57</v>
      </c>
      <c r="C537" s="5" t="s">
        <v>55</v>
      </c>
      <c r="D537" s="5" t="s">
        <v>18</v>
      </c>
      <c r="E537" s="5" t="s">
        <v>14</v>
      </c>
      <c r="F537" s="6">
        <v>45199</v>
      </c>
      <c r="G537" s="5">
        <f t="shared" si="83"/>
        <v>2023</v>
      </c>
      <c r="H537" s="5" t="str">
        <f t="shared" si="84"/>
        <v>Septiembre</v>
      </c>
      <c r="I537" s="6" t="str">
        <f t="shared" si="81"/>
        <v>2023-2</v>
      </c>
      <c r="J537" s="12">
        <v>767.86699999999996</v>
      </c>
      <c r="K537" s="12">
        <v>654.85500000000002</v>
      </c>
      <c r="L537" s="15">
        <f t="shared" si="87"/>
        <v>1.1725756083407777</v>
      </c>
      <c r="M537" s="8">
        <f t="shared" si="88"/>
        <v>1.1725756083407777</v>
      </c>
      <c r="N537" s="9" t="s">
        <v>474</v>
      </c>
      <c r="O537" s="9" t="s">
        <v>474</v>
      </c>
      <c r="P537" s="16">
        <v>2</v>
      </c>
      <c r="Q537" s="16">
        <v>2</v>
      </c>
      <c r="R537" s="5" t="str">
        <f t="shared" si="82"/>
        <v>139-2023-09-30</v>
      </c>
    </row>
    <row r="538" spans="1:18" x14ac:dyDescent="0.3">
      <c r="A538" s="39">
        <v>139</v>
      </c>
      <c r="B538" s="5" t="s">
        <v>57</v>
      </c>
      <c r="C538" s="5" t="s">
        <v>55</v>
      </c>
      <c r="D538" s="5" t="s">
        <v>18</v>
      </c>
      <c r="E538" s="5" t="s">
        <v>14</v>
      </c>
      <c r="F538" s="6">
        <v>45230</v>
      </c>
      <c r="G538" s="5">
        <f t="shared" si="83"/>
        <v>2023</v>
      </c>
      <c r="H538" s="5" t="str">
        <f t="shared" si="84"/>
        <v>Octubre</v>
      </c>
      <c r="I538" s="6" t="str">
        <f t="shared" si="81"/>
        <v>2023-2</v>
      </c>
      <c r="J538" s="12">
        <v>838.952</v>
      </c>
      <c r="K538" s="12">
        <v>743.86199999999997</v>
      </c>
      <c r="L538" s="15">
        <f t="shared" si="87"/>
        <v>1.1278328507169342</v>
      </c>
      <c r="M538" s="8">
        <f t="shared" si="88"/>
        <v>1.1278328507169342</v>
      </c>
      <c r="N538" s="9" t="s">
        <v>474</v>
      </c>
      <c r="O538" s="9" t="s">
        <v>474</v>
      </c>
      <c r="P538" s="16">
        <v>2</v>
      </c>
      <c r="Q538" s="16">
        <v>2</v>
      </c>
      <c r="R538" s="5" t="str">
        <f t="shared" si="82"/>
        <v>139-2023-10-31</v>
      </c>
    </row>
    <row r="539" spans="1:18" x14ac:dyDescent="0.3">
      <c r="A539" s="39">
        <v>139</v>
      </c>
      <c r="B539" s="5" t="s">
        <v>57</v>
      </c>
      <c r="C539" s="5" t="s">
        <v>55</v>
      </c>
      <c r="D539" s="5" t="s">
        <v>18</v>
      </c>
      <c r="E539" s="5" t="s">
        <v>14</v>
      </c>
      <c r="F539" s="6">
        <v>45260</v>
      </c>
      <c r="G539" s="5">
        <f t="shared" si="83"/>
        <v>2023</v>
      </c>
      <c r="H539" s="5" t="str">
        <f t="shared" si="84"/>
        <v>Noviembre</v>
      </c>
      <c r="I539" s="6" t="str">
        <f t="shared" si="81"/>
        <v>2023-2</v>
      </c>
      <c r="J539" s="12">
        <v>910.10699999999997</v>
      </c>
      <c r="K539" s="12">
        <v>840.42200000000003</v>
      </c>
      <c r="L539" s="15">
        <f t="shared" si="87"/>
        <v>1.0829166775738854</v>
      </c>
      <c r="M539" s="8">
        <f t="shared" si="88"/>
        <v>1.0829166775738854</v>
      </c>
      <c r="N539" s="9" t="s">
        <v>474</v>
      </c>
      <c r="O539" s="9" t="s">
        <v>474</v>
      </c>
      <c r="P539" s="16">
        <v>2</v>
      </c>
      <c r="Q539" s="16">
        <v>2</v>
      </c>
      <c r="R539" s="5" t="str">
        <f t="shared" si="82"/>
        <v>139-2023-11-30</v>
      </c>
    </row>
    <row r="540" spans="1:18" x14ac:dyDescent="0.3">
      <c r="A540" s="39">
        <v>139</v>
      </c>
      <c r="B540" s="5" t="s">
        <v>57</v>
      </c>
      <c r="C540" s="5" t="s">
        <v>55</v>
      </c>
      <c r="D540" s="5" t="s">
        <v>18</v>
      </c>
      <c r="E540" s="5" t="s">
        <v>14</v>
      </c>
      <c r="F540" s="6">
        <v>45291</v>
      </c>
      <c r="G540" s="5">
        <f t="shared" si="83"/>
        <v>2023</v>
      </c>
      <c r="H540" s="5" t="str">
        <f t="shared" si="84"/>
        <v>Diciembre</v>
      </c>
      <c r="I540" s="6" t="str">
        <f t="shared" si="81"/>
        <v>2023-2</v>
      </c>
      <c r="J540" s="12">
        <v>981.98199999999997</v>
      </c>
      <c r="K540" s="12">
        <v>964.28399999999999</v>
      </c>
      <c r="L540" s="15">
        <f t="shared" si="87"/>
        <v>1.0183535141099509</v>
      </c>
      <c r="M540" s="8">
        <f t="shared" si="88"/>
        <v>1.0183535141099509</v>
      </c>
      <c r="N540" s="9" t="s">
        <v>474</v>
      </c>
      <c r="O540" s="9" t="s">
        <v>474</v>
      </c>
      <c r="P540" s="16">
        <v>2</v>
      </c>
      <c r="Q540" s="16">
        <v>2</v>
      </c>
      <c r="R540" s="5" t="str">
        <f t="shared" si="82"/>
        <v>139-2023-12-31</v>
      </c>
    </row>
    <row r="541" spans="1:18" x14ac:dyDescent="0.3">
      <c r="A541" s="26">
        <v>139</v>
      </c>
      <c r="B541" s="5" t="s">
        <v>57</v>
      </c>
      <c r="C541" s="5" t="s">
        <v>55</v>
      </c>
      <c r="D541" s="5" t="s">
        <v>18</v>
      </c>
      <c r="E541" s="5" t="s">
        <v>14</v>
      </c>
      <c r="F541" s="6">
        <v>45322</v>
      </c>
      <c r="G541" s="5">
        <f t="shared" si="83"/>
        <v>2024</v>
      </c>
      <c r="H541" s="5" t="str">
        <f t="shared" si="84"/>
        <v>Enero</v>
      </c>
      <c r="I541" s="6" t="str">
        <f t="shared" si="81"/>
        <v>2024-1</v>
      </c>
      <c r="J541" s="9">
        <v>79.365133</v>
      </c>
      <c r="K541" s="9">
        <v>79.446461999999997</v>
      </c>
      <c r="L541" s="15">
        <f t="shared" si="87"/>
        <v>0.99897630431925344</v>
      </c>
      <c r="M541" s="8">
        <f t="shared" si="88"/>
        <v>0.99897630431925344</v>
      </c>
      <c r="N541" s="9" t="s">
        <v>474</v>
      </c>
      <c r="O541" s="9" t="s">
        <v>474</v>
      </c>
      <c r="P541" s="16">
        <v>2</v>
      </c>
      <c r="Q541" s="16">
        <v>2</v>
      </c>
      <c r="R541" s="5" t="str">
        <f t="shared" si="82"/>
        <v>139-2024-01-31</v>
      </c>
    </row>
    <row r="542" spans="1:18" x14ac:dyDescent="0.3">
      <c r="A542" s="26">
        <v>139</v>
      </c>
      <c r="B542" s="5" t="s">
        <v>57</v>
      </c>
      <c r="C542" s="5" t="s">
        <v>55</v>
      </c>
      <c r="D542" s="5" t="s">
        <v>18</v>
      </c>
      <c r="E542" s="5" t="s">
        <v>14</v>
      </c>
      <c r="F542" s="6">
        <v>45351</v>
      </c>
      <c r="G542" s="5">
        <f t="shared" si="83"/>
        <v>2024</v>
      </c>
      <c r="H542" s="5" t="str">
        <f t="shared" si="84"/>
        <v>Febrero</v>
      </c>
      <c r="I542" s="6" t="str">
        <f t="shared" si="81"/>
        <v>2024-1</v>
      </c>
      <c r="J542" s="10">
        <v>181.94887900000001</v>
      </c>
      <c r="K542" s="10">
        <v>168.893529</v>
      </c>
      <c r="L542" s="15">
        <f t="shared" si="87"/>
        <v>1.0772992907265264</v>
      </c>
      <c r="M542" s="8">
        <f t="shared" si="88"/>
        <v>1.0772992907265264</v>
      </c>
      <c r="N542" s="9" t="s">
        <v>474</v>
      </c>
      <c r="O542" s="9" t="s">
        <v>474</v>
      </c>
      <c r="P542" s="16">
        <v>2</v>
      </c>
      <c r="Q542" s="16">
        <v>2</v>
      </c>
      <c r="R542" s="5" t="str">
        <f t="shared" si="82"/>
        <v>139-2024-02-29</v>
      </c>
    </row>
    <row r="543" spans="1:18" x14ac:dyDescent="0.3">
      <c r="A543" s="26">
        <v>139</v>
      </c>
      <c r="B543" s="5" t="s">
        <v>57</v>
      </c>
      <c r="C543" s="5" t="s">
        <v>55</v>
      </c>
      <c r="D543" s="5" t="s">
        <v>18</v>
      </c>
      <c r="E543" s="5" t="s">
        <v>14</v>
      </c>
      <c r="F543" s="6">
        <v>45382</v>
      </c>
      <c r="G543" s="5">
        <f t="shared" si="83"/>
        <v>2024</v>
      </c>
      <c r="H543" s="5" t="str">
        <f t="shared" si="84"/>
        <v>Marzo</v>
      </c>
      <c r="I543" s="6" t="str">
        <f t="shared" si="81"/>
        <v>2024-1</v>
      </c>
      <c r="J543" s="75">
        <v>357.09982600000001</v>
      </c>
      <c r="K543" s="75">
        <v>224.836963</v>
      </c>
      <c r="L543" s="15">
        <f t="shared" si="87"/>
        <v>1.3</v>
      </c>
      <c r="M543" s="8">
        <f t="shared" si="88"/>
        <v>1.5882612059654979</v>
      </c>
      <c r="N543" s="9" t="s">
        <v>474</v>
      </c>
      <c r="O543" s="9" t="s">
        <v>474</v>
      </c>
      <c r="P543" s="16">
        <v>2</v>
      </c>
      <c r="Q543" s="16">
        <v>2</v>
      </c>
      <c r="R543" s="5" t="str">
        <f t="shared" si="82"/>
        <v>139-2024-03-31</v>
      </c>
    </row>
    <row r="544" spans="1:18" x14ac:dyDescent="0.3">
      <c r="A544" s="26">
        <v>139</v>
      </c>
      <c r="B544" s="5" t="s">
        <v>57</v>
      </c>
      <c r="C544" s="5" t="s">
        <v>55</v>
      </c>
      <c r="D544" s="5" t="s">
        <v>18</v>
      </c>
      <c r="E544" s="5" t="s">
        <v>14</v>
      </c>
      <c r="F544" s="6">
        <v>45412</v>
      </c>
      <c r="G544" s="5">
        <f t="shared" si="83"/>
        <v>2024</v>
      </c>
      <c r="H544" s="5" t="str">
        <f t="shared" si="84"/>
        <v>Abril</v>
      </c>
      <c r="I544" s="6" t="str">
        <f t="shared" si="81"/>
        <v>2024-1</v>
      </c>
      <c r="J544" s="75">
        <v>452.15224499999999</v>
      </c>
      <c r="K544" s="75">
        <v>311.054847</v>
      </c>
      <c r="L544" s="15">
        <f t="shared" si="87"/>
        <v>1.3</v>
      </c>
      <c r="M544" s="8">
        <f t="shared" si="88"/>
        <v>1.4536093854856407</v>
      </c>
      <c r="N544" s="9" t="s">
        <v>474</v>
      </c>
      <c r="O544" s="9" t="s">
        <v>474</v>
      </c>
      <c r="P544" s="16">
        <v>2</v>
      </c>
      <c r="Q544" s="16">
        <v>2</v>
      </c>
      <c r="R544" s="5" t="str">
        <f t="shared" si="82"/>
        <v>139-2024-04-30</v>
      </c>
    </row>
    <row r="545" spans="1:18" x14ac:dyDescent="0.3">
      <c r="A545" s="26">
        <v>139</v>
      </c>
      <c r="B545" s="5" t="s">
        <v>57</v>
      </c>
      <c r="C545" s="5" t="s">
        <v>55</v>
      </c>
      <c r="D545" s="5" t="s">
        <v>18</v>
      </c>
      <c r="E545" s="5" t="s">
        <v>14</v>
      </c>
      <c r="F545" s="6">
        <v>45443</v>
      </c>
      <c r="G545" s="5">
        <f t="shared" si="83"/>
        <v>2024</v>
      </c>
      <c r="H545" s="5" t="str">
        <f t="shared" si="84"/>
        <v>Mayo</v>
      </c>
      <c r="I545" s="6" t="str">
        <f t="shared" si="81"/>
        <v>2024-1</v>
      </c>
      <c r="J545" s="75">
        <v>539.12789899999996</v>
      </c>
      <c r="K545" s="75">
        <v>391.41320000000002</v>
      </c>
      <c r="L545" s="15">
        <f t="shared" si="87"/>
        <v>1.3</v>
      </c>
      <c r="M545" s="8">
        <f t="shared" si="88"/>
        <v>1.3773881386728908</v>
      </c>
      <c r="N545" s="9" t="s">
        <v>474</v>
      </c>
      <c r="O545" s="9" t="s">
        <v>474</v>
      </c>
      <c r="P545" s="16">
        <v>2</v>
      </c>
      <c r="Q545" s="16">
        <v>2</v>
      </c>
      <c r="R545" s="5" t="str">
        <f t="shared" si="82"/>
        <v>139-2024-05-31</v>
      </c>
    </row>
    <row r="546" spans="1:18" x14ac:dyDescent="0.3">
      <c r="A546" s="26">
        <v>139</v>
      </c>
      <c r="B546" s="5" t="s">
        <v>57</v>
      </c>
      <c r="C546" s="5" t="s">
        <v>55</v>
      </c>
      <c r="D546" s="5" t="s">
        <v>18</v>
      </c>
      <c r="E546" s="5" t="s">
        <v>14</v>
      </c>
      <c r="F546" s="6">
        <v>45473</v>
      </c>
      <c r="G546" s="5">
        <f t="shared" si="83"/>
        <v>2024</v>
      </c>
      <c r="H546" s="5" t="str">
        <f t="shared" si="84"/>
        <v>Junio</v>
      </c>
      <c r="I546" s="6" t="str">
        <f t="shared" si="81"/>
        <v>2024-1</v>
      </c>
      <c r="J546" s="75">
        <v>624.02159300000005</v>
      </c>
      <c r="K546" s="75">
        <v>470.81177500000001</v>
      </c>
      <c r="L546" s="15">
        <f t="shared" si="87"/>
        <v>1.3</v>
      </c>
      <c r="M546" s="8">
        <f t="shared" si="88"/>
        <v>1.3254162833969054</v>
      </c>
      <c r="N546" s="9" t="s">
        <v>474</v>
      </c>
      <c r="O546" s="9" t="s">
        <v>474</v>
      </c>
      <c r="P546" s="16">
        <v>2</v>
      </c>
      <c r="Q546" s="16">
        <v>2</v>
      </c>
      <c r="R546" s="5" t="str">
        <f t="shared" si="82"/>
        <v>139-2024-06-30</v>
      </c>
    </row>
    <row r="547" spans="1:18" x14ac:dyDescent="0.3">
      <c r="A547" s="26">
        <v>139</v>
      </c>
      <c r="B547" s="5" t="s">
        <v>57</v>
      </c>
      <c r="C547" s="5" t="s">
        <v>55</v>
      </c>
      <c r="D547" s="5" t="s">
        <v>18</v>
      </c>
      <c r="E547" s="5" t="s">
        <v>14</v>
      </c>
      <c r="F547" s="6">
        <v>45504</v>
      </c>
      <c r="G547" s="5">
        <f t="shared" si="83"/>
        <v>2024</v>
      </c>
      <c r="H547" s="5" t="str">
        <f t="shared" si="84"/>
        <v>Julio</v>
      </c>
      <c r="I547" s="6" t="str">
        <f t="shared" si="81"/>
        <v>2024-2</v>
      </c>
      <c r="J547" s="75">
        <v>720.62219600000003</v>
      </c>
      <c r="K547" s="75">
        <v>569.495364</v>
      </c>
      <c r="L547" s="15">
        <f t="shared" si="87"/>
        <v>1.2653697317894235</v>
      </c>
      <c r="M547" s="8">
        <f t="shared" si="88"/>
        <v>1.2653697317894235</v>
      </c>
      <c r="N547" s="9" t="s">
        <v>474</v>
      </c>
      <c r="O547" s="9" t="s">
        <v>474</v>
      </c>
      <c r="P547" s="16">
        <v>2</v>
      </c>
      <c r="Q547" s="16">
        <v>2</v>
      </c>
      <c r="R547" s="5" t="str">
        <f t="shared" si="82"/>
        <v>139-2024-07-31</v>
      </c>
    </row>
    <row r="548" spans="1:18" x14ac:dyDescent="0.3">
      <c r="A548" s="26">
        <v>139</v>
      </c>
      <c r="B548" s="5" t="s">
        <v>57</v>
      </c>
      <c r="C548" s="5" t="s">
        <v>55</v>
      </c>
      <c r="D548" s="5" t="s">
        <v>18</v>
      </c>
      <c r="E548" s="5" t="s">
        <v>14</v>
      </c>
      <c r="F548" s="6">
        <v>45535</v>
      </c>
      <c r="G548" s="5">
        <f t="shared" si="83"/>
        <v>2024</v>
      </c>
      <c r="H548" s="5" t="str">
        <f t="shared" si="84"/>
        <v>Agosto</v>
      </c>
      <c r="I548" s="6" t="str">
        <f t="shared" si="81"/>
        <v>2024-2</v>
      </c>
      <c r="J548" s="75">
        <v>822.01309600000002</v>
      </c>
      <c r="K548" s="75">
        <v>656.46144200000003</v>
      </c>
      <c r="L548" s="15">
        <f t="shared" si="87"/>
        <v>1.2521879327681822</v>
      </c>
      <c r="M548" s="8">
        <f t="shared" si="88"/>
        <v>1.2521879327681822</v>
      </c>
      <c r="N548" s="9" t="s">
        <v>474</v>
      </c>
      <c r="O548" s="9" t="s">
        <v>474</v>
      </c>
      <c r="P548" s="16">
        <v>2</v>
      </c>
      <c r="Q548" s="16">
        <v>2</v>
      </c>
      <c r="R548" s="5" t="str">
        <f t="shared" si="82"/>
        <v>139-2024-08-31</v>
      </c>
    </row>
    <row r="549" spans="1:18" x14ac:dyDescent="0.3">
      <c r="A549" s="26">
        <v>139</v>
      </c>
      <c r="B549" s="5" t="s">
        <v>57</v>
      </c>
      <c r="C549" s="5" t="s">
        <v>55</v>
      </c>
      <c r="D549" s="5" t="s">
        <v>18</v>
      </c>
      <c r="E549" s="5" t="s">
        <v>14</v>
      </c>
      <c r="F549" s="6">
        <v>45565</v>
      </c>
      <c r="G549" s="5">
        <f t="shared" si="83"/>
        <v>2024</v>
      </c>
      <c r="H549" s="5" t="str">
        <f t="shared" si="84"/>
        <v>Septiembre</v>
      </c>
      <c r="I549" s="6" t="str">
        <f t="shared" si="81"/>
        <v>2024-2</v>
      </c>
      <c r="J549" s="75">
        <v>927.16113199999995</v>
      </c>
      <c r="K549" s="75">
        <v>737.62694799999997</v>
      </c>
      <c r="L549" s="15">
        <f t="shared" si="87"/>
        <v>1.2569512739656579</v>
      </c>
      <c r="M549" s="8">
        <f t="shared" si="88"/>
        <v>1.2569512739656579</v>
      </c>
      <c r="N549" s="9" t="s">
        <v>474</v>
      </c>
      <c r="O549" s="9" t="s">
        <v>474</v>
      </c>
      <c r="P549" s="16">
        <v>2</v>
      </c>
      <c r="Q549" s="16">
        <v>2</v>
      </c>
      <c r="R549" s="5" t="str">
        <f t="shared" si="82"/>
        <v>139-2024-09-30</v>
      </c>
    </row>
    <row r="550" spans="1:18" x14ac:dyDescent="0.3">
      <c r="A550" s="39">
        <v>139</v>
      </c>
      <c r="B550" s="5" t="s">
        <v>57</v>
      </c>
      <c r="C550" s="5" t="s">
        <v>55</v>
      </c>
      <c r="D550" s="5" t="s">
        <v>18</v>
      </c>
      <c r="E550" s="5" t="s">
        <v>14</v>
      </c>
      <c r="F550" s="6">
        <v>45596</v>
      </c>
      <c r="G550" s="5">
        <f t="shared" si="83"/>
        <v>2024</v>
      </c>
      <c r="H550" s="5" t="str">
        <f t="shared" si="84"/>
        <v>Octubre</v>
      </c>
      <c r="I550" s="6" t="str">
        <f t="shared" si="81"/>
        <v>2024-2</v>
      </c>
      <c r="J550" s="9">
        <v>1966.696715</v>
      </c>
      <c r="K550" s="9">
        <v>1039.535584</v>
      </c>
      <c r="L550" s="15">
        <f t="shared" si="87"/>
        <v>1.3</v>
      </c>
      <c r="M550" s="8">
        <f t="shared" si="88"/>
        <v>1.8918993685934278</v>
      </c>
      <c r="N550" s="9" t="s">
        <v>474</v>
      </c>
      <c r="O550" s="9" t="s">
        <v>474</v>
      </c>
      <c r="P550" s="16">
        <v>2</v>
      </c>
      <c r="Q550" s="16">
        <v>2</v>
      </c>
      <c r="R550" s="5" t="str">
        <f t="shared" si="82"/>
        <v>139-2024-10-31</v>
      </c>
    </row>
    <row r="551" spans="1:18" x14ac:dyDescent="0.3">
      <c r="A551" s="39">
        <v>139</v>
      </c>
      <c r="B551" s="5" t="s">
        <v>57</v>
      </c>
      <c r="C551" s="5" t="s">
        <v>55</v>
      </c>
      <c r="D551" s="5" t="s">
        <v>18</v>
      </c>
      <c r="E551" s="5" t="s">
        <v>14</v>
      </c>
      <c r="F551" s="6">
        <v>45626</v>
      </c>
      <c r="G551" s="5">
        <f t="shared" si="83"/>
        <v>2024</v>
      </c>
      <c r="H551" s="5" t="str">
        <f t="shared" si="84"/>
        <v>Noviembre</v>
      </c>
      <c r="I551" s="6" t="str">
        <f t="shared" si="81"/>
        <v>2024-2</v>
      </c>
      <c r="J551" s="9">
        <v>2267.1264860000001</v>
      </c>
      <c r="K551" s="9">
        <v>1136.282148</v>
      </c>
      <c r="L551" s="15">
        <f t="shared" si="87"/>
        <v>1.3</v>
      </c>
      <c r="M551" s="8">
        <f t="shared" si="88"/>
        <v>1.995214384024627</v>
      </c>
      <c r="N551" s="9" t="s">
        <v>474</v>
      </c>
      <c r="O551" s="9" t="s">
        <v>474</v>
      </c>
      <c r="P551" s="16">
        <v>2</v>
      </c>
      <c r="Q551" s="16">
        <v>2</v>
      </c>
      <c r="R551" s="5" t="str">
        <f t="shared" si="82"/>
        <v>139-2024-11-30</v>
      </c>
    </row>
    <row r="552" spans="1:18" x14ac:dyDescent="0.3">
      <c r="A552" s="39">
        <v>139</v>
      </c>
      <c r="B552" s="5" t="s">
        <v>57</v>
      </c>
      <c r="C552" s="5" t="s">
        <v>55</v>
      </c>
      <c r="D552" s="5" t="s">
        <v>18</v>
      </c>
      <c r="E552" s="5" t="s">
        <v>14</v>
      </c>
      <c r="F552" s="6">
        <v>45657</v>
      </c>
      <c r="G552" s="5">
        <f t="shared" si="83"/>
        <v>2024</v>
      </c>
      <c r="H552" s="5" t="str">
        <f t="shared" si="84"/>
        <v>Diciembre</v>
      </c>
      <c r="I552" s="6" t="str">
        <f t="shared" si="81"/>
        <v>2024-2</v>
      </c>
      <c r="J552" s="9">
        <v>1338.6143959999999</v>
      </c>
      <c r="K552" s="9">
        <v>1214.7518809999999</v>
      </c>
      <c r="L552" s="15">
        <f t="shared" si="87"/>
        <v>1.1019652794429384</v>
      </c>
      <c r="M552" s="8">
        <f t="shared" si="88"/>
        <v>1.1019652794429384</v>
      </c>
      <c r="N552" s="9" t="s">
        <v>474</v>
      </c>
      <c r="O552" s="9" t="s">
        <v>474</v>
      </c>
      <c r="P552" s="16">
        <v>2</v>
      </c>
      <c r="Q552" s="16">
        <v>2</v>
      </c>
      <c r="R552" s="5" t="str">
        <f t="shared" si="82"/>
        <v>139-2024-12-31</v>
      </c>
    </row>
    <row r="553" spans="1:18" x14ac:dyDescent="0.3">
      <c r="A553" s="26">
        <v>143</v>
      </c>
      <c r="B553" s="5" t="s">
        <v>58</v>
      </c>
      <c r="C553" s="5" t="s">
        <v>59</v>
      </c>
      <c r="D553" s="5" t="s">
        <v>8</v>
      </c>
      <c r="E553" s="5" t="s">
        <v>9</v>
      </c>
      <c r="F553" s="17">
        <v>45107</v>
      </c>
      <c r="G553" s="5">
        <f t="shared" si="83"/>
        <v>2023</v>
      </c>
      <c r="H553" s="5" t="str">
        <f t="shared" si="84"/>
        <v>Junio</v>
      </c>
      <c r="I553" s="6" t="str">
        <f t="shared" si="81"/>
        <v>2023-1</v>
      </c>
      <c r="J553" s="5"/>
      <c r="K553" s="5">
        <v>146</v>
      </c>
      <c r="L553" s="8"/>
      <c r="M553" s="15" t="str">
        <f>IFERROR(IF((K553/J553)&gt;K553/J553,1.3,K553/J553),"")</f>
        <v/>
      </c>
      <c r="N553" s="5"/>
      <c r="O553" s="5" t="s">
        <v>490</v>
      </c>
      <c r="P553" s="16">
        <v>0</v>
      </c>
      <c r="Q553" s="16">
        <v>0</v>
      </c>
      <c r="R553" s="5" t="str">
        <f t="shared" si="82"/>
        <v>143-2023-06-30</v>
      </c>
    </row>
    <row r="554" spans="1:18" x14ac:dyDescent="0.3">
      <c r="A554" s="5">
        <v>143</v>
      </c>
      <c r="B554" s="5" t="s">
        <v>58</v>
      </c>
      <c r="C554" s="5" t="s">
        <v>59</v>
      </c>
      <c r="D554" s="5" t="s">
        <v>8</v>
      </c>
      <c r="E554" s="5" t="s">
        <v>9</v>
      </c>
      <c r="F554" s="6">
        <v>45291</v>
      </c>
      <c r="G554" s="5">
        <f t="shared" si="83"/>
        <v>2023</v>
      </c>
      <c r="H554" s="5" t="str">
        <f t="shared" si="84"/>
        <v>Diciembre</v>
      </c>
      <c r="I554" s="6" t="str">
        <f t="shared" si="81"/>
        <v>2023-2</v>
      </c>
      <c r="J554" s="5"/>
      <c r="K554" s="5">
        <v>146</v>
      </c>
      <c r="L554" s="8" t="str">
        <f>IFERROR(K554/J554,"")</f>
        <v/>
      </c>
      <c r="M554" s="15" t="str">
        <f>IFERROR(IF((K554/J554)&gt;K554/J554,1.3,K554/J554),"")</f>
        <v/>
      </c>
      <c r="N554" s="5"/>
      <c r="O554" s="5" t="s">
        <v>490</v>
      </c>
      <c r="P554" s="16">
        <v>0</v>
      </c>
      <c r="Q554" s="16">
        <v>0</v>
      </c>
      <c r="R554" s="5" t="str">
        <f t="shared" si="82"/>
        <v>143-2023-12-31</v>
      </c>
    </row>
    <row r="555" spans="1:18" x14ac:dyDescent="0.3">
      <c r="A555" s="5">
        <v>143</v>
      </c>
      <c r="B555" s="5" t="s">
        <v>58</v>
      </c>
      <c r="C555" s="5" t="s">
        <v>59</v>
      </c>
      <c r="D555" s="5" t="s">
        <v>8</v>
      </c>
      <c r="E555" s="5" t="s">
        <v>9</v>
      </c>
      <c r="F555" s="6">
        <v>45473</v>
      </c>
      <c r="G555" s="5">
        <f t="shared" si="83"/>
        <v>2024</v>
      </c>
      <c r="H555" s="5" t="str">
        <f t="shared" si="84"/>
        <v>Junio</v>
      </c>
      <c r="I555" s="6" t="str">
        <f t="shared" ref="I555:I611" si="89">IF(OR(H555="Enero",H555="Febrero",H555="Marzo",H555="Abril",H555="Mayo",H555="Junio"),G555&amp;"-1",IF(OR(H555="Julio",H555="Agosto",H555="Septiembre",H555="Octubre",H555="Noviembre",H555="Diciembre"),G555&amp;"-2"))</f>
        <v>2024-1</v>
      </c>
      <c r="J555" s="5"/>
      <c r="K555" s="5">
        <v>112</v>
      </c>
      <c r="L555" s="15"/>
      <c r="M555" s="15"/>
      <c r="N555" s="5"/>
      <c r="O555" s="5" t="s">
        <v>490</v>
      </c>
      <c r="P555" s="5">
        <v>0</v>
      </c>
      <c r="Q555" s="5">
        <v>0</v>
      </c>
      <c r="R555" s="5" t="str">
        <f t="shared" ref="R555:R611" si="90">A555&amp;"-"&amp;YEAR(F555)&amp;"-"&amp;IF(LEN(MONTH(F555))=1,"0"&amp;MONTH(F555),MONTH(F555))&amp;"-"&amp;DAY(F555)</f>
        <v>143-2024-06-30</v>
      </c>
    </row>
    <row r="556" spans="1:18" x14ac:dyDescent="0.3">
      <c r="A556" s="26">
        <v>143</v>
      </c>
      <c r="B556" s="5" t="s">
        <v>58</v>
      </c>
      <c r="C556" s="5" t="s">
        <v>59</v>
      </c>
      <c r="D556" s="5" t="s">
        <v>8</v>
      </c>
      <c r="E556" s="5" t="s">
        <v>9</v>
      </c>
      <c r="F556" s="6">
        <v>45657</v>
      </c>
      <c r="G556" s="5">
        <f t="shared" si="83"/>
        <v>2024</v>
      </c>
      <c r="H556" s="5" t="str">
        <f t="shared" si="84"/>
        <v>Diciembre</v>
      </c>
      <c r="I556" s="6" t="str">
        <f t="shared" si="89"/>
        <v>2024-2</v>
      </c>
      <c r="J556" s="5"/>
      <c r="K556" s="5">
        <v>135</v>
      </c>
      <c r="L556" s="15"/>
      <c r="M556" s="15"/>
      <c r="N556" s="5"/>
      <c r="O556" s="5" t="s">
        <v>490</v>
      </c>
      <c r="P556" s="16">
        <v>0</v>
      </c>
      <c r="Q556" s="16">
        <v>0</v>
      </c>
      <c r="R556" s="5" t="str">
        <f t="shared" si="90"/>
        <v>143-2024-12-31</v>
      </c>
    </row>
    <row r="557" spans="1:18" x14ac:dyDescent="0.3">
      <c r="A557" s="39">
        <v>144</v>
      </c>
      <c r="B557" s="5" t="s">
        <v>60</v>
      </c>
      <c r="C557" s="5" t="s">
        <v>59</v>
      </c>
      <c r="D557" s="5" t="s">
        <v>25</v>
      </c>
      <c r="E557" s="5" t="s">
        <v>9</v>
      </c>
      <c r="F557" s="6">
        <v>45291</v>
      </c>
      <c r="G557" s="5">
        <f t="shared" si="83"/>
        <v>2023</v>
      </c>
      <c r="H557" s="5" t="str">
        <f t="shared" si="84"/>
        <v>Diciembre</v>
      </c>
      <c r="I557" s="6" t="str">
        <f t="shared" si="89"/>
        <v>2023-2</v>
      </c>
      <c r="J557" s="5">
        <v>3</v>
      </c>
      <c r="K557" s="9">
        <v>4.83</v>
      </c>
      <c r="L557" s="8">
        <f>IFERROR(K557/J557,"")</f>
        <v>1.61</v>
      </c>
      <c r="M557" s="15">
        <f t="shared" ref="M557:M568" si="91">IFERROR(IF((K557/J557)&gt;K557/J557,1.3,K557/J557),"")</f>
        <v>1.61</v>
      </c>
      <c r="N557" s="5">
        <v>0</v>
      </c>
      <c r="O557" s="5" t="s">
        <v>490</v>
      </c>
      <c r="P557" s="16">
        <v>0</v>
      </c>
      <c r="Q557" s="16">
        <v>0</v>
      </c>
      <c r="R557" s="5" t="str">
        <f t="shared" si="90"/>
        <v>144-2023-12-31</v>
      </c>
    </row>
    <row r="558" spans="1:18" x14ac:dyDescent="0.3">
      <c r="A558" s="26">
        <v>144</v>
      </c>
      <c r="B558" s="5" t="s">
        <v>60</v>
      </c>
      <c r="C558" s="5" t="s">
        <v>59</v>
      </c>
      <c r="D558" s="5" t="s">
        <v>25</v>
      </c>
      <c r="E558" s="5" t="s">
        <v>9</v>
      </c>
      <c r="F558" s="6">
        <v>45657</v>
      </c>
      <c r="G558" s="5">
        <f t="shared" si="83"/>
        <v>2024</v>
      </c>
      <c r="H558" s="5" t="str">
        <f t="shared" si="84"/>
        <v>Diciembre</v>
      </c>
      <c r="I558" s="6" t="str">
        <f t="shared" si="89"/>
        <v>2024-2</v>
      </c>
      <c r="J558" s="5">
        <v>3</v>
      </c>
      <c r="K558" s="10">
        <v>3.07</v>
      </c>
      <c r="L558" s="15">
        <f>IFERROR(IF((K558/J558)&gt;1.3,1.3,K558/J558),"")</f>
        <v>1.0233333333333332</v>
      </c>
      <c r="M558" s="15">
        <f t="shared" si="91"/>
        <v>1.0233333333333332</v>
      </c>
      <c r="N558" s="5"/>
      <c r="O558" s="5"/>
      <c r="P558" s="16">
        <v>0</v>
      </c>
      <c r="Q558" s="16">
        <v>0</v>
      </c>
      <c r="R558" s="5" t="str">
        <f t="shared" si="90"/>
        <v>144-2024-12-31</v>
      </c>
    </row>
    <row r="559" spans="1:18" x14ac:dyDescent="0.3">
      <c r="A559" s="26">
        <v>145</v>
      </c>
      <c r="B559" s="5" t="s">
        <v>61</v>
      </c>
      <c r="C559" s="5" t="s">
        <v>62</v>
      </c>
      <c r="D559" s="5" t="s">
        <v>8</v>
      </c>
      <c r="E559" s="5" t="s">
        <v>9</v>
      </c>
      <c r="F559" s="17">
        <v>45107</v>
      </c>
      <c r="G559" s="5">
        <f t="shared" si="83"/>
        <v>2023</v>
      </c>
      <c r="H559" s="5" t="str">
        <f t="shared" si="84"/>
        <v>Junio</v>
      </c>
      <c r="I559" s="6" t="str">
        <f t="shared" si="89"/>
        <v>2023-1</v>
      </c>
      <c r="J559" s="5">
        <v>1</v>
      </c>
      <c r="K559" s="9">
        <v>2</v>
      </c>
      <c r="L559" s="15">
        <f>IFERROR(IF((K559/J559)&gt;1.3,1.3,K559/J559),"")</f>
        <v>1.3</v>
      </c>
      <c r="M559" s="15">
        <f t="shared" si="91"/>
        <v>2</v>
      </c>
      <c r="N559" s="5" t="s">
        <v>490</v>
      </c>
      <c r="O559" s="5" t="s">
        <v>478</v>
      </c>
      <c r="P559" s="16">
        <v>0</v>
      </c>
      <c r="Q559" s="16">
        <v>0</v>
      </c>
      <c r="R559" s="5" t="str">
        <f t="shared" si="90"/>
        <v>145-2023-06-30</v>
      </c>
    </row>
    <row r="560" spans="1:18" x14ac:dyDescent="0.3">
      <c r="A560" s="26">
        <v>145</v>
      </c>
      <c r="B560" s="5" t="s">
        <v>61</v>
      </c>
      <c r="C560" s="5" t="s">
        <v>62</v>
      </c>
      <c r="D560" s="5" t="s">
        <v>8</v>
      </c>
      <c r="E560" s="5" t="s">
        <v>9</v>
      </c>
      <c r="F560" s="6">
        <v>45291</v>
      </c>
      <c r="G560" s="5">
        <f t="shared" si="83"/>
        <v>2023</v>
      </c>
      <c r="H560" s="5" t="str">
        <f t="shared" si="84"/>
        <v>Diciembre</v>
      </c>
      <c r="I560" s="6" t="str">
        <f t="shared" si="89"/>
        <v>2023-2</v>
      </c>
      <c r="J560" s="5">
        <v>1</v>
      </c>
      <c r="K560" s="9">
        <v>2</v>
      </c>
      <c r="L560" s="15">
        <f>IFERROR(IF((K560/J560)&gt;1.3,1.3,K560/J560),"")</f>
        <v>1.3</v>
      </c>
      <c r="M560" s="15">
        <f t="shared" si="91"/>
        <v>2</v>
      </c>
      <c r="N560" s="5" t="s">
        <v>490</v>
      </c>
      <c r="O560" s="5" t="s">
        <v>478</v>
      </c>
      <c r="P560" s="16">
        <v>0</v>
      </c>
      <c r="Q560" s="16">
        <v>0</v>
      </c>
      <c r="R560" s="5" t="str">
        <f t="shared" si="90"/>
        <v>145-2023-12-31</v>
      </c>
    </row>
    <row r="561" spans="1:18" x14ac:dyDescent="0.3">
      <c r="A561" s="5">
        <v>145</v>
      </c>
      <c r="B561" s="5" t="s">
        <v>61</v>
      </c>
      <c r="C561" s="5" t="s">
        <v>62</v>
      </c>
      <c r="D561" s="5" t="s">
        <v>8</v>
      </c>
      <c r="E561" s="5" t="s">
        <v>9</v>
      </c>
      <c r="F561" s="6">
        <v>45473</v>
      </c>
      <c r="G561" s="5">
        <f t="shared" si="83"/>
        <v>2024</v>
      </c>
      <c r="H561" s="5" t="str">
        <f t="shared" si="84"/>
        <v>Junio</v>
      </c>
      <c r="I561" s="6" t="str">
        <f t="shared" si="89"/>
        <v>2024-1</v>
      </c>
      <c r="J561" s="5">
        <v>1</v>
      </c>
      <c r="K561" s="5">
        <v>1.97</v>
      </c>
      <c r="L561" s="15">
        <v>1.3</v>
      </c>
      <c r="M561" s="15">
        <f t="shared" si="91"/>
        <v>1.97</v>
      </c>
      <c r="N561" s="5" t="s">
        <v>490</v>
      </c>
      <c r="O561" s="5" t="s">
        <v>478</v>
      </c>
      <c r="P561" s="5">
        <v>0</v>
      </c>
      <c r="Q561" s="16">
        <v>2</v>
      </c>
      <c r="R561" s="5" t="str">
        <f t="shared" si="90"/>
        <v>145-2024-06-30</v>
      </c>
    </row>
    <row r="562" spans="1:18" x14ac:dyDescent="0.3">
      <c r="A562" s="26">
        <v>145</v>
      </c>
      <c r="B562" s="5" t="s">
        <v>61</v>
      </c>
      <c r="C562" s="5" t="s">
        <v>62</v>
      </c>
      <c r="D562" s="5" t="s">
        <v>8</v>
      </c>
      <c r="E562" s="5" t="s">
        <v>9</v>
      </c>
      <c r="F562" s="6">
        <v>45657</v>
      </c>
      <c r="G562" s="5">
        <f t="shared" si="83"/>
        <v>2024</v>
      </c>
      <c r="H562" s="5" t="str">
        <f t="shared" si="84"/>
        <v>Diciembre</v>
      </c>
      <c r="I562" s="6" t="str">
        <f t="shared" si="89"/>
        <v>2024-2</v>
      </c>
      <c r="J562" s="5">
        <v>1</v>
      </c>
      <c r="K562" s="10">
        <v>1.94</v>
      </c>
      <c r="L562" s="15">
        <v>1.3</v>
      </c>
      <c r="M562" s="15">
        <f t="shared" si="91"/>
        <v>1.94</v>
      </c>
      <c r="N562" s="5" t="s">
        <v>490</v>
      </c>
      <c r="O562" s="5" t="s">
        <v>478</v>
      </c>
      <c r="P562" s="16">
        <v>0</v>
      </c>
      <c r="Q562" s="16">
        <v>2</v>
      </c>
      <c r="R562" s="5" t="str">
        <f t="shared" si="90"/>
        <v>145-2024-12-31</v>
      </c>
    </row>
    <row r="563" spans="1:18" x14ac:dyDescent="0.3">
      <c r="A563" s="26">
        <v>146</v>
      </c>
      <c r="B563" s="5" t="s">
        <v>63</v>
      </c>
      <c r="C563" s="5" t="s">
        <v>59</v>
      </c>
      <c r="D563" s="5" t="s">
        <v>8</v>
      </c>
      <c r="E563" s="5" t="s">
        <v>9</v>
      </c>
      <c r="F563" s="17">
        <v>45107</v>
      </c>
      <c r="G563" s="5">
        <f t="shared" si="83"/>
        <v>2023</v>
      </c>
      <c r="H563" s="5" t="str">
        <f t="shared" si="84"/>
        <v>Junio</v>
      </c>
      <c r="I563" s="6" t="str">
        <f t="shared" si="89"/>
        <v>2023-1</v>
      </c>
      <c r="J563" s="5">
        <v>230</v>
      </c>
      <c r="K563" s="9">
        <v>278</v>
      </c>
      <c r="L563" s="8">
        <f>IFERROR(K563/J563,"")</f>
        <v>1.2086956521739129</v>
      </c>
      <c r="M563" s="15">
        <f t="shared" si="91"/>
        <v>1.2086956521739129</v>
      </c>
      <c r="N563" s="5" t="s">
        <v>490</v>
      </c>
      <c r="O563" s="5" t="s">
        <v>490</v>
      </c>
      <c r="P563" s="16">
        <v>0</v>
      </c>
      <c r="Q563" s="16">
        <v>0</v>
      </c>
      <c r="R563" s="5" t="str">
        <f t="shared" si="90"/>
        <v>146-2023-06-30</v>
      </c>
    </row>
    <row r="564" spans="1:18" x14ac:dyDescent="0.3">
      <c r="A564" s="39">
        <v>146</v>
      </c>
      <c r="B564" s="5" t="s">
        <v>63</v>
      </c>
      <c r="C564" s="5" t="s">
        <v>59</v>
      </c>
      <c r="D564" s="5" t="s">
        <v>8</v>
      </c>
      <c r="E564" s="5" t="s">
        <v>9</v>
      </c>
      <c r="F564" s="6">
        <v>45291</v>
      </c>
      <c r="G564" s="5">
        <f t="shared" si="83"/>
        <v>2023</v>
      </c>
      <c r="H564" s="5" t="str">
        <f t="shared" si="84"/>
        <v>Diciembre</v>
      </c>
      <c r="I564" s="6" t="str">
        <f t="shared" si="89"/>
        <v>2023-2</v>
      </c>
      <c r="J564" s="5">
        <v>230</v>
      </c>
      <c r="K564" s="9">
        <v>342</v>
      </c>
      <c r="L564" s="8">
        <f>IFERROR(K564/J564,"")</f>
        <v>1.4869565217391305</v>
      </c>
      <c r="M564" s="15">
        <f t="shared" si="91"/>
        <v>1.4869565217391305</v>
      </c>
      <c r="N564" s="5" t="s">
        <v>490</v>
      </c>
      <c r="O564" s="5" t="s">
        <v>490</v>
      </c>
      <c r="P564" s="16">
        <v>0</v>
      </c>
      <c r="Q564" s="16">
        <v>0</v>
      </c>
      <c r="R564" s="5" t="str">
        <f t="shared" si="90"/>
        <v>146-2023-12-31</v>
      </c>
    </row>
    <row r="565" spans="1:18" x14ac:dyDescent="0.3">
      <c r="A565" s="5">
        <v>146</v>
      </c>
      <c r="B565" s="5" t="s">
        <v>63</v>
      </c>
      <c r="C565" s="5" t="s">
        <v>59</v>
      </c>
      <c r="D565" s="5" t="s">
        <v>8</v>
      </c>
      <c r="E565" s="5" t="s">
        <v>9</v>
      </c>
      <c r="F565" s="6">
        <v>45473</v>
      </c>
      <c r="G565" s="5">
        <f t="shared" si="83"/>
        <v>2024</v>
      </c>
      <c r="H565" s="5" t="str">
        <f t="shared" si="84"/>
        <v>Junio</v>
      </c>
      <c r="I565" s="6" t="str">
        <f t="shared" si="89"/>
        <v>2024-1</v>
      </c>
      <c r="J565" s="5">
        <v>294</v>
      </c>
      <c r="K565" s="5">
        <v>334</v>
      </c>
      <c r="L565" s="8">
        <f>IFERROR(K565/J565,"")</f>
        <v>1.1360544217687074</v>
      </c>
      <c r="M565" s="15">
        <f t="shared" si="91"/>
        <v>1.1360544217687074</v>
      </c>
      <c r="N565" s="5" t="s">
        <v>490</v>
      </c>
      <c r="O565" s="5" t="s">
        <v>490</v>
      </c>
      <c r="P565" s="5">
        <v>0</v>
      </c>
      <c r="Q565" s="5">
        <v>0</v>
      </c>
      <c r="R565" s="5" t="str">
        <f t="shared" si="90"/>
        <v>146-2024-06-30</v>
      </c>
    </row>
    <row r="566" spans="1:18" x14ac:dyDescent="0.3">
      <c r="A566" s="26">
        <v>146</v>
      </c>
      <c r="B566" s="5" t="s">
        <v>63</v>
      </c>
      <c r="C566" s="5" t="s">
        <v>59</v>
      </c>
      <c r="D566" s="5" t="s">
        <v>8</v>
      </c>
      <c r="E566" s="5" t="s">
        <v>9</v>
      </c>
      <c r="F566" s="6">
        <v>45657</v>
      </c>
      <c r="G566" s="5">
        <f t="shared" si="83"/>
        <v>2024</v>
      </c>
      <c r="H566" s="5" t="str">
        <f t="shared" si="84"/>
        <v>Diciembre</v>
      </c>
      <c r="I566" s="6" t="str">
        <f t="shared" si="89"/>
        <v>2024-2</v>
      </c>
      <c r="J566" s="5">
        <v>294</v>
      </c>
      <c r="K566" s="10">
        <v>343</v>
      </c>
      <c r="L566" s="8">
        <f>IFERROR(K566/J566,"")</f>
        <v>1.1666666666666667</v>
      </c>
      <c r="M566" s="15">
        <f t="shared" si="91"/>
        <v>1.1666666666666667</v>
      </c>
      <c r="N566" s="5" t="s">
        <v>490</v>
      </c>
      <c r="O566" s="5" t="s">
        <v>490</v>
      </c>
      <c r="P566" s="16">
        <v>0</v>
      </c>
      <c r="Q566" s="16">
        <v>0</v>
      </c>
      <c r="R566" s="5" t="str">
        <f t="shared" si="90"/>
        <v>146-2024-12-31</v>
      </c>
    </row>
    <row r="567" spans="1:18" x14ac:dyDescent="0.3">
      <c r="A567" s="39">
        <v>147</v>
      </c>
      <c r="B567" s="5" t="s">
        <v>64</v>
      </c>
      <c r="C567" s="5" t="s">
        <v>59</v>
      </c>
      <c r="D567" s="5" t="s">
        <v>25</v>
      </c>
      <c r="E567" s="5" t="s">
        <v>9</v>
      </c>
      <c r="F567" s="6">
        <v>45291</v>
      </c>
      <c r="G567" s="5">
        <f t="shared" si="83"/>
        <v>2023</v>
      </c>
      <c r="H567" s="5" t="str">
        <f t="shared" si="84"/>
        <v>Diciembre</v>
      </c>
      <c r="I567" s="6" t="str">
        <f t="shared" si="89"/>
        <v>2023-2</v>
      </c>
      <c r="J567" s="5">
        <v>13</v>
      </c>
      <c r="K567" s="9">
        <v>11</v>
      </c>
      <c r="L567" s="8">
        <f>IFERROR(K567/J567,"")</f>
        <v>0.84615384615384615</v>
      </c>
      <c r="M567" s="15">
        <f t="shared" si="91"/>
        <v>0.84615384615384615</v>
      </c>
      <c r="N567" s="5" t="s">
        <v>490</v>
      </c>
      <c r="O567" s="5" t="s">
        <v>490</v>
      </c>
      <c r="P567" s="16">
        <v>0</v>
      </c>
      <c r="Q567" s="16">
        <v>0</v>
      </c>
      <c r="R567" s="5" t="str">
        <f t="shared" si="90"/>
        <v>147-2023-12-31</v>
      </c>
    </row>
    <row r="568" spans="1:18" x14ac:dyDescent="0.3">
      <c r="A568" s="26">
        <v>147</v>
      </c>
      <c r="B568" s="5" t="s">
        <v>64</v>
      </c>
      <c r="C568" s="5" t="s">
        <v>59</v>
      </c>
      <c r="D568" s="5" t="s">
        <v>25</v>
      </c>
      <c r="E568" s="5" t="s">
        <v>9</v>
      </c>
      <c r="F568" s="6">
        <v>45657</v>
      </c>
      <c r="G568" s="5">
        <f t="shared" si="83"/>
        <v>2024</v>
      </c>
      <c r="H568" s="5" t="str">
        <f t="shared" si="84"/>
        <v>Diciembre</v>
      </c>
      <c r="I568" s="6" t="str">
        <f t="shared" si="89"/>
        <v>2024-2</v>
      </c>
      <c r="J568" s="5">
        <v>16</v>
      </c>
      <c r="K568" s="10">
        <v>12</v>
      </c>
      <c r="L568" s="15">
        <f>IFERROR(IF((K568/J568)&gt;1.3,1.3,K568/J568),"")</f>
        <v>0.75</v>
      </c>
      <c r="M568" s="15">
        <f t="shared" si="91"/>
        <v>0.75</v>
      </c>
      <c r="N568" s="5"/>
      <c r="O568" s="5"/>
      <c r="P568" s="16">
        <v>0</v>
      </c>
      <c r="Q568" s="16">
        <v>0</v>
      </c>
      <c r="R568" s="5" t="str">
        <f t="shared" si="90"/>
        <v>147-2024-12-31</v>
      </c>
    </row>
    <row r="569" spans="1:18" x14ac:dyDescent="0.3">
      <c r="A569" s="5">
        <v>148</v>
      </c>
      <c r="B569" s="5" t="s">
        <v>473</v>
      </c>
      <c r="C569" s="5" t="s">
        <v>62</v>
      </c>
      <c r="D569" s="5" t="s">
        <v>8</v>
      </c>
      <c r="E569" s="5" t="s">
        <v>9</v>
      </c>
      <c r="F569" s="6">
        <v>44926</v>
      </c>
      <c r="G569" s="5">
        <f t="shared" si="83"/>
        <v>2022</v>
      </c>
      <c r="H569" s="5" t="str">
        <f t="shared" si="84"/>
        <v>Diciembre</v>
      </c>
      <c r="I569" s="6" t="str">
        <f t="shared" si="89"/>
        <v>2022-2</v>
      </c>
      <c r="J569" s="5">
        <v>5</v>
      </c>
      <c r="K569" s="5">
        <v>4.66</v>
      </c>
      <c r="L569" s="15">
        <v>0.93200000000000005</v>
      </c>
      <c r="M569" s="15">
        <v>0.93200000000000005</v>
      </c>
      <c r="N569" s="5" t="s">
        <v>347</v>
      </c>
      <c r="O569" s="5" t="s">
        <v>347</v>
      </c>
      <c r="P569" s="5">
        <v>0</v>
      </c>
      <c r="Q569" s="5">
        <v>1</v>
      </c>
      <c r="R569" s="5" t="str">
        <f t="shared" si="90"/>
        <v>148-2022-12-31</v>
      </c>
    </row>
    <row r="570" spans="1:18" x14ac:dyDescent="0.3">
      <c r="A570" s="47">
        <v>148</v>
      </c>
      <c r="B570" s="5" t="s">
        <v>473</v>
      </c>
      <c r="C570" s="5" t="s">
        <v>62</v>
      </c>
      <c r="D570" s="5" t="s">
        <v>8</v>
      </c>
      <c r="E570" s="5" t="s">
        <v>9</v>
      </c>
      <c r="F570" s="6">
        <v>45107</v>
      </c>
      <c r="G570" s="5">
        <f t="shared" si="83"/>
        <v>2023</v>
      </c>
      <c r="H570" s="5" t="str">
        <f t="shared" si="84"/>
        <v>Junio</v>
      </c>
      <c r="I570" s="6" t="str">
        <f t="shared" si="89"/>
        <v>2023-1</v>
      </c>
      <c r="J570" s="5">
        <v>2.5</v>
      </c>
      <c r="K570" s="75">
        <v>4.1100000000000003</v>
      </c>
      <c r="L570" s="46">
        <f>IFERROR(IF((K570/J570)&gt;1.3,1.3,K570/J570),"")</f>
        <v>1.3</v>
      </c>
      <c r="M570" s="15">
        <f>IFERROR(IF((K570/J570)&gt;K570/J570,1.3,K570/J570),"")</f>
        <v>1.6440000000000001</v>
      </c>
      <c r="N570" s="47" t="s">
        <v>347</v>
      </c>
      <c r="O570" s="5" t="s">
        <v>347</v>
      </c>
      <c r="P570" s="16">
        <v>2</v>
      </c>
      <c r="Q570" s="16">
        <v>1</v>
      </c>
      <c r="R570" s="5" t="str">
        <f t="shared" si="90"/>
        <v>148-2023-06-30</v>
      </c>
    </row>
    <row r="571" spans="1:18" x14ac:dyDescent="0.3">
      <c r="A571" s="47">
        <v>148</v>
      </c>
      <c r="B571" s="5" t="s">
        <v>473</v>
      </c>
      <c r="C571" s="5" t="s">
        <v>62</v>
      </c>
      <c r="D571" s="5" t="s">
        <v>8</v>
      </c>
      <c r="E571" s="5" t="s">
        <v>9</v>
      </c>
      <c r="F571" s="6">
        <v>45291</v>
      </c>
      <c r="G571" s="5">
        <f t="shared" si="83"/>
        <v>2023</v>
      </c>
      <c r="H571" s="5" t="str">
        <f t="shared" si="84"/>
        <v>Diciembre</v>
      </c>
      <c r="I571" s="6" t="str">
        <f t="shared" si="89"/>
        <v>2023-2</v>
      </c>
      <c r="J571" s="5">
        <v>5</v>
      </c>
      <c r="K571" s="75">
        <v>5.71</v>
      </c>
      <c r="L571" s="15">
        <f>IFERROR(IF((K571/J571)&gt;1.3,1.3,K571/J571),"")</f>
        <v>1.1419999999999999</v>
      </c>
      <c r="M571" s="15">
        <f>IFERROR(IF((K571/J571)&gt;K571/J571,1.3,K571/J571),"")</f>
        <v>1.1419999999999999</v>
      </c>
      <c r="N571" s="47" t="s">
        <v>347</v>
      </c>
      <c r="O571" s="5" t="s">
        <v>347</v>
      </c>
      <c r="P571" s="16">
        <v>0</v>
      </c>
      <c r="Q571" s="16">
        <v>1</v>
      </c>
      <c r="R571" s="5" t="str">
        <f t="shared" si="90"/>
        <v>148-2023-12-31</v>
      </c>
    </row>
    <row r="572" spans="1:18" x14ac:dyDescent="0.3">
      <c r="A572" s="47">
        <v>148</v>
      </c>
      <c r="B572" s="5" t="s">
        <v>473</v>
      </c>
      <c r="C572" s="5" t="s">
        <v>62</v>
      </c>
      <c r="D572" s="5" t="s">
        <v>8</v>
      </c>
      <c r="E572" s="5" t="s">
        <v>9</v>
      </c>
      <c r="F572" s="6">
        <v>45473</v>
      </c>
      <c r="G572" s="5">
        <f t="shared" si="83"/>
        <v>2024</v>
      </c>
      <c r="H572" s="5" t="str">
        <f t="shared" si="84"/>
        <v>Junio</v>
      </c>
      <c r="I572" s="6" t="str">
        <f t="shared" si="89"/>
        <v>2024-1</v>
      </c>
      <c r="J572" s="5">
        <v>5</v>
      </c>
      <c r="K572" s="75">
        <v>4.3</v>
      </c>
      <c r="L572" s="46">
        <f>IFERROR(IF((K572/J572)&gt;1.3,1.3,K572/J572),"")</f>
        <v>0.86</v>
      </c>
      <c r="M572" s="15">
        <f>IFERROR(IF((K572/J572)&gt;K572/J572,1.3,K572/J572),"")</f>
        <v>0.86</v>
      </c>
      <c r="N572" s="47" t="s">
        <v>347</v>
      </c>
      <c r="O572" s="5" t="s">
        <v>347</v>
      </c>
      <c r="P572" s="16">
        <v>0</v>
      </c>
      <c r="Q572" s="16">
        <v>1</v>
      </c>
      <c r="R572" s="5" t="str">
        <f t="shared" si="90"/>
        <v>148-2024-06-30</v>
      </c>
    </row>
    <row r="573" spans="1:18" x14ac:dyDescent="0.3">
      <c r="A573" s="26">
        <v>148</v>
      </c>
      <c r="B573" s="5" t="s">
        <v>65</v>
      </c>
      <c r="C573" s="5" t="s">
        <v>62</v>
      </c>
      <c r="D573" s="5" t="s">
        <v>8</v>
      </c>
      <c r="E573" s="5" t="s">
        <v>9</v>
      </c>
      <c r="F573" s="6">
        <v>45657</v>
      </c>
      <c r="G573" s="5">
        <f t="shared" si="83"/>
        <v>2024</v>
      </c>
      <c r="H573" s="5" t="str">
        <f t="shared" si="84"/>
        <v>Diciembre</v>
      </c>
      <c r="I573" s="6" t="str">
        <f t="shared" si="89"/>
        <v>2024-2</v>
      </c>
      <c r="J573" s="5">
        <v>5</v>
      </c>
      <c r="K573" s="10">
        <v>6.3</v>
      </c>
      <c r="L573" s="15">
        <f>IFERROR(IF((K573/J573)&gt;1.3,1.3,K573/J573),"")</f>
        <v>1.26</v>
      </c>
      <c r="M573" s="15">
        <f>IFERROR(IF((K573/J573)&gt;K573/J573,1.3,K573/J573),"")</f>
        <v>1.26</v>
      </c>
      <c r="N573" s="5" t="s">
        <v>347</v>
      </c>
      <c r="O573" s="5" t="s">
        <v>347</v>
      </c>
      <c r="P573" s="16">
        <v>0</v>
      </c>
      <c r="Q573" s="16">
        <v>1</v>
      </c>
      <c r="R573" s="5" t="str">
        <f t="shared" si="90"/>
        <v>148-2024-12-31</v>
      </c>
    </row>
    <row r="574" spans="1:18" x14ac:dyDescent="0.3">
      <c r="A574" s="5">
        <v>150</v>
      </c>
      <c r="B574" s="5" t="s">
        <v>39</v>
      </c>
      <c r="C574" s="5" t="s">
        <v>444</v>
      </c>
      <c r="D574" s="5" t="s">
        <v>25</v>
      </c>
      <c r="E574" s="5" t="s">
        <v>9</v>
      </c>
      <c r="F574" s="6">
        <v>44865</v>
      </c>
      <c r="G574" s="5">
        <f t="shared" si="83"/>
        <v>2022</v>
      </c>
      <c r="H574" s="5" t="str">
        <f t="shared" si="84"/>
        <v>Octubre</v>
      </c>
      <c r="I574" s="6" t="str">
        <f t="shared" si="89"/>
        <v>2022-2</v>
      </c>
      <c r="J574" s="5">
        <v>80</v>
      </c>
      <c r="K574" s="9">
        <v>73.639994105511391</v>
      </c>
      <c r="L574" s="21">
        <v>0.92049992631889244</v>
      </c>
      <c r="M574" s="15">
        <v>0.92049992631889244</v>
      </c>
      <c r="N574" s="5" t="s">
        <v>347</v>
      </c>
      <c r="O574" s="5" t="s">
        <v>347</v>
      </c>
      <c r="P574" s="5">
        <v>0</v>
      </c>
      <c r="Q574" s="5">
        <v>0</v>
      </c>
      <c r="R574" s="5" t="str">
        <f t="shared" si="90"/>
        <v>150-2022-10-31</v>
      </c>
    </row>
    <row r="575" spans="1:18" x14ac:dyDescent="0.3">
      <c r="A575" s="39">
        <v>150</v>
      </c>
      <c r="B575" s="5" t="s">
        <v>39</v>
      </c>
      <c r="C575" s="5" t="s">
        <v>469</v>
      </c>
      <c r="D575" s="5" t="s">
        <v>25</v>
      </c>
      <c r="E575" s="5" t="s">
        <v>9</v>
      </c>
      <c r="F575" s="6">
        <v>45230</v>
      </c>
      <c r="G575" s="5">
        <f t="shared" si="83"/>
        <v>2023</v>
      </c>
      <c r="H575" s="5" t="str">
        <f t="shared" si="84"/>
        <v>Octubre</v>
      </c>
      <c r="I575" s="6" t="str">
        <f t="shared" si="89"/>
        <v>2023-2</v>
      </c>
      <c r="J575" s="5">
        <v>80</v>
      </c>
      <c r="K575" s="9">
        <v>94</v>
      </c>
      <c r="L575" s="8">
        <f>IFERROR(K575/J575,"")</f>
        <v>1.175</v>
      </c>
      <c r="M575" s="15">
        <f>IFERROR(IF((K575/J575)&gt;K575/J575,1.3,K575/J575),"")</f>
        <v>1.175</v>
      </c>
      <c r="N575" s="5" t="s">
        <v>347</v>
      </c>
      <c r="O575" s="5" t="s">
        <v>347</v>
      </c>
      <c r="P575" s="16">
        <v>0</v>
      </c>
      <c r="Q575" s="16">
        <v>0</v>
      </c>
      <c r="R575" s="5" t="str">
        <f t="shared" si="90"/>
        <v>150-2023-10-31</v>
      </c>
    </row>
    <row r="576" spans="1:18" x14ac:dyDescent="0.3">
      <c r="A576" s="5">
        <v>150</v>
      </c>
      <c r="B576" s="5" t="s">
        <v>39</v>
      </c>
      <c r="C576" s="5" t="s">
        <v>444</v>
      </c>
      <c r="D576" s="5" t="s">
        <v>25</v>
      </c>
      <c r="E576" s="5" t="s">
        <v>9</v>
      </c>
      <c r="F576" s="6">
        <v>45291</v>
      </c>
      <c r="G576" s="5">
        <f t="shared" si="83"/>
        <v>2023</v>
      </c>
      <c r="H576" s="5" t="str">
        <f t="shared" si="84"/>
        <v>Diciembre</v>
      </c>
      <c r="I576" s="6" t="str">
        <f t="shared" si="89"/>
        <v>2023-2</v>
      </c>
      <c r="J576" s="5">
        <v>80</v>
      </c>
      <c r="K576" s="5">
        <v>84.343500708111094</v>
      </c>
      <c r="L576" s="15">
        <v>1.0542937588513888</v>
      </c>
      <c r="M576" s="15">
        <v>1.0542937588513888</v>
      </c>
      <c r="N576" s="5" t="s">
        <v>347</v>
      </c>
      <c r="O576" s="5" t="s">
        <v>347</v>
      </c>
      <c r="P576" s="5">
        <v>0</v>
      </c>
      <c r="Q576" s="5">
        <v>0</v>
      </c>
      <c r="R576" s="5" t="str">
        <f t="shared" si="90"/>
        <v>150-2023-12-31</v>
      </c>
    </row>
    <row r="577" spans="1:18" x14ac:dyDescent="0.3">
      <c r="A577" s="39">
        <v>157</v>
      </c>
      <c r="B577" s="5" t="s">
        <v>66</v>
      </c>
      <c r="C577" s="5" t="s">
        <v>67</v>
      </c>
      <c r="D577" s="5" t="s">
        <v>25</v>
      </c>
      <c r="E577" s="5" t="s">
        <v>9</v>
      </c>
      <c r="F577" s="6">
        <v>45107</v>
      </c>
      <c r="G577" s="5">
        <f t="shared" si="83"/>
        <v>2023</v>
      </c>
      <c r="H577" s="5" t="str">
        <f t="shared" si="84"/>
        <v>Junio</v>
      </c>
      <c r="I577" s="6" t="str">
        <f t="shared" si="89"/>
        <v>2023-1</v>
      </c>
      <c r="J577" s="5">
        <v>3</v>
      </c>
      <c r="K577" s="9">
        <v>4</v>
      </c>
      <c r="L577" s="8">
        <f>IFERROR(K577/J577,"")</f>
        <v>1.3333333333333333</v>
      </c>
      <c r="M577" s="15">
        <f t="shared" ref="M577:M581" si="92">IFERROR(IF((K577/J577)&gt;K577/J577,1.3,K577/J577),"")</f>
        <v>1.3333333333333333</v>
      </c>
      <c r="N577" s="5" t="s">
        <v>488</v>
      </c>
      <c r="O577" s="5" t="s">
        <v>488</v>
      </c>
      <c r="P577" s="16">
        <v>0</v>
      </c>
      <c r="Q577" s="16">
        <v>0</v>
      </c>
      <c r="R577" s="5" t="str">
        <f t="shared" si="90"/>
        <v>157-2023-06-30</v>
      </c>
    </row>
    <row r="578" spans="1:18" x14ac:dyDescent="0.3">
      <c r="A578" s="39">
        <v>157</v>
      </c>
      <c r="B578" s="5" t="s">
        <v>66</v>
      </c>
      <c r="C578" s="5" t="s">
        <v>67</v>
      </c>
      <c r="D578" s="5" t="s">
        <v>25</v>
      </c>
      <c r="E578" s="5" t="s">
        <v>9</v>
      </c>
      <c r="F578" s="6">
        <v>45291</v>
      </c>
      <c r="G578" s="5">
        <f t="shared" ref="G578:G641" si="93">YEAR(F578)</f>
        <v>2023</v>
      </c>
      <c r="H578" s="5" t="str">
        <f t="shared" ref="H578:H641" si="94">PROPER(TEXT(F578,"mmmm"))</f>
        <v>Diciembre</v>
      </c>
      <c r="I578" s="6" t="str">
        <f t="shared" si="89"/>
        <v>2023-2</v>
      </c>
      <c r="J578" s="5">
        <v>3</v>
      </c>
      <c r="K578" s="9">
        <v>7</v>
      </c>
      <c r="L578" s="8">
        <f>IFERROR(K578/J578,"")</f>
        <v>2.3333333333333335</v>
      </c>
      <c r="M578" s="15">
        <f t="shared" si="92"/>
        <v>2.3333333333333335</v>
      </c>
      <c r="N578" s="5" t="s">
        <v>488</v>
      </c>
      <c r="O578" s="5" t="s">
        <v>488</v>
      </c>
      <c r="P578" s="16">
        <v>0</v>
      </c>
      <c r="Q578" s="16">
        <v>0</v>
      </c>
      <c r="R578" s="5" t="str">
        <f t="shared" si="90"/>
        <v>157-2023-12-31</v>
      </c>
    </row>
    <row r="579" spans="1:18" x14ac:dyDescent="0.3">
      <c r="A579" s="26">
        <v>157</v>
      </c>
      <c r="B579" s="5" t="s">
        <v>66</v>
      </c>
      <c r="C579" s="5" t="s">
        <v>67</v>
      </c>
      <c r="D579" s="5" t="s">
        <v>25</v>
      </c>
      <c r="E579" s="5" t="s">
        <v>9</v>
      </c>
      <c r="F579" s="6">
        <v>45657</v>
      </c>
      <c r="G579" s="5">
        <f t="shared" si="93"/>
        <v>2024</v>
      </c>
      <c r="H579" s="5" t="str">
        <f t="shared" si="94"/>
        <v>Diciembre</v>
      </c>
      <c r="I579" s="6" t="str">
        <f t="shared" si="89"/>
        <v>2024-2</v>
      </c>
      <c r="J579" s="5">
        <v>100</v>
      </c>
      <c r="K579" s="10">
        <v>125</v>
      </c>
      <c r="L579" s="15">
        <f>IFERROR(IF((K579/J579)&gt;1.3,1.3,K579/J579),"")</f>
        <v>1.25</v>
      </c>
      <c r="M579" s="15">
        <f t="shared" si="92"/>
        <v>1.25</v>
      </c>
      <c r="N579" s="5"/>
      <c r="O579" s="5"/>
      <c r="P579" s="16">
        <v>0</v>
      </c>
      <c r="Q579" s="16">
        <v>0</v>
      </c>
      <c r="R579" s="5" t="str">
        <f t="shared" si="90"/>
        <v>157-2024-12-31</v>
      </c>
    </row>
    <row r="580" spans="1:18" x14ac:dyDescent="0.3">
      <c r="A580" s="26">
        <v>159</v>
      </c>
      <c r="B580" s="5" t="s">
        <v>39</v>
      </c>
      <c r="C580" s="5" t="s">
        <v>67</v>
      </c>
      <c r="D580" s="5" t="s">
        <v>8</v>
      </c>
      <c r="E580" s="5" t="s">
        <v>9</v>
      </c>
      <c r="F580" s="17">
        <v>45107</v>
      </c>
      <c r="G580" s="5">
        <f t="shared" si="93"/>
        <v>2023</v>
      </c>
      <c r="H580" s="5" t="str">
        <f t="shared" si="94"/>
        <v>Junio</v>
      </c>
      <c r="I580" s="6" t="str">
        <f t="shared" si="89"/>
        <v>2023-1</v>
      </c>
      <c r="J580" s="5">
        <v>80</v>
      </c>
      <c r="K580" s="9">
        <v>96</v>
      </c>
      <c r="L580" s="8">
        <f>IFERROR(K580/J580,"")</f>
        <v>1.2</v>
      </c>
      <c r="M580" s="15">
        <f t="shared" si="92"/>
        <v>1.2</v>
      </c>
      <c r="N580" s="5" t="s">
        <v>347</v>
      </c>
      <c r="O580" s="5" t="s">
        <v>347</v>
      </c>
      <c r="P580" s="16">
        <v>0</v>
      </c>
      <c r="Q580" s="16">
        <v>0</v>
      </c>
      <c r="R580" s="5" t="str">
        <f t="shared" si="90"/>
        <v>159-2023-06-30</v>
      </c>
    </row>
    <row r="581" spans="1:18" x14ac:dyDescent="0.3">
      <c r="A581" s="39">
        <v>159</v>
      </c>
      <c r="B581" s="5" t="s">
        <v>39</v>
      </c>
      <c r="C581" s="5" t="s">
        <v>67</v>
      </c>
      <c r="D581" s="5" t="s">
        <v>8</v>
      </c>
      <c r="E581" s="5" t="s">
        <v>9</v>
      </c>
      <c r="F581" s="6">
        <v>45291</v>
      </c>
      <c r="G581" s="5">
        <f t="shared" si="93"/>
        <v>2023</v>
      </c>
      <c r="H581" s="5" t="str">
        <f t="shared" si="94"/>
        <v>Diciembre</v>
      </c>
      <c r="I581" s="6" t="str">
        <f t="shared" si="89"/>
        <v>2023-2</v>
      </c>
      <c r="J581" s="5">
        <v>80</v>
      </c>
      <c r="K581" s="9">
        <v>100</v>
      </c>
      <c r="L581" s="8">
        <f>IFERROR(K581/J581,"")</f>
        <v>1.25</v>
      </c>
      <c r="M581" s="15">
        <f t="shared" si="92"/>
        <v>1.25</v>
      </c>
      <c r="N581" s="5" t="s">
        <v>347</v>
      </c>
      <c r="O581" s="5" t="s">
        <v>347</v>
      </c>
      <c r="P581" s="16">
        <v>0</v>
      </c>
      <c r="Q581" s="16">
        <v>0</v>
      </c>
      <c r="R581" s="5" t="str">
        <f t="shared" si="90"/>
        <v>159-2023-12-31</v>
      </c>
    </row>
    <row r="582" spans="1:18" x14ac:dyDescent="0.3">
      <c r="A582" s="5">
        <v>159</v>
      </c>
      <c r="B582" s="5" t="s">
        <v>39</v>
      </c>
      <c r="C582" s="5" t="s">
        <v>67</v>
      </c>
      <c r="D582" s="5" t="s">
        <v>8</v>
      </c>
      <c r="E582" s="5" t="s">
        <v>9</v>
      </c>
      <c r="F582" s="6">
        <v>45473</v>
      </c>
      <c r="G582" s="5">
        <f t="shared" si="93"/>
        <v>2024</v>
      </c>
      <c r="H582" s="5" t="str">
        <f t="shared" si="94"/>
        <v>Junio</v>
      </c>
      <c r="I582" s="6" t="str">
        <f t="shared" si="89"/>
        <v>2024-1</v>
      </c>
      <c r="J582" s="5">
        <v>80</v>
      </c>
      <c r="K582" s="5">
        <v>95</v>
      </c>
      <c r="L582" s="15">
        <v>1.1875</v>
      </c>
      <c r="M582" s="15">
        <v>1.1875</v>
      </c>
      <c r="N582" s="5" t="s">
        <v>347</v>
      </c>
      <c r="O582" s="5" t="s">
        <v>347</v>
      </c>
      <c r="P582" s="5">
        <v>0</v>
      </c>
      <c r="Q582" s="5">
        <v>0</v>
      </c>
      <c r="R582" s="5" t="str">
        <f t="shared" si="90"/>
        <v>159-2024-06-30</v>
      </c>
    </row>
    <row r="583" spans="1:18" x14ac:dyDescent="0.3">
      <c r="A583" s="26">
        <v>159</v>
      </c>
      <c r="B583" s="5" t="s">
        <v>39</v>
      </c>
      <c r="C583" s="5" t="s">
        <v>67</v>
      </c>
      <c r="D583" s="5" t="s">
        <v>8</v>
      </c>
      <c r="E583" s="5" t="s">
        <v>9</v>
      </c>
      <c r="F583" s="6">
        <v>45657</v>
      </c>
      <c r="G583" s="5">
        <f t="shared" si="93"/>
        <v>2024</v>
      </c>
      <c r="H583" s="5" t="str">
        <f t="shared" si="94"/>
        <v>Diciembre</v>
      </c>
      <c r="I583" s="6" t="str">
        <f t="shared" si="89"/>
        <v>2024-2</v>
      </c>
      <c r="J583" s="5">
        <v>80</v>
      </c>
      <c r="K583" s="10">
        <v>97.8</v>
      </c>
      <c r="L583" s="15">
        <f>IFERROR(IF((K583/J583)&gt;1.3,1.3,K583/J583),"")</f>
        <v>1.2224999999999999</v>
      </c>
      <c r="M583" s="15">
        <f>IFERROR(IF((K583/J583)&gt;K583/J583,1.3,K583/J583),"")</f>
        <v>1.2224999999999999</v>
      </c>
      <c r="N583" s="5" t="s">
        <v>347</v>
      </c>
      <c r="O583" s="5" t="s">
        <v>347</v>
      </c>
      <c r="P583" s="16">
        <v>0</v>
      </c>
      <c r="Q583" s="16">
        <v>0</v>
      </c>
      <c r="R583" s="5" t="str">
        <f t="shared" si="90"/>
        <v>159-2024-12-31</v>
      </c>
    </row>
    <row r="584" spans="1:18" x14ac:dyDescent="0.3">
      <c r="A584" s="26">
        <v>167</v>
      </c>
      <c r="B584" s="5" t="s">
        <v>68</v>
      </c>
      <c r="C584" s="5" t="s">
        <v>13</v>
      </c>
      <c r="D584" s="5" t="s">
        <v>8</v>
      </c>
      <c r="E584" s="5" t="s">
        <v>9</v>
      </c>
      <c r="F584" s="17">
        <v>45107</v>
      </c>
      <c r="G584" s="5">
        <f t="shared" si="93"/>
        <v>2023</v>
      </c>
      <c r="H584" s="5" t="str">
        <f t="shared" si="94"/>
        <v>Junio</v>
      </c>
      <c r="I584" s="6" t="str">
        <f t="shared" si="89"/>
        <v>2023-1</v>
      </c>
      <c r="J584" s="5">
        <v>80</v>
      </c>
      <c r="K584" s="9">
        <v>97.7</v>
      </c>
      <c r="L584" s="8">
        <f>IFERROR(K584/J584,"")</f>
        <v>1.2212499999999999</v>
      </c>
      <c r="M584" s="15">
        <f>IFERROR(IF((K584/J584)&gt;K584/J584,1.3,K584/J584),"")</f>
        <v>1.2212499999999999</v>
      </c>
      <c r="N584" s="5" t="s">
        <v>347</v>
      </c>
      <c r="O584" s="5" t="s">
        <v>347</v>
      </c>
      <c r="P584" s="16">
        <v>0</v>
      </c>
      <c r="Q584" s="16">
        <v>1</v>
      </c>
      <c r="R584" s="5" t="str">
        <f t="shared" si="90"/>
        <v>167-2023-06-30</v>
      </c>
    </row>
    <row r="585" spans="1:18" x14ac:dyDescent="0.3">
      <c r="A585" s="39">
        <v>167</v>
      </c>
      <c r="B585" s="5" t="s">
        <v>68</v>
      </c>
      <c r="C585" s="5" t="s">
        <v>13</v>
      </c>
      <c r="D585" s="5" t="s">
        <v>8</v>
      </c>
      <c r="E585" s="5" t="s">
        <v>9</v>
      </c>
      <c r="F585" s="6">
        <v>45291</v>
      </c>
      <c r="G585" s="5">
        <f t="shared" si="93"/>
        <v>2023</v>
      </c>
      <c r="H585" s="5" t="str">
        <f t="shared" si="94"/>
        <v>Diciembre</v>
      </c>
      <c r="I585" s="6" t="str">
        <f t="shared" si="89"/>
        <v>2023-2</v>
      </c>
      <c r="J585" s="5">
        <v>80</v>
      </c>
      <c r="K585" s="9">
        <v>96.15</v>
      </c>
      <c r="L585" s="8">
        <f>IFERROR(K585/J585,"")</f>
        <v>1.201875</v>
      </c>
      <c r="M585" s="15">
        <f>IFERROR(IF((K585/J585)&gt;K585/J585,1.3,K585/J585),"")</f>
        <v>1.201875</v>
      </c>
      <c r="N585" s="5" t="s">
        <v>347</v>
      </c>
      <c r="O585" s="5" t="s">
        <v>347</v>
      </c>
      <c r="P585" s="16">
        <v>0</v>
      </c>
      <c r="Q585" s="16">
        <v>1</v>
      </c>
      <c r="R585" s="5" t="str">
        <f t="shared" si="90"/>
        <v>167-2023-12-31</v>
      </c>
    </row>
    <row r="586" spans="1:18" x14ac:dyDescent="0.3">
      <c r="A586" s="5">
        <v>167</v>
      </c>
      <c r="B586" s="5" t="s">
        <v>68</v>
      </c>
      <c r="C586" s="5" t="s">
        <v>13</v>
      </c>
      <c r="D586" s="5" t="s">
        <v>8</v>
      </c>
      <c r="E586" s="5" t="s">
        <v>9</v>
      </c>
      <c r="F586" s="6">
        <v>45473</v>
      </c>
      <c r="G586" s="5">
        <f t="shared" si="93"/>
        <v>2024</v>
      </c>
      <c r="H586" s="5" t="str">
        <f t="shared" si="94"/>
        <v>Junio</v>
      </c>
      <c r="I586" s="6" t="str">
        <f t="shared" si="89"/>
        <v>2024-1</v>
      </c>
      <c r="J586" s="5">
        <v>80</v>
      </c>
      <c r="K586" s="5">
        <v>96.86</v>
      </c>
      <c r="L586" s="15">
        <v>1.21075</v>
      </c>
      <c r="M586" s="15">
        <v>1.21075</v>
      </c>
      <c r="N586" s="5" t="s">
        <v>347</v>
      </c>
      <c r="O586" s="5" t="s">
        <v>347</v>
      </c>
      <c r="P586" s="5">
        <v>0</v>
      </c>
      <c r="Q586" s="5">
        <v>1</v>
      </c>
      <c r="R586" s="5" t="str">
        <f t="shared" si="90"/>
        <v>167-2024-06-30</v>
      </c>
    </row>
    <row r="587" spans="1:18" x14ac:dyDescent="0.3">
      <c r="A587" s="26">
        <v>167</v>
      </c>
      <c r="B587" s="5" t="s">
        <v>68</v>
      </c>
      <c r="C587" s="5" t="s">
        <v>13</v>
      </c>
      <c r="D587" s="5" t="s">
        <v>8</v>
      </c>
      <c r="E587" s="5" t="s">
        <v>9</v>
      </c>
      <c r="F587" s="6">
        <v>45657</v>
      </c>
      <c r="G587" s="5">
        <f t="shared" si="93"/>
        <v>2024</v>
      </c>
      <c r="H587" s="5" t="str">
        <f t="shared" si="94"/>
        <v>Diciembre</v>
      </c>
      <c r="I587" s="6" t="str">
        <f t="shared" si="89"/>
        <v>2024-2</v>
      </c>
      <c r="J587" s="5">
        <v>85</v>
      </c>
      <c r="K587" s="10">
        <v>96.8</v>
      </c>
      <c r="L587" s="15">
        <f>IFERROR(IF((K587/J587)&gt;1.3,1.3,K587/J587),"")</f>
        <v>1.1388235294117646</v>
      </c>
      <c r="M587" s="15">
        <f>IFERROR(IF((K587/J587)&gt;K587/J587,1.3,K587/J587),"")</f>
        <v>1.1388235294117646</v>
      </c>
      <c r="N587" s="5" t="s">
        <v>347</v>
      </c>
      <c r="O587" s="5" t="s">
        <v>347</v>
      </c>
      <c r="P587" s="16">
        <v>0</v>
      </c>
      <c r="Q587" s="16">
        <v>1</v>
      </c>
      <c r="R587" s="5" t="str">
        <f t="shared" si="90"/>
        <v>167-2024-12-31</v>
      </c>
    </row>
    <row r="588" spans="1:18" x14ac:dyDescent="0.3">
      <c r="A588" s="26">
        <v>171</v>
      </c>
      <c r="B588" s="5" t="s">
        <v>69</v>
      </c>
      <c r="C588" s="5" t="s">
        <v>45</v>
      </c>
      <c r="D588" s="5" t="s">
        <v>21</v>
      </c>
      <c r="E588" s="5" t="s">
        <v>14</v>
      </c>
      <c r="F588" s="17">
        <v>44985</v>
      </c>
      <c r="G588" s="5">
        <f t="shared" si="93"/>
        <v>2023</v>
      </c>
      <c r="H588" s="5" t="str">
        <f t="shared" si="94"/>
        <v>Febrero</v>
      </c>
      <c r="I588" s="6" t="str">
        <f t="shared" si="89"/>
        <v>2023-1</v>
      </c>
      <c r="J588" s="5">
        <v>15</v>
      </c>
      <c r="K588" s="9">
        <v>3.5</v>
      </c>
      <c r="L588" s="27">
        <f>IF(IFERROR(J588/K588,"")&gt;130%,130%,J588/K588)</f>
        <v>1.3</v>
      </c>
      <c r="M588" s="8">
        <f>IFERROR(J588/K588,"")</f>
        <v>4.2857142857142856</v>
      </c>
      <c r="N588" s="5" t="s">
        <v>347</v>
      </c>
      <c r="O588" s="5" t="s">
        <v>347</v>
      </c>
      <c r="P588" s="16">
        <v>1</v>
      </c>
      <c r="Q588" s="16">
        <v>1</v>
      </c>
      <c r="R588" s="5" t="str">
        <f t="shared" si="90"/>
        <v>171-2023-02-28</v>
      </c>
    </row>
    <row r="589" spans="1:18" x14ac:dyDescent="0.3">
      <c r="A589" s="26">
        <v>171</v>
      </c>
      <c r="B589" s="5" t="s">
        <v>69</v>
      </c>
      <c r="C589" s="5" t="s">
        <v>45</v>
      </c>
      <c r="D589" s="5" t="s">
        <v>21</v>
      </c>
      <c r="E589" s="5" t="s">
        <v>14</v>
      </c>
      <c r="F589" s="6">
        <v>45046</v>
      </c>
      <c r="G589" s="5">
        <f t="shared" si="93"/>
        <v>2023</v>
      </c>
      <c r="H589" s="5" t="str">
        <f t="shared" si="94"/>
        <v>Abril</v>
      </c>
      <c r="I589" s="6" t="str">
        <f t="shared" si="89"/>
        <v>2023-1</v>
      </c>
      <c r="J589" s="5">
        <v>15</v>
      </c>
      <c r="K589" s="9">
        <v>10.119999999999999</v>
      </c>
      <c r="L589" s="27">
        <f>IF(IFERROR(J589/K589,"")&gt;130%,130%,J589/K589)</f>
        <v>1.3</v>
      </c>
      <c r="M589" s="8">
        <f>IFERROR(J589/K589,"")</f>
        <v>1.482213438735178</v>
      </c>
      <c r="N589" s="5" t="s">
        <v>347</v>
      </c>
      <c r="O589" s="5" t="s">
        <v>347</v>
      </c>
      <c r="P589" s="16">
        <v>0</v>
      </c>
      <c r="Q589" s="16">
        <v>0</v>
      </c>
      <c r="R589" s="5" t="str">
        <f t="shared" si="90"/>
        <v>171-2023-04-30</v>
      </c>
    </row>
    <row r="590" spans="1:18" x14ac:dyDescent="0.3">
      <c r="A590" s="26">
        <v>171</v>
      </c>
      <c r="B590" s="5" t="s">
        <v>69</v>
      </c>
      <c r="C590" s="5" t="s">
        <v>45</v>
      </c>
      <c r="D590" s="5" t="s">
        <v>21</v>
      </c>
      <c r="E590" s="5" t="s">
        <v>14</v>
      </c>
      <c r="F590" s="6">
        <v>45107</v>
      </c>
      <c r="G590" s="5">
        <f t="shared" si="93"/>
        <v>2023</v>
      </c>
      <c r="H590" s="5" t="str">
        <f t="shared" si="94"/>
        <v>Junio</v>
      </c>
      <c r="I590" s="6" t="str">
        <f t="shared" si="89"/>
        <v>2023-1</v>
      </c>
      <c r="J590" s="5">
        <v>15</v>
      </c>
      <c r="K590" s="9">
        <v>5</v>
      </c>
      <c r="L590" s="27">
        <f>IF(IFERROR(J590/K590,"")&gt;130%,130%,J590/K590)</f>
        <v>1.3</v>
      </c>
      <c r="M590" s="8">
        <f>IFERROR(J590/K590,"")</f>
        <v>3</v>
      </c>
      <c r="N590" s="5" t="s">
        <v>347</v>
      </c>
      <c r="O590" s="5" t="s">
        <v>347</v>
      </c>
      <c r="P590" s="16">
        <v>0</v>
      </c>
      <c r="Q590" s="16">
        <v>0</v>
      </c>
      <c r="R590" s="5" t="str">
        <f t="shared" si="90"/>
        <v>171-2023-06-30</v>
      </c>
    </row>
    <row r="591" spans="1:18" x14ac:dyDescent="0.3">
      <c r="A591" s="26">
        <v>172</v>
      </c>
      <c r="B591" s="5" t="s">
        <v>70</v>
      </c>
      <c r="C591" s="5" t="s">
        <v>45</v>
      </c>
      <c r="D591" s="5" t="s">
        <v>18</v>
      </c>
      <c r="E591" s="5" t="s">
        <v>9</v>
      </c>
      <c r="F591" s="6">
        <v>45016</v>
      </c>
      <c r="G591" s="5">
        <f t="shared" si="93"/>
        <v>2023</v>
      </c>
      <c r="H591" s="5" t="str">
        <f t="shared" si="94"/>
        <v>Marzo</v>
      </c>
      <c r="I591" s="6" t="str">
        <f t="shared" si="89"/>
        <v>2023-1</v>
      </c>
      <c r="J591" s="5">
        <v>95</v>
      </c>
      <c r="K591" s="75">
        <v>100</v>
      </c>
      <c r="L591" s="8">
        <f t="shared" ref="L591:L600" si="95">IFERROR(K591/J591,"")</f>
        <v>1.0526315789473684</v>
      </c>
      <c r="M591" s="15">
        <f t="shared" ref="M591:M611" si="96">IFERROR(IF((K591/J591)&gt;K591/J591,1.3,K591/J591),"")</f>
        <v>1.0526315789473684</v>
      </c>
      <c r="N591" s="5" t="s">
        <v>347</v>
      </c>
      <c r="O591" s="5" t="s">
        <v>347</v>
      </c>
      <c r="P591" s="16">
        <v>0</v>
      </c>
      <c r="Q591" s="16">
        <v>0</v>
      </c>
      <c r="R591" s="5" t="str">
        <f t="shared" si="90"/>
        <v>172-2023-03-31</v>
      </c>
    </row>
    <row r="592" spans="1:18" x14ac:dyDescent="0.3">
      <c r="A592" s="26">
        <v>172</v>
      </c>
      <c r="B592" s="5" t="s">
        <v>70</v>
      </c>
      <c r="C592" s="5" t="s">
        <v>45</v>
      </c>
      <c r="D592" s="5" t="s">
        <v>18</v>
      </c>
      <c r="E592" s="5" t="s">
        <v>9</v>
      </c>
      <c r="F592" s="6">
        <v>45046</v>
      </c>
      <c r="G592" s="5">
        <f t="shared" si="93"/>
        <v>2023</v>
      </c>
      <c r="H592" s="5" t="str">
        <f t="shared" si="94"/>
        <v>Abril</v>
      </c>
      <c r="I592" s="6" t="str">
        <f t="shared" si="89"/>
        <v>2023-1</v>
      </c>
      <c r="J592" s="5">
        <v>95</v>
      </c>
      <c r="K592" s="75">
        <v>87.71</v>
      </c>
      <c r="L592" s="8">
        <f t="shared" si="95"/>
        <v>0.92326315789473679</v>
      </c>
      <c r="M592" s="15">
        <f t="shared" si="96"/>
        <v>0.92326315789473679</v>
      </c>
      <c r="N592" s="5" t="s">
        <v>347</v>
      </c>
      <c r="O592" s="5" t="s">
        <v>347</v>
      </c>
      <c r="P592" s="16">
        <v>0</v>
      </c>
      <c r="Q592" s="16">
        <v>0</v>
      </c>
      <c r="R592" s="5" t="str">
        <f t="shared" si="90"/>
        <v>172-2023-04-30</v>
      </c>
    </row>
    <row r="593" spans="1:18" x14ac:dyDescent="0.3">
      <c r="A593" s="26">
        <v>172</v>
      </c>
      <c r="B593" s="5" t="s">
        <v>70</v>
      </c>
      <c r="C593" s="5" t="s">
        <v>45</v>
      </c>
      <c r="D593" s="5" t="s">
        <v>18</v>
      </c>
      <c r="E593" s="5" t="s">
        <v>9</v>
      </c>
      <c r="F593" s="6">
        <v>45077</v>
      </c>
      <c r="G593" s="5">
        <f t="shared" si="93"/>
        <v>2023</v>
      </c>
      <c r="H593" s="5" t="str">
        <f t="shared" si="94"/>
        <v>Mayo</v>
      </c>
      <c r="I593" s="6" t="str">
        <f t="shared" si="89"/>
        <v>2023-1</v>
      </c>
      <c r="J593" s="5">
        <v>95</v>
      </c>
      <c r="K593" s="75">
        <v>93.33</v>
      </c>
      <c r="L593" s="8">
        <f t="shared" si="95"/>
        <v>0.98242105263157897</v>
      </c>
      <c r="M593" s="15">
        <f t="shared" si="96"/>
        <v>0.98242105263157897</v>
      </c>
      <c r="N593" s="5" t="s">
        <v>347</v>
      </c>
      <c r="O593" s="5" t="s">
        <v>347</v>
      </c>
      <c r="P593" s="16">
        <v>0</v>
      </c>
      <c r="Q593" s="16">
        <v>0</v>
      </c>
      <c r="R593" s="5" t="str">
        <f t="shared" si="90"/>
        <v>172-2023-05-31</v>
      </c>
    </row>
    <row r="594" spans="1:18" x14ac:dyDescent="0.3">
      <c r="A594" s="26">
        <v>172</v>
      </c>
      <c r="B594" s="5" t="s">
        <v>70</v>
      </c>
      <c r="C594" s="5" t="s">
        <v>45</v>
      </c>
      <c r="D594" s="5" t="s">
        <v>18</v>
      </c>
      <c r="E594" s="5" t="s">
        <v>9</v>
      </c>
      <c r="F594" s="6">
        <v>45107</v>
      </c>
      <c r="G594" s="5">
        <f t="shared" si="93"/>
        <v>2023</v>
      </c>
      <c r="H594" s="5" t="str">
        <f t="shared" si="94"/>
        <v>Junio</v>
      </c>
      <c r="I594" s="6" t="str">
        <f t="shared" si="89"/>
        <v>2023-1</v>
      </c>
      <c r="J594" s="5">
        <v>95</v>
      </c>
      <c r="K594" s="75">
        <v>91.67</v>
      </c>
      <c r="L594" s="8">
        <f t="shared" si="95"/>
        <v>0.96494736842105266</v>
      </c>
      <c r="M594" s="15">
        <f t="shared" si="96"/>
        <v>0.96494736842105266</v>
      </c>
      <c r="N594" s="5" t="s">
        <v>347</v>
      </c>
      <c r="O594" s="5" t="s">
        <v>347</v>
      </c>
      <c r="P594" s="16">
        <v>0</v>
      </c>
      <c r="Q594" s="16">
        <v>0</v>
      </c>
      <c r="R594" s="5" t="str">
        <f t="shared" si="90"/>
        <v>172-2023-06-30</v>
      </c>
    </row>
    <row r="595" spans="1:18" x14ac:dyDescent="0.3">
      <c r="A595" s="26">
        <v>172</v>
      </c>
      <c r="B595" s="5" t="s">
        <v>70</v>
      </c>
      <c r="C595" s="5" t="s">
        <v>45</v>
      </c>
      <c r="D595" s="5" t="s">
        <v>18</v>
      </c>
      <c r="E595" s="5" t="s">
        <v>9</v>
      </c>
      <c r="F595" s="6">
        <v>45138</v>
      </c>
      <c r="G595" s="5">
        <f t="shared" si="93"/>
        <v>2023</v>
      </c>
      <c r="H595" s="5" t="str">
        <f t="shared" si="94"/>
        <v>Julio</v>
      </c>
      <c r="I595" s="6" t="str">
        <f t="shared" si="89"/>
        <v>2023-2</v>
      </c>
      <c r="J595" s="5">
        <v>95</v>
      </c>
      <c r="K595" s="75">
        <v>95</v>
      </c>
      <c r="L595" s="8">
        <f t="shared" si="95"/>
        <v>1</v>
      </c>
      <c r="M595" s="15">
        <f t="shared" si="96"/>
        <v>1</v>
      </c>
      <c r="N595" s="5" t="s">
        <v>347</v>
      </c>
      <c r="O595" s="5" t="s">
        <v>347</v>
      </c>
      <c r="P595" s="16">
        <v>0</v>
      </c>
      <c r="Q595" s="16">
        <v>0</v>
      </c>
      <c r="R595" s="5" t="str">
        <f t="shared" si="90"/>
        <v>172-2023-07-31</v>
      </c>
    </row>
    <row r="596" spans="1:18" x14ac:dyDescent="0.3">
      <c r="A596" s="26">
        <v>172</v>
      </c>
      <c r="B596" s="5" t="s">
        <v>70</v>
      </c>
      <c r="C596" s="5" t="s">
        <v>45</v>
      </c>
      <c r="D596" s="5" t="s">
        <v>18</v>
      </c>
      <c r="E596" s="5" t="s">
        <v>9</v>
      </c>
      <c r="F596" s="6">
        <v>45169</v>
      </c>
      <c r="G596" s="5">
        <f t="shared" si="93"/>
        <v>2023</v>
      </c>
      <c r="H596" s="5" t="str">
        <f t="shared" si="94"/>
        <v>Agosto</v>
      </c>
      <c r="I596" s="6" t="str">
        <f t="shared" si="89"/>
        <v>2023-2</v>
      </c>
      <c r="J596" s="5">
        <v>95</v>
      </c>
      <c r="K596" s="75">
        <v>91.67</v>
      </c>
      <c r="L596" s="8">
        <f t="shared" si="95"/>
        <v>0.96494736842105266</v>
      </c>
      <c r="M596" s="15">
        <f t="shared" si="96"/>
        <v>0.96494736842105266</v>
      </c>
      <c r="N596" s="5" t="s">
        <v>347</v>
      </c>
      <c r="O596" s="5" t="s">
        <v>347</v>
      </c>
      <c r="P596" s="16">
        <v>0</v>
      </c>
      <c r="Q596" s="16">
        <v>0</v>
      </c>
      <c r="R596" s="5" t="str">
        <f t="shared" si="90"/>
        <v>172-2023-08-31</v>
      </c>
    </row>
    <row r="597" spans="1:18" x14ac:dyDescent="0.3">
      <c r="A597" s="26">
        <v>172</v>
      </c>
      <c r="B597" s="5" t="s">
        <v>70</v>
      </c>
      <c r="C597" s="5" t="s">
        <v>45</v>
      </c>
      <c r="D597" s="5" t="s">
        <v>18</v>
      </c>
      <c r="E597" s="5" t="s">
        <v>9</v>
      </c>
      <c r="F597" s="6">
        <v>45199</v>
      </c>
      <c r="G597" s="5">
        <f t="shared" si="93"/>
        <v>2023</v>
      </c>
      <c r="H597" s="5" t="str">
        <f t="shared" si="94"/>
        <v>Septiembre</v>
      </c>
      <c r="I597" s="6" t="str">
        <f t="shared" si="89"/>
        <v>2023-2</v>
      </c>
      <c r="J597" s="5">
        <v>95</v>
      </c>
      <c r="K597" s="75">
        <v>96.67</v>
      </c>
      <c r="L597" s="8">
        <f t="shared" si="95"/>
        <v>1.0175789473684211</v>
      </c>
      <c r="M597" s="15">
        <f t="shared" si="96"/>
        <v>1.0175789473684211</v>
      </c>
      <c r="N597" s="5" t="s">
        <v>347</v>
      </c>
      <c r="O597" s="5" t="s">
        <v>347</v>
      </c>
      <c r="P597" s="16">
        <v>0</v>
      </c>
      <c r="Q597" s="16">
        <v>0</v>
      </c>
      <c r="R597" s="5" t="str">
        <f t="shared" si="90"/>
        <v>172-2023-09-30</v>
      </c>
    </row>
    <row r="598" spans="1:18" x14ac:dyDescent="0.3">
      <c r="A598" s="39">
        <v>172</v>
      </c>
      <c r="B598" s="5" t="s">
        <v>70</v>
      </c>
      <c r="C598" s="5" t="s">
        <v>45</v>
      </c>
      <c r="D598" s="5" t="s">
        <v>18</v>
      </c>
      <c r="E598" s="5" t="s">
        <v>9</v>
      </c>
      <c r="F598" s="6">
        <v>45230</v>
      </c>
      <c r="G598" s="5">
        <f t="shared" si="93"/>
        <v>2023</v>
      </c>
      <c r="H598" s="5" t="str">
        <f t="shared" si="94"/>
        <v>Octubre</v>
      </c>
      <c r="I598" s="6" t="str">
        <f t="shared" si="89"/>
        <v>2023-2</v>
      </c>
      <c r="J598" s="5">
        <v>95</v>
      </c>
      <c r="K598" s="75">
        <v>93.18</v>
      </c>
      <c r="L598" s="8">
        <f t="shared" si="95"/>
        <v>0.98084210526315796</v>
      </c>
      <c r="M598" s="15">
        <f t="shared" si="96"/>
        <v>0.98084210526315796</v>
      </c>
      <c r="N598" s="5" t="s">
        <v>347</v>
      </c>
      <c r="O598" s="5" t="s">
        <v>347</v>
      </c>
      <c r="P598" s="16">
        <v>0</v>
      </c>
      <c r="Q598" s="16">
        <v>0</v>
      </c>
      <c r="R598" s="5" t="str">
        <f t="shared" si="90"/>
        <v>172-2023-10-31</v>
      </c>
    </row>
    <row r="599" spans="1:18" x14ac:dyDescent="0.3">
      <c r="A599" s="39">
        <v>172</v>
      </c>
      <c r="B599" s="5" t="s">
        <v>70</v>
      </c>
      <c r="C599" s="5" t="s">
        <v>45</v>
      </c>
      <c r="D599" s="5" t="s">
        <v>18</v>
      </c>
      <c r="E599" s="5" t="s">
        <v>9</v>
      </c>
      <c r="F599" s="6">
        <v>45260</v>
      </c>
      <c r="G599" s="5">
        <f t="shared" si="93"/>
        <v>2023</v>
      </c>
      <c r="H599" s="5" t="str">
        <f t="shared" si="94"/>
        <v>Noviembre</v>
      </c>
      <c r="I599" s="6" t="str">
        <f t="shared" si="89"/>
        <v>2023-2</v>
      </c>
      <c r="J599" s="5">
        <v>95</v>
      </c>
      <c r="K599" s="75">
        <v>97.92</v>
      </c>
      <c r="L599" s="8">
        <f t="shared" si="95"/>
        <v>1.0307368421052632</v>
      </c>
      <c r="M599" s="15">
        <f t="shared" si="96"/>
        <v>1.0307368421052632</v>
      </c>
      <c r="N599" s="5" t="s">
        <v>347</v>
      </c>
      <c r="O599" s="5" t="s">
        <v>347</v>
      </c>
      <c r="P599" s="16">
        <v>0</v>
      </c>
      <c r="Q599" s="16">
        <v>0</v>
      </c>
      <c r="R599" s="5" t="str">
        <f t="shared" si="90"/>
        <v>172-2023-11-30</v>
      </c>
    </row>
    <row r="600" spans="1:18" x14ac:dyDescent="0.3">
      <c r="A600" s="39">
        <v>172</v>
      </c>
      <c r="B600" s="5" t="s">
        <v>70</v>
      </c>
      <c r="C600" s="5" t="s">
        <v>45</v>
      </c>
      <c r="D600" s="5" t="s">
        <v>18</v>
      </c>
      <c r="E600" s="5" t="s">
        <v>9</v>
      </c>
      <c r="F600" s="6">
        <v>45291</v>
      </c>
      <c r="G600" s="5">
        <f t="shared" si="93"/>
        <v>2023</v>
      </c>
      <c r="H600" s="5" t="str">
        <f t="shared" si="94"/>
        <v>Diciembre</v>
      </c>
      <c r="I600" s="6" t="str">
        <f t="shared" si="89"/>
        <v>2023-2</v>
      </c>
      <c r="J600" s="5">
        <v>95</v>
      </c>
      <c r="K600" s="75">
        <v>100</v>
      </c>
      <c r="L600" s="8">
        <f t="shared" si="95"/>
        <v>1.0526315789473684</v>
      </c>
      <c r="M600" s="15">
        <f t="shared" si="96"/>
        <v>1.0526315789473684</v>
      </c>
      <c r="N600" s="5" t="s">
        <v>347</v>
      </c>
      <c r="O600" s="5" t="s">
        <v>347</v>
      </c>
      <c r="P600" s="16">
        <v>0</v>
      </c>
      <c r="Q600" s="16">
        <v>0</v>
      </c>
      <c r="R600" s="5" t="str">
        <f t="shared" si="90"/>
        <v>172-2023-12-31</v>
      </c>
    </row>
    <row r="601" spans="1:18" x14ac:dyDescent="0.3">
      <c r="A601" s="26">
        <v>172</v>
      </c>
      <c r="B601" s="5" t="s">
        <v>70</v>
      </c>
      <c r="C601" s="5" t="s">
        <v>45</v>
      </c>
      <c r="D601" s="5" t="s">
        <v>18</v>
      </c>
      <c r="E601" s="5" t="s">
        <v>9</v>
      </c>
      <c r="F601" s="6">
        <v>45412</v>
      </c>
      <c r="G601" s="5">
        <f t="shared" si="93"/>
        <v>2024</v>
      </c>
      <c r="H601" s="5" t="str">
        <f t="shared" si="94"/>
        <v>Abril</v>
      </c>
      <c r="I601" s="6" t="str">
        <f t="shared" si="89"/>
        <v>2024-1</v>
      </c>
      <c r="J601" s="5">
        <v>95</v>
      </c>
      <c r="K601" s="9">
        <v>90</v>
      </c>
      <c r="L601" s="8">
        <f t="shared" ref="L601:L611" si="97">IFERROR(K601/J601,"")</f>
        <v>0.94736842105263153</v>
      </c>
      <c r="M601" s="15">
        <f t="shared" si="96"/>
        <v>0.94736842105263153</v>
      </c>
      <c r="N601" s="5" t="s">
        <v>347</v>
      </c>
      <c r="O601" s="5" t="s">
        <v>347</v>
      </c>
      <c r="P601" s="16">
        <v>0</v>
      </c>
      <c r="Q601" s="16">
        <v>0</v>
      </c>
      <c r="R601" s="5" t="str">
        <f t="shared" si="90"/>
        <v>172-2024-04-30</v>
      </c>
    </row>
    <row r="602" spans="1:18" x14ac:dyDescent="0.3">
      <c r="A602" s="26">
        <v>172</v>
      </c>
      <c r="B602" s="5" t="s">
        <v>70</v>
      </c>
      <c r="C602" s="5" t="s">
        <v>45</v>
      </c>
      <c r="D602" s="5" t="s">
        <v>18</v>
      </c>
      <c r="E602" s="5" t="s">
        <v>9</v>
      </c>
      <c r="F602" s="6">
        <v>45443</v>
      </c>
      <c r="G602" s="5">
        <f t="shared" si="93"/>
        <v>2024</v>
      </c>
      <c r="H602" s="5" t="str">
        <f t="shared" si="94"/>
        <v>Mayo</v>
      </c>
      <c r="I602" s="6" t="str">
        <f t="shared" si="89"/>
        <v>2024-1</v>
      </c>
      <c r="J602" s="5">
        <v>95</v>
      </c>
      <c r="K602" s="9">
        <v>83.33</v>
      </c>
      <c r="L602" s="8">
        <f t="shared" si="97"/>
        <v>0.87715789473684214</v>
      </c>
      <c r="M602" s="15">
        <f t="shared" si="96"/>
        <v>0.87715789473684214</v>
      </c>
      <c r="N602" s="5" t="s">
        <v>347</v>
      </c>
      <c r="O602" s="5" t="s">
        <v>347</v>
      </c>
      <c r="P602" s="16">
        <v>0</v>
      </c>
      <c r="Q602" s="16">
        <v>0</v>
      </c>
      <c r="R602" s="5" t="str">
        <f t="shared" si="90"/>
        <v>172-2024-05-31</v>
      </c>
    </row>
    <row r="603" spans="1:18" x14ac:dyDescent="0.3">
      <c r="A603" s="26">
        <v>172</v>
      </c>
      <c r="B603" s="5" t="s">
        <v>70</v>
      </c>
      <c r="C603" s="5" t="s">
        <v>45</v>
      </c>
      <c r="D603" s="5" t="s">
        <v>18</v>
      </c>
      <c r="E603" s="5" t="s">
        <v>9</v>
      </c>
      <c r="F603" s="6">
        <v>45473</v>
      </c>
      <c r="G603" s="5">
        <f t="shared" si="93"/>
        <v>2024</v>
      </c>
      <c r="H603" s="5" t="str">
        <f t="shared" si="94"/>
        <v>Junio</v>
      </c>
      <c r="I603" s="6" t="str">
        <f t="shared" si="89"/>
        <v>2024-1</v>
      </c>
      <c r="J603" s="5">
        <v>95</v>
      </c>
      <c r="K603" s="9">
        <v>87.5</v>
      </c>
      <c r="L603" s="8">
        <f t="shared" si="97"/>
        <v>0.92105263157894735</v>
      </c>
      <c r="M603" s="15">
        <f t="shared" si="96"/>
        <v>0.92105263157894735</v>
      </c>
      <c r="N603" s="5" t="s">
        <v>347</v>
      </c>
      <c r="O603" s="5" t="s">
        <v>347</v>
      </c>
      <c r="P603" s="16">
        <v>0</v>
      </c>
      <c r="Q603" s="16">
        <v>0</v>
      </c>
      <c r="R603" s="5" t="str">
        <f t="shared" si="90"/>
        <v>172-2024-06-30</v>
      </c>
    </row>
    <row r="604" spans="1:18" x14ac:dyDescent="0.3">
      <c r="A604" s="26">
        <v>172</v>
      </c>
      <c r="B604" s="5" t="s">
        <v>70</v>
      </c>
      <c r="C604" s="5" t="s">
        <v>45</v>
      </c>
      <c r="D604" s="5" t="s">
        <v>18</v>
      </c>
      <c r="E604" s="5" t="s">
        <v>9</v>
      </c>
      <c r="F604" s="6">
        <v>45504</v>
      </c>
      <c r="G604" s="5">
        <f t="shared" si="93"/>
        <v>2024</v>
      </c>
      <c r="H604" s="5" t="str">
        <f t="shared" si="94"/>
        <v>Julio</v>
      </c>
      <c r="I604" s="6" t="str">
        <f t="shared" si="89"/>
        <v>2024-2</v>
      </c>
      <c r="J604" s="5">
        <v>95</v>
      </c>
      <c r="K604" s="9">
        <v>90.91</v>
      </c>
      <c r="L604" s="8">
        <f t="shared" si="97"/>
        <v>0.95694736842105255</v>
      </c>
      <c r="M604" s="15">
        <f t="shared" si="96"/>
        <v>0.95694736842105255</v>
      </c>
      <c r="N604" s="5" t="s">
        <v>347</v>
      </c>
      <c r="O604" s="5" t="s">
        <v>347</v>
      </c>
      <c r="P604" s="16">
        <v>0</v>
      </c>
      <c r="Q604" s="16">
        <v>0</v>
      </c>
      <c r="R604" s="5" t="str">
        <f t="shared" si="90"/>
        <v>172-2024-07-31</v>
      </c>
    </row>
    <row r="605" spans="1:18" x14ac:dyDescent="0.3">
      <c r="A605" s="26">
        <v>172</v>
      </c>
      <c r="B605" s="5" t="s">
        <v>70</v>
      </c>
      <c r="C605" s="5" t="s">
        <v>45</v>
      </c>
      <c r="D605" s="5" t="s">
        <v>18</v>
      </c>
      <c r="E605" s="5" t="s">
        <v>9</v>
      </c>
      <c r="F605" s="6">
        <v>45535</v>
      </c>
      <c r="G605" s="5">
        <f t="shared" si="93"/>
        <v>2024</v>
      </c>
      <c r="H605" s="5" t="str">
        <f t="shared" si="94"/>
        <v>Agosto</v>
      </c>
      <c r="I605" s="6" t="str">
        <f t="shared" si="89"/>
        <v>2024-2</v>
      </c>
      <c r="J605" s="5">
        <v>95</v>
      </c>
      <c r="K605" s="9">
        <v>92.86</v>
      </c>
      <c r="L605" s="8">
        <f t="shared" si="97"/>
        <v>0.97747368421052627</v>
      </c>
      <c r="M605" s="15">
        <f t="shared" si="96"/>
        <v>0.97747368421052627</v>
      </c>
      <c r="N605" s="5" t="s">
        <v>347</v>
      </c>
      <c r="O605" s="5" t="s">
        <v>347</v>
      </c>
      <c r="P605" s="16">
        <v>0</v>
      </c>
      <c r="Q605" s="16">
        <v>0</v>
      </c>
      <c r="R605" s="5" t="str">
        <f t="shared" si="90"/>
        <v>172-2024-08-31</v>
      </c>
    </row>
    <row r="606" spans="1:18" x14ac:dyDescent="0.3">
      <c r="A606" s="26">
        <v>172</v>
      </c>
      <c r="B606" s="5" t="s">
        <v>70</v>
      </c>
      <c r="C606" s="5" t="s">
        <v>45</v>
      </c>
      <c r="D606" s="5" t="s">
        <v>18</v>
      </c>
      <c r="E606" s="5" t="s">
        <v>9</v>
      </c>
      <c r="F606" s="6">
        <v>45565</v>
      </c>
      <c r="G606" s="5">
        <f t="shared" si="93"/>
        <v>2024</v>
      </c>
      <c r="H606" s="5" t="str">
        <f t="shared" si="94"/>
        <v>Septiembre</v>
      </c>
      <c r="I606" s="6" t="str">
        <f t="shared" si="89"/>
        <v>2024-2</v>
      </c>
      <c r="J606" s="5">
        <v>95</v>
      </c>
      <c r="K606" s="9">
        <v>93.75</v>
      </c>
      <c r="L606" s="8">
        <f t="shared" si="97"/>
        <v>0.98684210526315785</v>
      </c>
      <c r="M606" s="15">
        <f t="shared" si="96"/>
        <v>0.98684210526315785</v>
      </c>
      <c r="N606" s="5" t="s">
        <v>347</v>
      </c>
      <c r="O606" s="5" t="s">
        <v>347</v>
      </c>
      <c r="P606" s="16">
        <v>0</v>
      </c>
      <c r="Q606" s="16">
        <v>0</v>
      </c>
      <c r="R606" s="5" t="str">
        <f t="shared" si="90"/>
        <v>172-2024-09-30</v>
      </c>
    </row>
    <row r="607" spans="1:18" x14ac:dyDescent="0.3">
      <c r="A607" s="39">
        <v>172</v>
      </c>
      <c r="B607" s="5" t="s">
        <v>70</v>
      </c>
      <c r="C607" s="5" t="s">
        <v>45</v>
      </c>
      <c r="D607" s="5" t="s">
        <v>18</v>
      </c>
      <c r="E607" s="5" t="s">
        <v>9</v>
      </c>
      <c r="F607" s="6">
        <v>45596</v>
      </c>
      <c r="G607" s="5">
        <f t="shared" si="93"/>
        <v>2024</v>
      </c>
      <c r="H607" s="5" t="str">
        <f t="shared" si="94"/>
        <v>Octubre</v>
      </c>
      <c r="I607" s="6" t="str">
        <f t="shared" si="89"/>
        <v>2024-2</v>
      </c>
      <c r="J607" s="5">
        <v>95</v>
      </c>
      <c r="K607" s="9">
        <v>94.12</v>
      </c>
      <c r="L607" s="8">
        <f t="shared" si="97"/>
        <v>0.99073684210526325</v>
      </c>
      <c r="M607" s="15">
        <f t="shared" si="96"/>
        <v>0.99073684210526325</v>
      </c>
      <c r="N607" s="5" t="s">
        <v>347</v>
      </c>
      <c r="O607" s="5" t="s">
        <v>347</v>
      </c>
      <c r="P607" s="16">
        <v>0</v>
      </c>
      <c r="Q607" s="16">
        <v>0</v>
      </c>
      <c r="R607" s="5" t="str">
        <f t="shared" si="90"/>
        <v>172-2024-10-31</v>
      </c>
    </row>
    <row r="608" spans="1:18" x14ac:dyDescent="0.3">
      <c r="A608" s="39">
        <v>172</v>
      </c>
      <c r="B608" s="5" t="s">
        <v>70</v>
      </c>
      <c r="C608" s="5" t="s">
        <v>45</v>
      </c>
      <c r="D608" s="5" t="s">
        <v>18</v>
      </c>
      <c r="E608" s="5" t="s">
        <v>9</v>
      </c>
      <c r="F608" s="6">
        <v>45626</v>
      </c>
      <c r="G608" s="5">
        <f t="shared" si="93"/>
        <v>2024</v>
      </c>
      <c r="H608" s="5" t="str">
        <f t="shared" si="94"/>
        <v>Noviembre</v>
      </c>
      <c r="I608" s="6" t="str">
        <f t="shared" si="89"/>
        <v>2024-2</v>
      </c>
      <c r="J608" s="5">
        <v>95</v>
      </c>
      <c r="K608" s="9">
        <v>100</v>
      </c>
      <c r="L608" s="8">
        <f t="shared" si="97"/>
        <v>1.0526315789473684</v>
      </c>
      <c r="M608" s="15">
        <f t="shared" si="96"/>
        <v>1.0526315789473684</v>
      </c>
      <c r="N608" s="5" t="s">
        <v>347</v>
      </c>
      <c r="O608" s="5" t="s">
        <v>347</v>
      </c>
      <c r="P608" s="16">
        <v>0</v>
      </c>
      <c r="Q608" s="16">
        <v>0</v>
      </c>
      <c r="R608" s="5" t="str">
        <f t="shared" si="90"/>
        <v>172-2024-11-30</v>
      </c>
    </row>
    <row r="609" spans="1:18" x14ac:dyDescent="0.3">
      <c r="A609" s="39">
        <v>172</v>
      </c>
      <c r="B609" s="5" t="s">
        <v>70</v>
      </c>
      <c r="C609" s="5" t="s">
        <v>45</v>
      </c>
      <c r="D609" s="5" t="s">
        <v>18</v>
      </c>
      <c r="E609" s="5" t="s">
        <v>9</v>
      </c>
      <c r="F609" s="6">
        <v>45657</v>
      </c>
      <c r="G609" s="5">
        <f t="shared" si="93"/>
        <v>2024</v>
      </c>
      <c r="H609" s="5" t="str">
        <f t="shared" si="94"/>
        <v>Diciembre</v>
      </c>
      <c r="I609" s="6" t="str">
        <f t="shared" si="89"/>
        <v>2024-2</v>
      </c>
      <c r="J609" s="5">
        <v>95</v>
      </c>
      <c r="K609" s="9">
        <v>97.37</v>
      </c>
      <c r="L609" s="8">
        <f t="shared" si="97"/>
        <v>1.0249473684210526</v>
      </c>
      <c r="M609" s="15">
        <f t="shared" si="96"/>
        <v>1.0249473684210526</v>
      </c>
      <c r="N609" s="5" t="s">
        <v>347</v>
      </c>
      <c r="O609" s="5" t="s">
        <v>347</v>
      </c>
      <c r="P609" s="16">
        <v>0</v>
      </c>
      <c r="Q609" s="16">
        <v>0</v>
      </c>
      <c r="R609" s="5" t="str">
        <f t="shared" si="90"/>
        <v>172-2024-12-31</v>
      </c>
    </row>
    <row r="610" spans="1:18" x14ac:dyDescent="0.3">
      <c r="A610" s="26">
        <v>174</v>
      </c>
      <c r="B610" s="5" t="s">
        <v>71</v>
      </c>
      <c r="C610" s="5" t="s">
        <v>45</v>
      </c>
      <c r="D610" s="5" t="s">
        <v>8</v>
      </c>
      <c r="E610" s="5" t="s">
        <v>9</v>
      </c>
      <c r="F610" s="17">
        <v>45107</v>
      </c>
      <c r="G610" s="5">
        <f t="shared" si="93"/>
        <v>2023</v>
      </c>
      <c r="H610" s="5" t="str">
        <f t="shared" si="94"/>
        <v>Junio</v>
      </c>
      <c r="I610" s="6" t="str">
        <f t="shared" si="89"/>
        <v>2023-1</v>
      </c>
      <c r="J610" s="5">
        <v>95</v>
      </c>
      <c r="K610" s="9">
        <v>100</v>
      </c>
      <c r="L610" s="8">
        <f t="shared" si="97"/>
        <v>1.0526315789473684</v>
      </c>
      <c r="M610" s="15">
        <f t="shared" si="96"/>
        <v>1.0526315789473684</v>
      </c>
      <c r="N610" s="5" t="s">
        <v>347</v>
      </c>
      <c r="O610" s="5" t="s">
        <v>347</v>
      </c>
      <c r="P610" s="16">
        <v>0</v>
      </c>
      <c r="Q610" s="16">
        <v>0</v>
      </c>
      <c r="R610" s="5" t="str">
        <f t="shared" si="90"/>
        <v>174-2023-06-30</v>
      </c>
    </row>
    <row r="611" spans="1:18" x14ac:dyDescent="0.3">
      <c r="A611" s="39">
        <v>174</v>
      </c>
      <c r="B611" s="5" t="s">
        <v>71</v>
      </c>
      <c r="C611" s="5" t="s">
        <v>45</v>
      </c>
      <c r="D611" s="5" t="s">
        <v>8</v>
      </c>
      <c r="E611" s="5" t="s">
        <v>9</v>
      </c>
      <c r="F611" s="6">
        <v>45291</v>
      </c>
      <c r="G611" s="5">
        <f t="shared" si="93"/>
        <v>2023</v>
      </c>
      <c r="H611" s="5" t="str">
        <f t="shared" si="94"/>
        <v>Diciembre</v>
      </c>
      <c r="I611" s="6" t="str">
        <f t="shared" si="89"/>
        <v>2023-2</v>
      </c>
      <c r="J611" s="5">
        <v>95</v>
      </c>
      <c r="K611" s="9">
        <v>100</v>
      </c>
      <c r="L611" s="8">
        <f t="shared" si="97"/>
        <v>1.0526315789473684</v>
      </c>
      <c r="M611" s="15">
        <f t="shared" si="96"/>
        <v>1.0526315789473684</v>
      </c>
      <c r="N611" s="5" t="s">
        <v>347</v>
      </c>
      <c r="O611" s="5" t="s">
        <v>347</v>
      </c>
      <c r="P611" s="16">
        <v>0</v>
      </c>
      <c r="Q611" s="16">
        <v>0</v>
      </c>
      <c r="R611" s="5" t="str">
        <f t="shared" si="90"/>
        <v>174-2023-12-31</v>
      </c>
    </row>
    <row r="612" spans="1:18" x14ac:dyDescent="0.3">
      <c r="A612" s="26">
        <v>176</v>
      </c>
      <c r="B612" s="5" t="s">
        <v>72</v>
      </c>
      <c r="C612" s="5" t="s">
        <v>45</v>
      </c>
      <c r="D612" s="5" t="s">
        <v>18</v>
      </c>
      <c r="E612" s="5" t="s">
        <v>9</v>
      </c>
      <c r="F612" s="6">
        <v>45046</v>
      </c>
      <c r="G612" s="5">
        <f t="shared" si="93"/>
        <v>2023</v>
      </c>
      <c r="H612" s="5" t="str">
        <f t="shared" si="94"/>
        <v>Abril</v>
      </c>
      <c r="I612" s="6" t="str">
        <f t="shared" ref="I612:I666" si="98">IF(OR(H612="Enero",H612="Febrero",H612="Marzo",H612="Abril",H612="Mayo",H612="Junio"),G612&amp;"-1",IF(OR(H612="Julio",H612="Agosto",H612="Septiembre",H612="Octubre",H612="Noviembre",H612="Diciembre"),G612&amp;"-2"))</f>
        <v>2023-1</v>
      </c>
      <c r="J612" s="5">
        <v>80</v>
      </c>
      <c r="K612" s="9">
        <v>70.19</v>
      </c>
      <c r="L612" s="8">
        <f t="shared" ref="L612:L622" si="99">IFERROR(K612/J612,"")</f>
        <v>0.87737500000000002</v>
      </c>
      <c r="M612" s="15">
        <f t="shared" ref="M612:M630" si="100">IFERROR(IF((K612/J612)&gt;K612/J612,1.3,K612/J612),"")</f>
        <v>0.87737500000000002</v>
      </c>
      <c r="N612" s="5" t="s">
        <v>347</v>
      </c>
      <c r="O612" s="5" t="s">
        <v>347</v>
      </c>
      <c r="P612" s="16">
        <v>0</v>
      </c>
      <c r="Q612" s="16">
        <v>0</v>
      </c>
      <c r="R612" s="5" t="str">
        <f t="shared" ref="R612:R666" si="101">A612&amp;"-"&amp;YEAR(F612)&amp;"-"&amp;IF(LEN(MONTH(F612))=1,"0"&amp;MONTH(F612),MONTH(F612))&amp;"-"&amp;DAY(F612)</f>
        <v>176-2023-04-30</v>
      </c>
    </row>
    <row r="613" spans="1:18" x14ac:dyDescent="0.3">
      <c r="A613" s="26">
        <v>176</v>
      </c>
      <c r="B613" s="5" t="s">
        <v>72</v>
      </c>
      <c r="C613" s="5" t="s">
        <v>45</v>
      </c>
      <c r="D613" s="5" t="s">
        <v>18</v>
      </c>
      <c r="E613" s="5" t="s">
        <v>9</v>
      </c>
      <c r="F613" s="6">
        <v>45077</v>
      </c>
      <c r="G613" s="5">
        <f t="shared" si="93"/>
        <v>2023</v>
      </c>
      <c r="H613" s="5" t="str">
        <f t="shared" si="94"/>
        <v>Mayo</v>
      </c>
      <c r="I613" s="6" t="str">
        <f t="shared" si="98"/>
        <v>2023-1</v>
      </c>
      <c r="J613" s="5">
        <v>80</v>
      </c>
      <c r="K613" s="9">
        <v>91.53</v>
      </c>
      <c r="L613" s="8">
        <f t="shared" si="99"/>
        <v>1.1441250000000001</v>
      </c>
      <c r="M613" s="15">
        <f t="shared" si="100"/>
        <v>1.1441250000000001</v>
      </c>
      <c r="N613" s="5" t="s">
        <v>347</v>
      </c>
      <c r="O613" s="5" t="s">
        <v>347</v>
      </c>
      <c r="P613" s="16">
        <v>0</v>
      </c>
      <c r="Q613" s="16">
        <v>0</v>
      </c>
      <c r="R613" s="5" t="str">
        <f t="shared" si="101"/>
        <v>176-2023-05-31</v>
      </c>
    </row>
    <row r="614" spans="1:18" x14ac:dyDescent="0.3">
      <c r="A614" s="26">
        <v>176</v>
      </c>
      <c r="B614" s="5" t="s">
        <v>72</v>
      </c>
      <c r="C614" s="5" t="s">
        <v>45</v>
      </c>
      <c r="D614" s="5" t="s">
        <v>18</v>
      </c>
      <c r="E614" s="5" t="s">
        <v>9</v>
      </c>
      <c r="F614" s="6">
        <v>45107</v>
      </c>
      <c r="G614" s="5">
        <f t="shared" si="93"/>
        <v>2023</v>
      </c>
      <c r="H614" s="5" t="str">
        <f t="shared" si="94"/>
        <v>Junio</v>
      </c>
      <c r="I614" s="6" t="str">
        <f t="shared" si="98"/>
        <v>2023-1</v>
      </c>
      <c r="J614" s="5">
        <v>80</v>
      </c>
      <c r="K614" s="9">
        <v>88.24</v>
      </c>
      <c r="L614" s="8">
        <f t="shared" si="99"/>
        <v>1.103</v>
      </c>
      <c r="M614" s="15">
        <f t="shared" si="100"/>
        <v>1.103</v>
      </c>
      <c r="N614" s="5" t="s">
        <v>347</v>
      </c>
      <c r="O614" s="5" t="s">
        <v>347</v>
      </c>
      <c r="P614" s="16">
        <v>0</v>
      </c>
      <c r="Q614" s="16">
        <v>0</v>
      </c>
      <c r="R614" s="5" t="str">
        <f t="shared" si="101"/>
        <v>176-2023-06-30</v>
      </c>
    </row>
    <row r="615" spans="1:18" x14ac:dyDescent="0.3">
      <c r="A615" s="26">
        <v>176</v>
      </c>
      <c r="B615" s="5" t="s">
        <v>72</v>
      </c>
      <c r="C615" s="5" t="s">
        <v>45</v>
      </c>
      <c r="D615" s="5" t="s">
        <v>18</v>
      </c>
      <c r="E615" s="5" t="s">
        <v>9</v>
      </c>
      <c r="F615" s="6">
        <v>45138</v>
      </c>
      <c r="G615" s="5">
        <f t="shared" si="93"/>
        <v>2023</v>
      </c>
      <c r="H615" s="5" t="str">
        <f t="shared" si="94"/>
        <v>Julio</v>
      </c>
      <c r="I615" s="6" t="str">
        <f t="shared" si="98"/>
        <v>2023-2</v>
      </c>
      <c r="J615" s="5">
        <v>80</v>
      </c>
      <c r="K615" s="9">
        <v>70.67</v>
      </c>
      <c r="L615" s="8">
        <f t="shared" si="99"/>
        <v>0.88337500000000002</v>
      </c>
      <c r="M615" s="15">
        <f t="shared" si="100"/>
        <v>0.88337500000000002</v>
      </c>
      <c r="N615" s="5" t="s">
        <v>347</v>
      </c>
      <c r="O615" s="5" t="s">
        <v>347</v>
      </c>
      <c r="P615" s="16">
        <v>0</v>
      </c>
      <c r="Q615" s="16">
        <v>0</v>
      </c>
      <c r="R615" s="5" t="str">
        <f t="shared" si="101"/>
        <v>176-2023-07-31</v>
      </c>
    </row>
    <row r="616" spans="1:18" x14ac:dyDescent="0.3">
      <c r="A616" s="26">
        <v>176</v>
      </c>
      <c r="B616" s="5" t="s">
        <v>72</v>
      </c>
      <c r="C616" s="5" t="s">
        <v>45</v>
      </c>
      <c r="D616" s="5" t="s">
        <v>18</v>
      </c>
      <c r="E616" s="5" t="s">
        <v>9</v>
      </c>
      <c r="F616" s="6">
        <v>45169</v>
      </c>
      <c r="G616" s="5">
        <f t="shared" si="93"/>
        <v>2023</v>
      </c>
      <c r="H616" s="5" t="str">
        <f t="shared" si="94"/>
        <v>Agosto</v>
      </c>
      <c r="I616" s="6" t="str">
        <f t="shared" si="98"/>
        <v>2023-2</v>
      </c>
      <c r="J616" s="5">
        <v>80</v>
      </c>
      <c r="K616" s="9">
        <v>78.13</v>
      </c>
      <c r="L616" s="8">
        <f t="shared" si="99"/>
        <v>0.97662499999999997</v>
      </c>
      <c r="M616" s="15">
        <f t="shared" si="100"/>
        <v>0.97662499999999997</v>
      </c>
      <c r="N616" s="5" t="s">
        <v>347</v>
      </c>
      <c r="O616" s="5" t="s">
        <v>347</v>
      </c>
      <c r="P616" s="16">
        <v>0</v>
      </c>
      <c r="Q616" s="16">
        <v>0</v>
      </c>
      <c r="R616" s="5" t="str">
        <f t="shared" si="101"/>
        <v>176-2023-08-31</v>
      </c>
    </row>
    <row r="617" spans="1:18" x14ac:dyDescent="0.3">
      <c r="A617" s="26">
        <v>176</v>
      </c>
      <c r="B617" s="5" t="s">
        <v>72</v>
      </c>
      <c r="C617" s="5" t="s">
        <v>45</v>
      </c>
      <c r="D617" s="5" t="s">
        <v>18</v>
      </c>
      <c r="E617" s="5" t="s">
        <v>9</v>
      </c>
      <c r="F617" s="6">
        <v>45199</v>
      </c>
      <c r="G617" s="5">
        <f t="shared" si="93"/>
        <v>2023</v>
      </c>
      <c r="H617" s="5" t="str">
        <f t="shared" si="94"/>
        <v>Septiembre</v>
      </c>
      <c r="I617" s="6" t="str">
        <f t="shared" si="98"/>
        <v>2023-2</v>
      </c>
      <c r="J617" s="5">
        <v>80</v>
      </c>
      <c r="K617" s="9">
        <v>92.73</v>
      </c>
      <c r="L617" s="8">
        <f t="shared" si="99"/>
        <v>1.159125</v>
      </c>
      <c r="M617" s="15">
        <f t="shared" si="100"/>
        <v>1.159125</v>
      </c>
      <c r="N617" s="5" t="s">
        <v>347</v>
      </c>
      <c r="O617" s="5" t="s">
        <v>347</v>
      </c>
      <c r="P617" s="16">
        <v>0</v>
      </c>
      <c r="Q617" s="16">
        <v>0</v>
      </c>
      <c r="R617" s="5" t="str">
        <f t="shared" si="101"/>
        <v>176-2023-09-30</v>
      </c>
    </row>
    <row r="618" spans="1:18" x14ac:dyDescent="0.3">
      <c r="A618" s="39">
        <v>176</v>
      </c>
      <c r="B618" s="5" t="s">
        <v>72</v>
      </c>
      <c r="C618" s="5" t="s">
        <v>45</v>
      </c>
      <c r="D618" s="5" t="s">
        <v>18</v>
      </c>
      <c r="E618" s="5" t="s">
        <v>9</v>
      </c>
      <c r="F618" s="6">
        <v>45230</v>
      </c>
      <c r="G618" s="5">
        <f t="shared" si="93"/>
        <v>2023</v>
      </c>
      <c r="H618" s="5" t="str">
        <f t="shared" si="94"/>
        <v>Octubre</v>
      </c>
      <c r="I618" s="6" t="str">
        <f t="shared" si="98"/>
        <v>2023-2</v>
      </c>
      <c r="J618" s="5">
        <v>80</v>
      </c>
      <c r="K618" s="9">
        <v>70.3</v>
      </c>
      <c r="L618" s="8">
        <f t="shared" si="99"/>
        <v>0.87874999999999992</v>
      </c>
      <c r="M618" s="15">
        <f t="shared" si="100"/>
        <v>0.87874999999999992</v>
      </c>
      <c r="N618" s="5" t="s">
        <v>347</v>
      </c>
      <c r="O618" s="5" t="s">
        <v>347</v>
      </c>
      <c r="P618" s="16">
        <v>1</v>
      </c>
      <c r="Q618" s="16">
        <v>1</v>
      </c>
      <c r="R618" s="5" t="str">
        <f t="shared" si="101"/>
        <v>176-2023-10-31</v>
      </c>
    </row>
    <row r="619" spans="1:18" x14ac:dyDescent="0.3">
      <c r="A619" s="39">
        <v>176</v>
      </c>
      <c r="B619" s="5" t="s">
        <v>72</v>
      </c>
      <c r="C619" s="5" t="s">
        <v>45</v>
      </c>
      <c r="D619" s="5" t="s">
        <v>18</v>
      </c>
      <c r="E619" s="5" t="s">
        <v>9</v>
      </c>
      <c r="F619" s="6">
        <v>45260</v>
      </c>
      <c r="G619" s="5">
        <f t="shared" si="93"/>
        <v>2023</v>
      </c>
      <c r="H619" s="5" t="str">
        <f t="shared" si="94"/>
        <v>Noviembre</v>
      </c>
      <c r="I619" s="6" t="str">
        <f t="shared" si="98"/>
        <v>2023-2</v>
      </c>
      <c r="J619" s="5">
        <v>80</v>
      </c>
      <c r="K619" s="9">
        <v>87.36</v>
      </c>
      <c r="L619" s="8">
        <f t="shared" si="99"/>
        <v>1.0920000000000001</v>
      </c>
      <c r="M619" s="15">
        <f t="shared" si="100"/>
        <v>1.0920000000000001</v>
      </c>
      <c r="N619" s="5" t="s">
        <v>347</v>
      </c>
      <c r="O619" s="5" t="s">
        <v>347</v>
      </c>
      <c r="P619" s="16">
        <v>0</v>
      </c>
      <c r="Q619" s="16">
        <v>0</v>
      </c>
      <c r="R619" s="5" t="str">
        <f t="shared" si="101"/>
        <v>176-2023-11-30</v>
      </c>
    </row>
    <row r="620" spans="1:18" x14ac:dyDescent="0.3">
      <c r="A620" s="39">
        <v>176</v>
      </c>
      <c r="B620" s="5" t="s">
        <v>72</v>
      </c>
      <c r="C620" s="5" t="s">
        <v>45</v>
      </c>
      <c r="D620" s="5" t="s">
        <v>18</v>
      </c>
      <c r="E620" s="5" t="s">
        <v>9</v>
      </c>
      <c r="F620" s="6">
        <v>45291</v>
      </c>
      <c r="G620" s="5">
        <f t="shared" si="93"/>
        <v>2023</v>
      </c>
      <c r="H620" s="5" t="str">
        <f t="shared" si="94"/>
        <v>Diciembre</v>
      </c>
      <c r="I620" s="6" t="str">
        <f t="shared" si="98"/>
        <v>2023-2</v>
      </c>
      <c r="J620" s="5">
        <v>80</v>
      </c>
      <c r="K620" s="9">
        <v>83.16</v>
      </c>
      <c r="L620" s="8">
        <f t="shared" si="99"/>
        <v>1.0394999999999999</v>
      </c>
      <c r="M620" s="15">
        <f t="shared" si="100"/>
        <v>1.0394999999999999</v>
      </c>
      <c r="N620" s="5" t="s">
        <v>347</v>
      </c>
      <c r="O620" s="5" t="s">
        <v>347</v>
      </c>
      <c r="P620" s="16">
        <v>0</v>
      </c>
      <c r="Q620" s="16">
        <v>0</v>
      </c>
      <c r="R620" s="5" t="str">
        <f t="shared" si="101"/>
        <v>176-2023-12-31</v>
      </c>
    </row>
    <row r="621" spans="1:18" x14ac:dyDescent="0.3">
      <c r="A621" s="26">
        <v>176</v>
      </c>
      <c r="B621" s="5" t="s">
        <v>72</v>
      </c>
      <c r="C621" s="5" t="s">
        <v>45</v>
      </c>
      <c r="D621" s="5" t="s">
        <v>18</v>
      </c>
      <c r="E621" s="5" t="s">
        <v>9</v>
      </c>
      <c r="F621" s="6">
        <v>45322</v>
      </c>
      <c r="G621" s="5">
        <f t="shared" si="93"/>
        <v>2024</v>
      </c>
      <c r="H621" s="5" t="str">
        <f t="shared" si="94"/>
        <v>Enero</v>
      </c>
      <c r="I621" s="6" t="str">
        <f t="shared" si="98"/>
        <v>2024-1</v>
      </c>
      <c r="J621" s="5">
        <v>85</v>
      </c>
      <c r="K621" s="9">
        <v>83.33</v>
      </c>
      <c r="L621" s="8">
        <f t="shared" si="99"/>
        <v>0.98035294117647054</v>
      </c>
      <c r="M621" s="15">
        <f t="shared" si="100"/>
        <v>0.98035294117647054</v>
      </c>
      <c r="N621" s="5" t="s">
        <v>81</v>
      </c>
      <c r="O621" s="5" t="s">
        <v>81</v>
      </c>
      <c r="P621" s="16">
        <v>0</v>
      </c>
      <c r="Q621" s="16">
        <v>0</v>
      </c>
      <c r="R621" s="5" t="str">
        <f t="shared" si="101"/>
        <v>176-2024-01-31</v>
      </c>
    </row>
    <row r="622" spans="1:18" x14ac:dyDescent="0.3">
      <c r="A622" s="26">
        <v>176</v>
      </c>
      <c r="B622" s="5" t="s">
        <v>72</v>
      </c>
      <c r="C622" s="5" t="s">
        <v>45</v>
      </c>
      <c r="D622" s="5" t="s">
        <v>18</v>
      </c>
      <c r="E622" s="5" t="s">
        <v>9</v>
      </c>
      <c r="F622" s="17">
        <v>45350</v>
      </c>
      <c r="G622" s="5">
        <f t="shared" si="93"/>
        <v>2024</v>
      </c>
      <c r="H622" s="5" t="str">
        <f t="shared" si="94"/>
        <v>Febrero</v>
      </c>
      <c r="I622" s="6" t="str">
        <f t="shared" si="98"/>
        <v>2024-1</v>
      </c>
      <c r="J622" s="5">
        <v>85</v>
      </c>
      <c r="K622" s="9">
        <v>80.42</v>
      </c>
      <c r="L622" s="8">
        <f t="shared" si="99"/>
        <v>0.94611764705882351</v>
      </c>
      <c r="M622" s="15">
        <f t="shared" si="100"/>
        <v>0.94611764705882351</v>
      </c>
      <c r="N622" s="5" t="s">
        <v>81</v>
      </c>
      <c r="O622" s="5" t="s">
        <v>81</v>
      </c>
      <c r="P622" s="16">
        <v>0</v>
      </c>
      <c r="Q622" s="16">
        <v>0</v>
      </c>
      <c r="R622" s="5" t="str">
        <f t="shared" si="101"/>
        <v>176-2024-02-28</v>
      </c>
    </row>
    <row r="623" spans="1:18" x14ac:dyDescent="0.3">
      <c r="A623" s="26">
        <v>176</v>
      </c>
      <c r="B623" s="5" t="s">
        <v>72</v>
      </c>
      <c r="C623" s="5" t="s">
        <v>45</v>
      </c>
      <c r="D623" s="5" t="s">
        <v>18</v>
      </c>
      <c r="E623" s="5" t="s">
        <v>9</v>
      </c>
      <c r="F623" s="6">
        <v>45351</v>
      </c>
      <c r="G623" s="5">
        <f t="shared" si="93"/>
        <v>2024</v>
      </c>
      <c r="H623" s="5" t="str">
        <f t="shared" si="94"/>
        <v>Febrero</v>
      </c>
      <c r="I623" s="6" t="str">
        <f t="shared" si="98"/>
        <v>2024-1</v>
      </c>
      <c r="J623" s="5">
        <v>85</v>
      </c>
      <c r="K623" s="10">
        <v>80.42</v>
      </c>
      <c r="L623" s="15">
        <f>IFERROR(IF((K623/J623)&gt;1.3,1.3,K623/J623),"")</f>
        <v>0.94611764705882351</v>
      </c>
      <c r="M623" s="15">
        <f t="shared" si="100"/>
        <v>0.94611764705882351</v>
      </c>
      <c r="N623" s="5" t="s">
        <v>347</v>
      </c>
      <c r="O623" s="5" t="s">
        <v>347</v>
      </c>
      <c r="P623" s="16">
        <v>0</v>
      </c>
      <c r="Q623" s="16">
        <v>0</v>
      </c>
      <c r="R623" s="5" t="str">
        <f t="shared" si="101"/>
        <v>176-2024-02-29</v>
      </c>
    </row>
    <row r="624" spans="1:18" x14ac:dyDescent="0.3">
      <c r="A624" s="26">
        <v>176</v>
      </c>
      <c r="B624" s="5" t="s">
        <v>72</v>
      </c>
      <c r="C624" s="5" t="s">
        <v>45</v>
      </c>
      <c r="D624" s="5" t="s">
        <v>18</v>
      </c>
      <c r="E624" s="5" t="s">
        <v>9</v>
      </c>
      <c r="F624" s="6">
        <v>45382</v>
      </c>
      <c r="G624" s="5">
        <f t="shared" si="93"/>
        <v>2024</v>
      </c>
      <c r="H624" s="5" t="str">
        <f t="shared" si="94"/>
        <v>Marzo</v>
      </c>
      <c r="I624" s="6" t="str">
        <f t="shared" si="98"/>
        <v>2024-1</v>
      </c>
      <c r="J624" s="5">
        <v>85</v>
      </c>
      <c r="K624" s="9">
        <v>84.05</v>
      </c>
      <c r="L624" s="8">
        <f t="shared" ref="L624:L630" si="102">IFERROR(K624/J624,"")</f>
        <v>0.98882352941176466</v>
      </c>
      <c r="M624" s="15">
        <f t="shared" si="100"/>
        <v>0.98882352941176466</v>
      </c>
      <c r="N624" s="5" t="s">
        <v>81</v>
      </c>
      <c r="O624" s="5" t="s">
        <v>81</v>
      </c>
      <c r="P624" s="16">
        <v>0</v>
      </c>
      <c r="Q624" s="16">
        <v>0</v>
      </c>
      <c r="R624" s="5" t="str">
        <f t="shared" si="101"/>
        <v>176-2024-03-31</v>
      </c>
    </row>
    <row r="625" spans="1:18" x14ac:dyDescent="0.3">
      <c r="A625" s="26">
        <v>176</v>
      </c>
      <c r="B625" s="5" t="s">
        <v>72</v>
      </c>
      <c r="C625" s="5" t="s">
        <v>45</v>
      </c>
      <c r="D625" s="5" t="s">
        <v>18</v>
      </c>
      <c r="E625" s="5" t="s">
        <v>9</v>
      </c>
      <c r="F625" s="6">
        <v>45412</v>
      </c>
      <c r="G625" s="5">
        <f t="shared" si="93"/>
        <v>2024</v>
      </c>
      <c r="H625" s="5" t="str">
        <f t="shared" si="94"/>
        <v>Abril</v>
      </c>
      <c r="I625" s="6" t="str">
        <f t="shared" si="98"/>
        <v>2024-1</v>
      </c>
      <c r="J625" s="5">
        <v>85</v>
      </c>
      <c r="K625" s="9">
        <v>85.09</v>
      </c>
      <c r="L625" s="8">
        <f t="shared" si="102"/>
        <v>1.0010588235294118</v>
      </c>
      <c r="M625" s="15">
        <f t="shared" si="100"/>
        <v>1.0010588235294118</v>
      </c>
      <c r="N625" s="5" t="s">
        <v>347</v>
      </c>
      <c r="O625" s="5" t="s">
        <v>347</v>
      </c>
      <c r="P625" s="16">
        <v>0</v>
      </c>
      <c r="Q625" s="16">
        <v>0</v>
      </c>
      <c r="R625" s="5" t="str">
        <f t="shared" si="101"/>
        <v>176-2024-04-30</v>
      </c>
    </row>
    <row r="626" spans="1:18" x14ac:dyDescent="0.3">
      <c r="A626" s="26">
        <v>176</v>
      </c>
      <c r="B626" s="5" t="s">
        <v>72</v>
      </c>
      <c r="C626" s="5" t="s">
        <v>45</v>
      </c>
      <c r="D626" s="5" t="s">
        <v>18</v>
      </c>
      <c r="E626" s="5" t="s">
        <v>9</v>
      </c>
      <c r="F626" s="6">
        <v>45443</v>
      </c>
      <c r="G626" s="5">
        <f t="shared" si="93"/>
        <v>2024</v>
      </c>
      <c r="H626" s="5" t="str">
        <f t="shared" si="94"/>
        <v>Mayo</v>
      </c>
      <c r="I626" s="6" t="str">
        <f t="shared" si="98"/>
        <v>2024-1</v>
      </c>
      <c r="J626" s="5">
        <v>85</v>
      </c>
      <c r="K626" s="9">
        <v>84.08</v>
      </c>
      <c r="L626" s="8">
        <f t="shared" si="102"/>
        <v>0.98917647058823532</v>
      </c>
      <c r="M626" s="15">
        <f t="shared" si="100"/>
        <v>0.98917647058823532</v>
      </c>
      <c r="N626" s="5" t="s">
        <v>347</v>
      </c>
      <c r="O626" s="5" t="s">
        <v>347</v>
      </c>
      <c r="P626" s="16">
        <v>0</v>
      </c>
      <c r="Q626" s="16">
        <v>0</v>
      </c>
      <c r="R626" s="5" t="str">
        <f t="shared" si="101"/>
        <v>176-2024-05-31</v>
      </c>
    </row>
    <row r="627" spans="1:18" x14ac:dyDescent="0.3">
      <c r="A627" s="26">
        <v>176</v>
      </c>
      <c r="B627" s="5" t="s">
        <v>72</v>
      </c>
      <c r="C627" s="5" t="s">
        <v>45</v>
      </c>
      <c r="D627" s="5" t="s">
        <v>18</v>
      </c>
      <c r="E627" s="5" t="s">
        <v>9</v>
      </c>
      <c r="F627" s="6">
        <v>45473</v>
      </c>
      <c r="G627" s="5">
        <f t="shared" si="93"/>
        <v>2024</v>
      </c>
      <c r="H627" s="5" t="str">
        <f t="shared" si="94"/>
        <v>Junio</v>
      </c>
      <c r="I627" s="6" t="str">
        <f t="shared" si="98"/>
        <v>2024-1</v>
      </c>
      <c r="J627" s="5">
        <v>85</v>
      </c>
      <c r="K627" s="9">
        <v>92.5</v>
      </c>
      <c r="L627" s="8">
        <f t="shared" si="102"/>
        <v>1.088235294117647</v>
      </c>
      <c r="M627" s="15">
        <f t="shared" si="100"/>
        <v>1.088235294117647</v>
      </c>
      <c r="N627" s="5" t="s">
        <v>347</v>
      </c>
      <c r="O627" s="5" t="s">
        <v>347</v>
      </c>
      <c r="P627" s="16">
        <v>0</v>
      </c>
      <c r="Q627" s="16">
        <v>0</v>
      </c>
      <c r="R627" s="5" t="str">
        <f t="shared" si="101"/>
        <v>176-2024-06-30</v>
      </c>
    </row>
    <row r="628" spans="1:18" x14ac:dyDescent="0.3">
      <c r="A628" s="26">
        <v>176</v>
      </c>
      <c r="B628" s="5" t="s">
        <v>72</v>
      </c>
      <c r="C628" s="5" t="s">
        <v>45</v>
      </c>
      <c r="D628" s="5" t="s">
        <v>18</v>
      </c>
      <c r="E628" s="5" t="s">
        <v>9</v>
      </c>
      <c r="F628" s="6">
        <v>45504</v>
      </c>
      <c r="G628" s="5">
        <f t="shared" si="93"/>
        <v>2024</v>
      </c>
      <c r="H628" s="5" t="str">
        <f t="shared" si="94"/>
        <v>Julio</v>
      </c>
      <c r="I628" s="6" t="str">
        <f t="shared" si="98"/>
        <v>2024-2</v>
      </c>
      <c r="J628" s="5">
        <v>85</v>
      </c>
      <c r="K628" s="9">
        <v>94.72</v>
      </c>
      <c r="L628" s="8">
        <f t="shared" si="102"/>
        <v>1.1143529411764705</v>
      </c>
      <c r="M628" s="15">
        <f t="shared" si="100"/>
        <v>1.1143529411764705</v>
      </c>
      <c r="N628" s="5" t="s">
        <v>347</v>
      </c>
      <c r="O628" s="5" t="s">
        <v>347</v>
      </c>
      <c r="P628" s="16">
        <v>0</v>
      </c>
      <c r="Q628" s="16">
        <v>0</v>
      </c>
      <c r="R628" s="5" t="str">
        <f t="shared" si="101"/>
        <v>176-2024-07-31</v>
      </c>
    </row>
    <row r="629" spans="1:18" x14ac:dyDescent="0.3">
      <c r="A629" s="26">
        <v>176</v>
      </c>
      <c r="B629" s="5" t="s">
        <v>72</v>
      </c>
      <c r="C629" s="5" t="s">
        <v>45</v>
      </c>
      <c r="D629" s="5" t="s">
        <v>18</v>
      </c>
      <c r="E629" s="5" t="s">
        <v>9</v>
      </c>
      <c r="F629" s="6">
        <v>45535</v>
      </c>
      <c r="G629" s="5">
        <f t="shared" si="93"/>
        <v>2024</v>
      </c>
      <c r="H629" s="5" t="str">
        <f t="shared" si="94"/>
        <v>Agosto</v>
      </c>
      <c r="I629" s="6" t="str">
        <f t="shared" si="98"/>
        <v>2024-2</v>
      </c>
      <c r="J629" s="5">
        <v>85</v>
      </c>
      <c r="K629" s="9">
        <v>92.53</v>
      </c>
      <c r="L629" s="8">
        <f t="shared" si="102"/>
        <v>1.0885882352941176</v>
      </c>
      <c r="M629" s="15">
        <f t="shared" si="100"/>
        <v>1.0885882352941176</v>
      </c>
      <c r="N629" s="5" t="s">
        <v>347</v>
      </c>
      <c r="O629" s="5" t="s">
        <v>347</v>
      </c>
      <c r="P629" s="16">
        <v>0</v>
      </c>
      <c r="Q629" s="16">
        <v>0</v>
      </c>
      <c r="R629" s="5" t="str">
        <f t="shared" si="101"/>
        <v>176-2024-08-31</v>
      </c>
    </row>
    <row r="630" spans="1:18" x14ac:dyDescent="0.3">
      <c r="A630" s="26">
        <v>176</v>
      </c>
      <c r="B630" s="5" t="s">
        <v>72</v>
      </c>
      <c r="C630" s="5" t="s">
        <v>45</v>
      </c>
      <c r="D630" s="5" t="s">
        <v>18</v>
      </c>
      <c r="E630" s="5" t="s">
        <v>9</v>
      </c>
      <c r="F630" s="6">
        <v>45565</v>
      </c>
      <c r="G630" s="5">
        <f t="shared" si="93"/>
        <v>2024</v>
      </c>
      <c r="H630" s="5" t="str">
        <f t="shared" si="94"/>
        <v>Septiembre</v>
      </c>
      <c r="I630" s="6" t="str">
        <f t="shared" si="98"/>
        <v>2024-2</v>
      </c>
      <c r="J630" s="5">
        <v>85</v>
      </c>
      <c r="K630" s="9">
        <v>94.44</v>
      </c>
      <c r="L630" s="8">
        <f t="shared" si="102"/>
        <v>1.1110588235294117</v>
      </c>
      <c r="M630" s="15">
        <f t="shared" si="100"/>
        <v>1.1110588235294117</v>
      </c>
      <c r="N630" s="5" t="s">
        <v>347</v>
      </c>
      <c r="O630" s="5" t="s">
        <v>347</v>
      </c>
      <c r="P630" s="16">
        <v>0</v>
      </c>
      <c r="Q630" s="16">
        <v>0</v>
      </c>
      <c r="R630" s="5" t="str">
        <f t="shared" si="101"/>
        <v>176-2024-09-30</v>
      </c>
    </row>
    <row r="631" spans="1:18" x14ac:dyDescent="0.3">
      <c r="A631" s="5">
        <v>193</v>
      </c>
      <c r="B631" s="5" t="s">
        <v>73</v>
      </c>
      <c r="C631" s="5" t="s">
        <v>74</v>
      </c>
      <c r="D631" s="5" t="s">
        <v>8</v>
      </c>
      <c r="E631" s="5" t="s">
        <v>9</v>
      </c>
      <c r="F631" s="17">
        <v>44742</v>
      </c>
      <c r="G631" s="5">
        <f t="shared" si="93"/>
        <v>2022</v>
      </c>
      <c r="H631" s="5" t="str">
        <f t="shared" si="94"/>
        <v>Junio</v>
      </c>
      <c r="I631" s="6" t="str">
        <f t="shared" si="98"/>
        <v>2022-1</v>
      </c>
      <c r="J631" s="5">
        <v>76</v>
      </c>
      <c r="K631" s="9">
        <v>91.8</v>
      </c>
      <c r="L631" s="15">
        <v>1.2078947368421051</v>
      </c>
      <c r="M631" s="15">
        <v>1.2078947368421051</v>
      </c>
      <c r="N631" s="5" t="s">
        <v>347</v>
      </c>
      <c r="O631" s="5" t="s">
        <v>347</v>
      </c>
      <c r="P631" s="5">
        <v>1</v>
      </c>
      <c r="Q631" s="5">
        <v>1</v>
      </c>
      <c r="R631" s="5" t="str">
        <f t="shared" si="101"/>
        <v>193-2022-06-30</v>
      </c>
    </row>
    <row r="632" spans="1:18" x14ac:dyDescent="0.3">
      <c r="A632" s="5">
        <v>193</v>
      </c>
      <c r="B632" s="5" t="s">
        <v>73</v>
      </c>
      <c r="C632" s="5" t="s">
        <v>74</v>
      </c>
      <c r="D632" s="5" t="s">
        <v>8</v>
      </c>
      <c r="E632" s="5" t="s">
        <v>9</v>
      </c>
      <c r="F632" s="17">
        <v>44926</v>
      </c>
      <c r="G632" s="5">
        <f t="shared" si="93"/>
        <v>2022</v>
      </c>
      <c r="H632" s="5" t="str">
        <f t="shared" si="94"/>
        <v>Diciembre</v>
      </c>
      <c r="I632" s="6" t="str">
        <f t="shared" si="98"/>
        <v>2022-2</v>
      </c>
      <c r="J632" s="5">
        <v>76</v>
      </c>
      <c r="K632" s="9">
        <v>92.4</v>
      </c>
      <c r="L632" s="15">
        <v>1.2157894736842105</v>
      </c>
      <c r="M632" s="15">
        <v>1.2157894736842105</v>
      </c>
      <c r="N632" s="5" t="s">
        <v>347</v>
      </c>
      <c r="O632" s="5" t="s">
        <v>347</v>
      </c>
      <c r="P632" s="5">
        <v>1</v>
      </c>
      <c r="Q632" s="5">
        <v>1</v>
      </c>
      <c r="R632" s="5" t="str">
        <f t="shared" si="101"/>
        <v>193-2022-12-31</v>
      </c>
    </row>
    <row r="633" spans="1:18" x14ac:dyDescent="0.3">
      <c r="A633" s="26">
        <v>193</v>
      </c>
      <c r="B633" s="5" t="s">
        <v>73</v>
      </c>
      <c r="C633" s="5" t="s">
        <v>74</v>
      </c>
      <c r="D633" s="5" t="s">
        <v>8</v>
      </c>
      <c r="E633" s="5" t="s">
        <v>9</v>
      </c>
      <c r="F633" s="17">
        <v>45107</v>
      </c>
      <c r="G633" s="5">
        <f t="shared" si="93"/>
        <v>2023</v>
      </c>
      <c r="H633" s="5" t="str">
        <f t="shared" si="94"/>
        <v>Junio</v>
      </c>
      <c r="I633" s="6" t="str">
        <f t="shared" si="98"/>
        <v>2023-1</v>
      </c>
      <c r="J633" s="5">
        <v>92</v>
      </c>
      <c r="K633" s="9">
        <v>91.9</v>
      </c>
      <c r="L633" s="15">
        <f>IFERROR(IF((K633/J633)&gt;1.3,1.3,K633/J633),"")</f>
        <v>0.99891304347826093</v>
      </c>
      <c r="M633" s="15">
        <f>IFERROR(IF((K633/J633)&gt;K633/J633,1.3,K633/J633),"")</f>
        <v>0.99891304347826093</v>
      </c>
      <c r="N633" s="5" t="s">
        <v>347</v>
      </c>
      <c r="O633" s="5" t="s">
        <v>347</v>
      </c>
      <c r="P633" s="16">
        <v>1</v>
      </c>
      <c r="Q633" s="16">
        <v>1</v>
      </c>
      <c r="R633" s="5" t="str">
        <f t="shared" si="101"/>
        <v>193-2023-06-30</v>
      </c>
    </row>
    <row r="634" spans="1:18" x14ac:dyDescent="0.3">
      <c r="A634" s="26">
        <v>193</v>
      </c>
      <c r="B634" s="5" t="s">
        <v>73</v>
      </c>
      <c r="C634" s="5" t="s">
        <v>74</v>
      </c>
      <c r="D634" s="5" t="s">
        <v>8</v>
      </c>
      <c r="E634" s="5" t="s">
        <v>9</v>
      </c>
      <c r="F634" s="6">
        <v>45291</v>
      </c>
      <c r="G634" s="5">
        <f t="shared" si="93"/>
        <v>2023</v>
      </c>
      <c r="H634" s="5" t="str">
        <f t="shared" si="94"/>
        <v>Diciembre</v>
      </c>
      <c r="I634" s="6" t="str">
        <f t="shared" si="98"/>
        <v>2023-2</v>
      </c>
      <c r="J634" s="5">
        <v>92</v>
      </c>
      <c r="K634" s="9">
        <v>91.3</v>
      </c>
      <c r="L634" s="15">
        <f>IFERROR(IF((K634/J634)&gt;1.3,1.3,K634/J634),"")</f>
        <v>0.99239130434782608</v>
      </c>
      <c r="M634" s="15">
        <f>IFERROR(IF((K634/J634)&gt;K634/J634,1.3,K634/J634),"")</f>
        <v>0.99239130434782608</v>
      </c>
      <c r="N634" s="5" t="s">
        <v>347</v>
      </c>
      <c r="O634" s="5" t="s">
        <v>347</v>
      </c>
      <c r="P634" s="16">
        <v>1</v>
      </c>
      <c r="Q634" s="16">
        <v>1</v>
      </c>
      <c r="R634" s="5" t="str">
        <f t="shared" si="101"/>
        <v>193-2023-12-31</v>
      </c>
    </row>
    <row r="635" spans="1:18" x14ac:dyDescent="0.3">
      <c r="A635" s="26">
        <v>193</v>
      </c>
      <c r="B635" s="5" t="s">
        <v>73</v>
      </c>
      <c r="C635" s="5" t="s">
        <v>74</v>
      </c>
      <c r="D635" s="5" t="s">
        <v>8</v>
      </c>
      <c r="E635" s="5" t="s">
        <v>9</v>
      </c>
      <c r="F635" s="17">
        <v>45473</v>
      </c>
      <c r="G635" s="5">
        <f t="shared" si="93"/>
        <v>2024</v>
      </c>
      <c r="H635" s="5" t="str">
        <f t="shared" si="94"/>
        <v>Junio</v>
      </c>
      <c r="I635" s="6" t="str">
        <f t="shared" si="98"/>
        <v>2024-1</v>
      </c>
      <c r="J635" s="5">
        <v>90</v>
      </c>
      <c r="K635" s="9">
        <v>91.7</v>
      </c>
      <c r="L635" s="15">
        <f>IFERROR(IF((K635/J635)&gt;1.3,1.3,K635/J635),"")</f>
        <v>1.018888888888889</v>
      </c>
      <c r="M635" s="15">
        <f>IFERROR(IF((K635/J635)&gt;K635/J635,1.3,K635/J635),"")</f>
        <v>1.018888888888889</v>
      </c>
      <c r="N635" s="5" t="s">
        <v>347</v>
      </c>
      <c r="O635" s="5" t="s">
        <v>347</v>
      </c>
      <c r="P635" s="16">
        <v>1</v>
      </c>
      <c r="Q635" s="16">
        <v>1</v>
      </c>
      <c r="R635" s="5" t="str">
        <f t="shared" si="101"/>
        <v>193-2024-06-30</v>
      </c>
    </row>
    <row r="636" spans="1:18" x14ac:dyDescent="0.3">
      <c r="A636" s="26">
        <v>193</v>
      </c>
      <c r="B636" s="5" t="s">
        <v>73</v>
      </c>
      <c r="C636" s="5" t="s">
        <v>74</v>
      </c>
      <c r="D636" s="5" t="s">
        <v>8</v>
      </c>
      <c r="E636" s="5" t="s">
        <v>9</v>
      </c>
      <c r="F636" s="6">
        <v>45657</v>
      </c>
      <c r="G636" s="5">
        <f t="shared" si="93"/>
        <v>2024</v>
      </c>
      <c r="H636" s="5" t="str">
        <f t="shared" si="94"/>
        <v>Diciembre</v>
      </c>
      <c r="I636" s="6" t="str">
        <f t="shared" si="98"/>
        <v>2024-2</v>
      </c>
      <c r="J636" s="5">
        <v>90</v>
      </c>
      <c r="K636" s="10">
        <v>93.5</v>
      </c>
      <c r="L636" s="15">
        <f>IFERROR(IF((K636/J636)&gt;1.3,1.3,K636/J636),"")</f>
        <v>1.038888888888889</v>
      </c>
      <c r="M636" s="15">
        <f>IFERROR(IF((K636/J636)&gt;K636/J636,1.3,K636/J636),"")</f>
        <v>1.038888888888889</v>
      </c>
      <c r="N636" s="5" t="s">
        <v>347</v>
      </c>
      <c r="O636" s="5" t="s">
        <v>347</v>
      </c>
      <c r="P636" s="16">
        <v>1</v>
      </c>
      <c r="Q636" s="16">
        <v>1</v>
      </c>
      <c r="R636" s="5" t="str">
        <f t="shared" si="101"/>
        <v>193-2024-12-31</v>
      </c>
    </row>
    <row r="637" spans="1:18" x14ac:dyDescent="0.3">
      <c r="A637" s="5">
        <v>194</v>
      </c>
      <c r="B637" s="5" t="s">
        <v>75</v>
      </c>
      <c r="C637" s="5" t="s">
        <v>74</v>
      </c>
      <c r="D637" s="5" t="s">
        <v>8</v>
      </c>
      <c r="E637" s="5" t="s">
        <v>9</v>
      </c>
      <c r="F637" s="17">
        <v>44742</v>
      </c>
      <c r="G637" s="5">
        <f t="shared" si="93"/>
        <v>2022</v>
      </c>
      <c r="H637" s="5" t="str">
        <f t="shared" si="94"/>
        <v>Junio</v>
      </c>
      <c r="I637" s="6" t="str">
        <f t="shared" si="98"/>
        <v>2022-1</v>
      </c>
      <c r="J637" s="5">
        <v>73</v>
      </c>
      <c r="K637" s="9">
        <v>83.26</v>
      </c>
      <c r="L637" s="15">
        <v>1.1405479452054794</v>
      </c>
      <c r="M637" s="15">
        <v>1.1405479452054794</v>
      </c>
      <c r="N637" s="5" t="s">
        <v>347</v>
      </c>
      <c r="O637" s="5" t="s">
        <v>347</v>
      </c>
      <c r="P637" s="5">
        <v>0</v>
      </c>
      <c r="Q637" s="5">
        <v>0</v>
      </c>
      <c r="R637" s="5" t="str">
        <f t="shared" si="101"/>
        <v>194-2022-06-30</v>
      </c>
    </row>
    <row r="638" spans="1:18" x14ac:dyDescent="0.3">
      <c r="A638" s="5">
        <v>194</v>
      </c>
      <c r="B638" s="5" t="s">
        <v>75</v>
      </c>
      <c r="C638" s="5" t="s">
        <v>74</v>
      </c>
      <c r="D638" s="5" t="s">
        <v>8</v>
      </c>
      <c r="E638" s="5" t="s">
        <v>9</v>
      </c>
      <c r="F638" s="17">
        <v>44926</v>
      </c>
      <c r="G638" s="5">
        <f t="shared" si="93"/>
        <v>2022</v>
      </c>
      <c r="H638" s="5" t="str">
        <f t="shared" si="94"/>
        <v>Diciembre</v>
      </c>
      <c r="I638" s="6" t="str">
        <f t="shared" si="98"/>
        <v>2022-2</v>
      </c>
      <c r="J638" s="5">
        <v>73</v>
      </c>
      <c r="K638" s="9">
        <v>83.11</v>
      </c>
      <c r="L638" s="15">
        <v>1.1384931506849314</v>
      </c>
      <c r="M638" s="15">
        <v>1.1384931506849314</v>
      </c>
      <c r="N638" s="5" t="s">
        <v>347</v>
      </c>
      <c r="O638" s="5" t="s">
        <v>347</v>
      </c>
      <c r="P638" s="5">
        <v>0</v>
      </c>
      <c r="Q638" s="5">
        <v>0</v>
      </c>
      <c r="R638" s="5" t="str">
        <f t="shared" si="101"/>
        <v>194-2022-12-31</v>
      </c>
    </row>
    <row r="639" spans="1:18" x14ac:dyDescent="0.3">
      <c r="A639" s="26">
        <v>194</v>
      </c>
      <c r="B639" s="5" t="s">
        <v>75</v>
      </c>
      <c r="C639" s="5" t="s">
        <v>74</v>
      </c>
      <c r="D639" s="5" t="s">
        <v>8</v>
      </c>
      <c r="E639" s="5" t="s">
        <v>9</v>
      </c>
      <c r="F639" s="17">
        <v>45107</v>
      </c>
      <c r="G639" s="5">
        <f t="shared" si="93"/>
        <v>2023</v>
      </c>
      <c r="H639" s="5" t="str">
        <f t="shared" si="94"/>
        <v>Junio</v>
      </c>
      <c r="I639" s="6" t="str">
        <f t="shared" si="98"/>
        <v>2023-1</v>
      </c>
      <c r="J639" s="5">
        <v>80</v>
      </c>
      <c r="K639" s="9">
        <v>79.180000000000007</v>
      </c>
      <c r="L639" s="15">
        <f>IFERROR(IF((K639/J639)&gt;1.3,1.3,K639/J639),"")</f>
        <v>0.98975000000000013</v>
      </c>
      <c r="M639" s="15">
        <f>IFERROR(IF((K639/J639)&gt;K639/J639,1.3,K639/J639),"")</f>
        <v>0.98975000000000013</v>
      </c>
      <c r="N639" s="5" t="s">
        <v>347</v>
      </c>
      <c r="O639" s="5" t="s">
        <v>347</v>
      </c>
      <c r="P639" s="16">
        <v>0</v>
      </c>
      <c r="Q639" s="16">
        <v>0</v>
      </c>
      <c r="R639" s="5" t="str">
        <f t="shared" si="101"/>
        <v>194-2023-06-30</v>
      </c>
    </row>
    <row r="640" spans="1:18" x14ac:dyDescent="0.3">
      <c r="A640" s="26">
        <v>194</v>
      </c>
      <c r="B640" s="5" t="s">
        <v>75</v>
      </c>
      <c r="C640" s="5" t="s">
        <v>74</v>
      </c>
      <c r="D640" s="5" t="s">
        <v>8</v>
      </c>
      <c r="E640" s="5" t="s">
        <v>9</v>
      </c>
      <c r="F640" s="6">
        <v>45291</v>
      </c>
      <c r="G640" s="5">
        <f t="shared" si="93"/>
        <v>2023</v>
      </c>
      <c r="H640" s="5" t="str">
        <f t="shared" si="94"/>
        <v>Diciembre</v>
      </c>
      <c r="I640" s="6" t="str">
        <f t="shared" si="98"/>
        <v>2023-2</v>
      </c>
      <c r="J640" s="5">
        <v>80</v>
      </c>
      <c r="K640" s="9">
        <v>81.91</v>
      </c>
      <c r="L640" s="15">
        <f>IFERROR(IF((K640/J640)&gt;1.3,1.3,K640/J640),"")</f>
        <v>1.0238749999999999</v>
      </c>
      <c r="M640" s="15">
        <f>IFERROR(IF((K640/J640)&gt;K640/J640,1.3,K640/J640),"")</f>
        <v>1.0238749999999999</v>
      </c>
      <c r="N640" s="5" t="s">
        <v>347</v>
      </c>
      <c r="O640" s="5" t="s">
        <v>347</v>
      </c>
      <c r="P640" s="16">
        <v>0</v>
      </c>
      <c r="Q640" s="16">
        <v>0</v>
      </c>
      <c r="R640" s="5" t="str">
        <f t="shared" si="101"/>
        <v>194-2023-12-31</v>
      </c>
    </row>
    <row r="641" spans="1:18" x14ac:dyDescent="0.3">
      <c r="A641" s="26">
        <v>194</v>
      </c>
      <c r="B641" s="5" t="s">
        <v>75</v>
      </c>
      <c r="C641" s="5" t="s">
        <v>74</v>
      </c>
      <c r="D641" s="5" t="s">
        <v>8</v>
      </c>
      <c r="E641" s="5" t="s">
        <v>9</v>
      </c>
      <c r="F641" s="17">
        <v>45473</v>
      </c>
      <c r="G641" s="5">
        <f t="shared" si="93"/>
        <v>2024</v>
      </c>
      <c r="H641" s="5" t="str">
        <f t="shared" si="94"/>
        <v>Junio</v>
      </c>
      <c r="I641" s="6" t="str">
        <f t="shared" si="98"/>
        <v>2024-1</v>
      </c>
      <c r="J641" s="5">
        <v>81</v>
      </c>
      <c r="K641" s="9">
        <v>83.01</v>
      </c>
      <c r="L641" s="15">
        <f>IFERROR(IF((K641/J641)&gt;1.3,1.3,K641/J641),"")</f>
        <v>1.0248148148148148</v>
      </c>
      <c r="M641" s="15">
        <f>IFERROR(IF((K641/J641)&gt;K641/J641,1.3,K641/J641),"")</f>
        <v>1.0248148148148148</v>
      </c>
      <c r="N641" s="5" t="s">
        <v>347</v>
      </c>
      <c r="O641" s="5" t="s">
        <v>347</v>
      </c>
      <c r="P641" s="16">
        <v>0</v>
      </c>
      <c r="Q641" s="16">
        <v>0</v>
      </c>
      <c r="R641" s="5" t="str">
        <f t="shared" si="101"/>
        <v>194-2024-06-30</v>
      </c>
    </row>
    <row r="642" spans="1:18" x14ac:dyDescent="0.3">
      <c r="A642" s="5">
        <v>195</v>
      </c>
      <c r="B642" s="5" t="s">
        <v>76</v>
      </c>
      <c r="C642" s="5" t="s">
        <v>74</v>
      </c>
      <c r="D642" s="5" t="s">
        <v>8</v>
      </c>
      <c r="E642" s="5" t="s">
        <v>9</v>
      </c>
      <c r="F642" s="17">
        <v>44742</v>
      </c>
      <c r="G642" s="5">
        <f t="shared" ref="G642:G705" si="103">YEAR(F642)</f>
        <v>2022</v>
      </c>
      <c r="H642" s="5" t="str">
        <f t="shared" ref="H642:H705" si="104">PROPER(TEXT(F642,"mmmm"))</f>
        <v>Junio</v>
      </c>
      <c r="I642" s="6" t="str">
        <f t="shared" si="98"/>
        <v>2022-1</v>
      </c>
      <c r="J642" s="5">
        <v>25</v>
      </c>
      <c r="K642" s="9">
        <v>46.11</v>
      </c>
      <c r="L642" s="15">
        <v>1.3</v>
      </c>
      <c r="M642" s="15">
        <v>1.8444</v>
      </c>
      <c r="N642" s="5" t="s">
        <v>347</v>
      </c>
      <c r="O642" s="5" t="s">
        <v>347</v>
      </c>
      <c r="P642" s="5">
        <v>1</v>
      </c>
      <c r="Q642" s="5">
        <v>1</v>
      </c>
      <c r="R642" s="5" t="str">
        <f t="shared" si="101"/>
        <v>195-2022-06-30</v>
      </c>
    </row>
    <row r="643" spans="1:18" x14ac:dyDescent="0.3">
      <c r="A643" s="5">
        <v>195</v>
      </c>
      <c r="B643" s="5" t="s">
        <v>76</v>
      </c>
      <c r="C643" s="5" t="s">
        <v>74</v>
      </c>
      <c r="D643" s="5" t="s">
        <v>8</v>
      </c>
      <c r="E643" s="5" t="s">
        <v>9</v>
      </c>
      <c r="F643" s="17">
        <v>44926</v>
      </c>
      <c r="G643" s="5">
        <f t="shared" si="103"/>
        <v>2022</v>
      </c>
      <c r="H643" s="5" t="str">
        <f t="shared" si="104"/>
        <v>Diciembre</v>
      </c>
      <c r="I643" s="6" t="str">
        <f t="shared" si="98"/>
        <v>2022-2</v>
      </c>
      <c r="J643" s="5">
        <v>25</v>
      </c>
      <c r="K643" s="9">
        <v>43.56</v>
      </c>
      <c r="L643" s="15">
        <v>1.3</v>
      </c>
      <c r="M643" s="15">
        <v>1.7424000000000002</v>
      </c>
      <c r="N643" s="5" t="s">
        <v>347</v>
      </c>
      <c r="O643" s="5" t="s">
        <v>347</v>
      </c>
      <c r="P643" s="5">
        <v>1</v>
      </c>
      <c r="Q643" s="5">
        <v>1</v>
      </c>
      <c r="R643" s="5" t="str">
        <f t="shared" si="101"/>
        <v>195-2022-12-31</v>
      </c>
    </row>
    <row r="644" spans="1:18" x14ac:dyDescent="0.3">
      <c r="A644" s="26">
        <v>195</v>
      </c>
      <c r="B644" s="5" t="s">
        <v>76</v>
      </c>
      <c r="C644" s="5" t="s">
        <v>74</v>
      </c>
      <c r="D644" s="5" t="s">
        <v>8</v>
      </c>
      <c r="E644" s="5" t="s">
        <v>9</v>
      </c>
      <c r="F644" s="17">
        <v>45107</v>
      </c>
      <c r="G644" s="5">
        <f t="shared" si="103"/>
        <v>2023</v>
      </c>
      <c r="H644" s="5" t="str">
        <f t="shared" si="104"/>
        <v>Junio</v>
      </c>
      <c r="I644" s="6" t="str">
        <f t="shared" si="98"/>
        <v>2023-1</v>
      </c>
      <c r="J644" s="5">
        <v>42</v>
      </c>
      <c r="K644" s="9">
        <v>36.54</v>
      </c>
      <c r="L644" s="15">
        <f>IFERROR(IF((K644/J644)&gt;1.3,1.3,K644/J644),"")</f>
        <v>0.87</v>
      </c>
      <c r="M644" s="15">
        <f>IFERROR(IF((K644/J644)&gt;K644/J644,1.3,K644/J644),"")</f>
        <v>0.87</v>
      </c>
      <c r="N644" s="5" t="s">
        <v>347</v>
      </c>
      <c r="O644" s="5" t="s">
        <v>347</v>
      </c>
      <c r="P644" s="16">
        <v>0</v>
      </c>
      <c r="Q644" s="16">
        <v>0</v>
      </c>
      <c r="R644" s="5" t="str">
        <f t="shared" si="101"/>
        <v>195-2023-06-30</v>
      </c>
    </row>
    <row r="645" spans="1:18" x14ac:dyDescent="0.3">
      <c r="A645" s="26">
        <v>195</v>
      </c>
      <c r="B645" s="5" t="s">
        <v>76</v>
      </c>
      <c r="C645" s="5" t="s">
        <v>74</v>
      </c>
      <c r="D645" s="5" t="s">
        <v>8</v>
      </c>
      <c r="E645" s="5" t="s">
        <v>9</v>
      </c>
      <c r="F645" s="17">
        <v>45107</v>
      </c>
      <c r="G645" s="5">
        <f t="shared" si="103"/>
        <v>2023</v>
      </c>
      <c r="H645" s="5" t="str">
        <f t="shared" si="104"/>
        <v>Junio</v>
      </c>
      <c r="I645" s="6" t="str">
        <f t="shared" si="98"/>
        <v>2023-1</v>
      </c>
      <c r="J645" s="5">
        <v>50</v>
      </c>
      <c r="K645" s="9">
        <v>59.59</v>
      </c>
      <c r="L645" s="15">
        <f>IFERROR(IF((K645/J645)&gt;1.3,1.3,K645/J645),"")</f>
        <v>1.1918</v>
      </c>
      <c r="M645" s="15">
        <f>IFERROR(IF((K645/J645)&gt;K645/J645,1.3,K645/J645),"")</f>
        <v>1.1918</v>
      </c>
      <c r="N645" s="5" t="s">
        <v>347</v>
      </c>
      <c r="O645" s="5" t="s">
        <v>347</v>
      </c>
      <c r="P645" s="16">
        <v>0</v>
      </c>
      <c r="Q645" s="16">
        <v>0</v>
      </c>
      <c r="R645" s="5" t="str">
        <f t="shared" si="101"/>
        <v>195-2023-06-30</v>
      </c>
    </row>
    <row r="646" spans="1:18" x14ac:dyDescent="0.3">
      <c r="A646" s="26">
        <v>195</v>
      </c>
      <c r="B646" s="5" t="s">
        <v>76</v>
      </c>
      <c r="C646" s="5" t="s">
        <v>74</v>
      </c>
      <c r="D646" s="5" t="s">
        <v>8</v>
      </c>
      <c r="E646" s="5" t="s">
        <v>9</v>
      </c>
      <c r="F646" s="6">
        <v>45291</v>
      </c>
      <c r="G646" s="5">
        <f t="shared" si="103"/>
        <v>2023</v>
      </c>
      <c r="H646" s="5" t="str">
        <f t="shared" si="104"/>
        <v>Diciembre</v>
      </c>
      <c r="I646" s="6" t="str">
        <f t="shared" si="98"/>
        <v>2023-2</v>
      </c>
      <c r="J646" s="5">
        <v>42</v>
      </c>
      <c r="K646" s="9">
        <v>53.34</v>
      </c>
      <c r="L646" s="15">
        <f>IFERROR(IF((K646/J646)&gt;1.3,1.3,K646/J646),"")</f>
        <v>1.27</v>
      </c>
      <c r="M646" s="15">
        <f>IFERROR(IF((K646/J646)&gt;K646/J646,1.3,K646/J646),"")</f>
        <v>1.27</v>
      </c>
      <c r="N646" s="5" t="s">
        <v>347</v>
      </c>
      <c r="O646" s="5" t="s">
        <v>347</v>
      </c>
      <c r="P646" s="16">
        <v>0</v>
      </c>
      <c r="Q646" s="16">
        <v>0</v>
      </c>
      <c r="R646" s="5" t="str">
        <f t="shared" si="101"/>
        <v>195-2023-12-31</v>
      </c>
    </row>
    <row r="647" spans="1:18" x14ac:dyDescent="0.3">
      <c r="A647" s="26">
        <v>195</v>
      </c>
      <c r="B647" s="5" t="s">
        <v>76</v>
      </c>
      <c r="C647" s="5" t="s">
        <v>74</v>
      </c>
      <c r="D647" s="5" t="s">
        <v>8</v>
      </c>
      <c r="E647" s="5" t="s">
        <v>9</v>
      </c>
      <c r="F647" s="6">
        <v>45838</v>
      </c>
      <c r="G647" s="5">
        <f t="shared" si="103"/>
        <v>2025</v>
      </c>
      <c r="H647" s="5" t="str">
        <f t="shared" si="104"/>
        <v>Junio</v>
      </c>
      <c r="I647" s="6" t="str">
        <f t="shared" si="98"/>
        <v>2025-1</v>
      </c>
      <c r="J647" s="5">
        <v>50</v>
      </c>
      <c r="K647" s="5">
        <v>59.59</v>
      </c>
      <c r="L647" s="15">
        <f>IFERROR(IF((K647/J647)&gt;1.3,1.3,K647/J647),"")</f>
        <v>1.1918</v>
      </c>
      <c r="M647" s="15">
        <f>IFERROR(IF((K647/J647)&gt;K647/J647,1.3,K647/J647),"")</f>
        <v>1.1918</v>
      </c>
      <c r="N647" s="5" t="s">
        <v>347</v>
      </c>
      <c r="O647" s="5" t="s">
        <v>347</v>
      </c>
      <c r="P647" s="16">
        <v>0</v>
      </c>
      <c r="Q647" s="16">
        <v>0</v>
      </c>
      <c r="R647" s="5" t="str">
        <f t="shared" si="101"/>
        <v>195-2025-06-30</v>
      </c>
    </row>
    <row r="648" spans="1:18" x14ac:dyDescent="0.3">
      <c r="A648" s="26">
        <v>196</v>
      </c>
      <c r="B648" s="5" t="s">
        <v>77</v>
      </c>
      <c r="C648" s="5" t="s">
        <v>74</v>
      </c>
      <c r="D648" s="5" t="s">
        <v>8</v>
      </c>
      <c r="E648" s="5" t="s">
        <v>14</v>
      </c>
      <c r="F648" s="17">
        <v>45107</v>
      </c>
      <c r="G648" s="5">
        <f t="shared" si="103"/>
        <v>2023</v>
      </c>
      <c r="H648" s="5" t="str">
        <f t="shared" si="104"/>
        <v>Junio</v>
      </c>
      <c r="I648" s="6" t="str">
        <f t="shared" si="98"/>
        <v>2023-1</v>
      </c>
      <c r="J648" s="5">
        <v>37</v>
      </c>
      <c r="K648" s="9">
        <v>34.409999999999997</v>
      </c>
      <c r="L648" s="15">
        <f>IFERROR(IF((J648/K648)&gt;1.3,1.3,J648/K648),"")</f>
        <v>1.0752688172043012</v>
      </c>
      <c r="M648" s="8">
        <f>IFERROR(J648/K648,"")</f>
        <v>1.0752688172043012</v>
      </c>
      <c r="N648" s="5" t="s">
        <v>347</v>
      </c>
      <c r="O648" s="5" t="s">
        <v>347</v>
      </c>
      <c r="P648" s="16">
        <v>0</v>
      </c>
      <c r="Q648" s="16">
        <v>0</v>
      </c>
      <c r="R648" s="5" t="str">
        <f t="shared" si="101"/>
        <v>196-2023-06-30</v>
      </c>
    </row>
    <row r="649" spans="1:18" x14ac:dyDescent="0.3">
      <c r="A649" s="39">
        <v>196</v>
      </c>
      <c r="B649" s="5" t="s">
        <v>77</v>
      </c>
      <c r="C649" s="5" t="s">
        <v>74</v>
      </c>
      <c r="D649" s="5" t="s">
        <v>8</v>
      </c>
      <c r="E649" s="5" t="s">
        <v>14</v>
      </c>
      <c r="F649" s="6">
        <v>45291</v>
      </c>
      <c r="G649" s="5">
        <f t="shared" si="103"/>
        <v>2023</v>
      </c>
      <c r="H649" s="5" t="str">
        <f t="shared" si="104"/>
        <v>Diciembre</v>
      </c>
      <c r="I649" s="6" t="str">
        <f t="shared" si="98"/>
        <v>2023-2</v>
      </c>
      <c r="J649" s="5">
        <v>37</v>
      </c>
      <c r="K649" s="9">
        <v>26.62</v>
      </c>
      <c r="L649" s="15">
        <f>IFERROR(IF((J649/K649)&gt;1.3,1.3,J649/K649),"")</f>
        <v>1.3</v>
      </c>
      <c r="M649" s="8">
        <f>IFERROR(J649/K649,"")</f>
        <v>1.3899323816679188</v>
      </c>
      <c r="N649" s="5" t="s">
        <v>347</v>
      </c>
      <c r="O649" s="5" t="s">
        <v>347</v>
      </c>
      <c r="P649" s="16">
        <v>0</v>
      </c>
      <c r="Q649" s="16">
        <v>0</v>
      </c>
      <c r="R649" s="5" t="str">
        <f t="shared" si="101"/>
        <v>196-2023-12-31</v>
      </c>
    </row>
    <row r="650" spans="1:18" x14ac:dyDescent="0.3">
      <c r="A650" s="26">
        <v>197</v>
      </c>
      <c r="B650" s="5" t="s">
        <v>78</v>
      </c>
      <c r="C650" s="5" t="s">
        <v>43</v>
      </c>
      <c r="D650" s="5" t="s">
        <v>11</v>
      </c>
      <c r="E650" s="5" t="s">
        <v>9</v>
      </c>
      <c r="F650" s="6">
        <v>45016</v>
      </c>
      <c r="G650" s="5">
        <f t="shared" si="103"/>
        <v>2023</v>
      </c>
      <c r="H650" s="5" t="str">
        <f t="shared" si="104"/>
        <v>Marzo</v>
      </c>
      <c r="I650" s="6" t="str">
        <f t="shared" si="98"/>
        <v>2023-1</v>
      </c>
      <c r="J650" s="5">
        <v>90</v>
      </c>
      <c r="K650" s="9">
        <v>100</v>
      </c>
      <c r="L650" s="8">
        <f t="shared" ref="L650:L657" si="105">IFERROR(IF(K650/J650&gt;1,1,K650/J650),"")</f>
        <v>1</v>
      </c>
      <c r="M650" s="15">
        <f>IFERROR(IF(K650/J650&gt;1,1,K650/J650),"")</f>
        <v>1</v>
      </c>
      <c r="N650" s="5" t="s">
        <v>347</v>
      </c>
      <c r="O650" s="5" t="s">
        <v>347</v>
      </c>
      <c r="P650" s="16">
        <v>0</v>
      </c>
      <c r="Q650" s="16">
        <v>0</v>
      </c>
      <c r="R650" s="5" t="str">
        <f t="shared" si="101"/>
        <v>197-2023-03-31</v>
      </c>
    </row>
    <row r="651" spans="1:18" x14ac:dyDescent="0.3">
      <c r="A651" s="26">
        <v>197</v>
      </c>
      <c r="B651" s="5" t="s">
        <v>78</v>
      </c>
      <c r="C651" s="5" t="s">
        <v>43</v>
      </c>
      <c r="D651" s="5" t="s">
        <v>11</v>
      </c>
      <c r="E651" s="5" t="s">
        <v>9</v>
      </c>
      <c r="F651" s="6">
        <v>45107</v>
      </c>
      <c r="G651" s="5">
        <f t="shared" si="103"/>
        <v>2023</v>
      </c>
      <c r="H651" s="5" t="str">
        <f t="shared" si="104"/>
        <v>Junio</v>
      </c>
      <c r="I651" s="6" t="str">
        <f t="shared" si="98"/>
        <v>2023-1</v>
      </c>
      <c r="J651" s="5">
        <v>90</v>
      </c>
      <c r="K651" s="9">
        <v>100</v>
      </c>
      <c r="L651" s="8">
        <f t="shared" si="105"/>
        <v>1</v>
      </c>
      <c r="M651" s="15">
        <f t="shared" ref="M651:M657" si="106">IFERROR(IF(K651/J651&gt;1,1,K651/J651),"")</f>
        <v>1</v>
      </c>
      <c r="N651" s="5" t="s">
        <v>347</v>
      </c>
      <c r="O651" s="5" t="s">
        <v>347</v>
      </c>
      <c r="P651" s="16">
        <v>0</v>
      </c>
      <c r="Q651" s="16">
        <v>0</v>
      </c>
      <c r="R651" s="5" t="str">
        <f t="shared" si="101"/>
        <v>197-2023-06-30</v>
      </c>
    </row>
    <row r="652" spans="1:18" x14ac:dyDescent="0.3">
      <c r="A652" s="43">
        <v>197</v>
      </c>
      <c r="B652" s="5" t="s">
        <v>78</v>
      </c>
      <c r="C652" s="5" t="s">
        <v>43</v>
      </c>
      <c r="D652" s="5" t="s">
        <v>11</v>
      </c>
      <c r="E652" s="5" t="s">
        <v>9</v>
      </c>
      <c r="F652" s="6">
        <v>45199</v>
      </c>
      <c r="G652" s="5">
        <f t="shared" si="103"/>
        <v>2023</v>
      </c>
      <c r="H652" s="5" t="str">
        <f t="shared" si="104"/>
        <v>Septiembre</v>
      </c>
      <c r="I652" s="6" t="str">
        <f t="shared" si="98"/>
        <v>2023-2</v>
      </c>
      <c r="J652" s="5">
        <v>90</v>
      </c>
      <c r="K652" s="9">
        <v>100</v>
      </c>
      <c r="L652" s="8">
        <f t="shared" si="105"/>
        <v>1</v>
      </c>
      <c r="M652" s="15">
        <f t="shared" si="106"/>
        <v>1</v>
      </c>
      <c r="N652" s="5" t="s">
        <v>347</v>
      </c>
      <c r="O652" s="5" t="s">
        <v>347</v>
      </c>
      <c r="P652" s="16">
        <v>0</v>
      </c>
      <c r="Q652" s="16">
        <v>0</v>
      </c>
      <c r="R652" s="5" t="str">
        <f t="shared" si="101"/>
        <v>197-2023-09-30</v>
      </c>
    </row>
    <row r="653" spans="1:18" x14ac:dyDescent="0.3">
      <c r="A653" s="39">
        <v>197</v>
      </c>
      <c r="B653" s="5" t="s">
        <v>78</v>
      </c>
      <c r="C653" s="5" t="s">
        <v>43</v>
      </c>
      <c r="D653" s="5" t="s">
        <v>11</v>
      </c>
      <c r="E653" s="5" t="s">
        <v>9</v>
      </c>
      <c r="F653" s="6">
        <v>45291</v>
      </c>
      <c r="G653" s="5">
        <f t="shared" si="103"/>
        <v>2023</v>
      </c>
      <c r="H653" s="5" t="str">
        <f t="shared" si="104"/>
        <v>Diciembre</v>
      </c>
      <c r="I653" s="6" t="str">
        <f t="shared" si="98"/>
        <v>2023-2</v>
      </c>
      <c r="J653" s="5">
        <v>90</v>
      </c>
      <c r="K653" s="9">
        <v>100</v>
      </c>
      <c r="L653" s="8">
        <f t="shared" si="105"/>
        <v>1</v>
      </c>
      <c r="M653" s="15">
        <f t="shared" si="106"/>
        <v>1</v>
      </c>
      <c r="N653" s="5" t="s">
        <v>347</v>
      </c>
      <c r="O653" s="5" t="s">
        <v>347</v>
      </c>
      <c r="P653" s="16">
        <v>0</v>
      </c>
      <c r="Q653" s="16">
        <v>0</v>
      </c>
      <c r="R653" s="5" t="str">
        <f t="shared" si="101"/>
        <v>197-2023-12-31</v>
      </c>
    </row>
    <row r="654" spans="1:18" x14ac:dyDescent="0.3">
      <c r="A654" s="26">
        <v>197</v>
      </c>
      <c r="B654" s="5" t="s">
        <v>78</v>
      </c>
      <c r="C654" s="5" t="s">
        <v>43</v>
      </c>
      <c r="D654" s="5" t="s">
        <v>11</v>
      </c>
      <c r="E654" s="5" t="s">
        <v>9</v>
      </c>
      <c r="F654" s="6">
        <v>45382</v>
      </c>
      <c r="G654" s="5">
        <f t="shared" si="103"/>
        <v>2024</v>
      </c>
      <c r="H654" s="5" t="str">
        <f t="shared" si="104"/>
        <v>Marzo</v>
      </c>
      <c r="I654" s="6" t="str">
        <f t="shared" si="98"/>
        <v>2024-1</v>
      </c>
      <c r="J654" s="5">
        <v>95</v>
      </c>
      <c r="K654" s="10">
        <v>100</v>
      </c>
      <c r="L654" s="8">
        <f t="shared" si="105"/>
        <v>1</v>
      </c>
      <c r="M654" s="15">
        <f t="shared" si="106"/>
        <v>1</v>
      </c>
      <c r="N654" s="5" t="s">
        <v>347</v>
      </c>
      <c r="O654" s="5" t="s">
        <v>347</v>
      </c>
      <c r="P654" s="16">
        <v>0</v>
      </c>
      <c r="Q654" s="16">
        <v>0</v>
      </c>
      <c r="R654" s="5" t="str">
        <f t="shared" si="101"/>
        <v>197-2024-03-31</v>
      </c>
    </row>
    <row r="655" spans="1:18" x14ac:dyDescent="0.3">
      <c r="A655" s="5">
        <v>197</v>
      </c>
      <c r="B655" s="5" t="s">
        <v>78</v>
      </c>
      <c r="C655" s="5" t="s">
        <v>43</v>
      </c>
      <c r="D655" s="5" t="s">
        <v>11</v>
      </c>
      <c r="E655" s="5" t="s">
        <v>9</v>
      </c>
      <c r="F655" s="6">
        <v>45473</v>
      </c>
      <c r="G655" s="5">
        <f t="shared" si="103"/>
        <v>2024</v>
      </c>
      <c r="H655" s="5" t="str">
        <f t="shared" si="104"/>
        <v>Junio</v>
      </c>
      <c r="I655" s="6" t="str">
        <f t="shared" si="98"/>
        <v>2024-1</v>
      </c>
      <c r="J655" s="5">
        <v>95</v>
      </c>
      <c r="K655" s="5">
        <v>100</v>
      </c>
      <c r="L655" s="8">
        <f t="shared" si="105"/>
        <v>1</v>
      </c>
      <c r="M655" s="15">
        <f t="shared" si="106"/>
        <v>1</v>
      </c>
      <c r="N655" s="5" t="s">
        <v>347</v>
      </c>
      <c r="O655" s="5" t="s">
        <v>347</v>
      </c>
      <c r="P655" s="5">
        <v>0</v>
      </c>
      <c r="Q655" s="5">
        <v>0</v>
      </c>
      <c r="R655" s="5" t="str">
        <f t="shared" si="101"/>
        <v>197-2024-06-30</v>
      </c>
    </row>
    <row r="656" spans="1:18" x14ac:dyDescent="0.3">
      <c r="A656" s="26">
        <v>197</v>
      </c>
      <c r="B656" s="5" t="s">
        <v>78</v>
      </c>
      <c r="C656" s="5" t="s">
        <v>43</v>
      </c>
      <c r="D656" s="5" t="s">
        <v>11</v>
      </c>
      <c r="E656" s="5" t="s">
        <v>9</v>
      </c>
      <c r="F656" s="6">
        <v>45565</v>
      </c>
      <c r="G656" s="5">
        <f t="shared" si="103"/>
        <v>2024</v>
      </c>
      <c r="H656" s="5" t="str">
        <f t="shared" si="104"/>
        <v>Septiembre</v>
      </c>
      <c r="I656" s="6" t="str">
        <f t="shared" si="98"/>
        <v>2024-2</v>
      </c>
      <c r="J656" s="5">
        <v>95</v>
      </c>
      <c r="K656" s="10">
        <v>100</v>
      </c>
      <c r="L656" s="8">
        <f t="shared" si="105"/>
        <v>1</v>
      </c>
      <c r="M656" s="15">
        <f t="shared" si="106"/>
        <v>1</v>
      </c>
      <c r="N656" s="5" t="s">
        <v>347</v>
      </c>
      <c r="O656" s="5" t="s">
        <v>347</v>
      </c>
      <c r="P656" s="16">
        <v>0</v>
      </c>
      <c r="Q656" s="16">
        <v>0</v>
      </c>
      <c r="R656" s="5" t="str">
        <f t="shared" si="101"/>
        <v>197-2024-09-30</v>
      </c>
    </row>
    <row r="657" spans="1:18" x14ac:dyDescent="0.3">
      <c r="A657" s="26">
        <v>197</v>
      </c>
      <c r="B657" s="5" t="s">
        <v>78</v>
      </c>
      <c r="C657" s="5" t="s">
        <v>43</v>
      </c>
      <c r="D657" s="5" t="s">
        <v>11</v>
      </c>
      <c r="E657" s="5" t="s">
        <v>9</v>
      </c>
      <c r="F657" s="6">
        <v>45657</v>
      </c>
      <c r="G657" s="5">
        <f t="shared" si="103"/>
        <v>2024</v>
      </c>
      <c r="H657" s="5" t="str">
        <f t="shared" si="104"/>
        <v>Diciembre</v>
      </c>
      <c r="I657" s="6" t="str">
        <f t="shared" si="98"/>
        <v>2024-2</v>
      </c>
      <c r="J657" s="5">
        <v>95</v>
      </c>
      <c r="K657" s="10">
        <v>100</v>
      </c>
      <c r="L657" s="8">
        <f t="shared" si="105"/>
        <v>1</v>
      </c>
      <c r="M657" s="15">
        <f t="shared" si="106"/>
        <v>1</v>
      </c>
      <c r="N657" s="5" t="s">
        <v>347</v>
      </c>
      <c r="O657" s="5" t="s">
        <v>347</v>
      </c>
      <c r="P657" s="16">
        <v>0</v>
      </c>
      <c r="Q657" s="16">
        <v>0</v>
      </c>
      <c r="R657" s="5" t="str">
        <f t="shared" si="101"/>
        <v>197-2024-12-31</v>
      </c>
    </row>
    <row r="658" spans="1:18" x14ac:dyDescent="0.3">
      <c r="A658" s="26">
        <v>199</v>
      </c>
      <c r="B658" s="5" t="s">
        <v>79</v>
      </c>
      <c r="C658" s="5" t="s">
        <v>13</v>
      </c>
      <c r="D658" s="5" t="s">
        <v>8</v>
      </c>
      <c r="E658" s="5" t="s">
        <v>9</v>
      </c>
      <c r="F658" s="17">
        <v>45107</v>
      </c>
      <c r="G658" s="5">
        <f t="shared" si="103"/>
        <v>2023</v>
      </c>
      <c r="H658" s="5" t="str">
        <f t="shared" si="104"/>
        <v>Junio</v>
      </c>
      <c r="I658" s="6" t="str">
        <f t="shared" si="98"/>
        <v>2023-1</v>
      </c>
      <c r="J658" s="5">
        <v>70</v>
      </c>
      <c r="K658" s="9">
        <f>ROUND(87.666666666667,2)</f>
        <v>87.67</v>
      </c>
      <c r="L658" s="8">
        <f>IFERROR(K658/J658,"")</f>
        <v>1.2524285714285714</v>
      </c>
      <c r="M658" s="15">
        <f>IFERROR(IF((K658/J658)&gt;K658/J658,1.3,K658/J658),"")</f>
        <v>1.2524285714285714</v>
      </c>
      <c r="N658" s="5" t="s">
        <v>347</v>
      </c>
      <c r="O658" s="5" t="s">
        <v>347</v>
      </c>
      <c r="P658" s="16">
        <v>0</v>
      </c>
      <c r="Q658" s="16">
        <v>0</v>
      </c>
      <c r="R658" s="5" t="str">
        <f t="shared" si="101"/>
        <v>199-2023-06-30</v>
      </c>
    </row>
    <row r="659" spans="1:18" x14ac:dyDescent="0.3">
      <c r="A659" s="39">
        <v>199</v>
      </c>
      <c r="B659" s="5" t="s">
        <v>79</v>
      </c>
      <c r="C659" s="5" t="s">
        <v>13</v>
      </c>
      <c r="D659" s="5" t="s">
        <v>8</v>
      </c>
      <c r="E659" s="5" t="s">
        <v>9</v>
      </c>
      <c r="F659" s="6">
        <v>45291</v>
      </c>
      <c r="G659" s="5">
        <f t="shared" si="103"/>
        <v>2023</v>
      </c>
      <c r="H659" s="5" t="str">
        <f t="shared" si="104"/>
        <v>Diciembre</v>
      </c>
      <c r="I659" s="6" t="str">
        <f t="shared" si="98"/>
        <v>2023-2</v>
      </c>
      <c r="J659" s="5">
        <v>70</v>
      </c>
      <c r="K659" s="9">
        <v>87.67</v>
      </c>
      <c r="L659" s="8">
        <f>IFERROR(K659/J659,"")</f>
        <v>1.2524285714285714</v>
      </c>
      <c r="M659" s="15">
        <f>IFERROR(IF((K659/J659)&gt;K659/J659,1.3,K659/J659),"")</f>
        <v>1.2524285714285714</v>
      </c>
      <c r="N659" s="5" t="s">
        <v>347</v>
      </c>
      <c r="O659" s="5" t="s">
        <v>347</v>
      </c>
      <c r="P659" s="16">
        <v>0</v>
      </c>
      <c r="Q659" s="16">
        <v>0</v>
      </c>
      <c r="R659" s="5" t="str">
        <f t="shared" si="101"/>
        <v>199-2023-12-31</v>
      </c>
    </row>
    <row r="660" spans="1:18" x14ac:dyDescent="0.3">
      <c r="A660" s="5">
        <v>199</v>
      </c>
      <c r="B660" s="5" t="s">
        <v>79</v>
      </c>
      <c r="C660" s="5" t="s">
        <v>13</v>
      </c>
      <c r="D660" s="5" t="s">
        <v>8</v>
      </c>
      <c r="E660" s="5" t="s">
        <v>9</v>
      </c>
      <c r="F660" s="6">
        <v>45473</v>
      </c>
      <c r="G660" s="5">
        <f t="shared" si="103"/>
        <v>2024</v>
      </c>
      <c r="H660" s="5" t="str">
        <f t="shared" si="104"/>
        <v>Junio</v>
      </c>
      <c r="I660" s="6" t="str">
        <f t="shared" si="98"/>
        <v>2024-1</v>
      </c>
      <c r="J660" s="5">
        <v>80</v>
      </c>
      <c r="K660" s="5">
        <v>92.19</v>
      </c>
      <c r="L660" s="15">
        <v>1.1523749999999999</v>
      </c>
      <c r="M660" s="15">
        <v>1.1523749999999999</v>
      </c>
      <c r="N660" s="5" t="s">
        <v>347</v>
      </c>
      <c r="O660" s="5" t="s">
        <v>347</v>
      </c>
      <c r="P660" s="5">
        <v>0</v>
      </c>
      <c r="Q660" s="5">
        <v>0</v>
      </c>
      <c r="R660" s="5" t="str">
        <f t="shared" si="101"/>
        <v>199-2024-06-30</v>
      </c>
    </row>
    <row r="661" spans="1:18" x14ac:dyDescent="0.3">
      <c r="A661" s="26">
        <v>199</v>
      </c>
      <c r="B661" s="5" t="s">
        <v>79</v>
      </c>
      <c r="C661" s="5" t="s">
        <v>13</v>
      </c>
      <c r="D661" s="5" t="s">
        <v>8</v>
      </c>
      <c r="E661" s="5" t="s">
        <v>9</v>
      </c>
      <c r="F661" s="6">
        <v>45657</v>
      </c>
      <c r="G661" s="5">
        <f t="shared" si="103"/>
        <v>2024</v>
      </c>
      <c r="H661" s="5" t="str">
        <f t="shared" si="104"/>
        <v>Diciembre</v>
      </c>
      <c r="I661" s="6" t="str">
        <f t="shared" si="98"/>
        <v>2024-2</v>
      </c>
      <c r="J661" s="5">
        <v>80</v>
      </c>
      <c r="K661" s="10">
        <v>92.81</v>
      </c>
      <c r="L661" s="15">
        <f>IFERROR(IF((K661/J661)&gt;1.3,1.3,K661/J661),"")</f>
        <v>1.1601250000000001</v>
      </c>
      <c r="M661" s="15">
        <f>IFERROR(IF((K661/J661)&gt;K661/J661,1.3,K661/J661),"")</f>
        <v>1.1601250000000001</v>
      </c>
      <c r="N661" s="5" t="s">
        <v>347</v>
      </c>
      <c r="O661" s="5" t="s">
        <v>347</v>
      </c>
      <c r="P661" s="16">
        <v>0</v>
      </c>
      <c r="Q661" s="16">
        <v>0</v>
      </c>
      <c r="R661" s="5" t="str">
        <f t="shared" si="101"/>
        <v>199-2024-12-31</v>
      </c>
    </row>
    <row r="662" spans="1:18" x14ac:dyDescent="0.3">
      <c r="A662" s="39">
        <v>200</v>
      </c>
      <c r="B662" s="5" t="s">
        <v>80</v>
      </c>
      <c r="C662" s="5" t="s">
        <v>13</v>
      </c>
      <c r="D662" s="5" t="s">
        <v>25</v>
      </c>
      <c r="E662" s="5" t="s">
        <v>9</v>
      </c>
      <c r="F662" s="6">
        <v>45291</v>
      </c>
      <c r="G662" s="5">
        <f t="shared" si="103"/>
        <v>2023</v>
      </c>
      <c r="H662" s="5" t="str">
        <f t="shared" si="104"/>
        <v>Diciembre</v>
      </c>
      <c r="I662" s="6" t="str">
        <f t="shared" si="98"/>
        <v>2023-2</v>
      </c>
      <c r="J662" s="5"/>
      <c r="K662" s="9">
        <v>90</v>
      </c>
      <c r="L662" s="8">
        <v>0.9</v>
      </c>
      <c r="M662" s="15" t="str">
        <f>IFERROR(IF((K662/J662)&gt;K662/J662,1.3,K662/J662),"")</f>
        <v/>
      </c>
      <c r="N662" s="5" t="s">
        <v>477</v>
      </c>
      <c r="O662" s="20" t="s">
        <v>347</v>
      </c>
      <c r="P662" s="16">
        <v>0</v>
      </c>
      <c r="Q662" s="16">
        <v>0</v>
      </c>
      <c r="R662" s="5" t="str">
        <f t="shared" si="101"/>
        <v>200-2023-12-31</v>
      </c>
    </row>
    <row r="663" spans="1:18" x14ac:dyDescent="0.3">
      <c r="A663" s="26">
        <v>200</v>
      </c>
      <c r="B663" s="5" t="s">
        <v>80</v>
      </c>
      <c r="C663" s="5" t="s">
        <v>13</v>
      </c>
      <c r="D663" s="5" t="s">
        <v>25</v>
      </c>
      <c r="E663" s="5" t="s">
        <v>9</v>
      </c>
      <c r="F663" s="6">
        <v>45657</v>
      </c>
      <c r="G663" s="5">
        <f t="shared" si="103"/>
        <v>2024</v>
      </c>
      <c r="H663" s="5" t="str">
        <f t="shared" si="104"/>
        <v>Diciembre</v>
      </c>
      <c r="I663" s="6" t="str">
        <f t="shared" si="98"/>
        <v>2024-2</v>
      </c>
      <c r="J663" s="5">
        <v>80</v>
      </c>
      <c r="K663" s="10">
        <v>87.4</v>
      </c>
      <c r="L663" s="15">
        <f>IFERROR(IF((K663/J663)&gt;1.3,1.3,K663/J663),"")</f>
        <v>1.0925</v>
      </c>
      <c r="M663" s="15">
        <f>IFERROR(IF((K663/J663)&gt;K663/J663,1.3,K663/J663),"")</f>
        <v>1.0925</v>
      </c>
      <c r="N663" s="5" t="s">
        <v>477</v>
      </c>
      <c r="O663" s="5" t="s">
        <v>347</v>
      </c>
      <c r="P663" s="16">
        <v>0</v>
      </c>
      <c r="Q663" s="16">
        <v>0</v>
      </c>
      <c r="R663" s="5" t="str">
        <f t="shared" si="101"/>
        <v>200-2024-12-31</v>
      </c>
    </row>
    <row r="664" spans="1:18" x14ac:dyDescent="0.3">
      <c r="A664" s="26">
        <v>202</v>
      </c>
      <c r="B664" s="5" t="s">
        <v>82</v>
      </c>
      <c r="C664" s="5" t="s">
        <v>13</v>
      </c>
      <c r="D664" s="5" t="s">
        <v>25</v>
      </c>
      <c r="E664" s="5" t="s">
        <v>9</v>
      </c>
      <c r="F664" s="6">
        <v>45291</v>
      </c>
      <c r="G664" s="5">
        <f t="shared" si="103"/>
        <v>2023</v>
      </c>
      <c r="H664" s="5" t="str">
        <f t="shared" si="104"/>
        <v>Diciembre</v>
      </c>
      <c r="I664" s="6" t="str">
        <f t="shared" si="98"/>
        <v>2023-2</v>
      </c>
      <c r="J664" s="5">
        <v>66</v>
      </c>
      <c r="K664" s="9">
        <v>64.7</v>
      </c>
      <c r="L664" s="15">
        <f>IFERROR(IF((K664/J664)&gt;1.3,1.3,K664/J664),"")</f>
        <v>0.98030303030303034</v>
      </c>
      <c r="M664" s="15">
        <f>IFERROR(IF((K664/J664)&gt;K664/J664,1.3,K664/J664),"")</f>
        <v>0.98030303030303034</v>
      </c>
      <c r="N664" s="5" t="s">
        <v>477</v>
      </c>
      <c r="O664" s="5" t="s">
        <v>347</v>
      </c>
      <c r="P664" s="16">
        <v>1</v>
      </c>
      <c r="Q664" s="16">
        <v>1</v>
      </c>
      <c r="R664" s="5" t="str">
        <f t="shared" si="101"/>
        <v>202-2023-12-31</v>
      </c>
    </row>
    <row r="665" spans="1:18" x14ac:dyDescent="0.3">
      <c r="A665" s="5">
        <v>203</v>
      </c>
      <c r="B665" s="5" t="s">
        <v>83</v>
      </c>
      <c r="C665" s="5" t="s">
        <v>84</v>
      </c>
      <c r="D665" s="5" t="s">
        <v>8</v>
      </c>
      <c r="E665" s="5" t="s">
        <v>9</v>
      </c>
      <c r="F665" s="17">
        <v>44742</v>
      </c>
      <c r="G665" s="5">
        <f t="shared" si="103"/>
        <v>2022</v>
      </c>
      <c r="H665" s="5" t="str">
        <f t="shared" si="104"/>
        <v>Junio</v>
      </c>
      <c r="I665" s="6" t="str">
        <f t="shared" si="98"/>
        <v>2022-1</v>
      </c>
      <c r="J665" s="12">
        <v>113672</v>
      </c>
      <c r="K665" s="9">
        <v>119144</v>
      </c>
      <c r="L665" s="15">
        <v>1.0481385037652193</v>
      </c>
      <c r="M665" s="15">
        <v>1.0481385037652193</v>
      </c>
      <c r="N665" s="5" t="s">
        <v>474</v>
      </c>
      <c r="O665" s="5" t="s">
        <v>474</v>
      </c>
      <c r="P665" s="5">
        <v>0</v>
      </c>
      <c r="Q665" s="5">
        <v>0</v>
      </c>
      <c r="R665" s="5" t="str">
        <f t="shared" si="101"/>
        <v>203-2022-06-30</v>
      </c>
    </row>
    <row r="666" spans="1:18" x14ac:dyDescent="0.3">
      <c r="A666" s="5">
        <v>203</v>
      </c>
      <c r="B666" s="5" t="s">
        <v>83</v>
      </c>
      <c r="C666" s="5" t="s">
        <v>84</v>
      </c>
      <c r="D666" s="5" t="s">
        <v>8</v>
      </c>
      <c r="E666" s="5" t="s">
        <v>9</v>
      </c>
      <c r="F666" s="17">
        <v>44926</v>
      </c>
      <c r="G666" s="5">
        <f t="shared" si="103"/>
        <v>2022</v>
      </c>
      <c r="H666" s="5" t="str">
        <f t="shared" si="104"/>
        <v>Diciembre</v>
      </c>
      <c r="I666" s="6" t="str">
        <f t="shared" si="98"/>
        <v>2022-2</v>
      </c>
      <c r="J666" s="12">
        <v>224440</v>
      </c>
      <c r="K666" s="9">
        <v>240882</v>
      </c>
      <c r="L666" s="15">
        <v>1.0990358226202512</v>
      </c>
      <c r="M666" s="15">
        <v>1.0990358226202512</v>
      </c>
      <c r="N666" s="5" t="s">
        <v>474</v>
      </c>
      <c r="O666" s="5" t="s">
        <v>474</v>
      </c>
      <c r="P666" s="5">
        <v>0</v>
      </c>
      <c r="Q666" s="5">
        <v>0</v>
      </c>
      <c r="R666" s="5" t="str">
        <f t="shared" si="101"/>
        <v>203-2022-12-31</v>
      </c>
    </row>
    <row r="667" spans="1:18" x14ac:dyDescent="0.3">
      <c r="A667" s="43">
        <v>203</v>
      </c>
      <c r="B667" s="5" t="s">
        <v>83</v>
      </c>
      <c r="C667" s="5" t="s">
        <v>84</v>
      </c>
      <c r="D667" s="5" t="s">
        <v>8</v>
      </c>
      <c r="E667" s="5" t="s">
        <v>9</v>
      </c>
      <c r="F667" s="6">
        <v>45107</v>
      </c>
      <c r="G667" s="5">
        <f t="shared" si="103"/>
        <v>2023</v>
      </c>
      <c r="H667" s="5" t="str">
        <f t="shared" si="104"/>
        <v>Junio</v>
      </c>
      <c r="I667" s="6" t="str">
        <f t="shared" ref="I667:I726" si="107">IF(OR(H667="Enero",H667="Febrero",H667="Marzo",H667="Abril",H667="Mayo",H667="Junio"),G667&amp;"-1",IF(OR(H667="Julio",H667="Agosto",H667="Septiembre",H667="Octubre",H667="Noviembre",H667="Diciembre"),G667&amp;"-2"))</f>
        <v>2023-1</v>
      </c>
      <c r="J667" s="40">
        <f>123465699860/1000000</f>
        <v>123465.69985999999</v>
      </c>
      <c r="K667" s="9">
        <f>129185069909/1000000</f>
        <v>129185.069909</v>
      </c>
      <c r="L667" s="15">
        <f>IFERROR(IF((K667/J667)&gt;1.3,1.3,K667/J667),"")</f>
        <v>1.0463235542785188</v>
      </c>
      <c r="M667" s="15">
        <f>IFERROR(IF((K667/J667)&gt;K667/J667,1.3,K667/J667),"")</f>
        <v>1.0463235542785188</v>
      </c>
      <c r="N667" s="5" t="s">
        <v>474</v>
      </c>
      <c r="O667" s="5" t="s">
        <v>474</v>
      </c>
      <c r="P667" s="16">
        <v>0</v>
      </c>
      <c r="Q667" s="16">
        <v>0</v>
      </c>
      <c r="R667" s="5" t="str">
        <f t="shared" ref="R667:R726" si="108">A667&amp;"-"&amp;YEAR(F667)&amp;"-"&amp;IF(LEN(MONTH(F667))=1,"0"&amp;MONTH(F667),MONTH(F667))&amp;"-"&amp;DAY(F667)</f>
        <v>203-2023-06-30</v>
      </c>
    </row>
    <row r="668" spans="1:18" x14ac:dyDescent="0.3">
      <c r="A668" s="39">
        <v>203</v>
      </c>
      <c r="B668" s="5" t="s">
        <v>83</v>
      </c>
      <c r="C668" s="5" t="s">
        <v>84</v>
      </c>
      <c r="D668" s="5" t="s">
        <v>8</v>
      </c>
      <c r="E668" s="5" t="s">
        <v>9</v>
      </c>
      <c r="F668" s="6">
        <v>45291</v>
      </c>
      <c r="G668" s="5">
        <f t="shared" si="103"/>
        <v>2023</v>
      </c>
      <c r="H668" s="5" t="str">
        <f t="shared" si="104"/>
        <v>Diciembre</v>
      </c>
      <c r="I668" s="6" t="str">
        <f t="shared" si="107"/>
        <v>2023-2</v>
      </c>
      <c r="J668" s="40">
        <f>264844439276/1000000</f>
        <v>264844.43927600002</v>
      </c>
      <c r="K668" s="9">
        <f>273867050928/1000000</f>
        <v>273867.05092800001</v>
      </c>
      <c r="L668" s="15">
        <f>IFERROR(IF((K668/J668)&gt;1.3,1.3,K668/J668),"")</f>
        <v>1.0340675895505487</v>
      </c>
      <c r="M668" s="15">
        <f>IFERROR(IF((K668/J668)&gt;K668/J668,1.3,K668/J668),"")</f>
        <v>1.0340675895505487</v>
      </c>
      <c r="N668" s="5" t="s">
        <v>474</v>
      </c>
      <c r="O668" s="5" t="s">
        <v>474</v>
      </c>
      <c r="P668" s="16">
        <v>0</v>
      </c>
      <c r="Q668" s="16">
        <v>0</v>
      </c>
      <c r="R668" s="5" t="str">
        <f t="shared" si="108"/>
        <v>203-2023-12-31</v>
      </c>
    </row>
    <row r="669" spans="1:18" x14ac:dyDescent="0.3">
      <c r="A669" s="43">
        <v>203</v>
      </c>
      <c r="B669" s="5" t="s">
        <v>83</v>
      </c>
      <c r="C669" s="5" t="s">
        <v>84</v>
      </c>
      <c r="D669" s="5" t="s">
        <v>8</v>
      </c>
      <c r="E669" s="5" t="s">
        <v>9</v>
      </c>
      <c r="F669" s="6">
        <v>45473</v>
      </c>
      <c r="G669" s="5">
        <f t="shared" si="103"/>
        <v>2024</v>
      </c>
      <c r="H669" s="5" t="str">
        <f t="shared" si="104"/>
        <v>Junio</v>
      </c>
      <c r="I669" s="6" t="str">
        <f t="shared" si="107"/>
        <v>2024-1</v>
      </c>
      <c r="J669" s="40">
        <f>142872258333/1000000</f>
        <v>142872.25833300001</v>
      </c>
      <c r="K669" s="9">
        <f>145741716934/1000000</f>
        <v>145741.716934</v>
      </c>
      <c r="L669" s="15">
        <f>IFERROR(IF((K669/J669)&gt;1.3,1.3,K669/J669),"")</f>
        <v>1.0200840851434712</v>
      </c>
      <c r="M669" s="15">
        <f>IFERROR(IF((K669/J669)&gt;K669/J669,1.3,K669/J669),"")</f>
        <v>1.0200840851434712</v>
      </c>
      <c r="N669" s="5" t="s">
        <v>474</v>
      </c>
      <c r="O669" s="5" t="s">
        <v>474</v>
      </c>
      <c r="P669" s="16">
        <v>0</v>
      </c>
      <c r="Q669" s="16">
        <v>0</v>
      </c>
      <c r="R669" s="5" t="str">
        <f t="shared" si="108"/>
        <v>203-2024-06-30</v>
      </c>
    </row>
    <row r="670" spans="1:18" x14ac:dyDescent="0.3">
      <c r="A670" s="26">
        <v>203</v>
      </c>
      <c r="B670" s="5" t="s">
        <v>83</v>
      </c>
      <c r="C670" s="5" t="s">
        <v>84</v>
      </c>
      <c r="D670" s="5" t="s">
        <v>8</v>
      </c>
      <c r="E670" s="5" t="s">
        <v>9</v>
      </c>
      <c r="F670" s="6">
        <v>45657</v>
      </c>
      <c r="G670" s="5">
        <f t="shared" si="103"/>
        <v>2024</v>
      </c>
      <c r="H670" s="5" t="str">
        <f t="shared" si="104"/>
        <v>Diciembre</v>
      </c>
      <c r="I670" s="6" t="str">
        <f t="shared" si="107"/>
        <v>2024-2</v>
      </c>
      <c r="J670" s="9">
        <f>289638452670/1000000</f>
        <v>289638.45267000003</v>
      </c>
      <c r="K670" s="9">
        <f>297867121929/1000000</f>
        <v>297867.12192900002</v>
      </c>
      <c r="L670" s="15">
        <f>IFERROR(IF((K670/J670)&gt;1.3,1.3,K670/J670),"")</f>
        <v>1.0284101409296484</v>
      </c>
      <c r="M670" s="15">
        <f>IFERROR(IF((K670/J670)&gt;K670/J670,1.3,K670/J670),"")</f>
        <v>1.0284101409296484</v>
      </c>
      <c r="N670" s="5" t="s">
        <v>474</v>
      </c>
      <c r="O670" s="5" t="s">
        <v>474</v>
      </c>
      <c r="P670" s="16">
        <v>0</v>
      </c>
      <c r="Q670" s="16">
        <v>0</v>
      </c>
      <c r="R670" s="5" t="str">
        <f t="shared" si="108"/>
        <v>203-2024-12-31</v>
      </c>
    </row>
    <row r="671" spans="1:18" x14ac:dyDescent="0.3">
      <c r="A671" s="5">
        <v>204</v>
      </c>
      <c r="B671" s="5" t="s">
        <v>85</v>
      </c>
      <c r="C671" s="5" t="s">
        <v>84</v>
      </c>
      <c r="D671" s="5" t="s">
        <v>8</v>
      </c>
      <c r="E671" s="5" t="s">
        <v>9</v>
      </c>
      <c r="F671" s="17">
        <v>44742</v>
      </c>
      <c r="G671" s="5">
        <f t="shared" si="103"/>
        <v>2022</v>
      </c>
      <c r="H671" s="5" t="str">
        <f t="shared" si="104"/>
        <v>Junio</v>
      </c>
      <c r="I671" s="6" t="str">
        <f t="shared" si="107"/>
        <v>2022-1</v>
      </c>
      <c r="J671" s="11">
        <v>58804</v>
      </c>
      <c r="K671" s="9">
        <v>37101</v>
      </c>
      <c r="L671" s="15">
        <v>0.63092646758723891</v>
      </c>
      <c r="M671" s="15">
        <v>0.63092646758723891</v>
      </c>
      <c r="N671" s="5" t="s">
        <v>474</v>
      </c>
      <c r="O671" s="5" t="s">
        <v>474</v>
      </c>
      <c r="P671" s="5">
        <v>0</v>
      </c>
      <c r="Q671" s="5">
        <v>0</v>
      </c>
      <c r="R671" s="5" t="str">
        <f t="shared" si="108"/>
        <v>204-2022-06-30</v>
      </c>
    </row>
    <row r="672" spans="1:18" x14ac:dyDescent="0.3">
      <c r="A672" s="5">
        <v>204</v>
      </c>
      <c r="B672" s="5" t="s">
        <v>85</v>
      </c>
      <c r="C672" s="5" t="s">
        <v>84</v>
      </c>
      <c r="D672" s="5" t="s">
        <v>8</v>
      </c>
      <c r="E672" s="5" t="s">
        <v>9</v>
      </c>
      <c r="F672" s="17">
        <v>44925</v>
      </c>
      <c r="G672" s="5">
        <f t="shared" si="103"/>
        <v>2022</v>
      </c>
      <c r="H672" s="5" t="str">
        <f t="shared" si="104"/>
        <v>Diciembre</v>
      </c>
      <c r="I672" s="6" t="str">
        <f t="shared" si="107"/>
        <v>2022-2</v>
      </c>
      <c r="J672" s="11">
        <v>82987</v>
      </c>
      <c r="K672" s="9">
        <v>18386</v>
      </c>
      <c r="L672" s="15">
        <v>0.22155277332594261</v>
      </c>
      <c r="M672" s="15">
        <v>0.22155277332594261</v>
      </c>
      <c r="N672" s="5" t="s">
        <v>474</v>
      </c>
      <c r="O672" s="5" t="s">
        <v>474</v>
      </c>
      <c r="P672" s="5">
        <v>0</v>
      </c>
      <c r="Q672" s="5">
        <v>0</v>
      </c>
      <c r="R672" s="5" t="str">
        <f t="shared" si="108"/>
        <v>204-2022-12-30</v>
      </c>
    </row>
    <row r="673" spans="1:18" x14ac:dyDescent="0.3">
      <c r="A673" s="26">
        <v>204</v>
      </c>
      <c r="B673" s="5" t="s">
        <v>85</v>
      </c>
      <c r="C673" s="5" t="s">
        <v>84</v>
      </c>
      <c r="D673" s="5" t="s">
        <v>8</v>
      </c>
      <c r="E673" s="5" t="s">
        <v>9</v>
      </c>
      <c r="F673" s="17">
        <v>45107</v>
      </c>
      <c r="G673" s="5">
        <f t="shared" si="103"/>
        <v>2023</v>
      </c>
      <c r="H673" s="5" t="str">
        <f t="shared" si="104"/>
        <v>Junio</v>
      </c>
      <c r="I673" s="6" t="str">
        <f t="shared" si="107"/>
        <v>2023-1</v>
      </c>
      <c r="J673" s="11">
        <v>8772.7956340000001</v>
      </c>
      <c r="K673" s="9">
        <v>17085.606216</v>
      </c>
      <c r="L673" s="15">
        <f t="shared" ref="L673:L688" si="109">IFERROR(IF((K673/J673)&gt;1.3,1.3,K673/J673),"")</f>
        <v>1.3</v>
      </c>
      <c r="M673" s="15">
        <f t="shared" ref="M673:M684" si="110">IFERROR(IF((K673/J673)&gt;K673/J673,1.3,K673/J673),"")</f>
        <v>1.9475668793403469</v>
      </c>
      <c r="N673" s="5" t="s">
        <v>474</v>
      </c>
      <c r="O673" s="5" t="s">
        <v>474</v>
      </c>
      <c r="P673" s="16">
        <v>0</v>
      </c>
      <c r="Q673" s="16">
        <v>0</v>
      </c>
      <c r="R673" s="5" t="str">
        <f t="shared" si="108"/>
        <v>204-2023-06-30</v>
      </c>
    </row>
    <row r="674" spans="1:18" x14ac:dyDescent="0.3">
      <c r="A674" s="39">
        <v>204</v>
      </c>
      <c r="B674" s="5" t="s">
        <v>85</v>
      </c>
      <c r="C674" s="5" t="s">
        <v>84</v>
      </c>
      <c r="D674" s="5" t="s">
        <v>8</v>
      </c>
      <c r="E674" s="5" t="s">
        <v>9</v>
      </c>
      <c r="F674" s="6">
        <v>45291</v>
      </c>
      <c r="G674" s="5">
        <f t="shared" si="103"/>
        <v>2023</v>
      </c>
      <c r="H674" s="5" t="str">
        <f t="shared" si="104"/>
        <v>Diciembre</v>
      </c>
      <c r="I674" s="6" t="str">
        <f t="shared" si="107"/>
        <v>2023-2</v>
      </c>
      <c r="J674" s="9">
        <v>86846.60702431656</v>
      </c>
      <c r="K674" s="9">
        <v>141016.76289899999</v>
      </c>
      <c r="L674" s="15">
        <f t="shared" si="109"/>
        <v>1.3</v>
      </c>
      <c r="M674" s="15">
        <f t="shared" si="110"/>
        <v>1.6237452185036554</v>
      </c>
      <c r="N674" s="5" t="s">
        <v>474</v>
      </c>
      <c r="O674" s="5" t="s">
        <v>474</v>
      </c>
      <c r="P674" s="16">
        <v>0</v>
      </c>
      <c r="Q674" s="16">
        <v>0</v>
      </c>
      <c r="R674" s="5" t="str">
        <f t="shared" si="108"/>
        <v>204-2023-12-31</v>
      </c>
    </row>
    <row r="675" spans="1:18" x14ac:dyDescent="0.3">
      <c r="A675" s="26">
        <v>204</v>
      </c>
      <c r="B675" s="5" t="s">
        <v>85</v>
      </c>
      <c r="C675" s="5" t="s">
        <v>84</v>
      </c>
      <c r="D675" s="5" t="s">
        <v>8</v>
      </c>
      <c r="E675" s="5" t="s">
        <v>9</v>
      </c>
      <c r="F675" s="17">
        <v>45473</v>
      </c>
      <c r="G675" s="5">
        <f t="shared" si="103"/>
        <v>2024</v>
      </c>
      <c r="H675" s="5" t="str">
        <f t="shared" si="104"/>
        <v>Junio</v>
      </c>
      <c r="I675" s="6" t="str">
        <f t="shared" si="107"/>
        <v>2024-1</v>
      </c>
      <c r="J675" s="11">
        <f>20714519158/1000000</f>
        <v>20714.519157999999</v>
      </c>
      <c r="K675" s="9">
        <f>27665037063/1000000</f>
        <v>27665.037063</v>
      </c>
      <c r="L675" s="15">
        <f t="shared" si="109"/>
        <v>1.3</v>
      </c>
      <c r="M675" s="15">
        <f t="shared" si="110"/>
        <v>1.335538462273004</v>
      </c>
      <c r="N675" s="5" t="s">
        <v>474</v>
      </c>
      <c r="O675" s="5" t="s">
        <v>474</v>
      </c>
      <c r="P675" s="16">
        <v>0</v>
      </c>
      <c r="Q675" s="16">
        <v>0</v>
      </c>
      <c r="R675" s="5" t="str">
        <f t="shared" si="108"/>
        <v>204-2024-06-30</v>
      </c>
    </row>
    <row r="676" spans="1:18" x14ac:dyDescent="0.3">
      <c r="A676" s="26">
        <v>204</v>
      </c>
      <c r="B676" s="5" t="s">
        <v>85</v>
      </c>
      <c r="C676" s="5" t="s">
        <v>84</v>
      </c>
      <c r="D676" s="5" t="s">
        <v>8</v>
      </c>
      <c r="E676" s="5" t="s">
        <v>9</v>
      </c>
      <c r="F676" s="6">
        <v>45657</v>
      </c>
      <c r="G676" s="5">
        <f t="shared" si="103"/>
        <v>2024</v>
      </c>
      <c r="H676" s="5" t="str">
        <f t="shared" si="104"/>
        <v>Diciembre</v>
      </c>
      <c r="I676" s="6" t="str">
        <f t="shared" si="107"/>
        <v>2024-2</v>
      </c>
      <c r="J676" s="16">
        <f>122440821151/1000000</f>
        <v>122440.821151</v>
      </c>
      <c r="K676" s="10">
        <f>176962748824/1000000</f>
        <v>176962.74882400001</v>
      </c>
      <c r="L676" s="15">
        <f t="shared" si="109"/>
        <v>1.3</v>
      </c>
      <c r="M676" s="15">
        <f t="shared" si="110"/>
        <v>1.4452920779235947</v>
      </c>
      <c r="N676" s="5" t="s">
        <v>474</v>
      </c>
      <c r="O676" s="5" t="s">
        <v>474</v>
      </c>
      <c r="P676" s="16">
        <v>0</v>
      </c>
      <c r="Q676" s="16">
        <v>0</v>
      </c>
      <c r="R676" s="5" t="str">
        <f t="shared" si="108"/>
        <v>204-2024-12-31</v>
      </c>
    </row>
    <row r="677" spans="1:18" x14ac:dyDescent="0.3">
      <c r="A677" s="43">
        <v>205</v>
      </c>
      <c r="B677" s="5" t="s">
        <v>86</v>
      </c>
      <c r="C677" s="5" t="s">
        <v>84</v>
      </c>
      <c r="D677" s="5" t="s">
        <v>8</v>
      </c>
      <c r="E677" s="5" t="s">
        <v>9</v>
      </c>
      <c r="F677" s="6">
        <v>44926</v>
      </c>
      <c r="G677" s="5">
        <f t="shared" si="103"/>
        <v>2022</v>
      </c>
      <c r="H677" s="5" t="str">
        <f t="shared" si="104"/>
        <v>Diciembre</v>
      </c>
      <c r="I677" s="6" t="str">
        <f t="shared" ref="I677" si="111">IF(OR(H677="Enero",H677="Febrero",H677="Marzo",H677="Abril",H677="Mayo",H677="Junio"),G677&amp;"-1",IF(OR(H677="Julio",H677="Agosto",H677="Septiembre",H677="Octubre",H677="Noviembre",H677="Diciembre"),G677&amp;"-2"))</f>
        <v>2022-2</v>
      </c>
      <c r="J677" s="9">
        <v>2605</v>
      </c>
      <c r="K677" s="9">
        <v>2605</v>
      </c>
      <c r="L677" s="15">
        <f t="shared" si="109"/>
        <v>1</v>
      </c>
      <c r="M677" s="15">
        <f t="shared" ref="M677:M681" si="112">IFERROR(IF((K677/J677)&gt;K677/J677,1.3,K677/J677),"")</f>
        <v>1</v>
      </c>
      <c r="N677" s="5" t="s">
        <v>474</v>
      </c>
      <c r="O677" s="5" t="s">
        <v>474</v>
      </c>
      <c r="P677" s="16">
        <v>0</v>
      </c>
      <c r="Q677" s="16">
        <v>0</v>
      </c>
      <c r="R677" s="5" t="str">
        <f t="shared" ref="R677" si="113">A677&amp;"-"&amp;YEAR(F677)&amp;"-"&amp;IF(LEN(MONTH(F677))=1,"0"&amp;MONTH(F677),MONTH(F677))&amp;"-"&amp;DAY(F677)</f>
        <v>205-2022-12-31</v>
      </c>
    </row>
    <row r="678" spans="1:18" x14ac:dyDescent="0.3">
      <c r="A678" s="43">
        <v>205</v>
      </c>
      <c r="B678" s="5" t="s">
        <v>86</v>
      </c>
      <c r="C678" s="5" t="s">
        <v>84</v>
      </c>
      <c r="D678" s="5" t="s">
        <v>8</v>
      </c>
      <c r="E678" s="5" t="s">
        <v>9</v>
      </c>
      <c r="F678" s="6">
        <v>45107</v>
      </c>
      <c r="G678" s="5">
        <f t="shared" si="103"/>
        <v>2023</v>
      </c>
      <c r="H678" s="5" t="str">
        <f t="shared" si="104"/>
        <v>Junio</v>
      </c>
      <c r="I678" s="6" t="str">
        <f t="shared" si="107"/>
        <v>2023-1</v>
      </c>
      <c r="J678" s="9">
        <f>2622553994/1000000</f>
        <v>2622.5539939999999</v>
      </c>
      <c r="K678" s="9">
        <f>4338419908/1000000</f>
        <v>4338.4199079999999</v>
      </c>
      <c r="L678" s="15">
        <f t="shared" si="109"/>
        <v>1.3</v>
      </c>
      <c r="M678" s="15">
        <f t="shared" si="112"/>
        <v>1.6542728645151394</v>
      </c>
      <c r="N678" s="5" t="s">
        <v>474</v>
      </c>
      <c r="O678" s="5" t="s">
        <v>474</v>
      </c>
      <c r="P678" s="16">
        <v>0</v>
      </c>
      <c r="Q678" s="16">
        <v>0</v>
      </c>
      <c r="R678" s="5" t="str">
        <f t="shared" si="108"/>
        <v>205-2023-06-30</v>
      </c>
    </row>
    <row r="679" spans="1:18" x14ac:dyDescent="0.3">
      <c r="A679" s="39">
        <v>205</v>
      </c>
      <c r="B679" s="5" t="s">
        <v>86</v>
      </c>
      <c r="C679" s="5" t="s">
        <v>84</v>
      </c>
      <c r="D679" s="5" t="s">
        <v>8</v>
      </c>
      <c r="E679" s="5" t="s">
        <v>9</v>
      </c>
      <c r="F679" s="6">
        <v>45291</v>
      </c>
      <c r="G679" s="5">
        <f t="shared" si="103"/>
        <v>2023</v>
      </c>
      <c r="H679" s="5" t="str">
        <f t="shared" si="104"/>
        <v>Diciembre</v>
      </c>
      <c r="I679" s="6" t="str">
        <f t="shared" si="107"/>
        <v>2023-2</v>
      </c>
      <c r="J679" s="9">
        <f>2041786671/1000000</f>
        <v>2041.7866710000001</v>
      </c>
      <c r="K679" s="9">
        <f>8708376270/1000000</f>
        <v>8708.3762700000007</v>
      </c>
      <c r="L679" s="15">
        <f t="shared" si="109"/>
        <v>1.3</v>
      </c>
      <c r="M679" s="15">
        <f t="shared" si="112"/>
        <v>4.2650764615555667</v>
      </c>
      <c r="N679" s="5" t="s">
        <v>474</v>
      </c>
      <c r="O679" s="5" t="s">
        <v>474</v>
      </c>
      <c r="P679" s="16">
        <v>0</v>
      </c>
      <c r="Q679" s="16">
        <v>0</v>
      </c>
      <c r="R679" s="5" t="str">
        <f t="shared" si="108"/>
        <v>205-2023-12-31</v>
      </c>
    </row>
    <row r="680" spans="1:18" x14ac:dyDescent="0.3">
      <c r="A680" s="43">
        <v>205</v>
      </c>
      <c r="B680" s="5" t="s">
        <v>86</v>
      </c>
      <c r="C680" s="5" t="s">
        <v>84</v>
      </c>
      <c r="D680" s="5" t="s">
        <v>8</v>
      </c>
      <c r="E680" s="5" t="s">
        <v>9</v>
      </c>
      <c r="F680" s="6">
        <v>45473</v>
      </c>
      <c r="G680" s="5">
        <f t="shared" si="103"/>
        <v>2024</v>
      </c>
      <c r="H680" s="5" t="str">
        <f t="shared" si="104"/>
        <v>Junio</v>
      </c>
      <c r="I680" s="6" t="str">
        <f t="shared" si="107"/>
        <v>2024-1</v>
      </c>
      <c r="J680" s="11">
        <f>2039237043/1000000</f>
        <v>2039.2370430000001</v>
      </c>
      <c r="K680" s="9">
        <f>4385721681/1000000</f>
        <v>4385.721681</v>
      </c>
      <c r="L680" s="15">
        <f t="shared" si="109"/>
        <v>1.3</v>
      </c>
      <c r="M680" s="15">
        <f t="shared" si="112"/>
        <v>2.1506679157553927</v>
      </c>
      <c r="N680" s="5" t="s">
        <v>474</v>
      </c>
      <c r="O680" s="5" t="s">
        <v>474</v>
      </c>
      <c r="P680" s="16">
        <v>0</v>
      </c>
      <c r="Q680" s="16">
        <v>0</v>
      </c>
      <c r="R680" s="5" t="str">
        <f t="shared" si="108"/>
        <v>205-2024-06-30</v>
      </c>
    </row>
    <row r="681" spans="1:18" x14ac:dyDescent="0.3">
      <c r="A681" s="26">
        <v>205</v>
      </c>
      <c r="B681" s="5" t="s">
        <v>86</v>
      </c>
      <c r="C681" s="5" t="s">
        <v>84</v>
      </c>
      <c r="D681" s="5" t="s">
        <v>8</v>
      </c>
      <c r="E681" s="5" t="s">
        <v>9</v>
      </c>
      <c r="F681" s="6">
        <v>45657</v>
      </c>
      <c r="G681" s="5">
        <f t="shared" si="103"/>
        <v>2024</v>
      </c>
      <c r="H681" s="5" t="str">
        <f t="shared" si="104"/>
        <v>Diciembre</v>
      </c>
      <c r="I681" s="6" t="str">
        <f t="shared" si="107"/>
        <v>2024-2</v>
      </c>
      <c r="J681" s="5">
        <f>2783219654/1000000</f>
        <v>2783.219654</v>
      </c>
      <c r="K681" s="10">
        <f>5141102865/1000000</f>
        <v>5141.1028649999998</v>
      </c>
      <c r="L681" s="15">
        <f t="shared" si="109"/>
        <v>1.3</v>
      </c>
      <c r="M681" s="15">
        <f t="shared" si="112"/>
        <v>1.8471782698182972</v>
      </c>
      <c r="N681" s="5" t="s">
        <v>474</v>
      </c>
      <c r="O681" s="5" t="s">
        <v>474</v>
      </c>
      <c r="P681" s="16">
        <v>0</v>
      </c>
      <c r="Q681" s="16">
        <v>0</v>
      </c>
      <c r="R681" s="5" t="str">
        <f t="shared" si="108"/>
        <v>205-2024-12-31</v>
      </c>
    </row>
    <row r="682" spans="1:18" x14ac:dyDescent="0.3">
      <c r="A682" s="26">
        <v>206</v>
      </c>
      <c r="B682" s="5" t="s">
        <v>87</v>
      </c>
      <c r="C682" s="5" t="s">
        <v>84</v>
      </c>
      <c r="D682" s="5" t="s">
        <v>8</v>
      </c>
      <c r="E682" s="5" t="s">
        <v>9</v>
      </c>
      <c r="F682" s="17">
        <v>45107</v>
      </c>
      <c r="G682" s="5">
        <f t="shared" si="103"/>
        <v>2023</v>
      </c>
      <c r="H682" s="5" t="str">
        <f t="shared" si="104"/>
        <v>Junio</v>
      </c>
      <c r="I682" s="6" t="str">
        <f t="shared" si="107"/>
        <v>2023-1</v>
      </c>
      <c r="J682" s="11">
        <f>1302483921/1000000</f>
        <v>1302.483921</v>
      </c>
      <c r="K682" s="9">
        <f>1606868140/1000000</f>
        <v>1606.86814</v>
      </c>
      <c r="L682" s="15">
        <f t="shared" si="109"/>
        <v>1.2336951835584311</v>
      </c>
      <c r="M682" s="15">
        <f t="shared" si="110"/>
        <v>1.2336951835584311</v>
      </c>
      <c r="N682" s="5" t="s">
        <v>474</v>
      </c>
      <c r="O682" s="5" t="s">
        <v>474</v>
      </c>
      <c r="P682" s="16">
        <v>0</v>
      </c>
      <c r="Q682" s="16">
        <v>0</v>
      </c>
      <c r="R682" s="5" t="str">
        <f t="shared" si="108"/>
        <v>206-2023-06-30</v>
      </c>
    </row>
    <row r="683" spans="1:18" x14ac:dyDescent="0.3">
      <c r="A683" s="39">
        <v>206</v>
      </c>
      <c r="B683" s="5" t="s">
        <v>87</v>
      </c>
      <c r="C683" s="5" t="s">
        <v>84</v>
      </c>
      <c r="D683" s="5" t="s">
        <v>8</v>
      </c>
      <c r="E683" s="5" t="s">
        <v>9</v>
      </c>
      <c r="F683" s="6">
        <v>45291</v>
      </c>
      <c r="G683" s="5">
        <f t="shared" si="103"/>
        <v>2023</v>
      </c>
      <c r="H683" s="5" t="str">
        <f t="shared" si="104"/>
        <v>Diciembre</v>
      </c>
      <c r="I683" s="6" t="str">
        <f t="shared" si="107"/>
        <v>2023-2</v>
      </c>
      <c r="J683" s="11">
        <f>1302483921/1000000</f>
        <v>1302.483921</v>
      </c>
      <c r="K683" s="9">
        <f>6000270279/1000000</f>
        <v>6000.2702790000003</v>
      </c>
      <c r="L683" s="15">
        <f t="shared" si="109"/>
        <v>1.3</v>
      </c>
      <c r="M683" s="15">
        <f t="shared" si="110"/>
        <v>4.6067902891217347</v>
      </c>
      <c r="N683" s="5" t="s">
        <v>474</v>
      </c>
      <c r="O683" s="5" t="s">
        <v>474</v>
      </c>
      <c r="P683" s="16">
        <v>0</v>
      </c>
      <c r="Q683" s="16">
        <v>0</v>
      </c>
      <c r="R683" s="5" t="str">
        <f t="shared" si="108"/>
        <v>206-2023-12-31</v>
      </c>
    </row>
    <row r="684" spans="1:18" x14ac:dyDescent="0.3">
      <c r="A684" s="26">
        <v>206</v>
      </c>
      <c r="B684" s="5" t="s">
        <v>87</v>
      </c>
      <c r="C684" s="5" t="s">
        <v>84</v>
      </c>
      <c r="D684" s="5" t="s">
        <v>25</v>
      </c>
      <c r="E684" s="5" t="s">
        <v>9</v>
      </c>
      <c r="F684" s="6">
        <v>45657</v>
      </c>
      <c r="G684" s="5">
        <f t="shared" si="103"/>
        <v>2024</v>
      </c>
      <c r="H684" s="5" t="str">
        <f t="shared" si="104"/>
        <v>Diciembre</v>
      </c>
      <c r="I684" s="6" t="str">
        <f t="shared" si="107"/>
        <v>2024-2</v>
      </c>
      <c r="J684" s="5">
        <v>1</v>
      </c>
      <c r="K684" s="10">
        <v>1.37</v>
      </c>
      <c r="L684" s="15">
        <f t="shared" si="109"/>
        <v>1.3</v>
      </c>
      <c r="M684" s="15">
        <f t="shared" si="110"/>
        <v>1.37</v>
      </c>
      <c r="N684" s="5" t="s">
        <v>474</v>
      </c>
      <c r="O684" s="5" t="s">
        <v>474</v>
      </c>
      <c r="P684" s="16">
        <v>0</v>
      </c>
      <c r="Q684" s="16">
        <v>0</v>
      </c>
      <c r="R684" s="5" t="str">
        <f t="shared" si="108"/>
        <v>206-2024-12-31</v>
      </c>
    </row>
    <row r="685" spans="1:18" x14ac:dyDescent="0.3">
      <c r="A685" s="43">
        <v>207</v>
      </c>
      <c r="B685" s="5" t="s">
        <v>88</v>
      </c>
      <c r="C685" s="5" t="s">
        <v>84</v>
      </c>
      <c r="D685" s="5" t="s">
        <v>8</v>
      </c>
      <c r="E685" s="5" t="s">
        <v>14</v>
      </c>
      <c r="F685" s="6">
        <v>45107</v>
      </c>
      <c r="G685" s="5">
        <f t="shared" si="103"/>
        <v>2023</v>
      </c>
      <c r="H685" s="5" t="str">
        <f t="shared" si="104"/>
        <v>Junio</v>
      </c>
      <c r="I685" s="6" t="str">
        <f t="shared" si="107"/>
        <v>2023-1</v>
      </c>
      <c r="J685" s="11">
        <f>114640779682/1000000</f>
        <v>114640.77968199999</v>
      </c>
      <c r="K685" s="9">
        <f>116015126638/1000000</f>
        <v>116015.126638</v>
      </c>
      <c r="L685" s="15">
        <f t="shared" si="109"/>
        <v>1.0119882903781034</v>
      </c>
      <c r="M685" s="8">
        <f>IFERROR(IF((K685/J685)&gt;1.3,1.3,K685/J685),"")</f>
        <v>1.0119882903781034</v>
      </c>
      <c r="N685" s="5" t="s">
        <v>474</v>
      </c>
      <c r="O685" s="5" t="s">
        <v>474</v>
      </c>
      <c r="P685" s="16">
        <v>0</v>
      </c>
      <c r="Q685" s="16">
        <v>0</v>
      </c>
      <c r="R685" s="5" t="str">
        <f t="shared" si="108"/>
        <v>207-2023-06-30</v>
      </c>
    </row>
    <row r="686" spans="1:18" x14ac:dyDescent="0.3">
      <c r="A686" s="39">
        <v>207</v>
      </c>
      <c r="B686" s="5" t="s">
        <v>88</v>
      </c>
      <c r="C686" s="5" t="s">
        <v>84</v>
      </c>
      <c r="D686" s="5" t="s">
        <v>8</v>
      </c>
      <c r="E686" s="5" t="s">
        <v>14</v>
      </c>
      <c r="F686" s="6">
        <v>45291</v>
      </c>
      <c r="G686" s="5">
        <f t="shared" si="103"/>
        <v>2023</v>
      </c>
      <c r="H686" s="5" t="str">
        <f t="shared" si="104"/>
        <v>Diciembre</v>
      </c>
      <c r="I686" s="6" t="str">
        <f t="shared" si="107"/>
        <v>2023-2</v>
      </c>
      <c r="J686" s="11">
        <f>238770966572/1000000</f>
        <v>238770.966572</v>
      </c>
      <c r="K686" s="9">
        <f>247359733075/1000000</f>
        <v>247359.733075</v>
      </c>
      <c r="L686" s="15">
        <f t="shared" si="109"/>
        <v>1.0359707322305876</v>
      </c>
      <c r="M686" s="8">
        <f>IFERROR(IF((K686/J686)&gt;1.3,1.3,K686/J686),"")</f>
        <v>1.0359707322305876</v>
      </c>
      <c r="N686" s="5" t="s">
        <v>474</v>
      </c>
      <c r="O686" s="5" t="s">
        <v>474</v>
      </c>
      <c r="P686" s="16">
        <v>0</v>
      </c>
      <c r="Q686" s="16">
        <v>0</v>
      </c>
      <c r="R686" s="5" t="str">
        <f t="shared" si="108"/>
        <v>207-2023-12-31</v>
      </c>
    </row>
    <row r="687" spans="1:18" x14ac:dyDescent="0.3">
      <c r="A687" s="39">
        <v>207</v>
      </c>
      <c r="B687" s="5" t="s">
        <v>88</v>
      </c>
      <c r="C687" s="5" t="s">
        <v>84</v>
      </c>
      <c r="D687" s="5" t="s">
        <v>8</v>
      </c>
      <c r="E687" s="5" t="s">
        <v>14</v>
      </c>
      <c r="F687" s="6">
        <v>45473</v>
      </c>
      <c r="G687" s="5">
        <f t="shared" si="103"/>
        <v>2024</v>
      </c>
      <c r="H687" s="5" t="str">
        <f t="shared" si="104"/>
        <v>Junio</v>
      </c>
      <c r="I687" s="6" t="str">
        <f t="shared" si="107"/>
        <v>2024-1</v>
      </c>
      <c r="J687" s="11">
        <v>128735.29679399999</v>
      </c>
      <c r="K687" s="11">
        <v>131039.3223</v>
      </c>
      <c r="L687" s="15">
        <f t="shared" si="109"/>
        <v>1.0178973876114712</v>
      </c>
      <c r="M687" s="8">
        <f>IFERROR(IF((K687/J687)&gt;1.3,1.3,K687/J687),"")</f>
        <v>1.0178973876114712</v>
      </c>
      <c r="N687" s="5" t="s">
        <v>474</v>
      </c>
      <c r="O687" s="5" t="s">
        <v>474</v>
      </c>
      <c r="P687" s="16">
        <v>0</v>
      </c>
      <c r="Q687" s="16">
        <v>0</v>
      </c>
      <c r="R687" s="5" t="str">
        <f t="shared" si="108"/>
        <v>207-2024-06-30</v>
      </c>
    </row>
    <row r="688" spans="1:18" x14ac:dyDescent="0.3">
      <c r="A688" s="26">
        <v>207</v>
      </c>
      <c r="B688" s="5" t="s">
        <v>88</v>
      </c>
      <c r="C688" s="5" t="s">
        <v>84</v>
      </c>
      <c r="D688" s="5" t="s">
        <v>8</v>
      </c>
      <c r="E688" s="5" t="s">
        <v>14</v>
      </c>
      <c r="F688" s="6">
        <v>45657</v>
      </c>
      <c r="G688" s="5">
        <f t="shared" si="103"/>
        <v>2024</v>
      </c>
      <c r="H688" s="5" t="str">
        <f t="shared" si="104"/>
        <v>Diciembre</v>
      </c>
      <c r="I688" s="6" t="str">
        <f t="shared" si="107"/>
        <v>2024-2</v>
      </c>
      <c r="J688" s="11">
        <f>262628344390/1000000</f>
        <v>262628.34438999998</v>
      </c>
      <c r="K688" s="11">
        <f>268399199817/1000000</f>
        <v>268399.19981700002</v>
      </c>
      <c r="L688" s="15">
        <f t="shared" si="109"/>
        <v>1.0219734676407599</v>
      </c>
      <c r="M688" s="8">
        <f>IFERROR(IF((K688/J688)&gt;1.3,1.3,K688/J688),"")</f>
        <v>1.0219734676407599</v>
      </c>
      <c r="N688" s="5" t="s">
        <v>474</v>
      </c>
      <c r="O688" s="5" t="s">
        <v>474</v>
      </c>
      <c r="P688" s="16">
        <v>0</v>
      </c>
      <c r="Q688" s="16">
        <v>0</v>
      </c>
      <c r="R688" s="5" t="str">
        <f t="shared" si="108"/>
        <v>207-2024-12-31</v>
      </c>
    </row>
    <row r="689" spans="1:18" x14ac:dyDescent="0.3">
      <c r="A689" s="26">
        <v>208</v>
      </c>
      <c r="B689" s="5" t="s">
        <v>89</v>
      </c>
      <c r="C689" s="5" t="s">
        <v>90</v>
      </c>
      <c r="D689" s="5" t="s">
        <v>18</v>
      </c>
      <c r="E689" s="5" t="s">
        <v>14</v>
      </c>
      <c r="F689" s="6">
        <v>44957</v>
      </c>
      <c r="G689" s="5">
        <f t="shared" si="103"/>
        <v>2023</v>
      </c>
      <c r="H689" s="5" t="str">
        <f t="shared" si="104"/>
        <v>Enero</v>
      </c>
      <c r="I689" s="6" t="str">
        <f t="shared" si="107"/>
        <v>2023-1</v>
      </c>
      <c r="J689" s="5"/>
      <c r="K689" s="9">
        <v>1019</v>
      </c>
      <c r="L689" s="15"/>
      <c r="M689" s="8"/>
      <c r="N689" s="5" t="s">
        <v>477</v>
      </c>
      <c r="O689" s="5" t="s">
        <v>723</v>
      </c>
      <c r="P689" s="16">
        <v>0</v>
      </c>
      <c r="Q689" s="16">
        <v>0</v>
      </c>
      <c r="R689" s="5" t="str">
        <f t="shared" si="108"/>
        <v>208-2023-01-31</v>
      </c>
    </row>
    <row r="690" spans="1:18" x14ac:dyDescent="0.3">
      <c r="A690" s="26">
        <v>208</v>
      </c>
      <c r="B690" s="5" t="s">
        <v>89</v>
      </c>
      <c r="C690" s="5" t="s">
        <v>90</v>
      </c>
      <c r="D690" s="5" t="s">
        <v>18</v>
      </c>
      <c r="E690" s="5" t="s">
        <v>14</v>
      </c>
      <c r="F690" s="17">
        <v>44985</v>
      </c>
      <c r="G690" s="5">
        <f t="shared" si="103"/>
        <v>2023</v>
      </c>
      <c r="H690" s="5" t="str">
        <f t="shared" si="104"/>
        <v>Febrero</v>
      </c>
      <c r="I690" s="6" t="str">
        <f t="shared" si="107"/>
        <v>2023-1</v>
      </c>
      <c r="J690" s="5"/>
      <c r="K690" s="9">
        <v>896</v>
      </c>
      <c r="L690" s="15"/>
      <c r="M690" s="8"/>
      <c r="N690" s="5" t="s">
        <v>477</v>
      </c>
      <c r="O690" s="5" t="s">
        <v>723</v>
      </c>
      <c r="P690" s="16">
        <v>0</v>
      </c>
      <c r="Q690" s="16">
        <v>0</v>
      </c>
      <c r="R690" s="5" t="str">
        <f t="shared" si="108"/>
        <v>208-2023-02-28</v>
      </c>
    </row>
    <row r="691" spans="1:18" x14ac:dyDescent="0.3">
      <c r="A691" s="26">
        <v>208</v>
      </c>
      <c r="B691" s="5" t="s">
        <v>89</v>
      </c>
      <c r="C691" s="5" t="s">
        <v>90</v>
      </c>
      <c r="D691" s="5" t="s">
        <v>18</v>
      </c>
      <c r="E691" s="5" t="s">
        <v>14</v>
      </c>
      <c r="F691" s="6">
        <v>45016</v>
      </c>
      <c r="G691" s="5">
        <f t="shared" si="103"/>
        <v>2023</v>
      </c>
      <c r="H691" s="5" t="str">
        <f t="shared" si="104"/>
        <v>Marzo</v>
      </c>
      <c r="I691" s="6" t="str">
        <f t="shared" si="107"/>
        <v>2023-1</v>
      </c>
      <c r="J691" s="5"/>
      <c r="K691" s="9">
        <v>962</v>
      </c>
      <c r="L691" s="15"/>
      <c r="M691" s="8"/>
      <c r="N691" s="5" t="s">
        <v>477</v>
      </c>
      <c r="O691" s="5" t="s">
        <v>723</v>
      </c>
      <c r="P691" s="16">
        <v>0</v>
      </c>
      <c r="Q691" s="16">
        <v>0</v>
      </c>
      <c r="R691" s="5" t="str">
        <f t="shared" si="108"/>
        <v>208-2023-03-31</v>
      </c>
    </row>
    <row r="692" spans="1:18" x14ac:dyDescent="0.3">
      <c r="A692" s="26">
        <v>208</v>
      </c>
      <c r="B692" s="5" t="s">
        <v>89</v>
      </c>
      <c r="C692" s="5" t="s">
        <v>90</v>
      </c>
      <c r="D692" s="5" t="s">
        <v>18</v>
      </c>
      <c r="E692" s="5" t="s">
        <v>14</v>
      </c>
      <c r="F692" s="6">
        <v>45046</v>
      </c>
      <c r="G692" s="5">
        <f t="shared" si="103"/>
        <v>2023</v>
      </c>
      <c r="H692" s="5" t="str">
        <f t="shared" si="104"/>
        <v>Abril</v>
      </c>
      <c r="I692" s="6" t="str">
        <f t="shared" si="107"/>
        <v>2023-1</v>
      </c>
      <c r="J692" s="5"/>
      <c r="K692" s="9">
        <v>957.6</v>
      </c>
      <c r="L692" s="15"/>
      <c r="M692" s="8"/>
      <c r="N692" s="5" t="s">
        <v>477</v>
      </c>
      <c r="O692" s="5" t="s">
        <v>723</v>
      </c>
      <c r="P692" s="16">
        <v>0</v>
      </c>
      <c r="Q692" s="16">
        <v>0</v>
      </c>
      <c r="R692" s="5" t="str">
        <f t="shared" si="108"/>
        <v>208-2023-04-30</v>
      </c>
    </row>
    <row r="693" spans="1:18" x14ac:dyDescent="0.3">
      <c r="A693" s="26">
        <v>208</v>
      </c>
      <c r="B693" s="5" t="s">
        <v>89</v>
      </c>
      <c r="C693" s="5" t="s">
        <v>90</v>
      </c>
      <c r="D693" s="5" t="s">
        <v>18</v>
      </c>
      <c r="E693" s="5" t="s">
        <v>14</v>
      </c>
      <c r="F693" s="6">
        <v>45077</v>
      </c>
      <c r="G693" s="5">
        <f t="shared" si="103"/>
        <v>2023</v>
      </c>
      <c r="H693" s="5" t="str">
        <f t="shared" si="104"/>
        <v>Mayo</v>
      </c>
      <c r="I693" s="6" t="str">
        <f t="shared" si="107"/>
        <v>2023-1</v>
      </c>
      <c r="J693" s="5"/>
      <c r="K693" s="9">
        <v>1268</v>
      </c>
      <c r="L693" s="15"/>
      <c r="M693" s="8"/>
      <c r="N693" s="5" t="s">
        <v>477</v>
      </c>
      <c r="O693" s="5" t="s">
        <v>723</v>
      </c>
      <c r="P693" s="16">
        <v>0</v>
      </c>
      <c r="Q693" s="16">
        <v>0</v>
      </c>
      <c r="R693" s="5" t="str">
        <f t="shared" si="108"/>
        <v>208-2023-05-31</v>
      </c>
    </row>
    <row r="694" spans="1:18" x14ac:dyDescent="0.3">
      <c r="A694" s="26">
        <v>208</v>
      </c>
      <c r="B694" s="5" t="s">
        <v>89</v>
      </c>
      <c r="C694" s="5" t="s">
        <v>90</v>
      </c>
      <c r="D694" s="5" t="s">
        <v>18</v>
      </c>
      <c r="E694" s="5" t="s">
        <v>14</v>
      </c>
      <c r="F694" s="6">
        <v>45107</v>
      </c>
      <c r="G694" s="5">
        <f t="shared" si="103"/>
        <v>2023</v>
      </c>
      <c r="H694" s="5" t="str">
        <f t="shared" si="104"/>
        <v>Junio</v>
      </c>
      <c r="I694" s="6" t="str">
        <f t="shared" si="107"/>
        <v>2023-1</v>
      </c>
      <c r="J694" s="5"/>
      <c r="K694" s="9">
        <v>1457</v>
      </c>
      <c r="L694" s="15"/>
      <c r="M694" s="8"/>
      <c r="N694" s="5" t="s">
        <v>477</v>
      </c>
      <c r="O694" s="5" t="s">
        <v>723</v>
      </c>
      <c r="P694" s="16">
        <v>0</v>
      </c>
      <c r="Q694" s="16">
        <v>0</v>
      </c>
      <c r="R694" s="5" t="str">
        <f t="shared" si="108"/>
        <v>208-2023-06-30</v>
      </c>
    </row>
    <row r="695" spans="1:18" x14ac:dyDescent="0.3">
      <c r="A695" s="26">
        <v>208</v>
      </c>
      <c r="B695" s="5" t="s">
        <v>89</v>
      </c>
      <c r="C695" s="5" t="s">
        <v>90</v>
      </c>
      <c r="D695" s="5" t="s">
        <v>18</v>
      </c>
      <c r="E695" s="5" t="s">
        <v>14</v>
      </c>
      <c r="F695" s="6">
        <v>45138</v>
      </c>
      <c r="G695" s="5">
        <f t="shared" si="103"/>
        <v>2023</v>
      </c>
      <c r="H695" s="5" t="str">
        <f t="shared" si="104"/>
        <v>Julio</v>
      </c>
      <c r="I695" s="6" t="str">
        <f t="shared" si="107"/>
        <v>2023-2</v>
      </c>
      <c r="J695" s="5"/>
      <c r="K695" s="9">
        <v>1160</v>
      </c>
      <c r="L695" s="15"/>
      <c r="M695" s="8"/>
      <c r="N695" s="5" t="s">
        <v>477</v>
      </c>
      <c r="O695" s="5" t="s">
        <v>723</v>
      </c>
      <c r="P695" s="16">
        <v>0</v>
      </c>
      <c r="Q695" s="16">
        <v>0</v>
      </c>
      <c r="R695" s="5" t="str">
        <f t="shared" si="108"/>
        <v>208-2023-07-31</v>
      </c>
    </row>
    <row r="696" spans="1:18" x14ac:dyDescent="0.3">
      <c r="A696" s="26">
        <v>208</v>
      </c>
      <c r="B696" s="5" t="s">
        <v>89</v>
      </c>
      <c r="C696" s="5" t="s">
        <v>90</v>
      </c>
      <c r="D696" s="5" t="s">
        <v>18</v>
      </c>
      <c r="E696" s="5" t="s">
        <v>14</v>
      </c>
      <c r="F696" s="6">
        <v>45169</v>
      </c>
      <c r="G696" s="5">
        <f t="shared" si="103"/>
        <v>2023</v>
      </c>
      <c r="H696" s="5" t="str">
        <f t="shared" si="104"/>
        <v>Agosto</v>
      </c>
      <c r="I696" s="6" t="str">
        <f t="shared" si="107"/>
        <v>2023-2</v>
      </c>
      <c r="J696" s="5"/>
      <c r="K696" s="9">
        <v>1275</v>
      </c>
      <c r="L696" s="15"/>
      <c r="M696" s="8"/>
      <c r="N696" s="5" t="s">
        <v>477</v>
      </c>
      <c r="O696" s="5" t="s">
        <v>723</v>
      </c>
      <c r="P696" s="16">
        <v>0</v>
      </c>
      <c r="Q696" s="16">
        <v>0</v>
      </c>
      <c r="R696" s="5" t="str">
        <f t="shared" si="108"/>
        <v>208-2023-08-31</v>
      </c>
    </row>
    <row r="697" spans="1:18" x14ac:dyDescent="0.3">
      <c r="A697" s="26">
        <v>208</v>
      </c>
      <c r="B697" s="5" t="s">
        <v>89</v>
      </c>
      <c r="C697" s="5" t="s">
        <v>90</v>
      </c>
      <c r="D697" s="5" t="s">
        <v>18</v>
      </c>
      <c r="E697" s="5" t="s">
        <v>14</v>
      </c>
      <c r="F697" s="6">
        <v>45199</v>
      </c>
      <c r="G697" s="5">
        <f t="shared" si="103"/>
        <v>2023</v>
      </c>
      <c r="H697" s="5" t="str">
        <f t="shared" si="104"/>
        <v>Septiembre</v>
      </c>
      <c r="I697" s="6" t="str">
        <f t="shared" si="107"/>
        <v>2023-2</v>
      </c>
      <c r="J697" s="5"/>
      <c r="K697" s="9">
        <v>1453.5</v>
      </c>
      <c r="L697" s="15"/>
      <c r="M697" s="8"/>
      <c r="N697" s="5" t="s">
        <v>477</v>
      </c>
      <c r="O697" s="5" t="s">
        <v>723</v>
      </c>
      <c r="P697" s="16">
        <v>0</v>
      </c>
      <c r="Q697" s="16">
        <v>0</v>
      </c>
      <c r="R697" s="5" t="str">
        <f t="shared" si="108"/>
        <v>208-2023-09-30</v>
      </c>
    </row>
    <row r="698" spans="1:18" x14ac:dyDescent="0.3">
      <c r="A698" s="26">
        <v>208</v>
      </c>
      <c r="B698" s="5" t="s">
        <v>89</v>
      </c>
      <c r="C698" s="5" t="s">
        <v>90</v>
      </c>
      <c r="D698" s="5" t="s">
        <v>18</v>
      </c>
      <c r="E698" s="5" t="s">
        <v>14</v>
      </c>
      <c r="F698" s="6">
        <v>45230</v>
      </c>
      <c r="G698" s="5">
        <f t="shared" si="103"/>
        <v>2023</v>
      </c>
      <c r="H698" s="5" t="str">
        <f t="shared" si="104"/>
        <v>Octubre</v>
      </c>
      <c r="I698" s="6" t="str">
        <f t="shared" si="107"/>
        <v>2023-2</v>
      </c>
      <c r="J698" s="5"/>
      <c r="K698" s="9">
        <v>1575.9</v>
      </c>
      <c r="L698" s="15"/>
      <c r="M698" s="8"/>
      <c r="N698" s="5" t="s">
        <v>477</v>
      </c>
      <c r="O698" s="5" t="s">
        <v>723</v>
      </c>
      <c r="P698" s="16">
        <v>0</v>
      </c>
      <c r="Q698" s="16">
        <v>0</v>
      </c>
      <c r="R698" s="5" t="str">
        <f t="shared" si="108"/>
        <v>208-2023-10-31</v>
      </c>
    </row>
    <row r="699" spans="1:18" x14ac:dyDescent="0.3">
      <c r="A699" s="26">
        <v>208</v>
      </c>
      <c r="B699" s="5" t="s">
        <v>89</v>
      </c>
      <c r="C699" s="5" t="s">
        <v>90</v>
      </c>
      <c r="D699" s="5" t="s">
        <v>18</v>
      </c>
      <c r="E699" s="5" t="s">
        <v>14</v>
      </c>
      <c r="F699" s="6">
        <v>45260</v>
      </c>
      <c r="G699" s="5">
        <f t="shared" si="103"/>
        <v>2023</v>
      </c>
      <c r="H699" s="5" t="str">
        <f t="shared" si="104"/>
        <v>Noviembre</v>
      </c>
      <c r="I699" s="6" t="str">
        <f t="shared" si="107"/>
        <v>2023-2</v>
      </c>
      <c r="J699" s="5"/>
      <c r="K699" s="9">
        <v>1380</v>
      </c>
      <c r="L699" s="15"/>
      <c r="M699" s="8"/>
      <c r="N699" s="5" t="s">
        <v>477</v>
      </c>
      <c r="O699" s="5" t="s">
        <v>723</v>
      </c>
      <c r="P699" s="16">
        <v>0</v>
      </c>
      <c r="Q699" s="16">
        <v>0</v>
      </c>
      <c r="R699" s="5" t="str">
        <f t="shared" si="108"/>
        <v>208-2023-11-30</v>
      </c>
    </row>
    <row r="700" spans="1:18" x14ac:dyDescent="0.3">
      <c r="A700" s="26">
        <v>208</v>
      </c>
      <c r="B700" s="5" t="s">
        <v>89</v>
      </c>
      <c r="C700" s="5" t="s">
        <v>90</v>
      </c>
      <c r="D700" s="5" t="s">
        <v>18</v>
      </c>
      <c r="E700" s="5" t="s">
        <v>14</v>
      </c>
      <c r="F700" s="6">
        <v>45291</v>
      </c>
      <c r="G700" s="5">
        <f t="shared" si="103"/>
        <v>2023</v>
      </c>
      <c r="H700" s="5" t="str">
        <f t="shared" si="104"/>
        <v>Diciembre</v>
      </c>
      <c r="I700" s="6" t="str">
        <f t="shared" si="107"/>
        <v>2023-2</v>
      </c>
      <c r="J700" s="5"/>
      <c r="K700" s="9">
        <v>1336</v>
      </c>
      <c r="L700" s="15"/>
      <c r="M700" s="8"/>
      <c r="N700" s="5" t="s">
        <v>477</v>
      </c>
      <c r="O700" s="5" t="s">
        <v>723</v>
      </c>
      <c r="P700" s="16">
        <v>0</v>
      </c>
      <c r="Q700" s="16">
        <v>0</v>
      </c>
      <c r="R700" s="5" t="str">
        <f t="shared" si="108"/>
        <v>208-2023-12-31</v>
      </c>
    </row>
    <row r="701" spans="1:18" x14ac:dyDescent="0.3">
      <c r="A701" s="26">
        <v>208</v>
      </c>
      <c r="B701" s="5" t="s">
        <v>89</v>
      </c>
      <c r="C701" s="5" t="s">
        <v>90</v>
      </c>
      <c r="D701" s="5" t="s">
        <v>18</v>
      </c>
      <c r="E701" s="5" t="s">
        <v>14</v>
      </c>
      <c r="F701" s="6">
        <v>45322</v>
      </c>
      <c r="G701" s="5">
        <f t="shared" si="103"/>
        <v>2024</v>
      </c>
      <c r="H701" s="5" t="str">
        <f t="shared" si="104"/>
        <v>Enero</v>
      </c>
      <c r="I701" s="6" t="str">
        <f t="shared" si="107"/>
        <v>2024-1</v>
      </c>
      <c r="J701" s="5">
        <v>1700</v>
      </c>
      <c r="K701" s="9">
        <v>1326</v>
      </c>
      <c r="L701" s="15">
        <f t="shared" ref="L701:L712" si="114">IF(IFERROR(J701/K701,"")&gt;130%,130%,J701/K701)</f>
        <v>1.2820512820512822</v>
      </c>
      <c r="M701" s="8">
        <f t="shared" ref="M701:M712" si="115">IFERROR(J701/K701,"")</f>
        <v>1.2820512820512822</v>
      </c>
      <c r="N701" s="5" t="s">
        <v>723</v>
      </c>
      <c r="O701" s="5" t="s">
        <v>723</v>
      </c>
      <c r="P701" s="16">
        <v>0</v>
      </c>
      <c r="Q701" s="16">
        <v>0</v>
      </c>
      <c r="R701" s="5" t="str">
        <f t="shared" si="108"/>
        <v>208-2024-01-31</v>
      </c>
    </row>
    <row r="702" spans="1:18" x14ac:dyDescent="0.3">
      <c r="A702" s="26">
        <v>208</v>
      </c>
      <c r="B702" s="5" t="s">
        <v>89</v>
      </c>
      <c r="C702" s="5" t="s">
        <v>90</v>
      </c>
      <c r="D702" s="5" t="s">
        <v>18</v>
      </c>
      <c r="E702" s="5" t="s">
        <v>14</v>
      </c>
      <c r="F702" s="17">
        <v>45351</v>
      </c>
      <c r="G702" s="5">
        <f t="shared" si="103"/>
        <v>2024</v>
      </c>
      <c r="H702" s="5" t="str">
        <f t="shared" si="104"/>
        <v>Febrero</v>
      </c>
      <c r="I702" s="6" t="str">
        <f t="shared" si="107"/>
        <v>2024-1</v>
      </c>
      <c r="J702" s="5">
        <v>1700</v>
      </c>
      <c r="K702" s="9">
        <v>1307</v>
      </c>
      <c r="L702" s="15">
        <f t="shared" si="114"/>
        <v>1.3</v>
      </c>
      <c r="M702" s="8">
        <f t="shared" si="115"/>
        <v>1.3006885998469777</v>
      </c>
      <c r="N702" s="5" t="s">
        <v>723</v>
      </c>
      <c r="O702" s="5" t="s">
        <v>723</v>
      </c>
      <c r="P702" s="16">
        <v>0</v>
      </c>
      <c r="Q702" s="16">
        <v>0</v>
      </c>
      <c r="R702" s="5" t="str">
        <f t="shared" si="108"/>
        <v>208-2024-02-29</v>
      </c>
    </row>
    <row r="703" spans="1:18" x14ac:dyDescent="0.3">
      <c r="A703" s="26">
        <v>208</v>
      </c>
      <c r="B703" s="5" t="s">
        <v>89</v>
      </c>
      <c r="C703" s="5" t="s">
        <v>90</v>
      </c>
      <c r="D703" s="5" t="s">
        <v>18</v>
      </c>
      <c r="E703" s="5" t="s">
        <v>14</v>
      </c>
      <c r="F703" s="6">
        <v>45382</v>
      </c>
      <c r="G703" s="5">
        <f t="shared" si="103"/>
        <v>2024</v>
      </c>
      <c r="H703" s="5" t="str">
        <f t="shared" si="104"/>
        <v>Marzo</v>
      </c>
      <c r="I703" s="6" t="str">
        <f t="shared" si="107"/>
        <v>2024-1</v>
      </c>
      <c r="J703" s="5">
        <v>1700</v>
      </c>
      <c r="K703" s="10">
        <v>1474.5</v>
      </c>
      <c r="L703" s="15">
        <f t="shared" si="114"/>
        <v>1.1529331976941335</v>
      </c>
      <c r="M703" s="8">
        <f t="shared" si="115"/>
        <v>1.1529331976941335</v>
      </c>
      <c r="N703" s="5" t="s">
        <v>723</v>
      </c>
      <c r="O703" s="5" t="s">
        <v>723</v>
      </c>
      <c r="P703" s="16">
        <v>0</v>
      </c>
      <c r="Q703" s="16">
        <v>0</v>
      </c>
      <c r="R703" s="5" t="str">
        <f t="shared" si="108"/>
        <v>208-2024-03-31</v>
      </c>
    </row>
    <row r="704" spans="1:18" x14ac:dyDescent="0.3">
      <c r="A704" s="26">
        <v>208</v>
      </c>
      <c r="B704" s="5" t="s">
        <v>89</v>
      </c>
      <c r="C704" s="5" t="s">
        <v>90</v>
      </c>
      <c r="D704" s="5" t="s">
        <v>18</v>
      </c>
      <c r="E704" s="5" t="s">
        <v>14</v>
      </c>
      <c r="F704" s="6">
        <v>45412</v>
      </c>
      <c r="G704" s="5">
        <f t="shared" si="103"/>
        <v>2024</v>
      </c>
      <c r="H704" s="5" t="str">
        <f t="shared" si="104"/>
        <v>Abril</v>
      </c>
      <c r="I704" s="6" t="str">
        <f t="shared" si="107"/>
        <v>2024-1</v>
      </c>
      <c r="J704" s="5">
        <v>1700</v>
      </c>
      <c r="K704" s="9">
        <v>1526</v>
      </c>
      <c r="L704" s="15">
        <f t="shared" si="114"/>
        <v>1.1140235910878113</v>
      </c>
      <c r="M704" s="8">
        <f t="shared" si="115"/>
        <v>1.1140235910878113</v>
      </c>
      <c r="N704" s="5" t="s">
        <v>723</v>
      </c>
      <c r="O704" s="5" t="s">
        <v>723</v>
      </c>
      <c r="P704" s="16">
        <v>0</v>
      </c>
      <c r="Q704" s="16">
        <v>0</v>
      </c>
      <c r="R704" s="5" t="str">
        <f t="shared" si="108"/>
        <v>208-2024-04-30</v>
      </c>
    </row>
    <row r="705" spans="1:18" x14ac:dyDescent="0.3">
      <c r="A705" s="26">
        <v>208</v>
      </c>
      <c r="B705" s="5" t="s">
        <v>89</v>
      </c>
      <c r="C705" s="5" t="s">
        <v>90</v>
      </c>
      <c r="D705" s="5" t="s">
        <v>18</v>
      </c>
      <c r="E705" s="5" t="s">
        <v>14</v>
      </c>
      <c r="F705" s="6">
        <v>45443</v>
      </c>
      <c r="G705" s="5">
        <f t="shared" si="103"/>
        <v>2024</v>
      </c>
      <c r="H705" s="5" t="str">
        <f t="shared" si="104"/>
        <v>Mayo</v>
      </c>
      <c r="I705" s="6" t="str">
        <f t="shared" si="107"/>
        <v>2024-1</v>
      </c>
      <c r="J705" s="5">
        <v>1700</v>
      </c>
      <c r="K705" s="9">
        <v>1517.5</v>
      </c>
      <c r="L705" s="15">
        <f t="shared" si="114"/>
        <v>1.1202635914332784</v>
      </c>
      <c r="M705" s="8">
        <f t="shared" si="115"/>
        <v>1.1202635914332784</v>
      </c>
      <c r="N705" s="5" t="s">
        <v>723</v>
      </c>
      <c r="O705" s="5" t="s">
        <v>723</v>
      </c>
      <c r="P705" s="16">
        <v>0</v>
      </c>
      <c r="Q705" s="16">
        <v>0</v>
      </c>
      <c r="R705" s="5" t="str">
        <f t="shared" si="108"/>
        <v>208-2024-05-31</v>
      </c>
    </row>
    <row r="706" spans="1:18" x14ac:dyDescent="0.3">
      <c r="A706" s="26">
        <v>208</v>
      </c>
      <c r="B706" s="5" t="s">
        <v>89</v>
      </c>
      <c r="C706" s="5" t="s">
        <v>90</v>
      </c>
      <c r="D706" s="5" t="s">
        <v>18</v>
      </c>
      <c r="E706" s="5" t="s">
        <v>14</v>
      </c>
      <c r="F706" s="6">
        <v>45473</v>
      </c>
      <c r="G706" s="5">
        <f t="shared" ref="G706:G769" si="116">YEAR(F706)</f>
        <v>2024</v>
      </c>
      <c r="H706" s="5" t="str">
        <f t="shared" ref="H706:H769" si="117">PROPER(TEXT(F706,"mmmm"))</f>
        <v>Junio</v>
      </c>
      <c r="I706" s="6" t="str">
        <f t="shared" si="107"/>
        <v>2024-1</v>
      </c>
      <c r="J706" s="5">
        <v>1700</v>
      </c>
      <c r="K706" s="9">
        <v>1291</v>
      </c>
      <c r="L706" s="15">
        <f t="shared" si="114"/>
        <v>1.3</v>
      </c>
      <c r="M706" s="8">
        <f t="shared" si="115"/>
        <v>1.3168086754453912</v>
      </c>
      <c r="N706" s="5" t="s">
        <v>723</v>
      </c>
      <c r="O706" s="5" t="s">
        <v>723</v>
      </c>
      <c r="P706" s="16">
        <v>0</v>
      </c>
      <c r="Q706" s="16">
        <v>0</v>
      </c>
      <c r="R706" s="5" t="str">
        <f t="shared" si="108"/>
        <v>208-2024-06-30</v>
      </c>
    </row>
    <row r="707" spans="1:18" x14ac:dyDescent="0.3">
      <c r="A707" s="26">
        <v>208</v>
      </c>
      <c r="B707" s="5" t="s">
        <v>89</v>
      </c>
      <c r="C707" s="5" t="s">
        <v>90</v>
      </c>
      <c r="D707" s="5" t="s">
        <v>18</v>
      </c>
      <c r="E707" s="5" t="s">
        <v>14</v>
      </c>
      <c r="F707" s="6">
        <v>45504</v>
      </c>
      <c r="G707" s="5">
        <f t="shared" si="116"/>
        <v>2024</v>
      </c>
      <c r="H707" s="5" t="str">
        <f t="shared" si="117"/>
        <v>Julio</v>
      </c>
      <c r="I707" s="6" t="str">
        <f t="shared" si="107"/>
        <v>2024-2</v>
      </c>
      <c r="J707" s="5">
        <v>1700</v>
      </c>
      <c r="K707" s="75">
        <v>1086</v>
      </c>
      <c r="L707" s="15">
        <f>IF(IFERROR(J707/K707,"")&gt;130%,130%,J707/K707)</f>
        <v>1.3</v>
      </c>
      <c r="M707" s="8">
        <f t="shared" si="115"/>
        <v>1.565377532228361</v>
      </c>
      <c r="N707" s="5" t="s">
        <v>723</v>
      </c>
      <c r="O707" s="5" t="s">
        <v>723</v>
      </c>
      <c r="P707" s="16">
        <v>0</v>
      </c>
      <c r="Q707" s="16">
        <v>0</v>
      </c>
      <c r="R707" s="5" t="str">
        <f t="shared" si="108"/>
        <v>208-2024-07-31</v>
      </c>
    </row>
    <row r="708" spans="1:18" x14ac:dyDescent="0.3">
      <c r="A708" s="26">
        <v>208</v>
      </c>
      <c r="B708" s="5" t="s">
        <v>89</v>
      </c>
      <c r="C708" s="5" t="s">
        <v>90</v>
      </c>
      <c r="D708" s="5" t="s">
        <v>18</v>
      </c>
      <c r="E708" s="5" t="s">
        <v>14</v>
      </c>
      <c r="F708" s="6">
        <v>45535</v>
      </c>
      <c r="G708" s="5">
        <f t="shared" si="116"/>
        <v>2024</v>
      </c>
      <c r="H708" s="5" t="str">
        <f t="shared" si="117"/>
        <v>Agosto</v>
      </c>
      <c r="I708" s="6" t="str">
        <f t="shared" si="107"/>
        <v>2024-2</v>
      </c>
      <c r="J708" s="5">
        <v>1700</v>
      </c>
      <c r="K708" s="75">
        <v>1281.5</v>
      </c>
      <c r="L708" s="15">
        <f t="shared" si="114"/>
        <v>1.3</v>
      </c>
      <c r="M708" s="8">
        <f t="shared" si="115"/>
        <v>1.3265704252828716</v>
      </c>
      <c r="N708" s="5" t="s">
        <v>723</v>
      </c>
      <c r="O708" s="5" t="s">
        <v>723</v>
      </c>
      <c r="P708" s="16">
        <v>0</v>
      </c>
      <c r="Q708" s="16">
        <v>0</v>
      </c>
      <c r="R708" s="5" t="str">
        <f t="shared" si="108"/>
        <v>208-2024-08-31</v>
      </c>
    </row>
    <row r="709" spans="1:18" x14ac:dyDescent="0.3">
      <c r="A709" s="26">
        <v>208</v>
      </c>
      <c r="B709" s="5" t="s">
        <v>89</v>
      </c>
      <c r="C709" s="5" t="s">
        <v>90</v>
      </c>
      <c r="D709" s="5" t="s">
        <v>18</v>
      </c>
      <c r="E709" s="5" t="s">
        <v>14</v>
      </c>
      <c r="F709" s="6">
        <v>45565</v>
      </c>
      <c r="G709" s="5">
        <f t="shared" si="116"/>
        <v>2024</v>
      </c>
      <c r="H709" s="5" t="str">
        <f t="shared" si="117"/>
        <v>Septiembre</v>
      </c>
      <c r="I709" s="6" t="str">
        <f t="shared" si="107"/>
        <v>2024-2</v>
      </c>
      <c r="J709" s="5">
        <v>1700</v>
      </c>
      <c r="K709" s="75">
        <v>1466</v>
      </c>
      <c r="L709" s="15">
        <f t="shared" si="114"/>
        <v>1.159618008185539</v>
      </c>
      <c r="M709" s="8">
        <f t="shared" si="115"/>
        <v>1.159618008185539</v>
      </c>
      <c r="N709" s="5" t="s">
        <v>723</v>
      </c>
      <c r="O709" s="5" t="s">
        <v>723</v>
      </c>
      <c r="P709" s="16">
        <v>0</v>
      </c>
      <c r="Q709" s="16">
        <v>0</v>
      </c>
      <c r="R709" s="5" t="str">
        <f t="shared" si="108"/>
        <v>208-2024-09-30</v>
      </c>
    </row>
    <row r="710" spans="1:18" x14ac:dyDescent="0.3">
      <c r="A710" s="26">
        <v>208</v>
      </c>
      <c r="B710" s="5" t="s">
        <v>89</v>
      </c>
      <c r="C710" s="5" t="s">
        <v>90</v>
      </c>
      <c r="D710" s="5" t="s">
        <v>18</v>
      </c>
      <c r="E710" s="5" t="s">
        <v>14</v>
      </c>
      <c r="F710" s="6">
        <v>45596</v>
      </c>
      <c r="G710" s="5">
        <f t="shared" si="116"/>
        <v>2024</v>
      </c>
      <c r="H710" s="5" t="str">
        <f t="shared" si="117"/>
        <v>Octubre</v>
      </c>
      <c r="I710" s="6" t="str">
        <f t="shared" si="107"/>
        <v>2024-2</v>
      </c>
      <c r="J710" s="5">
        <v>1700</v>
      </c>
      <c r="K710" s="75">
        <v>1345</v>
      </c>
      <c r="L710" s="15">
        <f t="shared" si="114"/>
        <v>1.2639405204460967</v>
      </c>
      <c r="M710" s="8">
        <f t="shared" si="115"/>
        <v>1.2639405204460967</v>
      </c>
      <c r="N710" s="5" t="s">
        <v>723</v>
      </c>
      <c r="O710" s="5" t="s">
        <v>723</v>
      </c>
      <c r="P710" s="16">
        <v>0</v>
      </c>
      <c r="Q710" s="16">
        <v>0</v>
      </c>
      <c r="R710" s="5" t="str">
        <f t="shared" si="108"/>
        <v>208-2024-10-31</v>
      </c>
    </row>
    <row r="711" spans="1:18" x14ac:dyDescent="0.3">
      <c r="A711" s="26">
        <v>208</v>
      </c>
      <c r="B711" s="5" t="s">
        <v>89</v>
      </c>
      <c r="C711" s="5" t="s">
        <v>90</v>
      </c>
      <c r="D711" s="5" t="s">
        <v>18</v>
      </c>
      <c r="E711" s="5" t="s">
        <v>14</v>
      </c>
      <c r="F711" s="6">
        <v>45626</v>
      </c>
      <c r="G711" s="5">
        <f t="shared" si="116"/>
        <v>2024</v>
      </c>
      <c r="H711" s="5" t="str">
        <f t="shared" si="117"/>
        <v>Noviembre</v>
      </c>
      <c r="I711" s="6" t="str">
        <f t="shared" si="107"/>
        <v>2024-2</v>
      </c>
      <c r="J711" s="5">
        <v>1700</v>
      </c>
      <c r="K711" s="75">
        <v>1115</v>
      </c>
      <c r="L711" s="15">
        <f t="shared" si="114"/>
        <v>1.3</v>
      </c>
      <c r="M711" s="8">
        <f t="shared" si="115"/>
        <v>1.5246636771300448</v>
      </c>
      <c r="N711" s="5" t="s">
        <v>723</v>
      </c>
      <c r="O711" s="5" t="s">
        <v>723</v>
      </c>
      <c r="P711" s="16">
        <v>0</v>
      </c>
      <c r="Q711" s="16">
        <v>0</v>
      </c>
      <c r="R711" s="5" t="str">
        <f t="shared" si="108"/>
        <v>208-2024-11-30</v>
      </c>
    </row>
    <row r="712" spans="1:18" x14ac:dyDescent="0.3">
      <c r="A712" s="26">
        <v>208</v>
      </c>
      <c r="B712" s="5" t="s">
        <v>89</v>
      </c>
      <c r="C712" s="5" t="s">
        <v>90</v>
      </c>
      <c r="D712" s="5" t="s">
        <v>18</v>
      </c>
      <c r="E712" s="5" t="s">
        <v>14</v>
      </c>
      <c r="F712" s="6">
        <v>45657</v>
      </c>
      <c r="G712" s="5">
        <f t="shared" si="116"/>
        <v>2024</v>
      </c>
      <c r="H712" s="5" t="str">
        <f t="shared" si="117"/>
        <v>Diciembre</v>
      </c>
      <c r="I712" s="6" t="str">
        <f t="shared" si="107"/>
        <v>2024-2</v>
      </c>
      <c r="J712" s="5">
        <v>1700</v>
      </c>
      <c r="K712" s="75">
        <v>939</v>
      </c>
      <c r="L712" s="15">
        <f t="shared" si="114"/>
        <v>1.3</v>
      </c>
      <c r="M712" s="8">
        <f t="shared" si="115"/>
        <v>1.8104366347177849</v>
      </c>
      <c r="N712" s="5" t="s">
        <v>723</v>
      </c>
      <c r="O712" s="5" t="s">
        <v>723</v>
      </c>
      <c r="P712" s="16">
        <v>0</v>
      </c>
      <c r="Q712" s="16">
        <v>0</v>
      </c>
      <c r="R712" s="5" t="str">
        <f t="shared" si="108"/>
        <v>208-2024-12-31</v>
      </c>
    </row>
    <row r="713" spans="1:18" x14ac:dyDescent="0.3">
      <c r="A713" s="26">
        <v>213</v>
      </c>
      <c r="B713" s="5" t="s">
        <v>92</v>
      </c>
      <c r="C713" s="5" t="s">
        <v>90</v>
      </c>
      <c r="D713" s="5" t="s">
        <v>11</v>
      </c>
      <c r="E713" s="5" t="s">
        <v>9</v>
      </c>
      <c r="F713" s="6">
        <v>45016</v>
      </c>
      <c r="G713" s="5">
        <f t="shared" si="116"/>
        <v>2023</v>
      </c>
      <c r="H713" s="5" t="str">
        <f t="shared" si="117"/>
        <v>Marzo</v>
      </c>
      <c r="I713" s="6" t="str">
        <f t="shared" si="107"/>
        <v>2023-1</v>
      </c>
      <c r="J713" s="5">
        <v>90</v>
      </c>
      <c r="K713" s="9">
        <v>100</v>
      </c>
      <c r="L713" s="22">
        <f>IFERROR(K713/J713,"")</f>
        <v>1.1111111111111112</v>
      </c>
      <c r="M713" s="15">
        <f t="shared" ref="M713:M716" si="118">IFERROR(IF((K713/J713)&gt;K713/J713,1.3,K713/J713),"")</f>
        <v>1.1111111111111112</v>
      </c>
      <c r="N713" s="5" t="s">
        <v>723</v>
      </c>
      <c r="O713" s="5" t="s">
        <v>723</v>
      </c>
      <c r="P713" s="16">
        <v>0</v>
      </c>
      <c r="Q713" s="16">
        <v>0</v>
      </c>
      <c r="R713" s="5" t="str">
        <f t="shared" si="108"/>
        <v>213-2023-03-31</v>
      </c>
    </row>
    <row r="714" spans="1:18" x14ac:dyDescent="0.3">
      <c r="A714" s="26">
        <v>213</v>
      </c>
      <c r="B714" s="5" t="s">
        <v>92</v>
      </c>
      <c r="C714" s="5" t="s">
        <v>90</v>
      </c>
      <c r="D714" s="5" t="s">
        <v>11</v>
      </c>
      <c r="E714" s="5" t="s">
        <v>9</v>
      </c>
      <c r="F714" s="6">
        <v>45107</v>
      </c>
      <c r="G714" s="5">
        <f t="shared" si="116"/>
        <v>2023</v>
      </c>
      <c r="H714" s="5" t="str">
        <f t="shared" si="117"/>
        <v>Junio</v>
      </c>
      <c r="I714" s="6" t="str">
        <f t="shared" si="107"/>
        <v>2023-1</v>
      </c>
      <c r="J714" s="5">
        <v>90</v>
      </c>
      <c r="K714" s="9">
        <v>93.326250000000002</v>
      </c>
      <c r="L714" s="22">
        <f>IFERROR(K714/J714,"")</f>
        <v>1.0369583333333334</v>
      </c>
      <c r="M714" s="15">
        <f t="shared" si="118"/>
        <v>1.0369583333333334</v>
      </c>
      <c r="N714" s="5" t="s">
        <v>723</v>
      </c>
      <c r="O714" s="5" t="s">
        <v>723</v>
      </c>
      <c r="P714" s="16">
        <v>0</v>
      </c>
      <c r="Q714" s="16">
        <v>0</v>
      </c>
      <c r="R714" s="5" t="str">
        <f t="shared" si="108"/>
        <v>213-2023-06-30</v>
      </c>
    </row>
    <row r="715" spans="1:18" x14ac:dyDescent="0.3">
      <c r="A715" s="26">
        <v>213</v>
      </c>
      <c r="B715" s="5" t="s">
        <v>92</v>
      </c>
      <c r="C715" s="5" t="s">
        <v>90</v>
      </c>
      <c r="D715" s="5" t="s">
        <v>11</v>
      </c>
      <c r="E715" s="5" t="s">
        <v>9</v>
      </c>
      <c r="F715" s="6">
        <v>45199</v>
      </c>
      <c r="G715" s="5">
        <f t="shared" si="116"/>
        <v>2023</v>
      </c>
      <c r="H715" s="5" t="str">
        <f t="shared" si="117"/>
        <v>Septiembre</v>
      </c>
      <c r="I715" s="6" t="str">
        <f t="shared" si="107"/>
        <v>2023-2</v>
      </c>
      <c r="J715" s="5">
        <v>90</v>
      </c>
      <c r="K715" s="9">
        <v>86.4</v>
      </c>
      <c r="L715" s="22">
        <f>IFERROR(K715/J715,"")</f>
        <v>0.96000000000000008</v>
      </c>
      <c r="M715" s="15">
        <f t="shared" si="118"/>
        <v>0.96000000000000008</v>
      </c>
      <c r="N715" s="5" t="s">
        <v>723</v>
      </c>
      <c r="O715" s="5" t="s">
        <v>723</v>
      </c>
      <c r="P715" s="16">
        <v>1</v>
      </c>
      <c r="Q715" s="16">
        <v>1</v>
      </c>
      <c r="R715" s="5" t="str">
        <f t="shared" si="108"/>
        <v>213-2023-09-30</v>
      </c>
    </row>
    <row r="716" spans="1:18" x14ac:dyDescent="0.3">
      <c r="A716" s="26">
        <v>213</v>
      </c>
      <c r="B716" s="5" t="s">
        <v>92</v>
      </c>
      <c r="C716" s="5" t="s">
        <v>90</v>
      </c>
      <c r="D716" s="5" t="s">
        <v>11</v>
      </c>
      <c r="E716" s="5" t="s">
        <v>9</v>
      </c>
      <c r="F716" s="6">
        <v>45382</v>
      </c>
      <c r="G716" s="5">
        <f t="shared" si="116"/>
        <v>2024</v>
      </c>
      <c r="H716" s="5" t="str">
        <f t="shared" si="117"/>
        <v>Marzo</v>
      </c>
      <c r="I716" s="6" t="str">
        <f t="shared" si="107"/>
        <v>2024-1</v>
      </c>
      <c r="J716" s="5">
        <v>90</v>
      </c>
      <c r="K716" s="10">
        <v>100</v>
      </c>
      <c r="L716" s="15">
        <f>IFERROR(IF((K716/J716)&gt;1.3,1.3,K716/J716),"")</f>
        <v>1.1111111111111112</v>
      </c>
      <c r="M716" s="15">
        <f t="shared" si="118"/>
        <v>1.1111111111111112</v>
      </c>
      <c r="N716" s="5" t="s">
        <v>347</v>
      </c>
      <c r="O716" s="5" t="s">
        <v>347</v>
      </c>
      <c r="P716" s="16">
        <v>0</v>
      </c>
      <c r="Q716" s="16">
        <v>0</v>
      </c>
      <c r="R716" s="5" t="str">
        <f t="shared" si="108"/>
        <v>213-2024-03-31</v>
      </c>
    </row>
    <row r="717" spans="1:18" x14ac:dyDescent="0.3">
      <c r="A717" s="5">
        <v>213</v>
      </c>
      <c r="B717" s="5" t="s">
        <v>92</v>
      </c>
      <c r="C717" s="5" t="s">
        <v>90</v>
      </c>
      <c r="D717" s="5" t="s">
        <v>11</v>
      </c>
      <c r="E717" s="5" t="s">
        <v>9</v>
      </c>
      <c r="F717" s="6">
        <v>45473</v>
      </c>
      <c r="G717" s="5">
        <f t="shared" si="116"/>
        <v>2024</v>
      </c>
      <c r="H717" s="5" t="str">
        <f t="shared" si="117"/>
        <v>Junio</v>
      </c>
      <c r="I717" s="6" t="str">
        <f t="shared" si="107"/>
        <v>2024-1</v>
      </c>
      <c r="J717" s="5">
        <v>23.26</v>
      </c>
      <c r="K717" s="5">
        <v>25.92</v>
      </c>
      <c r="L717" s="15">
        <v>1</v>
      </c>
      <c r="M717" s="15">
        <v>1</v>
      </c>
      <c r="N717" s="5" t="s">
        <v>347</v>
      </c>
      <c r="O717" s="5" t="s">
        <v>347</v>
      </c>
      <c r="P717" s="5">
        <v>0</v>
      </c>
      <c r="Q717" s="5">
        <v>0</v>
      </c>
      <c r="R717" s="5" t="str">
        <f t="shared" si="108"/>
        <v>213-2024-06-30</v>
      </c>
    </row>
    <row r="718" spans="1:18" x14ac:dyDescent="0.3">
      <c r="A718" s="26">
        <v>213</v>
      </c>
      <c r="B718" s="5" t="s">
        <v>92</v>
      </c>
      <c r="C718" s="5" t="s">
        <v>90</v>
      </c>
      <c r="D718" s="5" t="s">
        <v>11</v>
      </c>
      <c r="E718" s="5" t="s">
        <v>9</v>
      </c>
      <c r="F718" s="6">
        <v>45565</v>
      </c>
      <c r="G718" s="5">
        <f t="shared" si="116"/>
        <v>2024</v>
      </c>
      <c r="H718" s="5" t="str">
        <f t="shared" si="117"/>
        <v>Septiembre</v>
      </c>
      <c r="I718" s="6" t="str">
        <f t="shared" si="107"/>
        <v>2024-2</v>
      </c>
      <c r="J718" s="5">
        <v>90</v>
      </c>
      <c r="K718" s="10">
        <v>97.79</v>
      </c>
      <c r="L718" s="15">
        <f>IFERROR(IF((K718/J718)&gt;1.3,1.3,K718/J718),"")</f>
        <v>1.0865555555555557</v>
      </c>
      <c r="M718" s="15">
        <f>IFERROR(IF((K718/J718)&gt;K718/J718,1.3,K718/J718),"")</f>
        <v>1.0865555555555557</v>
      </c>
      <c r="N718" s="5" t="s">
        <v>347</v>
      </c>
      <c r="O718" s="5" t="s">
        <v>347</v>
      </c>
      <c r="P718" s="16">
        <v>0</v>
      </c>
      <c r="Q718" s="16">
        <v>0</v>
      </c>
      <c r="R718" s="5" t="str">
        <f t="shared" si="108"/>
        <v>213-2024-09-30</v>
      </c>
    </row>
    <row r="719" spans="1:18" x14ac:dyDescent="0.3">
      <c r="A719" s="26">
        <v>213</v>
      </c>
      <c r="B719" s="5" t="s">
        <v>92</v>
      </c>
      <c r="C719" s="5" t="s">
        <v>90</v>
      </c>
      <c r="D719" s="5" t="s">
        <v>11</v>
      </c>
      <c r="E719" s="5" t="s">
        <v>9</v>
      </c>
      <c r="F719" s="6">
        <v>45657</v>
      </c>
      <c r="G719" s="5">
        <f t="shared" si="116"/>
        <v>2024</v>
      </c>
      <c r="H719" s="5" t="str">
        <f t="shared" si="117"/>
        <v>Diciembre</v>
      </c>
      <c r="I719" s="6" t="str">
        <f t="shared" si="107"/>
        <v>2024-2</v>
      </c>
      <c r="J719" s="5">
        <v>90</v>
      </c>
      <c r="K719" s="10">
        <v>100</v>
      </c>
      <c r="L719" s="15">
        <f>IFERROR(IF((K719/J719)&gt;1.3,1.3,K719/J719),"")</f>
        <v>1.1111111111111112</v>
      </c>
      <c r="M719" s="15">
        <f>IFERROR(IF((K719/J719)&gt;K719/J719,1.3,K719/J719),"")</f>
        <v>1.1111111111111112</v>
      </c>
      <c r="N719" s="5" t="s">
        <v>347</v>
      </c>
      <c r="O719" s="5" t="s">
        <v>347</v>
      </c>
      <c r="P719" s="16">
        <v>0</v>
      </c>
      <c r="Q719" s="16">
        <v>0</v>
      </c>
      <c r="R719" s="5" t="str">
        <f t="shared" si="108"/>
        <v>213-2024-12-31</v>
      </c>
    </row>
    <row r="720" spans="1:18" x14ac:dyDescent="0.3">
      <c r="A720" s="26">
        <v>214</v>
      </c>
      <c r="B720" s="5" t="s">
        <v>93</v>
      </c>
      <c r="C720" s="5" t="s">
        <v>90</v>
      </c>
      <c r="D720" s="5" t="s">
        <v>18</v>
      </c>
      <c r="E720" s="5" t="s">
        <v>14</v>
      </c>
      <c r="F720" s="6">
        <v>44957</v>
      </c>
      <c r="G720" s="5">
        <f t="shared" si="116"/>
        <v>2023</v>
      </c>
      <c r="H720" s="5" t="str">
        <f t="shared" si="117"/>
        <v>Enero</v>
      </c>
      <c r="I720" s="6" t="str">
        <f t="shared" si="107"/>
        <v>2023-1</v>
      </c>
      <c r="J720" s="5"/>
      <c r="K720" s="75">
        <v>1399.55</v>
      </c>
      <c r="L720" s="8"/>
      <c r="M720" s="8"/>
      <c r="N720" s="5" t="s">
        <v>477</v>
      </c>
      <c r="O720" s="5" t="s">
        <v>492</v>
      </c>
      <c r="P720" s="16">
        <v>0</v>
      </c>
      <c r="Q720" s="16">
        <v>0</v>
      </c>
      <c r="R720" s="5" t="str">
        <f t="shared" si="108"/>
        <v>214-2023-01-31</v>
      </c>
    </row>
    <row r="721" spans="1:18" x14ac:dyDescent="0.3">
      <c r="A721" s="26">
        <v>214</v>
      </c>
      <c r="B721" s="5" t="s">
        <v>93</v>
      </c>
      <c r="C721" s="5" t="s">
        <v>90</v>
      </c>
      <c r="D721" s="5" t="s">
        <v>18</v>
      </c>
      <c r="E721" s="5" t="s">
        <v>14</v>
      </c>
      <c r="F721" s="17">
        <v>44985</v>
      </c>
      <c r="G721" s="5">
        <f t="shared" si="116"/>
        <v>2023</v>
      </c>
      <c r="H721" s="5" t="str">
        <f t="shared" si="117"/>
        <v>Febrero</v>
      </c>
      <c r="I721" s="6" t="str">
        <f t="shared" si="107"/>
        <v>2023-1</v>
      </c>
      <c r="J721" s="5"/>
      <c r="K721" s="75">
        <v>2255.66</v>
      </c>
      <c r="L721" s="8"/>
      <c r="M721" s="8"/>
      <c r="N721" s="5" t="s">
        <v>477</v>
      </c>
      <c r="O721" s="5" t="s">
        <v>492</v>
      </c>
      <c r="P721" s="16">
        <v>0</v>
      </c>
      <c r="Q721" s="16">
        <v>0</v>
      </c>
      <c r="R721" s="5" t="str">
        <f t="shared" si="108"/>
        <v>214-2023-02-28</v>
      </c>
    </row>
    <row r="722" spans="1:18" x14ac:dyDescent="0.3">
      <c r="A722" s="26">
        <v>214</v>
      </c>
      <c r="B722" s="5" t="s">
        <v>93</v>
      </c>
      <c r="C722" s="5" t="s">
        <v>90</v>
      </c>
      <c r="D722" s="5" t="s">
        <v>18</v>
      </c>
      <c r="E722" s="5" t="s">
        <v>14</v>
      </c>
      <c r="F722" s="6">
        <v>45016</v>
      </c>
      <c r="G722" s="5">
        <f t="shared" si="116"/>
        <v>2023</v>
      </c>
      <c r="H722" s="5" t="str">
        <f t="shared" si="117"/>
        <v>Marzo</v>
      </c>
      <c r="I722" s="6" t="str">
        <f t="shared" si="107"/>
        <v>2023-1</v>
      </c>
      <c r="J722" s="5"/>
      <c r="K722" s="75">
        <v>2757</v>
      </c>
      <c r="L722" s="8"/>
      <c r="M722" s="8"/>
      <c r="N722" s="5" t="s">
        <v>477</v>
      </c>
      <c r="O722" s="5" t="s">
        <v>492</v>
      </c>
      <c r="P722" s="16">
        <v>0</v>
      </c>
      <c r="Q722" s="16">
        <v>0</v>
      </c>
      <c r="R722" s="5" t="str">
        <f t="shared" si="108"/>
        <v>214-2023-03-31</v>
      </c>
    </row>
    <row r="723" spans="1:18" x14ac:dyDescent="0.3">
      <c r="A723" s="26">
        <v>214</v>
      </c>
      <c r="B723" s="5" t="s">
        <v>93</v>
      </c>
      <c r="C723" s="5" t="s">
        <v>90</v>
      </c>
      <c r="D723" s="5" t="s">
        <v>18</v>
      </c>
      <c r="E723" s="5" t="s">
        <v>14</v>
      </c>
      <c r="F723" s="6">
        <v>45046</v>
      </c>
      <c r="G723" s="5">
        <f t="shared" si="116"/>
        <v>2023</v>
      </c>
      <c r="H723" s="5" t="str">
        <f t="shared" si="117"/>
        <v>Abril</v>
      </c>
      <c r="I723" s="6" t="str">
        <f t="shared" si="107"/>
        <v>2023-1</v>
      </c>
      <c r="J723" s="5"/>
      <c r="K723" s="75">
        <v>2313.5</v>
      </c>
      <c r="L723" s="8"/>
      <c r="M723" s="8"/>
      <c r="N723" s="5" t="s">
        <v>477</v>
      </c>
      <c r="O723" s="5" t="s">
        <v>492</v>
      </c>
      <c r="P723" s="16">
        <v>0</v>
      </c>
      <c r="Q723" s="16">
        <v>0</v>
      </c>
      <c r="R723" s="5" t="str">
        <f t="shared" si="108"/>
        <v>214-2023-04-30</v>
      </c>
    </row>
    <row r="724" spans="1:18" x14ac:dyDescent="0.3">
      <c r="A724" s="26">
        <v>214</v>
      </c>
      <c r="B724" s="5" t="s">
        <v>93</v>
      </c>
      <c r="C724" s="5" t="s">
        <v>90</v>
      </c>
      <c r="D724" s="5" t="s">
        <v>18</v>
      </c>
      <c r="E724" s="5" t="s">
        <v>14</v>
      </c>
      <c r="F724" s="6">
        <v>45077</v>
      </c>
      <c r="G724" s="5">
        <f t="shared" si="116"/>
        <v>2023</v>
      </c>
      <c r="H724" s="5" t="str">
        <f t="shared" si="117"/>
        <v>Mayo</v>
      </c>
      <c r="I724" s="6" t="str">
        <f t="shared" si="107"/>
        <v>2023-1</v>
      </c>
      <c r="J724" s="5"/>
      <c r="K724" s="75">
        <v>2632.03</v>
      </c>
      <c r="L724" s="8"/>
      <c r="M724" s="8"/>
      <c r="N724" s="5" t="s">
        <v>477</v>
      </c>
      <c r="O724" s="5" t="s">
        <v>492</v>
      </c>
      <c r="P724" s="16">
        <v>0</v>
      </c>
      <c r="Q724" s="16">
        <v>0</v>
      </c>
      <c r="R724" s="5" t="str">
        <f t="shared" si="108"/>
        <v>214-2023-05-31</v>
      </c>
    </row>
    <row r="725" spans="1:18" x14ac:dyDescent="0.3">
      <c r="A725" s="26">
        <v>214</v>
      </c>
      <c r="B725" s="5" t="s">
        <v>93</v>
      </c>
      <c r="C725" s="5" t="s">
        <v>90</v>
      </c>
      <c r="D725" s="5" t="s">
        <v>18</v>
      </c>
      <c r="E725" s="5" t="s">
        <v>14</v>
      </c>
      <c r="F725" s="6">
        <v>45107</v>
      </c>
      <c r="G725" s="5">
        <f t="shared" si="116"/>
        <v>2023</v>
      </c>
      <c r="H725" s="5" t="str">
        <f t="shared" si="117"/>
        <v>Junio</v>
      </c>
      <c r="I725" s="6" t="str">
        <f t="shared" si="107"/>
        <v>2023-1</v>
      </c>
      <c r="J725" s="5"/>
      <c r="K725" s="75">
        <v>2295.5100000000002</v>
      </c>
      <c r="L725" s="8"/>
      <c r="M725" s="8"/>
      <c r="N725" s="5" t="s">
        <v>477</v>
      </c>
      <c r="O725" s="5" t="s">
        <v>492</v>
      </c>
      <c r="P725" s="16">
        <v>0</v>
      </c>
      <c r="Q725" s="16">
        <v>0</v>
      </c>
      <c r="R725" s="5" t="str">
        <f t="shared" si="108"/>
        <v>214-2023-06-30</v>
      </c>
    </row>
    <row r="726" spans="1:18" x14ac:dyDescent="0.3">
      <c r="A726" s="26">
        <v>214</v>
      </c>
      <c r="B726" s="5" t="s">
        <v>93</v>
      </c>
      <c r="C726" s="5" t="s">
        <v>90</v>
      </c>
      <c r="D726" s="5" t="s">
        <v>18</v>
      </c>
      <c r="E726" s="5" t="s">
        <v>14</v>
      </c>
      <c r="F726" s="6">
        <v>45138</v>
      </c>
      <c r="G726" s="5">
        <f t="shared" si="116"/>
        <v>2023</v>
      </c>
      <c r="H726" s="5" t="str">
        <f t="shared" si="117"/>
        <v>Julio</v>
      </c>
      <c r="I726" s="6" t="str">
        <f t="shared" si="107"/>
        <v>2023-2</v>
      </c>
      <c r="J726" s="5"/>
      <c r="K726" s="75">
        <v>2157.5</v>
      </c>
      <c r="L726" s="8"/>
      <c r="M726" s="8"/>
      <c r="N726" s="5" t="s">
        <v>477</v>
      </c>
      <c r="O726" s="5" t="s">
        <v>492</v>
      </c>
      <c r="P726" s="16">
        <v>0</v>
      </c>
      <c r="Q726" s="16">
        <v>0</v>
      </c>
      <c r="R726" s="5" t="str">
        <f t="shared" si="108"/>
        <v>214-2023-07-31</v>
      </c>
    </row>
    <row r="727" spans="1:18" x14ac:dyDescent="0.3">
      <c r="A727" s="26">
        <v>214</v>
      </c>
      <c r="B727" s="5" t="s">
        <v>93</v>
      </c>
      <c r="C727" s="5" t="s">
        <v>90</v>
      </c>
      <c r="D727" s="5" t="s">
        <v>18</v>
      </c>
      <c r="E727" s="5" t="s">
        <v>14</v>
      </c>
      <c r="F727" s="6">
        <v>45169</v>
      </c>
      <c r="G727" s="5">
        <f t="shared" si="116"/>
        <v>2023</v>
      </c>
      <c r="H727" s="5" t="str">
        <f t="shared" si="117"/>
        <v>Agosto</v>
      </c>
      <c r="I727" s="6" t="str">
        <f t="shared" ref="I727:I787" si="119">IF(OR(H727="Enero",H727="Febrero",H727="Marzo",H727="Abril",H727="Mayo",H727="Junio"),G727&amp;"-1",IF(OR(H727="Julio",H727="Agosto",H727="Septiembre",H727="Octubre",H727="Noviembre",H727="Diciembre"),G727&amp;"-2"))</f>
        <v>2023-2</v>
      </c>
      <c r="J727" s="5"/>
      <c r="K727" s="75">
        <v>6540.08</v>
      </c>
      <c r="L727" s="8"/>
      <c r="M727" s="8"/>
      <c r="N727" s="5" t="s">
        <v>477</v>
      </c>
      <c r="O727" s="5" t="s">
        <v>492</v>
      </c>
      <c r="P727" s="16">
        <v>0</v>
      </c>
      <c r="Q727" s="16">
        <v>0</v>
      </c>
      <c r="R727" s="5" t="str">
        <f t="shared" ref="R727:R787" si="120">A727&amp;"-"&amp;YEAR(F727)&amp;"-"&amp;IF(LEN(MONTH(F727))=1,"0"&amp;MONTH(F727),MONTH(F727))&amp;"-"&amp;DAY(F727)</f>
        <v>214-2023-08-31</v>
      </c>
    </row>
    <row r="728" spans="1:18" x14ac:dyDescent="0.3">
      <c r="A728" s="26">
        <v>214</v>
      </c>
      <c r="B728" s="5" t="s">
        <v>93</v>
      </c>
      <c r="C728" s="5" t="s">
        <v>90</v>
      </c>
      <c r="D728" s="5" t="s">
        <v>18</v>
      </c>
      <c r="E728" s="5" t="s">
        <v>14</v>
      </c>
      <c r="F728" s="6">
        <v>45199</v>
      </c>
      <c r="G728" s="5">
        <f t="shared" si="116"/>
        <v>2023</v>
      </c>
      <c r="H728" s="5" t="str">
        <f t="shared" si="117"/>
        <v>Septiembre</v>
      </c>
      <c r="I728" s="6" t="str">
        <f t="shared" si="119"/>
        <v>2023-2</v>
      </c>
      <c r="J728" s="5"/>
      <c r="K728" s="75">
        <v>7824.24</v>
      </c>
      <c r="L728" s="8"/>
      <c r="M728" s="8"/>
      <c r="N728" s="5" t="s">
        <v>477</v>
      </c>
      <c r="O728" s="5" t="s">
        <v>492</v>
      </c>
      <c r="P728" s="16">
        <v>0</v>
      </c>
      <c r="Q728" s="16">
        <v>0</v>
      </c>
      <c r="R728" s="5" t="str">
        <f t="shared" si="120"/>
        <v>214-2023-09-30</v>
      </c>
    </row>
    <row r="729" spans="1:18" x14ac:dyDescent="0.3">
      <c r="A729" s="39">
        <v>214</v>
      </c>
      <c r="B729" s="5" t="s">
        <v>93</v>
      </c>
      <c r="C729" s="5" t="s">
        <v>90</v>
      </c>
      <c r="D729" s="5" t="s">
        <v>18</v>
      </c>
      <c r="E729" s="5" t="s">
        <v>14</v>
      </c>
      <c r="F729" s="6">
        <v>45230</v>
      </c>
      <c r="G729" s="5">
        <f t="shared" si="116"/>
        <v>2023</v>
      </c>
      <c r="H729" s="5" t="str">
        <f t="shared" si="117"/>
        <v>Octubre</v>
      </c>
      <c r="I729" s="6" t="str">
        <f t="shared" si="119"/>
        <v>2023-2</v>
      </c>
      <c r="J729" s="5"/>
      <c r="K729" s="75">
        <v>6165.24</v>
      </c>
      <c r="L729" s="8"/>
      <c r="M729" s="8"/>
      <c r="N729" s="5" t="s">
        <v>477</v>
      </c>
      <c r="O729" s="5" t="s">
        <v>492</v>
      </c>
      <c r="P729" s="16">
        <v>0</v>
      </c>
      <c r="Q729" s="16">
        <v>0</v>
      </c>
      <c r="R729" s="5" t="str">
        <f t="shared" si="120"/>
        <v>214-2023-10-31</v>
      </c>
    </row>
    <row r="730" spans="1:18" x14ac:dyDescent="0.3">
      <c r="A730" s="39">
        <v>214</v>
      </c>
      <c r="B730" s="5" t="s">
        <v>93</v>
      </c>
      <c r="C730" s="5" t="s">
        <v>90</v>
      </c>
      <c r="D730" s="5" t="s">
        <v>18</v>
      </c>
      <c r="E730" s="5" t="s">
        <v>14</v>
      </c>
      <c r="F730" s="6">
        <v>45260</v>
      </c>
      <c r="G730" s="5">
        <f t="shared" si="116"/>
        <v>2023</v>
      </c>
      <c r="H730" s="5" t="str">
        <f t="shared" si="117"/>
        <v>Noviembre</v>
      </c>
      <c r="I730" s="6" t="str">
        <f t="shared" si="119"/>
        <v>2023-2</v>
      </c>
      <c r="J730" s="5"/>
      <c r="K730" s="75">
        <v>6186.4</v>
      </c>
      <c r="L730" s="8"/>
      <c r="M730" s="8"/>
      <c r="N730" s="5" t="s">
        <v>477</v>
      </c>
      <c r="O730" s="5" t="s">
        <v>492</v>
      </c>
      <c r="P730" s="16">
        <v>0</v>
      </c>
      <c r="Q730" s="16">
        <v>0</v>
      </c>
      <c r="R730" s="5" t="str">
        <f t="shared" si="120"/>
        <v>214-2023-11-30</v>
      </c>
    </row>
    <row r="731" spans="1:18" x14ac:dyDescent="0.3">
      <c r="A731" s="39">
        <v>214</v>
      </c>
      <c r="B731" s="5" t="s">
        <v>93</v>
      </c>
      <c r="C731" s="5" t="s">
        <v>90</v>
      </c>
      <c r="D731" s="5" t="s">
        <v>18</v>
      </c>
      <c r="E731" s="5" t="s">
        <v>14</v>
      </c>
      <c r="F731" s="6">
        <v>45291</v>
      </c>
      <c r="G731" s="5">
        <f t="shared" si="116"/>
        <v>2023</v>
      </c>
      <c r="H731" s="5" t="str">
        <f t="shared" si="117"/>
        <v>Diciembre</v>
      </c>
      <c r="I731" s="6" t="str">
        <f t="shared" si="119"/>
        <v>2023-2</v>
      </c>
      <c r="J731" s="5"/>
      <c r="K731" s="75">
        <v>2129.59</v>
      </c>
      <c r="L731" s="8"/>
      <c r="M731" s="8"/>
      <c r="N731" s="5" t="s">
        <v>477</v>
      </c>
      <c r="O731" s="5" t="s">
        <v>492</v>
      </c>
      <c r="P731" s="16">
        <v>0</v>
      </c>
      <c r="Q731" s="16">
        <v>0</v>
      </c>
      <c r="R731" s="5" t="str">
        <f t="shared" si="120"/>
        <v>214-2023-12-31</v>
      </c>
    </row>
    <row r="732" spans="1:18" x14ac:dyDescent="0.3">
      <c r="A732" s="26">
        <v>214</v>
      </c>
      <c r="B732" s="5" t="s">
        <v>93</v>
      </c>
      <c r="C732" s="5" t="s">
        <v>90</v>
      </c>
      <c r="D732" s="5" t="s">
        <v>18</v>
      </c>
      <c r="E732" s="5" t="s">
        <v>14</v>
      </c>
      <c r="F732" s="6">
        <v>45322</v>
      </c>
      <c r="G732" s="5">
        <f t="shared" si="116"/>
        <v>2024</v>
      </c>
      <c r="H732" s="5" t="str">
        <f t="shared" si="117"/>
        <v>Enero</v>
      </c>
      <c r="I732" s="6" t="str">
        <f t="shared" si="119"/>
        <v>2024-1</v>
      </c>
      <c r="J732" s="5">
        <v>7500</v>
      </c>
      <c r="K732" s="9">
        <v>3375.7</v>
      </c>
      <c r="L732" s="8">
        <f t="shared" ref="L732" si="121">IF(IFERROR(J732/K732,"")&gt;130%,130%,J732/K732)</f>
        <v>1.3</v>
      </c>
      <c r="M732" s="8">
        <f t="shared" ref="M732" si="122">IFERROR(J732/K732,"")</f>
        <v>2.2217614124477887</v>
      </c>
      <c r="N732" s="5" t="s">
        <v>492</v>
      </c>
      <c r="O732" s="5" t="s">
        <v>492</v>
      </c>
      <c r="P732" s="16">
        <v>0</v>
      </c>
      <c r="Q732" s="16">
        <v>0</v>
      </c>
      <c r="R732" s="5" t="str">
        <f t="shared" si="120"/>
        <v>214-2024-01-31</v>
      </c>
    </row>
    <row r="733" spans="1:18" x14ac:dyDescent="0.3">
      <c r="A733" s="26">
        <v>214</v>
      </c>
      <c r="B733" s="5" t="s">
        <v>93</v>
      </c>
      <c r="C733" s="5" t="s">
        <v>90</v>
      </c>
      <c r="D733" s="5" t="s">
        <v>18</v>
      </c>
      <c r="E733" s="5" t="s">
        <v>14</v>
      </c>
      <c r="F733" s="6">
        <v>45351</v>
      </c>
      <c r="G733" s="5">
        <f t="shared" si="116"/>
        <v>2024</v>
      </c>
      <c r="H733" s="5" t="str">
        <f t="shared" si="117"/>
        <v>Febrero</v>
      </c>
      <c r="I733" s="6" t="str">
        <f t="shared" si="119"/>
        <v>2024-1</v>
      </c>
      <c r="J733" s="5">
        <v>7500</v>
      </c>
      <c r="K733" s="10">
        <v>6138.9</v>
      </c>
      <c r="L733" s="15">
        <f>IFERROR(IF((K733/J733)&gt;1.3,1.3,K733/J733),"")</f>
        <v>0.81851999999999991</v>
      </c>
      <c r="M733" s="15">
        <f>IFERROR(IF((K733/J733)&gt;K733/J733,1.3,K733/J733),"")</f>
        <v>0.81851999999999991</v>
      </c>
      <c r="N733" s="5" t="s">
        <v>492</v>
      </c>
      <c r="O733" s="5" t="s">
        <v>492</v>
      </c>
      <c r="P733" s="16">
        <v>0</v>
      </c>
      <c r="Q733" s="16">
        <v>0</v>
      </c>
      <c r="R733" s="5" t="str">
        <f t="shared" si="120"/>
        <v>214-2024-02-29</v>
      </c>
    </row>
    <row r="734" spans="1:18" x14ac:dyDescent="0.3">
      <c r="A734" s="26">
        <v>214</v>
      </c>
      <c r="B734" s="5" t="s">
        <v>93</v>
      </c>
      <c r="C734" s="5" t="s">
        <v>90</v>
      </c>
      <c r="D734" s="5" t="s">
        <v>18</v>
      </c>
      <c r="E734" s="5" t="s">
        <v>14</v>
      </c>
      <c r="F734" s="6">
        <v>45382</v>
      </c>
      <c r="G734" s="5">
        <f t="shared" si="116"/>
        <v>2024</v>
      </c>
      <c r="H734" s="5" t="str">
        <f t="shared" si="117"/>
        <v>Marzo</v>
      </c>
      <c r="I734" s="6" t="str">
        <f t="shared" si="119"/>
        <v>2024-1</v>
      </c>
      <c r="J734" s="5">
        <v>7500</v>
      </c>
      <c r="K734" s="9">
        <v>5548.44</v>
      </c>
      <c r="L734" s="8">
        <f t="shared" ref="L734:L743" si="123">IF(IFERROR(J734/K734,"")&gt;130%,130%,J734/K734)</f>
        <v>1.3</v>
      </c>
      <c r="M734" s="8">
        <f t="shared" ref="M734:M743" si="124">IFERROR(J734/K734,"")</f>
        <v>1.3517312974457687</v>
      </c>
      <c r="N734" s="5" t="s">
        <v>492</v>
      </c>
      <c r="O734" s="5" t="s">
        <v>492</v>
      </c>
      <c r="P734" s="16">
        <v>0</v>
      </c>
      <c r="Q734" s="16">
        <v>0</v>
      </c>
      <c r="R734" s="5" t="str">
        <f t="shared" si="120"/>
        <v>214-2024-03-31</v>
      </c>
    </row>
    <row r="735" spans="1:18" x14ac:dyDescent="0.3">
      <c r="A735" s="26">
        <v>214</v>
      </c>
      <c r="B735" s="5" t="s">
        <v>93</v>
      </c>
      <c r="C735" s="5" t="s">
        <v>90</v>
      </c>
      <c r="D735" s="5" t="s">
        <v>18</v>
      </c>
      <c r="E735" s="5" t="s">
        <v>14</v>
      </c>
      <c r="F735" s="6">
        <v>45412</v>
      </c>
      <c r="G735" s="5">
        <f t="shared" si="116"/>
        <v>2024</v>
      </c>
      <c r="H735" s="5" t="str">
        <f t="shared" si="117"/>
        <v>Abril</v>
      </c>
      <c r="I735" s="6" t="str">
        <f t="shared" si="119"/>
        <v>2024-1</v>
      </c>
      <c r="J735" s="5">
        <v>7500</v>
      </c>
      <c r="K735" s="9">
        <v>7543.48</v>
      </c>
      <c r="L735" s="8">
        <f t="shared" si="123"/>
        <v>0.99423608202049985</v>
      </c>
      <c r="M735" s="8">
        <f t="shared" si="124"/>
        <v>0.99423608202049985</v>
      </c>
      <c r="N735" s="5" t="s">
        <v>492</v>
      </c>
      <c r="O735" s="5" t="s">
        <v>492</v>
      </c>
      <c r="P735" s="16">
        <v>0</v>
      </c>
      <c r="Q735" s="16">
        <v>0</v>
      </c>
      <c r="R735" s="5" t="str">
        <f t="shared" si="120"/>
        <v>214-2024-04-30</v>
      </c>
    </row>
    <row r="736" spans="1:18" x14ac:dyDescent="0.3">
      <c r="A736" s="26">
        <v>214</v>
      </c>
      <c r="B736" s="5" t="s">
        <v>93</v>
      </c>
      <c r="C736" s="5" t="s">
        <v>90</v>
      </c>
      <c r="D736" s="5" t="s">
        <v>18</v>
      </c>
      <c r="E736" s="5" t="s">
        <v>14</v>
      </c>
      <c r="F736" s="6">
        <v>45443</v>
      </c>
      <c r="G736" s="5">
        <f t="shared" si="116"/>
        <v>2024</v>
      </c>
      <c r="H736" s="5" t="str">
        <f t="shared" si="117"/>
        <v>Mayo</v>
      </c>
      <c r="I736" s="6" t="str">
        <f t="shared" si="119"/>
        <v>2024-1</v>
      </c>
      <c r="J736" s="5">
        <v>7500</v>
      </c>
      <c r="K736" s="9">
        <v>7006.34</v>
      </c>
      <c r="L736" s="8">
        <f t="shared" si="123"/>
        <v>1.0704590413825192</v>
      </c>
      <c r="M736" s="8">
        <f t="shared" si="124"/>
        <v>1.0704590413825192</v>
      </c>
      <c r="N736" s="5" t="s">
        <v>492</v>
      </c>
      <c r="O736" s="5" t="s">
        <v>492</v>
      </c>
      <c r="P736" s="16">
        <v>0</v>
      </c>
      <c r="Q736" s="16">
        <v>0</v>
      </c>
      <c r="R736" s="5" t="str">
        <f t="shared" si="120"/>
        <v>214-2024-05-31</v>
      </c>
    </row>
    <row r="737" spans="1:18" x14ac:dyDescent="0.3">
      <c r="A737" s="26">
        <v>214</v>
      </c>
      <c r="B737" s="5" t="s">
        <v>93</v>
      </c>
      <c r="C737" s="5" t="s">
        <v>90</v>
      </c>
      <c r="D737" s="5" t="s">
        <v>18</v>
      </c>
      <c r="E737" s="5" t="s">
        <v>14</v>
      </c>
      <c r="F737" s="6">
        <v>45473</v>
      </c>
      <c r="G737" s="5">
        <f t="shared" si="116"/>
        <v>2024</v>
      </c>
      <c r="H737" s="5" t="str">
        <f t="shared" si="117"/>
        <v>Junio</v>
      </c>
      <c r="I737" s="6" t="str">
        <f t="shared" si="119"/>
        <v>2024-1</v>
      </c>
      <c r="J737" s="5">
        <v>7500</v>
      </c>
      <c r="K737" s="9">
        <v>3200.05</v>
      </c>
      <c r="L737" s="8">
        <f t="shared" si="123"/>
        <v>1.3</v>
      </c>
      <c r="M737" s="8">
        <f t="shared" si="124"/>
        <v>2.3437133794784457</v>
      </c>
      <c r="N737" s="5" t="s">
        <v>492</v>
      </c>
      <c r="O737" s="5" t="s">
        <v>492</v>
      </c>
      <c r="P737" s="16">
        <v>0</v>
      </c>
      <c r="Q737" s="16">
        <v>0</v>
      </c>
      <c r="R737" s="5" t="str">
        <f t="shared" si="120"/>
        <v>214-2024-06-30</v>
      </c>
    </row>
    <row r="738" spans="1:18" x14ac:dyDescent="0.3">
      <c r="A738" s="26">
        <v>214</v>
      </c>
      <c r="B738" s="5" t="s">
        <v>93</v>
      </c>
      <c r="C738" s="5" t="s">
        <v>90</v>
      </c>
      <c r="D738" s="5" t="s">
        <v>18</v>
      </c>
      <c r="E738" s="5" t="s">
        <v>14</v>
      </c>
      <c r="F738" s="6">
        <v>45504</v>
      </c>
      <c r="G738" s="5">
        <f t="shared" si="116"/>
        <v>2024</v>
      </c>
      <c r="H738" s="5" t="str">
        <f t="shared" si="117"/>
        <v>Julio</v>
      </c>
      <c r="I738" s="6" t="str">
        <f t="shared" si="119"/>
        <v>2024-2</v>
      </c>
      <c r="J738" s="5">
        <v>7500</v>
      </c>
      <c r="K738" s="9">
        <v>3115.22</v>
      </c>
      <c r="L738" s="8">
        <f t="shared" si="123"/>
        <v>1.3</v>
      </c>
      <c r="M738" s="8">
        <f t="shared" si="124"/>
        <v>2.4075346203478407</v>
      </c>
      <c r="N738" s="5" t="s">
        <v>492</v>
      </c>
      <c r="O738" s="5" t="s">
        <v>492</v>
      </c>
      <c r="P738" s="16">
        <v>0</v>
      </c>
      <c r="Q738" s="16">
        <v>0</v>
      </c>
      <c r="R738" s="5" t="str">
        <f t="shared" si="120"/>
        <v>214-2024-07-31</v>
      </c>
    </row>
    <row r="739" spans="1:18" x14ac:dyDescent="0.3">
      <c r="A739" s="26">
        <v>214</v>
      </c>
      <c r="B739" s="5" t="s">
        <v>93</v>
      </c>
      <c r="C739" s="5" t="s">
        <v>90</v>
      </c>
      <c r="D739" s="5" t="s">
        <v>18</v>
      </c>
      <c r="E739" s="5" t="s">
        <v>14</v>
      </c>
      <c r="F739" s="6">
        <v>45535</v>
      </c>
      <c r="G739" s="5">
        <f t="shared" si="116"/>
        <v>2024</v>
      </c>
      <c r="H739" s="5" t="str">
        <f t="shared" si="117"/>
        <v>Agosto</v>
      </c>
      <c r="I739" s="6" t="str">
        <f t="shared" si="119"/>
        <v>2024-2</v>
      </c>
      <c r="J739" s="5">
        <v>7500</v>
      </c>
      <c r="K739" s="9">
        <v>5957.02</v>
      </c>
      <c r="L739" s="8">
        <f t="shared" si="123"/>
        <v>1.2590187711305316</v>
      </c>
      <c r="M739" s="8">
        <f t="shared" si="124"/>
        <v>1.2590187711305316</v>
      </c>
      <c r="N739" s="5" t="s">
        <v>492</v>
      </c>
      <c r="O739" s="5" t="s">
        <v>492</v>
      </c>
      <c r="P739" s="16">
        <v>0</v>
      </c>
      <c r="Q739" s="16">
        <v>0</v>
      </c>
      <c r="R739" s="5" t="str">
        <f t="shared" si="120"/>
        <v>214-2024-08-31</v>
      </c>
    </row>
    <row r="740" spans="1:18" x14ac:dyDescent="0.3">
      <c r="A740" s="26">
        <v>214</v>
      </c>
      <c r="B740" s="5" t="s">
        <v>93</v>
      </c>
      <c r="C740" s="5" t="s">
        <v>90</v>
      </c>
      <c r="D740" s="5" t="s">
        <v>18</v>
      </c>
      <c r="E740" s="5" t="s">
        <v>14</v>
      </c>
      <c r="F740" s="6">
        <v>45565</v>
      </c>
      <c r="G740" s="5">
        <f t="shared" si="116"/>
        <v>2024</v>
      </c>
      <c r="H740" s="5" t="str">
        <f t="shared" si="117"/>
        <v>Septiembre</v>
      </c>
      <c r="I740" s="6" t="str">
        <f t="shared" si="119"/>
        <v>2024-2</v>
      </c>
      <c r="J740" s="5">
        <v>7500</v>
      </c>
      <c r="K740" s="9">
        <v>6171.74</v>
      </c>
      <c r="L740" s="8">
        <f t="shared" si="123"/>
        <v>1.2152164543548498</v>
      </c>
      <c r="M740" s="8">
        <f t="shared" si="124"/>
        <v>1.2152164543548498</v>
      </c>
      <c r="N740" s="5" t="s">
        <v>492</v>
      </c>
      <c r="O740" s="5" t="s">
        <v>492</v>
      </c>
      <c r="P740" s="16">
        <v>0</v>
      </c>
      <c r="Q740" s="16">
        <v>0</v>
      </c>
      <c r="R740" s="5" t="str">
        <f t="shared" si="120"/>
        <v>214-2024-09-30</v>
      </c>
    </row>
    <row r="741" spans="1:18" x14ac:dyDescent="0.3">
      <c r="A741" s="39">
        <v>214</v>
      </c>
      <c r="B741" s="5" t="s">
        <v>93</v>
      </c>
      <c r="C741" s="5" t="s">
        <v>90</v>
      </c>
      <c r="D741" s="5" t="s">
        <v>18</v>
      </c>
      <c r="E741" s="5" t="s">
        <v>14</v>
      </c>
      <c r="F741" s="6">
        <v>45596</v>
      </c>
      <c r="G741" s="5">
        <f t="shared" si="116"/>
        <v>2024</v>
      </c>
      <c r="H741" s="5" t="str">
        <f t="shared" si="117"/>
        <v>Octubre</v>
      </c>
      <c r="I741" s="6" t="str">
        <f t="shared" si="119"/>
        <v>2024-2</v>
      </c>
      <c r="J741" s="5">
        <v>7500</v>
      </c>
      <c r="K741" s="9">
        <v>5988.96</v>
      </c>
      <c r="L741" s="8">
        <f t="shared" si="123"/>
        <v>1.2523042398012343</v>
      </c>
      <c r="M741" s="8">
        <f t="shared" si="124"/>
        <v>1.2523042398012343</v>
      </c>
      <c r="N741" s="5" t="s">
        <v>492</v>
      </c>
      <c r="O741" s="5" t="s">
        <v>492</v>
      </c>
      <c r="P741" s="16">
        <v>0</v>
      </c>
      <c r="Q741" s="16">
        <v>0</v>
      </c>
      <c r="R741" s="5" t="str">
        <f t="shared" si="120"/>
        <v>214-2024-10-31</v>
      </c>
    </row>
    <row r="742" spans="1:18" x14ac:dyDescent="0.3">
      <c r="A742" s="39">
        <v>214</v>
      </c>
      <c r="B742" s="5" t="s">
        <v>93</v>
      </c>
      <c r="C742" s="5" t="s">
        <v>90</v>
      </c>
      <c r="D742" s="5" t="s">
        <v>18</v>
      </c>
      <c r="E742" s="5" t="s">
        <v>14</v>
      </c>
      <c r="F742" s="6">
        <v>45626</v>
      </c>
      <c r="G742" s="5">
        <f t="shared" si="116"/>
        <v>2024</v>
      </c>
      <c r="H742" s="5" t="str">
        <f t="shared" si="117"/>
        <v>Noviembre</v>
      </c>
      <c r="I742" s="6" t="str">
        <f t="shared" si="119"/>
        <v>2024-2</v>
      </c>
      <c r="J742" s="5">
        <v>7500</v>
      </c>
      <c r="K742" s="9">
        <v>4790.7299999999996</v>
      </c>
      <c r="L742" s="8">
        <f t="shared" si="123"/>
        <v>1.3</v>
      </c>
      <c r="M742" s="8">
        <f t="shared" si="124"/>
        <v>1.5655234170992731</v>
      </c>
      <c r="N742" s="5" t="s">
        <v>492</v>
      </c>
      <c r="O742" s="5" t="s">
        <v>492</v>
      </c>
      <c r="P742" s="16">
        <v>0</v>
      </c>
      <c r="Q742" s="16">
        <v>0</v>
      </c>
      <c r="R742" s="5" t="str">
        <f t="shared" si="120"/>
        <v>214-2024-11-30</v>
      </c>
    </row>
    <row r="743" spans="1:18" x14ac:dyDescent="0.3">
      <c r="A743" s="39">
        <v>214</v>
      </c>
      <c r="B743" s="5" t="s">
        <v>93</v>
      </c>
      <c r="C743" s="5" t="s">
        <v>90</v>
      </c>
      <c r="D743" s="5" t="s">
        <v>18</v>
      </c>
      <c r="E743" s="5" t="s">
        <v>14</v>
      </c>
      <c r="F743" s="6">
        <v>45657</v>
      </c>
      <c r="G743" s="5">
        <f t="shared" si="116"/>
        <v>2024</v>
      </c>
      <c r="H743" s="5" t="str">
        <f t="shared" si="117"/>
        <v>Diciembre</v>
      </c>
      <c r="I743" s="6" t="str">
        <f t="shared" si="119"/>
        <v>2024-2</v>
      </c>
      <c r="J743" s="5">
        <v>7500</v>
      </c>
      <c r="K743" s="9">
        <v>1950.12</v>
      </c>
      <c r="L743" s="8">
        <f t="shared" si="123"/>
        <v>1.3</v>
      </c>
      <c r="M743" s="8">
        <f t="shared" si="124"/>
        <v>3.8459171743277341</v>
      </c>
      <c r="N743" s="5" t="s">
        <v>492</v>
      </c>
      <c r="O743" s="5" t="s">
        <v>492</v>
      </c>
      <c r="P743" s="16">
        <v>0</v>
      </c>
      <c r="Q743" s="16">
        <v>0</v>
      </c>
      <c r="R743" s="5" t="str">
        <f t="shared" si="120"/>
        <v>214-2024-12-31</v>
      </c>
    </row>
    <row r="744" spans="1:18" x14ac:dyDescent="0.3">
      <c r="A744" s="26">
        <v>215</v>
      </c>
      <c r="B744" s="5" t="s">
        <v>94</v>
      </c>
      <c r="C744" s="5" t="s">
        <v>90</v>
      </c>
      <c r="D744" s="5" t="s">
        <v>8</v>
      </c>
      <c r="E744" s="5" t="s">
        <v>9</v>
      </c>
      <c r="F744" s="17">
        <v>45107</v>
      </c>
      <c r="G744" s="5">
        <f t="shared" si="116"/>
        <v>2023</v>
      </c>
      <c r="H744" s="5" t="str">
        <f t="shared" si="117"/>
        <v>Junio</v>
      </c>
      <c r="I744" s="6" t="str">
        <f t="shared" si="119"/>
        <v>2023-1</v>
      </c>
      <c r="J744" s="5"/>
      <c r="K744" s="9">
        <v>-47.67</v>
      </c>
      <c r="L744" s="8" t="str">
        <f>IFERROR(K744/J744,"")</f>
        <v/>
      </c>
      <c r="M744" s="15" t="str">
        <f>IFERROR(IF((K744/J744)&gt;K744/J744,1.3,K744/J744),"")</f>
        <v/>
      </c>
      <c r="N744" s="5" t="s">
        <v>492</v>
      </c>
      <c r="O744" s="5" t="s">
        <v>492</v>
      </c>
      <c r="P744" s="16">
        <v>2</v>
      </c>
      <c r="Q744" s="16">
        <v>2</v>
      </c>
      <c r="R744" s="5" t="str">
        <f t="shared" si="120"/>
        <v>215-2023-06-30</v>
      </c>
    </row>
    <row r="745" spans="1:18" x14ac:dyDescent="0.3">
      <c r="A745" s="5">
        <v>215</v>
      </c>
      <c r="B745" s="5" t="s">
        <v>94</v>
      </c>
      <c r="C745" s="5" t="s">
        <v>90</v>
      </c>
      <c r="D745" s="5" t="s">
        <v>8</v>
      </c>
      <c r="E745" s="5" t="s">
        <v>9</v>
      </c>
      <c r="F745" s="6">
        <v>45473</v>
      </c>
      <c r="G745" s="5">
        <f t="shared" si="116"/>
        <v>2024</v>
      </c>
      <c r="H745" s="5" t="str">
        <f t="shared" si="117"/>
        <v>Junio</v>
      </c>
      <c r="I745" s="6" t="str">
        <f t="shared" si="119"/>
        <v>2024-1</v>
      </c>
      <c r="J745" s="5">
        <v>1</v>
      </c>
      <c r="K745" s="5">
        <v>-5.12</v>
      </c>
      <c r="L745" s="15">
        <v>0</v>
      </c>
      <c r="M745" s="15">
        <v>0</v>
      </c>
      <c r="N745" s="5" t="s">
        <v>347</v>
      </c>
      <c r="O745" s="5" t="s">
        <v>347</v>
      </c>
      <c r="P745" s="5">
        <v>2</v>
      </c>
      <c r="Q745" s="5">
        <v>2</v>
      </c>
      <c r="R745" s="5" t="str">
        <f t="shared" si="120"/>
        <v>215-2024-06-30</v>
      </c>
    </row>
    <row r="746" spans="1:18" x14ac:dyDescent="0.3">
      <c r="A746" s="26">
        <v>215</v>
      </c>
      <c r="B746" s="5" t="s">
        <v>94</v>
      </c>
      <c r="C746" s="5" t="s">
        <v>90</v>
      </c>
      <c r="D746" s="5" t="s">
        <v>8</v>
      </c>
      <c r="E746" s="5" t="s">
        <v>9</v>
      </c>
      <c r="F746" s="6">
        <v>45657</v>
      </c>
      <c r="G746" s="5">
        <f t="shared" si="116"/>
        <v>2024</v>
      </c>
      <c r="H746" s="5" t="str">
        <f t="shared" si="117"/>
        <v>Diciembre</v>
      </c>
      <c r="I746" s="6" t="str">
        <f t="shared" si="119"/>
        <v>2024-2</v>
      </c>
      <c r="J746" s="5">
        <v>1</v>
      </c>
      <c r="K746" s="10">
        <v>-45.65</v>
      </c>
      <c r="L746" s="15">
        <f>IFERROR(IF((K746/J746)&gt;1.3,1.3,K746/J746),"")</f>
        <v>-45.65</v>
      </c>
      <c r="M746" s="15">
        <f t="shared" ref="M746:M771" si="125">IFERROR(IF((K746/J746)&gt;K746/J746,1.3,K746/J746),"")</f>
        <v>-45.65</v>
      </c>
      <c r="N746" s="5" t="s">
        <v>347</v>
      </c>
      <c r="O746" s="5" t="s">
        <v>347</v>
      </c>
      <c r="P746" s="16">
        <v>2</v>
      </c>
      <c r="Q746" s="16">
        <v>2</v>
      </c>
      <c r="R746" s="5" t="str">
        <f t="shared" si="120"/>
        <v>215-2024-12-31</v>
      </c>
    </row>
    <row r="747" spans="1:18" x14ac:dyDescent="0.3">
      <c r="A747" s="26">
        <v>216</v>
      </c>
      <c r="B747" s="5" t="s">
        <v>95</v>
      </c>
      <c r="C747" s="5" t="s">
        <v>90</v>
      </c>
      <c r="D747" s="5" t="s">
        <v>25</v>
      </c>
      <c r="E747" s="5" t="s">
        <v>9</v>
      </c>
      <c r="F747" s="6">
        <v>45657</v>
      </c>
      <c r="G747" s="5">
        <f t="shared" si="116"/>
        <v>2024</v>
      </c>
      <c r="H747" s="5" t="str">
        <f t="shared" si="117"/>
        <v>Diciembre</v>
      </c>
      <c r="I747" s="6" t="str">
        <f t="shared" si="119"/>
        <v>2024-2</v>
      </c>
      <c r="J747" s="5">
        <v>100</v>
      </c>
      <c r="K747" s="10">
        <v>100</v>
      </c>
      <c r="L747" s="15">
        <f>IFERROR(IF((K747/J747)&gt;1.3,1.3,K747/J747),"")</f>
        <v>1</v>
      </c>
      <c r="M747" s="15">
        <f t="shared" si="125"/>
        <v>1</v>
      </c>
      <c r="N747" s="5"/>
      <c r="O747" s="5"/>
      <c r="P747" s="16">
        <v>0</v>
      </c>
      <c r="Q747" s="16">
        <v>0</v>
      </c>
      <c r="R747" s="5" t="str">
        <f t="shared" si="120"/>
        <v>216-2024-12-31</v>
      </c>
    </row>
    <row r="748" spans="1:18" x14ac:dyDescent="0.3">
      <c r="A748" s="26">
        <v>217</v>
      </c>
      <c r="B748" s="5" t="s">
        <v>96</v>
      </c>
      <c r="C748" s="5" t="s">
        <v>90</v>
      </c>
      <c r="D748" s="5" t="s">
        <v>18</v>
      </c>
      <c r="E748" s="5" t="s">
        <v>9</v>
      </c>
      <c r="F748" s="6">
        <v>44957</v>
      </c>
      <c r="G748" s="5">
        <f t="shared" si="116"/>
        <v>2023</v>
      </c>
      <c r="H748" s="5" t="str">
        <f t="shared" si="117"/>
        <v>Enero</v>
      </c>
      <c r="I748" s="6" t="str">
        <f t="shared" si="119"/>
        <v>2023-1</v>
      </c>
      <c r="J748" s="5">
        <v>20</v>
      </c>
      <c r="K748" s="9">
        <v>80.27</v>
      </c>
      <c r="L748" s="8">
        <f t="shared" ref="L748:L760" si="126">IF(IFERROR(K748/J748,"")&gt;130%,130%,K748/J748)</f>
        <v>1.3</v>
      </c>
      <c r="M748" s="15">
        <f t="shared" si="125"/>
        <v>4.0134999999999996</v>
      </c>
      <c r="N748" s="5" t="s">
        <v>347</v>
      </c>
      <c r="O748" s="5" t="s">
        <v>347</v>
      </c>
      <c r="P748" s="16">
        <v>0</v>
      </c>
      <c r="Q748" s="16">
        <v>0</v>
      </c>
      <c r="R748" s="5" t="str">
        <f t="shared" si="120"/>
        <v>217-2023-01-31</v>
      </c>
    </row>
    <row r="749" spans="1:18" x14ac:dyDescent="0.3">
      <c r="A749" s="26">
        <v>217</v>
      </c>
      <c r="B749" s="5" t="s">
        <v>96</v>
      </c>
      <c r="C749" s="5" t="s">
        <v>90</v>
      </c>
      <c r="D749" s="5" t="s">
        <v>18</v>
      </c>
      <c r="E749" s="5" t="s">
        <v>9</v>
      </c>
      <c r="F749" s="17">
        <v>44985</v>
      </c>
      <c r="G749" s="5">
        <f t="shared" si="116"/>
        <v>2023</v>
      </c>
      <c r="H749" s="5" t="str">
        <f t="shared" si="117"/>
        <v>Febrero</v>
      </c>
      <c r="I749" s="6" t="str">
        <f t="shared" si="119"/>
        <v>2023-1</v>
      </c>
      <c r="J749" s="5">
        <v>20</v>
      </c>
      <c r="K749" s="9">
        <v>57.67</v>
      </c>
      <c r="L749" s="8">
        <f t="shared" si="126"/>
        <v>1.3</v>
      </c>
      <c r="M749" s="15">
        <f t="shared" si="125"/>
        <v>2.8835000000000002</v>
      </c>
      <c r="N749" s="5" t="s">
        <v>347</v>
      </c>
      <c r="O749" s="5" t="s">
        <v>347</v>
      </c>
      <c r="P749" s="16">
        <v>0</v>
      </c>
      <c r="Q749" s="16">
        <v>0</v>
      </c>
      <c r="R749" s="5" t="str">
        <f t="shared" si="120"/>
        <v>217-2023-02-28</v>
      </c>
    </row>
    <row r="750" spans="1:18" x14ac:dyDescent="0.3">
      <c r="A750" s="26">
        <v>217</v>
      </c>
      <c r="B750" s="5" t="s">
        <v>96</v>
      </c>
      <c r="C750" s="5" t="s">
        <v>90</v>
      </c>
      <c r="D750" s="5" t="s">
        <v>18</v>
      </c>
      <c r="E750" s="5" t="s">
        <v>9</v>
      </c>
      <c r="F750" s="6">
        <v>45016</v>
      </c>
      <c r="G750" s="5">
        <f t="shared" si="116"/>
        <v>2023</v>
      </c>
      <c r="H750" s="5" t="str">
        <f t="shared" si="117"/>
        <v>Marzo</v>
      </c>
      <c r="I750" s="6" t="str">
        <f t="shared" si="119"/>
        <v>2023-1</v>
      </c>
      <c r="J750" s="5">
        <v>20</v>
      </c>
      <c r="K750" s="9">
        <v>53.68</v>
      </c>
      <c r="L750" s="8">
        <f t="shared" si="126"/>
        <v>1.3</v>
      </c>
      <c r="M750" s="15">
        <f t="shared" si="125"/>
        <v>2.6840000000000002</v>
      </c>
      <c r="N750" s="5" t="s">
        <v>347</v>
      </c>
      <c r="O750" s="5" t="s">
        <v>347</v>
      </c>
      <c r="P750" s="16">
        <v>0</v>
      </c>
      <c r="Q750" s="16">
        <v>0</v>
      </c>
      <c r="R750" s="5" t="str">
        <f t="shared" si="120"/>
        <v>217-2023-03-31</v>
      </c>
    </row>
    <row r="751" spans="1:18" x14ac:dyDescent="0.3">
      <c r="A751" s="26">
        <v>217</v>
      </c>
      <c r="B751" s="5" t="s">
        <v>96</v>
      </c>
      <c r="C751" s="5" t="s">
        <v>90</v>
      </c>
      <c r="D751" s="5" t="s">
        <v>18</v>
      </c>
      <c r="E751" s="5" t="s">
        <v>9</v>
      </c>
      <c r="F751" s="6">
        <v>45046</v>
      </c>
      <c r="G751" s="5">
        <f t="shared" si="116"/>
        <v>2023</v>
      </c>
      <c r="H751" s="5" t="str">
        <f t="shared" si="117"/>
        <v>Abril</v>
      </c>
      <c r="I751" s="6" t="str">
        <f t="shared" si="119"/>
        <v>2023-1</v>
      </c>
      <c r="J751" s="5">
        <v>20</v>
      </c>
      <c r="K751" s="9">
        <v>65.3</v>
      </c>
      <c r="L751" s="8">
        <f t="shared" si="126"/>
        <v>1.3</v>
      </c>
      <c r="M751" s="15">
        <f t="shared" si="125"/>
        <v>3.2649999999999997</v>
      </c>
      <c r="N751" s="5" t="s">
        <v>347</v>
      </c>
      <c r="O751" s="5" t="s">
        <v>347</v>
      </c>
      <c r="P751" s="16">
        <v>1</v>
      </c>
      <c r="Q751" s="16">
        <v>1</v>
      </c>
      <c r="R751" s="5" t="str">
        <f t="shared" si="120"/>
        <v>217-2023-04-30</v>
      </c>
    </row>
    <row r="752" spans="1:18" x14ac:dyDescent="0.3">
      <c r="A752" s="26">
        <v>217</v>
      </c>
      <c r="B752" s="5" t="s">
        <v>96</v>
      </c>
      <c r="C752" s="5" t="s">
        <v>90</v>
      </c>
      <c r="D752" s="5" t="s">
        <v>18</v>
      </c>
      <c r="E752" s="5" t="s">
        <v>9</v>
      </c>
      <c r="F752" s="6">
        <v>45077</v>
      </c>
      <c r="G752" s="5">
        <f t="shared" si="116"/>
        <v>2023</v>
      </c>
      <c r="H752" s="5" t="str">
        <f t="shared" si="117"/>
        <v>Mayo</v>
      </c>
      <c r="I752" s="6" t="str">
        <f t="shared" si="119"/>
        <v>2023-1</v>
      </c>
      <c r="J752" s="5">
        <v>20</v>
      </c>
      <c r="K752" s="9">
        <v>33.94</v>
      </c>
      <c r="L752" s="8">
        <f t="shared" si="126"/>
        <v>1.3</v>
      </c>
      <c r="M752" s="15">
        <f t="shared" si="125"/>
        <v>1.6969999999999998</v>
      </c>
      <c r="N752" s="5" t="s">
        <v>347</v>
      </c>
      <c r="O752" s="5" t="s">
        <v>347</v>
      </c>
      <c r="P752" s="16">
        <v>0</v>
      </c>
      <c r="Q752" s="16">
        <v>0</v>
      </c>
      <c r="R752" s="5" t="str">
        <f t="shared" si="120"/>
        <v>217-2023-05-31</v>
      </c>
    </row>
    <row r="753" spans="1:18" x14ac:dyDescent="0.3">
      <c r="A753" s="26">
        <v>217</v>
      </c>
      <c r="B753" s="5" t="s">
        <v>96</v>
      </c>
      <c r="C753" s="5" t="s">
        <v>90</v>
      </c>
      <c r="D753" s="5" t="s">
        <v>18</v>
      </c>
      <c r="E753" s="5" t="s">
        <v>9</v>
      </c>
      <c r="F753" s="6">
        <v>45107</v>
      </c>
      <c r="G753" s="5">
        <f t="shared" si="116"/>
        <v>2023</v>
      </c>
      <c r="H753" s="5" t="str">
        <f t="shared" si="117"/>
        <v>Junio</v>
      </c>
      <c r="I753" s="6" t="str">
        <f t="shared" si="119"/>
        <v>2023-1</v>
      </c>
      <c r="J753" s="5">
        <v>20</v>
      </c>
      <c r="K753" s="9">
        <v>31.38</v>
      </c>
      <c r="L753" s="8">
        <f t="shared" si="126"/>
        <v>1.3</v>
      </c>
      <c r="M753" s="15">
        <f t="shared" si="125"/>
        <v>1.569</v>
      </c>
      <c r="N753" s="5" t="s">
        <v>347</v>
      </c>
      <c r="O753" s="5" t="s">
        <v>347</v>
      </c>
      <c r="P753" s="16">
        <v>0</v>
      </c>
      <c r="Q753" s="16">
        <v>0</v>
      </c>
      <c r="R753" s="5" t="str">
        <f t="shared" si="120"/>
        <v>217-2023-06-30</v>
      </c>
    </row>
    <row r="754" spans="1:18" x14ac:dyDescent="0.3">
      <c r="A754" s="26">
        <v>217</v>
      </c>
      <c r="B754" s="5" t="s">
        <v>96</v>
      </c>
      <c r="C754" s="5" t="s">
        <v>90</v>
      </c>
      <c r="D754" s="5" t="s">
        <v>18</v>
      </c>
      <c r="E754" s="5" t="s">
        <v>9</v>
      </c>
      <c r="F754" s="6">
        <v>45138</v>
      </c>
      <c r="G754" s="5">
        <f t="shared" si="116"/>
        <v>2023</v>
      </c>
      <c r="H754" s="5" t="str">
        <f t="shared" si="117"/>
        <v>Julio</v>
      </c>
      <c r="I754" s="6" t="str">
        <f t="shared" si="119"/>
        <v>2023-2</v>
      </c>
      <c r="J754" s="5">
        <v>20</v>
      </c>
      <c r="K754" s="9">
        <v>24.49</v>
      </c>
      <c r="L754" s="8">
        <f t="shared" si="126"/>
        <v>1.2244999999999999</v>
      </c>
      <c r="M754" s="15">
        <f t="shared" si="125"/>
        <v>1.2244999999999999</v>
      </c>
      <c r="N754" s="5" t="s">
        <v>347</v>
      </c>
      <c r="O754" s="5" t="s">
        <v>347</v>
      </c>
      <c r="P754" s="16">
        <v>0</v>
      </c>
      <c r="Q754" s="16">
        <v>0</v>
      </c>
      <c r="R754" s="5" t="str">
        <f t="shared" si="120"/>
        <v>217-2023-07-31</v>
      </c>
    </row>
    <row r="755" spans="1:18" x14ac:dyDescent="0.3">
      <c r="A755" s="26">
        <v>217</v>
      </c>
      <c r="B755" s="5" t="s">
        <v>96</v>
      </c>
      <c r="C755" s="5" t="s">
        <v>90</v>
      </c>
      <c r="D755" s="5" t="s">
        <v>18</v>
      </c>
      <c r="E755" s="5" t="s">
        <v>9</v>
      </c>
      <c r="F755" s="6">
        <v>45169</v>
      </c>
      <c r="G755" s="5">
        <f t="shared" si="116"/>
        <v>2023</v>
      </c>
      <c r="H755" s="5" t="str">
        <f t="shared" si="117"/>
        <v>Agosto</v>
      </c>
      <c r="I755" s="6" t="str">
        <f t="shared" si="119"/>
        <v>2023-2</v>
      </c>
      <c r="J755" s="5">
        <v>20</v>
      </c>
      <c r="K755" s="9">
        <v>26.43</v>
      </c>
      <c r="L755" s="8">
        <f t="shared" si="126"/>
        <v>1.3</v>
      </c>
      <c r="M755" s="15">
        <f t="shared" si="125"/>
        <v>1.3214999999999999</v>
      </c>
      <c r="N755" s="5" t="s">
        <v>347</v>
      </c>
      <c r="O755" s="5" t="s">
        <v>347</v>
      </c>
      <c r="P755" s="16">
        <v>0</v>
      </c>
      <c r="Q755" s="16">
        <v>0</v>
      </c>
      <c r="R755" s="5" t="str">
        <f t="shared" si="120"/>
        <v>217-2023-08-31</v>
      </c>
    </row>
    <row r="756" spans="1:18" x14ac:dyDescent="0.3">
      <c r="A756" s="26">
        <v>217</v>
      </c>
      <c r="B756" s="5" t="s">
        <v>96</v>
      </c>
      <c r="C756" s="5" t="s">
        <v>90</v>
      </c>
      <c r="D756" s="5" t="s">
        <v>18</v>
      </c>
      <c r="E756" s="5" t="s">
        <v>9</v>
      </c>
      <c r="F756" s="6">
        <v>45199</v>
      </c>
      <c r="G756" s="5">
        <f t="shared" si="116"/>
        <v>2023</v>
      </c>
      <c r="H756" s="5" t="str">
        <f t="shared" si="117"/>
        <v>Septiembre</v>
      </c>
      <c r="I756" s="6" t="str">
        <f t="shared" si="119"/>
        <v>2023-2</v>
      </c>
      <c r="J756" s="5">
        <v>20</v>
      </c>
      <c r="K756" s="9">
        <v>24.29</v>
      </c>
      <c r="L756" s="8">
        <f t="shared" si="126"/>
        <v>1.2144999999999999</v>
      </c>
      <c r="M756" s="15">
        <f t="shared" si="125"/>
        <v>1.2144999999999999</v>
      </c>
      <c r="N756" s="5" t="s">
        <v>347</v>
      </c>
      <c r="O756" s="5" t="s">
        <v>347</v>
      </c>
      <c r="P756" s="16">
        <v>0</v>
      </c>
      <c r="Q756" s="16">
        <v>0</v>
      </c>
      <c r="R756" s="5" t="str">
        <f t="shared" si="120"/>
        <v>217-2023-09-30</v>
      </c>
    </row>
    <row r="757" spans="1:18" x14ac:dyDescent="0.3">
      <c r="A757" s="39">
        <v>217</v>
      </c>
      <c r="B757" s="5" t="s">
        <v>96</v>
      </c>
      <c r="C757" s="5" t="s">
        <v>90</v>
      </c>
      <c r="D757" s="5" t="s">
        <v>18</v>
      </c>
      <c r="E757" s="5" t="s">
        <v>9</v>
      </c>
      <c r="F757" s="6">
        <v>45230</v>
      </c>
      <c r="G757" s="5">
        <f t="shared" si="116"/>
        <v>2023</v>
      </c>
      <c r="H757" s="5" t="str">
        <f t="shared" si="117"/>
        <v>Octubre</v>
      </c>
      <c r="I757" s="6" t="str">
        <f t="shared" si="119"/>
        <v>2023-2</v>
      </c>
      <c r="J757" s="5">
        <v>20</v>
      </c>
      <c r="K757" s="9">
        <v>16.29</v>
      </c>
      <c r="L757" s="8">
        <f t="shared" si="126"/>
        <v>0.8145</v>
      </c>
      <c r="M757" s="15">
        <f t="shared" si="125"/>
        <v>0.8145</v>
      </c>
      <c r="N757" s="5" t="s">
        <v>347</v>
      </c>
      <c r="O757" s="5" t="s">
        <v>347</v>
      </c>
      <c r="P757" s="16">
        <v>0</v>
      </c>
      <c r="Q757" s="16">
        <v>0</v>
      </c>
      <c r="R757" s="5" t="str">
        <f t="shared" si="120"/>
        <v>217-2023-10-31</v>
      </c>
    </row>
    <row r="758" spans="1:18" x14ac:dyDescent="0.3">
      <c r="A758" s="39">
        <v>217</v>
      </c>
      <c r="B758" s="5" t="s">
        <v>96</v>
      </c>
      <c r="C758" s="5" t="s">
        <v>90</v>
      </c>
      <c r="D758" s="5" t="s">
        <v>18</v>
      </c>
      <c r="E758" s="5" t="s">
        <v>9</v>
      </c>
      <c r="F758" s="6">
        <v>45260</v>
      </c>
      <c r="G758" s="5">
        <f t="shared" si="116"/>
        <v>2023</v>
      </c>
      <c r="H758" s="5" t="str">
        <f t="shared" si="117"/>
        <v>Noviembre</v>
      </c>
      <c r="I758" s="6" t="str">
        <f t="shared" si="119"/>
        <v>2023-2</v>
      </c>
      <c r="J758" s="5">
        <v>20</v>
      </c>
      <c r="K758" s="9">
        <v>12.74</v>
      </c>
      <c r="L758" s="8">
        <f t="shared" si="126"/>
        <v>0.63700000000000001</v>
      </c>
      <c r="M758" s="15">
        <f t="shared" si="125"/>
        <v>0.63700000000000001</v>
      </c>
      <c r="N758" s="5" t="s">
        <v>347</v>
      </c>
      <c r="O758" s="5" t="s">
        <v>347</v>
      </c>
      <c r="P758" s="16">
        <v>0</v>
      </c>
      <c r="Q758" s="16">
        <v>0</v>
      </c>
      <c r="R758" s="5" t="str">
        <f t="shared" si="120"/>
        <v>217-2023-11-30</v>
      </c>
    </row>
    <row r="759" spans="1:18" x14ac:dyDescent="0.3">
      <c r="A759" s="39">
        <v>217</v>
      </c>
      <c r="B759" s="5" t="s">
        <v>96</v>
      </c>
      <c r="C759" s="5" t="s">
        <v>90</v>
      </c>
      <c r="D759" s="5" t="s">
        <v>18</v>
      </c>
      <c r="E759" s="5" t="s">
        <v>9</v>
      </c>
      <c r="F759" s="6">
        <v>45291</v>
      </c>
      <c r="G759" s="5">
        <f t="shared" si="116"/>
        <v>2023</v>
      </c>
      <c r="H759" s="5" t="str">
        <f t="shared" si="117"/>
        <v>Diciembre</v>
      </c>
      <c r="I759" s="6" t="str">
        <f t="shared" si="119"/>
        <v>2023-2</v>
      </c>
      <c r="J759" s="5">
        <v>20</v>
      </c>
      <c r="K759" s="9">
        <v>26.54</v>
      </c>
      <c r="L759" s="8">
        <f t="shared" si="126"/>
        <v>1.3</v>
      </c>
      <c r="M759" s="15">
        <f t="shared" si="125"/>
        <v>1.327</v>
      </c>
      <c r="N759" s="5" t="s">
        <v>347</v>
      </c>
      <c r="O759" s="5" t="s">
        <v>347</v>
      </c>
      <c r="P759" s="16">
        <v>0</v>
      </c>
      <c r="Q759" s="16">
        <v>0</v>
      </c>
      <c r="R759" s="5" t="str">
        <f t="shared" si="120"/>
        <v>217-2023-12-31</v>
      </c>
    </row>
    <row r="760" spans="1:18" x14ac:dyDescent="0.3">
      <c r="A760" s="26">
        <v>217</v>
      </c>
      <c r="B760" s="5" t="s">
        <v>96</v>
      </c>
      <c r="C760" s="5" t="s">
        <v>90</v>
      </c>
      <c r="D760" s="5" t="s">
        <v>18</v>
      </c>
      <c r="E760" s="5" t="s">
        <v>9</v>
      </c>
      <c r="F760" s="6">
        <v>45322</v>
      </c>
      <c r="G760" s="5">
        <f t="shared" si="116"/>
        <v>2024</v>
      </c>
      <c r="H760" s="5" t="str">
        <f t="shared" si="117"/>
        <v>Enero</v>
      </c>
      <c r="I760" s="6" t="str">
        <f t="shared" si="119"/>
        <v>2024-1</v>
      </c>
      <c r="J760" s="5">
        <v>20</v>
      </c>
      <c r="K760" s="9">
        <v>53.86</v>
      </c>
      <c r="L760" s="8">
        <f t="shared" si="126"/>
        <v>1.3</v>
      </c>
      <c r="M760" s="15">
        <f t="shared" si="125"/>
        <v>2.6930000000000001</v>
      </c>
      <c r="N760" s="5" t="s">
        <v>347</v>
      </c>
      <c r="O760" s="5" t="s">
        <v>347</v>
      </c>
      <c r="P760" s="16">
        <v>0</v>
      </c>
      <c r="Q760" s="16">
        <v>0</v>
      </c>
      <c r="R760" s="5" t="str">
        <f t="shared" si="120"/>
        <v>217-2024-01-31</v>
      </c>
    </row>
    <row r="761" spans="1:18" x14ac:dyDescent="0.3">
      <c r="A761" s="26">
        <v>217</v>
      </c>
      <c r="B761" s="5" t="s">
        <v>96</v>
      </c>
      <c r="C761" s="5" t="s">
        <v>90</v>
      </c>
      <c r="D761" s="5" t="s">
        <v>18</v>
      </c>
      <c r="E761" s="5" t="s">
        <v>9</v>
      </c>
      <c r="F761" s="6">
        <v>45351</v>
      </c>
      <c r="G761" s="5">
        <f t="shared" si="116"/>
        <v>2024</v>
      </c>
      <c r="H761" s="5" t="str">
        <f t="shared" si="117"/>
        <v>Febrero</v>
      </c>
      <c r="I761" s="6" t="str">
        <f t="shared" si="119"/>
        <v>2024-1</v>
      </c>
      <c r="J761" s="5">
        <v>20</v>
      </c>
      <c r="K761" s="5">
        <v>18.72</v>
      </c>
      <c r="L761" s="15">
        <f>IFERROR(IF((K761/J761)&gt;1.3,1.3,K761/J761),"")</f>
        <v>0.93599999999999994</v>
      </c>
      <c r="M761" s="15">
        <f t="shared" si="125"/>
        <v>0.93599999999999994</v>
      </c>
      <c r="N761" s="5" t="s">
        <v>347</v>
      </c>
      <c r="O761" s="5" t="s">
        <v>347</v>
      </c>
      <c r="P761" s="16">
        <v>0</v>
      </c>
      <c r="Q761" s="16">
        <v>1</v>
      </c>
      <c r="R761" s="5" t="str">
        <f t="shared" si="120"/>
        <v>217-2024-02-29</v>
      </c>
    </row>
    <row r="762" spans="1:18" x14ac:dyDescent="0.3">
      <c r="A762" s="26">
        <v>217</v>
      </c>
      <c r="B762" s="5" t="s">
        <v>96</v>
      </c>
      <c r="C762" s="5" t="s">
        <v>90</v>
      </c>
      <c r="D762" s="5" t="s">
        <v>18</v>
      </c>
      <c r="E762" s="5" t="s">
        <v>9</v>
      </c>
      <c r="F762" s="6">
        <v>45382</v>
      </c>
      <c r="G762" s="5">
        <f t="shared" si="116"/>
        <v>2024</v>
      </c>
      <c r="H762" s="5" t="str">
        <f t="shared" si="117"/>
        <v>Marzo</v>
      </c>
      <c r="I762" s="6" t="str">
        <f t="shared" si="119"/>
        <v>2024-1</v>
      </c>
      <c r="J762" s="5">
        <v>20</v>
      </c>
      <c r="K762" s="5">
        <v>18.39</v>
      </c>
      <c r="L762" s="8">
        <f t="shared" ref="L762:L771" si="127">IF(IFERROR(K762/J762,"")&gt;130%,130%,K762/J762)</f>
        <v>0.91949999999999998</v>
      </c>
      <c r="M762" s="15">
        <f t="shared" si="125"/>
        <v>0.91949999999999998</v>
      </c>
      <c r="N762" s="5" t="s">
        <v>347</v>
      </c>
      <c r="O762" s="5" t="s">
        <v>347</v>
      </c>
      <c r="P762" s="16">
        <v>0</v>
      </c>
      <c r="Q762" s="16">
        <v>1</v>
      </c>
      <c r="R762" s="5" t="str">
        <f t="shared" si="120"/>
        <v>217-2024-03-31</v>
      </c>
    </row>
    <row r="763" spans="1:18" x14ac:dyDescent="0.3">
      <c r="A763" s="26">
        <v>217</v>
      </c>
      <c r="B763" s="5" t="s">
        <v>96</v>
      </c>
      <c r="C763" s="5" t="s">
        <v>90</v>
      </c>
      <c r="D763" s="5" t="s">
        <v>18</v>
      </c>
      <c r="E763" s="5" t="s">
        <v>9</v>
      </c>
      <c r="F763" s="6">
        <v>45412</v>
      </c>
      <c r="G763" s="5">
        <f t="shared" si="116"/>
        <v>2024</v>
      </c>
      <c r="H763" s="5" t="str">
        <f t="shared" si="117"/>
        <v>Abril</v>
      </c>
      <c r="I763" s="6" t="str">
        <f t="shared" si="119"/>
        <v>2024-1</v>
      </c>
      <c r="J763" s="5">
        <v>20</v>
      </c>
      <c r="K763" s="9">
        <v>18.600000000000001</v>
      </c>
      <c r="L763" s="8">
        <f t="shared" si="127"/>
        <v>0.93</v>
      </c>
      <c r="M763" s="15">
        <f t="shared" si="125"/>
        <v>0.93</v>
      </c>
      <c r="N763" s="5" t="s">
        <v>347</v>
      </c>
      <c r="O763" s="5" t="s">
        <v>347</v>
      </c>
      <c r="P763" s="16">
        <v>0</v>
      </c>
      <c r="Q763" s="16">
        <v>1</v>
      </c>
      <c r="R763" s="5" t="str">
        <f t="shared" si="120"/>
        <v>217-2024-04-30</v>
      </c>
    </row>
    <row r="764" spans="1:18" x14ac:dyDescent="0.3">
      <c r="A764" s="26">
        <v>217</v>
      </c>
      <c r="B764" s="5" t="s">
        <v>96</v>
      </c>
      <c r="C764" s="5" t="s">
        <v>90</v>
      </c>
      <c r="D764" s="5" t="s">
        <v>18</v>
      </c>
      <c r="E764" s="5" t="s">
        <v>9</v>
      </c>
      <c r="F764" s="6">
        <v>45443</v>
      </c>
      <c r="G764" s="5">
        <f t="shared" si="116"/>
        <v>2024</v>
      </c>
      <c r="H764" s="5" t="str">
        <f t="shared" si="117"/>
        <v>Mayo</v>
      </c>
      <c r="I764" s="6" t="str">
        <f t="shared" si="119"/>
        <v>2024-1</v>
      </c>
      <c r="J764" s="5">
        <v>20</v>
      </c>
      <c r="K764" s="5">
        <v>28.11</v>
      </c>
      <c r="L764" s="8">
        <f t="shared" si="127"/>
        <v>1.3</v>
      </c>
      <c r="M764" s="15">
        <f t="shared" si="125"/>
        <v>1.4055</v>
      </c>
      <c r="N764" s="5" t="s">
        <v>347</v>
      </c>
      <c r="O764" s="5" t="s">
        <v>347</v>
      </c>
      <c r="P764" s="16">
        <v>0</v>
      </c>
      <c r="Q764" s="16">
        <v>1</v>
      </c>
      <c r="R764" s="5" t="str">
        <f t="shared" si="120"/>
        <v>217-2024-05-31</v>
      </c>
    </row>
    <row r="765" spans="1:18" x14ac:dyDescent="0.3">
      <c r="A765" s="26">
        <v>217</v>
      </c>
      <c r="B765" s="5" t="s">
        <v>96</v>
      </c>
      <c r="C765" s="5" t="s">
        <v>90</v>
      </c>
      <c r="D765" s="5" t="s">
        <v>18</v>
      </c>
      <c r="E765" s="5" t="s">
        <v>9</v>
      </c>
      <c r="F765" s="6">
        <v>45473</v>
      </c>
      <c r="G765" s="5">
        <f t="shared" si="116"/>
        <v>2024</v>
      </c>
      <c r="H765" s="5" t="str">
        <f t="shared" si="117"/>
        <v>Junio</v>
      </c>
      <c r="I765" s="6" t="str">
        <f t="shared" si="119"/>
        <v>2024-1</v>
      </c>
      <c r="J765" s="5">
        <v>20</v>
      </c>
      <c r="K765" s="5">
        <v>17.23</v>
      </c>
      <c r="L765" s="8">
        <f t="shared" si="127"/>
        <v>0.86150000000000004</v>
      </c>
      <c r="M765" s="15">
        <f t="shared" si="125"/>
        <v>0.86150000000000004</v>
      </c>
      <c r="N765" s="5" t="s">
        <v>347</v>
      </c>
      <c r="O765" s="5" t="s">
        <v>347</v>
      </c>
      <c r="P765" s="16">
        <v>0</v>
      </c>
      <c r="Q765" s="16">
        <v>1</v>
      </c>
      <c r="R765" s="5" t="str">
        <f t="shared" si="120"/>
        <v>217-2024-06-30</v>
      </c>
    </row>
    <row r="766" spans="1:18" x14ac:dyDescent="0.3">
      <c r="A766" s="26">
        <v>217</v>
      </c>
      <c r="B766" s="5" t="s">
        <v>96</v>
      </c>
      <c r="C766" s="5" t="s">
        <v>90</v>
      </c>
      <c r="D766" s="5" t="s">
        <v>18</v>
      </c>
      <c r="E766" s="5" t="s">
        <v>9</v>
      </c>
      <c r="F766" s="6">
        <v>45504</v>
      </c>
      <c r="G766" s="5">
        <f t="shared" si="116"/>
        <v>2024</v>
      </c>
      <c r="H766" s="5" t="str">
        <f t="shared" si="117"/>
        <v>Julio</v>
      </c>
      <c r="I766" s="6" t="str">
        <f t="shared" si="119"/>
        <v>2024-2</v>
      </c>
      <c r="J766" s="5">
        <v>20</v>
      </c>
      <c r="K766" s="5">
        <v>27.77</v>
      </c>
      <c r="L766" s="8">
        <f t="shared" si="127"/>
        <v>1.3</v>
      </c>
      <c r="M766" s="15">
        <f t="shared" si="125"/>
        <v>1.3885000000000001</v>
      </c>
      <c r="N766" s="5" t="s">
        <v>347</v>
      </c>
      <c r="O766" s="5" t="s">
        <v>347</v>
      </c>
      <c r="P766" s="16">
        <v>0</v>
      </c>
      <c r="Q766" s="16">
        <v>1</v>
      </c>
      <c r="R766" s="5" t="str">
        <f t="shared" si="120"/>
        <v>217-2024-07-31</v>
      </c>
    </row>
    <row r="767" spans="1:18" x14ac:dyDescent="0.3">
      <c r="A767" s="26">
        <v>217</v>
      </c>
      <c r="B767" s="5" t="s">
        <v>96</v>
      </c>
      <c r="C767" s="5" t="s">
        <v>90</v>
      </c>
      <c r="D767" s="5" t="s">
        <v>18</v>
      </c>
      <c r="E767" s="5" t="s">
        <v>9</v>
      </c>
      <c r="F767" s="6">
        <v>45535</v>
      </c>
      <c r="G767" s="5">
        <f t="shared" si="116"/>
        <v>2024</v>
      </c>
      <c r="H767" s="5" t="str">
        <f t="shared" si="117"/>
        <v>Agosto</v>
      </c>
      <c r="I767" s="6" t="str">
        <f t="shared" si="119"/>
        <v>2024-2</v>
      </c>
      <c r="J767" s="5">
        <v>20</v>
      </c>
      <c r="K767" s="5">
        <v>23.96</v>
      </c>
      <c r="L767" s="8">
        <f t="shared" si="127"/>
        <v>1.198</v>
      </c>
      <c r="M767" s="15">
        <f t="shared" si="125"/>
        <v>1.198</v>
      </c>
      <c r="N767" s="5" t="s">
        <v>347</v>
      </c>
      <c r="O767" s="5" t="s">
        <v>347</v>
      </c>
      <c r="P767" s="16">
        <v>0</v>
      </c>
      <c r="Q767" s="16">
        <v>1</v>
      </c>
      <c r="R767" s="5" t="str">
        <f t="shared" si="120"/>
        <v>217-2024-08-31</v>
      </c>
    </row>
    <row r="768" spans="1:18" x14ac:dyDescent="0.3">
      <c r="A768" s="26">
        <v>217</v>
      </c>
      <c r="B768" s="5" t="s">
        <v>96</v>
      </c>
      <c r="C768" s="5" t="s">
        <v>90</v>
      </c>
      <c r="D768" s="5" t="s">
        <v>18</v>
      </c>
      <c r="E768" s="5" t="s">
        <v>9</v>
      </c>
      <c r="F768" s="6">
        <v>45565</v>
      </c>
      <c r="G768" s="5">
        <f t="shared" si="116"/>
        <v>2024</v>
      </c>
      <c r="H768" s="5" t="str">
        <f t="shared" si="117"/>
        <v>Septiembre</v>
      </c>
      <c r="I768" s="6" t="str">
        <f t="shared" si="119"/>
        <v>2024-2</v>
      </c>
      <c r="J768" s="5">
        <v>20</v>
      </c>
      <c r="K768" s="5">
        <v>16.13</v>
      </c>
      <c r="L768" s="8">
        <f t="shared" si="127"/>
        <v>0.80649999999999999</v>
      </c>
      <c r="M768" s="15">
        <f t="shared" si="125"/>
        <v>0.80649999999999999</v>
      </c>
      <c r="N768" s="5" t="s">
        <v>347</v>
      </c>
      <c r="O768" s="5" t="s">
        <v>347</v>
      </c>
      <c r="P768" s="16">
        <v>0</v>
      </c>
      <c r="Q768" s="16">
        <v>1</v>
      </c>
      <c r="R768" s="5" t="str">
        <f t="shared" si="120"/>
        <v>217-2024-09-30</v>
      </c>
    </row>
    <row r="769" spans="1:18" x14ac:dyDescent="0.3">
      <c r="A769" s="39">
        <v>217</v>
      </c>
      <c r="B769" s="5" t="s">
        <v>96</v>
      </c>
      <c r="C769" s="5" t="s">
        <v>90</v>
      </c>
      <c r="D769" s="5" t="s">
        <v>18</v>
      </c>
      <c r="E769" s="5" t="s">
        <v>9</v>
      </c>
      <c r="F769" s="6">
        <v>45596</v>
      </c>
      <c r="G769" s="5">
        <f t="shared" si="116"/>
        <v>2024</v>
      </c>
      <c r="H769" s="5" t="str">
        <f t="shared" si="117"/>
        <v>Octubre</v>
      </c>
      <c r="I769" s="6" t="str">
        <f t="shared" si="119"/>
        <v>2024-2</v>
      </c>
      <c r="J769" s="5">
        <v>20</v>
      </c>
      <c r="K769" s="5">
        <v>34.47</v>
      </c>
      <c r="L769" s="8">
        <f t="shared" si="127"/>
        <v>1.3</v>
      </c>
      <c r="M769" s="15">
        <f t="shared" si="125"/>
        <v>1.7235</v>
      </c>
      <c r="N769" s="5" t="s">
        <v>347</v>
      </c>
      <c r="O769" s="5" t="s">
        <v>347</v>
      </c>
      <c r="P769" s="16">
        <v>0</v>
      </c>
      <c r="Q769" s="16">
        <v>1</v>
      </c>
      <c r="R769" s="5" t="str">
        <f t="shared" si="120"/>
        <v>217-2024-10-31</v>
      </c>
    </row>
    <row r="770" spans="1:18" x14ac:dyDescent="0.3">
      <c r="A770" s="39">
        <v>217</v>
      </c>
      <c r="B770" s="5" t="s">
        <v>96</v>
      </c>
      <c r="C770" s="5" t="s">
        <v>90</v>
      </c>
      <c r="D770" s="5" t="s">
        <v>18</v>
      </c>
      <c r="E770" s="5" t="s">
        <v>9</v>
      </c>
      <c r="F770" s="6">
        <v>45626</v>
      </c>
      <c r="G770" s="5">
        <f t="shared" ref="G770:G833" si="128">YEAR(F770)</f>
        <v>2024</v>
      </c>
      <c r="H770" s="5" t="str">
        <f t="shared" ref="H770:H833" si="129">PROPER(TEXT(F770,"mmmm"))</f>
        <v>Noviembre</v>
      </c>
      <c r="I770" s="6" t="str">
        <f t="shared" si="119"/>
        <v>2024-2</v>
      </c>
      <c r="J770" s="5">
        <v>20</v>
      </c>
      <c r="K770" s="5">
        <v>19.612750510884599</v>
      </c>
      <c r="L770" s="8">
        <f t="shared" si="127"/>
        <v>0.98063752554422989</v>
      </c>
      <c r="M770" s="15">
        <f t="shared" si="125"/>
        <v>0.98063752554422989</v>
      </c>
      <c r="N770" s="5" t="s">
        <v>347</v>
      </c>
      <c r="O770" s="5" t="s">
        <v>347</v>
      </c>
      <c r="P770" s="16">
        <v>0</v>
      </c>
      <c r="Q770" s="16">
        <v>1</v>
      </c>
      <c r="R770" s="5" t="str">
        <f t="shared" si="120"/>
        <v>217-2024-11-30</v>
      </c>
    </row>
    <row r="771" spans="1:18" x14ac:dyDescent="0.3">
      <c r="A771" s="39">
        <v>217</v>
      </c>
      <c r="B771" s="5" t="s">
        <v>96</v>
      </c>
      <c r="C771" s="5" t="s">
        <v>90</v>
      </c>
      <c r="D771" s="5" t="s">
        <v>18</v>
      </c>
      <c r="E771" s="5" t="s">
        <v>9</v>
      </c>
      <c r="F771" s="6">
        <v>45657</v>
      </c>
      <c r="G771" s="5">
        <f t="shared" si="128"/>
        <v>2024</v>
      </c>
      <c r="H771" s="5" t="str">
        <f t="shared" si="129"/>
        <v>Diciembre</v>
      </c>
      <c r="I771" s="6" t="str">
        <f t="shared" si="119"/>
        <v>2024-2</v>
      </c>
      <c r="J771" s="5">
        <v>20</v>
      </c>
      <c r="K771" s="5">
        <v>27.05</v>
      </c>
      <c r="L771" s="8">
        <f t="shared" si="127"/>
        <v>1.3</v>
      </c>
      <c r="M771" s="15">
        <f t="shared" si="125"/>
        <v>1.3525</v>
      </c>
      <c r="N771" s="5" t="s">
        <v>347</v>
      </c>
      <c r="O771" s="5" t="s">
        <v>347</v>
      </c>
      <c r="P771" s="16">
        <v>0</v>
      </c>
      <c r="Q771" s="16">
        <v>1</v>
      </c>
      <c r="R771" s="5" t="str">
        <f t="shared" si="120"/>
        <v>217-2024-12-31</v>
      </c>
    </row>
    <row r="772" spans="1:18" x14ac:dyDescent="0.3">
      <c r="A772" s="26">
        <v>218</v>
      </c>
      <c r="B772" s="5" t="s">
        <v>97</v>
      </c>
      <c r="C772" s="5" t="s">
        <v>90</v>
      </c>
      <c r="D772" s="5" t="s">
        <v>18</v>
      </c>
      <c r="E772" s="5" t="s">
        <v>14</v>
      </c>
      <c r="F772" s="6">
        <v>44957</v>
      </c>
      <c r="G772" s="5">
        <f t="shared" si="128"/>
        <v>2023</v>
      </c>
      <c r="H772" s="5" t="str">
        <f t="shared" si="129"/>
        <v>Enero</v>
      </c>
      <c r="I772" s="6" t="str">
        <f t="shared" si="119"/>
        <v>2023-1</v>
      </c>
      <c r="J772" s="5">
        <v>172000</v>
      </c>
      <c r="K772" s="9">
        <v>120858</v>
      </c>
      <c r="L772" s="8">
        <f t="shared" ref="L772:L795" si="130">IF(IFERROR(J772/K772,"")&gt;130%,130%,J772/K772)</f>
        <v>1.3</v>
      </c>
      <c r="M772" s="8">
        <f t="shared" ref="M772:M795" si="131">IFERROR(J772/K772,"")</f>
        <v>1.4231577553823496</v>
      </c>
      <c r="N772" s="5" t="s">
        <v>362</v>
      </c>
      <c r="O772" s="5" t="s">
        <v>362</v>
      </c>
      <c r="P772" s="16">
        <v>0</v>
      </c>
      <c r="Q772" s="16">
        <v>1</v>
      </c>
      <c r="R772" s="5" t="str">
        <f t="shared" si="120"/>
        <v>218-2023-01-31</v>
      </c>
    </row>
    <row r="773" spans="1:18" x14ac:dyDescent="0.3">
      <c r="A773" s="26">
        <v>218</v>
      </c>
      <c r="B773" s="5" t="s">
        <v>97</v>
      </c>
      <c r="C773" s="5" t="s">
        <v>90</v>
      </c>
      <c r="D773" s="5" t="s">
        <v>18</v>
      </c>
      <c r="E773" s="5" t="s">
        <v>14</v>
      </c>
      <c r="F773" s="17">
        <v>44985</v>
      </c>
      <c r="G773" s="5">
        <f t="shared" si="128"/>
        <v>2023</v>
      </c>
      <c r="H773" s="5" t="str">
        <f t="shared" si="129"/>
        <v>Febrero</v>
      </c>
      <c r="I773" s="6" t="str">
        <f t="shared" si="119"/>
        <v>2023-1</v>
      </c>
      <c r="J773" s="5">
        <v>172000</v>
      </c>
      <c r="K773" s="9">
        <v>111868</v>
      </c>
      <c r="L773" s="8">
        <f t="shared" si="130"/>
        <v>1.3</v>
      </c>
      <c r="M773" s="8">
        <f t="shared" si="131"/>
        <v>1.5375263703650732</v>
      </c>
      <c r="N773" s="5" t="s">
        <v>362</v>
      </c>
      <c r="O773" s="5" t="s">
        <v>362</v>
      </c>
      <c r="P773" s="16">
        <v>0</v>
      </c>
      <c r="Q773" s="16">
        <v>1</v>
      </c>
      <c r="R773" s="5" t="str">
        <f t="shared" si="120"/>
        <v>218-2023-02-28</v>
      </c>
    </row>
    <row r="774" spans="1:18" x14ac:dyDescent="0.3">
      <c r="A774" s="26">
        <v>218</v>
      </c>
      <c r="B774" s="5" t="s">
        <v>97</v>
      </c>
      <c r="C774" s="5" t="s">
        <v>90</v>
      </c>
      <c r="D774" s="5" t="s">
        <v>18</v>
      </c>
      <c r="E774" s="5" t="s">
        <v>14</v>
      </c>
      <c r="F774" s="6">
        <v>45016</v>
      </c>
      <c r="G774" s="5">
        <f t="shared" si="128"/>
        <v>2023</v>
      </c>
      <c r="H774" s="5" t="str">
        <f t="shared" si="129"/>
        <v>Marzo</v>
      </c>
      <c r="I774" s="6" t="str">
        <f t="shared" si="119"/>
        <v>2023-1</v>
      </c>
      <c r="J774" s="5">
        <v>172000</v>
      </c>
      <c r="K774" s="9">
        <v>151441.41</v>
      </c>
      <c r="L774" s="8">
        <f t="shared" si="130"/>
        <v>1.1357527640557494</v>
      </c>
      <c r="M774" s="8">
        <f t="shared" si="131"/>
        <v>1.1357527640557494</v>
      </c>
      <c r="N774" s="5" t="s">
        <v>362</v>
      </c>
      <c r="O774" s="5" t="s">
        <v>362</v>
      </c>
      <c r="P774" s="16">
        <v>0</v>
      </c>
      <c r="Q774" s="16">
        <v>1</v>
      </c>
      <c r="R774" s="5" t="str">
        <f t="shared" si="120"/>
        <v>218-2023-03-31</v>
      </c>
    </row>
    <row r="775" spans="1:18" x14ac:dyDescent="0.3">
      <c r="A775" s="26">
        <v>218</v>
      </c>
      <c r="B775" s="5" t="s">
        <v>97</v>
      </c>
      <c r="C775" s="5" t="s">
        <v>90</v>
      </c>
      <c r="D775" s="5" t="s">
        <v>18</v>
      </c>
      <c r="E775" s="5" t="s">
        <v>14</v>
      </c>
      <c r="F775" s="6">
        <v>45046</v>
      </c>
      <c r="G775" s="5">
        <f t="shared" si="128"/>
        <v>2023</v>
      </c>
      <c r="H775" s="5" t="str">
        <f t="shared" si="129"/>
        <v>Abril</v>
      </c>
      <c r="I775" s="6" t="str">
        <f t="shared" si="119"/>
        <v>2023-1</v>
      </c>
      <c r="J775" s="5">
        <v>172000</v>
      </c>
      <c r="K775" s="9">
        <v>137079</v>
      </c>
      <c r="L775" s="8">
        <f t="shared" si="130"/>
        <v>1.2547509100591629</v>
      </c>
      <c r="M775" s="8">
        <f t="shared" si="131"/>
        <v>1.2547509100591629</v>
      </c>
      <c r="N775" s="5" t="s">
        <v>362</v>
      </c>
      <c r="O775" s="5" t="s">
        <v>362</v>
      </c>
      <c r="P775" s="16">
        <v>0</v>
      </c>
      <c r="Q775" s="16">
        <v>1</v>
      </c>
      <c r="R775" s="5" t="str">
        <f t="shared" si="120"/>
        <v>218-2023-04-30</v>
      </c>
    </row>
    <row r="776" spans="1:18" x14ac:dyDescent="0.3">
      <c r="A776" s="26">
        <v>218</v>
      </c>
      <c r="B776" s="5" t="s">
        <v>97</v>
      </c>
      <c r="C776" s="5" t="s">
        <v>90</v>
      </c>
      <c r="D776" s="5" t="s">
        <v>18</v>
      </c>
      <c r="E776" s="5" t="s">
        <v>14</v>
      </c>
      <c r="F776" s="6">
        <v>45077</v>
      </c>
      <c r="G776" s="5">
        <f t="shared" si="128"/>
        <v>2023</v>
      </c>
      <c r="H776" s="5" t="str">
        <f t="shared" si="129"/>
        <v>Mayo</v>
      </c>
      <c r="I776" s="6" t="str">
        <f t="shared" si="119"/>
        <v>2023-1</v>
      </c>
      <c r="J776" s="5">
        <v>172000</v>
      </c>
      <c r="K776" s="9">
        <v>147309</v>
      </c>
      <c r="L776" s="8">
        <f t="shared" si="130"/>
        <v>1.16761365564901</v>
      </c>
      <c r="M776" s="8">
        <f t="shared" si="131"/>
        <v>1.16761365564901</v>
      </c>
      <c r="N776" s="5" t="s">
        <v>362</v>
      </c>
      <c r="O776" s="5" t="s">
        <v>362</v>
      </c>
      <c r="P776" s="16">
        <v>0</v>
      </c>
      <c r="Q776" s="16">
        <v>1</v>
      </c>
      <c r="R776" s="5" t="str">
        <f t="shared" si="120"/>
        <v>218-2023-05-31</v>
      </c>
    </row>
    <row r="777" spans="1:18" x14ac:dyDescent="0.3">
      <c r="A777" s="26">
        <v>218</v>
      </c>
      <c r="B777" s="5" t="s">
        <v>97</v>
      </c>
      <c r="C777" s="5" t="s">
        <v>90</v>
      </c>
      <c r="D777" s="5" t="s">
        <v>18</v>
      </c>
      <c r="E777" s="5" t="s">
        <v>14</v>
      </c>
      <c r="F777" s="6">
        <v>45107</v>
      </c>
      <c r="G777" s="5">
        <f t="shared" si="128"/>
        <v>2023</v>
      </c>
      <c r="H777" s="5" t="str">
        <f t="shared" si="129"/>
        <v>Junio</v>
      </c>
      <c r="I777" s="6" t="str">
        <f t="shared" si="119"/>
        <v>2023-1</v>
      </c>
      <c r="J777" s="5">
        <v>172000</v>
      </c>
      <c r="K777" s="9">
        <v>140491</v>
      </c>
      <c r="L777" s="8">
        <f t="shared" si="130"/>
        <v>1.224277711739542</v>
      </c>
      <c r="M777" s="8">
        <f t="shared" si="131"/>
        <v>1.224277711739542</v>
      </c>
      <c r="N777" s="5" t="s">
        <v>362</v>
      </c>
      <c r="O777" s="5" t="s">
        <v>362</v>
      </c>
      <c r="P777" s="16">
        <v>0</v>
      </c>
      <c r="Q777" s="16">
        <v>1</v>
      </c>
      <c r="R777" s="5" t="str">
        <f t="shared" si="120"/>
        <v>218-2023-06-30</v>
      </c>
    </row>
    <row r="778" spans="1:18" x14ac:dyDescent="0.3">
      <c r="A778" s="26">
        <v>218</v>
      </c>
      <c r="B778" s="5" t="s">
        <v>97</v>
      </c>
      <c r="C778" s="5" t="s">
        <v>90</v>
      </c>
      <c r="D778" s="5" t="s">
        <v>18</v>
      </c>
      <c r="E778" s="5" t="s">
        <v>14</v>
      </c>
      <c r="F778" s="6">
        <v>45138</v>
      </c>
      <c r="G778" s="5">
        <f t="shared" si="128"/>
        <v>2023</v>
      </c>
      <c r="H778" s="5" t="str">
        <f t="shared" si="129"/>
        <v>Julio</v>
      </c>
      <c r="I778" s="6" t="str">
        <f t="shared" si="119"/>
        <v>2023-2</v>
      </c>
      <c r="J778" s="5">
        <v>172000</v>
      </c>
      <c r="K778" s="9">
        <v>125486</v>
      </c>
      <c r="L778" s="8">
        <f t="shared" si="130"/>
        <v>1.3</v>
      </c>
      <c r="M778" s="8">
        <f t="shared" si="131"/>
        <v>1.3706708318059384</v>
      </c>
      <c r="N778" s="5" t="s">
        <v>362</v>
      </c>
      <c r="O778" s="5" t="s">
        <v>362</v>
      </c>
      <c r="P778" s="16">
        <v>0</v>
      </c>
      <c r="Q778" s="16">
        <v>1</v>
      </c>
      <c r="R778" s="5" t="str">
        <f t="shared" si="120"/>
        <v>218-2023-07-31</v>
      </c>
    </row>
    <row r="779" spans="1:18" x14ac:dyDescent="0.3">
      <c r="A779" s="26">
        <v>218</v>
      </c>
      <c r="B779" s="5" t="s">
        <v>97</v>
      </c>
      <c r="C779" s="5" t="s">
        <v>90</v>
      </c>
      <c r="D779" s="5" t="s">
        <v>18</v>
      </c>
      <c r="E779" s="5" t="s">
        <v>14</v>
      </c>
      <c r="F779" s="6">
        <v>45169</v>
      </c>
      <c r="G779" s="5">
        <f t="shared" si="128"/>
        <v>2023</v>
      </c>
      <c r="H779" s="5" t="str">
        <f t="shared" si="129"/>
        <v>Agosto</v>
      </c>
      <c r="I779" s="6" t="str">
        <f t="shared" si="119"/>
        <v>2023-2</v>
      </c>
      <c r="J779" s="5">
        <v>172000</v>
      </c>
      <c r="K779" s="9">
        <v>143021.71</v>
      </c>
      <c r="L779" s="8">
        <f t="shared" si="130"/>
        <v>1.2026146240315545</v>
      </c>
      <c r="M779" s="8">
        <f t="shared" si="131"/>
        <v>1.2026146240315545</v>
      </c>
      <c r="N779" s="5" t="s">
        <v>362</v>
      </c>
      <c r="O779" s="5" t="s">
        <v>362</v>
      </c>
      <c r="P779" s="16">
        <v>0</v>
      </c>
      <c r="Q779" s="16">
        <v>1</v>
      </c>
      <c r="R779" s="5" t="str">
        <f t="shared" si="120"/>
        <v>218-2023-08-31</v>
      </c>
    </row>
    <row r="780" spans="1:18" x14ac:dyDescent="0.3">
      <c r="A780" s="26">
        <v>218</v>
      </c>
      <c r="B780" s="5" t="s">
        <v>97</v>
      </c>
      <c r="C780" s="5" t="s">
        <v>90</v>
      </c>
      <c r="D780" s="5" t="s">
        <v>18</v>
      </c>
      <c r="E780" s="5" t="s">
        <v>14</v>
      </c>
      <c r="F780" s="6">
        <v>45199</v>
      </c>
      <c r="G780" s="5">
        <f t="shared" si="128"/>
        <v>2023</v>
      </c>
      <c r="H780" s="5" t="str">
        <f t="shared" si="129"/>
        <v>Septiembre</v>
      </c>
      <c r="I780" s="6" t="str">
        <f t="shared" si="119"/>
        <v>2023-2</v>
      </c>
      <c r="J780" s="5">
        <v>172000</v>
      </c>
      <c r="K780" s="9">
        <v>146746.82999999999</v>
      </c>
      <c r="L780" s="8">
        <f t="shared" si="130"/>
        <v>1.1720866474594376</v>
      </c>
      <c r="M780" s="8">
        <f t="shared" si="131"/>
        <v>1.1720866474594376</v>
      </c>
      <c r="N780" s="5" t="s">
        <v>362</v>
      </c>
      <c r="O780" s="5" t="s">
        <v>362</v>
      </c>
      <c r="P780" s="16">
        <v>0</v>
      </c>
      <c r="Q780" s="16">
        <v>1</v>
      </c>
      <c r="R780" s="5" t="str">
        <f t="shared" si="120"/>
        <v>218-2023-09-30</v>
      </c>
    </row>
    <row r="781" spans="1:18" x14ac:dyDescent="0.3">
      <c r="A781" s="39">
        <v>218</v>
      </c>
      <c r="B781" s="5" t="s">
        <v>97</v>
      </c>
      <c r="C781" s="5" t="s">
        <v>90</v>
      </c>
      <c r="D781" s="5" t="s">
        <v>18</v>
      </c>
      <c r="E781" s="5" t="s">
        <v>14</v>
      </c>
      <c r="F781" s="6">
        <v>45230</v>
      </c>
      <c r="G781" s="5">
        <f t="shared" si="128"/>
        <v>2023</v>
      </c>
      <c r="H781" s="5" t="str">
        <f t="shared" si="129"/>
        <v>Octubre</v>
      </c>
      <c r="I781" s="6" t="str">
        <f t="shared" si="119"/>
        <v>2023-2</v>
      </c>
      <c r="J781" s="5">
        <v>172000</v>
      </c>
      <c r="K781" s="9">
        <v>141458.28</v>
      </c>
      <c r="L781" s="8">
        <f t="shared" si="130"/>
        <v>1.2159062021678759</v>
      </c>
      <c r="M781" s="8">
        <f t="shared" si="131"/>
        <v>1.2159062021678759</v>
      </c>
      <c r="N781" s="5" t="s">
        <v>362</v>
      </c>
      <c r="O781" s="5" t="s">
        <v>362</v>
      </c>
      <c r="P781" s="16">
        <v>0</v>
      </c>
      <c r="Q781" s="16">
        <v>1</v>
      </c>
      <c r="R781" s="5" t="str">
        <f t="shared" si="120"/>
        <v>218-2023-10-31</v>
      </c>
    </row>
    <row r="782" spans="1:18" x14ac:dyDescent="0.3">
      <c r="A782" s="39">
        <v>218</v>
      </c>
      <c r="B782" s="5" t="s">
        <v>97</v>
      </c>
      <c r="C782" s="5" t="s">
        <v>90</v>
      </c>
      <c r="D782" s="5" t="s">
        <v>18</v>
      </c>
      <c r="E782" s="5" t="s">
        <v>14</v>
      </c>
      <c r="F782" s="6">
        <v>45260</v>
      </c>
      <c r="G782" s="5">
        <f t="shared" si="128"/>
        <v>2023</v>
      </c>
      <c r="H782" s="5" t="str">
        <f t="shared" si="129"/>
        <v>Noviembre</v>
      </c>
      <c r="I782" s="6" t="str">
        <f t="shared" si="119"/>
        <v>2023-2</v>
      </c>
      <c r="J782" s="5">
        <v>172000</v>
      </c>
      <c r="K782" s="9">
        <v>129770</v>
      </c>
      <c r="L782" s="8">
        <f t="shared" si="130"/>
        <v>1.3</v>
      </c>
      <c r="M782" s="8">
        <f t="shared" si="131"/>
        <v>1.3254219002851197</v>
      </c>
      <c r="N782" s="5" t="s">
        <v>362</v>
      </c>
      <c r="O782" s="5" t="s">
        <v>362</v>
      </c>
      <c r="P782" s="16">
        <v>0</v>
      </c>
      <c r="Q782" s="16">
        <v>1</v>
      </c>
      <c r="R782" s="5" t="str">
        <f t="shared" si="120"/>
        <v>218-2023-11-30</v>
      </c>
    </row>
    <row r="783" spans="1:18" x14ac:dyDescent="0.3">
      <c r="A783" s="39">
        <v>218</v>
      </c>
      <c r="B783" s="5" t="s">
        <v>97</v>
      </c>
      <c r="C783" s="5" t="s">
        <v>90</v>
      </c>
      <c r="D783" s="5" t="s">
        <v>18</v>
      </c>
      <c r="E783" s="5" t="s">
        <v>14</v>
      </c>
      <c r="F783" s="6">
        <v>45291</v>
      </c>
      <c r="G783" s="5">
        <f t="shared" si="128"/>
        <v>2023</v>
      </c>
      <c r="H783" s="5" t="str">
        <f t="shared" si="129"/>
        <v>Diciembre</v>
      </c>
      <c r="I783" s="6" t="str">
        <f t="shared" si="119"/>
        <v>2023-2</v>
      </c>
      <c r="J783" s="5">
        <v>172000</v>
      </c>
      <c r="K783" s="9">
        <v>109170</v>
      </c>
      <c r="L783" s="8">
        <f t="shared" si="130"/>
        <v>1.3</v>
      </c>
      <c r="M783" s="8">
        <f t="shared" si="131"/>
        <v>1.5755244114683522</v>
      </c>
      <c r="N783" s="5" t="s">
        <v>362</v>
      </c>
      <c r="O783" s="5" t="s">
        <v>362</v>
      </c>
      <c r="P783" s="16">
        <v>0</v>
      </c>
      <c r="Q783" s="16">
        <v>1</v>
      </c>
      <c r="R783" s="5" t="str">
        <f t="shared" si="120"/>
        <v>218-2023-12-31</v>
      </c>
    </row>
    <row r="784" spans="1:18" x14ac:dyDescent="0.3">
      <c r="A784" s="26">
        <v>218</v>
      </c>
      <c r="B784" s="5" t="s">
        <v>97</v>
      </c>
      <c r="C784" s="5" t="s">
        <v>90</v>
      </c>
      <c r="D784" s="5" t="s">
        <v>18</v>
      </c>
      <c r="E784" s="5" t="s">
        <v>14</v>
      </c>
      <c r="F784" s="6">
        <v>45322</v>
      </c>
      <c r="G784" s="5">
        <f t="shared" si="128"/>
        <v>2024</v>
      </c>
      <c r="H784" s="5" t="str">
        <f t="shared" si="129"/>
        <v>Enero</v>
      </c>
      <c r="I784" s="6" t="str">
        <f t="shared" si="119"/>
        <v>2024-1</v>
      </c>
      <c r="J784" s="5">
        <v>172000</v>
      </c>
      <c r="K784" s="9">
        <v>117162.05</v>
      </c>
      <c r="L784" s="8">
        <f t="shared" si="130"/>
        <v>1.3</v>
      </c>
      <c r="M784" s="8">
        <f t="shared" si="131"/>
        <v>1.4680521551133665</v>
      </c>
      <c r="N784" s="5" t="s">
        <v>362</v>
      </c>
      <c r="O784" s="5" t="s">
        <v>362</v>
      </c>
      <c r="P784" s="16">
        <v>0</v>
      </c>
      <c r="Q784" s="16">
        <v>1</v>
      </c>
      <c r="R784" s="5" t="str">
        <f t="shared" si="120"/>
        <v>218-2024-01-31</v>
      </c>
    </row>
    <row r="785" spans="1:18" x14ac:dyDescent="0.3">
      <c r="A785" s="26">
        <v>218</v>
      </c>
      <c r="B785" s="5" t="s">
        <v>97</v>
      </c>
      <c r="C785" s="5" t="s">
        <v>90</v>
      </c>
      <c r="D785" s="5" t="s">
        <v>18</v>
      </c>
      <c r="E785" s="5" t="s">
        <v>14</v>
      </c>
      <c r="F785" s="6">
        <v>45351</v>
      </c>
      <c r="G785" s="5">
        <f t="shared" si="128"/>
        <v>2024</v>
      </c>
      <c r="H785" s="5" t="str">
        <f t="shared" si="129"/>
        <v>Febrero</v>
      </c>
      <c r="I785" s="6" t="str">
        <f t="shared" si="119"/>
        <v>2024-1</v>
      </c>
      <c r="J785" s="5">
        <v>172000</v>
      </c>
      <c r="K785" s="9">
        <v>152267.99</v>
      </c>
      <c r="L785" s="8">
        <f t="shared" si="130"/>
        <v>1.1295873807751715</v>
      </c>
      <c r="M785" s="8">
        <f t="shared" si="131"/>
        <v>1.1295873807751715</v>
      </c>
      <c r="N785" s="5" t="s">
        <v>362</v>
      </c>
      <c r="O785" s="5" t="s">
        <v>362</v>
      </c>
      <c r="P785" s="16">
        <v>0</v>
      </c>
      <c r="Q785" s="16">
        <v>1</v>
      </c>
      <c r="R785" s="5" t="str">
        <f t="shared" si="120"/>
        <v>218-2024-02-29</v>
      </c>
    </row>
    <row r="786" spans="1:18" x14ac:dyDescent="0.3">
      <c r="A786" s="26">
        <v>218</v>
      </c>
      <c r="B786" s="5" t="s">
        <v>97</v>
      </c>
      <c r="C786" s="5" t="s">
        <v>90</v>
      </c>
      <c r="D786" s="5" t="s">
        <v>18</v>
      </c>
      <c r="E786" s="5" t="s">
        <v>14</v>
      </c>
      <c r="F786" s="6">
        <v>45382</v>
      </c>
      <c r="G786" s="5">
        <f t="shared" si="128"/>
        <v>2024</v>
      </c>
      <c r="H786" s="5" t="str">
        <f t="shared" si="129"/>
        <v>Marzo</v>
      </c>
      <c r="I786" s="6" t="str">
        <f t="shared" si="119"/>
        <v>2024-1</v>
      </c>
      <c r="J786" s="5">
        <v>172000</v>
      </c>
      <c r="K786" s="9">
        <v>162992.73000000001</v>
      </c>
      <c r="L786" s="8">
        <f t="shared" si="130"/>
        <v>1.0552617898970094</v>
      </c>
      <c r="M786" s="8">
        <f t="shared" si="131"/>
        <v>1.0552617898970094</v>
      </c>
      <c r="N786" s="5" t="s">
        <v>362</v>
      </c>
      <c r="O786" s="5" t="s">
        <v>362</v>
      </c>
      <c r="P786" s="16">
        <v>0</v>
      </c>
      <c r="Q786" s="16">
        <v>1</v>
      </c>
      <c r="R786" s="5" t="str">
        <f t="shared" si="120"/>
        <v>218-2024-03-31</v>
      </c>
    </row>
    <row r="787" spans="1:18" x14ac:dyDescent="0.3">
      <c r="A787" s="26">
        <v>218</v>
      </c>
      <c r="B787" s="5" t="s">
        <v>97</v>
      </c>
      <c r="C787" s="5" t="s">
        <v>90</v>
      </c>
      <c r="D787" s="5" t="s">
        <v>18</v>
      </c>
      <c r="E787" s="5" t="s">
        <v>14</v>
      </c>
      <c r="F787" s="6">
        <v>45412</v>
      </c>
      <c r="G787" s="5">
        <f t="shared" si="128"/>
        <v>2024</v>
      </c>
      <c r="H787" s="5" t="str">
        <f t="shared" si="129"/>
        <v>Abril</v>
      </c>
      <c r="I787" s="6" t="str">
        <f t="shared" si="119"/>
        <v>2024-1</v>
      </c>
      <c r="J787" s="5">
        <v>172000</v>
      </c>
      <c r="K787" s="9">
        <v>157556.39000000001</v>
      </c>
      <c r="L787" s="8">
        <f t="shared" si="130"/>
        <v>1.0916726386025979</v>
      </c>
      <c r="M787" s="8">
        <f t="shared" si="131"/>
        <v>1.0916726386025979</v>
      </c>
      <c r="N787" s="5" t="s">
        <v>362</v>
      </c>
      <c r="O787" s="5" t="s">
        <v>362</v>
      </c>
      <c r="P787" s="16">
        <v>0</v>
      </c>
      <c r="Q787" s="16">
        <v>1</v>
      </c>
      <c r="R787" s="5" t="str">
        <f t="shared" si="120"/>
        <v>218-2024-04-30</v>
      </c>
    </row>
    <row r="788" spans="1:18" x14ac:dyDescent="0.3">
      <c r="A788" s="26">
        <v>218</v>
      </c>
      <c r="B788" s="5" t="s">
        <v>97</v>
      </c>
      <c r="C788" s="5" t="s">
        <v>90</v>
      </c>
      <c r="D788" s="5" t="s">
        <v>18</v>
      </c>
      <c r="E788" s="5" t="s">
        <v>14</v>
      </c>
      <c r="F788" s="6">
        <v>45443</v>
      </c>
      <c r="G788" s="5">
        <f t="shared" si="128"/>
        <v>2024</v>
      </c>
      <c r="H788" s="5" t="str">
        <f t="shared" si="129"/>
        <v>Mayo</v>
      </c>
      <c r="I788" s="6" t="str">
        <f t="shared" ref="I788:I841" si="132">IF(OR(H788="Enero",H788="Febrero",H788="Marzo",H788="Abril",H788="Mayo",H788="Junio"),G788&amp;"-1",IF(OR(H788="Julio",H788="Agosto",H788="Septiembre",H788="Octubre",H788="Noviembre",H788="Diciembre"),G788&amp;"-2"))</f>
        <v>2024-1</v>
      </c>
      <c r="J788" s="5">
        <v>172000</v>
      </c>
      <c r="K788" s="9">
        <v>143612.14000000001</v>
      </c>
      <c r="L788" s="8">
        <f t="shared" si="130"/>
        <v>1.1976703362264498</v>
      </c>
      <c r="M788" s="8">
        <f t="shared" si="131"/>
        <v>1.1976703362264498</v>
      </c>
      <c r="N788" s="5" t="s">
        <v>362</v>
      </c>
      <c r="O788" s="5" t="s">
        <v>362</v>
      </c>
      <c r="P788" s="16">
        <v>0</v>
      </c>
      <c r="Q788" s="16">
        <v>1</v>
      </c>
      <c r="R788" s="5" t="str">
        <f t="shared" ref="R788:R841" si="133">A788&amp;"-"&amp;YEAR(F788)&amp;"-"&amp;IF(LEN(MONTH(F788))=1,"0"&amp;MONTH(F788),MONTH(F788))&amp;"-"&amp;DAY(F788)</f>
        <v>218-2024-05-31</v>
      </c>
    </row>
    <row r="789" spans="1:18" x14ac:dyDescent="0.3">
      <c r="A789" s="26">
        <v>218</v>
      </c>
      <c r="B789" s="5" t="s">
        <v>97</v>
      </c>
      <c r="C789" s="5" t="s">
        <v>90</v>
      </c>
      <c r="D789" s="5" t="s">
        <v>18</v>
      </c>
      <c r="E789" s="5" t="s">
        <v>14</v>
      </c>
      <c r="F789" s="6">
        <v>45473</v>
      </c>
      <c r="G789" s="5">
        <f t="shared" si="128"/>
        <v>2024</v>
      </c>
      <c r="H789" s="5" t="str">
        <f t="shared" si="129"/>
        <v>Junio</v>
      </c>
      <c r="I789" s="6" t="str">
        <f t="shared" si="132"/>
        <v>2024-1</v>
      </c>
      <c r="J789" s="5">
        <v>172000</v>
      </c>
      <c r="K789" s="9">
        <v>132538.65</v>
      </c>
      <c r="L789" s="8">
        <f t="shared" si="130"/>
        <v>1.2977346607951719</v>
      </c>
      <c r="M789" s="8">
        <f t="shared" si="131"/>
        <v>1.2977346607951719</v>
      </c>
      <c r="N789" s="5" t="s">
        <v>362</v>
      </c>
      <c r="O789" s="5" t="s">
        <v>362</v>
      </c>
      <c r="P789" s="16">
        <v>0</v>
      </c>
      <c r="Q789" s="16">
        <v>1</v>
      </c>
      <c r="R789" s="5" t="str">
        <f t="shared" si="133"/>
        <v>218-2024-06-30</v>
      </c>
    </row>
    <row r="790" spans="1:18" x14ac:dyDescent="0.3">
      <c r="A790" s="26">
        <v>218</v>
      </c>
      <c r="B790" s="5" t="s">
        <v>97</v>
      </c>
      <c r="C790" s="5" t="s">
        <v>90</v>
      </c>
      <c r="D790" s="5" t="s">
        <v>18</v>
      </c>
      <c r="E790" s="5" t="s">
        <v>14</v>
      </c>
      <c r="F790" s="6">
        <v>45504</v>
      </c>
      <c r="G790" s="5">
        <f t="shared" si="128"/>
        <v>2024</v>
      </c>
      <c r="H790" s="5" t="str">
        <f t="shared" si="129"/>
        <v>Julio</v>
      </c>
      <c r="I790" s="6" t="str">
        <f t="shared" si="132"/>
        <v>2024-2</v>
      </c>
      <c r="J790" s="5">
        <v>172000</v>
      </c>
      <c r="K790" s="9">
        <v>126157</v>
      </c>
      <c r="L790" s="8">
        <f t="shared" si="130"/>
        <v>1.3</v>
      </c>
      <c r="M790" s="8">
        <f t="shared" si="131"/>
        <v>1.3633805496326006</v>
      </c>
      <c r="N790" s="5" t="s">
        <v>362</v>
      </c>
      <c r="O790" s="5" t="s">
        <v>362</v>
      </c>
      <c r="P790" s="16">
        <v>0</v>
      </c>
      <c r="Q790" s="16">
        <v>1</v>
      </c>
      <c r="R790" s="5" t="str">
        <f t="shared" si="133"/>
        <v>218-2024-07-31</v>
      </c>
    </row>
    <row r="791" spans="1:18" x14ac:dyDescent="0.3">
      <c r="A791" s="26">
        <v>218</v>
      </c>
      <c r="B791" s="5" t="s">
        <v>97</v>
      </c>
      <c r="C791" s="5" t="s">
        <v>90</v>
      </c>
      <c r="D791" s="5" t="s">
        <v>18</v>
      </c>
      <c r="E791" s="5" t="s">
        <v>14</v>
      </c>
      <c r="F791" s="6">
        <v>45535</v>
      </c>
      <c r="G791" s="5">
        <f t="shared" si="128"/>
        <v>2024</v>
      </c>
      <c r="H791" s="5" t="str">
        <f t="shared" si="129"/>
        <v>Agosto</v>
      </c>
      <c r="I791" s="6" t="str">
        <f t="shared" si="132"/>
        <v>2024-2</v>
      </c>
      <c r="J791" s="5">
        <v>172000</v>
      </c>
      <c r="K791" s="9">
        <v>149988.92000000001</v>
      </c>
      <c r="L791" s="8">
        <f t="shared" si="130"/>
        <v>1.1467513733681127</v>
      </c>
      <c r="M791" s="8">
        <f t="shared" si="131"/>
        <v>1.1467513733681127</v>
      </c>
      <c r="N791" s="5" t="s">
        <v>362</v>
      </c>
      <c r="O791" s="5" t="s">
        <v>362</v>
      </c>
      <c r="P791" s="16">
        <v>0</v>
      </c>
      <c r="Q791" s="16">
        <v>1</v>
      </c>
      <c r="R791" s="5" t="str">
        <f t="shared" si="133"/>
        <v>218-2024-08-31</v>
      </c>
    </row>
    <row r="792" spans="1:18" x14ac:dyDescent="0.3">
      <c r="A792" s="26">
        <v>218</v>
      </c>
      <c r="B792" s="5" t="s">
        <v>97</v>
      </c>
      <c r="C792" s="5" t="s">
        <v>90</v>
      </c>
      <c r="D792" s="5" t="s">
        <v>18</v>
      </c>
      <c r="E792" s="5" t="s">
        <v>14</v>
      </c>
      <c r="F792" s="6">
        <v>45565</v>
      </c>
      <c r="G792" s="5">
        <f t="shared" si="128"/>
        <v>2024</v>
      </c>
      <c r="H792" s="5" t="str">
        <f t="shared" si="129"/>
        <v>Septiembre</v>
      </c>
      <c r="I792" s="6" t="str">
        <f t="shared" si="132"/>
        <v>2024-2</v>
      </c>
      <c r="J792" s="5">
        <v>172000</v>
      </c>
      <c r="K792" s="9">
        <v>151469.62</v>
      </c>
      <c r="L792" s="8">
        <f t="shared" si="130"/>
        <v>1.1355412392267177</v>
      </c>
      <c r="M792" s="8">
        <f t="shared" si="131"/>
        <v>1.1355412392267177</v>
      </c>
      <c r="N792" s="5" t="s">
        <v>362</v>
      </c>
      <c r="O792" s="5" t="s">
        <v>362</v>
      </c>
      <c r="P792" s="16">
        <v>0</v>
      </c>
      <c r="Q792" s="16">
        <v>1</v>
      </c>
      <c r="R792" s="5" t="str">
        <f t="shared" si="133"/>
        <v>218-2024-09-30</v>
      </c>
    </row>
    <row r="793" spans="1:18" x14ac:dyDescent="0.3">
      <c r="A793" s="39">
        <v>218</v>
      </c>
      <c r="B793" s="5" t="s">
        <v>97</v>
      </c>
      <c r="C793" s="5" t="s">
        <v>90</v>
      </c>
      <c r="D793" s="5" t="s">
        <v>18</v>
      </c>
      <c r="E793" s="5" t="s">
        <v>14</v>
      </c>
      <c r="F793" s="6">
        <v>45596</v>
      </c>
      <c r="G793" s="5">
        <f t="shared" si="128"/>
        <v>2024</v>
      </c>
      <c r="H793" s="5" t="str">
        <f t="shared" si="129"/>
        <v>Octubre</v>
      </c>
      <c r="I793" s="6" t="str">
        <f t="shared" si="132"/>
        <v>2024-2</v>
      </c>
      <c r="J793" s="5">
        <v>172000</v>
      </c>
      <c r="K793" s="9">
        <v>152808.49</v>
      </c>
      <c r="L793" s="8">
        <f t="shared" si="130"/>
        <v>1.1255919091930038</v>
      </c>
      <c r="M793" s="8">
        <f t="shared" si="131"/>
        <v>1.1255919091930038</v>
      </c>
      <c r="N793" s="5" t="s">
        <v>362</v>
      </c>
      <c r="O793" s="5" t="s">
        <v>362</v>
      </c>
      <c r="P793" s="16">
        <v>0</v>
      </c>
      <c r="Q793" s="16">
        <v>1</v>
      </c>
      <c r="R793" s="5" t="str">
        <f t="shared" si="133"/>
        <v>218-2024-10-31</v>
      </c>
    </row>
    <row r="794" spans="1:18" x14ac:dyDescent="0.3">
      <c r="A794" s="39">
        <v>218</v>
      </c>
      <c r="B794" s="5" t="s">
        <v>97</v>
      </c>
      <c r="C794" s="5" t="s">
        <v>90</v>
      </c>
      <c r="D794" s="5" t="s">
        <v>18</v>
      </c>
      <c r="E794" s="5" t="s">
        <v>14</v>
      </c>
      <c r="F794" s="6">
        <v>45626</v>
      </c>
      <c r="G794" s="5">
        <f t="shared" si="128"/>
        <v>2024</v>
      </c>
      <c r="H794" s="5" t="str">
        <f t="shared" si="129"/>
        <v>Noviembre</v>
      </c>
      <c r="I794" s="6" t="str">
        <f t="shared" si="132"/>
        <v>2024-2</v>
      </c>
      <c r="J794" s="5">
        <v>172000</v>
      </c>
      <c r="K794" s="9">
        <v>144203.35999999999</v>
      </c>
      <c r="L794" s="8">
        <f t="shared" si="130"/>
        <v>1.1927600022634703</v>
      </c>
      <c r="M794" s="8">
        <f t="shared" si="131"/>
        <v>1.1927600022634703</v>
      </c>
      <c r="N794" s="5" t="s">
        <v>362</v>
      </c>
      <c r="O794" s="5" t="s">
        <v>362</v>
      </c>
      <c r="P794" s="16">
        <v>0</v>
      </c>
      <c r="Q794" s="16">
        <v>1</v>
      </c>
      <c r="R794" s="5" t="str">
        <f t="shared" si="133"/>
        <v>218-2024-11-30</v>
      </c>
    </row>
    <row r="795" spans="1:18" x14ac:dyDescent="0.3">
      <c r="A795" s="39">
        <v>218</v>
      </c>
      <c r="B795" s="5" t="s">
        <v>97</v>
      </c>
      <c r="C795" s="5" t="s">
        <v>90</v>
      </c>
      <c r="D795" s="5" t="s">
        <v>18</v>
      </c>
      <c r="E795" s="5" t="s">
        <v>14</v>
      </c>
      <c r="F795" s="6">
        <v>45657</v>
      </c>
      <c r="G795" s="5">
        <f t="shared" si="128"/>
        <v>2024</v>
      </c>
      <c r="H795" s="5" t="str">
        <f t="shared" si="129"/>
        <v>Diciembre</v>
      </c>
      <c r="I795" s="6" t="str">
        <f t="shared" si="132"/>
        <v>2024-2</v>
      </c>
      <c r="J795" s="5">
        <v>172000</v>
      </c>
      <c r="K795" s="9">
        <v>123150.55</v>
      </c>
      <c r="L795" s="8">
        <f t="shared" si="130"/>
        <v>1.3</v>
      </c>
      <c r="M795" s="8">
        <f t="shared" si="131"/>
        <v>1.3966644891151521</v>
      </c>
      <c r="N795" s="5" t="s">
        <v>362</v>
      </c>
      <c r="O795" s="5" t="s">
        <v>362</v>
      </c>
      <c r="P795" s="16">
        <v>0</v>
      </c>
      <c r="Q795" s="16">
        <v>1</v>
      </c>
      <c r="R795" s="5" t="str">
        <f t="shared" si="133"/>
        <v>218-2024-12-31</v>
      </c>
    </row>
    <row r="796" spans="1:18" x14ac:dyDescent="0.3">
      <c r="A796" s="26">
        <v>219</v>
      </c>
      <c r="B796" s="5" t="s">
        <v>98</v>
      </c>
      <c r="C796" s="5" t="s">
        <v>90</v>
      </c>
      <c r="D796" s="5" t="s">
        <v>8</v>
      </c>
      <c r="E796" s="5" t="s">
        <v>9</v>
      </c>
      <c r="F796" s="17">
        <v>45107</v>
      </c>
      <c r="G796" s="5">
        <f t="shared" si="128"/>
        <v>2023</v>
      </c>
      <c r="H796" s="5" t="str">
        <f t="shared" si="129"/>
        <v>Junio</v>
      </c>
      <c r="I796" s="6" t="str">
        <f t="shared" si="132"/>
        <v>2023-1</v>
      </c>
      <c r="J796" s="5">
        <v>1</v>
      </c>
      <c r="K796" s="9">
        <v>21.15</v>
      </c>
      <c r="L796" s="8">
        <v>1</v>
      </c>
      <c r="M796" s="15">
        <v>1</v>
      </c>
      <c r="N796" s="5" t="s">
        <v>362</v>
      </c>
      <c r="O796" s="5" t="s">
        <v>362</v>
      </c>
      <c r="P796" s="16">
        <v>0</v>
      </c>
      <c r="Q796" s="16">
        <v>0</v>
      </c>
      <c r="R796" s="5" t="str">
        <f t="shared" si="133"/>
        <v>219-2023-06-30</v>
      </c>
    </row>
    <row r="797" spans="1:18" x14ac:dyDescent="0.3">
      <c r="A797" s="39">
        <v>219</v>
      </c>
      <c r="B797" s="5" t="s">
        <v>98</v>
      </c>
      <c r="C797" s="5" t="s">
        <v>90</v>
      </c>
      <c r="D797" s="5" t="s">
        <v>8</v>
      </c>
      <c r="E797" s="5" t="s">
        <v>9</v>
      </c>
      <c r="F797" s="6">
        <v>45291</v>
      </c>
      <c r="G797" s="5">
        <f t="shared" si="128"/>
        <v>2023</v>
      </c>
      <c r="H797" s="5" t="str">
        <f t="shared" si="129"/>
        <v>Diciembre</v>
      </c>
      <c r="I797" s="6" t="str">
        <f t="shared" si="132"/>
        <v>2023-2</v>
      </c>
      <c r="J797" s="5">
        <v>1</v>
      </c>
      <c r="K797" s="9">
        <v>-5.9</v>
      </c>
      <c r="L797" s="8">
        <v>0</v>
      </c>
      <c r="M797" s="15">
        <v>0</v>
      </c>
      <c r="N797" s="5" t="s">
        <v>362</v>
      </c>
      <c r="O797" s="5" t="s">
        <v>362</v>
      </c>
      <c r="P797" s="16">
        <v>0</v>
      </c>
      <c r="Q797" s="16">
        <v>0</v>
      </c>
      <c r="R797" s="5" t="str">
        <f t="shared" si="133"/>
        <v>219-2023-12-31</v>
      </c>
    </row>
    <row r="798" spans="1:18" x14ac:dyDescent="0.3">
      <c r="A798" s="5">
        <v>219</v>
      </c>
      <c r="B798" s="5" t="s">
        <v>98</v>
      </c>
      <c r="C798" s="5" t="s">
        <v>90</v>
      </c>
      <c r="D798" s="5" t="s">
        <v>8</v>
      </c>
      <c r="E798" s="5" t="s">
        <v>9</v>
      </c>
      <c r="F798" s="6">
        <v>45473</v>
      </c>
      <c r="G798" s="5">
        <f t="shared" si="128"/>
        <v>2024</v>
      </c>
      <c r="H798" s="5" t="str">
        <f t="shared" si="129"/>
        <v>Junio</v>
      </c>
      <c r="I798" s="6" t="str">
        <f t="shared" si="132"/>
        <v>2024-1</v>
      </c>
      <c r="J798" s="5">
        <v>1</v>
      </c>
      <c r="K798" s="5">
        <v>14.84</v>
      </c>
      <c r="L798" s="15">
        <v>1</v>
      </c>
      <c r="M798" s="15">
        <v>1</v>
      </c>
      <c r="N798" s="5" t="s">
        <v>347</v>
      </c>
      <c r="O798" s="5" t="s">
        <v>347</v>
      </c>
      <c r="P798" s="5">
        <v>0</v>
      </c>
      <c r="Q798" s="5">
        <v>0</v>
      </c>
      <c r="R798" s="5" t="str">
        <f t="shared" si="133"/>
        <v>219-2024-06-30</v>
      </c>
    </row>
    <row r="799" spans="1:18" x14ac:dyDescent="0.3">
      <c r="A799" s="26">
        <v>219</v>
      </c>
      <c r="B799" s="5" t="s">
        <v>98</v>
      </c>
      <c r="C799" s="5" t="s">
        <v>90</v>
      </c>
      <c r="D799" s="5" t="s">
        <v>8</v>
      </c>
      <c r="E799" s="5" t="s">
        <v>9</v>
      </c>
      <c r="F799" s="6">
        <v>45657</v>
      </c>
      <c r="G799" s="5">
        <f t="shared" si="128"/>
        <v>2024</v>
      </c>
      <c r="H799" s="5" t="str">
        <f t="shared" si="129"/>
        <v>Diciembre</v>
      </c>
      <c r="I799" s="6" t="str">
        <f t="shared" si="132"/>
        <v>2024-2</v>
      </c>
      <c r="J799" s="5">
        <v>1</v>
      </c>
      <c r="K799" s="10">
        <v>-12.53</v>
      </c>
      <c r="L799" s="15">
        <f>IFERROR(IF((K799/J799)&gt;1.3,1.3,K799/J799),"")</f>
        <v>-12.53</v>
      </c>
      <c r="M799" s="15">
        <f>IFERROR(IF((K799/J799)&gt;K799/J799,1.3,K799/J799),"")</f>
        <v>-12.53</v>
      </c>
      <c r="N799" s="5" t="s">
        <v>347</v>
      </c>
      <c r="O799" s="5" t="s">
        <v>347</v>
      </c>
      <c r="P799" s="16">
        <v>0</v>
      </c>
      <c r="Q799" s="16">
        <v>0</v>
      </c>
      <c r="R799" s="5" t="str">
        <f t="shared" si="133"/>
        <v>219-2024-12-31</v>
      </c>
    </row>
    <row r="800" spans="1:18" x14ac:dyDescent="0.3">
      <c r="A800" s="26">
        <v>220</v>
      </c>
      <c r="B800" s="5" t="s">
        <v>99</v>
      </c>
      <c r="C800" s="5" t="s">
        <v>90</v>
      </c>
      <c r="D800" s="5" t="s">
        <v>8</v>
      </c>
      <c r="E800" s="5" t="s">
        <v>9</v>
      </c>
      <c r="F800" s="17">
        <v>45107</v>
      </c>
      <c r="G800" s="5">
        <f t="shared" si="128"/>
        <v>2023</v>
      </c>
      <c r="H800" s="5" t="str">
        <f t="shared" si="129"/>
        <v>Junio</v>
      </c>
      <c r="I800" s="6" t="str">
        <f t="shared" si="132"/>
        <v>2023-1</v>
      </c>
      <c r="J800" s="5">
        <v>1</v>
      </c>
      <c r="K800" s="9">
        <v>40.43</v>
      </c>
      <c r="L800" s="8">
        <v>1</v>
      </c>
      <c r="M800" s="15">
        <f>IFERROR(IF((K800/J800)&gt;1,1,K800/J800),"")</f>
        <v>1</v>
      </c>
      <c r="N800" s="5" t="s">
        <v>347</v>
      </c>
      <c r="O800" s="5" t="s">
        <v>347</v>
      </c>
      <c r="P800" s="16">
        <v>0</v>
      </c>
      <c r="Q800" s="16">
        <v>0</v>
      </c>
      <c r="R800" s="5" t="str">
        <f t="shared" si="133"/>
        <v>220-2023-06-30</v>
      </c>
    </row>
    <row r="801" spans="1:18" x14ac:dyDescent="0.3">
      <c r="A801" s="5">
        <v>220</v>
      </c>
      <c r="B801" s="5" t="s">
        <v>99</v>
      </c>
      <c r="C801" s="5" t="s">
        <v>90</v>
      </c>
      <c r="D801" s="5" t="s">
        <v>8</v>
      </c>
      <c r="E801" s="5" t="s">
        <v>9</v>
      </c>
      <c r="F801" s="6">
        <v>45473</v>
      </c>
      <c r="G801" s="5">
        <f t="shared" si="128"/>
        <v>2024</v>
      </c>
      <c r="H801" s="5" t="str">
        <f t="shared" si="129"/>
        <v>Junio</v>
      </c>
      <c r="I801" s="6" t="str">
        <f t="shared" si="132"/>
        <v>2024-1</v>
      </c>
      <c r="J801" s="5">
        <v>1</v>
      </c>
      <c r="K801" s="5">
        <v>3.58</v>
      </c>
      <c r="L801" s="15">
        <v>1</v>
      </c>
      <c r="M801" s="15">
        <v>1</v>
      </c>
      <c r="N801" s="5" t="s">
        <v>347</v>
      </c>
      <c r="O801" s="5" t="s">
        <v>347</v>
      </c>
      <c r="P801" s="5">
        <v>0</v>
      </c>
      <c r="Q801" s="5">
        <v>0</v>
      </c>
      <c r="R801" s="5" t="str">
        <f t="shared" si="133"/>
        <v>220-2024-06-30</v>
      </c>
    </row>
    <row r="802" spans="1:18" x14ac:dyDescent="0.3">
      <c r="A802" s="26">
        <v>220</v>
      </c>
      <c r="B802" s="5" t="s">
        <v>99</v>
      </c>
      <c r="C802" s="5" t="s">
        <v>90</v>
      </c>
      <c r="D802" s="5" t="s">
        <v>8</v>
      </c>
      <c r="E802" s="5" t="s">
        <v>9</v>
      </c>
      <c r="F802" s="6">
        <v>45657</v>
      </c>
      <c r="G802" s="5">
        <f t="shared" si="128"/>
        <v>2024</v>
      </c>
      <c r="H802" s="5" t="str">
        <f t="shared" si="129"/>
        <v>Diciembre</v>
      </c>
      <c r="I802" s="6" t="str">
        <f t="shared" si="132"/>
        <v>2024-2</v>
      </c>
      <c r="J802" s="5">
        <v>1</v>
      </c>
      <c r="K802" s="10">
        <v>13.05</v>
      </c>
      <c r="L802" s="15">
        <f>IFERROR(IF((K802/J802)&gt;1.3,1.3,K802/J802),"")</f>
        <v>1.3</v>
      </c>
      <c r="M802" s="15">
        <f>IFERROR(IF((K802/J802)&gt;K802/J802,1.3,K802/J802),"")</f>
        <v>13.05</v>
      </c>
      <c r="N802" s="5" t="s">
        <v>347</v>
      </c>
      <c r="O802" s="5" t="s">
        <v>347</v>
      </c>
      <c r="P802" s="16">
        <v>0</v>
      </c>
      <c r="Q802" s="16">
        <v>0</v>
      </c>
      <c r="R802" s="5" t="str">
        <f t="shared" si="133"/>
        <v>220-2024-12-31</v>
      </c>
    </row>
    <row r="803" spans="1:18" x14ac:dyDescent="0.3">
      <c r="A803" s="26">
        <v>221</v>
      </c>
      <c r="B803" s="5" t="s">
        <v>100</v>
      </c>
      <c r="C803" s="5" t="s">
        <v>90</v>
      </c>
      <c r="D803" s="5" t="s">
        <v>25</v>
      </c>
      <c r="E803" s="5" t="s">
        <v>9</v>
      </c>
      <c r="F803" s="6">
        <v>45657</v>
      </c>
      <c r="G803" s="5">
        <f t="shared" si="128"/>
        <v>2024</v>
      </c>
      <c r="H803" s="5" t="str">
        <f t="shared" si="129"/>
        <v>Diciembre</v>
      </c>
      <c r="I803" s="6" t="str">
        <f t="shared" si="132"/>
        <v>2024-2</v>
      </c>
      <c r="J803" s="5">
        <v>100</v>
      </c>
      <c r="K803" s="10">
        <v>33.33</v>
      </c>
      <c r="L803" s="15">
        <f>IFERROR(IF((K803/J803)&gt;1.3,1.3,K803/J803),"")</f>
        <v>0.33329999999999999</v>
      </c>
      <c r="M803" s="15">
        <f>IFERROR(IF((K803/J803)&gt;K803/J803,1.3,K803/J803),"")</f>
        <v>0.33329999999999999</v>
      </c>
      <c r="N803" s="5"/>
      <c r="O803" s="5"/>
      <c r="P803" s="16">
        <v>0</v>
      </c>
      <c r="Q803" s="16">
        <v>0</v>
      </c>
      <c r="R803" s="5" t="str">
        <f t="shared" si="133"/>
        <v>221-2024-12-31</v>
      </c>
    </row>
    <row r="804" spans="1:18" x14ac:dyDescent="0.3">
      <c r="A804" s="5">
        <v>222</v>
      </c>
      <c r="B804" s="5" t="s">
        <v>101</v>
      </c>
      <c r="C804" s="5" t="s">
        <v>90</v>
      </c>
      <c r="D804" s="5" t="s">
        <v>25</v>
      </c>
      <c r="E804" s="5" t="s">
        <v>9</v>
      </c>
      <c r="F804" s="6">
        <v>44926</v>
      </c>
      <c r="G804" s="5">
        <f t="shared" si="128"/>
        <v>2022</v>
      </c>
      <c r="H804" s="5" t="str">
        <f t="shared" si="129"/>
        <v>Diciembre</v>
      </c>
      <c r="I804" s="6" t="str">
        <f t="shared" si="132"/>
        <v>2022-2</v>
      </c>
      <c r="J804" s="5">
        <v>100</v>
      </c>
      <c r="K804" s="5">
        <v>93.75</v>
      </c>
      <c r="L804" s="15">
        <v>0.9375</v>
      </c>
      <c r="M804" s="15">
        <v>0.9375</v>
      </c>
      <c r="N804" s="5" t="s">
        <v>347</v>
      </c>
      <c r="O804" s="5" t="s">
        <v>347</v>
      </c>
      <c r="P804" s="5">
        <v>0</v>
      </c>
      <c r="Q804" s="5">
        <v>0</v>
      </c>
      <c r="R804" s="5" t="str">
        <f t="shared" si="133"/>
        <v>222-2022-12-31</v>
      </c>
    </row>
    <row r="805" spans="1:18" x14ac:dyDescent="0.3">
      <c r="A805" s="26">
        <v>222</v>
      </c>
      <c r="B805" s="5" t="s">
        <v>101</v>
      </c>
      <c r="C805" s="5" t="s">
        <v>90</v>
      </c>
      <c r="D805" s="5" t="s">
        <v>25</v>
      </c>
      <c r="E805" s="5" t="s">
        <v>9</v>
      </c>
      <c r="F805" s="6">
        <v>45657</v>
      </c>
      <c r="G805" s="5">
        <f t="shared" si="128"/>
        <v>2024</v>
      </c>
      <c r="H805" s="5" t="str">
        <f t="shared" si="129"/>
        <v>Diciembre</v>
      </c>
      <c r="I805" s="6" t="str">
        <f t="shared" si="132"/>
        <v>2024-2</v>
      </c>
      <c r="J805" s="5">
        <v>100</v>
      </c>
      <c r="K805" s="10">
        <v>68.75</v>
      </c>
      <c r="L805" s="15">
        <f>IFERROR(IF((K805/J805)&gt;1.3,1.3,K805/J805),"")</f>
        <v>0.6875</v>
      </c>
      <c r="M805" s="15">
        <f>IFERROR(IF((K805/J805)&gt;K805/J805,1.3,K805/J805),"")</f>
        <v>0.6875</v>
      </c>
      <c r="N805" s="5" t="s">
        <v>347</v>
      </c>
      <c r="O805" s="5" t="s">
        <v>347</v>
      </c>
      <c r="P805" s="16">
        <v>0</v>
      </c>
      <c r="Q805" s="16">
        <v>0</v>
      </c>
      <c r="R805" s="5" t="str">
        <f t="shared" si="133"/>
        <v>222-2024-12-31</v>
      </c>
    </row>
    <row r="806" spans="1:18" x14ac:dyDescent="0.3">
      <c r="A806" s="26">
        <v>223</v>
      </c>
      <c r="B806" s="5" t="s">
        <v>102</v>
      </c>
      <c r="C806" s="5" t="s">
        <v>90</v>
      </c>
      <c r="D806" s="5" t="s">
        <v>25</v>
      </c>
      <c r="E806" s="5" t="s">
        <v>9</v>
      </c>
      <c r="F806" s="6">
        <v>45657</v>
      </c>
      <c r="G806" s="5">
        <f t="shared" si="128"/>
        <v>2024</v>
      </c>
      <c r="H806" s="5" t="str">
        <f t="shared" si="129"/>
        <v>Diciembre</v>
      </c>
      <c r="I806" s="6" t="str">
        <f t="shared" si="132"/>
        <v>2024-2</v>
      </c>
      <c r="J806" s="5">
        <v>100</v>
      </c>
      <c r="K806" s="10">
        <v>94.12</v>
      </c>
      <c r="L806" s="15">
        <f>IFERROR(IF((K806/J806)&gt;1.3,1.3,K806/J806),"")</f>
        <v>0.94120000000000004</v>
      </c>
      <c r="M806" s="15">
        <f>IFERROR(IF((K806/J806)&gt;K806/J806,1.3,K806/J806),"")</f>
        <v>0.94120000000000004</v>
      </c>
      <c r="N806" s="5"/>
      <c r="O806" s="5"/>
      <c r="P806" s="16">
        <v>0</v>
      </c>
      <c r="Q806" s="16">
        <v>0</v>
      </c>
      <c r="R806" s="5" t="str">
        <f t="shared" si="133"/>
        <v>223-2024-12-31</v>
      </c>
    </row>
    <row r="807" spans="1:18" x14ac:dyDescent="0.3">
      <c r="A807" s="5">
        <v>224</v>
      </c>
      <c r="B807" s="5" t="s">
        <v>458</v>
      </c>
      <c r="C807" s="5" t="s">
        <v>90</v>
      </c>
      <c r="D807" s="5" t="s">
        <v>25</v>
      </c>
      <c r="E807" s="5" t="s">
        <v>9</v>
      </c>
      <c r="F807" s="6">
        <v>44926</v>
      </c>
      <c r="G807" s="5">
        <f t="shared" si="128"/>
        <v>2022</v>
      </c>
      <c r="H807" s="5" t="str">
        <f t="shared" si="129"/>
        <v>Diciembre</v>
      </c>
      <c r="I807" s="6" t="str">
        <f t="shared" si="132"/>
        <v>2022-2</v>
      </c>
      <c r="J807" s="5">
        <v>100</v>
      </c>
      <c r="K807" s="5">
        <v>71.430000000000007</v>
      </c>
      <c r="L807" s="15">
        <v>0.71430000000000005</v>
      </c>
      <c r="M807" s="15">
        <v>0.71430000000000005</v>
      </c>
      <c r="N807" s="5" t="s">
        <v>347</v>
      </c>
      <c r="O807" s="5" t="s">
        <v>347</v>
      </c>
      <c r="P807" s="5">
        <v>0</v>
      </c>
      <c r="Q807" s="5">
        <v>0</v>
      </c>
      <c r="R807" s="5" t="str">
        <f t="shared" si="133"/>
        <v>224-2022-12-31</v>
      </c>
    </row>
    <row r="808" spans="1:18" x14ac:dyDescent="0.3">
      <c r="A808" s="26">
        <v>224</v>
      </c>
      <c r="B808" s="5" t="s">
        <v>458</v>
      </c>
      <c r="C808" s="5" t="s">
        <v>90</v>
      </c>
      <c r="D808" s="5" t="s">
        <v>25</v>
      </c>
      <c r="E808" s="5" t="s">
        <v>9</v>
      </c>
      <c r="F808" s="6">
        <v>45657</v>
      </c>
      <c r="G808" s="5">
        <f t="shared" si="128"/>
        <v>2024</v>
      </c>
      <c r="H808" s="5" t="str">
        <f t="shared" si="129"/>
        <v>Diciembre</v>
      </c>
      <c r="I808" s="6" t="str">
        <f t="shared" si="132"/>
        <v>2024-2</v>
      </c>
      <c r="J808" s="5">
        <v>100</v>
      </c>
      <c r="K808" s="10">
        <v>100</v>
      </c>
      <c r="L808" s="15">
        <f>IFERROR(IF((K808/J808)&gt;1.3,1.3,K808/J808),"")</f>
        <v>1</v>
      </c>
      <c r="M808" s="15">
        <f>IFERROR(IF((K808/J808)&gt;K808/J808,1.3,K808/J808),"")</f>
        <v>1</v>
      </c>
      <c r="N808" s="5" t="s">
        <v>347</v>
      </c>
      <c r="O808" s="5" t="s">
        <v>347</v>
      </c>
      <c r="P808" s="16">
        <v>0</v>
      </c>
      <c r="Q808" s="16">
        <v>0</v>
      </c>
      <c r="R808" s="5" t="str">
        <f t="shared" si="133"/>
        <v>224-2024-12-31</v>
      </c>
    </row>
    <row r="809" spans="1:18" x14ac:dyDescent="0.3">
      <c r="A809" s="26">
        <v>225</v>
      </c>
      <c r="B809" s="5" t="s">
        <v>103</v>
      </c>
      <c r="C809" s="5" t="s">
        <v>90</v>
      </c>
      <c r="D809" s="5" t="s">
        <v>18</v>
      </c>
      <c r="E809" s="5" t="s">
        <v>9</v>
      </c>
      <c r="F809" s="6">
        <v>44957</v>
      </c>
      <c r="G809" s="5">
        <f t="shared" si="128"/>
        <v>2023</v>
      </c>
      <c r="H809" s="5" t="str">
        <f t="shared" si="129"/>
        <v>Enero</v>
      </c>
      <c r="I809" s="6" t="str">
        <f t="shared" si="132"/>
        <v>2023-1</v>
      </c>
      <c r="J809" s="5">
        <v>6</v>
      </c>
      <c r="K809" s="9">
        <v>25</v>
      </c>
      <c r="L809" s="8">
        <f t="shared" ref="L809:L832" si="134">IFERROR(IF((K809/J809)&gt;1,1,K809/J809),"")</f>
        <v>1</v>
      </c>
      <c r="M809" s="15">
        <f t="shared" ref="M809:M832" si="135">IFERROR(IF((K809/J809)&gt;1,1,K809/J809),"")</f>
        <v>1</v>
      </c>
      <c r="N809" s="5" t="s">
        <v>490</v>
      </c>
      <c r="O809" s="5" t="s">
        <v>490</v>
      </c>
      <c r="P809" s="16">
        <v>0</v>
      </c>
      <c r="Q809" s="16">
        <v>0</v>
      </c>
      <c r="R809" s="5" t="str">
        <f t="shared" si="133"/>
        <v>225-2023-01-31</v>
      </c>
    </row>
    <row r="810" spans="1:18" x14ac:dyDescent="0.3">
      <c r="A810" s="26">
        <v>225</v>
      </c>
      <c r="B810" s="5" t="s">
        <v>103</v>
      </c>
      <c r="C810" s="5" t="s">
        <v>90</v>
      </c>
      <c r="D810" s="5" t="s">
        <v>18</v>
      </c>
      <c r="E810" s="5" t="s">
        <v>9</v>
      </c>
      <c r="F810" s="17">
        <v>44985</v>
      </c>
      <c r="G810" s="5">
        <f t="shared" si="128"/>
        <v>2023</v>
      </c>
      <c r="H810" s="5" t="str">
        <f t="shared" si="129"/>
        <v>Febrero</v>
      </c>
      <c r="I810" s="6" t="str">
        <f t="shared" si="132"/>
        <v>2023-1</v>
      </c>
      <c r="J810" s="5">
        <v>6</v>
      </c>
      <c r="K810" s="9">
        <v>20</v>
      </c>
      <c r="L810" s="8">
        <f t="shared" si="134"/>
        <v>1</v>
      </c>
      <c r="M810" s="15">
        <f t="shared" si="135"/>
        <v>1</v>
      </c>
      <c r="N810" s="5" t="s">
        <v>490</v>
      </c>
      <c r="O810" s="5" t="s">
        <v>490</v>
      </c>
      <c r="P810" s="16">
        <v>0</v>
      </c>
      <c r="Q810" s="16">
        <v>0</v>
      </c>
      <c r="R810" s="5" t="str">
        <f t="shared" si="133"/>
        <v>225-2023-02-28</v>
      </c>
    </row>
    <row r="811" spans="1:18" x14ac:dyDescent="0.3">
      <c r="A811" s="26">
        <v>225</v>
      </c>
      <c r="B811" s="5" t="s">
        <v>103</v>
      </c>
      <c r="C811" s="5" t="s">
        <v>90</v>
      </c>
      <c r="D811" s="5" t="s">
        <v>18</v>
      </c>
      <c r="E811" s="5" t="s">
        <v>9</v>
      </c>
      <c r="F811" s="6">
        <v>45016</v>
      </c>
      <c r="G811" s="5">
        <f t="shared" si="128"/>
        <v>2023</v>
      </c>
      <c r="H811" s="5" t="str">
        <f t="shared" si="129"/>
        <v>Marzo</v>
      </c>
      <c r="I811" s="6" t="str">
        <f t="shared" si="132"/>
        <v>2023-1</v>
      </c>
      <c r="J811" s="5">
        <v>6</v>
      </c>
      <c r="K811" s="9">
        <v>19</v>
      </c>
      <c r="L811" s="8">
        <f t="shared" si="134"/>
        <v>1</v>
      </c>
      <c r="M811" s="15">
        <f t="shared" si="135"/>
        <v>1</v>
      </c>
      <c r="N811" s="5" t="s">
        <v>490</v>
      </c>
      <c r="O811" s="5" t="s">
        <v>490</v>
      </c>
      <c r="P811" s="16">
        <v>0</v>
      </c>
      <c r="Q811" s="16">
        <v>0</v>
      </c>
      <c r="R811" s="5" t="str">
        <f t="shared" si="133"/>
        <v>225-2023-03-31</v>
      </c>
    </row>
    <row r="812" spans="1:18" x14ac:dyDescent="0.3">
      <c r="A812" s="26">
        <v>225</v>
      </c>
      <c r="B812" s="5" t="s">
        <v>103</v>
      </c>
      <c r="C812" s="5" t="s">
        <v>90</v>
      </c>
      <c r="D812" s="5" t="s">
        <v>18</v>
      </c>
      <c r="E812" s="5" t="s">
        <v>9</v>
      </c>
      <c r="F812" s="6">
        <v>45046</v>
      </c>
      <c r="G812" s="5">
        <f t="shared" si="128"/>
        <v>2023</v>
      </c>
      <c r="H812" s="5" t="str">
        <f t="shared" si="129"/>
        <v>Abril</v>
      </c>
      <c r="I812" s="6" t="str">
        <f t="shared" si="132"/>
        <v>2023-1</v>
      </c>
      <c r="J812" s="5">
        <v>6</v>
      </c>
      <c r="K812" s="9">
        <v>20</v>
      </c>
      <c r="L812" s="8">
        <f t="shared" si="134"/>
        <v>1</v>
      </c>
      <c r="M812" s="15">
        <f t="shared" si="135"/>
        <v>1</v>
      </c>
      <c r="N812" s="5" t="s">
        <v>490</v>
      </c>
      <c r="O812" s="5" t="s">
        <v>490</v>
      </c>
      <c r="P812" s="16">
        <v>0</v>
      </c>
      <c r="Q812" s="16">
        <v>0</v>
      </c>
      <c r="R812" s="5" t="str">
        <f t="shared" si="133"/>
        <v>225-2023-04-30</v>
      </c>
    </row>
    <row r="813" spans="1:18" x14ac:dyDescent="0.3">
      <c r="A813" s="26">
        <v>225</v>
      </c>
      <c r="B813" s="5" t="s">
        <v>103</v>
      </c>
      <c r="C813" s="5" t="s">
        <v>90</v>
      </c>
      <c r="D813" s="5" t="s">
        <v>18</v>
      </c>
      <c r="E813" s="5" t="s">
        <v>9</v>
      </c>
      <c r="F813" s="6">
        <v>45077</v>
      </c>
      <c r="G813" s="5">
        <f t="shared" si="128"/>
        <v>2023</v>
      </c>
      <c r="H813" s="5" t="str">
        <f t="shared" si="129"/>
        <v>Mayo</v>
      </c>
      <c r="I813" s="6" t="str">
        <f t="shared" si="132"/>
        <v>2023-1</v>
      </c>
      <c r="J813" s="5">
        <v>6</v>
      </c>
      <c r="K813" s="9">
        <v>23</v>
      </c>
      <c r="L813" s="8">
        <f t="shared" si="134"/>
        <v>1</v>
      </c>
      <c r="M813" s="15">
        <f t="shared" si="135"/>
        <v>1</v>
      </c>
      <c r="N813" s="5" t="s">
        <v>490</v>
      </c>
      <c r="O813" s="5" t="s">
        <v>490</v>
      </c>
      <c r="P813" s="16">
        <v>0</v>
      </c>
      <c r="Q813" s="16">
        <v>0</v>
      </c>
      <c r="R813" s="5" t="str">
        <f t="shared" si="133"/>
        <v>225-2023-05-31</v>
      </c>
    </row>
    <row r="814" spans="1:18" x14ac:dyDescent="0.3">
      <c r="A814" s="26">
        <v>225</v>
      </c>
      <c r="B814" s="5" t="s">
        <v>103</v>
      </c>
      <c r="C814" s="5" t="s">
        <v>90</v>
      </c>
      <c r="D814" s="5" t="s">
        <v>18</v>
      </c>
      <c r="E814" s="5" t="s">
        <v>9</v>
      </c>
      <c r="F814" s="6">
        <v>45107</v>
      </c>
      <c r="G814" s="5">
        <f t="shared" si="128"/>
        <v>2023</v>
      </c>
      <c r="H814" s="5" t="str">
        <f t="shared" si="129"/>
        <v>Junio</v>
      </c>
      <c r="I814" s="6" t="str">
        <f t="shared" si="132"/>
        <v>2023-1</v>
      </c>
      <c r="J814" s="5">
        <v>6</v>
      </c>
      <c r="K814" s="9">
        <v>19</v>
      </c>
      <c r="L814" s="8">
        <f t="shared" si="134"/>
        <v>1</v>
      </c>
      <c r="M814" s="15">
        <f t="shared" si="135"/>
        <v>1</v>
      </c>
      <c r="N814" s="5" t="s">
        <v>490</v>
      </c>
      <c r="O814" s="5" t="s">
        <v>490</v>
      </c>
      <c r="P814" s="16">
        <v>0</v>
      </c>
      <c r="Q814" s="16">
        <v>0</v>
      </c>
      <c r="R814" s="5" t="str">
        <f t="shared" si="133"/>
        <v>225-2023-06-30</v>
      </c>
    </row>
    <row r="815" spans="1:18" x14ac:dyDescent="0.3">
      <c r="A815" s="26">
        <v>225</v>
      </c>
      <c r="B815" s="5" t="s">
        <v>103</v>
      </c>
      <c r="C815" s="5" t="s">
        <v>90</v>
      </c>
      <c r="D815" s="5" t="s">
        <v>18</v>
      </c>
      <c r="E815" s="5" t="s">
        <v>9</v>
      </c>
      <c r="F815" s="6">
        <v>45138</v>
      </c>
      <c r="G815" s="5">
        <f t="shared" si="128"/>
        <v>2023</v>
      </c>
      <c r="H815" s="5" t="str">
        <f t="shared" si="129"/>
        <v>Julio</v>
      </c>
      <c r="I815" s="6" t="str">
        <f t="shared" si="132"/>
        <v>2023-2</v>
      </c>
      <c r="J815" s="5">
        <v>6</v>
      </c>
      <c r="K815" s="9">
        <v>20</v>
      </c>
      <c r="L815" s="8">
        <f t="shared" si="134"/>
        <v>1</v>
      </c>
      <c r="M815" s="15">
        <f t="shared" si="135"/>
        <v>1</v>
      </c>
      <c r="N815" s="5" t="s">
        <v>490</v>
      </c>
      <c r="O815" s="5" t="s">
        <v>490</v>
      </c>
      <c r="P815" s="16">
        <v>0</v>
      </c>
      <c r="Q815" s="16">
        <v>0</v>
      </c>
      <c r="R815" s="5" t="str">
        <f t="shared" si="133"/>
        <v>225-2023-07-31</v>
      </c>
    </row>
    <row r="816" spans="1:18" x14ac:dyDescent="0.3">
      <c r="A816" s="26">
        <v>225</v>
      </c>
      <c r="B816" s="5" t="s">
        <v>103</v>
      </c>
      <c r="C816" s="5" t="s">
        <v>90</v>
      </c>
      <c r="D816" s="5" t="s">
        <v>18</v>
      </c>
      <c r="E816" s="5" t="s">
        <v>9</v>
      </c>
      <c r="F816" s="6">
        <v>45169</v>
      </c>
      <c r="G816" s="5">
        <f t="shared" si="128"/>
        <v>2023</v>
      </c>
      <c r="H816" s="5" t="str">
        <f t="shared" si="129"/>
        <v>Agosto</v>
      </c>
      <c r="I816" s="6" t="str">
        <f t="shared" si="132"/>
        <v>2023-2</v>
      </c>
      <c r="J816" s="5">
        <v>6</v>
      </c>
      <c r="K816" s="9">
        <v>23</v>
      </c>
      <c r="L816" s="8">
        <f t="shared" si="134"/>
        <v>1</v>
      </c>
      <c r="M816" s="15">
        <f t="shared" si="135"/>
        <v>1</v>
      </c>
      <c r="N816" s="5" t="s">
        <v>490</v>
      </c>
      <c r="O816" s="5" t="s">
        <v>490</v>
      </c>
      <c r="P816" s="16">
        <v>0</v>
      </c>
      <c r="Q816" s="16">
        <v>0</v>
      </c>
      <c r="R816" s="5" t="str">
        <f t="shared" si="133"/>
        <v>225-2023-08-31</v>
      </c>
    </row>
    <row r="817" spans="1:18" x14ac:dyDescent="0.3">
      <c r="A817" s="26">
        <v>225</v>
      </c>
      <c r="B817" s="5" t="s">
        <v>103</v>
      </c>
      <c r="C817" s="5" t="s">
        <v>90</v>
      </c>
      <c r="D817" s="5" t="s">
        <v>18</v>
      </c>
      <c r="E817" s="5" t="s">
        <v>9</v>
      </c>
      <c r="F817" s="6">
        <v>45199</v>
      </c>
      <c r="G817" s="5">
        <f t="shared" si="128"/>
        <v>2023</v>
      </c>
      <c r="H817" s="5" t="str">
        <f t="shared" si="129"/>
        <v>Septiembre</v>
      </c>
      <c r="I817" s="6" t="str">
        <f t="shared" si="132"/>
        <v>2023-2</v>
      </c>
      <c r="J817" s="5">
        <v>6</v>
      </c>
      <c r="K817" s="9">
        <v>21</v>
      </c>
      <c r="L817" s="8">
        <f t="shared" si="134"/>
        <v>1</v>
      </c>
      <c r="M817" s="15">
        <f t="shared" si="135"/>
        <v>1</v>
      </c>
      <c r="N817" s="5" t="s">
        <v>490</v>
      </c>
      <c r="O817" s="5" t="s">
        <v>490</v>
      </c>
      <c r="P817" s="16">
        <v>0</v>
      </c>
      <c r="Q817" s="16">
        <v>0</v>
      </c>
      <c r="R817" s="5" t="str">
        <f t="shared" si="133"/>
        <v>225-2023-09-30</v>
      </c>
    </row>
    <row r="818" spans="1:18" x14ac:dyDescent="0.3">
      <c r="A818" s="39">
        <v>225</v>
      </c>
      <c r="B818" s="5" t="s">
        <v>103</v>
      </c>
      <c r="C818" s="5" t="s">
        <v>90</v>
      </c>
      <c r="D818" s="5" t="s">
        <v>18</v>
      </c>
      <c r="E818" s="5" t="s">
        <v>9</v>
      </c>
      <c r="F818" s="6">
        <v>45230</v>
      </c>
      <c r="G818" s="5">
        <f t="shared" si="128"/>
        <v>2023</v>
      </c>
      <c r="H818" s="5" t="str">
        <f t="shared" si="129"/>
        <v>Octubre</v>
      </c>
      <c r="I818" s="6" t="str">
        <f t="shared" si="132"/>
        <v>2023-2</v>
      </c>
      <c r="J818" s="5">
        <v>6</v>
      </c>
      <c r="K818" s="9">
        <v>19</v>
      </c>
      <c r="L818" s="8">
        <f t="shared" si="134"/>
        <v>1</v>
      </c>
      <c r="M818" s="15">
        <f t="shared" si="135"/>
        <v>1</v>
      </c>
      <c r="N818" s="5" t="s">
        <v>490</v>
      </c>
      <c r="O818" s="5" t="s">
        <v>490</v>
      </c>
      <c r="P818" s="16">
        <v>0</v>
      </c>
      <c r="Q818" s="16">
        <v>0</v>
      </c>
      <c r="R818" s="5" t="str">
        <f t="shared" si="133"/>
        <v>225-2023-10-31</v>
      </c>
    </row>
    <row r="819" spans="1:18" x14ac:dyDescent="0.3">
      <c r="A819" s="39">
        <v>225</v>
      </c>
      <c r="B819" s="5" t="s">
        <v>103</v>
      </c>
      <c r="C819" s="5" t="s">
        <v>90</v>
      </c>
      <c r="D819" s="5" t="s">
        <v>18</v>
      </c>
      <c r="E819" s="5" t="s">
        <v>9</v>
      </c>
      <c r="F819" s="6">
        <v>45260</v>
      </c>
      <c r="G819" s="5">
        <f t="shared" si="128"/>
        <v>2023</v>
      </c>
      <c r="H819" s="5" t="str">
        <f t="shared" si="129"/>
        <v>Noviembre</v>
      </c>
      <c r="I819" s="6" t="str">
        <f t="shared" si="132"/>
        <v>2023-2</v>
      </c>
      <c r="J819" s="5">
        <v>6</v>
      </c>
      <c r="K819" s="9">
        <v>18</v>
      </c>
      <c r="L819" s="8">
        <f t="shared" si="134"/>
        <v>1</v>
      </c>
      <c r="M819" s="15">
        <f t="shared" si="135"/>
        <v>1</v>
      </c>
      <c r="N819" s="5" t="s">
        <v>490</v>
      </c>
      <c r="O819" s="5" t="s">
        <v>490</v>
      </c>
      <c r="P819" s="16">
        <v>0</v>
      </c>
      <c r="Q819" s="16">
        <v>0</v>
      </c>
      <c r="R819" s="5" t="str">
        <f t="shared" si="133"/>
        <v>225-2023-11-30</v>
      </c>
    </row>
    <row r="820" spans="1:18" x14ac:dyDescent="0.3">
      <c r="A820" s="39">
        <v>225</v>
      </c>
      <c r="B820" s="5" t="s">
        <v>103</v>
      </c>
      <c r="C820" s="5" t="s">
        <v>90</v>
      </c>
      <c r="D820" s="5" t="s">
        <v>18</v>
      </c>
      <c r="E820" s="5" t="s">
        <v>9</v>
      </c>
      <c r="F820" s="6">
        <v>45291</v>
      </c>
      <c r="G820" s="5">
        <f t="shared" si="128"/>
        <v>2023</v>
      </c>
      <c r="H820" s="5" t="str">
        <f t="shared" si="129"/>
        <v>Diciembre</v>
      </c>
      <c r="I820" s="6" t="str">
        <f t="shared" si="132"/>
        <v>2023-2</v>
      </c>
      <c r="J820" s="5">
        <v>6</v>
      </c>
      <c r="K820" s="9">
        <v>18</v>
      </c>
      <c r="L820" s="8">
        <f t="shared" si="134"/>
        <v>1</v>
      </c>
      <c r="M820" s="15">
        <f t="shared" si="135"/>
        <v>1</v>
      </c>
      <c r="N820" s="5" t="s">
        <v>490</v>
      </c>
      <c r="O820" s="5" t="s">
        <v>490</v>
      </c>
      <c r="P820" s="16">
        <v>0</v>
      </c>
      <c r="Q820" s="16">
        <v>0</v>
      </c>
      <c r="R820" s="5" t="str">
        <f t="shared" si="133"/>
        <v>225-2023-12-31</v>
      </c>
    </row>
    <row r="821" spans="1:18" x14ac:dyDescent="0.3">
      <c r="A821" s="26">
        <v>225</v>
      </c>
      <c r="B821" s="5" t="s">
        <v>103</v>
      </c>
      <c r="C821" s="5" t="s">
        <v>90</v>
      </c>
      <c r="D821" s="5" t="s">
        <v>18</v>
      </c>
      <c r="E821" s="5" t="s">
        <v>9</v>
      </c>
      <c r="F821" s="6">
        <v>45322</v>
      </c>
      <c r="G821" s="5">
        <f t="shared" si="128"/>
        <v>2024</v>
      </c>
      <c r="H821" s="5" t="str">
        <f t="shared" si="129"/>
        <v>Enero</v>
      </c>
      <c r="I821" s="6" t="str">
        <f t="shared" si="132"/>
        <v>2024-1</v>
      </c>
      <c r="J821" s="5">
        <v>6</v>
      </c>
      <c r="K821" s="9">
        <v>20</v>
      </c>
      <c r="L821" s="8">
        <f t="shared" si="134"/>
        <v>1</v>
      </c>
      <c r="M821" s="15">
        <f t="shared" si="135"/>
        <v>1</v>
      </c>
      <c r="N821" s="5" t="s">
        <v>490</v>
      </c>
      <c r="O821" s="5" t="s">
        <v>490</v>
      </c>
      <c r="P821" s="16">
        <v>0</v>
      </c>
      <c r="Q821" s="16">
        <v>0</v>
      </c>
      <c r="R821" s="5" t="str">
        <f t="shared" si="133"/>
        <v>225-2024-01-31</v>
      </c>
    </row>
    <row r="822" spans="1:18" x14ac:dyDescent="0.3">
      <c r="A822" s="26">
        <v>225</v>
      </c>
      <c r="B822" s="5" t="s">
        <v>103</v>
      </c>
      <c r="C822" s="5" t="s">
        <v>90</v>
      </c>
      <c r="D822" s="5" t="s">
        <v>18</v>
      </c>
      <c r="E822" s="5" t="s">
        <v>9</v>
      </c>
      <c r="F822" s="6">
        <v>45351</v>
      </c>
      <c r="G822" s="5">
        <f t="shared" si="128"/>
        <v>2024</v>
      </c>
      <c r="H822" s="5" t="str">
        <f t="shared" si="129"/>
        <v>Febrero</v>
      </c>
      <c r="I822" s="6" t="str">
        <f t="shared" si="132"/>
        <v>2024-1</v>
      </c>
      <c r="J822" s="5">
        <v>1</v>
      </c>
      <c r="K822" s="10">
        <v>19</v>
      </c>
      <c r="L822" s="8">
        <f t="shared" si="134"/>
        <v>1</v>
      </c>
      <c r="M822" s="15">
        <f t="shared" si="135"/>
        <v>1</v>
      </c>
      <c r="N822" s="5" t="s">
        <v>490</v>
      </c>
      <c r="O822" s="5" t="s">
        <v>490</v>
      </c>
      <c r="P822" s="16">
        <v>0</v>
      </c>
      <c r="Q822" s="16">
        <v>0</v>
      </c>
      <c r="R822" s="5" t="str">
        <f t="shared" si="133"/>
        <v>225-2024-02-29</v>
      </c>
    </row>
    <row r="823" spans="1:18" x14ac:dyDescent="0.3">
      <c r="A823" s="26">
        <v>225</v>
      </c>
      <c r="B823" s="5" t="s">
        <v>103</v>
      </c>
      <c r="C823" s="5" t="s">
        <v>90</v>
      </c>
      <c r="D823" s="5" t="s">
        <v>18</v>
      </c>
      <c r="E823" s="5" t="s">
        <v>9</v>
      </c>
      <c r="F823" s="6">
        <v>45382</v>
      </c>
      <c r="G823" s="5">
        <f t="shared" si="128"/>
        <v>2024</v>
      </c>
      <c r="H823" s="5" t="str">
        <f t="shared" si="129"/>
        <v>Marzo</v>
      </c>
      <c r="I823" s="6" t="str">
        <f t="shared" si="132"/>
        <v>2024-1</v>
      </c>
      <c r="J823" s="5">
        <v>6</v>
      </c>
      <c r="K823" s="9">
        <v>23</v>
      </c>
      <c r="L823" s="8">
        <f t="shared" si="134"/>
        <v>1</v>
      </c>
      <c r="M823" s="15">
        <f t="shared" si="135"/>
        <v>1</v>
      </c>
      <c r="N823" s="5" t="s">
        <v>490</v>
      </c>
      <c r="O823" s="5" t="s">
        <v>490</v>
      </c>
      <c r="P823" s="16">
        <v>0</v>
      </c>
      <c r="Q823" s="16">
        <v>0</v>
      </c>
      <c r="R823" s="5" t="str">
        <f t="shared" si="133"/>
        <v>225-2024-03-31</v>
      </c>
    </row>
    <row r="824" spans="1:18" x14ac:dyDescent="0.3">
      <c r="A824" s="26">
        <v>225</v>
      </c>
      <c r="B824" s="5" t="s">
        <v>103</v>
      </c>
      <c r="C824" s="5" t="s">
        <v>90</v>
      </c>
      <c r="D824" s="5" t="s">
        <v>18</v>
      </c>
      <c r="E824" s="5" t="s">
        <v>9</v>
      </c>
      <c r="F824" s="6">
        <v>45412</v>
      </c>
      <c r="G824" s="5">
        <f t="shared" si="128"/>
        <v>2024</v>
      </c>
      <c r="H824" s="5" t="str">
        <f t="shared" si="129"/>
        <v>Abril</v>
      </c>
      <c r="I824" s="6" t="str">
        <f t="shared" si="132"/>
        <v>2024-1</v>
      </c>
      <c r="J824" s="5">
        <v>6</v>
      </c>
      <c r="K824" s="9">
        <v>20</v>
      </c>
      <c r="L824" s="8">
        <f t="shared" si="134"/>
        <v>1</v>
      </c>
      <c r="M824" s="15">
        <f t="shared" si="135"/>
        <v>1</v>
      </c>
      <c r="N824" s="5" t="s">
        <v>490</v>
      </c>
      <c r="O824" s="5" t="s">
        <v>490</v>
      </c>
      <c r="P824" s="16">
        <v>0</v>
      </c>
      <c r="Q824" s="16">
        <v>0</v>
      </c>
      <c r="R824" s="5" t="str">
        <f t="shared" si="133"/>
        <v>225-2024-04-30</v>
      </c>
    </row>
    <row r="825" spans="1:18" x14ac:dyDescent="0.3">
      <c r="A825" s="26">
        <v>225</v>
      </c>
      <c r="B825" s="5" t="s">
        <v>103</v>
      </c>
      <c r="C825" s="5" t="s">
        <v>90</v>
      </c>
      <c r="D825" s="5" t="s">
        <v>18</v>
      </c>
      <c r="E825" s="5" t="s">
        <v>9</v>
      </c>
      <c r="F825" s="6">
        <v>45443</v>
      </c>
      <c r="G825" s="5">
        <f t="shared" si="128"/>
        <v>2024</v>
      </c>
      <c r="H825" s="5" t="str">
        <f t="shared" si="129"/>
        <v>Mayo</v>
      </c>
      <c r="I825" s="6" t="str">
        <f t="shared" si="132"/>
        <v>2024-1</v>
      </c>
      <c r="J825" s="5">
        <v>6</v>
      </c>
      <c r="K825" s="9">
        <v>20</v>
      </c>
      <c r="L825" s="8">
        <f t="shared" si="134"/>
        <v>1</v>
      </c>
      <c r="M825" s="15">
        <f t="shared" si="135"/>
        <v>1</v>
      </c>
      <c r="N825" s="5" t="s">
        <v>490</v>
      </c>
      <c r="O825" s="5" t="s">
        <v>490</v>
      </c>
      <c r="P825" s="16">
        <v>0</v>
      </c>
      <c r="Q825" s="16">
        <v>0</v>
      </c>
      <c r="R825" s="5" t="str">
        <f t="shared" si="133"/>
        <v>225-2024-05-31</v>
      </c>
    </row>
    <row r="826" spans="1:18" x14ac:dyDescent="0.3">
      <c r="A826" s="26">
        <v>225</v>
      </c>
      <c r="B826" s="5" t="s">
        <v>103</v>
      </c>
      <c r="C826" s="5" t="s">
        <v>90</v>
      </c>
      <c r="D826" s="5" t="s">
        <v>18</v>
      </c>
      <c r="E826" s="5" t="s">
        <v>9</v>
      </c>
      <c r="F826" s="6">
        <v>45473</v>
      </c>
      <c r="G826" s="5">
        <f t="shared" si="128"/>
        <v>2024</v>
      </c>
      <c r="H826" s="5" t="str">
        <f t="shared" si="129"/>
        <v>Junio</v>
      </c>
      <c r="I826" s="6" t="str">
        <f t="shared" si="132"/>
        <v>2024-1</v>
      </c>
      <c r="J826" s="5">
        <v>6</v>
      </c>
      <c r="K826" s="9">
        <v>21</v>
      </c>
      <c r="L826" s="8">
        <f t="shared" si="134"/>
        <v>1</v>
      </c>
      <c r="M826" s="15">
        <f t="shared" si="135"/>
        <v>1</v>
      </c>
      <c r="N826" s="5" t="s">
        <v>490</v>
      </c>
      <c r="O826" s="5" t="s">
        <v>490</v>
      </c>
      <c r="P826" s="16">
        <v>0</v>
      </c>
      <c r="Q826" s="16">
        <v>0</v>
      </c>
      <c r="R826" s="5" t="str">
        <f t="shared" si="133"/>
        <v>225-2024-06-30</v>
      </c>
    </row>
    <row r="827" spans="1:18" x14ac:dyDescent="0.3">
      <c r="A827" s="26">
        <v>225</v>
      </c>
      <c r="B827" s="5" t="s">
        <v>103</v>
      </c>
      <c r="C827" s="5" t="s">
        <v>90</v>
      </c>
      <c r="D827" s="5" t="s">
        <v>18</v>
      </c>
      <c r="E827" s="5" t="s">
        <v>9</v>
      </c>
      <c r="F827" s="6">
        <v>45504</v>
      </c>
      <c r="G827" s="5">
        <f t="shared" si="128"/>
        <v>2024</v>
      </c>
      <c r="H827" s="5" t="str">
        <f t="shared" si="129"/>
        <v>Julio</v>
      </c>
      <c r="I827" s="6" t="str">
        <f t="shared" si="132"/>
        <v>2024-2</v>
      </c>
      <c r="J827" s="5">
        <v>6</v>
      </c>
      <c r="K827" s="9">
        <v>20</v>
      </c>
      <c r="L827" s="8">
        <f t="shared" si="134"/>
        <v>1</v>
      </c>
      <c r="M827" s="15">
        <f t="shared" si="135"/>
        <v>1</v>
      </c>
      <c r="N827" s="5" t="s">
        <v>490</v>
      </c>
      <c r="O827" s="5" t="s">
        <v>490</v>
      </c>
      <c r="P827" s="16">
        <v>0</v>
      </c>
      <c r="Q827" s="16">
        <v>0</v>
      </c>
      <c r="R827" s="5" t="str">
        <f t="shared" si="133"/>
        <v>225-2024-07-31</v>
      </c>
    </row>
    <row r="828" spans="1:18" x14ac:dyDescent="0.3">
      <c r="A828" s="26">
        <v>225</v>
      </c>
      <c r="B828" s="5" t="s">
        <v>103</v>
      </c>
      <c r="C828" s="5" t="s">
        <v>90</v>
      </c>
      <c r="D828" s="5" t="s">
        <v>18</v>
      </c>
      <c r="E828" s="5" t="s">
        <v>9</v>
      </c>
      <c r="F828" s="6">
        <v>45535</v>
      </c>
      <c r="G828" s="5">
        <f t="shared" si="128"/>
        <v>2024</v>
      </c>
      <c r="H828" s="5" t="str">
        <f t="shared" si="129"/>
        <v>Agosto</v>
      </c>
      <c r="I828" s="6" t="str">
        <f t="shared" si="132"/>
        <v>2024-2</v>
      </c>
      <c r="J828" s="5">
        <v>6</v>
      </c>
      <c r="K828" s="9">
        <v>21</v>
      </c>
      <c r="L828" s="8">
        <f t="shared" si="134"/>
        <v>1</v>
      </c>
      <c r="M828" s="15">
        <f t="shared" si="135"/>
        <v>1</v>
      </c>
      <c r="N828" s="5" t="s">
        <v>490</v>
      </c>
      <c r="O828" s="5" t="s">
        <v>490</v>
      </c>
      <c r="P828" s="16">
        <v>0</v>
      </c>
      <c r="Q828" s="16">
        <v>0</v>
      </c>
      <c r="R828" s="5" t="str">
        <f t="shared" si="133"/>
        <v>225-2024-08-31</v>
      </c>
    </row>
    <row r="829" spans="1:18" x14ac:dyDescent="0.3">
      <c r="A829" s="26">
        <v>225</v>
      </c>
      <c r="B829" s="5" t="s">
        <v>103</v>
      </c>
      <c r="C829" s="5" t="s">
        <v>90</v>
      </c>
      <c r="D829" s="5" t="s">
        <v>18</v>
      </c>
      <c r="E829" s="5" t="s">
        <v>9</v>
      </c>
      <c r="F829" s="6">
        <v>45565</v>
      </c>
      <c r="G829" s="5">
        <f t="shared" si="128"/>
        <v>2024</v>
      </c>
      <c r="H829" s="5" t="str">
        <f t="shared" si="129"/>
        <v>Septiembre</v>
      </c>
      <c r="I829" s="6" t="str">
        <f t="shared" si="132"/>
        <v>2024-2</v>
      </c>
      <c r="J829" s="5">
        <v>6</v>
      </c>
      <c r="K829" s="9">
        <v>22</v>
      </c>
      <c r="L829" s="8">
        <f t="shared" si="134"/>
        <v>1</v>
      </c>
      <c r="M829" s="15">
        <f t="shared" si="135"/>
        <v>1</v>
      </c>
      <c r="N829" s="5" t="s">
        <v>490</v>
      </c>
      <c r="O829" s="5" t="s">
        <v>490</v>
      </c>
      <c r="P829" s="16">
        <v>0</v>
      </c>
      <c r="Q829" s="16">
        <v>0</v>
      </c>
      <c r="R829" s="5" t="str">
        <f t="shared" si="133"/>
        <v>225-2024-09-30</v>
      </c>
    </row>
    <row r="830" spans="1:18" x14ac:dyDescent="0.3">
      <c r="A830" s="39">
        <v>225</v>
      </c>
      <c r="B830" s="5" t="s">
        <v>103</v>
      </c>
      <c r="C830" s="5" t="s">
        <v>90</v>
      </c>
      <c r="D830" s="5" t="s">
        <v>18</v>
      </c>
      <c r="E830" s="5" t="s">
        <v>9</v>
      </c>
      <c r="F830" s="6">
        <v>45596</v>
      </c>
      <c r="G830" s="5">
        <f t="shared" si="128"/>
        <v>2024</v>
      </c>
      <c r="H830" s="5" t="str">
        <f t="shared" si="129"/>
        <v>Octubre</v>
      </c>
      <c r="I830" s="6" t="str">
        <f t="shared" si="132"/>
        <v>2024-2</v>
      </c>
      <c r="J830" s="5">
        <v>6</v>
      </c>
      <c r="K830" s="9">
        <v>20</v>
      </c>
      <c r="L830" s="8">
        <f t="shared" si="134"/>
        <v>1</v>
      </c>
      <c r="M830" s="15">
        <f t="shared" si="135"/>
        <v>1</v>
      </c>
      <c r="N830" s="5" t="s">
        <v>490</v>
      </c>
      <c r="O830" s="5" t="s">
        <v>490</v>
      </c>
      <c r="P830" s="16">
        <v>0</v>
      </c>
      <c r="Q830" s="16">
        <v>0</v>
      </c>
      <c r="R830" s="5" t="str">
        <f t="shared" si="133"/>
        <v>225-2024-10-31</v>
      </c>
    </row>
    <row r="831" spans="1:18" x14ac:dyDescent="0.3">
      <c r="A831" s="39">
        <v>225</v>
      </c>
      <c r="B831" s="5" t="s">
        <v>103</v>
      </c>
      <c r="C831" s="5" t="s">
        <v>90</v>
      </c>
      <c r="D831" s="5" t="s">
        <v>18</v>
      </c>
      <c r="E831" s="5" t="s">
        <v>9</v>
      </c>
      <c r="F831" s="6">
        <v>45626</v>
      </c>
      <c r="G831" s="5">
        <f t="shared" si="128"/>
        <v>2024</v>
      </c>
      <c r="H831" s="5" t="str">
        <f t="shared" si="129"/>
        <v>Noviembre</v>
      </c>
      <c r="I831" s="6" t="str">
        <f t="shared" si="132"/>
        <v>2024-2</v>
      </c>
      <c r="J831" s="5">
        <v>6</v>
      </c>
      <c r="K831" s="9">
        <v>22</v>
      </c>
      <c r="L831" s="8">
        <f t="shared" si="134"/>
        <v>1</v>
      </c>
      <c r="M831" s="15">
        <f t="shared" si="135"/>
        <v>1</v>
      </c>
      <c r="N831" s="5" t="s">
        <v>490</v>
      </c>
      <c r="O831" s="5" t="s">
        <v>490</v>
      </c>
      <c r="P831" s="16">
        <v>0</v>
      </c>
      <c r="Q831" s="16">
        <v>0</v>
      </c>
      <c r="R831" s="5" t="str">
        <f t="shared" si="133"/>
        <v>225-2024-11-30</v>
      </c>
    </row>
    <row r="832" spans="1:18" x14ac:dyDescent="0.3">
      <c r="A832" s="39">
        <v>225</v>
      </c>
      <c r="B832" s="5" t="s">
        <v>103</v>
      </c>
      <c r="C832" s="5" t="s">
        <v>90</v>
      </c>
      <c r="D832" s="5" t="s">
        <v>18</v>
      </c>
      <c r="E832" s="5" t="s">
        <v>9</v>
      </c>
      <c r="F832" s="6">
        <v>45657</v>
      </c>
      <c r="G832" s="5">
        <f t="shared" si="128"/>
        <v>2024</v>
      </c>
      <c r="H832" s="5" t="str">
        <f t="shared" si="129"/>
        <v>Diciembre</v>
      </c>
      <c r="I832" s="6" t="str">
        <f t="shared" si="132"/>
        <v>2024-2</v>
      </c>
      <c r="J832" s="5">
        <v>6</v>
      </c>
      <c r="K832" s="9">
        <v>18</v>
      </c>
      <c r="L832" s="8">
        <f t="shared" si="134"/>
        <v>1</v>
      </c>
      <c r="M832" s="15">
        <f t="shared" si="135"/>
        <v>1</v>
      </c>
      <c r="N832" s="5" t="s">
        <v>490</v>
      </c>
      <c r="O832" s="5" t="s">
        <v>490</v>
      </c>
      <c r="P832" s="16">
        <v>0</v>
      </c>
      <c r="Q832" s="16">
        <v>0</v>
      </c>
      <c r="R832" s="5" t="str">
        <f t="shared" si="133"/>
        <v>225-2024-12-31</v>
      </c>
    </row>
    <row r="833" spans="1:18" x14ac:dyDescent="0.3">
      <c r="A833" s="5">
        <v>226</v>
      </c>
      <c r="B833" s="5" t="s">
        <v>104</v>
      </c>
      <c r="C833" s="5" t="s">
        <v>90</v>
      </c>
      <c r="D833" s="5" t="s">
        <v>25</v>
      </c>
      <c r="E833" s="5" t="s">
        <v>9</v>
      </c>
      <c r="F833" s="6">
        <v>44926</v>
      </c>
      <c r="G833" s="5">
        <f t="shared" si="128"/>
        <v>2022</v>
      </c>
      <c r="H833" s="5" t="str">
        <f t="shared" si="129"/>
        <v>Diciembre</v>
      </c>
      <c r="I833" s="6" t="str">
        <f t="shared" si="132"/>
        <v>2022-2</v>
      </c>
      <c r="J833" s="5"/>
      <c r="K833" s="5">
        <v>476.49</v>
      </c>
      <c r="L833" s="15" t="s">
        <v>417</v>
      </c>
      <c r="M833" s="15" t="s">
        <v>417</v>
      </c>
      <c r="N833" s="5" t="s">
        <v>490</v>
      </c>
      <c r="O833" s="5" t="s">
        <v>490</v>
      </c>
      <c r="P833" s="5">
        <v>0</v>
      </c>
      <c r="Q833" s="5">
        <v>0</v>
      </c>
      <c r="R833" s="5" t="str">
        <f t="shared" si="133"/>
        <v>226-2022-12-31</v>
      </c>
    </row>
    <row r="834" spans="1:18" x14ac:dyDescent="0.3">
      <c r="A834" s="5">
        <v>227</v>
      </c>
      <c r="B834" s="5" t="s">
        <v>105</v>
      </c>
      <c r="C834" s="5" t="s">
        <v>90</v>
      </c>
      <c r="D834" s="5" t="s">
        <v>25</v>
      </c>
      <c r="E834" s="5" t="s">
        <v>14</v>
      </c>
      <c r="F834" s="6">
        <v>44926</v>
      </c>
      <c r="G834" s="5">
        <f t="shared" ref="G834:G897" si="136">YEAR(F834)</f>
        <v>2022</v>
      </c>
      <c r="H834" s="5" t="str">
        <f t="shared" ref="H834:H897" si="137">PROPER(TEXT(F834,"mmmm"))</f>
        <v>Diciembre</v>
      </c>
      <c r="I834" s="6" t="str">
        <f t="shared" si="132"/>
        <v>2022-2</v>
      </c>
      <c r="J834" s="5">
        <v>0.3</v>
      </c>
      <c r="K834" s="5">
        <v>0.1</v>
      </c>
      <c r="L834" s="15">
        <v>1</v>
      </c>
      <c r="M834" s="15">
        <v>1</v>
      </c>
      <c r="N834" s="5" t="s">
        <v>490</v>
      </c>
      <c r="O834" s="5" t="s">
        <v>490</v>
      </c>
      <c r="P834" s="5">
        <v>0</v>
      </c>
      <c r="Q834" s="5">
        <v>0</v>
      </c>
      <c r="R834" s="5" t="str">
        <f t="shared" si="133"/>
        <v>227-2022-12-31</v>
      </c>
    </row>
    <row r="835" spans="1:18" x14ac:dyDescent="0.3">
      <c r="A835" s="26">
        <v>227</v>
      </c>
      <c r="B835" s="5" t="s">
        <v>105</v>
      </c>
      <c r="C835" s="5" t="s">
        <v>90</v>
      </c>
      <c r="D835" s="5" t="s">
        <v>25</v>
      </c>
      <c r="E835" s="5" t="s">
        <v>14</v>
      </c>
      <c r="F835" s="6">
        <v>45657</v>
      </c>
      <c r="G835" s="5">
        <f t="shared" si="136"/>
        <v>2024</v>
      </c>
      <c r="H835" s="5" t="str">
        <f t="shared" si="137"/>
        <v>Diciembre</v>
      </c>
      <c r="I835" s="6" t="str">
        <f t="shared" si="132"/>
        <v>2024-2</v>
      </c>
      <c r="J835" s="5">
        <v>0.3</v>
      </c>
      <c r="K835" s="10">
        <v>0</v>
      </c>
      <c r="L835" s="15">
        <f>IFERROR(IF((K835/J835)&gt;1.3,1.3,K835/J835),"")</f>
        <v>0</v>
      </c>
      <c r="M835" s="15">
        <f>IFERROR(IF((K835/J835)&gt;K835/J835,1.3,K835/J835),"")</f>
        <v>0</v>
      </c>
      <c r="N835" s="5"/>
      <c r="O835" s="5"/>
      <c r="P835" s="16">
        <v>0</v>
      </c>
      <c r="Q835" s="16">
        <v>0</v>
      </c>
      <c r="R835" s="5" t="str">
        <f t="shared" si="133"/>
        <v>227-2024-12-31</v>
      </c>
    </row>
    <row r="836" spans="1:18" x14ac:dyDescent="0.3">
      <c r="A836" s="39">
        <v>228</v>
      </c>
      <c r="B836" s="5" t="s">
        <v>106</v>
      </c>
      <c r="C836" s="5" t="s">
        <v>90</v>
      </c>
      <c r="D836" s="5" t="s">
        <v>25</v>
      </c>
      <c r="E836" s="5" t="s">
        <v>9</v>
      </c>
      <c r="F836" s="6">
        <v>44926</v>
      </c>
      <c r="G836" s="5">
        <f t="shared" si="136"/>
        <v>2022</v>
      </c>
      <c r="H836" s="5" t="str">
        <f t="shared" si="137"/>
        <v>Diciembre</v>
      </c>
      <c r="I836" s="6" t="str">
        <f t="shared" si="132"/>
        <v>2022-2</v>
      </c>
      <c r="J836" s="5">
        <v>170.99</v>
      </c>
      <c r="K836" s="5">
        <v>235</v>
      </c>
      <c r="L836" s="15">
        <f>IFERROR(IF((K836/J836)&gt;1.3,1.3,K836/J836),"")</f>
        <v>1.3</v>
      </c>
      <c r="M836" s="15">
        <f>IFERROR(IF((K836/J836)&gt;K836/J836,1.3,K836/J836),"")</f>
        <v>1.3743493771565587</v>
      </c>
      <c r="N836" s="5" t="s">
        <v>798</v>
      </c>
      <c r="O836" s="5" t="s">
        <v>798</v>
      </c>
      <c r="P836" s="16">
        <v>0</v>
      </c>
      <c r="Q836" s="16">
        <v>0</v>
      </c>
      <c r="R836" s="5" t="str">
        <f t="shared" si="133"/>
        <v>228-2022-12-31</v>
      </c>
    </row>
    <row r="837" spans="1:18" x14ac:dyDescent="0.3">
      <c r="A837" s="5">
        <v>228</v>
      </c>
      <c r="B837" s="5" t="s">
        <v>106</v>
      </c>
      <c r="C837" s="5" t="s">
        <v>90</v>
      </c>
      <c r="D837" s="5" t="s">
        <v>25</v>
      </c>
      <c r="E837" s="5" t="s">
        <v>9</v>
      </c>
      <c r="F837" s="6">
        <v>45291</v>
      </c>
      <c r="G837" s="5">
        <f t="shared" si="136"/>
        <v>2023</v>
      </c>
      <c r="H837" s="5" t="str">
        <f t="shared" si="137"/>
        <v>Diciembre</v>
      </c>
      <c r="I837" s="6" t="str">
        <f t="shared" si="132"/>
        <v>2023-2</v>
      </c>
      <c r="J837" s="5">
        <v>476.48</v>
      </c>
      <c r="K837" s="5">
        <v>477</v>
      </c>
      <c r="L837" s="15">
        <v>1</v>
      </c>
      <c r="M837" s="15">
        <v>1.0011000000000001</v>
      </c>
      <c r="N837" s="5" t="s">
        <v>798</v>
      </c>
      <c r="O837" s="5" t="s">
        <v>798</v>
      </c>
      <c r="P837" s="5">
        <v>1</v>
      </c>
      <c r="Q837" s="5">
        <v>1</v>
      </c>
      <c r="R837" s="5" t="str">
        <f t="shared" si="133"/>
        <v>228-2023-12-31</v>
      </c>
    </row>
    <row r="838" spans="1:18" x14ac:dyDescent="0.3">
      <c r="A838" s="26">
        <v>228</v>
      </c>
      <c r="B838" s="5" t="s">
        <v>106</v>
      </c>
      <c r="C838" s="5" t="s">
        <v>90</v>
      </c>
      <c r="D838" s="5" t="s">
        <v>25</v>
      </c>
      <c r="E838" s="5" t="s">
        <v>9</v>
      </c>
      <c r="F838" s="6">
        <v>45657</v>
      </c>
      <c r="G838" s="5">
        <f t="shared" si="136"/>
        <v>2024</v>
      </c>
      <c r="H838" s="5" t="str">
        <f t="shared" si="137"/>
        <v>Diciembre</v>
      </c>
      <c r="I838" s="6" t="str">
        <f t="shared" si="132"/>
        <v>2024-2</v>
      </c>
      <c r="J838" s="5">
        <v>622.68999999999994</v>
      </c>
      <c r="K838" s="5">
        <v>622.68999999999994</v>
      </c>
      <c r="L838" s="15">
        <f>IFERROR(IF((K838/J838)&gt;1.3,1.3,K838/J838),"")</f>
        <v>1</v>
      </c>
      <c r="M838" s="15">
        <f>IFERROR(IF((K838/J838)&gt;K838/J838,1.3,K838/J838),"")</f>
        <v>1</v>
      </c>
      <c r="N838" s="5" t="s">
        <v>798</v>
      </c>
      <c r="O838" s="5" t="s">
        <v>798</v>
      </c>
      <c r="P838" s="16">
        <v>1</v>
      </c>
      <c r="Q838" s="16">
        <v>1</v>
      </c>
      <c r="R838" s="5" t="str">
        <f t="shared" si="133"/>
        <v>228-2024-12-31</v>
      </c>
    </row>
    <row r="839" spans="1:18" x14ac:dyDescent="0.3">
      <c r="A839" s="26">
        <v>230</v>
      </c>
      <c r="B839" s="5" t="s">
        <v>107</v>
      </c>
      <c r="C839" s="5" t="s">
        <v>90</v>
      </c>
      <c r="D839" s="5" t="s">
        <v>8</v>
      </c>
      <c r="E839" s="5" t="s">
        <v>9</v>
      </c>
      <c r="F839" s="17">
        <v>45107</v>
      </c>
      <c r="G839" s="5">
        <f t="shared" si="136"/>
        <v>2023</v>
      </c>
      <c r="H839" s="5" t="str">
        <f t="shared" si="137"/>
        <v>Junio</v>
      </c>
      <c r="I839" s="6" t="str">
        <f t="shared" si="132"/>
        <v>2023-1</v>
      </c>
      <c r="J839" s="5">
        <v>15</v>
      </c>
      <c r="K839" s="9">
        <v>15</v>
      </c>
      <c r="L839" s="8">
        <f>IFERROR(K839/J839,"")</f>
        <v>1</v>
      </c>
      <c r="M839" s="15">
        <f>IFERROR(IF((K839/J839)&gt;K839/J839,1.3,K839/J839),"")</f>
        <v>1</v>
      </c>
      <c r="N839" s="5" t="s">
        <v>347</v>
      </c>
      <c r="O839" s="5" t="s">
        <v>347</v>
      </c>
      <c r="P839" s="16">
        <v>0</v>
      </c>
      <c r="Q839" s="16">
        <v>0</v>
      </c>
      <c r="R839" s="5" t="str">
        <f t="shared" si="133"/>
        <v>230-2023-06-30</v>
      </c>
    </row>
    <row r="840" spans="1:18" x14ac:dyDescent="0.3">
      <c r="A840" s="5">
        <v>230</v>
      </c>
      <c r="B840" s="5" t="s">
        <v>107</v>
      </c>
      <c r="C840" s="5" t="s">
        <v>90</v>
      </c>
      <c r="D840" s="5" t="s">
        <v>8</v>
      </c>
      <c r="E840" s="5" t="s">
        <v>9</v>
      </c>
      <c r="F840" s="6">
        <v>45473</v>
      </c>
      <c r="G840" s="5">
        <f t="shared" si="136"/>
        <v>2024</v>
      </c>
      <c r="H840" s="5" t="str">
        <f t="shared" si="137"/>
        <v>Junio</v>
      </c>
      <c r="I840" s="6" t="str">
        <f t="shared" si="132"/>
        <v>2024-1</v>
      </c>
      <c r="J840" s="5">
        <v>90</v>
      </c>
      <c r="K840" s="5">
        <v>100</v>
      </c>
      <c r="L840" s="15">
        <v>1</v>
      </c>
      <c r="M840" s="15">
        <v>1.1111111111111112</v>
      </c>
      <c r="N840" s="5" t="s">
        <v>347</v>
      </c>
      <c r="O840" s="5" t="s">
        <v>347</v>
      </c>
      <c r="P840" s="5">
        <v>0</v>
      </c>
      <c r="Q840" s="5">
        <v>0</v>
      </c>
      <c r="R840" s="5" t="str">
        <f t="shared" si="133"/>
        <v>230-2024-06-30</v>
      </c>
    </row>
    <row r="841" spans="1:18" x14ac:dyDescent="0.3">
      <c r="A841" s="26">
        <v>230</v>
      </c>
      <c r="B841" s="5" t="s">
        <v>107</v>
      </c>
      <c r="C841" s="5" t="s">
        <v>90</v>
      </c>
      <c r="D841" s="5" t="s">
        <v>8</v>
      </c>
      <c r="E841" s="5" t="s">
        <v>9</v>
      </c>
      <c r="F841" s="6">
        <v>45657</v>
      </c>
      <c r="G841" s="5">
        <f t="shared" si="136"/>
        <v>2024</v>
      </c>
      <c r="H841" s="5" t="str">
        <f t="shared" si="137"/>
        <v>Diciembre</v>
      </c>
      <c r="I841" s="6" t="str">
        <f t="shared" si="132"/>
        <v>2024-2</v>
      </c>
      <c r="J841" s="5">
        <v>90</v>
      </c>
      <c r="K841" s="10">
        <v>100</v>
      </c>
      <c r="L841" s="15">
        <f>IFERROR(IF((K841/J841)&gt;1.3,1.3,K841/J841),"")</f>
        <v>1.1111111111111112</v>
      </c>
      <c r="M841" s="15">
        <f>IFERROR(IF((K841/J841)&gt;K841/J841,1.3,K841/J841),"")</f>
        <v>1.1111111111111112</v>
      </c>
      <c r="N841" s="5" t="s">
        <v>347</v>
      </c>
      <c r="O841" s="5" t="s">
        <v>347</v>
      </c>
      <c r="P841" s="16">
        <v>0</v>
      </c>
      <c r="Q841" s="16">
        <v>0</v>
      </c>
      <c r="R841" s="5" t="str">
        <f t="shared" si="133"/>
        <v>230-2024-12-31</v>
      </c>
    </row>
    <row r="842" spans="1:18" x14ac:dyDescent="0.3">
      <c r="A842" s="26">
        <v>231</v>
      </c>
      <c r="B842" s="5" t="s">
        <v>108</v>
      </c>
      <c r="C842" s="5" t="s">
        <v>90</v>
      </c>
      <c r="D842" s="5" t="s">
        <v>8</v>
      </c>
      <c r="E842" s="5" t="s">
        <v>9</v>
      </c>
      <c r="F842" s="17">
        <v>45107</v>
      </c>
      <c r="G842" s="5">
        <f t="shared" si="136"/>
        <v>2023</v>
      </c>
      <c r="H842" s="5" t="str">
        <f t="shared" si="137"/>
        <v>Junio</v>
      </c>
      <c r="I842" s="6" t="str">
        <f t="shared" ref="I842:I892" si="138">IF(OR(H842="Enero",H842="Febrero",H842="Marzo",H842="Abril",H842="Mayo",H842="Junio"),G842&amp;"-1",IF(OR(H842="Julio",H842="Agosto",H842="Septiembre",H842="Octubre",H842="Noviembre",H842="Diciembre"),G842&amp;"-2"))</f>
        <v>2023-1</v>
      </c>
      <c r="J842" s="5">
        <v>35</v>
      </c>
      <c r="K842" s="9">
        <v>38.235294117647101</v>
      </c>
      <c r="L842" s="8">
        <f>IFERROR(K842/J842,"")</f>
        <v>1.0924369747899172</v>
      </c>
      <c r="M842" s="15">
        <f>IFERROR(IF((K842/J842)&gt;K842/J842,1.3,K842/J842),"")</f>
        <v>1.0924369747899172</v>
      </c>
      <c r="N842" s="5" t="s">
        <v>347</v>
      </c>
      <c r="O842" s="5" t="s">
        <v>347</v>
      </c>
      <c r="P842" s="16">
        <v>0</v>
      </c>
      <c r="Q842" s="16">
        <v>0</v>
      </c>
      <c r="R842" s="5" t="str">
        <f t="shared" ref="R842:R892" si="139">A842&amp;"-"&amp;YEAR(F842)&amp;"-"&amp;IF(LEN(MONTH(F842))=1,"0"&amp;MONTH(F842),MONTH(F842))&amp;"-"&amp;DAY(F842)</f>
        <v>231-2023-06-30</v>
      </c>
    </row>
    <row r="843" spans="1:18" x14ac:dyDescent="0.3">
      <c r="A843" s="5">
        <v>231</v>
      </c>
      <c r="B843" s="5" t="s">
        <v>108</v>
      </c>
      <c r="C843" s="5" t="s">
        <v>90</v>
      </c>
      <c r="D843" s="5" t="s">
        <v>8</v>
      </c>
      <c r="E843" s="5" t="s">
        <v>9</v>
      </c>
      <c r="F843" s="6">
        <v>45473</v>
      </c>
      <c r="G843" s="5">
        <f t="shared" si="136"/>
        <v>2024</v>
      </c>
      <c r="H843" s="5" t="str">
        <f t="shared" si="137"/>
        <v>Junio</v>
      </c>
      <c r="I843" s="6" t="str">
        <f t="shared" si="138"/>
        <v>2024-1</v>
      </c>
      <c r="J843" s="5">
        <v>35</v>
      </c>
      <c r="K843" s="5">
        <v>95.38</v>
      </c>
      <c r="L843" s="15">
        <v>1</v>
      </c>
      <c r="M843" s="15">
        <v>1</v>
      </c>
      <c r="N843" s="5" t="s">
        <v>347</v>
      </c>
      <c r="O843" s="5" t="s">
        <v>347</v>
      </c>
      <c r="P843" s="5">
        <v>0</v>
      </c>
      <c r="Q843" s="5">
        <v>0</v>
      </c>
      <c r="R843" s="5" t="str">
        <f t="shared" si="139"/>
        <v>231-2024-06-30</v>
      </c>
    </row>
    <row r="844" spans="1:18" x14ac:dyDescent="0.3">
      <c r="A844" s="26">
        <v>231</v>
      </c>
      <c r="B844" s="5" t="s">
        <v>108</v>
      </c>
      <c r="C844" s="5" t="s">
        <v>90</v>
      </c>
      <c r="D844" s="5" t="s">
        <v>8</v>
      </c>
      <c r="E844" s="5" t="s">
        <v>9</v>
      </c>
      <c r="F844" s="6">
        <v>45657</v>
      </c>
      <c r="G844" s="5">
        <f t="shared" si="136"/>
        <v>2024</v>
      </c>
      <c r="H844" s="5" t="str">
        <f t="shared" si="137"/>
        <v>Diciembre</v>
      </c>
      <c r="I844" s="6" t="str">
        <f t="shared" si="138"/>
        <v>2024-2</v>
      </c>
      <c r="J844" s="5">
        <v>35</v>
      </c>
      <c r="K844" s="10">
        <v>104.19</v>
      </c>
      <c r="L844" s="15">
        <f>IFERROR(IF((K844/J844)&gt;1.3,1.3,K844/J844),"")</f>
        <v>1.3</v>
      </c>
      <c r="M844" s="15">
        <f>IFERROR(IF((K844/J844)&gt;K844/J844,1.3,K844/J844),"")</f>
        <v>2.9768571428571429</v>
      </c>
      <c r="N844" s="5" t="s">
        <v>347</v>
      </c>
      <c r="O844" s="5" t="s">
        <v>347</v>
      </c>
      <c r="P844" s="16">
        <v>0</v>
      </c>
      <c r="Q844" s="16">
        <v>0</v>
      </c>
      <c r="R844" s="5" t="str">
        <f t="shared" si="139"/>
        <v>231-2024-12-31</v>
      </c>
    </row>
    <row r="845" spans="1:18" x14ac:dyDescent="0.3">
      <c r="A845" s="26">
        <v>232</v>
      </c>
      <c r="B845" s="5" t="s">
        <v>109</v>
      </c>
      <c r="C845" s="5" t="s">
        <v>90</v>
      </c>
      <c r="D845" s="5" t="s">
        <v>8</v>
      </c>
      <c r="E845" s="5" t="s">
        <v>9</v>
      </c>
      <c r="F845" s="17">
        <v>45107</v>
      </c>
      <c r="G845" s="5">
        <f t="shared" si="136"/>
        <v>2023</v>
      </c>
      <c r="H845" s="5" t="str">
        <f t="shared" si="137"/>
        <v>Junio</v>
      </c>
      <c r="I845" s="6" t="str">
        <f t="shared" si="138"/>
        <v>2023-1</v>
      </c>
      <c r="J845" s="5">
        <v>21</v>
      </c>
      <c r="K845" s="9">
        <v>21</v>
      </c>
      <c r="L845" s="8">
        <f>IFERROR(K845/J845,"")</f>
        <v>1</v>
      </c>
      <c r="M845" s="15">
        <f>IFERROR(IF((K845/J845)&gt;K845/J845,1.3,K845/J845),"")</f>
        <v>1</v>
      </c>
      <c r="N845" s="5" t="s">
        <v>347</v>
      </c>
      <c r="O845" s="5" t="s">
        <v>347</v>
      </c>
      <c r="P845" s="16">
        <v>0</v>
      </c>
      <c r="Q845" s="16">
        <v>0</v>
      </c>
      <c r="R845" s="5" t="str">
        <f t="shared" si="139"/>
        <v>232-2023-06-30</v>
      </c>
    </row>
    <row r="846" spans="1:18" x14ac:dyDescent="0.3">
      <c r="A846" s="5">
        <v>232</v>
      </c>
      <c r="B846" s="5" t="s">
        <v>109</v>
      </c>
      <c r="C846" s="5" t="s">
        <v>90</v>
      </c>
      <c r="D846" s="5" t="s">
        <v>8</v>
      </c>
      <c r="E846" s="5" t="s">
        <v>9</v>
      </c>
      <c r="F846" s="6">
        <v>45473</v>
      </c>
      <c r="G846" s="5">
        <f t="shared" si="136"/>
        <v>2024</v>
      </c>
      <c r="H846" s="5" t="str">
        <f t="shared" si="137"/>
        <v>Junio</v>
      </c>
      <c r="I846" s="6" t="str">
        <f t="shared" si="138"/>
        <v>2024-1</v>
      </c>
      <c r="J846" s="5">
        <v>90</v>
      </c>
      <c r="K846" s="5">
        <v>95.45</v>
      </c>
      <c r="L846" s="15">
        <v>1</v>
      </c>
      <c r="M846" s="15">
        <v>1</v>
      </c>
      <c r="N846" s="5" t="s">
        <v>347</v>
      </c>
      <c r="O846" s="5" t="s">
        <v>347</v>
      </c>
      <c r="P846" s="5">
        <v>0</v>
      </c>
      <c r="Q846" s="5">
        <v>0</v>
      </c>
      <c r="R846" s="5" t="str">
        <f t="shared" si="139"/>
        <v>232-2024-06-30</v>
      </c>
    </row>
    <row r="847" spans="1:18" x14ac:dyDescent="0.3">
      <c r="A847" s="26">
        <v>232</v>
      </c>
      <c r="B847" s="5" t="s">
        <v>109</v>
      </c>
      <c r="C847" s="5" t="s">
        <v>90</v>
      </c>
      <c r="D847" s="5" t="s">
        <v>8</v>
      </c>
      <c r="E847" s="5" t="s">
        <v>9</v>
      </c>
      <c r="F847" s="6">
        <v>45657</v>
      </c>
      <c r="G847" s="5">
        <f t="shared" si="136"/>
        <v>2024</v>
      </c>
      <c r="H847" s="5" t="str">
        <f t="shared" si="137"/>
        <v>Diciembre</v>
      </c>
      <c r="I847" s="6" t="str">
        <f t="shared" si="138"/>
        <v>2024-2</v>
      </c>
      <c r="J847" s="5">
        <v>90</v>
      </c>
      <c r="K847" s="10">
        <v>100</v>
      </c>
      <c r="L847" s="15">
        <f>IFERROR(IF((K847/J847)&gt;1.3,1.3,K847/J847),"")</f>
        <v>1.1111111111111112</v>
      </c>
      <c r="M847" s="15">
        <f t="shared" ref="M847:M850" si="140">IFERROR(IF((K847/J847)&gt;K847/J847,1.3,K847/J847),"")</f>
        <v>1.1111111111111112</v>
      </c>
      <c r="N847" s="5" t="s">
        <v>347</v>
      </c>
      <c r="O847" s="5" t="s">
        <v>347</v>
      </c>
      <c r="P847" s="16">
        <v>0</v>
      </c>
      <c r="Q847" s="16">
        <v>0</v>
      </c>
      <c r="R847" s="5" t="str">
        <f t="shared" si="139"/>
        <v>232-2024-12-31</v>
      </c>
    </row>
    <row r="848" spans="1:18" x14ac:dyDescent="0.3">
      <c r="A848" s="26">
        <v>233</v>
      </c>
      <c r="B848" s="5" t="s">
        <v>110</v>
      </c>
      <c r="C848" s="5" t="s">
        <v>90</v>
      </c>
      <c r="D848" s="5" t="s">
        <v>11</v>
      </c>
      <c r="E848" s="5" t="s">
        <v>9</v>
      </c>
      <c r="F848" s="6">
        <v>45016</v>
      </c>
      <c r="G848" s="5">
        <f t="shared" si="136"/>
        <v>2023</v>
      </c>
      <c r="H848" s="5" t="str">
        <f t="shared" si="137"/>
        <v>Marzo</v>
      </c>
      <c r="I848" s="6" t="str">
        <f t="shared" si="138"/>
        <v>2023-1</v>
      </c>
      <c r="J848" s="5">
        <v>20</v>
      </c>
      <c r="K848" s="9">
        <v>64.290000000000006</v>
      </c>
      <c r="L848" s="8">
        <f>IF(IFERROR(K848/J848,"")&gt;130%,130%,K848/J848)</f>
        <v>1.3</v>
      </c>
      <c r="M848" s="15">
        <f t="shared" si="140"/>
        <v>3.2145000000000001</v>
      </c>
      <c r="N848" s="5" t="s">
        <v>347</v>
      </c>
      <c r="O848" s="5" t="s">
        <v>347</v>
      </c>
      <c r="P848" s="16">
        <v>0</v>
      </c>
      <c r="Q848" s="16">
        <v>0</v>
      </c>
      <c r="R848" s="5" t="str">
        <f t="shared" si="139"/>
        <v>233-2023-03-31</v>
      </c>
    </row>
    <row r="849" spans="1:18" x14ac:dyDescent="0.3">
      <c r="A849" s="26">
        <v>233</v>
      </c>
      <c r="B849" s="5" t="s">
        <v>110</v>
      </c>
      <c r="C849" s="5" t="s">
        <v>90</v>
      </c>
      <c r="D849" s="5" t="s">
        <v>11</v>
      </c>
      <c r="E849" s="5" t="s">
        <v>9</v>
      </c>
      <c r="F849" s="6">
        <v>45107</v>
      </c>
      <c r="G849" s="5">
        <f t="shared" si="136"/>
        <v>2023</v>
      </c>
      <c r="H849" s="5" t="str">
        <f t="shared" si="137"/>
        <v>Junio</v>
      </c>
      <c r="I849" s="6" t="str">
        <f t="shared" si="138"/>
        <v>2023-1</v>
      </c>
      <c r="J849" s="5">
        <v>20</v>
      </c>
      <c r="K849" s="9">
        <v>37.700000000000003</v>
      </c>
      <c r="L849" s="8">
        <f>IF(IFERROR(K849/J849,"")&gt;130%,130%,K849/J849)</f>
        <v>1.3</v>
      </c>
      <c r="M849" s="15">
        <f t="shared" si="140"/>
        <v>1.8850000000000002</v>
      </c>
      <c r="N849" s="5" t="s">
        <v>347</v>
      </c>
      <c r="O849" s="5" t="s">
        <v>347</v>
      </c>
      <c r="P849" s="16">
        <v>1</v>
      </c>
      <c r="Q849" s="16">
        <v>1</v>
      </c>
      <c r="R849" s="5" t="str">
        <f t="shared" si="139"/>
        <v>233-2023-06-30</v>
      </c>
    </row>
    <row r="850" spans="1:18" x14ac:dyDescent="0.3">
      <c r="A850" s="26">
        <v>233</v>
      </c>
      <c r="B850" s="5" t="s">
        <v>110</v>
      </c>
      <c r="C850" s="5" t="s">
        <v>90</v>
      </c>
      <c r="D850" s="5" t="s">
        <v>11</v>
      </c>
      <c r="E850" s="5" t="s">
        <v>9</v>
      </c>
      <c r="F850" s="6">
        <v>45382</v>
      </c>
      <c r="G850" s="5">
        <f t="shared" si="136"/>
        <v>2024</v>
      </c>
      <c r="H850" s="5" t="str">
        <f t="shared" si="137"/>
        <v>Marzo</v>
      </c>
      <c r="I850" s="6" t="str">
        <f t="shared" si="138"/>
        <v>2024-1</v>
      </c>
      <c r="J850" s="5">
        <v>20</v>
      </c>
      <c r="K850" s="10">
        <v>48.35</v>
      </c>
      <c r="L850" s="15">
        <f>IFERROR(IF((K850/J850)&gt;1.3,1.3,K850/J850),"")</f>
        <v>1.3</v>
      </c>
      <c r="M850" s="15">
        <f t="shared" si="140"/>
        <v>2.4175</v>
      </c>
      <c r="N850" s="5"/>
      <c r="O850" s="5"/>
      <c r="P850" s="16">
        <v>0</v>
      </c>
      <c r="Q850" s="16">
        <v>0</v>
      </c>
      <c r="R850" s="5" t="str">
        <f t="shared" si="139"/>
        <v>233-2024-03-31</v>
      </c>
    </row>
    <row r="851" spans="1:18" x14ac:dyDescent="0.3">
      <c r="A851" s="5">
        <v>233</v>
      </c>
      <c r="B851" s="5" t="s">
        <v>110</v>
      </c>
      <c r="C851" s="5" t="s">
        <v>90</v>
      </c>
      <c r="D851" s="5" t="s">
        <v>11</v>
      </c>
      <c r="E851" s="5" t="s">
        <v>9</v>
      </c>
      <c r="F851" s="6">
        <v>45473</v>
      </c>
      <c r="G851" s="5">
        <f t="shared" si="136"/>
        <v>2024</v>
      </c>
      <c r="H851" s="5" t="str">
        <f t="shared" si="137"/>
        <v>Junio</v>
      </c>
      <c r="I851" s="6" t="str">
        <f t="shared" si="138"/>
        <v>2024-1</v>
      </c>
      <c r="J851" s="5">
        <v>20</v>
      </c>
      <c r="K851" s="5">
        <v>51.44</v>
      </c>
      <c r="L851" s="15">
        <v>1</v>
      </c>
      <c r="M851" s="15">
        <v>1</v>
      </c>
      <c r="N851" s="5"/>
      <c r="O851" s="5"/>
      <c r="P851" s="5">
        <v>0</v>
      </c>
      <c r="Q851" s="5">
        <v>0</v>
      </c>
      <c r="R851" s="5" t="str">
        <f t="shared" si="139"/>
        <v>233-2024-06-30</v>
      </c>
    </row>
    <row r="852" spans="1:18" x14ac:dyDescent="0.3">
      <c r="A852" s="26">
        <v>233</v>
      </c>
      <c r="B852" s="5" t="s">
        <v>110</v>
      </c>
      <c r="C852" s="5" t="s">
        <v>90</v>
      </c>
      <c r="D852" s="5" t="s">
        <v>11</v>
      </c>
      <c r="E852" s="5" t="s">
        <v>9</v>
      </c>
      <c r="F852" s="6">
        <v>45657</v>
      </c>
      <c r="G852" s="5">
        <f t="shared" si="136"/>
        <v>2024</v>
      </c>
      <c r="H852" s="5" t="str">
        <f t="shared" si="137"/>
        <v>Diciembre</v>
      </c>
      <c r="I852" s="6" t="str">
        <f t="shared" si="138"/>
        <v>2024-2</v>
      </c>
      <c r="J852" s="5">
        <v>20</v>
      </c>
      <c r="K852" s="10">
        <v>31.82</v>
      </c>
      <c r="L852" s="15">
        <f>IFERROR(IF((K852/J852)&gt;1.3,1.3,K852/J852),"")</f>
        <v>1.3</v>
      </c>
      <c r="M852" s="15">
        <f t="shared" ref="M852:M855" si="141">IFERROR(IF((K852/J852)&gt;K852/J852,1.3,K852/J852),"")</f>
        <v>1.591</v>
      </c>
      <c r="N852" s="5"/>
      <c r="O852" s="5"/>
      <c r="P852" s="16">
        <v>0</v>
      </c>
      <c r="Q852" s="16">
        <v>0</v>
      </c>
      <c r="R852" s="5" t="str">
        <f t="shared" si="139"/>
        <v>233-2024-12-31</v>
      </c>
    </row>
    <row r="853" spans="1:18" x14ac:dyDescent="0.3">
      <c r="A853" s="26">
        <v>234</v>
      </c>
      <c r="B853" s="5" t="s">
        <v>111</v>
      </c>
      <c r="C853" s="5" t="s">
        <v>90</v>
      </c>
      <c r="D853" s="5" t="s">
        <v>11</v>
      </c>
      <c r="E853" s="5" t="s">
        <v>9</v>
      </c>
      <c r="F853" s="6">
        <v>45016</v>
      </c>
      <c r="G853" s="5">
        <f t="shared" si="136"/>
        <v>2023</v>
      </c>
      <c r="H853" s="5" t="str">
        <f t="shared" si="137"/>
        <v>Marzo</v>
      </c>
      <c r="I853" s="6" t="str">
        <f t="shared" si="138"/>
        <v>2023-1</v>
      </c>
      <c r="J853" s="5">
        <v>4000</v>
      </c>
      <c r="K853" s="9">
        <v>3692.25</v>
      </c>
      <c r="L853" s="8">
        <f>IF(IFERROR(K853/J853,"")&gt;130%,130%,K853/J853)</f>
        <v>0.92306250000000001</v>
      </c>
      <c r="M853" s="15">
        <f t="shared" si="141"/>
        <v>0.92306250000000001</v>
      </c>
      <c r="N853" s="5"/>
      <c r="O853" s="11"/>
      <c r="P853" s="16">
        <v>0</v>
      </c>
      <c r="Q853" s="16">
        <v>0</v>
      </c>
      <c r="R853" s="5" t="str">
        <f t="shared" si="139"/>
        <v>234-2023-03-31</v>
      </c>
    </row>
    <row r="854" spans="1:18" x14ac:dyDescent="0.3">
      <c r="A854" s="26">
        <v>234</v>
      </c>
      <c r="B854" s="5" t="s">
        <v>111</v>
      </c>
      <c r="C854" s="5" t="s">
        <v>90</v>
      </c>
      <c r="D854" s="5" t="s">
        <v>11</v>
      </c>
      <c r="E854" s="5" t="s">
        <v>9</v>
      </c>
      <c r="F854" s="6">
        <v>45107</v>
      </c>
      <c r="G854" s="5">
        <f t="shared" si="136"/>
        <v>2023</v>
      </c>
      <c r="H854" s="5" t="str">
        <f t="shared" si="137"/>
        <v>Junio</v>
      </c>
      <c r="I854" s="6" t="str">
        <f t="shared" si="138"/>
        <v>2023-1</v>
      </c>
      <c r="J854" s="5">
        <v>4000</v>
      </c>
      <c r="K854" s="9">
        <v>14714.5</v>
      </c>
      <c r="L854" s="8">
        <f>IF(IFERROR(K854/J854,"")&gt;130%,130%,K854/J854)</f>
        <v>1.3</v>
      </c>
      <c r="M854" s="15">
        <f t="shared" si="141"/>
        <v>3.6786249999999998</v>
      </c>
      <c r="N854" s="5"/>
      <c r="O854" s="11"/>
      <c r="P854" s="16">
        <v>0</v>
      </c>
      <c r="Q854" s="16">
        <v>0</v>
      </c>
      <c r="R854" s="5" t="str">
        <f t="shared" si="139"/>
        <v>234-2023-06-30</v>
      </c>
    </row>
    <row r="855" spans="1:18" x14ac:dyDescent="0.3">
      <c r="A855" s="26">
        <v>234</v>
      </c>
      <c r="B855" s="5" t="s">
        <v>111</v>
      </c>
      <c r="C855" s="5" t="s">
        <v>90</v>
      </c>
      <c r="D855" s="5" t="s">
        <v>11</v>
      </c>
      <c r="E855" s="5" t="s">
        <v>9</v>
      </c>
      <c r="F855" s="6">
        <v>45382</v>
      </c>
      <c r="G855" s="5">
        <f t="shared" si="136"/>
        <v>2024</v>
      </c>
      <c r="H855" s="5" t="str">
        <f t="shared" si="137"/>
        <v>Marzo</v>
      </c>
      <c r="I855" s="6" t="str">
        <f t="shared" si="138"/>
        <v>2024-1</v>
      </c>
      <c r="J855" s="5">
        <v>4000</v>
      </c>
      <c r="K855" s="10">
        <v>2399.5</v>
      </c>
      <c r="L855" s="15">
        <f>IFERROR(IF((K855/J855)&gt;1.3,1.3,K855/J855),"")</f>
        <v>0.59987500000000005</v>
      </c>
      <c r="M855" s="15">
        <f t="shared" si="141"/>
        <v>0.59987500000000005</v>
      </c>
      <c r="N855" s="5"/>
      <c r="O855" s="5"/>
      <c r="P855" s="16">
        <v>0</v>
      </c>
      <c r="Q855" s="16">
        <v>0</v>
      </c>
      <c r="R855" s="5" t="str">
        <f t="shared" si="139"/>
        <v>234-2024-03-31</v>
      </c>
    </row>
    <row r="856" spans="1:18" x14ac:dyDescent="0.3">
      <c r="A856" s="5">
        <v>234</v>
      </c>
      <c r="B856" s="5" t="s">
        <v>111</v>
      </c>
      <c r="C856" s="5" t="s">
        <v>90</v>
      </c>
      <c r="D856" s="5" t="s">
        <v>11</v>
      </c>
      <c r="E856" s="5" t="s">
        <v>9</v>
      </c>
      <c r="F856" s="6">
        <v>45473</v>
      </c>
      <c r="G856" s="5">
        <f t="shared" si="136"/>
        <v>2024</v>
      </c>
      <c r="H856" s="5" t="str">
        <f t="shared" si="137"/>
        <v>Junio</v>
      </c>
      <c r="I856" s="6" t="str">
        <f t="shared" si="138"/>
        <v>2024-1</v>
      </c>
      <c r="J856" s="5">
        <v>4000</v>
      </c>
      <c r="K856" s="5">
        <v>2068</v>
      </c>
      <c r="L856" s="15">
        <v>0.51700000000000002</v>
      </c>
      <c r="M856" s="15">
        <v>0.51700000000000002</v>
      </c>
      <c r="N856" s="5"/>
      <c r="O856" s="5"/>
      <c r="P856" s="5">
        <v>0</v>
      </c>
      <c r="Q856" s="5">
        <v>0</v>
      </c>
      <c r="R856" s="5" t="str">
        <f t="shared" si="139"/>
        <v>234-2024-06-30</v>
      </c>
    </row>
    <row r="857" spans="1:18" x14ac:dyDescent="0.3">
      <c r="A857" s="26">
        <v>234</v>
      </c>
      <c r="B857" s="5" t="s">
        <v>111</v>
      </c>
      <c r="C857" s="5" t="s">
        <v>90</v>
      </c>
      <c r="D857" s="5" t="s">
        <v>11</v>
      </c>
      <c r="E857" s="5" t="s">
        <v>9</v>
      </c>
      <c r="F857" s="6">
        <v>45657</v>
      </c>
      <c r="G857" s="5">
        <f t="shared" si="136"/>
        <v>2024</v>
      </c>
      <c r="H857" s="5" t="str">
        <f t="shared" si="137"/>
        <v>Diciembre</v>
      </c>
      <c r="I857" s="6" t="str">
        <f t="shared" si="138"/>
        <v>2024-2</v>
      </c>
      <c r="J857" s="5">
        <v>4000</v>
      </c>
      <c r="K857" s="10">
        <v>4218</v>
      </c>
      <c r="L857" s="15">
        <f>IFERROR(IF((K857/J857)&gt;1.3,1.3,K857/J857),"")</f>
        <v>1.0545</v>
      </c>
      <c r="M857" s="15">
        <f>IFERROR(IF((K857/J857)&gt;K857/J857,1.3,K857/J857),"")</f>
        <v>1.0545</v>
      </c>
      <c r="N857" s="5"/>
      <c r="O857" s="5"/>
      <c r="P857" s="16">
        <v>0</v>
      </c>
      <c r="Q857" s="16">
        <v>0</v>
      </c>
      <c r="R857" s="5" t="str">
        <f t="shared" si="139"/>
        <v>234-2024-12-31</v>
      </c>
    </row>
    <row r="858" spans="1:18" x14ac:dyDescent="0.3">
      <c r="A858" s="26">
        <v>235</v>
      </c>
      <c r="B858" s="5" t="s">
        <v>112</v>
      </c>
      <c r="C858" s="5" t="s">
        <v>90</v>
      </c>
      <c r="D858" s="5" t="s">
        <v>25</v>
      </c>
      <c r="E858" s="5" t="s">
        <v>9</v>
      </c>
      <c r="F858" s="6">
        <v>45657</v>
      </c>
      <c r="G858" s="5">
        <f t="shared" si="136"/>
        <v>2024</v>
      </c>
      <c r="H858" s="5" t="str">
        <f t="shared" si="137"/>
        <v>Diciembre</v>
      </c>
      <c r="I858" s="6" t="str">
        <f t="shared" si="138"/>
        <v>2024-2</v>
      </c>
      <c r="J858" s="5">
        <v>100</v>
      </c>
      <c r="K858" s="10">
        <v>92.01</v>
      </c>
      <c r="L858" s="15">
        <f>IFERROR(IF((K858/J858)&gt;1.3,1.3,K858/J858),"")</f>
        <v>0.92010000000000003</v>
      </c>
      <c r="M858" s="15">
        <f>IFERROR(IF((K858/J858)&gt;K858/J858,1.3,K858/J858),"")</f>
        <v>0.92010000000000003</v>
      </c>
      <c r="N858" s="5"/>
      <c r="O858" s="5"/>
      <c r="P858" s="16">
        <v>0</v>
      </c>
      <c r="Q858" s="16">
        <v>0</v>
      </c>
      <c r="R858" s="5" t="str">
        <f t="shared" si="139"/>
        <v>235-2024-12-31</v>
      </c>
    </row>
    <row r="859" spans="1:18" x14ac:dyDescent="0.3">
      <c r="A859" s="26">
        <v>236</v>
      </c>
      <c r="B859" s="5" t="s">
        <v>113</v>
      </c>
      <c r="C859" s="5" t="s">
        <v>90</v>
      </c>
      <c r="D859" s="5" t="s">
        <v>25</v>
      </c>
      <c r="E859" s="5" t="s">
        <v>14</v>
      </c>
      <c r="F859" s="6">
        <v>45657</v>
      </c>
      <c r="G859" s="5">
        <f t="shared" si="136"/>
        <v>2024</v>
      </c>
      <c r="H859" s="5" t="str">
        <f t="shared" si="137"/>
        <v>Diciembre</v>
      </c>
      <c r="I859" s="6" t="str">
        <f t="shared" si="138"/>
        <v>2024-2</v>
      </c>
      <c r="J859" s="5">
        <v>0</v>
      </c>
      <c r="K859" s="10">
        <v>0</v>
      </c>
      <c r="L859" s="15" t="str">
        <f>IFERROR(IF((K859/J859)&gt;1.3,1.3,K859/J859),"")</f>
        <v/>
      </c>
      <c r="M859" s="15" t="str">
        <f t="shared" ref="M859:M863" si="142">IFERROR(IF((K859/J859)&gt;K859/J859,1.3,K859/J859),"")</f>
        <v/>
      </c>
      <c r="N859" s="5"/>
      <c r="O859" s="5"/>
      <c r="P859" s="16">
        <v>0</v>
      </c>
      <c r="Q859" s="16">
        <v>0</v>
      </c>
      <c r="R859" s="5" t="str">
        <f t="shared" si="139"/>
        <v>236-2024-12-31</v>
      </c>
    </row>
    <row r="860" spans="1:18" x14ac:dyDescent="0.3">
      <c r="A860" s="26">
        <v>238</v>
      </c>
      <c r="B860" s="5" t="s">
        <v>115</v>
      </c>
      <c r="C860" s="5" t="s">
        <v>90</v>
      </c>
      <c r="D860" s="5" t="s">
        <v>11</v>
      </c>
      <c r="E860" s="5" t="s">
        <v>9</v>
      </c>
      <c r="F860" s="6">
        <v>45016</v>
      </c>
      <c r="G860" s="5">
        <f t="shared" si="136"/>
        <v>2023</v>
      </c>
      <c r="H860" s="5" t="str">
        <f t="shared" si="137"/>
        <v>Marzo</v>
      </c>
      <c r="I860" s="6" t="str">
        <f t="shared" si="138"/>
        <v>2023-1</v>
      </c>
      <c r="J860" s="5">
        <v>90</v>
      </c>
      <c r="K860" s="9">
        <v>94.44</v>
      </c>
      <c r="L860" s="8">
        <f>IFERROR(K860/J860,"")</f>
        <v>1.0493333333333332</v>
      </c>
      <c r="M860" s="15">
        <f t="shared" si="142"/>
        <v>1.0493333333333332</v>
      </c>
      <c r="N860" s="5"/>
      <c r="O860" s="5"/>
      <c r="P860" s="16">
        <v>0</v>
      </c>
      <c r="Q860" s="16">
        <v>0</v>
      </c>
      <c r="R860" s="5" t="str">
        <f t="shared" si="139"/>
        <v>238-2023-03-31</v>
      </c>
    </row>
    <row r="861" spans="1:18" x14ac:dyDescent="0.3">
      <c r="A861" s="26">
        <v>238</v>
      </c>
      <c r="B861" s="5" t="s">
        <v>115</v>
      </c>
      <c r="C861" s="5" t="s">
        <v>90</v>
      </c>
      <c r="D861" s="5" t="s">
        <v>11</v>
      </c>
      <c r="E861" s="5" t="s">
        <v>9</v>
      </c>
      <c r="F861" s="6">
        <v>45107</v>
      </c>
      <c r="G861" s="5">
        <f t="shared" si="136"/>
        <v>2023</v>
      </c>
      <c r="H861" s="5" t="str">
        <f t="shared" si="137"/>
        <v>Junio</v>
      </c>
      <c r="I861" s="6" t="str">
        <f t="shared" si="138"/>
        <v>2023-1</v>
      </c>
      <c r="J861" s="5">
        <v>90</v>
      </c>
      <c r="K861" s="9">
        <v>92.59</v>
      </c>
      <c r="L861" s="8">
        <f>IFERROR(K861/J861,"")</f>
        <v>1.0287777777777778</v>
      </c>
      <c r="M861" s="15">
        <f t="shared" si="142"/>
        <v>1.0287777777777778</v>
      </c>
      <c r="N861" s="5"/>
      <c r="O861" s="5"/>
      <c r="P861" s="16">
        <v>0</v>
      </c>
      <c r="Q861" s="16">
        <v>0</v>
      </c>
      <c r="R861" s="5" t="str">
        <f t="shared" si="139"/>
        <v>238-2023-06-30</v>
      </c>
    </row>
    <row r="862" spans="1:18" x14ac:dyDescent="0.3">
      <c r="A862" s="43">
        <v>238</v>
      </c>
      <c r="B862" s="5" t="s">
        <v>115</v>
      </c>
      <c r="C862" s="5" t="s">
        <v>90</v>
      </c>
      <c r="D862" s="5" t="s">
        <v>11</v>
      </c>
      <c r="E862" s="5" t="s">
        <v>9</v>
      </c>
      <c r="F862" s="6">
        <v>45199</v>
      </c>
      <c r="G862" s="5">
        <f t="shared" si="136"/>
        <v>2023</v>
      </c>
      <c r="H862" s="5" t="str">
        <f t="shared" si="137"/>
        <v>Septiembre</v>
      </c>
      <c r="I862" s="6" t="str">
        <f t="shared" si="138"/>
        <v>2023-2</v>
      </c>
      <c r="J862" s="5">
        <v>90</v>
      </c>
      <c r="K862" s="9">
        <v>44.4444444444444</v>
      </c>
      <c r="L862" s="8">
        <f>IFERROR(K862/J862,"")</f>
        <v>0.49382716049382669</v>
      </c>
      <c r="M862" s="15">
        <f t="shared" si="142"/>
        <v>0.49382716049382669</v>
      </c>
      <c r="N862" s="5"/>
      <c r="O862" s="5"/>
      <c r="P862" s="16">
        <v>0</v>
      </c>
      <c r="Q862" s="16">
        <v>0</v>
      </c>
      <c r="R862" s="5" t="str">
        <f t="shared" si="139"/>
        <v>238-2023-09-30</v>
      </c>
    </row>
    <row r="863" spans="1:18" x14ac:dyDescent="0.3">
      <c r="A863" s="26">
        <v>238</v>
      </c>
      <c r="B863" s="5" t="s">
        <v>115</v>
      </c>
      <c r="C863" s="5" t="s">
        <v>90</v>
      </c>
      <c r="D863" s="5" t="s">
        <v>11</v>
      </c>
      <c r="E863" s="5" t="s">
        <v>9</v>
      </c>
      <c r="F863" s="6">
        <v>45382</v>
      </c>
      <c r="G863" s="5">
        <f t="shared" si="136"/>
        <v>2024</v>
      </c>
      <c r="H863" s="5" t="str">
        <f t="shared" si="137"/>
        <v>Marzo</v>
      </c>
      <c r="I863" s="6" t="str">
        <f t="shared" si="138"/>
        <v>2024-1</v>
      </c>
      <c r="J863" s="5">
        <v>90</v>
      </c>
      <c r="K863" s="10">
        <v>76.19</v>
      </c>
      <c r="L863" s="15">
        <f>IFERROR(IF((K863/J863)&gt;1.3,1.3,K863/J863),"")</f>
        <v>0.84655555555555551</v>
      </c>
      <c r="M863" s="15">
        <f t="shared" si="142"/>
        <v>0.84655555555555551</v>
      </c>
      <c r="N863" s="5" t="s">
        <v>491</v>
      </c>
      <c r="O863" s="5" t="s">
        <v>491</v>
      </c>
      <c r="P863" s="16">
        <v>0</v>
      </c>
      <c r="Q863" s="16">
        <v>0</v>
      </c>
      <c r="R863" s="5" t="str">
        <f t="shared" si="139"/>
        <v>238-2024-03-31</v>
      </c>
    </row>
    <row r="864" spans="1:18" x14ac:dyDescent="0.3">
      <c r="A864" s="26">
        <v>238</v>
      </c>
      <c r="B864" s="5" t="s">
        <v>115</v>
      </c>
      <c r="C864" s="5" t="s">
        <v>90</v>
      </c>
      <c r="D864" s="5" t="s">
        <v>11</v>
      </c>
      <c r="E864" s="5" t="s">
        <v>9</v>
      </c>
      <c r="F864" s="6">
        <v>45565</v>
      </c>
      <c r="G864" s="5">
        <f t="shared" si="136"/>
        <v>2024</v>
      </c>
      <c r="H864" s="5" t="str">
        <f t="shared" si="137"/>
        <v>Septiembre</v>
      </c>
      <c r="I864" s="6" t="str">
        <f t="shared" si="138"/>
        <v>2024-2</v>
      </c>
      <c r="J864" s="5">
        <v>90</v>
      </c>
      <c r="K864" s="10">
        <v>84.21</v>
      </c>
      <c r="L864" s="15">
        <f>IFERROR(IF((K864/J864)&gt;1.3,1.3,K864/J864),"")</f>
        <v>0.93566666666666665</v>
      </c>
      <c r="M864" s="15">
        <f t="shared" ref="M864:M894" si="143">IFERROR(IF((K864/J864)&gt;K864/J864,1.3,K864/J864),"")</f>
        <v>0.93566666666666665</v>
      </c>
      <c r="N864" s="5" t="s">
        <v>491</v>
      </c>
      <c r="O864" s="5" t="s">
        <v>491</v>
      </c>
      <c r="P864" s="16">
        <v>0</v>
      </c>
      <c r="Q864" s="16">
        <v>0</v>
      </c>
      <c r="R864" s="5" t="str">
        <f t="shared" si="139"/>
        <v>238-2024-09-30</v>
      </c>
    </row>
    <row r="865" spans="1:18" x14ac:dyDescent="0.3">
      <c r="A865" s="26">
        <v>238</v>
      </c>
      <c r="B865" s="5" t="s">
        <v>115</v>
      </c>
      <c r="C865" s="5" t="s">
        <v>90</v>
      </c>
      <c r="D865" s="5" t="s">
        <v>11</v>
      </c>
      <c r="E865" s="5" t="s">
        <v>9</v>
      </c>
      <c r="F865" s="6">
        <v>45657</v>
      </c>
      <c r="G865" s="5">
        <f t="shared" si="136"/>
        <v>2024</v>
      </c>
      <c r="H865" s="5" t="str">
        <f t="shared" si="137"/>
        <v>Diciembre</v>
      </c>
      <c r="I865" s="6" t="str">
        <f t="shared" si="138"/>
        <v>2024-2</v>
      </c>
      <c r="J865" s="5">
        <v>90</v>
      </c>
      <c r="K865" s="10">
        <v>80</v>
      </c>
      <c r="L865" s="15">
        <f>IFERROR(IF((K865/J865)&gt;1.3,1.3,K865/J865),"")</f>
        <v>0.88888888888888884</v>
      </c>
      <c r="M865" s="15">
        <f t="shared" si="143"/>
        <v>0.88888888888888884</v>
      </c>
      <c r="N865" s="5" t="s">
        <v>491</v>
      </c>
      <c r="O865" s="5" t="s">
        <v>491</v>
      </c>
      <c r="P865" s="16">
        <v>0</v>
      </c>
      <c r="Q865" s="16">
        <v>0</v>
      </c>
      <c r="R865" s="5" t="str">
        <f t="shared" si="139"/>
        <v>238-2024-12-31</v>
      </c>
    </row>
    <row r="866" spans="1:18" x14ac:dyDescent="0.3">
      <c r="A866" s="26">
        <v>239</v>
      </c>
      <c r="B866" s="5" t="s">
        <v>116</v>
      </c>
      <c r="C866" s="5" t="s">
        <v>117</v>
      </c>
      <c r="D866" s="5" t="s">
        <v>18</v>
      </c>
      <c r="E866" s="5" t="s">
        <v>9</v>
      </c>
      <c r="F866" s="6">
        <v>44957</v>
      </c>
      <c r="G866" s="5">
        <f t="shared" si="136"/>
        <v>2023</v>
      </c>
      <c r="H866" s="5" t="str">
        <f t="shared" si="137"/>
        <v>Enero</v>
      </c>
      <c r="I866" s="6" t="str">
        <f t="shared" si="138"/>
        <v>2023-1</v>
      </c>
      <c r="J866" s="5"/>
      <c r="K866" s="9">
        <v>12</v>
      </c>
      <c r="L866" s="8" t="str">
        <f t="shared" ref="L866:L893" si="144">IFERROR(K866/J866,"")</f>
        <v/>
      </c>
      <c r="M866" s="15" t="str">
        <f t="shared" si="143"/>
        <v/>
      </c>
      <c r="N866" s="5" t="s">
        <v>728</v>
      </c>
      <c r="O866" s="11" t="s">
        <v>490</v>
      </c>
      <c r="P866" s="16">
        <v>0</v>
      </c>
      <c r="Q866" s="16">
        <v>0</v>
      </c>
      <c r="R866" s="5" t="str">
        <f t="shared" si="139"/>
        <v>239-2023-01-31</v>
      </c>
    </row>
    <row r="867" spans="1:18" x14ac:dyDescent="0.3">
      <c r="A867" s="26">
        <v>239</v>
      </c>
      <c r="B867" s="5" t="s">
        <v>116</v>
      </c>
      <c r="C867" s="5" t="s">
        <v>117</v>
      </c>
      <c r="D867" s="5" t="s">
        <v>18</v>
      </c>
      <c r="E867" s="5" t="s">
        <v>9</v>
      </c>
      <c r="F867" s="17">
        <v>44985</v>
      </c>
      <c r="G867" s="5">
        <f t="shared" si="136"/>
        <v>2023</v>
      </c>
      <c r="H867" s="5" t="str">
        <f t="shared" si="137"/>
        <v>Febrero</v>
      </c>
      <c r="I867" s="6" t="str">
        <f t="shared" si="138"/>
        <v>2023-1</v>
      </c>
      <c r="J867" s="5"/>
      <c r="K867" s="9">
        <v>18</v>
      </c>
      <c r="L867" s="8" t="str">
        <f t="shared" si="144"/>
        <v/>
      </c>
      <c r="M867" s="15" t="str">
        <f t="shared" si="143"/>
        <v/>
      </c>
      <c r="N867" s="5" t="s">
        <v>728</v>
      </c>
      <c r="O867" s="11" t="s">
        <v>490</v>
      </c>
      <c r="P867" s="16">
        <v>0</v>
      </c>
      <c r="Q867" s="16">
        <v>0</v>
      </c>
      <c r="R867" s="5" t="str">
        <f t="shared" si="139"/>
        <v>239-2023-02-28</v>
      </c>
    </row>
    <row r="868" spans="1:18" x14ac:dyDescent="0.3">
      <c r="A868" s="26">
        <v>239</v>
      </c>
      <c r="B868" s="5" t="s">
        <v>116</v>
      </c>
      <c r="C868" s="5" t="s">
        <v>117</v>
      </c>
      <c r="D868" s="5" t="s">
        <v>18</v>
      </c>
      <c r="E868" s="5" t="s">
        <v>9</v>
      </c>
      <c r="F868" s="6">
        <v>45016</v>
      </c>
      <c r="G868" s="5">
        <f t="shared" si="136"/>
        <v>2023</v>
      </c>
      <c r="H868" s="5" t="str">
        <f t="shared" si="137"/>
        <v>Marzo</v>
      </c>
      <c r="I868" s="6" t="str">
        <f t="shared" si="138"/>
        <v>2023-1</v>
      </c>
      <c r="J868" s="5"/>
      <c r="K868" s="9">
        <v>18</v>
      </c>
      <c r="L868" s="8" t="str">
        <f t="shared" si="144"/>
        <v/>
      </c>
      <c r="M868" s="15" t="str">
        <f t="shared" si="143"/>
        <v/>
      </c>
      <c r="N868" s="5" t="s">
        <v>728</v>
      </c>
      <c r="O868" s="11" t="s">
        <v>490</v>
      </c>
      <c r="P868" s="16">
        <v>0</v>
      </c>
      <c r="Q868" s="16">
        <v>0</v>
      </c>
      <c r="R868" s="5" t="str">
        <f t="shared" si="139"/>
        <v>239-2023-03-31</v>
      </c>
    </row>
    <row r="869" spans="1:18" x14ac:dyDescent="0.3">
      <c r="A869" s="26">
        <v>239</v>
      </c>
      <c r="B869" s="5" t="s">
        <v>116</v>
      </c>
      <c r="C869" s="5" t="s">
        <v>117</v>
      </c>
      <c r="D869" s="5" t="s">
        <v>18</v>
      </c>
      <c r="E869" s="5" t="s">
        <v>9</v>
      </c>
      <c r="F869" s="6">
        <v>45046</v>
      </c>
      <c r="G869" s="5">
        <f t="shared" si="136"/>
        <v>2023</v>
      </c>
      <c r="H869" s="5" t="str">
        <f t="shared" si="137"/>
        <v>Abril</v>
      </c>
      <c r="I869" s="6" t="str">
        <f t="shared" si="138"/>
        <v>2023-1</v>
      </c>
      <c r="J869" s="5"/>
      <c r="K869" s="9">
        <v>18</v>
      </c>
      <c r="L869" s="8" t="str">
        <f t="shared" si="144"/>
        <v/>
      </c>
      <c r="M869" s="15" t="str">
        <f t="shared" si="143"/>
        <v/>
      </c>
      <c r="N869" s="5" t="s">
        <v>728</v>
      </c>
      <c r="O869" s="11" t="s">
        <v>490</v>
      </c>
      <c r="P869" s="16">
        <v>0</v>
      </c>
      <c r="Q869" s="16">
        <v>0</v>
      </c>
      <c r="R869" s="5" t="str">
        <f t="shared" si="139"/>
        <v>239-2023-04-30</v>
      </c>
    </row>
    <row r="870" spans="1:18" x14ac:dyDescent="0.3">
      <c r="A870" s="26">
        <v>239</v>
      </c>
      <c r="B870" s="5" t="s">
        <v>116</v>
      </c>
      <c r="C870" s="5" t="s">
        <v>117</v>
      </c>
      <c r="D870" s="5" t="s">
        <v>18</v>
      </c>
      <c r="E870" s="5" t="s">
        <v>9</v>
      </c>
      <c r="F870" s="6">
        <v>45077</v>
      </c>
      <c r="G870" s="5">
        <f t="shared" si="136"/>
        <v>2023</v>
      </c>
      <c r="H870" s="5" t="str">
        <f t="shared" si="137"/>
        <v>Mayo</v>
      </c>
      <c r="I870" s="6" t="str">
        <f t="shared" si="138"/>
        <v>2023-1</v>
      </c>
      <c r="J870" s="5"/>
      <c r="K870" s="9">
        <v>19</v>
      </c>
      <c r="L870" s="8" t="str">
        <f t="shared" si="144"/>
        <v/>
      </c>
      <c r="M870" s="15" t="str">
        <f t="shared" si="143"/>
        <v/>
      </c>
      <c r="N870" s="5" t="s">
        <v>728</v>
      </c>
      <c r="O870" s="11" t="s">
        <v>490</v>
      </c>
      <c r="P870" s="16">
        <v>0</v>
      </c>
      <c r="Q870" s="16">
        <v>0</v>
      </c>
      <c r="R870" s="5" t="str">
        <f t="shared" si="139"/>
        <v>239-2023-05-31</v>
      </c>
    </row>
    <row r="871" spans="1:18" x14ac:dyDescent="0.3">
      <c r="A871" s="26">
        <v>239</v>
      </c>
      <c r="B871" s="5" t="s">
        <v>116</v>
      </c>
      <c r="C871" s="5" t="s">
        <v>117</v>
      </c>
      <c r="D871" s="5" t="s">
        <v>18</v>
      </c>
      <c r="E871" s="5" t="s">
        <v>9</v>
      </c>
      <c r="F871" s="6">
        <v>45107</v>
      </c>
      <c r="G871" s="5">
        <f t="shared" si="136"/>
        <v>2023</v>
      </c>
      <c r="H871" s="5" t="str">
        <f t="shared" si="137"/>
        <v>Junio</v>
      </c>
      <c r="I871" s="6" t="str">
        <f t="shared" si="138"/>
        <v>2023-1</v>
      </c>
      <c r="J871" s="5"/>
      <c r="K871" s="9">
        <v>19</v>
      </c>
      <c r="L871" s="8" t="str">
        <f t="shared" si="144"/>
        <v/>
      </c>
      <c r="M871" s="15" t="str">
        <f t="shared" si="143"/>
        <v/>
      </c>
      <c r="N871" s="5" t="s">
        <v>728</v>
      </c>
      <c r="O871" s="11" t="s">
        <v>490</v>
      </c>
      <c r="P871" s="16">
        <v>0</v>
      </c>
      <c r="Q871" s="16">
        <v>0</v>
      </c>
      <c r="R871" s="5" t="str">
        <f t="shared" si="139"/>
        <v>239-2023-06-30</v>
      </c>
    </row>
    <row r="872" spans="1:18" x14ac:dyDescent="0.3">
      <c r="A872" s="26">
        <v>239</v>
      </c>
      <c r="B872" s="5" t="s">
        <v>116</v>
      </c>
      <c r="C872" s="5" t="s">
        <v>117</v>
      </c>
      <c r="D872" s="5" t="s">
        <v>18</v>
      </c>
      <c r="E872" s="5" t="s">
        <v>9</v>
      </c>
      <c r="F872" s="6">
        <v>45138</v>
      </c>
      <c r="G872" s="5">
        <f t="shared" si="136"/>
        <v>2023</v>
      </c>
      <c r="H872" s="5" t="str">
        <f t="shared" si="137"/>
        <v>Julio</v>
      </c>
      <c r="I872" s="6" t="str">
        <f t="shared" si="138"/>
        <v>2023-2</v>
      </c>
      <c r="J872" s="5"/>
      <c r="K872" s="9">
        <v>18</v>
      </c>
      <c r="L872" s="8" t="str">
        <f t="shared" si="144"/>
        <v/>
      </c>
      <c r="M872" s="15" t="str">
        <f t="shared" si="143"/>
        <v/>
      </c>
      <c r="N872" s="5" t="s">
        <v>728</v>
      </c>
      <c r="O872" s="11" t="s">
        <v>490</v>
      </c>
      <c r="P872" s="16">
        <v>0</v>
      </c>
      <c r="Q872" s="16">
        <v>0</v>
      </c>
      <c r="R872" s="5" t="str">
        <f t="shared" si="139"/>
        <v>239-2023-07-31</v>
      </c>
    </row>
    <row r="873" spans="1:18" x14ac:dyDescent="0.3">
      <c r="A873" s="26">
        <v>239</v>
      </c>
      <c r="B873" s="5" t="s">
        <v>116</v>
      </c>
      <c r="C873" s="5" t="s">
        <v>117</v>
      </c>
      <c r="D873" s="5" t="s">
        <v>18</v>
      </c>
      <c r="E873" s="5" t="s">
        <v>9</v>
      </c>
      <c r="F873" s="6">
        <v>45169</v>
      </c>
      <c r="G873" s="5">
        <f t="shared" si="136"/>
        <v>2023</v>
      </c>
      <c r="H873" s="5" t="str">
        <f t="shared" si="137"/>
        <v>Agosto</v>
      </c>
      <c r="I873" s="6" t="str">
        <f t="shared" si="138"/>
        <v>2023-2</v>
      </c>
      <c r="J873" s="5"/>
      <c r="K873" s="9">
        <v>27</v>
      </c>
      <c r="L873" s="8" t="str">
        <f t="shared" si="144"/>
        <v/>
      </c>
      <c r="M873" s="15" t="str">
        <f t="shared" si="143"/>
        <v/>
      </c>
      <c r="N873" s="5" t="s">
        <v>728</v>
      </c>
      <c r="O873" s="11" t="s">
        <v>490</v>
      </c>
      <c r="P873" s="16">
        <v>0</v>
      </c>
      <c r="Q873" s="16">
        <v>0</v>
      </c>
      <c r="R873" s="5" t="str">
        <f t="shared" si="139"/>
        <v>239-2023-08-31</v>
      </c>
    </row>
    <row r="874" spans="1:18" x14ac:dyDescent="0.3">
      <c r="A874" s="26">
        <v>239</v>
      </c>
      <c r="B874" s="5" t="s">
        <v>116</v>
      </c>
      <c r="C874" s="5" t="s">
        <v>117</v>
      </c>
      <c r="D874" s="5" t="s">
        <v>18</v>
      </c>
      <c r="E874" s="5" t="s">
        <v>9</v>
      </c>
      <c r="F874" s="6">
        <v>45199</v>
      </c>
      <c r="G874" s="5">
        <f t="shared" si="136"/>
        <v>2023</v>
      </c>
      <c r="H874" s="5" t="str">
        <f t="shared" si="137"/>
        <v>Septiembre</v>
      </c>
      <c r="I874" s="6" t="str">
        <f t="shared" si="138"/>
        <v>2023-2</v>
      </c>
      <c r="J874" s="5"/>
      <c r="K874" s="9">
        <v>27</v>
      </c>
      <c r="L874" s="8" t="str">
        <f t="shared" si="144"/>
        <v/>
      </c>
      <c r="M874" s="15" t="str">
        <f t="shared" si="143"/>
        <v/>
      </c>
      <c r="N874" s="5" t="s">
        <v>728</v>
      </c>
      <c r="O874" s="11" t="s">
        <v>490</v>
      </c>
      <c r="P874" s="16">
        <v>0</v>
      </c>
      <c r="Q874" s="16">
        <v>0</v>
      </c>
      <c r="R874" s="5" t="str">
        <f t="shared" si="139"/>
        <v>239-2023-09-30</v>
      </c>
    </row>
    <row r="875" spans="1:18" x14ac:dyDescent="0.3">
      <c r="A875" s="39">
        <v>239</v>
      </c>
      <c r="B875" s="5" t="s">
        <v>116</v>
      </c>
      <c r="C875" s="5" t="s">
        <v>117</v>
      </c>
      <c r="D875" s="5" t="s">
        <v>18</v>
      </c>
      <c r="E875" s="5" t="s">
        <v>9</v>
      </c>
      <c r="F875" s="6">
        <v>45230</v>
      </c>
      <c r="G875" s="5">
        <f t="shared" si="136"/>
        <v>2023</v>
      </c>
      <c r="H875" s="5" t="str">
        <f t="shared" si="137"/>
        <v>Octubre</v>
      </c>
      <c r="I875" s="6" t="str">
        <f t="shared" si="138"/>
        <v>2023-2</v>
      </c>
      <c r="J875" s="5"/>
      <c r="K875" s="9">
        <v>27</v>
      </c>
      <c r="L875" s="8" t="str">
        <f t="shared" si="144"/>
        <v/>
      </c>
      <c r="M875" s="15" t="str">
        <f t="shared" si="143"/>
        <v/>
      </c>
      <c r="N875" s="5" t="s">
        <v>728</v>
      </c>
      <c r="O875" s="11" t="s">
        <v>490</v>
      </c>
      <c r="P875" s="16">
        <v>0</v>
      </c>
      <c r="Q875" s="16">
        <v>0</v>
      </c>
      <c r="R875" s="5" t="str">
        <f t="shared" si="139"/>
        <v>239-2023-10-31</v>
      </c>
    </row>
    <row r="876" spans="1:18" x14ac:dyDescent="0.3">
      <c r="A876" s="39">
        <v>239</v>
      </c>
      <c r="B876" s="5" t="s">
        <v>116</v>
      </c>
      <c r="C876" s="5" t="s">
        <v>117</v>
      </c>
      <c r="D876" s="5" t="s">
        <v>18</v>
      </c>
      <c r="E876" s="5" t="s">
        <v>9</v>
      </c>
      <c r="F876" s="6">
        <v>45260</v>
      </c>
      <c r="G876" s="5">
        <f t="shared" si="136"/>
        <v>2023</v>
      </c>
      <c r="H876" s="5" t="str">
        <f t="shared" si="137"/>
        <v>Noviembre</v>
      </c>
      <c r="I876" s="6" t="str">
        <f t="shared" si="138"/>
        <v>2023-2</v>
      </c>
      <c r="J876" s="5"/>
      <c r="K876" s="9">
        <v>27</v>
      </c>
      <c r="L876" s="8" t="str">
        <f t="shared" si="144"/>
        <v/>
      </c>
      <c r="M876" s="15" t="str">
        <f t="shared" si="143"/>
        <v/>
      </c>
      <c r="N876" s="5" t="s">
        <v>728</v>
      </c>
      <c r="O876" s="11" t="s">
        <v>490</v>
      </c>
      <c r="P876" s="16">
        <v>0</v>
      </c>
      <c r="Q876" s="16">
        <v>0</v>
      </c>
      <c r="R876" s="5" t="str">
        <f t="shared" si="139"/>
        <v>239-2023-11-30</v>
      </c>
    </row>
    <row r="877" spans="1:18" x14ac:dyDescent="0.3">
      <c r="A877" s="39">
        <v>239</v>
      </c>
      <c r="B877" s="5" t="s">
        <v>116</v>
      </c>
      <c r="C877" s="5" t="s">
        <v>117</v>
      </c>
      <c r="D877" s="5" t="s">
        <v>18</v>
      </c>
      <c r="E877" s="5" t="s">
        <v>9</v>
      </c>
      <c r="F877" s="6">
        <v>45291</v>
      </c>
      <c r="G877" s="5">
        <f t="shared" si="136"/>
        <v>2023</v>
      </c>
      <c r="H877" s="5" t="str">
        <f t="shared" si="137"/>
        <v>Diciembre</v>
      </c>
      <c r="I877" s="6" t="str">
        <f t="shared" si="138"/>
        <v>2023-2</v>
      </c>
      <c r="J877" s="5"/>
      <c r="K877" s="9">
        <v>27</v>
      </c>
      <c r="L877" s="8" t="str">
        <f t="shared" si="144"/>
        <v/>
      </c>
      <c r="M877" s="15" t="str">
        <f t="shared" si="143"/>
        <v/>
      </c>
      <c r="N877" s="5" t="s">
        <v>728</v>
      </c>
      <c r="O877" s="11" t="s">
        <v>490</v>
      </c>
      <c r="P877" s="16">
        <v>0</v>
      </c>
      <c r="Q877" s="16">
        <v>0</v>
      </c>
      <c r="R877" s="5" t="str">
        <f t="shared" si="139"/>
        <v>239-2023-12-31</v>
      </c>
    </row>
    <row r="878" spans="1:18" x14ac:dyDescent="0.3">
      <c r="A878" s="26">
        <v>239</v>
      </c>
      <c r="B878" s="5" t="s">
        <v>116</v>
      </c>
      <c r="C878" s="5" t="s">
        <v>117</v>
      </c>
      <c r="D878" s="5" t="s">
        <v>18</v>
      </c>
      <c r="E878" s="5" t="s">
        <v>9</v>
      </c>
      <c r="F878" s="6">
        <v>45322</v>
      </c>
      <c r="G878" s="5">
        <f t="shared" si="136"/>
        <v>2024</v>
      </c>
      <c r="H878" s="5" t="str">
        <f t="shared" si="137"/>
        <v>Enero</v>
      </c>
      <c r="I878" s="6" t="str">
        <f t="shared" si="138"/>
        <v>2024-1</v>
      </c>
      <c r="J878" s="5"/>
      <c r="K878" s="9">
        <v>29</v>
      </c>
      <c r="L878" s="8" t="str">
        <f t="shared" si="144"/>
        <v/>
      </c>
      <c r="M878" s="15" t="str">
        <f t="shared" si="143"/>
        <v/>
      </c>
      <c r="N878" s="5" t="s">
        <v>728</v>
      </c>
      <c r="O878" s="11" t="s">
        <v>490</v>
      </c>
      <c r="P878" s="16">
        <v>0</v>
      </c>
      <c r="Q878" s="16">
        <v>0</v>
      </c>
      <c r="R878" s="5" t="str">
        <f t="shared" si="139"/>
        <v>239-2024-01-31</v>
      </c>
    </row>
    <row r="879" spans="1:18" x14ac:dyDescent="0.3">
      <c r="A879" s="26">
        <v>239</v>
      </c>
      <c r="B879" s="5" t="s">
        <v>116</v>
      </c>
      <c r="C879" s="5" t="s">
        <v>117</v>
      </c>
      <c r="D879" s="5" t="s">
        <v>18</v>
      </c>
      <c r="E879" s="5" t="s">
        <v>9</v>
      </c>
      <c r="F879" s="6">
        <v>45351</v>
      </c>
      <c r="G879" s="5">
        <f t="shared" si="136"/>
        <v>2024</v>
      </c>
      <c r="H879" s="5" t="str">
        <f t="shared" si="137"/>
        <v>Febrero</v>
      </c>
      <c r="I879" s="6" t="str">
        <f t="shared" si="138"/>
        <v>2024-1</v>
      </c>
      <c r="J879" s="5"/>
      <c r="K879" s="10">
        <v>29</v>
      </c>
      <c r="L879" s="8" t="str">
        <f t="shared" si="144"/>
        <v/>
      </c>
      <c r="M879" s="15" t="str">
        <f t="shared" si="143"/>
        <v/>
      </c>
      <c r="N879" s="5" t="s">
        <v>728</v>
      </c>
      <c r="O879" s="11" t="s">
        <v>490</v>
      </c>
      <c r="P879" s="16">
        <v>0</v>
      </c>
      <c r="Q879" s="16">
        <v>0</v>
      </c>
      <c r="R879" s="5" t="str">
        <f t="shared" si="139"/>
        <v>239-2024-02-29</v>
      </c>
    </row>
    <row r="880" spans="1:18" x14ac:dyDescent="0.3">
      <c r="A880" s="26">
        <v>239</v>
      </c>
      <c r="B880" s="5" t="s">
        <v>116</v>
      </c>
      <c r="C880" s="5" t="s">
        <v>117</v>
      </c>
      <c r="D880" s="5" t="s">
        <v>18</v>
      </c>
      <c r="E880" s="5" t="s">
        <v>9</v>
      </c>
      <c r="F880" s="6">
        <v>45382</v>
      </c>
      <c r="G880" s="5">
        <f t="shared" si="136"/>
        <v>2024</v>
      </c>
      <c r="H880" s="5" t="str">
        <f t="shared" si="137"/>
        <v>Marzo</v>
      </c>
      <c r="I880" s="6" t="str">
        <f t="shared" si="138"/>
        <v>2024-1</v>
      </c>
      <c r="J880" s="5"/>
      <c r="K880" s="9">
        <v>31</v>
      </c>
      <c r="L880" s="8" t="str">
        <f t="shared" si="144"/>
        <v/>
      </c>
      <c r="M880" s="15" t="str">
        <f t="shared" si="143"/>
        <v/>
      </c>
      <c r="N880" s="5" t="s">
        <v>728</v>
      </c>
      <c r="O880" s="11" t="s">
        <v>490</v>
      </c>
      <c r="P880" s="16">
        <v>0</v>
      </c>
      <c r="Q880" s="16">
        <v>0</v>
      </c>
      <c r="R880" s="5" t="str">
        <f t="shared" si="139"/>
        <v>239-2024-03-31</v>
      </c>
    </row>
    <row r="881" spans="1:18" x14ac:dyDescent="0.3">
      <c r="A881" s="26">
        <v>239</v>
      </c>
      <c r="B881" s="5" t="s">
        <v>116</v>
      </c>
      <c r="C881" s="5" t="s">
        <v>117</v>
      </c>
      <c r="D881" s="5" t="s">
        <v>18</v>
      </c>
      <c r="E881" s="5" t="s">
        <v>9</v>
      </c>
      <c r="F881" s="6">
        <v>45412</v>
      </c>
      <c r="G881" s="5">
        <f t="shared" si="136"/>
        <v>2024</v>
      </c>
      <c r="H881" s="5" t="str">
        <f t="shared" si="137"/>
        <v>Abril</v>
      </c>
      <c r="I881" s="6" t="str">
        <f t="shared" si="138"/>
        <v>2024-1</v>
      </c>
      <c r="J881" s="5"/>
      <c r="K881" s="9">
        <v>28</v>
      </c>
      <c r="L881" s="8" t="str">
        <f t="shared" si="144"/>
        <v/>
      </c>
      <c r="M881" s="15" t="str">
        <f t="shared" si="143"/>
        <v/>
      </c>
      <c r="N881" s="5" t="s">
        <v>728</v>
      </c>
      <c r="O881" s="11" t="s">
        <v>490</v>
      </c>
      <c r="P881" s="16">
        <v>0</v>
      </c>
      <c r="Q881" s="16">
        <v>0</v>
      </c>
      <c r="R881" s="5" t="str">
        <f t="shared" si="139"/>
        <v>239-2024-04-30</v>
      </c>
    </row>
    <row r="882" spans="1:18" x14ac:dyDescent="0.3">
      <c r="A882" s="26">
        <v>239</v>
      </c>
      <c r="B882" s="5" t="s">
        <v>116</v>
      </c>
      <c r="C882" s="5" t="s">
        <v>117</v>
      </c>
      <c r="D882" s="5" t="s">
        <v>18</v>
      </c>
      <c r="E882" s="5" t="s">
        <v>9</v>
      </c>
      <c r="F882" s="6">
        <v>45443</v>
      </c>
      <c r="G882" s="5">
        <f t="shared" si="136"/>
        <v>2024</v>
      </c>
      <c r="H882" s="5" t="str">
        <f t="shared" si="137"/>
        <v>Mayo</v>
      </c>
      <c r="I882" s="6" t="str">
        <f t="shared" si="138"/>
        <v>2024-1</v>
      </c>
      <c r="J882" s="5"/>
      <c r="K882" s="9">
        <v>29</v>
      </c>
      <c r="L882" s="8" t="str">
        <f t="shared" si="144"/>
        <v/>
      </c>
      <c r="M882" s="15" t="str">
        <f t="shared" si="143"/>
        <v/>
      </c>
      <c r="N882" s="5" t="s">
        <v>728</v>
      </c>
      <c r="O882" s="11" t="s">
        <v>490</v>
      </c>
      <c r="P882" s="16">
        <v>0</v>
      </c>
      <c r="Q882" s="16">
        <v>0</v>
      </c>
      <c r="R882" s="5" t="str">
        <f t="shared" si="139"/>
        <v>239-2024-05-31</v>
      </c>
    </row>
    <row r="883" spans="1:18" x14ac:dyDescent="0.3">
      <c r="A883" s="26">
        <v>239</v>
      </c>
      <c r="B883" s="5" t="s">
        <v>116</v>
      </c>
      <c r="C883" s="5" t="s">
        <v>117</v>
      </c>
      <c r="D883" s="5" t="s">
        <v>18</v>
      </c>
      <c r="E883" s="5" t="s">
        <v>9</v>
      </c>
      <c r="F883" s="6">
        <v>45473</v>
      </c>
      <c r="G883" s="5">
        <f t="shared" si="136"/>
        <v>2024</v>
      </c>
      <c r="H883" s="5" t="str">
        <f t="shared" si="137"/>
        <v>Junio</v>
      </c>
      <c r="I883" s="6" t="str">
        <f t="shared" si="138"/>
        <v>2024-1</v>
      </c>
      <c r="J883" s="5"/>
      <c r="K883" s="9">
        <v>29</v>
      </c>
      <c r="L883" s="8" t="str">
        <f t="shared" si="144"/>
        <v/>
      </c>
      <c r="M883" s="15" t="str">
        <f t="shared" si="143"/>
        <v/>
      </c>
      <c r="N883" s="5" t="s">
        <v>728</v>
      </c>
      <c r="O883" s="11" t="s">
        <v>490</v>
      </c>
      <c r="P883" s="16">
        <v>0</v>
      </c>
      <c r="Q883" s="16">
        <v>0</v>
      </c>
      <c r="R883" s="5" t="str">
        <f t="shared" si="139"/>
        <v>239-2024-06-30</v>
      </c>
    </row>
    <row r="884" spans="1:18" x14ac:dyDescent="0.3">
      <c r="A884" s="26">
        <v>239</v>
      </c>
      <c r="B884" s="5" t="s">
        <v>116</v>
      </c>
      <c r="C884" s="5" t="s">
        <v>117</v>
      </c>
      <c r="D884" s="5" t="s">
        <v>18</v>
      </c>
      <c r="E884" s="5" t="s">
        <v>9</v>
      </c>
      <c r="F884" s="6">
        <v>45504</v>
      </c>
      <c r="G884" s="5">
        <f t="shared" si="136"/>
        <v>2024</v>
      </c>
      <c r="H884" s="5" t="str">
        <f t="shared" si="137"/>
        <v>Julio</v>
      </c>
      <c r="I884" s="6" t="str">
        <f t="shared" si="138"/>
        <v>2024-2</v>
      </c>
      <c r="J884" s="5"/>
      <c r="K884" s="9">
        <v>30</v>
      </c>
      <c r="L884" s="8" t="str">
        <f t="shared" si="144"/>
        <v/>
      </c>
      <c r="M884" s="15" t="str">
        <f t="shared" si="143"/>
        <v/>
      </c>
      <c r="N884" s="5" t="s">
        <v>728</v>
      </c>
      <c r="O884" s="11" t="s">
        <v>490</v>
      </c>
      <c r="P884" s="16">
        <v>0</v>
      </c>
      <c r="Q884" s="16">
        <v>0</v>
      </c>
      <c r="R884" s="5" t="str">
        <f t="shared" si="139"/>
        <v>239-2024-07-31</v>
      </c>
    </row>
    <row r="885" spans="1:18" x14ac:dyDescent="0.3">
      <c r="A885" s="26">
        <v>239</v>
      </c>
      <c r="B885" s="5" t="s">
        <v>116</v>
      </c>
      <c r="C885" s="5" t="s">
        <v>117</v>
      </c>
      <c r="D885" s="5" t="s">
        <v>18</v>
      </c>
      <c r="E885" s="5" t="s">
        <v>9</v>
      </c>
      <c r="F885" s="6">
        <v>45535</v>
      </c>
      <c r="G885" s="5">
        <f t="shared" si="136"/>
        <v>2024</v>
      </c>
      <c r="H885" s="5" t="str">
        <f t="shared" si="137"/>
        <v>Agosto</v>
      </c>
      <c r="I885" s="6" t="str">
        <f t="shared" si="138"/>
        <v>2024-2</v>
      </c>
      <c r="J885" s="5"/>
      <c r="K885" s="9">
        <v>30</v>
      </c>
      <c r="L885" s="8" t="str">
        <f t="shared" si="144"/>
        <v/>
      </c>
      <c r="M885" s="15" t="str">
        <f t="shared" si="143"/>
        <v/>
      </c>
      <c r="N885" s="5" t="s">
        <v>728</v>
      </c>
      <c r="O885" s="11" t="s">
        <v>490</v>
      </c>
      <c r="P885" s="16">
        <v>0</v>
      </c>
      <c r="Q885" s="16">
        <v>0</v>
      </c>
      <c r="R885" s="5" t="str">
        <f t="shared" si="139"/>
        <v>239-2024-08-31</v>
      </c>
    </row>
    <row r="886" spans="1:18" x14ac:dyDescent="0.3">
      <c r="A886" s="26">
        <v>239</v>
      </c>
      <c r="B886" s="5" t="s">
        <v>116</v>
      </c>
      <c r="C886" s="5" t="s">
        <v>117</v>
      </c>
      <c r="D886" s="5" t="s">
        <v>18</v>
      </c>
      <c r="E886" s="5" t="s">
        <v>9</v>
      </c>
      <c r="F886" s="6">
        <v>45565</v>
      </c>
      <c r="G886" s="5">
        <f t="shared" si="136"/>
        <v>2024</v>
      </c>
      <c r="H886" s="5" t="str">
        <f t="shared" si="137"/>
        <v>Septiembre</v>
      </c>
      <c r="I886" s="6" t="str">
        <f t="shared" si="138"/>
        <v>2024-2</v>
      </c>
      <c r="J886" s="5"/>
      <c r="K886" s="9">
        <v>30</v>
      </c>
      <c r="L886" s="8" t="str">
        <f t="shared" si="144"/>
        <v/>
      </c>
      <c r="M886" s="15" t="str">
        <f t="shared" si="143"/>
        <v/>
      </c>
      <c r="N886" s="5" t="s">
        <v>728</v>
      </c>
      <c r="O886" s="11" t="s">
        <v>490</v>
      </c>
      <c r="P886" s="16">
        <v>0</v>
      </c>
      <c r="Q886" s="16">
        <v>0</v>
      </c>
      <c r="R886" s="5" t="str">
        <f t="shared" si="139"/>
        <v>239-2024-09-30</v>
      </c>
    </row>
    <row r="887" spans="1:18" x14ac:dyDescent="0.3">
      <c r="A887" s="39">
        <v>239</v>
      </c>
      <c r="B887" s="5" t="s">
        <v>116</v>
      </c>
      <c r="C887" s="5" t="s">
        <v>117</v>
      </c>
      <c r="D887" s="5" t="s">
        <v>18</v>
      </c>
      <c r="E887" s="5" t="s">
        <v>9</v>
      </c>
      <c r="F887" s="6">
        <v>45596</v>
      </c>
      <c r="G887" s="5">
        <f t="shared" si="136"/>
        <v>2024</v>
      </c>
      <c r="H887" s="5" t="str">
        <f t="shared" si="137"/>
        <v>Octubre</v>
      </c>
      <c r="I887" s="6" t="str">
        <f t="shared" si="138"/>
        <v>2024-2</v>
      </c>
      <c r="J887" s="5"/>
      <c r="K887" s="9">
        <v>29</v>
      </c>
      <c r="L887" s="8" t="str">
        <f t="shared" si="144"/>
        <v/>
      </c>
      <c r="M887" s="15" t="str">
        <f t="shared" si="143"/>
        <v/>
      </c>
      <c r="N887" s="5" t="s">
        <v>728</v>
      </c>
      <c r="O887" s="11" t="s">
        <v>490</v>
      </c>
      <c r="P887" s="16">
        <v>0</v>
      </c>
      <c r="Q887" s="16">
        <v>0</v>
      </c>
      <c r="R887" s="5" t="str">
        <f t="shared" si="139"/>
        <v>239-2024-10-31</v>
      </c>
    </row>
    <row r="888" spans="1:18" x14ac:dyDescent="0.3">
      <c r="A888" s="39">
        <v>239</v>
      </c>
      <c r="B888" s="5" t="s">
        <v>116</v>
      </c>
      <c r="C888" s="5" t="s">
        <v>117</v>
      </c>
      <c r="D888" s="5" t="s">
        <v>18</v>
      </c>
      <c r="E888" s="5" t="s">
        <v>9</v>
      </c>
      <c r="F888" s="6">
        <v>45626</v>
      </c>
      <c r="G888" s="5">
        <f t="shared" si="136"/>
        <v>2024</v>
      </c>
      <c r="H888" s="5" t="str">
        <f t="shared" si="137"/>
        <v>Noviembre</v>
      </c>
      <c r="I888" s="6" t="str">
        <f t="shared" si="138"/>
        <v>2024-2</v>
      </c>
      <c r="J888" s="5"/>
      <c r="K888" s="9">
        <v>32</v>
      </c>
      <c r="L888" s="8" t="str">
        <f t="shared" si="144"/>
        <v/>
      </c>
      <c r="M888" s="15" t="str">
        <f t="shared" si="143"/>
        <v/>
      </c>
      <c r="N888" s="5" t="s">
        <v>728</v>
      </c>
      <c r="O888" s="11" t="s">
        <v>490</v>
      </c>
      <c r="P888" s="16">
        <v>0</v>
      </c>
      <c r="Q888" s="16">
        <v>0</v>
      </c>
      <c r="R888" s="5" t="str">
        <f t="shared" si="139"/>
        <v>239-2024-11-30</v>
      </c>
    </row>
    <row r="889" spans="1:18" x14ac:dyDescent="0.3">
      <c r="A889" s="39">
        <v>239</v>
      </c>
      <c r="B889" s="5" t="s">
        <v>116</v>
      </c>
      <c r="C889" s="5" t="s">
        <v>117</v>
      </c>
      <c r="D889" s="5" t="s">
        <v>18</v>
      </c>
      <c r="E889" s="5" t="s">
        <v>9</v>
      </c>
      <c r="F889" s="6">
        <v>45657</v>
      </c>
      <c r="G889" s="5">
        <f t="shared" si="136"/>
        <v>2024</v>
      </c>
      <c r="H889" s="5" t="str">
        <f t="shared" si="137"/>
        <v>Diciembre</v>
      </c>
      <c r="I889" s="6" t="str">
        <f t="shared" si="138"/>
        <v>2024-2</v>
      </c>
      <c r="J889" s="5"/>
      <c r="K889" s="9">
        <v>32</v>
      </c>
      <c r="L889" s="8" t="str">
        <f t="shared" si="144"/>
        <v/>
      </c>
      <c r="M889" s="15" t="str">
        <f t="shared" si="143"/>
        <v/>
      </c>
      <c r="N889" s="5" t="s">
        <v>728</v>
      </c>
      <c r="O889" s="11" t="s">
        <v>490</v>
      </c>
      <c r="P889" s="16">
        <v>0</v>
      </c>
      <c r="Q889" s="16">
        <v>0</v>
      </c>
      <c r="R889" s="5" t="str">
        <f t="shared" si="139"/>
        <v>239-2024-12-31</v>
      </c>
    </row>
    <row r="890" spans="1:18" x14ac:dyDescent="0.3">
      <c r="A890" s="26">
        <v>240</v>
      </c>
      <c r="B890" s="5" t="s">
        <v>118</v>
      </c>
      <c r="C890" s="5" t="s">
        <v>117</v>
      </c>
      <c r="D890" s="5" t="s">
        <v>11</v>
      </c>
      <c r="E890" s="5" t="s">
        <v>9</v>
      </c>
      <c r="F890" s="6">
        <v>45016</v>
      </c>
      <c r="G890" s="5">
        <f t="shared" si="136"/>
        <v>2023</v>
      </c>
      <c r="H890" s="5" t="str">
        <f t="shared" si="137"/>
        <v>Marzo</v>
      </c>
      <c r="I890" s="6" t="str">
        <f t="shared" si="138"/>
        <v>2023-1</v>
      </c>
      <c r="J890" s="5">
        <v>100</v>
      </c>
      <c r="K890" s="9">
        <v>40</v>
      </c>
      <c r="L890" s="8">
        <f t="shared" si="144"/>
        <v>0.4</v>
      </c>
      <c r="M890" s="15">
        <f t="shared" si="143"/>
        <v>0.4</v>
      </c>
      <c r="N890" s="5" t="s">
        <v>347</v>
      </c>
      <c r="O890" s="5" t="s">
        <v>347</v>
      </c>
      <c r="P890" s="16">
        <v>0</v>
      </c>
      <c r="Q890" s="16">
        <v>0</v>
      </c>
      <c r="R890" s="5" t="str">
        <f t="shared" si="139"/>
        <v>240-2023-03-31</v>
      </c>
    </row>
    <row r="891" spans="1:18" x14ac:dyDescent="0.3">
      <c r="A891" s="26">
        <v>240</v>
      </c>
      <c r="B891" s="5" t="s">
        <v>118</v>
      </c>
      <c r="C891" s="5" t="s">
        <v>117</v>
      </c>
      <c r="D891" s="5" t="s">
        <v>11</v>
      </c>
      <c r="E891" s="5" t="s">
        <v>9</v>
      </c>
      <c r="F891" s="6">
        <v>45107</v>
      </c>
      <c r="G891" s="5">
        <f t="shared" si="136"/>
        <v>2023</v>
      </c>
      <c r="H891" s="5" t="str">
        <f t="shared" si="137"/>
        <v>Junio</v>
      </c>
      <c r="I891" s="6" t="str">
        <f t="shared" si="138"/>
        <v>2023-1</v>
      </c>
      <c r="J891" s="5">
        <v>100</v>
      </c>
      <c r="K891" s="9">
        <v>60</v>
      </c>
      <c r="L891" s="8">
        <f t="shared" si="144"/>
        <v>0.6</v>
      </c>
      <c r="M891" s="15">
        <f t="shared" si="143"/>
        <v>0.6</v>
      </c>
      <c r="N891" s="5" t="s">
        <v>347</v>
      </c>
      <c r="O891" s="5" t="s">
        <v>347</v>
      </c>
      <c r="P891" s="16">
        <v>0</v>
      </c>
      <c r="Q891" s="16">
        <v>0</v>
      </c>
      <c r="R891" s="5" t="str">
        <f t="shared" si="139"/>
        <v>240-2023-06-30</v>
      </c>
    </row>
    <row r="892" spans="1:18" x14ac:dyDescent="0.3">
      <c r="A892" s="43">
        <v>240</v>
      </c>
      <c r="B892" s="5" t="s">
        <v>118</v>
      </c>
      <c r="C892" s="5" t="s">
        <v>117</v>
      </c>
      <c r="D892" s="5" t="s">
        <v>11</v>
      </c>
      <c r="E892" s="5" t="s">
        <v>9</v>
      </c>
      <c r="F892" s="6">
        <v>45199</v>
      </c>
      <c r="G892" s="5">
        <f t="shared" si="136"/>
        <v>2023</v>
      </c>
      <c r="H892" s="5" t="str">
        <f t="shared" si="137"/>
        <v>Septiembre</v>
      </c>
      <c r="I892" s="6" t="str">
        <f t="shared" si="138"/>
        <v>2023-2</v>
      </c>
      <c r="J892" s="5">
        <v>100</v>
      </c>
      <c r="K892" s="9">
        <v>80</v>
      </c>
      <c r="L892" s="8">
        <f t="shared" si="144"/>
        <v>0.8</v>
      </c>
      <c r="M892" s="15">
        <f t="shared" si="143"/>
        <v>0.8</v>
      </c>
      <c r="N892" s="5" t="s">
        <v>347</v>
      </c>
      <c r="O892" s="5" t="s">
        <v>347</v>
      </c>
      <c r="P892" s="16">
        <v>0</v>
      </c>
      <c r="Q892" s="16">
        <v>0</v>
      </c>
      <c r="R892" s="5" t="str">
        <f t="shared" si="139"/>
        <v>240-2023-09-30</v>
      </c>
    </row>
    <row r="893" spans="1:18" x14ac:dyDescent="0.3">
      <c r="A893" s="39">
        <v>240</v>
      </c>
      <c r="B893" s="5" t="s">
        <v>118</v>
      </c>
      <c r="C893" s="5" t="s">
        <v>117</v>
      </c>
      <c r="D893" s="5" t="s">
        <v>11</v>
      </c>
      <c r="E893" s="5" t="s">
        <v>9</v>
      </c>
      <c r="F893" s="6">
        <v>45291</v>
      </c>
      <c r="G893" s="5">
        <f t="shared" si="136"/>
        <v>2023</v>
      </c>
      <c r="H893" s="5" t="str">
        <f t="shared" si="137"/>
        <v>Diciembre</v>
      </c>
      <c r="I893" s="6" t="str">
        <f t="shared" ref="I893:I954" si="145">IF(OR(H893="Enero",H893="Febrero",H893="Marzo",H893="Abril",H893="Mayo",H893="Junio"),G893&amp;"-1",IF(OR(H893="Julio",H893="Agosto",H893="Septiembre",H893="Octubre",H893="Noviembre",H893="Diciembre"),G893&amp;"-2"))</f>
        <v>2023-2</v>
      </c>
      <c r="J893" s="5">
        <v>100</v>
      </c>
      <c r="K893" s="9">
        <v>80</v>
      </c>
      <c r="L893" s="8">
        <f t="shared" si="144"/>
        <v>0.8</v>
      </c>
      <c r="M893" s="15">
        <f t="shared" si="143"/>
        <v>0.8</v>
      </c>
      <c r="N893" s="5" t="s">
        <v>347</v>
      </c>
      <c r="O893" s="5" t="s">
        <v>347</v>
      </c>
      <c r="P893" s="16">
        <v>0</v>
      </c>
      <c r="Q893" s="16">
        <v>0</v>
      </c>
      <c r="R893" s="5" t="str">
        <f t="shared" ref="R893:R954" si="146">A893&amp;"-"&amp;YEAR(F893)&amp;"-"&amp;IF(LEN(MONTH(F893))=1,"0"&amp;MONTH(F893),MONTH(F893))&amp;"-"&amp;DAY(F893)</f>
        <v>240-2023-12-31</v>
      </c>
    </row>
    <row r="894" spans="1:18" x14ac:dyDescent="0.3">
      <c r="A894" s="26">
        <v>240</v>
      </c>
      <c r="B894" s="5" t="s">
        <v>118</v>
      </c>
      <c r="C894" s="5" t="s">
        <v>117</v>
      </c>
      <c r="D894" s="5" t="s">
        <v>11</v>
      </c>
      <c r="E894" s="5" t="s">
        <v>9</v>
      </c>
      <c r="F894" s="6">
        <v>45382</v>
      </c>
      <c r="G894" s="5">
        <f t="shared" si="136"/>
        <v>2024</v>
      </c>
      <c r="H894" s="5" t="str">
        <f t="shared" si="137"/>
        <v>Marzo</v>
      </c>
      <c r="I894" s="6" t="str">
        <f t="shared" si="145"/>
        <v>2024-1</v>
      </c>
      <c r="J894" s="5">
        <v>100</v>
      </c>
      <c r="K894" s="10">
        <v>91.67</v>
      </c>
      <c r="L894" s="15">
        <f>IFERROR(IF((K894/J894)&gt;1.3,1.3,K894/J894),"")</f>
        <v>0.91670000000000007</v>
      </c>
      <c r="M894" s="15">
        <f t="shared" si="143"/>
        <v>0.91670000000000007</v>
      </c>
      <c r="N894" s="5" t="s">
        <v>347</v>
      </c>
      <c r="O894" s="5" t="s">
        <v>347</v>
      </c>
      <c r="P894" s="16">
        <v>0</v>
      </c>
      <c r="Q894" s="16">
        <v>0</v>
      </c>
      <c r="R894" s="5" t="str">
        <f t="shared" si="146"/>
        <v>240-2024-03-31</v>
      </c>
    </row>
    <row r="895" spans="1:18" x14ac:dyDescent="0.3">
      <c r="A895" s="5">
        <v>240</v>
      </c>
      <c r="B895" s="5" t="s">
        <v>118</v>
      </c>
      <c r="C895" s="5" t="s">
        <v>117</v>
      </c>
      <c r="D895" s="5" t="s">
        <v>11</v>
      </c>
      <c r="E895" s="5" t="s">
        <v>9</v>
      </c>
      <c r="F895" s="6">
        <v>45473</v>
      </c>
      <c r="G895" s="5">
        <f t="shared" si="136"/>
        <v>2024</v>
      </c>
      <c r="H895" s="5" t="str">
        <f t="shared" si="137"/>
        <v>Junio</v>
      </c>
      <c r="I895" s="6" t="str">
        <f t="shared" si="145"/>
        <v>2024-1</v>
      </c>
      <c r="J895" s="5">
        <v>100</v>
      </c>
      <c r="K895" s="5">
        <v>100</v>
      </c>
      <c r="L895" s="15">
        <v>1</v>
      </c>
      <c r="M895" s="15">
        <v>1</v>
      </c>
      <c r="N895" s="5" t="s">
        <v>347</v>
      </c>
      <c r="O895" s="5" t="s">
        <v>347</v>
      </c>
      <c r="P895" s="5">
        <v>0</v>
      </c>
      <c r="Q895" s="5">
        <v>0</v>
      </c>
      <c r="R895" s="5" t="str">
        <f t="shared" si="146"/>
        <v>240-2024-06-30</v>
      </c>
    </row>
    <row r="896" spans="1:18" x14ac:dyDescent="0.3">
      <c r="A896" s="26">
        <v>240</v>
      </c>
      <c r="B896" s="5" t="s">
        <v>118</v>
      </c>
      <c r="C896" s="5" t="s">
        <v>117</v>
      </c>
      <c r="D896" s="5" t="s">
        <v>11</v>
      </c>
      <c r="E896" s="5" t="s">
        <v>9</v>
      </c>
      <c r="F896" s="6">
        <v>45565</v>
      </c>
      <c r="G896" s="5">
        <f t="shared" si="136"/>
        <v>2024</v>
      </c>
      <c r="H896" s="5" t="str">
        <f t="shared" si="137"/>
        <v>Septiembre</v>
      </c>
      <c r="I896" s="6" t="str">
        <f t="shared" si="145"/>
        <v>2024-2</v>
      </c>
      <c r="J896" s="5">
        <v>100</v>
      </c>
      <c r="K896" s="10">
        <v>100</v>
      </c>
      <c r="L896" s="15">
        <f>IFERROR(IF((K896/J896)&gt;1.3,1.3,K896/J896),"")</f>
        <v>1</v>
      </c>
      <c r="M896" s="15">
        <f t="shared" ref="M896:M914" si="147">IFERROR(IF((K896/J896)&gt;K896/J896,1.3,K896/J896),"")</f>
        <v>1</v>
      </c>
      <c r="N896" s="5" t="s">
        <v>347</v>
      </c>
      <c r="O896" s="5" t="s">
        <v>347</v>
      </c>
      <c r="P896" s="16">
        <v>0</v>
      </c>
      <c r="Q896" s="16">
        <v>0</v>
      </c>
      <c r="R896" s="5" t="str">
        <f t="shared" si="146"/>
        <v>240-2024-09-30</v>
      </c>
    </row>
    <row r="897" spans="1:18" x14ac:dyDescent="0.3">
      <c r="A897" s="26">
        <v>240</v>
      </c>
      <c r="B897" s="5" t="s">
        <v>118</v>
      </c>
      <c r="C897" s="5" t="s">
        <v>117</v>
      </c>
      <c r="D897" s="5" t="s">
        <v>11</v>
      </c>
      <c r="E897" s="5" t="s">
        <v>9</v>
      </c>
      <c r="F897" s="6">
        <v>45657</v>
      </c>
      <c r="G897" s="5">
        <f t="shared" si="136"/>
        <v>2024</v>
      </c>
      <c r="H897" s="5" t="str">
        <f t="shared" si="137"/>
        <v>Diciembre</v>
      </c>
      <c r="I897" s="6" t="str">
        <f t="shared" si="145"/>
        <v>2024-2</v>
      </c>
      <c r="J897" s="5">
        <v>100</v>
      </c>
      <c r="K897" s="10">
        <v>100</v>
      </c>
      <c r="L897" s="15">
        <f>IFERROR(IF((K897/J897)&gt;1.3,1.3,K897/J897),"")</f>
        <v>1</v>
      </c>
      <c r="M897" s="15">
        <f t="shared" si="147"/>
        <v>1</v>
      </c>
      <c r="N897" s="5" t="s">
        <v>347</v>
      </c>
      <c r="O897" s="5" t="s">
        <v>347</v>
      </c>
      <c r="P897" s="16">
        <v>0</v>
      </c>
      <c r="Q897" s="16">
        <v>0</v>
      </c>
      <c r="R897" s="5" t="str">
        <f t="shared" si="146"/>
        <v>240-2024-12-31</v>
      </c>
    </row>
    <row r="898" spans="1:18" x14ac:dyDescent="0.3">
      <c r="A898" s="26">
        <v>241</v>
      </c>
      <c r="B898" s="5" t="s">
        <v>119</v>
      </c>
      <c r="C898" s="5" t="s">
        <v>117</v>
      </c>
      <c r="D898" s="5" t="s">
        <v>18</v>
      </c>
      <c r="E898" s="5" t="s">
        <v>9</v>
      </c>
      <c r="F898" s="6">
        <v>44957</v>
      </c>
      <c r="G898" s="5">
        <f t="shared" ref="G898:G961" si="148">YEAR(F898)</f>
        <v>2023</v>
      </c>
      <c r="H898" s="5" t="str">
        <f t="shared" ref="H898:H961" si="149">PROPER(TEXT(F898,"mmmm"))</f>
        <v>Enero</v>
      </c>
      <c r="I898" s="6" t="str">
        <f t="shared" si="145"/>
        <v>2023-1</v>
      </c>
      <c r="J898" s="5">
        <v>80</v>
      </c>
      <c r="K898" s="9">
        <v>100</v>
      </c>
      <c r="L898" s="15">
        <f t="shared" ref="L898:L907" si="150">IFERROR(K898/J898,"")</f>
        <v>1.25</v>
      </c>
      <c r="M898" s="15">
        <f t="shared" si="147"/>
        <v>1.25</v>
      </c>
      <c r="N898" s="5" t="s">
        <v>347</v>
      </c>
      <c r="O898" s="5" t="s">
        <v>347</v>
      </c>
      <c r="P898" s="16">
        <v>0</v>
      </c>
      <c r="Q898" s="16">
        <v>0</v>
      </c>
      <c r="R898" s="5" t="str">
        <f t="shared" si="146"/>
        <v>241-2023-01-31</v>
      </c>
    </row>
    <row r="899" spans="1:18" x14ac:dyDescent="0.3">
      <c r="A899" s="26">
        <v>241</v>
      </c>
      <c r="B899" s="5" t="s">
        <v>119</v>
      </c>
      <c r="C899" s="5" t="s">
        <v>117</v>
      </c>
      <c r="D899" s="5" t="s">
        <v>18</v>
      </c>
      <c r="E899" s="5" t="s">
        <v>9</v>
      </c>
      <c r="F899" s="17">
        <v>44985</v>
      </c>
      <c r="G899" s="5">
        <f t="shared" si="148"/>
        <v>2023</v>
      </c>
      <c r="H899" s="5" t="str">
        <f t="shared" si="149"/>
        <v>Febrero</v>
      </c>
      <c r="I899" s="6" t="str">
        <f t="shared" si="145"/>
        <v>2023-1</v>
      </c>
      <c r="J899" s="5">
        <v>80</v>
      </c>
      <c r="K899" s="9">
        <v>100</v>
      </c>
      <c r="L899" s="15">
        <f t="shared" si="150"/>
        <v>1.25</v>
      </c>
      <c r="M899" s="15">
        <f t="shared" si="147"/>
        <v>1.25</v>
      </c>
      <c r="N899" s="5" t="s">
        <v>347</v>
      </c>
      <c r="O899" s="5" t="s">
        <v>347</v>
      </c>
      <c r="P899" s="16">
        <v>0</v>
      </c>
      <c r="Q899" s="16">
        <v>0</v>
      </c>
      <c r="R899" s="5" t="str">
        <f t="shared" si="146"/>
        <v>241-2023-02-28</v>
      </c>
    </row>
    <row r="900" spans="1:18" x14ac:dyDescent="0.3">
      <c r="A900" s="26">
        <v>241</v>
      </c>
      <c r="B900" s="5" t="s">
        <v>119</v>
      </c>
      <c r="C900" s="5" t="s">
        <v>117</v>
      </c>
      <c r="D900" s="5" t="s">
        <v>18</v>
      </c>
      <c r="E900" s="5" t="s">
        <v>9</v>
      </c>
      <c r="F900" s="6">
        <v>45016</v>
      </c>
      <c r="G900" s="5">
        <f t="shared" si="148"/>
        <v>2023</v>
      </c>
      <c r="H900" s="5" t="str">
        <f t="shared" si="149"/>
        <v>Marzo</v>
      </c>
      <c r="I900" s="6" t="str">
        <f t="shared" si="145"/>
        <v>2023-1</v>
      </c>
      <c r="J900" s="5">
        <v>80</v>
      </c>
      <c r="K900" s="9">
        <v>100</v>
      </c>
      <c r="L900" s="15">
        <f t="shared" si="150"/>
        <v>1.25</v>
      </c>
      <c r="M900" s="15">
        <f t="shared" si="147"/>
        <v>1.25</v>
      </c>
      <c r="N900" s="5" t="s">
        <v>347</v>
      </c>
      <c r="O900" s="5" t="s">
        <v>347</v>
      </c>
      <c r="P900" s="16">
        <v>0</v>
      </c>
      <c r="Q900" s="16">
        <v>0</v>
      </c>
      <c r="R900" s="5" t="str">
        <f t="shared" si="146"/>
        <v>241-2023-03-31</v>
      </c>
    </row>
    <row r="901" spans="1:18" x14ac:dyDescent="0.3">
      <c r="A901" s="26">
        <v>241</v>
      </c>
      <c r="B901" s="5" t="s">
        <v>119</v>
      </c>
      <c r="C901" s="5" t="s">
        <v>117</v>
      </c>
      <c r="D901" s="5" t="s">
        <v>18</v>
      </c>
      <c r="E901" s="5" t="s">
        <v>9</v>
      </c>
      <c r="F901" s="6">
        <v>45046</v>
      </c>
      <c r="G901" s="5">
        <f t="shared" si="148"/>
        <v>2023</v>
      </c>
      <c r="H901" s="5" t="str">
        <f t="shared" si="149"/>
        <v>Abril</v>
      </c>
      <c r="I901" s="6" t="str">
        <f t="shared" si="145"/>
        <v>2023-1</v>
      </c>
      <c r="J901" s="5">
        <v>80</v>
      </c>
      <c r="K901" s="9">
        <v>81.819999999999993</v>
      </c>
      <c r="L901" s="15">
        <f t="shared" si="150"/>
        <v>1.0227499999999998</v>
      </c>
      <c r="M901" s="15">
        <f t="shared" si="147"/>
        <v>1.0227499999999998</v>
      </c>
      <c r="N901" s="5" t="s">
        <v>347</v>
      </c>
      <c r="O901" s="5" t="s">
        <v>347</v>
      </c>
      <c r="P901" s="16">
        <v>0</v>
      </c>
      <c r="Q901" s="16">
        <v>0</v>
      </c>
      <c r="R901" s="5" t="str">
        <f t="shared" si="146"/>
        <v>241-2023-04-30</v>
      </c>
    </row>
    <row r="902" spans="1:18" x14ac:dyDescent="0.3">
      <c r="A902" s="26">
        <v>241</v>
      </c>
      <c r="B902" s="5" t="s">
        <v>119</v>
      </c>
      <c r="C902" s="5" t="s">
        <v>117</v>
      </c>
      <c r="D902" s="5" t="s">
        <v>18</v>
      </c>
      <c r="E902" s="5" t="s">
        <v>9</v>
      </c>
      <c r="F902" s="6">
        <v>45077</v>
      </c>
      <c r="G902" s="5">
        <f t="shared" si="148"/>
        <v>2023</v>
      </c>
      <c r="H902" s="5" t="str">
        <f t="shared" si="149"/>
        <v>Mayo</v>
      </c>
      <c r="I902" s="6" t="str">
        <f t="shared" si="145"/>
        <v>2023-1</v>
      </c>
      <c r="J902" s="5">
        <v>80</v>
      </c>
      <c r="K902" s="9">
        <v>83.33</v>
      </c>
      <c r="L902" s="15">
        <f t="shared" si="150"/>
        <v>1.041625</v>
      </c>
      <c r="M902" s="15">
        <f t="shared" si="147"/>
        <v>1.041625</v>
      </c>
      <c r="N902" s="5" t="s">
        <v>347</v>
      </c>
      <c r="O902" s="5" t="s">
        <v>347</v>
      </c>
      <c r="P902" s="16">
        <v>0</v>
      </c>
      <c r="Q902" s="16">
        <v>0</v>
      </c>
      <c r="R902" s="5" t="str">
        <f t="shared" si="146"/>
        <v>241-2023-05-31</v>
      </c>
    </row>
    <row r="903" spans="1:18" x14ac:dyDescent="0.3">
      <c r="A903" s="26">
        <v>241</v>
      </c>
      <c r="B903" s="5" t="s">
        <v>119</v>
      </c>
      <c r="C903" s="5" t="s">
        <v>117</v>
      </c>
      <c r="D903" s="5" t="s">
        <v>18</v>
      </c>
      <c r="E903" s="5" t="s">
        <v>9</v>
      </c>
      <c r="F903" s="6">
        <v>45107</v>
      </c>
      <c r="G903" s="5">
        <f t="shared" si="148"/>
        <v>2023</v>
      </c>
      <c r="H903" s="5" t="str">
        <f t="shared" si="149"/>
        <v>Junio</v>
      </c>
      <c r="I903" s="6" t="str">
        <f t="shared" si="145"/>
        <v>2023-1</v>
      </c>
      <c r="J903" s="5">
        <v>80</v>
      </c>
      <c r="K903" s="9">
        <v>100</v>
      </c>
      <c r="L903" s="15">
        <f t="shared" si="150"/>
        <v>1.25</v>
      </c>
      <c r="M903" s="15">
        <f t="shared" si="147"/>
        <v>1.25</v>
      </c>
      <c r="N903" s="5" t="s">
        <v>347</v>
      </c>
      <c r="O903" s="5" t="s">
        <v>347</v>
      </c>
      <c r="P903" s="16">
        <v>0</v>
      </c>
      <c r="Q903" s="16">
        <v>0</v>
      </c>
      <c r="R903" s="5" t="str">
        <f t="shared" si="146"/>
        <v>241-2023-06-30</v>
      </c>
    </row>
    <row r="904" spans="1:18" x14ac:dyDescent="0.3">
      <c r="A904" s="26">
        <v>241</v>
      </c>
      <c r="B904" s="5" t="s">
        <v>119</v>
      </c>
      <c r="C904" s="5" t="s">
        <v>117</v>
      </c>
      <c r="D904" s="5" t="s">
        <v>18</v>
      </c>
      <c r="E904" s="5" t="s">
        <v>9</v>
      </c>
      <c r="F904" s="6">
        <v>45138</v>
      </c>
      <c r="G904" s="5">
        <f t="shared" si="148"/>
        <v>2023</v>
      </c>
      <c r="H904" s="5" t="str">
        <f t="shared" si="149"/>
        <v>Julio</v>
      </c>
      <c r="I904" s="6" t="str">
        <f t="shared" si="145"/>
        <v>2023-2</v>
      </c>
      <c r="J904" s="5">
        <v>80</v>
      </c>
      <c r="K904" s="9">
        <v>91.67</v>
      </c>
      <c r="L904" s="15">
        <f t="shared" si="150"/>
        <v>1.145875</v>
      </c>
      <c r="M904" s="15">
        <f t="shared" si="147"/>
        <v>1.145875</v>
      </c>
      <c r="N904" s="5" t="s">
        <v>347</v>
      </c>
      <c r="O904" s="5" t="s">
        <v>347</v>
      </c>
      <c r="P904" s="16">
        <v>0</v>
      </c>
      <c r="Q904" s="16">
        <v>0</v>
      </c>
      <c r="R904" s="5" t="str">
        <f t="shared" si="146"/>
        <v>241-2023-07-31</v>
      </c>
    </row>
    <row r="905" spans="1:18" x14ac:dyDescent="0.3">
      <c r="A905" s="26">
        <v>241</v>
      </c>
      <c r="B905" s="5" t="s">
        <v>119</v>
      </c>
      <c r="C905" s="5" t="s">
        <v>117</v>
      </c>
      <c r="D905" s="5" t="s">
        <v>18</v>
      </c>
      <c r="E905" s="5" t="s">
        <v>9</v>
      </c>
      <c r="F905" s="6">
        <v>45169</v>
      </c>
      <c r="G905" s="5">
        <f t="shared" si="148"/>
        <v>2023</v>
      </c>
      <c r="H905" s="5" t="str">
        <f t="shared" si="149"/>
        <v>Agosto</v>
      </c>
      <c r="I905" s="6" t="str">
        <f t="shared" si="145"/>
        <v>2023-2</v>
      </c>
      <c r="J905" s="5">
        <v>80</v>
      </c>
      <c r="K905" s="9">
        <v>91.67</v>
      </c>
      <c r="L905" s="15">
        <f t="shared" si="150"/>
        <v>1.145875</v>
      </c>
      <c r="M905" s="15">
        <f t="shared" si="147"/>
        <v>1.145875</v>
      </c>
      <c r="N905" s="5" t="s">
        <v>347</v>
      </c>
      <c r="O905" s="5" t="s">
        <v>347</v>
      </c>
      <c r="P905" s="16">
        <v>0</v>
      </c>
      <c r="Q905" s="16">
        <v>0</v>
      </c>
      <c r="R905" s="5" t="str">
        <f t="shared" si="146"/>
        <v>241-2023-08-31</v>
      </c>
    </row>
    <row r="906" spans="1:18" x14ac:dyDescent="0.3">
      <c r="A906" s="26">
        <v>241</v>
      </c>
      <c r="B906" s="5" t="s">
        <v>119</v>
      </c>
      <c r="C906" s="5" t="s">
        <v>117</v>
      </c>
      <c r="D906" s="5" t="s">
        <v>18</v>
      </c>
      <c r="E906" s="5" t="s">
        <v>9</v>
      </c>
      <c r="F906" s="6">
        <v>45199</v>
      </c>
      <c r="G906" s="5">
        <f t="shared" si="148"/>
        <v>2023</v>
      </c>
      <c r="H906" s="5" t="str">
        <f t="shared" si="149"/>
        <v>Septiembre</v>
      </c>
      <c r="I906" s="6" t="str">
        <f t="shared" si="145"/>
        <v>2023-2</v>
      </c>
      <c r="J906" s="5">
        <v>80</v>
      </c>
      <c r="K906" s="9">
        <v>91.67</v>
      </c>
      <c r="L906" s="15">
        <f t="shared" si="150"/>
        <v>1.145875</v>
      </c>
      <c r="M906" s="15">
        <f t="shared" si="147"/>
        <v>1.145875</v>
      </c>
      <c r="N906" s="5" t="s">
        <v>347</v>
      </c>
      <c r="O906" s="5" t="s">
        <v>347</v>
      </c>
      <c r="P906" s="16">
        <v>0</v>
      </c>
      <c r="Q906" s="16">
        <v>0</v>
      </c>
      <c r="R906" s="5" t="str">
        <f t="shared" si="146"/>
        <v>241-2023-09-30</v>
      </c>
    </row>
    <row r="907" spans="1:18" x14ac:dyDescent="0.3">
      <c r="A907" s="39">
        <v>241</v>
      </c>
      <c r="B907" s="5" t="s">
        <v>119</v>
      </c>
      <c r="C907" s="5" t="s">
        <v>117</v>
      </c>
      <c r="D907" s="5" t="s">
        <v>18</v>
      </c>
      <c r="E907" s="5" t="s">
        <v>9</v>
      </c>
      <c r="F907" s="6">
        <v>45230</v>
      </c>
      <c r="G907" s="5">
        <f t="shared" si="148"/>
        <v>2023</v>
      </c>
      <c r="H907" s="5" t="str">
        <f t="shared" si="149"/>
        <v>Octubre</v>
      </c>
      <c r="I907" s="6" t="str">
        <f t="shared" si="145"/>
        <v>2023-2</v>
      </c>
      <c r="J907" s="5">
        <v>80</v>
      </c>
      <c r="K907" s="9">
        <v>88.89</v>
      </c>
      <c r="L907" s="15">
        <f t="shared" si="150"/>
        <v>1.1111249999999999</v>
      </c>
      <c r="M907" s="15">
        <f t="shared" si="147"/>
        <v>1.1111249999999999</v>
      </c>
      <c r="N907" s="5" t="s">
        <v>347</v>
      </c>
      <c r="O907" s="5" t="s">
        <v>347</v>
      </c>
      <c r="P907" s="16">
        <v>0</v>
      </c>
      <c r="Q907" s="16">
        <v>0</v>
      </c>
      <c r="R907" s="5" t="str">
        <f t="shared" si="146"/>
        <v>241-2023-10-31</v>
      </c>
    </row>
    <row r="908" spans="1:18" x14ac:dyDescent="0.3">
      <c r="A908" s="39">
        <v>241</v>
      </c>
      <c r="B908" s="5" t="s">
        <v>119</v>
      </c>
      <c r="C908" s="5" t="s">
        <v>117</v>
      </c>
      <c r="D908" s="5" t="s">
        <v>18</v>
      </c>
      <c r="E908" s="5" t="s">
        <v>9</v>
      </c>
      <c r="F908" s="6">
        <v>45260</v>
      </c>
      <c r="G908" s="5">
        <f t="shared" si="148"/>
        <v>2023</v>
      </c>
      <c r="H908" s="5" t="str">
        <f t="shared" si="149"/>
        <v>Noviembre</v>
      </c>
      <c r="I908" s="6" t="str">
        <f t="shared" si="145"/>
        <v>2023-2</v>
      </c>
      <c r="J908" s="5">
        <v>80</v>
      </c>
      <c r="K908" s="9">
        <v>87.5</v>
      </c>
      <c r="L908" s="15">
        <f t="shared" ref="L908:L914" si="151">IFERROR(IF((K908/J908)&gt;1.3,1.3,K908/J908),"")</f>
        <v>1.09375</v>
      </c>
      <c r="M908" s="15">
        <f t="shared" si="147"/>
        <v>1.09375</v>
      </c>
      <c r="N908" s="5" t="s">
        <v>347</v>
      </c>
      <c r="O908" s="5" t="s">
        <v>347</v>
      </c>
      <c r="P908" s="16">
        <v>0</v>
      </c>
      <c r="Q908" s="16">
        <v>0</v>
      </c>
      <c r="R908" s="5" t="str">
        <f t="shared" si="146"/>
        <v>241-2023-11-30</v>
      </c>
    </row>
    <row r="909" spans="1:18" x14ac:dyDescent="0.3">
      <c r="A909" s="39">
        <v>241</v>
      </c>
      <c r="B909" s="5" t="s">
        <v>119</v>
      </c>
      <c r="C909" s="5" t="s">
        <v>117</v>
      </c>
      <c r="D909" s="5" t="s">
        <v>18</v>
      </c>
      <c r="E909" s="5" t="s">
        <v>9</v>
      </c>
      <c r="F909" s="6">
        <v>45291</v>
      </c>
      <c r="G909" s="5">
        <f t="shared" si="148"/>
        <v>2023</v>
      </c>
      <c r="H909" s="5" t="str">
        <f t="shared" si="149"/>
        <v>Diciembre</v>
      </c>
      <c r="I909" s="6" t="str">
        <f t="shared" si="145"/>
        <v>2023-2</v>
      </c>
      <c r="J909" s="5">
        <v>80</v>
      </c>
      <c r="K909" s="9">
        <v>85.71</v>
      </c>
      <c r="L909" s="15">
        <f t="shared" si="151"/>
        <v>1.071375</v>
      </c>
      <c r="M909" s="15">
        <f t="shared" si="147"/>
        <v>1.071375</v>
      </c>
      <c r="N909" s="5" t="s">
        <v>347</v>
      </c>
      <c r="O909" s="5" t="s">
        <v>347</v>
      </c>
      <c r="P909" s="16">
        <v>0</v>
      </c>
      <c r="Q909" s="16">
        <v>0</v>
      </c>
      <c r="R909" s="5" t="str">
        <f t="shared" si="146"/>
        <v>241-2023-12-31</v>
      </c>
    </row>
    <row r="910" spans="1:18" x14ac:dyDescent="0.3">
      <c r="A910" s="26">
        <v>241</v>
      </c>
      <c r="B910" s="5" t="s">
        <v>119</v>
      </c>
      <c r="C910" s="5" t="s">
        <v>117</v>
      </c>
      <c r="D910" s="5" t="s">
        <v>18</v>
      </c>
      <c r="E910" s="5" t="s">
        <v>9</v>
      </c>
      <c r="F910" s="6">
        <v>45322</v>
      </c>
      <c r="G910" s="5">
        <f t="shared" si="148"/>
        <v>2024</v>
      </c>
      <c r="H910" s="5" t="str">
        <f t="shared" si="149"/>
        <v>Enero</v>
      </c>
      <c r="I910" s="6" t="str">
        <f t="shared" si="145"/>
        <v>2024-1</v>
      </c>
      <c r="J910" s="5">
        <v>80</v>
      </c>
      <c r="K910" s="10">
        <v>88.89</v>
      </c>
      <c r="L910" s="15">
        <f t="shared" si="151"/>
        <v>1.1111249999999999</v>
      </c>
      <c r="M910" s="15">
        <f t="shared" si="147"/>
        <v>1.1111249999999999</v>
      </c>
      <c r="N910" s="5" t="s">
        <v>347</v>
      </c>
      <c r="O910" s="5" t="s">
        <v>347</v>
      </c>
      <c r="P910" s="16">
        <v>0</v>
      </c>
      <c r="Q910" s="16">
        <v>0</v>
      </c>
      <c r="R910" s="5" t="str">
        <f t="shared" si="146"/>
        <v>241-2024-01-31</v>
      </c>
    </row>
    <row r="911" spans="1:18" x14ac:dyDescent="0.3">
      <c r="A911" s="26">
        <v>241</v>
      </c>
      <c r="B911" s="5" t="s">
        <v>119</v>
      </c>
      <c r="C911" s="5" t="s">
        <v>117</v>
      </c>
      <c r="D911" s="5" t="s">
        <v>18</v>
      </c>
      <c r="E911" s="5" t="s">
        <v>9</v>
      </c>
      <c r="F911" s="6">
        <v>45351</v>
      </c>
      <c r="G911" s="5">
        <f t="shared" si="148"/>
        <v>2024</v>
      </c>
      <c r="H911" s="5" t="str">
        <f t="shared" si="149"/>
        <v>Febrero</v>
      </c>
      <c r="I911" s="6" t="str">
        <f t="shared" si="145"/>
        <v>2024-1</v>
      </c>
      <c r="J911" s="5">
        <v>80</v>
      </c>
      <c r="K911" s="10">
        <v>90.91</v>
      </c>
      <c r="L911" s="15">
        <f t="shared" si="151"/>
        <v>1.1363749999999999</v>
      </c>
      <c r="M911" s="15">
        <f t="shared" si="147"/>
        <v>1.1363749999999999</v>
      </c>
      <c r="N911" s="5" t="s">
        <v>347</v>
      </c>
      <c r="O911" s="5" t="s">
        <v>347</v>
      </c>
      <c r="P911" s="16">
        <v>0</v>
      </c>
      <c r="Q911" s="16">
        <v>0</v>
      </c>
      <c r="R911" s="5" t="str">
        <f t="shared" si="146"/>
        <v>241-2024-02-29</v>
      </c>
    </row>
    <row r="912" spans="1:18" x14ac:dyDescent="0.3">
      <c r="A912" s="26">
        <v>241</v>
      </c>
      <c r="B912" s="5" t="s">
        <v>119</v>
      </c>
      <c r="C912" s="5" t="s">
        <v>117</v>
      </c>
      <c r="D912" s="5" t="s">
        <v>18</v>
      </c>
      <c r="E912" s="5" t="s">
        <v>9</v>
      </c>
      <c r="F912" s="6">
        <v>45382</v>
      </c>
      <c r="G912" s="5">
        <f t="shared" si="148"/>
        <v>2024</v>
      </c>
      <c r="H912" s="5" t="str">
        <f t="shared" si="149"/>
        <v>Marzo</v>
      </c>
      <c r="I912" s="6" t="str">
        <f t="shared" si="145"/>
        <v>2024-1</v>
      </c>
      <c r="J912" s="5">
        <v>80</v>
      </c>
      <c r="K912" s="10">
        <v>80</v>
      </c>
      <c r="L912" s="15">
        <f t="shared" si="151"/>
        <v>1</v>
      </c>
      <c r="M912" s="15">
        <f t="shared" si="147"/>
        <v>1</v>
      </c>
      <c r="N912" s="5" t="s">
        <v>347</v>
      </c>
      <c r="O912" s="5" t="s">
        <v>347</v>
      </c>
      <c r="P912" s="16">
        <v>0</v>
      </c>
      <c r="Q912" s="16">
        <v>0</v>
      </c>
      <c r="R912" s="5" t="str">
        <f t="shared" si="146"/>
        <v>241-2024-03-31</v>
      </c>
    </row>
    <row r="913" spans="1:18" x14ac:dyDescent="0.3">
      <c r="A913" s="26">
        <v>241</v>
      </c>
      <c r="B913" s="5" t="s">
        <v>119</v>
      </c>
      <c r="C913" s="5" t="s">
        <v>117</v>
      </c>
      <c r="D913" s="5" t="s">
        <v>18</v>
      </c>
      <c r="E913" s="5" t="s">
        <v>9</v>
      </c>
      <c r="F913" s="6">
        <v>45412</v>
      </c>
      <c r="G913" s="5">
        <f t="shared" si="148"/>
        <v>2024</v>
      </c>
      <c r="H913" s="5" t="str">
        <f t="shared" si="149"/>
        <v>Abril</v>
      </c>
      <c r="I913" s="6" t="str">
        <f t="shared" si="145"/>
        <v>2024-1</v>
      </c>
      <c r="J913" s="5">
        <v>80</v>
      </c>
      <c r="K913" s="10">
        <v>100</v>
      </c>
      <c r="L913" s="15">
        <f t="shared" si="151"/>
        <v>1.25</v>
      </c>
      <c r="M913" s="15">
        <f t="shared" si="147"/>
        <v>1.25</v>
      </c>
      <c r="N913" s="5" t="s">
        <v>347</v>
      </c>
      <c r="O913" s="5" t="s">
        <v>347</v>
      </c>
      <c r="P913" s="16">
        <v>0</v>
      </c>
      <c r="Q913" s="16">
        <v>0</v>
      </c>
      <c r="R913" s="5" t="str">
        <f t="shared" si="146"/>
        <v>241-2024-04-30</v>
      </c>
    </row>
    <row r="914" spans="1:18" x14ac:dyDescent="0.3">
      <c r="A914" s="26">
        <v>241</v>
      </c>
      <c r="B914" s="5" t="s">
        <v>119</v>
      </c>
      <c r="C914" s="5" t="s">
        <v>117</v>
      </c>
      <c r="D914" s="5" t="s">
        <v>18</v>
      </c>
      <c r="E914" s="5" t="s">
        <v>9</v>
      </c>
      <c r="F914" s="6">
        <v>45443</v>
      </c>
      <c r="G914" s="5">
        <f t="shared" si="148"/>
        <v>2024</v>
      </c>
      <c r="H914" s="5" t="str">
        <f t="shared" si="149"/>
        <v>Mayo</v>
      </c>
      <c r="I914" s="6" t="str">
        <f t="shared" si="145"/>
        <v>2024-1</v>
      </c>
      <c r="J914" s="5">
        <v>80</v>
      </c>
      <c r="K914" s="10">
        <v>85.71</v>
      </c>
      <c r="L914" s="15">
        <f t="shared" si="151"/>
        <v>1.071375</v>
      </c>
      <c r="M914" s="15">
        <f t="shared" si="147"/>
        <v>1.071375</v>
      </c>
      <c r="N914" s="5" t="s">
        <v>347</v>
      </c>
      <c r="O914" s="5" t="s">
        <v>347</v>
      </c>
      <c r="P914" s="16">
        <v>0</v>
      </c>
      <c r="Q914" s="16">
        <v>0</v>
      </c>
      <c r="R914" s="5" t="str">
        <f t="shared" si="146"/>
        <v>241-2024-05-31</v>
      </c>
    </row>
    <row r="915" spans="1:18" x14ac:dyDescent="0.3">
      <c r="A915" s="5">
        <v>241</v>
      </c>
      <c r="B915" s="5" t="s">
        <v>119</v>
      </c>
      <c r="C915" s="5" t="s">
        <v>117</v>
      </c>
      <c r="D915" s="5" t="s">
        <v>18</v>
      </c>
      <c r="E915" s="5" t="s">
        <v>9</v>
      </c>
      <c r="F915" s="6">
        <v>45473</v>
      </c>
      <c r="G915" s="5">
        <f t="shared" si="148"/>
        <v>2024</v>
      </c>
      <c r="H915" s="5" t="str">
        <f t="shared" si="149"/>
        <v>Junio</v>
      </c>
      <c r="I915" s="6" t="str">
        <f t="shared" si="145"/>
        <v>2024-1</v>
      </c>
      <c r="J915" s="5">
        <v>80</v>
      </c>
      <c r="K915" s="5">
        <v>85.71</v>
      </c>
      <c r="L915" s="15">
        <v>1.071375</v>
      </c>
      <c r="M915" s="15">
        <v>1.071375</v>
      </c>
      <c r="N915" s="5" t="s">
        <v>347</v>
      </c>
      <c r="O915" s="5" t="s">
        <v>347</v>
      </c>
      <c r="P915" s="5">
        <v>0</v>
      </c>
      <c r="Q915" s="5">
        <v>0</v>
      </c>
      <c r="R915" s="5" t="str">
        <f t="shared" si="146"/>
        <v>241-2024-06-30</v>
      </c>
    </row>
    <row r="916" spans="1:18" x14ac:dyDescent="0.3">
      <c r="A916" s="26">
        <v>241</v>
      </c>
      <c r="B916" s="5" t="s">
        <v>119</v>
      </c>
      <c r="C916" s="5" t="s">
        <v>117</v>
      </c>
      <c r="D916" s="5" t="s">
        <v>18</v>
      </c>
      <c r="E916" s="5" t="s">
        <v>9</v>
      </c>
      <c r="F916" s="6">
        <v>45504</v>
      </c>
      <c r="G916" s="5">
        <f t="shared" si="148"/>
        <v>2024</v>
      </c>
      <c r="H916" s="5" t="str">
        <f t="shared" si="149"/>
        <v>Julio</v>
      </c>
      <c r="I916" s="6" t="str">
        <f t="shared" si="145"/>
        <v>2024-2</v>
      </c>
      <c r="J916" s="5">
        <v>80</v>
      </c>
      <c r="K916" s="10">
        <v>85.71</v>
      </c>
      <c r="L916" s="15">
        <f t="shared" ref="L916:L921" si="152">IFERROR(IF((K916/J916)&gt;1.3,1.3,K916/J916),"")</f>
        <v>1.071375</v>
      </c>
      <c r="M916" s="15">
        <f t="shared" ref="M916:M933" si="153">IFERROR(IF((K916/J916)&gt;K916/J916,1.3,K916/J916),"")</f>
        <v>1.071375</v>
      </c>
      <c r="N916" s="5" t="s">
        <v>347</v>
      </c>
      <c r="O916" s="5" t="s">
        <v>347</v>
      </c>
      <c r="P916" s="16">
        <v>0</v>
      </c>
      <c r="Q916" s="16">
        <v>0</v>
      </c>
      <c r="R916" s="5" t="str">
        <f t="shared" si="146"/>
        <v>241-2024-07-31</v>
      </c>
    </row>
    <row r="917" spans="1:18" x14ac:dyDescent="0.3">
      <c r="A917" s="26">
        <v>241</v>
      </c>
      <c r="B917" s="5" t="s">
        <v>119</v>
      </c>
      <c r="C917" s="5" t="s">
        <v>117</v>
      </c>
      <c r="D917" s="5" t="s">
        <v>18</v>
      </c>
      <c r="E917" s="5" t="s">
        <v>9</v>
      </c>
      <c r="F917" s="6">
        <v>45535</v>
      </c>
      <c r="G917" s="5">
        <f t="shared" si="148"/>
        <v>2024</v>
      </c>
      <c r="H917" s="5" t="str">
        <f t="shared" si="149"/>
        <v>Agosto</v>
      </c>
      <c r="I917" s="6" t="str">
        <f t="shared" si="145"/>
        <v>2024-2</v>
      </c>
      <c r="J917" s="5">
        <v>80</v>
      </c>
      <c r="K917" s="10">
        <v>80</v>
      </c>
      <c r="L917" s="15">
        <f t="shared" si="152"/>
        <v>1</v>
      </c>
      <c r="M917" s="15">
        <f t="shared" si="153"/>
        <v>1</v>
      </c>
      <c r="N917" s="5" t="s">
        <v>347</v>
      </c>
      <c r="O917" s="5" t="s">
        <v>347</v>
      </c>
      <c r="P917" s="16">
        <v>0</v>
      </c>
      <c r="Q917" s="16">
        <v>0</v>
      </c>
      <c r="R917" s="5" t="str">
        <f t="shared" si="146"/>
        <v>241-2024-08-31</v>
      </c>
    </row>
    <row r="918" spans="1:18" x14ac:dyDescent="0.3">
      <c r="A918" s="26">
        <v>241</v>
      </c>
      <c r="B918" s="5" t="s">
        <v>119</v>
      </c>
      <c r="C918" s="5" t="s">
        <v>117</v>
      </c>
      <c r="D918" s="5" t="s">
        <v>18</v>
      </c>
      <c r="E918" s="5" t="s">
        <v>9</v>
      </c>
      <c r="F918" s="6">
        <v>45565</v>
      </c>
      <c r="G918" s="5">
        <f t="shared" si="148"/>
        <v>2024</v>
      </c>
      <c r="H918" s="5" t="str">
        <f t="shared" si="149"/>
        <v>Septiembre</v>
      </c>
      <c r="I918" s="6" t="str">
        <f t="shared" si="145"/>
        <v>2024-2</v>
      </c>
      <c r="J918" s="5">
        <v>80</v>
      </c>
      <c r="K918" s="10">
        <v>84.62</v>
      </c>
      <c r="L918" s="15">
        <f t="shared" si="152"/>
        <v>1.05775</v>
      </c>
      <c r="M918" s="15">
        <f t="shared" si="153"/>
        <v>1.05775</v>
      </c>
      <c r="N918" s="5" t="s">
        <v>347</v>
      </c>
      <c r="O918" s="5" t="s">
        <v>347</v>
      </c>
      <c r="P918" s="16">
        <v>0</v>
      </c>
      <c r="Q918" s="16">
        <v>0</v>
      </c>
      <c r="R918" s="5" t="str">
        <f t="shared" si="146"/>
        <v>241-2024-09-30</v>
      </c>
    </row>
    <row r="919" spans="1:18" x14ac:dyDescent="0.3">
      <c r="A919" s="26">
        <v>241</v>
      </c>
      <c r="B919" s="5" t="s">
        <v>119</v>
      </c>
      <c r="C919" s="5" t="s">
        <v>117</v>
      </c>
      <c r="D919" s="5" t="s">
        <v>18</v>
      </c>
      <c r="E919" s="5" t="s">
        <v>9</v>
      </c>
      <c r="F919" s="6">
        <v>45596</v>
      </c>
      <c r="G919" s="5">
        <f t="shared" si="148"/>
        <v>2024</v>
      </c>
      <c r="H919" s="5" t="str">
        <f t="shared" si="149"/>
        <v>Octubre</v>
      </c>
      <c r="I919" s="6" t="str">
        <f t="shared" si="145"/>
        <v>2024-2</v>
      </c>
      <c r="J919" s="5">
        <v>80</v>
      </c>
      <c r="K919" s="10">
        <v>85.71</v>
      </c>
      <c r="L919" s="15">
        <f t="shared" si="152"/>
        <v>1.071375</v>
      </c>
      <c r="M919" s="15">
        <f t="shared" si="153"/>
        <v>1.071375</v>
      </c>
      <c r="N919" s="5" t="s">
        <v>347</v>
      </c>
      <c r="O919" s="5" t="s">
        <v>347</v>
      </c>
      <c r="P919" s="16">
        <v>0</v>
      </c>
      <c r="Q919" s="16">
        <v>0</v>
      </c>
      <c r="R919" s="5" t="str">
        <f t="shared" si="146"/>
        <v>241-2024-10-31</v>
      </c>
    </row>
    <row r="920" spans="1:18" x14ac:dyDescent="0.3">
      <c r="A920" s="26">
        <v>241</v>
      </c>
      <c r="B920" s="5" t="s">
        <v>119</v>
      </c>
      <c r="C920" s="5" t="s">
        <v>117</v>
      </c>
      <c r="D920" s="5" t="s">
        <v>18</v>
      </c>
      <c r="E920" s="5" t="s">
        <v>9</v>
      </c>
      <c r="F920" s="6">
        <v>45626</v>
      </c>
      <c r="G920" s="5">
        <f t="shared" si="148"/>
        <v>2024</v>
      </c>
      <c r="H920" s="5" t="str">
        <f t="shared" si="149"/>
        <v>Noviembre</v>
      </c>
      <c r="I920" s="6" t="str">
        <f t="shared" si="145"/>
        <v>2024-2</v>
      </c>
      <c r="J920" s="5">
        <v>80</v>
      </c>
      <c r="K920" s="10">
        <v>100</v>
      </c>
      <c r="L920" s="15">
        <f t="shared" si="152"/>
        <v>1.25</v>
      </c>
      <c r="M920" s="15">
        <f t="shared" si="153"/>
        <v>1.25</v>
      </c>
      <c r="N920" s="5" t="s">
        <v>347</v>
      </c>
      <c r="O920" s="5" t="s">
        <v>347</v>
      </c>
      <c r="P920" s="16">
        <v>0</v>
      </c>
      <c r="Q920" s="16">
        <v>0</v>
      </c>
      <c r="R920" s="5" t="str">
        <f t="shared" si="146"/>
        <v>241-2024-11-30</v>
      </c>
    </row>
    <row r="921" spans="1:18" x14ac:dyDescent="0.3">
      <c r="A921" s="26">
        <v>241</v>
      </c>
      <c r="B921" s="5" t="s">
        <v>119</v>
      </c>
      <c r="C921" s="5" t="s">
        <v>117</v>
      </c>
      <c r="D921" s="5" t="s">
        <v>18</v>
      </c>
      <c r="E921" s="5" t="s">
        <v>9</v>
      </c>
      <c r="F921" s="6">
        <v>45657</v>
      </c>
      <c r="G921" s="5">
        <f t="shared" si="148"/>
        <v>2024</v>
      </c>
      <c r="H921" s="5" t="str">
        <f t="shared" si="149"/>
        <v>Diciembre</v>
      </c>
      <c r="I921" s="6" t="str">
        <f t="shared" si="145"/>
        <v>2024-2</v>
      </c>
      <c r="J921" s="5">
        <v>80</v>
      </c>
      <c r="K921" s="10">
        <v>100</v>
      </c>
      <c r="L921" s="15">
        <f t="shared" si="152"/>
        <v>1.25</v>
      </c>
      <c r="M921" s="15">
        <f t="shared" si="153"/>
        <v>1.25</v>
      </c>
      <c r="N921" s="5" t="s">
        <v>347</v>
      </c>
      <c r="O921" s="5" t="s">
        <v>347</v>
      </c>
      <c r="P921" s="16">
        <v>0</v>
      </c>
      <c r="Q921" s="16">
        <v>0</v>
      </c>
      <c r="R921" s="5" t="str">
        <f t="shared" si="146"/>
        <v>241-2024-12-31</v>
      </c>
    </row>
    <row r="922" spans="1:18" x14ac:dyDescent="0.3">
      <c r="A922" s="26">
        <v>242</v>
      </c>
      <c r="B922" s="5" t="s">
        <v>765</v>
      </c>
      <c r="C922" s="5" t="s">
        <v>117</v>
      </c>
      <c r="D922" s="5" t="s">
        <v>18</v>
      </c>
      <c r="E922" s="5" t="s">
        <v>9</v>
      </c>
      <c r="F922" s="6">
        <v>44957</v>
      </c>
      <c r="G922" s="5">
        <f t="shared" si="148"/>
        <v>2023</v>
      </c>
      <c r="H922" s="5" t="str">
        <f t="shared" si="149"/>
        <v>Enero</v>
      </c>
      <c r="I922" s="6" t="str">
        <f t="shared" si="145"/>
        <v>2023-1</v>
      </c>
      <c r="J922" s="5">
        <v>95</v>
      </c>
      <c r="K922" s="9">
        <v>100.966183574879</v>
      </c>
      <c r="L922" s="22">
        <f t="shared" ref="L922:L931" si="154">IFERROR(K922/J922,"")</f>
        <v>1.0628019323671474</v>
      </c>
      <c r="M922" s="15">
        <f t="shared" si="153"/>
        <v>1.0628019323671474</v>
      </c>
      <c r="N922" s="5" t="s">
        <v>347</v>
      </c>
      <c r="O922" s="11" t="s">
        <v>347</v>
      </c>
      <c r="P922" s="16">
        <v>0</v>
      </c>
      <c r="Q922" s="16">
        <v>0</v>
      </c>
      <c r="R922" s="5" t="str">
        <f t="shared" si="146"/>
        <v>242-2023-01-31</v>
      </c>
    </row>
    <row r="923" spans="1:18" x14ac:dyDescent="0.3">
      <c r="A923" s="26">
        <v>242</v>
      </c>
      <c r="B923" s="5" t="s">
        <v>765</v>
      </c>
      <c r="C923" s="5" t="s">
        <v>117</v>
      </c>
      <c r="D923" s="5" t="s">
        <v>18</v>
      </c>
      <c r="E923" s="5" t="s">
        <v>9</v>
      </c>
      <c r="F923" s="17">
        <v>44985</v>
      </c>
      <c r="G923" s="5">
        <f t="shared" si="148"/>
        <v>2023</v>
      </c>
      <c r="H923" s="5" t="str">
        <f t="shared" si="149"/>
        <v>Febrero</v>
      </c>
      <c r="I923" s="6" t="str">
        <f t="shared" si="145"/>
        <v>2023-1</v>
      </c>
      <c r="J923" s="5">
        <v>95</v>
      </c>
      <c r="K923" s="9">
        <v>88.275862068965495</v>
      </c>
      <c r="L923" s="22">
        <f t="shared" si="154"/>
        <v>0.92921960072595255</v>
      </c>
      <c r="M923" s="15">
        <f t="shared" si="153"/>
        <v>0.92921960072595255</v>
      </c>
      <c r="N923" s="5" t="s">
        <v>347</v>
      </c>
      <c r="O923" s="11" t="s">
        <v>347</v>
      </c>
      <c r="P923" s="16">
        <v>0</v>
      </c>
      <c r="Q923" s="16">
        <v>0</v>
      </c>
      <c r="R923" s="5" t="str">
        <f t="shared" si="146"/>
        <v>242-2023-02-28</v>
      </c>
    </row>
    <row r="924" spans="1:18" x14ac:dyDescent="0.3">
      <c r="A924" s="26">
        <v>242</v>
      </c>
      <c r="B924" s="5" t="s">
        <v>765</v>
      </c>
      <c r="C924" s="5" t="s">
        <v>117</v>
      </c>
      <c r="D924" s="5" t="s">
        <v>18</v>
      </c>
      <c r="E924" s="5" t="s">
        <v>9</v>
      </c>
      <c r="F924" s="6">
        <v>45016</v>
      </c>
      <c r="G924" s="5">
        <f t="shared" si="148"/>
        <v>2023</v>
      </c>
      <c r="H924" s="5" t="str">
        <f t="shared" si="149"/>
        <v>Marzo</v>
      </c>
      <c r="I924" s="6" t="str">
        <f t="shared" si="145"/>
        <v>2023-1</v>
      </c>
      <c r="J924" s="5">
        <v>95</v>
      </c>
      <c r="K924" s="9">
        <v>112.671232876712</v>
      </c>
      <c r="L924" s="22">
        <f t="shared" si="154"/>
        <v>1.1860129776496</v>
      </c>
      <c r="M924" s="15">
        <f t="shared" si="153"/>
        <v>1.1860129776496</v>
      </c>
      <c r="N924" s="5" t="s">
        <v>347</v>
      </c>
      <c r="O924" s="11" t="s">
        <v>347</v>
      </c>
      <c r="P924" s="16">
        <v>0</v>
      </c>
      <c r="Q924" s="16">
        <v>0</v>
      </c>
      <c r="R924" s="5" t="str">
        <f t="shared" si="146"/>
        <v>242-2023-03-31</v>
      </c>
    </row>
    <row r="925" spans="1:18" x14ac:dyDescent="0.3">
      <c r="A925" s="26">
        <v>242</v>
      </c>
      <c r="B925" s="5" t="s">
        <v>765</v>
      </c>
      <c r="C925" s="5" t="s">
        <v>117</v>
      </c>
      <c r="D925" s="5" t="s">
        <v>18</v>
      </c>
      <c r="E925" s="5" t="s">
        <v>9</v>
      </c>
      <c r="F925" s="6">
        <v>45046</v>
      </c>
      <c r="G925" s="5">
        <f t="shared" si="148"/>
        <v>2023</v>
      </c>
      <c r="H925" s="5" t="str">
        <f t="shared" si="149"/>
        <v>Abril</v>
      </c>
      <c r="I925" s="6" t="str">
        <f t="shared" si="145"/>
        <v>2023-1</v>
      </c>
      <c r="J925" s="5">
        <v>95</v>
      </c>
      <c r="K925" s="9">
        <v>94.904458598726094</v>
      </c>
      <c r="L925" s="22">
        <f t="shared" si="154"/>
        <v>0.99899430103922204</v>
      </c>
      <c r="M925" s="15">
        <f t="shared" si="153"/>
        <v>0.99899430103922204</v>
      </c>
      <c r="N925" s="5" t="s">
        <v>347</v>
      </c>
      <c r="O925" s="11" t="s">
        <v>347</v>
      </c>
      <c r="P925" s="16">
        <v>0</v>
      </c>
      <c r="Q925" s="16">
        <v>0</v>
      </c>
      <c r="R925" s="5" t="str">
        <f t="shared" si="146"/>
        <v>242-2023-04-30</v>
      </c>
    </row>
    <row r="926" spans="1:18" x14ac:dyDescent="0.3">
      <c r="A926" s="26">
        <v>242</v>
      </c>
      <c r="B926" s="5" t="s">
        <v>765</v>
      </c>
      <c r="C926" s="5" t="s">
        <v>117</v>
      </c>
      <c r="D926" s="5" t="s">
        <v>18</v>
      </c>
      <c r="E926" s="5" t="s">
        <v>9</v>
      </c>
      <c r="F926" s="6">
        <v>45077</v>
      </c>
      <c r="G926" s="5">
        <f t="shared" si="148"/>
        <v>2023</v>
      </c>
      <c r="H926" s="5" t="str">
        <f t="shared" si="149"/>
        <v>Mayo</v>
      </c>
      <c r="I926" s="6" t="str">
        <f t="shared" si="145"/>
        <v>2023-1</v>
      </c>
      <c r="J926" s="5">
        <v>95</v>
      </c>
      <c r="K926" s="9">
        <v>94.391025641025607</v>
      </c>
      <c r="L926" s="22">
        <f t="shared" si="154"/>
        <v>0.99358974358974328</v>
      </c>
      <c r="M926" s="15">
        <f t="shared" si="153"/>
        <v>0.99358974358974328</v>
      </c>
      <c r="N926" s="5" t="s">
        <v>347</v>
      </c>
      <c r="O926" s="11" t="s">
        <v>347</v>
      </c>
      <c r="P926" s="16">
        <v>0</v>
      </c>
      <c r="Q926" s="16">
        <v>0</v>
      </c>
      <c r="R926" s="5" t="str">
        <f t="shared" si="146"/>
        <v>242-2023-05-31</v>
      </c>
    </row>
    <row r="927" spans="1:18" x14ac:dyDescent="0.3">
      <c r="A927" s="26">
        <v>242</v>
      </c>
      <c r="B927" s="5" t="s">
        <v>765</v>
      </c>
      <c r="C927" s="5" t="s">
        <v>117</v>
      </c>
      <c r="D927" s="5" t="s">
        <v>18</v>
      </c>
      <c r="E927" s="5" t="s">
        <v>9</v>
      </c>
      <c r="F927" s="6">
        <v>45107</v>
      </c>
      <c r="G927" s="5">
        <f t="shared" si="148"/>
        <v>2023</v>
      </c>
      <c r="H927" s="5" t="str">
        <f t="shared" si="149"/>
        <v>Junio</v>
      </c>
      <c r="I927" s="6" t="str">
        <f t="shared" si="145"/>
        <v>2023-1</v>
      </c>
      <c r="J927" s="5">
        <v>95</v>
      </c>
      <c r="K927" s="9">
        <v>94.854881266490807</v>
      </c>
      <c r="L927" s="24">
        <f t="shared" si="154"/>
        <v>0.99847243438411371</v>
      </c>
      <c r="M927" s="15">
        <f t="shared" si="153"/>
        <v>0.99847243438411371</v>
      </c>
      <c r="N927" s="5" t="s">
        <v>347</v>
      </c>
      <c r="O927" s="11" t="s">
        <v>347</v>
      </c>
      <c r="P927" s="16">
        <v>0</v>
      </c>
      <c r="Q927" s="16">
        <v>0</v>
      </c>
      <c r="R927" s="5" t="str">
        <f t="shared" si="146"/>
        <v>242-2023-06-30</v>
      </c>
    </row>
    <row r="928" spans="1:18" x14ac:dyDescent="0.3">
      <c r="A928" s="26">
        <v>242</v>
      </c>
      <c r="B928" s="5" t="s">
        <v>765</v>
      </c>
      <c r="C928" s="5" t="s">
        <v>117</v>
      </c>
      <c r="D928" s="5" t="s">
        <v>18</v>
      </c>
      <c r="E928" s="5" t="s">
        <v>9</v>
      </c>
      <c r="F928" s="6">
        <v>45138</v>
      </c>
      <c r="G928" s="5">
        <f t="shared" si="148"/>
        <v>2023</v>
      </c>
      <c r="H928" s="5" t="str">
        <f t="shared" si="149"/>
        <v>Julio</v>
      </c>
      <c r="I928" s="6" t="str">
        <f t="shared" si="145"/>
        <v>2023-2</v>
      </c>
      <c r="J928" s="5">
        <v>95</v>
      </c>
      <c r="K928" s="9">
        <v>91.89</v>
      </c>
      <c r="L928" s="24">
        <f t="shared" si="154"/>
        <v>0.96726315789473682</v>
      </c>
      <c r="M928" s="15">
        <f t="shared" si="153"/>
        <v>0.96726315789473682</v>
      </c>
      <c r="N928" s="5" t="s">
        <v>347</v>
      </c>
      <c r="O928" s="11" t="s">
        <v>347</v>
      </c>
      <c r="P928" s="16">
        <v>0</v>
      </c>
      <c r="Q928" s="16">
        <v>0</v>
      </c>
      <c r="R928" s="5" t="str">
        <f t="shared" si="146"/>
        <v>242-2023-07-31</v>
      </c>
    </row>
    <row r="929" spans="1:18" x14ac:dyDescent="0.3">
      <c r="A929" s="26">
        <v>242</v>
      </c>
      <c r="B929" s="5" t="s">
        <v>765</v>
      </c>
      <c r="C929" s="5" t="s">
        <v>117</v>
      </c>
      <c r="D929" s="5" t="s">
        <v>18</v>
      </c>
      <c r="E929" s="5" t="s">
        <v>9</v>
      </c>
      <c r="F929" s="6">
        <v>45169</v>
      </c>
      <c r="G929" s="5">
        <f t="shared" si="148"/>
        <v>2023</v>
      </c>
      <c r="H929" s="5" t="str">
        <f t="shared" si="149"/>
        <v>Agosto</v>
      </c>
      <c r="I929" s="6" t="str">
        <f t="shared" si="145"/>
        <v>2023-2</v>
      </c>
      <c r="J929" s="5">
        <v>95</v>
      </c>
      <c r="K929" s="9">
        <v>95.49</v>
      </c>
      <c r="L929" s="24">
        <f t="shared" si="154"/>
        <v>1.005157894736842</v>
      </c>
      <c r="M929" s="15">
        <f t="shared" si="153"/>
        <v>1.005157894736842</v>
      </c>
      <c r="N929" s="5" t="s">
        <v>347</v>
      </c>
      <c r="O929" s="11" t="s">
        <v>347</v>
      </c>
      <c r="P929" s="16">
        <v>0</v>
      </c>
      <c r="Q929" s="16">
        <v>0</v>
      </c>
      <c r="R929" s="5" t="str">
        <f t="shared" si="146"/>
        <v>242-2023-08-31</v>
      </c>
    </row>
    <row r="930" spans="1:18" x14ac:dyDescent="0.3">
      <c r="A930" s="26">
        <v>242</v>
      </c>
      <c r="B930" s="5" t="s">
        <v>765</v>
      </c>
      <c r="C930" s="5" t="s">
        <v>117</v>
      </c>
      <c r="D930" s="5" t="s">
        <v>18</v>
      </c>
      <c r="E930" s="5" t="s">
        <v>9</v>
      </c>
      <c r="F930" s="6">
        <v>45199</v>
      </c>
      <c r="G930" s="5">
        <f t="shared" si="148"/>
        <v>2023</v>
      </c>
      <c r="H930" s="5" t="str">
        <f t="shared" si="149"/>
        <v>Septiembre</v>
      </c>
      <c r="I930" s="6" t="str">
        <f t="shared" si="145"/>
        <v>2023-2</v>
      </c>
      <c r="J930" s="5">
        <v>95</v>
      </c>
      <c r="K930" s="9">
        <v>97.21</v>
      </c>
      <c r="L930" s="24">
        <f t="shared" si="154"/>
        <v>1.0232631578947369</v>
      </c>
      <c r="M930" s="15">
        <f t="shared" si="153"/>
        <v>1.0232631578947369</v>
      </c>
      <c r="N930" s="5" t="s">
        <v>347</v>
      </c>
      <c r="O930" s="11" t="s">
        <v>347</v>
      </c>
      <c r="P930" s="16">
        <v>0</v>
      </c>
      <c r="Q930" s="16">
        <v>0</v>
      </c>
      <c r="R930" s="5" t="str">
        <f t="shared" si="146"/>
        <v>242-2023-09-30</v>
      </c>
    </row>
    <row r="931" spans="1:18" x14ac:dyDescent="0.3">
      <c r="A931" s="39">
        <v>242</v>
      </c>
      <c r="B931" s="5" t="s">
        <v>765</v>
      </c>
      <c r="C931" s="5" t="s">
        <v>117</v>
      </c>
      <c r="D931" s="5" t="s">
        <v>18</v>
      </c>
      <c r="E931" s="5" t="s">
        <v>9</v>
      </c>
      <c r="F931" s="6">
        <v>45230</v>
      </c>
      <c r="G931" s="5">
        <f t="shared" si="148"/>
        <v>2023</v>
      </c>
      <c r="H931" s="5" t="str">
        <f t="shared" si="149"/>
        <v>Octubre</v>
      </c>
      <c r="I931" s="6" t="str">
        <f t="shared" si="145"/>
        <v>2023-2</v>
      </c>
      <c r="J931" s="5">
        <v>95</v>
      </c>
      <c r="K931" s="9">
        <v>94.14</v>
      </c>
      <c r="L931" s="22">
        <f t="shared" si="154"/>
        <v>0.99094736842105269</v>
      </c>
      <c r="M931" s="15">
        <f t="shared" si="153"/>
        <v>0.99094736842105269</v>
      </c>
      <c r="N931" s="5" t="s">
        <v>347</v>
      </c>
      <c r="O931" s="11" t="s">
        <v>347</v>
      </c>
      <c r="P931" s="16">
        <v>0</v>
      </c>
      <c r="Q931" s="16">
        <v>0</v>
      </c>
      <c r="R931" s="5" t="str">
        <f t="shared" si="146"/>
        <v>242-2023-10-31</v>
      </c>
    </row>
    <row r="932" spans="1:18" x14ac:dyDescent="0.3">
      <c r="A932" s="39">
        <v>242</v>
      </c>
      <c r="B932" s="5" t="s">
        <v>765</v>
      </c>
      <c r="C932" s="5" t="s">
        <v>117</v>
      </c>
      <c r="D932" s="5" t="s">
        <v>18</v>
      </c>
      <c r="E932" s="5" t="s">
        <v>9</v>
      </c>
      <c r="F932" s="6">
        <v>45260</v>
      </c>
      <c r="G932" s="5">
        <f t="shared" si="148"/>
        <v>2023</v>
      </c>
      <c r="H932" s="5" t="str">
        <f t="shared" si="149"/>
        <v>Noviembre</v>
      </c>
      <c r="I932" s="6" t="str">
        <f t="shared" si="145"/>
        <v>2023-2</v>
      </c>
      <c r="J932" s="5">
        <v>95</v>
      </c>
      <c r="K932" s="9">
        <v>92.75</v>
      </c>
      <c r="L932" s="22">
        <f>IFERROR(IF((K932/J932)&gt;1.3,1.3,K932/J932),"")</f>
        <v>0.97631578947368425</v>
      </c>
      <c r="M932" s="15">
        <f t="shared" si="153"/>
        <v>0.97631578947368425</v>
      </c>
      <c r="N932" s="5" t="s">
        <v>347</v>
      </c>
      <c r="O932" s="11" t="s">
        <v>347</v>
      </c>
      <c r="P932" s="16">
        <v>0</v>
      </c>
      <c r="Q932" s="16">
        <v>0</v>
      </c>
      <c r="R932" s="5" t="str">
        <f t="shared" si="146"/>
        <v>242-2023-11-30</v>
      </c>
    </row>
    <row r="933" spans="1:18" x14ac:dyDescent="0.3">
      <c r="A933" s="39">
        <v>242</v>
      </c>
      <c r="B933" s="5" t="s">
        <v>765</v>
      </c>
      <c r="C933" s="5" t="s">
        <v>117</v>
      </c>
      <c r="D933" s="5" t="s">
        <v>18</v>
      </c>
      <c r="E933" s="5" t="s">
        <v>9</v>
      </c>
      <c r="F933" s="6">
        <v>45291</v>
      </c>
      <c r="G933" s="5">
        <f t="shared" si="148"/>
        <v>2023</v>
      </c>
      <c r="H933" s="5" t="str">
        <f t="shared" si="149"/>
        <v>Diciembre</v>
      </c>
      <c r="I933" s="6" t="str">
        <f t="shared" si="145"/>
        <v>2023-2</v>
      </c>
      <c r="J933" s="5">
        <v>95</v>
      </c>
      <c r="K933" s="9">
        <v>95.36</v>
      </c>
      <c r="L933" s="22">
        <f>IFERROR(IF((K933/J933)&gt;1.3,1.3,K933/J933),"")</f>
        <v>1.0037894736842106</v>
      </c>
      <c r="M933" s="15">
        <f t="shared" si="153"/>
        <v>1.0037894736842106</v>
      </c>
      <c r="N933" s="5" t="s">
        <v>347</v>
      </c>
      <c r="O933" s="11" t="s">
        <v>347</v>
      </c>
      <c r="P933" s="16">
        <v>0</v>
      </c>
      <c r="Q933" s="16">
        <v>0</v>
      </c>
      <c r="R933" s="5" t="str">
        <f t="shared" si="146"/>
        <v>242-2023-12-31</v>
      </c>
    </row>
    <row r="934" spans="1:18" x14ac:dyDescent="0.3">
      <c r="A934" s="26">
        <v>243</v>
      </c>
      <c r="B934" s="5" t="s">
        <v>121</v>
      </c>
      <c r="C934" s="5" t="s">
        <v>117</v>
      </c>
      <c r="D934" s="5" t="s">
        <v>18</v>
      </c>
      <c r="E934" s="5" t="s">
        <v>14</v>
      </c>
      <c r="F934" s="6">
        <v>44957</v>
      </c>
      <c r="G934" s="5">
        <f t="shared" si="148"/>
        <v>2023</v>
      </c>
      <c r="H934" s="5" t="str">
        <f t="shared" si="149"/>
        <v>Enero</v>
      </c>
      <c r="I934" s="6" t="str">
        <f t="shared" si="145"/>
        <v>2023-1</v>
      </c>
      <c r="J934" s="5">
        <v>0</v>
      </c>
      <c r="K934" s="9">
        <v>0</v>
      </c>
      <c r="L934" s="8" t="str">
        <f t="shared" ref="L934:L945" si="155">IFERROR(J934/K934,"")</f>
        <v/>
      </c>
      <c r="M934" s="8" t="str">
        <f t="shared" ref="M934:M945" si="156">IFERROR(J934/K934,"")</f>
        <v/>
      </c>
      <c r="N934" s="5" t="s">
        <v>347</v>
      </c>
      <c r="O934" s="5" t="s">
        <v>347</v>
      </c>
      <c r="P934" s="16">
        <v>0</v>
      </c>
      <c r="Q934" s="16">
        <v>0</v>
      </c>
      <c r="R934" s="5" t="str">
        <f t="shared" si="146"/>
        <v>243-2023-01-31</v>
      </c>
    </row>
    <row r="935" spans="1:18" x14ac:dyDescent="0.3">
      <c r="A935" s="26">
        <v>243</v>
      </c>
      <c r="B935" s="5" t="s">
        <v>121</v>
      </c>
      <c r="C935" s="5" t="s">
        <v>117</v>
      </c>
      <c r="D935" s="5" t="s">
        <v>18</v>
      </c>
      <c r="E935" s="5" t="s">
        <v>14</v>
      </c>
      <c r="F935" s="17">
        <v>44985</v>
      </c>
      <c r="G935" s="5">
        <f t="shared" si="148"/>
        <v>2023</v>
      </c>
      <c r="H935" s="5" t="str">
        <f t="shared" si="149"/>
        <v>Febrero</v>
      </c>
      <c r="I935" s="6" t="str">
        <f t="shared" si="145"/>
        <v>2023-1</v>
      </c>
      <c r="J935" s="5">
        <v>0</v>
      </c>
      <c r="K935" s="9">
        <v>0</v>
      </c>
      <c r="L935" s="8" t="str">
        <f t="shared" si="155"/>
        <v/>
      </c>
      <c r="M935" s="8" t="str">
        <f t="shared" si="156"/>
        <v/>
      </c>
      <c r="N935" s="5" t="s">
        <v>347</v>
      </c>
      <c r="O935" s="5" t="s">
        <v>347</v>
      </c>
      <c r="P935" s="16">
        <v>0</v>
      </c>
      <c r="Q935" s="16">
        <v>0</v>
      </c>
      <c r="R935" s="5" t="str">
        <f t="shared" si="146"/>
        <v>243-2023-02-28</v>
      </c>
    </row>
    <row r="936" spans="1:18" x14ac:dyDescent="0.3">
      <c r="A936" s="26">
        <v>243</v>
      </c>
      <c r="B936" s="5" t="s">
        <v>121</v>
      </c>
      <c r="C936" s="5" t="s">
        <v>117</v>
      </c>
      <c r="D936" s="5" t="s">
        <v>18</v>
      </c>
      <c r="E936" s="5" t="s">
        <v>14</v>
      </c>
      <c r="F936" s="6">
        <v>45016</v>
      </c>
      <c r="G936" s="5">
        <f t="shared" si="148"/>
        <v>2023</v>
      </c>
      <c r="H936" s="5" t="str">
        <f t="shared" si="149"/>
        <v>Marzo</v>
      </c>
      <c r="I936" s="6" t="str">
        <f t="shared" si="145"/>
        <v>2023-1</v>
      </c>
      <c r="J936" s="5">
        <v>0</v>
      </c>
      <c r="K936" s="9">
        <v>0</v>
      </c>
      <c r="L936" s="8" t="str">
        <f t="shared" si="155"/>
        <v/>
      </c>
      <c r="M936" s="8" t="str">
        <f t="shared" si="156"/>
        <v/>
      </c>
      <c r="N936" s="5" t="s">
        <v>347</v>
      </c>
      <c r="O936" s="5" t="s">
        <v>347</v>
      </c>
      <c r="P936" s="16">
        <v>0</v>
      </c>
      <c r="Q936" s="16">
        <v>0</v>
      </c>
      <c r="R936" s="5" t="str">
        <f t="shared" si="146"/>
        <v>243-2023-03-31</v>
      </c>
    </row>
    <row r="937" spans="1:18" x14ac:dyDescent="0.3">
      <c r="A937" s="26">
        <v>243</v>
      </c>
      <c r="B937" s="5" t="s">
        <v>121</v>
      </c>
      <c r="C937" s="5" t="s">
        <v>117</v>
      </c>
      <c r="D937" s="5" t="s">
        <v>18</v>
      </c>
      <c r="E937" s="5" t="s">
        <v>14</v>
      </c>
      <c r="F937" s="6">
        <v>45046</v>
      </c>
      <c r="G937" s="5">
        <f t="shared" si="148"/>
        <v>2023</v>
      </c>
      <c r="H937" s="5" t="str">
        <f t="shared" si="149"/>
        <v>Abril</v>
      </c>
      <c r="I937" s="6" t="str">
        <f t="shared" si="145"/>
        <v>2023-1</v>
      </c>
      <c r="J937" s="5">
        <v>0</v>
      </c>
      <c r="K937" s="9">
        <v>0</v>
      </c>
      <c r="L937" s="8" t="str">
        <f t="shared" si="155"/>
        <v/>
      </c>
      <c r="M937" s="8" t="str">
        <f t="shared" si="156"/>
        <v/>
      </c>
      <c r="N937" s="5" t="s">
        <v>347</v>
      </c>
      <c r="O937" s="5" t="s">
        <v>347</v>
      </c>
      <c r="P937" s="16">
        <v>0</v>
      </c>
      <c r="Q937" s="16">
        <v>0</v>
      </c>
      <c r="R937" s="5" t="str">
        <f t="shared" si="146"/>
        <v>243-2023-04-30</v>
      </c>
    </row>
    <row r="938" spans="1:18" x14ac:dyDescent="0.3">
      <c r="A938" s="26">
        <v>243</v>
      </c>
      <c r="B938" s="5" t="s">
        <v>121</v>
      </c>
      <c r="C938" s="5" t="s">
        <v>117</v>
      </c>
      <c r="D938" s="5" t="s">
        <v>18</v>
      </c>
      <c r="E938" s="5" t="s">
        <v>14</v>
      </c>
      <c r="F938" s="6">
        <v>45077</v>
      </c>
      <c r="G938" s="5">
        <f t="shared" si="148"/>
        <v>2023</v>
      </c>
      <c r="H938" s="5" t="str">
        <f t="shared" si="149"/>
        <v>Mayo</v>
      </c>
      <c r="I938" s="6" t="str">
        <f t="shared" si="145"/>
        <v>2023-1</v>
      </c>
      <c r="J938" s="5">
        <v>0</v>
      </c>
      <c r="K938" s="9">
        <v>0</v>
      </c>
      <c r="L938" s="8" t="str">
        <f t="shared" si="155"/>
        <v/>
      </c>
      <c r="M938" s="8" t="str">
        <f t="shared" si="156"/>
        <v/>
      </c>
      <c r="N938" s="5" t="s">
        <v>347</v>
      </c>
      <c r="O938" s="5" t="s">
        <v>347</v>
      </c>
      <c r="P938" s="16">
        <v>0</v>
      </c>
      <c r="Q938" s="16">
        <v>0</v>
      </c>
      <c r="R938" s="5" t="str">
        <f t="shared" si="146"/>
        <v>243-2023-05-31</v>
      </c>
    </row>
    <row r="939" spans="1:18" x14ac:dyDescent="0.3">
      <c r="A939" s="26">
        <v>243</v>
      </c>
      <c r="B939" s="5" t="s">
        <v>121</v>
      </c>
      <c r="C939" s="5" t="s">
        <v>117</v>
      </c>
      <c r="D939" s="5" t="s">
        <v>18</v>
      </c>
      <c r="E939" s="5" t="s">
        <v>14</v>
      </c>
      <c r="F939" s="6">
        <v>45107</v>
      </c>
      <c r="G939" s="5">
        <f t="shared" si="148"/>
        <v>2023</v>
      </c>
      <c r="H939" s="5" t="str">
        <f t="shared" si="149"/>
        <v>Junio</v>
      </c>
      <c r="I939" s="6" t="str">
        <f t="shared" si="145"/>
        <v>2023-1</v>
      </c>
      <c r="J939" s="5">
        <v>0</v>
      </c>
      <c r="K939" s="9">
        <v>8.3333333333333304</v>
      </c>
      <c r="L939" s="8">
        <f t="shared" si="155"/>
        <v>0</v>
      </c>
      <c r="M939" s="8">
        <f t="shared" si="156"/>
        <v>0</v>
      </c>
      <c r="N939" s="5" t="s">
        <v>347</v>
      </c>
      <c r="O939" s="5" t="s">
        <v>347</v>
      </c>
      <c r="P939" s="16">
        <v>0</v>
      </c>
      <c r="Q939" s="16">
        <v>0</v>
      </c>
      <c r="R939" s="5" t="str">
        <f t="shared" si="146"/>
        <v>243-2023-06-30</v>
      </c>
    </row>
    <row r="940" spans="1:18" x14ac:dyDescent="0.3">
      <c r="A940" s="26">
        <v>243</v>
      </c>
      <c r="B940" s="5" t="s">
        <v>121</v>
      </c>
      <c r="C940" s="5" t="s">
        <v>117</v>
      </c>
      <c r="D940" s="5" t="s">
        <v>18</v>
      </c>
      <c r="E940" s="5" t="s">
        <v>14</v>
      </c>
      <c r="F940" s="6">
        <v>45138</v>
      </c>
      <c r="G940" s="5">
        <f t="shared" si="148"/>
        <v>2023</v>
      </c>
      <c r="H940" s="5" t="str">
        <f t="shared" si="149"/>
        <v>Julio</v>
      </c>
      <c r="I940" s="6" t="str">
        <f t="shared" si="145"/>
        <v>2023-2</v>
      </c>
      <c r="J940" s="5">
        <v>0</v>
      </c>
      <c r="K940" s="9">
        <v>16.666666666666998</v>
      </c>
      <c r="L940" s="8">
        <f t="shared" si="155"/>
        <v>0</v>
      </c>
      <c r="M940" s="8">
        <f t="shared" si="156"/>
        <v>0</v>
      </c>
      <c r="N940" s="5" t="s">
        <v>347</v>
      </c>
      <c r="O940" s="5" t="s">
        <v>347</v>
      </c>
      <c r="P940" s="16">
        <v>0</v>
      </c>
      <c r="Q940" s="16">
        <v>0</v>
      </c>
      <c r="R940" s="5" t="str">
        <f t="shared" si="146"/>
        <v>243-2023-07-31</v>
      </c>
    </row>
    <row r="941" spans="1:18" x14ac:dyDescent="0.3">
      <c r="A941" s="26">
        <v>243</v>
      </c>
      <c r="B941" s="5" t="s">
        <v>121</v>
      </c>
      <c r="C941" s="5" t="s">
        <v>117</v>
      </c>
      <c r="D941" s="5" t="s">
        <v>18</v>
      </c>
      <c r="E941" s="5" t="s">
        <v>14</v>
      </c>
      <c r="F941" s="6">
        <v>45169</v>
      </c>
      <c r="G941" s="5">
        <f t="shared" si="148"/>
        <v>2023</v>
      </c>
      <c r="H941" s="5" t="str">
        <f t="shared" si="149"/>
        <v>Agosto</v>
      </c>
      <c r="I941" s="6" t="str">
        <f t="shared" si="145"/>
        <v>2023-2</v>
      </c>
      <c r="J941" s="5">
        <v>0</v>
      </c>
      <c r="K941" s="9">
        <v>9.09</v>
      </c>
      <c r="L941" s="8">
        <f t="shared" si="155"/>
        <v>0</v>
      </c>
      <c r="M941" s="8">
        <f t="shared" si="156"/>
        <v>0</v>
      </c>
      <c r="N941" s="5" t="s">
        <v>347</v>
      </c>
      <c r="O941" s="5" t="s">
        <v>347</v>
      </c>
      <c r="P941" s="16">
        <v>1</v>
      </c>
      <c r="Q941" s="16">
        <v>1</v>
      </c>
      <c r="R941" s="5" t="str">
        <f t="shared" si="146"/>
        <v>243-2023-08-31</v>
      </c>
    </row>
    <row r="942" spans="1:18" x14ac:dyDescent="0.3">
      <c r="A942" s="26">
        <v>243</v>
      </c>
      <c r="B942" s="5" t="s">
        <v>121</v>
      </c>
      <c r="C942" s="5" t="s">
        <v>117</v>
      </c>
      <c r="D942" s="5" t="s">
        <v>18</v>
      </c>
      <c r="E942" s="5" t="s">
        <v>14</v>
      </c>
      <c r="F942" s="6">
        <v>45199</v>
      </c>
      <c r="G942" s="5">
        <f t="shared" si="148"/>
        <v>2023</v>
      </c>
      <c r="H942" s="5" t="str">
        <f t="shared" si="149"/>
        <v>Septiembre</v>
      </c>
      <c r="I942" s="6" t="str">
        <f t="shared" si="145"/>
        <v>2023-2</v>
      </c>
      <c r="J942" s="5">
        <v>0</v>
      </c>
      <c r="K942" s="9">
        <v>0</v>
      </c>
      <c r="L942" s="8" t="str">
        <f t="shared" si="155"/>
        <v/>
      </c>
      <c r="M942" s="8" t="str">
        <f t="shared" si="156"/>
        <v/>
      </c>
      <c r="N942" s="5" t="s">
        <v>347</v>
      </c>
      <c r="O942" s="5" t="s">
        <v>347</v>
      </c>
      <c r="P942" s="16">
        <v>0</v>
      </c>
      <c r="Q942" s="16">
        <v>0</v>
      </c>
      <c r="R942" s="5" t="str">
        <f t="shared" si="146"/>
        <v>243-2023-09-30</v>
      </c>
    </row>
    <row r="943" spans="1:18" x14ac:dyDescent="0.3">
      <c r="A943" s="39">
        <v>243</v>
      </c>
      <c r="B943" s="5" t="s">
        <v>121</v>
      </c>
      <c r="C943" s="5" t="s">
        <v>117</v>
      </c>
      <c r="D943" s="5" t="s">
        <v>18</v>
      </c>
      <c r="E943" s="5" t="s">
        <v>14</v>
      </c>
      <c r="F943" s="6">
        <v>45230</v>
      </c>
      <c r="G943" s="5">
        <f t="shared" si="148"/>
        <v>2023</v>
      </c>
      <c r="H943" s="5" t="str">
        <f t="shared" si="149"/>
        <v>Octubre</v>
      </c>
      <c r="I943" s="6" t="str">
        <f t="shared" si="145"/>
        <v>2023-2</v>
      </c>
      <c r="J943" s="5">
        <v>0</v>
      </c>
      <c r="K943" s="9">
        <v>11.11</v>
      </c>
      <c r="L943" s="8">
        <f t="shared" si="155"/>
        <v>0</v>
      </c>
      <c r="M943" s="8">
        <f t="shared" si="156"/>
        <v>0</v>
      </c>
      <c r="N943" s="5" t="s">
        <v>347</v>
      </c>
      <c r="O943" s="5" t="s">
        <v>347</v>
      </c>
      <c r="P943" s="16">
        <v>0</v>
      </c>
      <c r="Q943" s="16">
        <v>0</v>
      </c>
      <c r="R943" s="5" t="str">
        <f t="shared" si="146"/>
        <v>243-2023-10-31</v>
      </c>
    </row>
    <row r="944" spans="1:18" x14ac:dyDescent="0.3">
      <c r="A944" s="39">
        <v>243</v>
      </c>
      <c r="B944" s="5" t="s">
        <v>121</v>
      </c>
      <c r="C944" s="5" t="s">
        <v>117</v>
      </c>
      <c r="D944" s="5" t="s">
        <v>18</v>
      </c>
      <c r="E944" s="5" t="s">
        <v>14</v>
      </c>
      <c r="F944" s="6">
        <v>45260</v>
      </c>
      <c r="G944" s="5">
        <f t="shared" si="148"/>
        <v>2023</v>
      </c>
      <c r="H944" s="5" t="str">
        <f t="shared" si="149"/>
        <v>Noviembre</v>
      </c>
      <c r="I944" s="6" t="str">
        <f t="shared" si="145"/>
        <v>2023-2</v>
      </c>
      <c r="J944" s="5">
        <v>0</v>
      </c>
      <c r="K944" s="9">
        <v>0</v>
      </c>
      <c r="L944" s="8" t="str">
        <f t="shared" si="155"/>
        <v/>
      </c>
      <c r="M944" s="8" t="str">
        <f t="shared" si="156"/>
        <v/>
      </c>
      <c r="N944" s="5" t="s">
        <v>347</v>
      </c>
      <c r="O944" s="5" t="s">
        <v>347</v>
      </c>
      <c r="P944" s="16">
        <v>0</v>
      </c>
      <c r="Q944" s="16">
        <v>0</v>
      </c>
      <c r="R944" s="5" t="str">
        <f t="shared" si="146"/>
        <v>243-2023-11-30</v>
      </c>
    </row>
    <row r="945" spans="1:18" x14ac:dyDescent="0.3">
      <c r="A945" s="39">
        <v>243</v>
      </c>
      <c r="B945" s="5" t="s">
        <v>121</v>
      </c>
      <c r="C945" s="5" t="s">
        <v>117</v>
      </c>
      <c r="D945" s="5" t="s">
        <v>18</v>
      </c>
      <c r="E945" s="5" t="s">
        <v>14</v>
      </c>
      <c r="F945" s="6">
        <v>45291</v>
      </c>
      <c r="G945" s="5">
        <f t="shared" si="148"/>
        <v>2023</v>
      </c>
      <c r="H945" s="5" t="str">
        <f t="shared" si="149"/>
        <v>Diciembre</v>
      </c>
      <c r="I945" s="6" t="str">
        <f t="shared" si="145"/>
        <v>2023-2</v>
      </c>
      <c r="J945" s="5">
        <v>0</v>
      </c>
      <c r="K945" s="9">
        <v>14.29</v>
      </c>
      <c r="L945" s="8">
        <f t="shared" si="155"/>
        <v>0</v>
      </c>
      <c r="M945" s="8">
        <f t="shared" si="156"/>
        <v>0</v>
      </c>
      <c r="N945" s="5" t="s">
        <v>347</v>
      </c>
      <c r="O945" s="5" t="s">
        <v>347</v>
      </c>
      <c r="P945" s="16">
        <v>0</v>
      </c>
      <c r="Q945" s="16">
        <v>0</v>
      </c>
      <c r="R945" s="5" t="str">
        <f t="shared" si="146"/>
        <v>243-2023-12-31</v>
      </c>
    </row>
    <row r="946" spans="1:18" x14ac:dyDescent="0.3">
      <c r="A946" s="5">
        <v>243</v>
      </c>
      <c r="B946" s="5" t="s">
        <v>121</v>
      </c>
      <c r="C946" s="5" t="s">
        <v>117</v>
      </c>
      <c r="D946" s="5" t="s">
        <v>18</v>
      </c>
      <c r="E946" s="5" t="s">
        <v>14</v>
      </c>
      <c r="F946" s="6">
        <v>45473</v>
      </c>
      <c r="G946" s="5">
        <f t="shared" si="148"/>
        <v>2024</v>
      </c>
      <c r="H946" s="5" t="str">
        <f t="shared" si="149"/>
        <v>Junio</v>
      </c>
      <c r="I946" s="6" t="str">
        <f t="shared" si="145"/>
        <v>2024-1</v>
      </c>
      <c r="J946" s="5">
        <v>20</v>
      </c>
      <c r="K946" s="5">
        <v>14.29</v>
      </c>
      <c r="L946" s="15">
        <v>0.71449999999999991</v>
      </c>
      <c r="M946" s="15">
        <v>0.71449999999999991</v>
      </c>
      <c r="N946" s="5" t="s">
        <v>347</v>
      </c>
      <c r="O946" s="5" t="s">
        <v>347</v>
      </c>
      <c r="P946" s="5">
        <v>0</v>
      </c>
      <c r="Q946" s="5">
        <v>0</v>
      </c>
      <c r="R946" s="5" t="str">
        <f t="shared" si="146"/>
        <v>243-2024-06-30</v>
      </c>
    </row>
    <row r="947" spans="1:18" x14ac:dyDescent="0.3">
      <c r="A947" s="26">
        <v>244</v>
      </c>
      <c r="B947" s="5" t="s">
        <v>122</v>
      </c>
      <c r="C947" s="5" t="s">
        <v>90</v>
      </c>
      <c r="D947" s="5" t="s">
        <v>25</v>
      </c>
      <c r="E947" s="5" t="s">
        <v>14</v>
      </c>
      <c r="F947" s="6">
        <v>45657</v>
      </c>
      <c r="G947" s="5">
        <f t="shared" si="148"/>
        <v>2024</v>
      </c>
      <c r="H947" s="5" t="str">
        <f t="shared" si="149"/>
        <v>Diciembre</v>
      </c>
      <c r="I947" s="6" t="str">
        <f t="shared" si="145"/>
        <v>2024-2</v>
      </c>
      <c r="J947" s="5">
        <v>25</v>
      </c>
      <c r="K947" s="10">
        <v>25</v>
      </c>
      <c r="L947" s="15">
        <f>IFERROR(IF((K947/J947)&gt;1.3,1.3,K947/J947),"")</f>
        <v>1</v>
      </c>
      <c r="M947" s="15">
        <f>IFERROR(IF((K947/J947)&gt;K947/J947,1.3,K947/J947),"")</f>
        <v>1</v>
      </c>
      <c r="N947" s="5"/>
      <c r="O947" s="5"/>
      <c r="P947" s="16">
        <v>0</v>
      </c>
      <c r="Q947" s="16">
        <v>0</v>
      </c>
      <c r="R947" s="5" t="str">
        <f t="shared" si="146"/>
        <v>244-2024-12-31</v>
      </c>
    </row>
    <row r="948" spans="1:18" x14ac:dyDescent="0.3">
      <c r="A948" s="5">
        <v>245</v>
      </c>
      <c r="B948" s="5" t="s">
        <v>123</v>
      </c>
      <c r="C948" s="5" t="s">
        <v>124</v>
      </c>
      <c r="D948" s="5" t="s">
        <v>8</v>
      </c>
      <c r="E948" s="5" t="s">
        <v>9</v>
      </c>
      <c r="F948" s="17">
        <v>44742</v>
      </c>
      <c r="G948" s="5">
        <f t="shared" si="148"/>
        <v>2022</v>
      </c>
      <c r="H948" s="5" t="str">
        <f t="shared" si="149"/>
        <v>Junio</v>
      </c>
      <c r="I948" s="6" t="str">
        <f t="shared" si="145"/>
        <v>2022-1</v>
      </c>
      <c r="J948" s="5">
        <v>88.5</v>
      </c>
      <c r="K948" s="9">
        <v>87</v>
      </c>
      <c r="L948" s="15">
        <v>0.98305084745762716</v>
      </c>
      <c r="M948" s="15">
        <v>0.98305084745762716</v>
      </c>
      <c r="N948" s="5" t="s">
        <v>347</v>
      </c>
      <c r="O948" s="5" t="s">
        <v>347</v>
      </c>
      <c r="P948" s="5">
        <v>0</v>
      </c>
      <c r="Q948" s="5">
        <v>0</v>
      </c>
      <c r="R948" s="5" t="str">
        <f t="shared" si="146"/>
        <v>245-2022-06-30</v>
      </c>
    </row>
    <row r="949" spans="1:18" x14ac:dyDescent="0.3">
      <c r="A949" s="5">
        <v>245</v>
      </c>
      <c r="B949" s="5" t="s">
        <v>123</v>
      </c>
      <c r="C949" s="5" t="s">
        <v>124</v>
      </c>
      <c r="D949" s="5" t="s">
        <v>8</v>
      </c>
      <c r="E949" s="5" t="s">
        <v>9</v>
      </c>
      <c r="F949" s="17">
        <v>44926</v>
      </c>
      <c r="G949" s="5">
        <f t="shared" si="148"/>
        <v>2022</v>
      </c>
      <c r="H949" s="5" t="str">
        <f t="shared" si="149"/>
        <v>Diciembre</v>
      </c>
      <c r="I949" s="6" t="str">
        <f t="shared" si="145"/>
        <v>2022-2</v>
      </c>
      <c r="J949" s="5">
        <v>88.5</v>
      </c>
      <c r="K949" s="9">
        <v>85.9</v>
      </c>
      <c r="L949" s="15">
        <v>0.97062146892655377</v>
      </c>
      <c r="M949" s="15">
        <v>0.97062146892655377</v>
      </c>
      <c r="N949" s="5" t="s">
        <v>347</v>
      </c>
      <c r="O949" s="5" t="s">
        <v>347</v>
      </c>
      <c r="P949" s="5">
        <v>0</v>
      </c>
      <c r="Q949" s="5">
        <v>0</v>
      </c>
      <c r="R949" s="5" t="str">
        <f t="shared" si="146"/>
        <v>245-2022-12-31</v>
      </c>
    </row>
    <row r="950" spans="1:18" x14ac:dyDescent="0.3">
      <c r="A950" s="26">
        <v>245</v>
      </c>
      <c r="B950" s="5" t="s">
        <v>123</v>
      </c>
      <c r="C950" s="5" t="s">
        <v>124</v>
      </c>
      <c r="D950" s="5" t="s">
        <v>8</v>
      </c>
      <c r="E950" s="5" t="s">
        <v>9</v>
      </c>
      <c r="F950" s="17">
        <v>45107</v>
      </c>
      <c r="G950" s="5">
        <f t="shared" si="148"/>
        <v>2023</v>
      </c>
      <c r="H950" s="5" t="str">
        <f t="shared" si="149"/>
        <v>Junio</v>
      </c>
      <c r="I950" s="6" t="str">
        <f t="shared" si="145"/>
        <v>2023-1</v>
      </c>
      <c r="J950" s="5">
        <v>87</v>
      </c>
      <c r="K950" s="9">
        <v>85.115048706751793</v>
      </c>
      <c r="L950" s="15">
        <f>IFERROR(IF((K950/J950)&gt;1.3,1.3,K950/J950),"")</f>
        <v>0.97833389318105513</v>
      </c>
      <c r="M950" s="15">
        <f>IFERROR(IF((K950/J950)&gt;K950/J950,1.3,K950/J950),"")</f>
        <v>0.97833389318105513</v>
      </c>
      <c r="N950" s="5" t="s">
        <v>347</v>
      </c>
      <c r="O950" s="5" t="s">
        <v>347</v>
      </c>
      <c r="P950" s="16">
        <v>0</v>
      </c>
      <c r="Q950" s="16">
        <v>0</v>
      </c>
      <c r="R950" s="5" t="str">
        <f t="shared" si="146"/>
        <v>245-2023-06-30</v>
      </c>
    </row>
    <row r="951" spans="1:18" x14ac:dyDescent="0.3">
      <c r="A951" s="39">
        <v>245</v>
      </c>
      <c r="B951" s="5" t="s">
        <v>123</v>
      </c>
      <c r="C951" s="5" t="s">
        <v>124</v>
      </c>
      <c r="D951" s="5" t="s">
        <v>8</v>
      </c>
      <c r="E951" s="5" t="s">
        <v>9</v>
      </c>
      <c r="F951" s="6">
        <v>45291</v>
      </c>
      <c r="G951" s="5">
        <f t="shared" si="148"/>
        <v>2023</v>
      </c>
      <c r="H951" s="5" t="str">
        <f t="shared" si="149"/>
        <v>Diciembre</v>
      </c>
      <c r="I951" s="6" t="str">
        <f t="shared" si="145"/>
        <v>2023-2</v>
      </c>
      <c r="J951" s="5">
        <v>87</v>
      </c>
      <c r="K951" s="9">
        <v>85.38</v>
      </c>
      <c r="L951" s="15">
        <f>IFERROR(IF((K951/J951)&gt;1.3,1.3,K951/J951),"")</f>
        <v>0.9813793103448275</v>
      </c>
      <c r="M951" s="15">
        <f>IFERROR(IF((K951/J951)&gt;K951/J951,1.3,K951/J951),"")</f>
        <v>0.9813793103448275</v>
      </c>
      <c r="N951" s="5" t="s">
        <v>347</v>
      </c>
      <c r="O951" s="5" t="s">
        <v>347</v>
      </c>
      <c r="P951" s="16">
        <v>0</v>
      </c>
      <c r="Q951" s="16">
        <v>0</v>
      </c>
      <c r="R951" s="5" t="str">
        <f t="shared" si="146"/>
        <v>245-2023-12-31</v>
      </c>
    </row>
    <row r="952" spans="1:18" x14ac:dyDescent="0.3">
      <c r="A952" s="26">
        <v>245</v>
      </c>
      <c r="B952" s="5" t="s">
        <v>123</v>
      </c>
      <c r="C952" s="5" t="s">
        <v>124</v>
      </c>
      <c r="D952" s="5" t="s">
        <v>8</v>
      </c>
      <c r="E952" s="5" t="s">
        <v>9</v>
      </c>
      <c r="F952" s="17">
        <v>45473</v>
      </c>
      <c r="G952" s="5">
        <f t="shared" si="148"/>
        <v>2024</v>
      </c>
      <c r="H952" s="5" t="str">
        <f t="shared" si="149"/>
        <v>Junio</v>
      </c>
      <c r="I952" s="6" t="str">
        <f t="shared" si="145"/>
        <v>2024-1</v>
      </c>
      <c r="J952" s="5">
        <v>85</v>
      </c>
      <c r="K952" s="9">
        <v>85.13</v>
      </c>
      <c r="L952" s="15">
        <f>IFERROR(IF((K952/J952)&gt;1.3,1.3,K952/J952),"")</f>
        <v>1.0015294117647058</v>
      </c>
      <c r="M952" s="15">
        <f>IFERROR(IF((K952/J952)&gt;K952/J952,1.3,K952/J952),"")</f>
        <v>1.0015294117647058</v>
      </c>
      <c r="N952" s="5" t="s">
        <v>347</v>
      </c>
      <c r="O952" s="5" t="s">
        <v>347</v>
      </c>
      <c r="P952" s="16">
        <v>0</v>
      </c>
      <c r="Q952" s="16">
        <v>0</v>
      </c>
      <c r="R952" s="5" t="str">
        <f t="shared" si="146"/>
        <v>245-2024-06-30</v>
      </c>
    </row>
    <row r="953" spans="1:18" x14ac:dyDescent="0.3">
      <c r="A953" s="26">
        <v>245</v>
      </c>
      <c r="B953" s="5" t="s">
        <v>123</v>
      </c>
      <c r="C953" s="5" t="s">
        <v>124</v>
      </c>
      <c r="D953" s="5" t="s">
        <v>8</v>
      </c>
      <c r="E953" s="5" t="s">
        <v>9</v>
      </c>
      <c r="F953" s="6">
        <v>45657</v>
      </c>
      <c r="G953" s="5">
        <f t="shared" si="148"/>
        <v>2024</v>
      </c>
      <c r="H953" s="5" t="str">
        <f t="shared" si="149"/>
        <v>Diciembre</v>
      </c>
      <c r="I953" s="6" t="str">
        <f t="shared" si="145"/>
        <v>2024-2</v>
      </c>
      <c r="J953" s="5">
        <v>85</v>
      </c>
      <c r="K953" s="10">
        <v>85.19</v>
      </c>
      <c r="L953" s="15">
        <f>IFERROR(IF((K953/J953)&gt;1.3,1.3,K953/J953),"")</f>
        <v>1.0022352941176471</v>
      </c>
      <c r="M953" s="15">
        <f>IFERROR(IF((K953/J953)&gt;K953/J953,1.3,K953/J953),"")</f>
        <v>1.0022352941176471</v>
      </c>
      <c r="N953" s="5" t="s">
        <v>347</v>
      </c>
      <c r="O953" s="5" t="s">
        <v>347</v>
      </c>
      <c r="P953" s="16">
        <v>0</v>
      </c>
      <c r="Q953" s="16">
        <v>0</v>
      </c>
      <c r="R953" s="5" t="str">
        <f t="shared" si="146"/>
        <v>245-2024-12-31</v>
      </c>
    </row>
    <row r="954" spans="1:18" x14ac:dyDescent="0.3">
      <c r="A954" s="39">
        <v>246</v>
      </c>
      <c r="B954" s="5" t="s">
        <v>125</v>
      </c>
      <c r="C954" s="5" t="s">
        <v>126</v>
      </c>
      <c r="D954" s="5" t="s">
        <v>8</v>
      </c>
      <c r="E954" s="5" t="s">
        <v>9</v>
      </c>
      <c r="F954" s="6">
        <v>45291</v>
      </c>
      <c r="G954" s="5">
        <f t="shared" si="148"/>
        <v>2023</v>
      </c>
      <c r="H954" s="5" t="str">
        <f t="shared" si="149"/>
        <v>Diciembre</v>
      </c>
      <c r="I954" s="6" t="str">
        <f t="shared" si="145"/>
        <v>2023-2</v>
      </c>
      <c r="J954" s="5">
        <v>85</v>
      </c>
      <c r="K954" s="9">
        <v>61.4</v>
      </c>
      <c r="L954" s="8">
        <f>IFERROR(K954/J954,"")</f>
        <v>0.72235294117647053</v>
      </c>
      <c r="M954" s="15">
        <f>IFERROR(IF((K954/J954)&gt;K954/J954,1.3,K954/J954),"")</f>
        <v>0.72235294117647053</v>
      </c>
      <c r="N954" s="5" t="s">
        <v>347</v>
      </c>
      <c r="O954" s="5" t="s">
        <v>347</v>
      </c>
      <c r="P954" s="16">
        <v>0</v>
      </c>
      <c r="Q954" s="16">
        <v>0</v>
      </c>
      <c r="R954" s="5" t="str">
        <f t="shared" si="146"/>
        <v>246-2023-12-31</v>
      </c>
    </row>
    <row r="955" spans="1:18" x14ac:dyDescent="0.3">
      <c r="A955" s="5">
        <v>246</v>
      </c>
      <c r="B955" s="5" t="s">
        <v>721</v>
      </c>
      <c r="C955" s="5" t="s">
        <v>126</v>
      </c>
      <c r="D955" s="5" t="s">
        <v>8</v>
      </c>
      <c r="E955" s="5" t="s">
        <v>9</v>
      </c>
      <c r="F955" s="6">
        <v>45473</v>
      </c>
      <c r="G955" s="5">
        <f t="shared" si="148"/>
        <v>2024</v>
      </c>
      <c r="H955" s="5" t="str">
        <f t="shared" si="149"/>
        <v>Junio</v>
      </c>
      <c r="I955" s="6" t="str">
        <f t="shared" ref="I955:I1013" si="157">IF(OR(H955="Enero",H955="Febrero",H955="Marzo",H955="Abril",H955="Mayo",H955="Junio"),G955&amp;"-1",IF(OR(H955="Julio",H955="Agosto",H955="Septiembre",H955="Octubre",H955="Noviembre",H955="Diciembre"),G955&amp;"-2"))</f>
        <v>2024-1</v>
      </c>
      <c r="J955" s="5">
        <v>67.5</v>
      </c>
      <c r="K955" s="5">
        <v>92.5</v>
      </c>
      <c r="L955" s="15">
        <v>1.3</v>
      </c>
      <c r="M955" s="15">
        <v>1.3703703703703705</v>
      </c>
      <c r="N955" s="5" t="s">
        <v>347</v>
      </c>
      <c r="O955" s="5" t="s">
        <v>347</v>
      </c>
      <c r="P955" s="5">
        <v>0</v>
      </c>
      <c r="Q955" s="5">
        <v>0</v>
      </c>
      <c r="R955" s="5" t="str">
        <f t="shared" ref="R955:R1013" si="158">A955&amp;"-"&amp;YEAR(F955)&amp;"-"&amp;IF(LEN(MONTH(F955))=1,"0"&amp;MONTH(F955),MONTH(F955))&amp;"-"&amp;DAY(F955)</f>
        <v>246-2024-06-30</v>
      </c>
    </row>
    <row r="956" spans="1:18" x14ac:dyDescent="0.3">
      <c r="A956" s="26">
        <v>246</v>
      </c>
      <c r="B956" s="5" t="s">
        <v>721</v>
      </c>
      <c r="C956" s="5" t="s">
        <v>126</v>
      </c>
      <c r="D956" s="5" t="s">
        <v>8</v>
      </c>
      <c r="E956" s="5" t="s">
        <v>9</v>
      </c>
      <c r="F956" s="6">
        <v>45657</v>
      </c>
      <c r="G956" s="5">
        <f t="shared" si="148"/>
        <v>2024</v>
      </c>
      <c r="H956" s="5" t="str">
        <f t="shared" si="149"/>
        <v>Diciembre</v>
      </c>
      <c r="I956" s="6" t="str">
        <f t="shared" si="157"/>
        <v>2024-2</v>
      </c>
      <c r="J956" s="5">
        <v>67.5</v>
      </c>
      <c r="K956" s="10">
        <v>94.4</v>
      </c>
      <c r="L956" s="15">
        <f>IFERROR(IF((K956/J956)&gt;1.3,1.3,K956/J956),"")</f>
        <v>1.3</v>
      </c>
      <c r="M956" s="15">
        <f t="shared" ref="M956:M980" si="159">IFERROR(IF((K956/J956)&gt;K956/J956,1.3,K956/J956),"")</f>
        <v>1.3985185185185185</v>
      </c>
      <c r="N956" s="5" t="s">
        <v>347</v>
      </c>
      <c r="O956" s="5" t="s">
        <v>347</v>
      </c>
      <c r="P956" s="16">
        <v>0</v>
      </c>
      <c r="Q956" s="16">
        <v>0</v>
      </c>
      <c r="R956" s="5" t="str">
        <f t="shared" si="158"/>
        <v>246-2024-12-31</v>
      </c>
    </row>
    <row r="957" spans="1:18" x14ac:dyDescent="0.3">
      <c r="A957" s="26">
        <v>247</v>
      </c>
      <c r="B957" s="5" t="s">
        <v>127</v>
      </c>
      <c r="C957" s="5" t="s">
        <v>126</v>
      </c>
      <c r="D957" s="5" t="s">
        <v>18</v>
      </c>
      <c r="E957" s="5" t="s">
        <v>9</v>
      </c>
      <c r="F957" s="6">
        <v>44957</v>
      </c>
      <c r="G957" s="5">
        <f t="shared" si="148"/>
        <v>2023</v>
      </c>
      <c r="H957" s="5" t="str">
        <f t="shared" si="149"/>
        <v>Enero</v>
      </c>
      <c r="I957" s="6" t="str">
        <f t="shared" si="157"/>
        <v>2023-1</v>
      </c>
      <c r="J957" s="5"/>
      <c r="K957" s="9">
        <v>75.640237656218005</v>
      </c>
      <c r="L957" s="8" t="str">
        <f t="shared" ref="L957:L968" si="160">IFERROR(K957/J957,"")</f>
        <v/>
      </c>
      <c r="M957" s="15" t="str">
        <f t="shared" si="159"/>
        <v/>
      </c>
      <c r="N957" s="5" t="s">
        <v>477</v>
      </c>
      <c r="O957" s="11" t="s">
        <v>347</v>
      </c>
      <c r="P957" s="16">
        <v>0</v>
      </c>
      <c r="Q957" s="16">
        <v>0</v>
      </c>
      <c r="R957" s="5" t="str">
        <f t="shared" si="158"/>
        <v>247-2023-01-31</v>
      </c>
    </row>
    <row r="958" spans="1:18" x14ac:dyDescent="0.3">
      <c r="A958" s="26">
        <v>247</v>
      </c>
      <c r="B958" s="5" t="s">
        <v>127</v>
      </c>
      <c r="C958" s="5" t="s">
        <v>126</v>
      </c>
      <c r="D958" s="5" t="s">
        <v>18</v>
      </c>
      <c r="E958" s="5" t="s">
        <v>9</v>
      </c>
      <c r="F958" s="17">
        <v>44985</v>
      </c>
      <c r="G958" s="5">
        <f t="shared" si="148"/>
        <v>2023</v>
      </c>
      <c r="H958" s="5" t="str">
        <f t="shared" si="149"/>
        <v>Febrero</v>
      </c>
      <c r="I958" s="6" t="str">
        <f t="shared" si="157"/>
        <v>2023-1</v>
      </c>
      <c r="J958" s="5"/>
      <c r="K958" s="9">
        <v>71.287128712871294</v>
      </c>
      <c r="L958" s="8" t="str">
        <f t="shared" si="160"/>
        <v/>
      </c>
      <c r="M958" s="15" t="str">
        <f t="shared" si="159"/>
        <v/>
      </c>
      <c r="N958" s="5" t="s">
        <v>477</v>
      </c>
      <c r="O958" s="11" t="s">
        <v>347</v>
      </c>
      <c r="P958" s="16">
        <v>0</v>
      </c>
      <c r="Q958" s="16">
        <v>0</v>
      </c>
      <c r="R958" s="5" t="str">
        <f t="shared" si="158"/>
        <v>247-2023-02-28</v>
      </c>
    </row>
    <row r="959" spans="1:18" x14ac:dyDescent="0.3">
      <c r="A959" s="26">
        <v>247</v>
      </c>
      <c r="B959" s="5" t="s">
        <v>127</v>
      </c>
      <c r="C959" s="5" t="s">
        <v>126</v>
      </c>
      <c r="D959" s="5" t="s">
        <v>18</v>
      </c>
      <c r="E959" s="5" t="s">
        <v>9</v>
      </c>
      <c r="F959" s="6">
        <v>45016</v>
      </c>
      <c r="G959" s="5">
        <f t="shared" si="148"/>
        <v>2023</v>
      </c>
      <c r="H959" s="5" t="str">
        <f t="shared" si="149"/>
        <v>Marzo</v>
      </c>
      <c r="I959" s="6" t="str">
        <f t="shared" si="157"/>
        <v>2023-1</v>
      </c>
      <c r="J959" s="5"/>
      <c r="K959" s="9">
        <v>71.017316017316006</v>
      </c>
      <c r="L959" s="8" t="str">
        <f t="shared" si="160"/>
        <v/>
      </c>
      <c r="M959" s="15" t="str">
        <f t="shared" si="159"/>
        <v/>
      </c>
      <c r="N959" s="5" t="s">
        <v>477</v>
      </c>
      <c r="O959" s="11" t="s">
        <v>347</v>
      </c>
      <c r="P959" s="16">
        <v>0</v>
      </c>
      <c r="Q959" s="16">
        <v>0</v>
      </c>
      <c r="R959" s="5" t="str">
        <f t="shared" si="158"/>
        <v>247-2023-03-31</v>
      </c>
    </row>
    <row r="960" spans="1:18" x14ac:dyDescent="0.3">
      <c r="A960" s="26">
        <v>247</v>
      </c>
      <c r="B960" s="5" t="s">
        <v>127</v>
      </c>
      <c r="C960" s="5" t="s">
        <v>126</v>
      </c>
      <c r="D960" s="5" t="s">
        <v>18</v>
      </c>
      <c r="E960" s="5" t="s">
        <v>9</v>
      </c>
      <c r="F960" s="6">
        <v>45046</v>
      </c>
      <c r="G960" s="5">
        <f t="shared" si="148"/>
        <v>2023</v>
      </c>
      <c r="H960" s="5" t="str">
        <f t="shared" si="149"/>
        <v>Abril</v>
      </c>
      <c r="I960" s="6" t="str">
        <f t="shared" si="157"/>
        <v>2023-1</v>
      </c>
      <c r="J960" s="5"/>
      <c r="K960" s="9">
        <v>74.075723830735001</v>
      </c>
      <c r="L960" s="8" t="str">
        <f t="shared" si="160"/>
        <v/>
      </c>
      <c r="M960" s="15" t="str">
        <f t="shared" si="159"/>
        <v/>
      </c>
      <c r="N960" s="5" t="s">
        <v>477</v>
      </c>
      <c r="O960" s="11" t="s">
        <v>347</v>
      </c>
      <c r="P960" s="16">
        <v>0</v>
      </c>
      <c r="Q960" s="16">
        <v>0</v>
      </c>
      <c r="R960" s="5" t="str">
        <f t="shared" si="158"/>
        <v>247-2023-04-30</v>
      </c>
    </row>
    <row r="961" spans="1:18" x14ac:dyDescent="0.3">
      <c r="A961" s="26">
        <v>247</v>
      </c>
      <c r="B961" s="5" t="s">
        <v>127</v>
      </c>
      <c r="C961" s="5" t="s">
        <v>126</v>
      </c>
      <c r="D961" s="5" t="s">
        <v>18</v>
      </c>
      <c r="E961" s="5" t="s">
        <v>9</v>
      </c>
      <c r="F961" s="6">
        <v>45077</v>
      </c>
      <c r="G961" s="5">
        <f t="shared" si="148"/>
        <v>2023</v>
      </c>
      <c r="H961" s="5" t="str">
        <f t="shared" si="149"/>
        <v>Mayo</v>
      </c>
      <c r="I961" s="6" t="str">
        <f t="shared" si="157"/>
        <v>2023-1</v>
      </c>
      <c r="J961" s="5"/>
      <c r="K961" s="9">
        <v>70.167903162827002</v>
      </c>
      <c r="L961" s="8" t="str">
        <f t="shared" si="160"/>
        <v/>
      </c>
      <c r="M961" s="15" t="str">
        <f t="shared" si="159"/>
        <v/>
      </c>
      <c r="N961" s="5" t="s">
        <v>477</v>
      </c>
      <c r="O961" s="11" t="s">
        <v>347</v>
      </c>
      <c r="P961" s="16">
        <v>0</v>
      </c>
      <c r="Q961" s="16">
        <v>0</v>
      </c>
      <c r="R961" s="5" t="str">
        <f t="shared" si="158"/>
        <v>247-2023-05-31</v>
      </c>
    </row>
    <row r="962" spans="1:18" x14ac:dyDescent="0.3">
      <c r="A962" s="26">
        <v>247</v>
      </c>
      <c r="B962" s="5" t="s">
        <v>127</v>
      </c>
      <c r="C962" s="5" t="s">
        <v>126</v>
      </c>
      <c r="D962" s="5" t="s">
        <v>18</v>
      </c>
      <c r="E962" s="5" t="s">
        <v>9</v>
      </c>
      <c r="F962" s="6">
        <v>45107</v>
      </c>
      <c r="G962" s="5">
        <f t="shared" ref="G962:G1025" si="161">YEAR(F962)</f>
        <v>2023</v>
      </c>
      <c r="H962" s="5" t="str">
        <f t="shared" ref="H962:H1025" si="162">PROPER(TEXT(F962,"mmmm"))</f>
        <v>Junio</v>
      </c>
      <c r="I962" s="6" t="str">
        <f t="shared" si="157"/>
        <v>2023-1</v>
      </c>
      <c r="J962" s="5"/>
      <c r="K962" s="9">
        <v>61.082385384350196</v>
      </c>
      <c r="L962" s="8" t="str">
        <f t="shared" si="160"/>
        <v/>
      </c>
      <c r="M962" s="15" t="str">
        <f t="shared" si="159"/>
        <v/>
      </c>
      <c r="N962" s="5" t="s">
        <v>477</v>
      </c>
      <c r="O962" s="11" t="s">
        <v>347</v>
      </c>
      <c r="P962" s="16">
        <v>0</v>
      </c>
      <c r="Q962" s="16">
        <v>0</v>
      </c>
      <c r="R962" s="5" t="str">
        <f t="shared" si="158"/>
        <v>247-2023-06-30</v>
      </c>
    </row>
    <row r="963" spans="1:18" x14ac:dyDescent="0.3">
      <c r="A963" s="26">
        <v>247</v>
      </c>
      <c r="B963" s="5" t="s">
        <v>127</v>
      </c>
      <c r="C963" s="5" t="s">
        <v>126</v>
      </c>
      <c r="D963" s="5" t="s">
        <v>18</v>
      </c>
      <c r="E963" s="5" t="s">
        <v>9</v>
      </c>
      <c r="F963" s="6">
        <v>45138</v>
      </c>
      <c r="G963" s="5">
        <f t="shared" si="161"/>
        <v>2023</v>
      </c>
      <c r="H963" s="5" t="str">
        <f t="shared" si="162"/>
        <v>Julio</v>
      </c>
      <c r="I963" s="6" t="str">
        <f t="shared" si="157"/>
        <v>2023-2</v>
      </c>
      <c r="J963" s="5"/>
      <c r="K963" s="9">
        <v>75.552362134003999</v>
      </c>
      <c r="L963" s="8" t="str">
        <f t="shared" si="160"/>
        <v/>
      </c>
      <c r="M963" s="15" t="str">
        <f t="shared" si="159"/>
        <v/>
      </c>
      <c r="N963" s="5" t="s">
        <v>477</v>
      </c>
      <c r="O963" s="11" t="s">
        <v>347</v>
      </c>
      <c r="P963" s="16">
        <v>0</v>
      </c>
      <c r="Q963" s="16">
        <v>0</v>
      </c>
      <c r="R963" s="5" t="str">
        <f t="shared" si="158"/>
        <v>247-2023-07-31</v>
      </c>
    </row>
    <row r="964" spans="1:18" x14ac:dyDescent="0.3">
      <c r="A964" s="26">
        <v>247</v>
      </c>
      <c r="B964" s="5" t="s">
        <v>127</v>
      </c>
      <c r="C964" s="5" t="s">
        <v>126</v>
      </c>
      <c r="D964" s="5" t="s">
        <v>18</v>
      </c>
      <c r="E964" s="5" t="s">
        <v>9</v>
      </c>
      <c r="F964" s="6">
        <v>45169</v>
      </c>
      <c r="G964" s="5">
        <f t="shared" si="161"/>
        <v>2023</v>
      </c>
      <c r="H964" s="5" t="str">
        <f t="shared" si="162"/>
        <v>Agosto</v>
      </c>
      <c r="I964" s="6" t="str">
        <f t="shared" si="157"/>
        <v>2023-2</v>
      </c>
      <c r="J964" s="5"/>
      <c r="K964" s="9">
        <v>70.64</v>
      </c>
      <c r="L964" s="8" t="str">
        <f t="shared" si="160"/>
        <v/>
      </c>
      <c r="M964" s="15" t="str">
        <f t="shared" si="159"/>
        <v/>
      </c>
      <c r="N964" s="5" t="s">
        <v>477</v>
      </c>
      <c r="O964" s="11" t="s">
        <v>347</v>
      </c>
      <c r="P964" s="16">
        <v>0</v>
      </c>
      <c r="Q964" s="16">
        <v>0</v>
      </c>
      <c r="R964" s="5" t="str">
        <f t="shared" si="158"/>
        <v>247-2023-08-31</v>
      </c>
    </row>
    <row r="965" spans="1:18" x14ac:dyDescent="0.3">
      <c r="A965" s="26">
        <v>247</v>
      </c>
      <c r="B965" s="5" t="s">
        <v>127</v>
      </c>
      <c r="C965" s="5" t="s">
        <v>126</v>
      </c>
      <c r="D965" s="5" t="s">
        <v>18</v>
      </c>
      <c r="E965" s="5" t="s">
        <v>9</v>
      </c>
      <c r="F965" s="6">
        <v>45199</v>
      </c>
      <c r="G965" s="5">
        <f t="shared" si="161"/>
        <v>2023</v>
      </c>
      <c r="H965" s="5" t="str">
        <f t="shared" si="162"/>
        <v>Septiembre</v>
      </c>
      <c r="I965" s="6" t="str">
        <f t="shared" si="157"/>
        <v>2023-2</v>
      </c>
      <c r="J965" s="5"/>
      <c r="K965" s="9">
        <v>67.14</v>
      </c>
      <c r="L965" s="8" t="str">
        <f t="shared" si="160"/>
        <v/>
      </c>
      <c r="M965" s="15" t="str">
        <f t="shared" si="159"/>
        <v/>
      </c>
      <c r="N965" s="5" t="s">
        <v>477</v>
      </c>
      <c r="O965" s="11" t="s">
        <v>347</v>
      </c>
      <c r="P965" s="16">
        <v>0</v>
      </c>
      <c r="Q965" s="16">
        <v>0</v>
      </c>
      <c r="R965" s="5" t="str">
        <f t="shared" si="158"/>
        <v>247-2023-09-30</v>
      </c>
    </row>
    <row r="966" spans="1:18" x14ac:dyDescent="0.3">
      <c r="A966" s="39">
        <v>247</v>
      </c>
      <c r="B966" s="5" t="s">
        <v>127</v>
      </c>
      <c r="C966" s="5" t="s">
        <v>126</v>
      </c>
      <c r="D966" s="5" t="s">
        <v>18</v>
      </c>
      <c r="E966" s="5" t="s">
        <v>9</v>
      </c>
      <c r="F966" s="6">
        <v>45230</v>
      </c>
      <c r="G966" s="5">
        <f t="shared" si="161"/>
        <v>2023</v>
      </c>
      <c r="H966" s="5" t="str">
        <f t="shared" si="162"/>
        <v>Octubre</v>
      </c>
      <c r="I966" s="6" t="str">
        <f t="shared" si="157"/>
        <v>2023-2</v>
      </c>
      <c r="J966" s="5"/>
      <c r="K966" s="9">
        <v>65.849999999999994</v>
      </c>
      <c r="L966" s="8" t="str">
        <f t="shared" si="160"/>
        <v/>
      </c>
      <c r="M966" s="15" t="str">
        <f t="shared" si="159"/>
        <v/>
      </c>
      <c r="N966" s="5" t="s">
        <v>477</v>
      </c>
      <c r="O966" s="5" t="s">
        <v>347</v>
      </c>
      <c r="P966" s="16">
        <v>0</v>
      </c>
      <c r="Q966" s="16">
        <v>0</v>
      </c>
      <c r="R966" s="5" t="str">
        <f t="shared" si="158"/>
        <v>247-2023-10-31</v>
      </c>
    </row>
    <row r="967" spans="1:18" x14ac:dyDescent="0.3">
      <c r="A967" s="39">
        <v>247</v>
      </c>
      <c r="B967" s="5" t="s">
        <v>127</v>
      </c>
      <c r="C967" s="5" t="s">
        <v>126</v>
      </c>
      <c r="D967" s="5" t="s">
        <v>18</v>
      </c>
      <c r="E967" s="5" t="s">
        <v>9</v>
      </c>
      <c r="F967" s="6">
        <v>45260</v>
      </c>
      <c r="G967" s="5">
        <f t="shared" si="161"/>
        <v>2023</v>
      </c>
      <c r="H967" s="5" t="str">
        <f t="shared" si="162"/>
        <v>Noviembre</v>
      </c>
      <c r="I967" s="6" t="str">
        <f t="shared" si="157"/>
        <v>2023-2</v>
      </c>
      <c r="J967" s="5"/>
      <c r="K967" s="9">
        <v>65.47</v>
      </c>
      <c r="L967" s="8" t="str">
        <f t="shared" si="160"/>
        <v/>
      </c>
      <c r="M967" s="15" t="str">
        <f t="shared" si="159"/>
        <v/>
      </c>
      <c r="N967" s="5" t="s">
        <v>477</v>
      </c>
      <c r="O967" s="5" t="s">
        <v>347</v>
      </c>
      <c r="P967" s="16">
        <v>0</v>
      </c>
      <c r="Q967" s="16">
        <v>0</v>
      </c>
      <c r="R967" s="5" t="str">
        <f t="shared" si="158"/>
        <v>247-2023-11-30</v>
      </c>
    </row>
    <row r="968" spans="1:18" x14ac:dyDescent="0.3">
      <c r="A968" s="39">
        <v>247</v>
      </c>
      <c r="B968" s="5" t="s">
        <v>127</v>
      </c>
      <c r="C968" s="5" t="s">
        <v>126</v>
      </c>
      <c r="D968" s="5" t="s">
        <v>18</v>
      </c>
      <c r="E968" s="5" t="s">
        <v>9</v>
      </c>
      <c r="F968" s="6">
        <v>45291</v>
      </c>
      <c r="G968" s="5">
        <f t="shared" si="161"/>
        <v>2023</v>
      </c>
      <c r="H968" s="5" t="str">
        <f t="shared" si="162"/>
        <v>Diciembre</v>
      </c>
      <c r="I968" s="6" t="str">
        <f t="shared" si="157"/>
        <v>2023-2</v>
      </c>
      <c r="J968" s="5"/>
      <c r="K968" s="9">
        <v>69.86</v>
      </c>
      <c r="L968" s="8" t="str">
        <f t="shared" si="160"/>
        <v/>
      </c>
      <c r="M968" s="15" t="str">
        <f t="shared" si="159"/>
        <v/>
      </c>
      <c r="N968" s="5" t="s">
        <v>477</v>
      </c>
      <c r="O968" s="5" t="s">
        <v>347</v>
      </c>
      <c r="P968" s="16">
        <v>0</v>
      </c>
      <c r="Q968" s="16">
        <v>0</v>
      </c>
      <c r="R968" s="5" t="str">
        <f t="shared" si="158"/>
        <v>247-2023-12-31</v>
      </c>
    </row>
    <row r="969" spans="1:18" x14ac:dyDescent="0.3">
      <c r="A969" s="43">
        <v>248</v>
      </c>
      <c r="B969" s="5" t="s">
        <v>128</v>
      </c>
      <c r="C969" s="5" t="s">
        <v>129</v>
      </c>
      <c r="D969" s="5" t="s">
        <v>8</v>
      </c>
      <c r="E969" s="5" t="s">
        <v>9</v>
      </c>
      <c r="F969" s="6">
        <v>45107</v>
      </c>
      <c r="G969" s="5">
        <f t="shared" si="161"/>
        <v>2023</v>
      </c>
      <c r="H969" s="5" t="str">
        <f t="shared" si="162"/>
        <v>Junio</v>
      </c>
      <c r="I969" s="6" t="str">
        <f t="shared" si="157"/>
        <v>2023-1</v>
      </c>
      <c r="J969" s="3">
        <v>27</v>
      </c>
      <c r="K969" s="9">
        <v>27</v>
      </c>
      <c r="L969" s="15">
        <f>IFERROR(IF((K969/J969)&gt;1.3,1.3,K969/J969),"")</f>
        <v>1</v>
      </c>
      <c r="M969" s="15">
        <f t="shared" si="159"/>
        <v>1</v>
      </c>
      <c r="N969" s="5" t="s">
        <v>477</v>
      </c>
      <c r="O969" s="5" t="s">
        <v>347</v>
      </c>
      <c r="P969" s="16">
        <v>0</v>
      </c>
      <c r="Q969" s="16">
        <v>0</v>
      </c>
      <c r="R969" s="5" t="str">
        <f t="shared" si="158"/>
        <v>248-2023-06-30</v>
      </c>
    </row>
    <row r="970" spans="1:18" x14ac:dyDescent="0.3">
      <c r="A970" s="39">
        <v>248</v>
      </c>
      <c r="B970" s="5" t="s">
        <v>128</v>
      </c>
      <c r="C970" s="5" t="s">
        <v>129</v>
      </c>
      <c r="D970" s="5" t="s">
        <v>8</v>
      </c>
      <c r="E970" s="5" t="s">
        <v>9</v>
      </c>
      <c r="F970" s="6">
        <v>45291</v>
      </c>
      <c r="G970" s="5">
        <f t="shared" si="161"/>
        <v>2023</v>
      </c>
      <c r="H970" s="5" t="str">
        <f t="shared" si="162"/>
        <v>Diciembre</v>
      </c>
      <c r="I970" s="6" t="str">
        <f t="shared" si="157"/>
        <v>2023-2</v>
      </c>
      <c r="J970" s="3">
        <v>17</v>
      </c>
      <c r="K970" s="9">
        <v>17</v>
      </c>
      <c r="L970" s="15">
        <f>IFERROR(IF((K970/J970)&gt;1.3,1.3,K970/J970),"")</f>
        <v>1</v>
      </c>
      <c r="M970" s="15">
        <f t="shared" si="159"/>
        <v>1</v>
      </c>
      <c r="N970" s="5" t="s">
        <v>477</v>
      </c>
      <c r="O970" s="5" t="s">
        <v>347</v>
      </c>
      <c r="P970" s="16">
        <v>0</v>
      </c>
      <c r="Q970" s="16">
        <v>0</v>
      </c>
      <c r="R970" s="5" t="str">
        <f t="shared" si="158"/>
        <v>248-2023-12-31</v>
      </c>
    </row>
    <row r="971" spans="1:18" x14ac:dyDescent="0.3">
      <c r="A971" s="43">
        <v>249</v>
      </c>
      <c r="B971" s="5" t="s">
        <v>130</v>
      </c>
      <c r="C971" s="5" t="s">
        <v>129</v>
      </c>
      <c r="D971" s="5" t="s">
        <v>8</v>
      </c>
      <c r="E971" s="5" t="s">
        <v>9</v>
      </c>
      <c r="F971" s="6">
        <v>45107</v>
      </c>
      <c r="G971" s="5">
        <f t="shared" si="161"/>
        <v>2023</v>
      </c>
      <c r="H971" s="5" t="str">
        <f t="shared" si="162"/>
        <v>Junio</v>
      </c>
      <c r="I971" s="6" t="str">
        <f t="shared" si="157"/>
        <v>2023-1</v>
      </c>
      <c r="J971" s="5">
        <v>72</v>
      </c>
      <c r="K971" s="9">
        <v>72</v>
      </c>
      <c r="L971" s="15">
        <v>1</v>
      </c>
      <c r="M971" s="15">
        <f t="shared" si="159"/>
        <v>1</v>
      </c>
      <c r="N971" s="5" t="s">
        <v>477</v>
      </c>
      <c r="O971" s="5" t="s">
        <v>347</v>
      </c>
      <c r="P971" s="16">
        <v>0</v>
      </c>
      <c r="Q971" s="16">
        <v>0</v>
      </c>
      <c r="R971" s="5" t="str">
        <f t="shared" si="158"/>
        <v>249-2023-06-30</v>
      </c>
    </row>
    <row r="972" spans="1:18" x14ac:dyDescent="0.3">
      <c r="A972" s="39">
        <v>249</v>
      </c>
      <c r="B972" s="5" t="s">
        <v>130</v>
      </c>
      <c r="C972" s="5" t="s">
        <v>129</v>
      </c>
      <c r="D972" s="5" t="s">
        <v>8</v>
      </c>
      <c r="E972" s="5" t="s">
        <v>9</v>
      </c>
      <c r="F972" s="6">
        <v>45291</v>
      </c>
      <c r="G972" s="5">
        <f t="shared" si="161"/>
        <v>2023</v>
      </c>
      <c r="H972" s="5" t="str">
        <f t="shared" si="162"/>
        <v>Diciembre</v>
      </c>
      <c r="I972" s="6" t="str">
        <f t="shared" si="157"/>
        <v>2023-2</v>
      </c>
      <c r="J972" s="5">
        <v>26</v>
      </c>
      <c r="K972" s="9">
        <v>26</v>
      </c>
      <c r="L972" s="15">
        <f>IFERROR(IF((K972/J972)&gt;1.3,1.3,K972/J972),"")</f>
        <v>1</v>
      </c>
      <c r="M972" s="15">
        <f t="shared" si="159"/>
        <v>1</v>
      </c>
      <c r="N972" s="5" t="s">
        <v>477</v>
      </c>
      <c r="O972" s="5" t="s">
        <v>347</v>
      </c>
      <c r="P972" s="16">
        <v>0</v>
      </c>
      <c r="Q972" s="16">
        <v>0</v>
      </c>
      <c r="R972" s="5" t="str">
        <f t="shared" si="158"/>
        <v>249-2023-12-31</v>
      </c>
    </row>
    <row r="973" spans="1:18" x14ac:dyDescent="0.3">
      <c r="A973" s="26">
        <v>251</v>
      </c>
      <c r="B973" s="5" t="s">
        <v>133</v>
      </c>
      <c r="C973" s="5" t="s">
        <v>134</v>
      </c>
      <c r="D973" s="5" t="s">
        <v>11</v>
      </c>
      <c r="E973" s="5" t="s">
        <v>9</v>
      </c>
      <c r="F973" s="6">
        <v>45107</v>
      </c>
      <c r="G973" s="5">
        <f t="shared" si="161"/>
        <v>2023</v>
      </c>
      <c r="H973" s="5" t="str">
        <f t="shared" si="162"/>
        <v>Junio</v>
      </c>
      <c r="I973" s="6" t="str">
        <f t="shared" si="157"/>
        <v>2023-1</v>
      </c>
      <c r="J973" s="5">
        <v>100</v>
      </c>
      <c r="K973" s="9">
        <v>93.877551020408006</v>
      </c>
      <c r="L973" s="8">
        <f>IFERROR(K973/J973,"")</f>
        <v>0.93877551020408001</v>
      </c>
      <c r="M973" s="15">
        <f t="shared" si="159"/>
        <v>0.93877551020408001</v>
      </c>
      <c r="N973" s="5" t="s">
        <v>347</v>
      </c>
      <c r="O973" s="5" t="s">
        <v>347</v>
      </c>
      <c r="P973" s="16">
        <v>0</v>
      </c>
      <c r="Q973" s="16">
        <v>0</v>
      </c>
      <c r="R973" s="5" t="str">
        <f t="shared" si="158"/>
        <v>251-2023-06-30</v>
      </c>
    </row>
    <row r="974" spans="1:18" x14ac:dyDescent="0.3">
      <c r="A974" s="43">
        <v>251</v>
      </c>
      <c r="B974" s="5" t="s">
        <v>133</v>
      </c>
      <c r="C974" s="5" t="s">
        <v>134</v>
      </c>
      <c r="D974" s="5" t="s">
        <v>11</v>
      </c>
      <c r="E974" s="5" t="s">
        <v>9</v>
      </c>
      <c r="F974" s="6">
        <v>45199</v>
      </c>
      <c r="G974" s="5">
        <f t="shared" si="161"/>
        <v>2023</v>
      </c>
      <c r="H974" s="5" t="str">
        <f t="shared" si="162"/>
        <v>Septiembre</v>
      </c>
      <c r="I974" s="6" t="str">
        <f t="shared" si="157"/>
        <v>2023-2</v>
      </c>
      <c r="J974" s="5">
        <v>100</v>
      </c>
      <c r="K974" s="9">
        <v>100</v>
      </c>
      <c r="L974" s="8">
        <f>IFERROR(K974/J974,"")</f>
        <v>1</v>
      </c>
      <c r="M974" s="15">
        <f t="shared" si="159"/>
        <v>1</v>
      </c>
      <c r="N974" s="5" t="s">
        <v>347</v>
      </c>
      <c r="O974" s="5" t="s">
        <v>347</v>
      </c>
      <c r="P974" s="16">
        <v>0</v>
      </c>
      <c r="Q974" s="16">
        <v>0</v>
      </c>
      <c r="R974" s="5" t="str">
        <f t="shared" si="158"/>
        <v>251-2023-09-30</v>
      </c>
    </row>
    <row r="975" spans="1:18" x14ac:dyDescent="0.3">
      <c r="A975" s="39">
        <v>251</v>
      </c>
      <c r="B975" s="5" t="s">
        <v>133</v>
      </c>
      <c r="C975" s="5" t="s">
        <v>134</v>
      </c>
      <c r="D975" s="5" t="s">
        <v>11</v>
      </c>
      <c r="E975" s="5" t="s">
        <v>9</v>
      </c>
      <c r="F975" s="6">
        <v>45291</v>
      </c>
      <c r="G975" s="5">
        <f t="shared" si="161"/>
        <v>2023</v>
      </c>
      <c r="H975" s="5" t="str">
        <f t="shared" si="162"/>
        <v>Diciembre</v>
      </c>
      <c r="I975" s="6" t="str">
        <f t="shared" si="157"/>
        <v>2023-2</v>
      </c>
      <c r="J975" s="5">
        <v>100</v>
      </c>
      <c r="K975" s="9">
        <v>100</v>
      </c>
      <c r="L975" s="8">
        <f>IFERROR(K975/J975,"")</f>
        <v>1</v>
      </c>
      <c r="M975" s="15">
        <f t="shared" si="159"/>
        <v>1</v>
      </c>
      <c r="N975" s="5" t="s">
        <v>347</v>
      </c>
      <c r="O975" s="5" t="s">
        <v>347</v>
      </c>
      <c r="P975" s="16">
        <v>0</v>
      </c>
      <c r="Q975" s="16">
        <v>0</v>
      </c>
      <c r="R975" s="5" t="str">
        <f t="shared" si="158"/>
        <v>251-2023-12-31</v>
      </c>
    </row>
    <row r="976" spans="1:18" x14ac:dyDescent="0.3">
      <c r="A976" s="39">
        <v>251</v>
      </c>
      <c r="B976" s="5" t="s">
        <v>133</v>
      </c>
      <c r="C976" s="5" t="s">
        <v>134</v>
      </c>
      <c r="D976" s="5" t="s">
        <v>11</v>
      </c>
      <c r="E976" s="5" t="s">
        <v>9</v>
      </c>
      <c r="F976" s="6">
        <v>45473</v>
      </c>
      <c r="G976" s="5">
        <f t="shared" si="161"/>
        <v>2024</v>
      </c>
      <c r="H976" s="5" t="str">
        <f t="shared" si="162"/>
        <v>Junio</v>
      </c>
      <c r="I976" s="6" t="str">
        <f t="shared" si="157"/>
        <v>2024-1</v>
      </c>
      <c r="J976" s="5">
        <v>100</v>
      </c>
      <c r="K976" s="9">
        <v>92.45</v>
      </c>
      <c r="L976" s="5">
        <v>92.45</v>
      </c>
      <c r="M976" s="15">
        <f t="shared" si="159"/>
        <v>0.92449999999999999</v>
      </c>
      <c r="N976" s="5" t="s">
        <v>347</v>
      </c>
      <c r="O976" s="5" t="s">
        <v>347</v>
      </c>
      <c r="P976" s="16">
        <v>0</v>
      </c>
      <c r="Q976" s="16">
        <v>0</v>
      </c>
      <c r="R976" s="5" t="str">
        <f t="shared" si="158"/>
        <v>251-2024-06-30</v>
      </c>
    </row>
    <row r="977" spans="1:18" x14ac:dyDescent="0.3">
      <c r="A977" s="26">
        <v>251</v>
      </c>
      <c r="B977" s="5" t="s">
        <v>133</v>
      </c>
      <c r="C977" s="5" t="s">
        <v>134</v>
      </c>
      <c r="D977" s="5" t="s">
        <v>11</v>
      </c>
      <c r="E977" s="5" t="s">
        <v>9</v>
      </c>
      <c r="F977" s="6">
        <v>45565</v>
      </c>
      <c r="G977" s="5">
        <f t="shared" si="161"/>
        <v>2024</v>
      </c>
      <c r="H977" s="5" t="str">
        <f t="shared" si="162"/>
        <v>Septiembre</v>
      </c>
      <c r="I977" s="6" t="str">
        <f t="shared" si="157"/>
        <v>2024-2</v>
      </c>
      <c r="J977" s="5">
        <v>100</v>
      </c>
      <c r="K977" s="10">
        <v>96.23</v>
      </c>
      <c r="L977" s="15">
        <f>IFERROR(IF((K977/J977)&gt;1.3,1.3,K977/J977),"")</f>
        <v>0.96230000000000004</v>
      </c>
      <c r="M977" s="15">
        <f t="shared" si="159"/>
        <v>0.96230000000000004</v>
      </c>
      <c r="N977" s="5" t="s">
        <v>347</v>
      </c>
      <c r="O977" s="5" t="s">
        <v>347</v>
      </c>
      <c r="P977" s="16">
        <v>0</v>
      </c>
      <c r="Q977" s="16">
        <v>0</v>
      </c>
      <c r="R977" s="5" t="str">
        <f t="shared" si="158"/>
        <v>251-2024-09-30</v>
      </c>
    </row>
    <row r="978" spans="1:18" x14ac:dyDescent="0.3">
      <c r="A978" s="26">
        <v>251</v>
      </c>
      <c r="B978" s="5" t="s">
        <v>133</v>
      </c>
      <c r="C978" s="5" t="s">
        <v>134</v>
      </c>
      <c r="D978" s="5" t="s">
        <v>11</v>
      </c>
      <c r="E978" s="5" t="s">
        <v>9</v>
      </c>
      <c r="F978" s="6">
        <v>45657</v>
      </c>
      <c r="G978" s="5">
        <f t="shared" si="161"/>
        <v>2024</v>
      </c>
      <c r="H978" s="5" t="str">
        <f t="shared" si="162"/>
        <v>Diciembre</v>
      </c>
      <c r="I978" s="6" t="str">
        <f t="shared" si="157"/>
        <v>2024-2</v>
      </c>
      <c r="J978" s="5">
        <v>100</v>
      </c>
      <c r="K978" s="10">
        <v>96.23</v>
      </c>
      <c r="L978" s="15">
        <f>IFERROR(IF((K978/J978)&gt;1.3,1.3,K978/J978),"")</f>
        <v>0.96230000000000004</v>
      </c>
      <c r="M978" s="15">
        <f t="shared" si="159"/>
        <v>0.96230000000000004</v>
      </c>
      <c r="N978" s="5" t="s">
        <v>347</v>
      </c>
      <c r="O978" s="5" t="s">
        <v>347</v>
      </c>
      <c r="P978" s="16">
        <v>0</v>
      </c>
      <c r="Q978" s="16">
        <v>0</v>
      </c>
      <c r="R978" s="5" t="str">
        <f t="shared" si="158"/>
        <v>251-2024-12-31</v>
      </c>
    </row>
    <row r="979" spans="1:18" x14ac:dyDescent="0.3">
      <c r="A979" s="26">
        <v>252</v>
      </c>
      <c r="B979" s="5" t="s">
        <v>135</v>
      </c>
      <c r="C979" s="5" t="s">
        <v>124</v>
      </c>
      <c r="D979" s="5" t="s">
        <v>8</v>
      </c>
      <c r="E979" s="5" t="s">
        <v>9</v>
      </c>
      <c r="F979" s="17">
        <v>45107</v>
      </c>
      <c r="G979" s="5">
        <f t="shared" si="161"/>
        <v>2023</v>
      </c>
      <c r="H979" s="5" t="str">
        <f t="shared" si="162"/>
        <v>Junio</v>
      </c>
      <c r="I979" s="6" t="str">
        <f t="shared" si="157"/>
        <v>2023-1</v>
      </c>
      <c r="J979" s="5">
        <v>68</v>
      </c>
      <c r="K979" s="9">
        <v>67.19</v>
      </c>
      <c r="L979" s="8">
        <f>IFERROR(K979/J979,"")</f>
        <v>0.9880882352941176</v>
      </c>
      <c r="M979" s="15">
        <f t="shared" si="159"/>
        <v>0.9880882352941176</v>
      </c>
      <c r="N979" s="5" t="s">
        <v>347</v>
      </c>
      <c r="O979" s="5" t="s">
        <v>347</v>
      </c>
      <c r="P979" s="16">
        <v>0</v>
      </c>
      <c r="Q979" s="16">
        <v>0</v>
      </c>
      <c r="R979" s="5" t="str">
        <f t="shared" si="158"/>
        <v>252-2023-06-30</v>
      </c>
    </row>
    <row r="980" spans="1:18" x14ac:dyDescent="0.3">
      <c r="A980" s="39">
        <v>252</v>
      </c>
      <c r="B980" s="5" t="s">
        <v>135</v>
      </c>
      <c r="C980" s="5" t="s">
        <v>124</v>
      </c>
      <c r="D980" s="5" t="s">
        <v>8</v>
      </c>
      <c r="E980" s="5" t="s">
        <v>9</v>
      </c>
      <c r="F980" s="6">
        <v>45291</v>
      </c>
      <c r="G980" s="5">
        <f t="shared" si="161"/>
        <v>2023</v>
      </c>
      <c r="H980" s="5" t="str">
        <f t="shared" si="162"/>
        <v>Diciembre</v>
      </c>
      <c r="I980" s="6" t="str">
        <f t="shared" si="157"/>
        <v>2023-2</v>
      </c>
      <c r="J980" s="5">
        <v>68</v>
      </c>
      <c r="K980" s="9">
        <v>74.739999999999995</v>
      </c>
      <c r="L980" s="8">
        <f>IFERROR(K980/J980,"")</f>
        <v>1.0991176470588235</v>
      </c>
      <c r="M980" s="15">
        <f t="shared" si="159"/>
        <v>1.0991176470588235</v>
      </c>
      <c r="N980" s="5" t="s">
        <v>347</v>
      </c>
      <c r="O980" s="5" t="s">
        <v>347</v>
      </c>
      <c r="P980" s="16">
        <v>0</v>
      </c>
      <c r="Q980" s="16">
        <v>0</v>
      </c>
      <c r="R980" s="5" t="str">
        <f t="shared" si="158"/>
        <v>252-2023-12-31</v>
      </c>
    </row>
    <row r="981" spans="1:18" x14ac:dyDescent="0.3">
      <c r="A981" s="5">
        <v>252</v>
      </c>
      <c r="B981" s="5" t="s">
        <v>135</v>
      </c>
      <c r="C981" s="5" t="s">
        <v>124</v>
      </c>
      <c r="D981" s="5" t="s">
        <v>8</v>
      </c>
      <c r="E981" s="5" t="s">
        <v>9</v>
      </c>
      <c r="F981" s="6">
        <v>45473</v>
      </c>
      <c r="G981" s="5">
        <f t="shared" si="161"/>
        <v>2024</v>
      </c>
      <c r="H981" s="5" t="str">
        <f t="shared" si="162"/>
        <v>Junio</v>
      </c>
      <c r="I981" s="6" t="str">
        <f t="shared" si="157"/>
        <v>2024-1</v>
      </c>
      <c r="J981" s="5">
        <v>68.5</v>
      </c>
      <c r="K981" s="5">
        <v>71.56</v>
      </c>
      <c r="L981" s="15">
        <v>1.0446715328467153</v>
      </c>
      <c r="M981" s="15">
        <v>1.0446715328467153</v>
      </c>
      <c r="N981" s="5" t="s">
        <v>347</v>
      </c>
      <c r="O981" s="5" t="s">
        <v>347</v>
      </c>
      <c r="P981" s="5">
        <v>2</v>
      </c>
      <c r="Q981" s="5">
        <v>2</v>
      </c>
      <c r="R981" s="5" t="str">
        <f t="shared" si="158"/>
        <v>252-2024-06-30</v>
      </c>
    </row>
    <row r="982" spans="1:18" x14ac:dyDescent="0.3">
      <c r="A982" s="26">
        <v>252</v>
      </c>
      <c r="B982" s="5" t="s">
        <v>135</v>
      </c>
      <c r="C982" s="5" t="s">
        <v>124</v>
      </c>
      <c r="D982" s="5" t="s">
        <v>8</v>
      </c>
      <c r="E982" s="5" t="s">
        <v>9</v>
      </c>
      <c r="F982" s="6">
        <v>45657</v>
      </c>
      <c r="G982" s="5">
        <f t="shared" si="161"/>
        <v>2024</v>
      </c>
      <c r="H982" s="5" t="str">
        <f t="shared" si="162"/>
        <v>Diciembre</v>
      </c>
      <c r="I982" s="6" t="str">
        <f t="shared" si="157"/>
        <v>2024-2</v>
      </c>
      <c r="J982" s="5">
        <v>72.900000000000006</v>
      </c>
      <c r="K982" s="10">
        <v>72.53</v>
      </c>
      <c r="L982" s="15">
        <f>IFERROR(IF((K982/J982)&gt;1.3,1.3,K982/J982),"")</f>
        <v>0.99492455418381343</v>
      </c>
      <c r="M982" s="15">
        <f>IFERROR(IF((K982/J982)&gt;K982/J982,1.3,K982/J982),"")</f>
        <v>0.99492455418381343</v>
      </c>
      <c r="N982" s="5" t="s">
        <v>347</v>
      </c>
      <c r="O982" s="5" t="s">
        <v>347</v>
      </c>
      <c r="P982" s="16">
        <v>2</v>
      </c>
      <c r="Q982" s="16">
        <v>2</v>
      </c>
      <c r="R982" s="5" t="str">
        <f t="shared" si="158"/>
        <v>252-2024-12-31</v>
      </c>
    </row>
    <row r="983" spans="1:18" x14ac:dyDescent="0.3">
      <c r="A983" s="26">
        <v>253</v>
      </c>
      <c r="B983" s="5" t="s">
        <v>136</v>
      </c>
      <c r="C983" s="5" t="s">
        <v>20</v>
      </c>
      <c r="D983" s="5" t="s">
        <v>21</v>
      </c>
      <c r="E983" s="5" t="s">
        <v>14</v>
      </c>
      <c r="F983" s="17">
        <v>45046</v>
      </c>
      <c r="G983" s="5">
        <f t="shared" si="161"/>
        <v>2023</v>
      </c>
      <c r="H983" s="5" t="str">
        <f t="shared" si="162"/>
        <v>Abril</v>
      </c>
      <c r="I983" s="6" t="str">
        <f t="shared" si="157"/>
        <v>2023-1</v>
      </c>
      <c r="J983" s="5">
        <v>8</v>
      </c>
      <c r="K983" s="9">
        <v>8</v>
      </c>
      <c r="L983" s="8">
        <f>IF(IFERROR(J983/K983,"")&gt;130%,130%,J983/K983)</f>
        <v>1</v>
      </c>
      <c r="M983" s="8">
        <f t="shared" ref="M983:M987" si="163">IFERROR(J983/K983,"")</f>
        <v>1</v>
      </c>
      <c r="N983" s="5" t="s">
        <v>81</v>
      </c>
      <c r="O983" s="5" t="s">
        <v>81</v>
      </c>
      <c r="P983" s="16">
        <v>0</v>
      </c>
      <c r="Q983" s="16">
        <v>0</v>
      </c>
      <c r="R983" s="5" t="str">
        <f t="shared" si="158"/>
        <v>253-2023-04-30</v>
      </c>
    </row>
    <row r="984" spans="1:18" x14ac:dyDescent="0.3">
      <c r="A984" s="26">
        <v>253</v>
      </c>
      <c r="B984" s="5" t="s">
        <v>136</v>
      </c>
      <c r="C984" s="5" t="s">
        <v>20</v>
      </c>
      <c r="D984" s="5" t="s">
        <v>21</v>
      </c>
      <c r="E984" s="5" t="s">
        <v>14</v>
      </c>
      <c r="F984" s="6">
        <v>45107</v>
      </c>
      <c r="G984" s="5">
        <f t="shared" si="161"/>
        <v>2023</v>
      </c>
      <c r="H984" s="5" t="str">
        <f t="shared" si="162"/>
        <v>Junio</v>
      </c>
      <c r="I984" s="6" t="str">
        <f t="shared" si="157"/>
        <v>2023-1</v>
      </c>
      <c r="J984" s="5">
        <v>8</v>
      </c>
      <c r="K984" s="9">
        <v>4.5</v>
      </c>
      <c r="L984" s="8">
        <f>IF(IFERROR(J984/K984,"")&gt;130%,130%,J984/K984)</f>
        <v>1.3</v>
      </c>
      <c r="M984" s="8">
        <f t="shared" si="163"/>
        <v>1.7777777777777777</v>
      </c>
      <c r="N984" s="5" t="s">
        <v>81</v>
      </c>
      <c r="O984" s="5" t="s">
        <v>81</v>
      </c>
      <c r="P984" s="16">
        <v>1</v>
      </c>
      <c r="Q984" s="16">
        <v>1</v>
      </c>
      <c r="R984" s="5" t="str">
        <f t="shared" si="158"/>
        <v>253-2023-06-30</v>
      </c>
    </row>
    <row r="985" spans="1:18" x14ac:dyDescent="0.3">
      <c r="A985" s="26">
        <v>253</v>
      </c>
      <c r="B985" s="5" t="s">
        <v>136</v>
      </c>
      <c r="C985" s="5" t="s">
        <v>20</v>
      </c>
      <c r="D985" s="5" t="s">
        <v>21</v>
      </c>
      <c r="E985" s="5" t="s">
        <v>14</v>
      </c>
      <c r="F985" s="6">
        <v>45169</v>
      </c>
      <c r="G985" s="5">
        <f t="shared" si="161"/>
        <v>2023</v>
      </c>
      <c r="H985" s="5" t="str">
        <f t="shared" si="162"/>
        <v>Agosto</v>
      </c>
      <c r="I985" s="6" t="str">
        <f t="shared" si="157"/>
        <v>2023-2</v>
      </c>
      <c r="J985" s="5">
        <v>8</v>
      </c>
      <c r="K985" s="9">
        <v>4.5</v>
      </c>
      <c r="L985" s="8">
        <f>IF(IFERROR(J985/K985,"")&gt;130%,130%,J985/K985)</f>
        <v>1.3</v>
      </c>
      <c r="M985" s="8">
        <f t="shared" si="163"/>
        <v>1.7777777777777777</v>
      </c>
      <c r="N985" s="5" t="s">
        <v>81</v>
      </c>
      <c r="O985" s="5" t="s">
        <v>81</v>
      </c>
      <c r="P985" s="16">
        <v>1</v>
      </c>
      <c r="Q985" s="16">
        <v>1</v>
      </c>
      <c r="R985" s="5" t="str">
        <f t="shared" si="158"/>
        <v>253-2023-08-31</v>
      </c>
    </row>
    <row r="986" spans="1:18" x14ac:dyDescent="0.3">
      <c r="A986" s="39">
        <v>253</v>
      </c>
      <c r="B986" s="5" t="s">
        <v>136</v>
      </c>
      <c r="C986" s="5" t="s">
        <v>20</v>
      </c>
      <c r="D986" s="5" t="s">
        <v>21</v>
      </c>
      <c r="E986" s="5" t="s">
        <v>14</v>
      </c>
      <c r="F986" s="6">
        <v>45230</v>
      </c>
      <c r="G986" s="5">
        <f t="shared" si="161"/>
        <v>2023</v>
      </c>
      <c r="H986" s="5" t="str">
        <f t="shared" si="162"/>
        <v>Octubre</v>
      </c>
      <c r="I986" s="6" t="str">
        <f t="shared" si="157"/>
        <v>2023-2</v>
      </c>
      <c r="J986" s="5">
        <v>8</v>
      </c>
      <c r="K986" s="9">
        <v>5.8</v>
      </c>
      <c r="L986" s="8">
        <f>IF(IFERROR(J986/K986,"")&gt;130%,130%,J986/K986)</f>
        <v>1.3</v>
      </c>
      <c r="M986" s="8">
        <f t="shared" si="163"/>
        <v>1.3793103448275863</v>
      </c>
      <c r="N986" s="5" t="s">
        <v>81</v>
      </c>
      <c r="O986" s="5" t="s">
        <v>81</v>
      </c>
      <c r="P986" s="16">
        <v>1</v>
      </c>
      <c r="Q986" s="16">
        <v>1</v>
      </c>
      <c r="R986" s="5" t="str">
        <f t="shared" si="158"/>
        <v>253-2023-10-31</v>
      </c>
    </row>
    <row r="987" spans="1:18" x14ac:dyDescent="0.3">
      <c r="A987" s="39">
        <v>253</v>
      </c>
      <c r="B987" s="5" t="s">
        <v>136</v>
      </c>
      <c r="C987" s="5" t="s">
        <v>20</v>
      </c>
      <c r="D987" s="5" t="s">
        <v>21</v>
      </c>
      <c r="E987" s="5" t="s">
        <v>14</v>
      </c>
      <c r="F987" s="6">
        <v>45291</v>
      </c>
      <c r="G987" s="5">
        <f t="shared" si="161"/>
        <v>2023</v>
      </c>
      <c r="H987" s="5" t="str">
        <f t="shared" si="162"/>
        <v>Diciembre</v>
      </c>
      <c r="I987" s="6" t="str">
        <f t="shared" si="157"/>
        <v>2023-2</v>
      </c>
      <c r="J987" s="5">
        <v>8</v>
      </c>
      <c r="K987" s="9">
        <v>5</v>
      </c>
      <c r="L987" s="8">
        <f>IF(IFERROR(J987/K987,"")&gt;130%,130%,J987/K987)</f>
        <v>1.3</v>
      </c>
      <c r="M987" s="8">
        <f t="shared" si="163"/>
        <v>1.6</v>
      </c>
      <c r="N987" s="5" t="s">
        <v>81</v>
      </c>
      <c r="O987" s="5" t="s">
        <v>81</v>
      </c>
      <c r="P987" s="16">
        <v>0</v>
      </c>
      <c r="Q987" s="16">
        <v>0</v>
      </c>
      <c r="R987" s="5" t="str">
        <f t="shared" si="158"/>
        <v>253-2023-12-31</v>
      </c>
    </row>
    <row r="988" spans="1:18" x14ac:dyDescent="0.3">
      <c r="A988" s="26">
        <v>254</v>
      </c>
      <c r="B988" s="5" t="s">
        <v>415</v>
      </c>
      <c r="C988" s="5" t="s">
        <v>131</v>
      </c>
      <c r="D988" s="5" t="s">
        <v>132</v>
      </c>
      <c r="E988" s="5" t="s">
        <v>9</v>
      </c>
      <c r="F988" s="6">
        <v>45107</v>
      </c>
      <c r="G988" s="5">
        <f t="shared" si="161"/>
        <v>2023</v>
      </c>
      <c r="H988" s="5" t="str">
        <f t="shared" si="162"/>
        <v>Junio</v>
      </c>
      <c r="I988" s="6" t="str">
        <f t="shared" si="157"/>
        <v>2023-1</v>
      </c>
      <c r="J988" s="5">
        <v>55</v>
      </c>
      <c r="K988" s="9">
        <v>55</v>
      </c>
      <c r="L988" s="15">
        <f>IFERROR(K988/J988,"")</f>
        <v>1</v>
      </c>
      <c r="M988" s="15">
        <f t="shared" ref="M988:M998" si="164">IFERROR(IF((K988/J988)&gt;K988/J988,1.3,K988/J988),"")</f>
        <v>1</v>
      </c>
      <c r="N988" s="5" t="s">
        <v>347</v>
      </c>
      <c r="O988" s="5" t="s">
        <v>347</v>
      </c>
      <c r="P988" s="16">
        <v>0</v>
      </c>
      <c r="Q988" s="16">
        <v>0</v>
      </c>
      <c r="R988" s="5" t="str">
        <f t="shared" si="158"/>
        <v>254-2023-06-30</v>
      </c>
    </row>
    <row r="989" spans="1:18" x14ac:dyDescent="0.3">
      <c r="A989" s="43">
        <v>254</v>
      </c>
      <c r="B989" s="5" t="s">
        <v>415</v>
      </c>
      <c r="C989" s="5" t="s">
        <v>131</v>
      </c>
      <c r="D989" s="5" t="s">
        <v>11</v>
      </c>
      <c r="E989" s="5" t="s">
        <v>9</v>
      </c>
      <c r="F989" s="6">
        <v>45199</v>
      </c>
      <c r="G989" s="5">
        <f t="shared" si="161"/>
        <v>2023</v>
      </c>
      <c r="H989" s="5" t="str">
        <f t="shared" si="162"/>
        <v>Septiembre</v>
      </c>
      <c r="I989" s="6" t="str">
        <f t="shared" si="157"/>
        <v>2023-2</v>
      </c>
      <c r="J989" s="5">
        <v>55</v>
      </c>
      <c r="K989" s="9">
        <v>54</v>
      </c>
      <c r="L989" s="15">
        <f>IFERROR(K989/J989,"")</f>
        <v>0.98181818181818181</v>
      </c>
      <c r="M989" s="15">
        <f t="shared" si="164"/>
        <v>0.98181818181818181</v>
      </c>
      <c r="N989" s="5" t="s">
        <v>347</v>
      </c>
      <c r="O989" s="5" t="s">
        <v>347</v>
      </c>
      <c r="P989" s="16">
        <v>0</v>
      </c>
      <c r="Q989" s="16">
        <v>0</v>
      </c>
      <c r="R989" s="5" t="str">
        <f t="shared" si="158"/>
        <v>254-2023-09-30</v>
      </c>
    </row>
    <row r="990" spans="1:18" x14ac:dyDescent="0.3">
      <c r="A990" s="39">
        <v>254</v>
      </c>
      <c r="B990" s="5" t="s">
        <v>415</v>
      </c>
      <c r="C990" s="5" t="s">
        <v>131</v>
      </c>
      <c r="D990" s="5" t="s">
        <v>11</v>
      </c>
      <c r="E990" s="5" t="s">
        <v>9</v>
      </c>
      <c r="F990" s="6">
        <v>45291</v>
      </c>
      <c r="G990" s="5">
        <f t="shared" si="161"/>
        <v>2023</v>
      </c>
      <c r="H990" s="5" t="str">
        <f t="shared" si="162"/>
        <v>Diciembre</v>
      </c>
      <c r="I990" s="6" t="str">
        <f t="shared" si="157"/>
        <v>2023-2</v>
      </c>
      <c r="J990" s="5">
        <v>55</v>
      </c>
      <c r="K990" s="9">
        <v>55</v>
      </c>
      <c r="L990" s="8">
        <f>IFERROR(K990/J990,"")</f>
        <v>1</v>
      </c>
      <c r="M990" s="15">
        <f t="shared" si="164"/>
        <v>1</v>
      </c>
      <c r="N990" s="5" t="s">
        <v>347</v>
      </c>
      <c r="O990" s="5" t="s">
        <v>347</v>
      </c>
      <c r="P990" s="16">
        <v>0</v>
      </c>
      <c r="Q990" s="16">
        <v>0</v>
      </c>
      <c r="R990" s="5" t="str">
        <f t="shared" si="158"/>
        <v>254-2023-12-31</v>
      </c>
    </row>
    <row r="991" spans="1:18" x14ac:dyDescent="0.3">
      <c r="A991" s="39">
        <v>254</v>
      </c>
      <c r="B991" s="5" t="s">
        <v>415</v>
      </c>
      <c r="C991" s="5" t="s">
        <v>131</v>
      </c>
      <c r="D991" s="5" t="s">
        <v>11</v>
      </c>
      <c r="E991" s="5" t="s">
        <v>9</v>
      </c>
      <c r="F991" s="6">
        <v>45382</v>
      </c>
      <c r="G991" s="5">
        <f t="shared" si="161"/>
        <v>2024</v>
      </c>
      <c r="H991" s="5" t="str">
        <f t="shared" si="162"/>
        <v>Marzo</v>
      </c>
      <c r="I991" s="6" t="str">
        <f t="shared" si="157"/>
        <v>2024-1</v>
      </c>
      <c r="J991" s="5">
        <v>73</v>
      </c>
      <c r="K991" s="5">
        <v>73</v>
      </c>
      <c r="L991" s="8">
        <f>IFERROR(K991/J991,"")</f>
        <v>1</v>
      </c>
      <c r="M991" s="15">
        <f t="shared" si="164"/>
        <v>1</v>
      </c>
      <c r="N991" s="5" t="s">
        <v>347</v>
      </c>
      <c r="O991" s="5" t="s">
        <v>347</v>
      </c>
      <c r="P991" s="16">
        <v>0</v>
      </c>
      <c r="Q991" s="16">
        <v>0</v>
      </c>
      <c r="R991" s="5" t="str">
        <f t="shared" si="158"/>
        <v>254-2024-03-31</v>
      </c>
    </row>
    <row r="992" spans="1:18" x14ac:dyDescent="0.3">
      <c r="A992" s="39">
        <v>254</v>
      </c>
      <c r="B992" s="5" t="s">
        <v>415</v>
      </c>
      <c r="C992" s="5" t="s">
        <v>131</v>
      </c>
      <c r="D992" s="5" t="s">
        <v>11</v>
      </c>
      <c r="E992" s="5" t="s">
        <v>9</v>
      </c>
      <c r="F992" s="6">
        <v>45473</v>
      </c>
      <c r="G992" s="5">
        <f t="shared" si="161"/>
        <v>2024</v>
      </c>
      <c r="H992" s="5" t="str">
        <f t="shared" si="162"/>
        <v>Junio</v>
      </c>
      <c r="I992" s="6" t="str">
        <f t="shared" si="157"/>
        <v>2024-1</v>
      </c>
      <c r="J992" s="5">
        <v>73</v>
      </c>
      <c r="K992" s="5">
        <v>73</v>
      </c>
      <c r="L992" s="8">
        <f>IFERROR(K992/J992,"")</f>
        <v>1</v>
      </c>
      <c r="M992" s="15">
        <f t="shared" si="164"/>
        <v>1</v>
      </c>
      <c r="N992" s="5" t="s">
        <v>347</v>
      </c>
      <c r="O992" s="5" t="s">
        <v>347</v>
      </c>
      <c r="P992" s="16">
        <v>0</v>
      </c>
      <c r="Q992" s="16">
        <v>0</v>
      </c>
      <c r="R992" s="5" t="str">
        <f t="shared" si="158"/>
        <v>254-2024-06-30</v>
      </c>
    </row>
    <row r="993" spans="1:18" x14ac:dyDescent="0.3">
      <c r="A993" s="26">
        <v>254</v>
      </c>
      <c r="B993" s="5" t="s">
        <v>415</v>
      </c>
      <c r="C993" s="5" t="s">
        <v>131</v>
      </c>
      <c r="D993" s="5" t="s">
        <v>11</v>
      </c>
      <c r="E993" s="5" t="s">
        <v>9</v>
      </c>
      <c r="F993" s="6">
        <v>45565</v>
      </c>
      <c r="G993" s="5">
        <f t="shared" si="161"/>
        <v>2024</v>
      </c>
      <c r="H993" s="5" t="str">
        <f t="shared" si="162"/>
        <v>Septiembre</v>
      </c>
      <c r="I993" s="6" t="str">
        <f t="shared" si="157"/>
        <v>2024-2</v>
      </c>
      <c r="J993" s="5">
        <v>73</v>
      </c>
      <c r="K993" s="5">
        <v>73</v>
      </c>
      <c r="L993" s="15">
        <f>IFERROR(IF((K993/J993)&gt;1.3,1.3,K993/J993),"")</f>
        <v>1</v>
      </c>
      <c r="M993" s="15">
        <f t="shared" si="164"/>
        <v>1</v>
      </c>
      <c r="N993" s="5" t="s">
        <v>347</v>
      </c>
      <c r="O993" s="5" t="s">
        <v>347</v>
      </c>
      <c r="P993" s="16">
        <v>0</v>
      </c>
      <c r="Q993" s="16">
        <v>0</v>
      </c>
      <c r="R993" s="5" t="str">
        <f t="shared" si="158"/>
        <v>254-2024-09-30</v>
      </c>
    </row>
    <row r="994" spans="1:18" x14ac:dyDescent="0.3">
      <c r="A994" s="26">
        <v>254</v>
      </c>
      <c r="B994" s="5" t="s">
        <v>415</v>
      </c>
      <c r="C994" s="5" t="s">
        <v>131</v>
      </c>
      <c r="D994" s="5" t="s">
        <v>11</v>
      </c>
      <c r="E994" s="5" t="s">
        <v>9</v>
      </c>
      <c r="F994" s="6">
        <v>45657</v>
      </c>
      <c r="G994" s="5">
        <f t="shared" si="161"/>
        <v>2024</v>
      </c>
      <c r="H994" s="5" t="str">
        <f t="shared" si="162"/>
        <v>Diciembre</v>
      </c>
      <c r="I994" s="6" t="str">
        <f t="shared" si="157"/>
        <v>2024-2</v>
      </c>
      <c r="J994" s="5">
        <v>73</v>
      </c>
      <c r="K994" s="5">
        <v>73</v>
      </c>
      <c r="L994" s="15">
        <f>IFERROR(IF((K994/J994)&gt;1.3,1.3,K994/J994),"")</f>
        <v>1</v>
      </c>
      <c r="M994" s="15">
        <f t="shared" si="164"/>
        <v>1</v>
      </c>
      <c r="N994" s="5" t="s">
        <v>347</v>
      </c>
      <c r="O994" s="5" t="s">
        <v>347</v>
      </c>
      <c r="P994" s="16">
        <v>0</v>
      </c>
      <c r="Q994" s="16">
        <v>0</v>
      </c>
      <c r="R994" s="5" t="str">
        <f t="shared" si="158"/>
        <v>254-2024-12-31</v>
      </c>
    </row>
    <row r="995" spans="1:18" x14ac:dyDescent="0.3">
      <c r="A995" s="39">
        <v>255</v>
      </c>
      <c r="B995" s="5" t="s">
        <v>137</v>
      </c>
      <c r="C995" s="5" t="s">
        <v>67</v>
      </c>
      <c r="D995" s="5" t="s">
        <v>25</v>
      </c>
      <c r="E995" s="5" t="s">
        <v>9</v>
      </c>
      <c r="F995" s="6">
        <v>45291</v>
      </c>
      <c r="G995" s="5">
        <f t="shared" si="161"/>
        <v>2023</v>
      </c>
      <c r="H995" s="5" t="str">
        <f t="shared" si="162"/>
        <v>Diciembre</v>
      </c>
      <c r="I995" s="6" t="str">
        <f t="shared" si="157"/>
        <v>2023-2</v>
      </c>
      <c r="J995" s="5">
        <v>16</v>
      </c>
      <c r="K995" s="9">
        <v>18</v>
      </c>
      <c r="L995" s="8">
        <f>IFERROR(K995/J995,"")</f>
        <v>1.125</v>
      </c>
      <c r="M995" s="15">
        <f t="shared" si="164"/>
        <v>1.125</v>
      </c>
      <c r="N995" s="5" t="s">
        <v>347</v>
      </c>
      <c r="O995" s="5" t="s">
        <v>347</v>
      </c>
      <c r="P995" s="16">
        <v>0</v>
      </c>
      <c r="Q995" s="16">
        <v>0</v>
      </c>
      <c r="R995" s="5" t="str">
        <f t="shared" si="158"/>
        <v>255-2023-12-31</v>
      </c>
    </row>
    <row r="996" spans="1:18" x14ac:dyDescent="0.3">
      <c r="A996" s="26">
        <v>255</v>
      </c>
      <c r="B996" s="5" t="s">
        <v>137</v>
      </c>
      <c r="C996" s="5" t="s">
        <v>67</v>
      </c>
      <c r="D996" s="5" t="s">
        <v>25</v>
      </c>
      <c r="E996" s="5" t="s">
        <v>9</v>
      </c>
      <c r="F996" s="6">
        <v>45657</v>
      </c>
      <c r="G996" s="5">
        <f t="shared" si="161"/>
        <v>2024</v>
      </c>
      <c r="H996" s="5" t="str">
        <f t="shared" si="162"/>
        <v>Diciembre</v>
      </c>
      <c r="I996" s="6" t="str">
        <f t="shared" si="157"/>
        <v>2024-2</v>
      </c>
      <c r="J996" s="5">
        <v>100</v>
      </c>
      <c r="K996" s="10">
        <v>-5</v>
      </c>
      <c r="L996" s="15">
        <f>IFERROR(IF((K996/J996)&gt;1.3,1.3,K996/J996),"")</f>
        <v>-0.05</v>
      </c>
      <c r="M996" s="15">
        <f t="shared" si="164"/>
        <v>-0.05</v>
      </c>
      <c r="N996" s="5"/>
      <c r="O996" s="5"/>
      <c r="P996" s="16">
        <v>0</v>
      </c>
      <c r="Q996" s="16">
        <v>0</v>
      </c>
      <c r="R996" s="5" t="str">
        <f t="shared" si="158"/>
        <v>255-2024-12-31</v>
      </c>
    </row>
    <row r="997" spans="1:18" x14ac:dyDescent="0.3">
      <c r="A997" s="26">
        <v>256</v>
      </c>
      <c r="B997" s="5" t="s">
        <v>138</v>
      </c>
      <c r="C997" s="5" t="s">
        <v>67</v>
      </c>
      <c r="D997" s="5" t="s">
        <v>8</v>
      </c>
      <c r="E997" s="5" t="s">
        <v>9</v>
      </c>
      <c r="F997" s="17">
        <v>45107</v>
      </c>
      <c r="G997" s="5">
        <f t="shared" si="161"/>
        <v>2023</v>
      </c>
      <c r="H997" s="5" t="str">
        <f t="shared" si="162"/>
        <v>Junio</v>
      </c>
      <c r="I997" s="6" t="str">
        <f t="shared" si="157"/>
        <v>2023-1</v>
      </c>
      <c r="J997" s="5">
        <v>17</v>
      </c>
      <c r="K997" s="9">
        <v>21</v>
      </c>
      <c r="L997" s="8">
        <f t="shared" ref="L997:L1004" si="165">IFERROR(K997/J997,"")</f>
        <v>1.2352941176470589</v>
      </c>
      <c r="M997" s="15">
        <f t="shared" si="164"/>
        <v>1.2352941176470589</v>
      </c>
      <c r="N997" s="5" t="s">
        <v>490</v>
      </c>
      <c r="O997" s="5" t="s">
        <v>490</v>
      </c>
      <c r="P997" s="16">
        <v>0</v>
      </c>
      <c r="Q997" s="16">
        <v>0</v>
      </c>
      <c r="R997" s="5" t="str">
        <f t="shared" si="158"/>
        <v>256-2023-06-30</v>
      </c>
    </row>
    <row r="998" spans="1:18" x14ac:dyDescent="0.3">
      <c r="A998" s="39">
        <v>256</v>
      </c>
      <c r="B998" s="5" t="s">
        <v>138</v>
      </c>
      <c r="C998" s="5" t="s">
        <v>67</v>
      </c>
      <c r="D998" s="5" t="s">
        <v>8</v>
      </c>
      <c r="E998" s="5" t="s">
        <v>9</v>
      </c>
      <c r="F998" s="6">
        <v>45291</v>
      </c>
      <c r="G998" s="5">
        <f t="shared" si="161"/>
        <v>2023</v>
      </c>
      <c r="H998" s="5" t="str">
        <f t="shared" si="162"/>
        <v>Diciembre</v>
      </c>
      <c r="I998" s="6" t="str">
        <f t="shared" si="157"/>
        <v>2023-2</v>
      </c>
      <c r="J998" s="5">
        <v>17</v>
      </c>
      <c r="K998" s="9">
        <v>21</v>
      </c>
      <c r="L998" s="8">
        <f t="shared" si="165"/>
        <v>1.2352941176470589</v>
      </c>
      <c r="M998" s="15">
        <f t="shared" si="164"/>
        <v>1.2352941176470589</v>
      </c>
      <c r="N998" s="5" t="s">
        <v>490</v>
      </c>
      <c r="O998" s="5" t="s">
        <v>490</v>
      </c>
      <c r="P998" s="16">
        <v>0</v>
      </c>
      <c r="Q998" s="16">
        <v>0</v>
      </c>
      <c r="R998" s="5" t="str">
        <f t="shared" si="158"/>
        <v>256-2023-12-31</v>
      </c>
    </row>
    <row r="999" spans="1:18" x14ac:dyDescent="0.3">
      <c r="A999" s="5">
        <v>256</v>
      </c>
      <c r="B999" s="5" t="s">
        <v>138</v>
      </c>
      <c r="C999" s="5" t="s">
        <v>67</v>
      </c>
      <c r="D999" s="5" t="s">
        <v>8</v>
      </c>
      <c r="E999" s="5" t="s">
        <v>9</v>
      </c>
      <c r="F999" s="6">
        <v>45473</v>
      </c>
      <c r="G999" s="5">
        <f t="shared" si="161"/>
        <v>2024</v>
      </c>
      <c r="H999" s="5" t="str">
        <f t="shared" si="162"/>
        <v>Junio</v>
      </c>
      <c r="I999" s="6" t="str">
        <f t="shared" si="157"/>
        <v>2024-1</v>
      </c>
      <c r="J999" s="5">
        <v>17</v>
      </c>
      <c r="K999" s="5">
        <v>20</v>
      </c>
      <c r="L999" s="8">
        <f t="shared" si="165"/>
        <v>1.1764705882352942</v>
      </c>
      <c r="M999" s="15">
        <v>1.1765000000000001</v>
      </c>
      <c r="N999" s="5" t="s">
        <v>490</v>
      </c>
      <c r="O999" s="5" t="s">
        <v>490</v>
      </c>
      <c r="P999" s="5">
        <v>0</v>
      </c>
      <c r="Q999" s="5">
        <v>0</v>
      </c>
      <c r="R999" s="5" t="str">
        <f t="shared" si="158"/>
        <v>256-2024-06-30</v>
      </c>
    </row>
    <row r="1000" spans="1:18" x14ac:dyDescent="0.3">
      <c r="A1000" s="26">
        <v>256</v>
      </c>
      <c r="B1000" s="5" t="s">
        <v>138</v>
      </c>
      <c r="C1000" s="5" t="s">
        <v>67</v>
      </c>
      <c r="D1000" s="5" t="s">
        <v>8</v>
      </c>
      <c r="E1000" s="5" t="s">
        <v>9</v>
      </c>
      <c r="F1000" s="6">
        <v>45657</v>
      </c>
      <c r="G1000" s="5">
        <f t="shared" si="161"/>
        <v>2024</v>
      </c>
      <c r="H1000" s="5" t="str">
        <f t="shared" si="162"/>
        <v>Diciembre</v>
      </c>
      <c r="I1000" s="6" t="str">
        <f t="shared" si="157"/>
        <v>2024-2</v>
      </c>
      <c r="J1000" s="5">
        <v>17</v>
      </c>
      <c r="K1000" s="10">
        <v>26</v>
      </c>
      <c r="L1000" s="8">
        <f t="shared" si="165"/>
        <v>1.5294117647058822</v>
      </c>
      <c r="M1000" s="15">
        <f t="shared" ref="M1000:M1004" si="166">IFERROR(IF((K1000/J1000)&gt;K1000/J1000,1.3,K1000/J1000),"")</f>
        <v>1.5294117647058822</v>
      </c>
      <c r="N1000" s="5" t="s">
        <v>490</v>
      </c>
      <c r="O1000" s="5" t="s">
        <v>490</v>
      </c>
      <c r="P1000" s="16">
        <v>0</v>
      </c>
      <c r="Q1000" s="16">
        <v>0</v>
      </c>
      <c r="R1000" s="5" t="str">
        <f t="shared" si="158"/>
        <v>256-2024-12-31</v>
      </c>
    </row>
    <row r="1001" spans="1:18" x14ac:dyDescent="0.3">
      <c r="A1001" s="26">
        <v>257</v>
      </c>
      <c r="B1001" s="5" t="s">
        <v>139</v>
      </c>
      <c r="C1001" s="5" t="s">
        <v>67</v>
      </c>
      <c r="D1001" s="5" t="s">
        <v>8</v>
      </c>
      <c r="E1001" s="5" t="s">
        <v>9</v>
      </c>
      <c r="F1001" s="17">
        <v>45107</v>
      </c>
      <c r="G1001" s="5">
        <f t="shared" si="161"/>
        <v>2023</v>
      </c>
      <c r="H1001" s="5" t="str">
        <f t="shared" si="162"/>
        <v>Junio</v>
      </c>
      <c r="I1001" s="6" t="str">
        <f t="shared" si="157"/>
        <v>2023-1</v>
      </c>
      <c r="J1001" s="5">
        <v>18</v>
      </c>
      <c r="K1001" s="9">
        <v>15</v>
      </c>
      <c r="L1001" s="8">
        <f t="shared" si="165"/>
        <v>0.83333333333333337</v>
      </c>
      <c r="M1001" s="15">
        <f t="shared" si="166"/>
        <v>0.83333333333333337</v>
      </c>
      <c r="N1001" s="5" t="s">
        <v>490</v>
      </c>
      <c r="O1001" s="5" t="s">
        <v>490</v>
      </c>
      <c r="P1001" s="16">
        <v>0</v>
      </c>
      <c r="Q1001" s="16">
        <v>0</v>
      </c>
      <c r="R1001" s="5" t="str">
        <f t="shared" si="158"/>
        <v>257-2023-06-30</v>
      </c>
    </row>
    <row r="1002" spans="1:18" x14ac:dyDescent="0.3">
      <c r="A1002" s="39">
        <v>257</v>
      </c>
      <c r="B1002" s="5" t="s">
        <v>139</v>
      </c>
      <c r="C1002" s="5" t="s">
        <v>67</v>
      </c>
      <c r="D1002" s="5" t="s">
        <v>8</v>
      </c>
      <c r="E1002" s="5" t="s">
        <v>9</v>
      </c>
      <c r="F1002" s="6">
        <v>45291</v>
      </c>
      <c r="G1002" s="5">
        <f t="shared" si="161"/>
        <v>2023</v>
      </c>
      <c r="H1002" s="5" t="str">
        <f t="shared" si="162"/>
        <v>Diciembre</v>
      </c>
      <c r="I1002" s="6" t="str">
        <f t="shared" si="157"/>
        <v>2023-2</v>
      </c>
      <c r="J1002" s="5">
        <v>24</v>
      </c>
      <c r="K1002" s="9">
        <v>24</v>
      </c>
      <c r="L1002" s="8">
        <f t="shared" si="165"/>
        <v>1</v>
      </c>
      <c r="M1002" s="15">
        <f t="shared" si="166"/>
        <v>1</v>
      </c>
      <c r="N1002" s="5" t="s">
        <v>490</v>
      </c>
      <c r="O1002" s="5" t="s">
        <v>490</v>
      </c>
      <c r="P1002" s="16">
        <v>0</v>
      </c>
      <c r="Q1002" s="16">
        <v>0</v>
      </c>
      <c r="R1002" s="5" t="str">
        <f t="shared" si="158"/>
        <v>257-2023-12-31</v>
      </c>
    </row>
    <row r="1003" spans="1:18" x14ac:dyDescent="0.3">
      <c r="A1003" s="26">
        <v>259</v>
      </c>
      <c r="B1003" s="5" t="s">
        <v>140</v>
      </c>
      <c r="C1003" s="5" t="s">
        <v>134</v>
      </c>
      <c r="D1003" s="5" t="s">
        <v>11</v>
      </c>
      <c r="E1003" s="5" t="s">
        <v>9</v>
      </c>
      <c r="F1003" s="6">
        <v>45107</v>
      </c>
      <c r="G1003" s="5">
        <f t="shared" si="161"/>
        <v>2023</v>
      </c>
      <c r="H1003" s="5" t="str">
        <f t="shared" si="162"/>
        <v>Junio</v>
      </c>
      <c r="I1003" s="6" t="str">
        <f t="shared" si="157"/>
        <v>2023-1</v>
      </c>
      <c r="J1003" s="5">
        <v>100</v>
      </c>
      <c r="K1003" s="9">
        <v>60.526315789473998</v>
      </c>
      <c r="L1003" s="8">
        <f t="shared" si="165"/>
        <v>0.60526315789473994</v>
      </c>
      <c r="M1003" s="15">
        <f t="shared" si="166"/>
        <v>0.60526315789473994</v>
      </c>
      <c r="N1003" s="5" t="s">
        <v>347</v>
      </c>
      <c r="O1003" s="5" t="s">
        <v>347</v>
      </c>
      <c r="P1003" s="16">
        <v>0</v>
      </c>
      <c r="Q1003" s="16">
        <v>0</v>
      </c>
      <c r="R1003" s="5" t="str">
        <f t="shared" si="158"/>
        <v>259-2023-06-30</v>
      </c>
    </row>
    <row r="1004" spans="1:18" x14ac:dyDescent="0.3">
      <c r="A1004" s="43">
        <v>259</v>
      </c>
      <c r="B1004" s="5" t="s">
        <v>140</v>
      </c>
      <c r="C1004" s="5" t="s">
        <v>134</v>
      </c>
      <c r="D1004" s="5" t="s">
        <v>11</v>
      </c>
      <c r="E1004" s="5" t="s">
        <v>9</v>
      </c>
      <c r="F1004" s="6">
        <v>45199</v>
      </c>
      <c r="G1004" s="5">
        <f t="shared" si="161"/>
        <v>2023</v>
      </c>
      <c r="H1004" s="5" t="str">
        <f t="shared" si="162"/>
        <v>Septiembre</v>
      </c>
      <c r="I1004" s="6" t="str">
        <f t="shared" si="157"/>
        <v>2023-2</v>
      </c>
      <c r="J1004" s="5">
        <v>100</v>
      </c>
      <c r="K1004" s="9">
        <v>68.75</v>
      </c>
      <c r="L1004" s="8">
        <f t="shared" si="165"/>
        <v>0.6875</v>
      </c>
      <c r="M1004" s="15">
        <f t="shared" si="166"/>
        <v>0.6875</v>
      </c>
      <c r="N1004" s="5" t="s">
        <v>347</v>
      </c>
      <c r="O1004" s="5" t="s">
        <v>347</v>
      </c>
      <c r="P1004" s="16">
        <v>0</v>
      </c>
      <c r="Q1004" s="16">
        <v>0</v>
      </c>
      <c r="R1004" s="5" t="str">
        <f t="shared" si="158"/>
        <v>259-2023-09-30</v>
      </c>
    </row>
    <row r="1005" spans="1:18" x14ac:dyDescent="0.3">
      <c r="A1005" s="5">
        <v>259</v>
      </c>
      <c r="B1005" s="5" t="s">
        <v>140</v>
      </c>
      <c r="C1005" s="5" t="s">
        <v>134</v>
      </c>
      <c r="D1005" s="5" t="s">
        <v>11</v>
      </c>
      <c r="E1005" s="5" t="s">
        <v>9</v>
      </c>
      <c r="F1005" s="6">
        <v>45473</v>
      </c>
      <c r="G1005" s="5">
        <f t="shared" si="161"/>
        <v>2024</v>
      </c>
      <c r="H1005" s="5" t="str">
        <f t="shared" si="162"/>
        <v>Junio</v>
      </c>
      <c r="I1005" s="6" t="str">
        <f t="shared" si="157"/>
        <v>2024-1</v>
      </c>
      <c r="J1005" s="5">
        <v>90</v>
      </c>
      <c r="K1005" s="5">
        <v>34.69</v>
      </c>
      <c r="L1005" s="15">
        <v>0.38544444444444442</v>
      </c>
      <c r="M1005" s="15">
        <v>0.38544444444444442</v>
      </c>
      <c r="N1005" s="5" t="s">
        <v>347</v>
      </c>
      <c r="O1005" s="5" t="s">
        <v>347</v>
      </c>
      <c r="P1005" s="5">
        <v>0</v>
      </c>
      <c r="Q1005" s="5">
        <v>0</v>
      </c>
      <c r="R1005" s="5" t="str">
        <f t="shared" si="158"/>
        <v>259-2024-06-30</v>
      </c>
    </row>
    <row r="1006" spans="1:18" x14ac:dyDescent="0.3">
      <c r="A1006" s="26">
        <v>259</v>
      </c>
      <c r="B1006" s="5" t="s">
        <v>140</v>
      </c>
      <c r="C1006" s="5" t="s">
        <v>134</v>
      </c>
      <c r="D1006" s="5" t="s">
        <v>11</v>
      </c>
      <c r="E1006" s="5" t="s">
        <v>9</v>
      </c>
      <c r="F1006" s="6">
        <v>45565</v>
      </c>
      <c r="G1006" s="5">
        <f t="shared" si="161"/>
        <v>2024</v>
      </c>
      <c r="H1006" s="5" t="str">
        <f t="shared" si="162"/>
        <v>Septiembre</v>
      </c>
      <c r="I1006" s="6" t="str">
        <f t="shared" si="157"/>
        <v>2024-2</v>
      </c>
      <c r="J1006" s="5">
        <v>90</v>
      </c>
      <c r="K1006" s="10">
        <v>83.33</v>
      </c>
      <c r="L1006" s="15">
        <f>IFERROR(IF((K1006/J1006)&gt;1.3,1.3,K1006/J1006),"")</f>
        <v>0.92588888888888887</v>
      </c>
      <c r="M1006" s="15">
        <f>IFERROR(IF((K1006/J1006)&gt;K1006/J1006,1.3,K1006/J1006),"")</f>
        <v>0.92588888888888887</v>
      </c>
      <c r="N1006" s="5" t="s">
        <v>347</v>
      </c>
      <c r="O1006" s="5" t="s">
        <v>347</v>
      </c>
      <c r="P1006" s="16">
        <v>0</v>
      </c>
      <c r="Q1006" s="16">
        <v>0</v>
      </c>
      <c r="R1006" s="5" t="str">
        <f t="shared" si="158"/>
        <v>259-2024-09-30</v>
      </c>
    </row>
    <row r="1007" spans="1:18" x14ac:dyDescent="0.3">
      <c r="A1007" s="26">
        <v>259</v>
      </c>
      <c r="B1007" s="5" t="s">
        <v>140</v>
      </c>
      <c r="C1007" s="5" t="s">
        <v>134</v>
      </c>
      <c r="D1007" s="5" t="s">
        <v>11</v>
      </c>
      <c r="E1007" s="5" t="s">
        <v>9</v>
      </c>
      <c r="F1007" s="6">
        <v>45657</v>
      </c>
      <c r="G1007" s="5">
        <f t="shared" si="161"/>
        <v>2024</v>
      </c>
      <c r="H1007" s="5" t="str">
        <f t="shared" si="162"/>
        <v>Diciembre</v>
      </c>
      <c r="I1007" s="6" t="str">
        <f t="shared" si="157"/>
        <v>2024-2</v>
      </c>
      <c r="J1007" s="5">
        <v>90</v>
      </c>
      <c r="K1007" s="10">
        <v>78.430000000000007</v>
      </c>
      <c r="L1007" s="15">
        <f>IFERROR(IF((K1007/J1007)&gt;1.3,1.3,K1007/J1007),"")</f>
        <v>0.87144444444444447</v>
      </c>
      <c r="M1007" s="15">
        <f>IFERROR(IF((K1007/J1007)&gt;K1007/J1007,1.3,K1007/J1007),"")</f>
        <v>0.87144444444444447</v>
      </c>
      <c r="N1007" s="5" t="s">
        <v>347</v>
      </c>
      <c r="O1007" s="5" t="s">
        <v>347</v>
      </c>
      <c r="P1007" s="16">
        <v>0</v>
      </c>
      <c r="Q1007" s="16">
        <v>0</v>
      </c>
      <c r="R1007" s="5" t="str">
        <f t="shared" si="158"/>
        <v>259-2024-12-31</v>
      </c>
    </row>
    <row r="1008" spans="1:18" x14ac:dyDescent="0.3">
      <c r="A1008" s="26">
        <v>260</v>
      </c>
      <c r="B1008" s="5" t="s">
        <v>141</v>
      </c>
      <c r="C1008" s="5" t="s">
        <v>142</v>
      </c>
      <c r="D1008" s="5" t="s">
        <v>8</v>
      </c>
      <c r="E1008" s="5" t="s">
        <v>14</v>
      </c>
      <c r="F1008" s="17">
        <v>45107</v>
      </c>
      <c r="G1008" s="5">
        <f t="shared" si="161"/>
        <v>2023</v>
      </c>
      <c r="H1008" s="5" t="str">
        <f t="shared" si="162"/>
        <v>Junio</v>
      </c>
      <c r="I1008" s="6" t="str">
        <f t="shared" si="157"/>
        <v>2023-1</v>
      </c>
      <c r="J1008" s="5">
        <v>3</v>
      </c>
      <c r="K1008" s="9">
        <v>2.8</v>
      </c>
      <c r="L1008" s="8">
        <f t="shared" ref="L1008:L1015" si="167">IFERROR(IF(J1008/K1008&gt;1.3,1.3,J1008/K1008),"")</f>
        <v>1.0714285714285714</v>
      </c>
      <c r="M1008" s="8">
        <f t="shared" ref="M1008:M1015" si="168">IFERROR(J1008/K1008,"")</f>
        <v>1.0714285714285714</v>
      </c>
      <c r="N1008" s="5" t="s">
        <v>478</v>
      </c>
      <c r="O1008" s="5" t="s">
        <v>478</v>
      </c>
      <c r="P1008" s="16">
        <v>0</v>
      </c>
      <c r="Q1008" s="16">
        <v>1</v>
      </c>
      <c r="R1008" s="5" t="str">
        <f t="shared" si="158"/>
        <v>260-2023-06-30</v>
      </c>
    </row>
    <row r="1009" spans="1:18" x14ac:dyDescent="0.3">
      <c r="A1009" s="39">
        <v>260</v>
      </c>
      <c r="B1009" s="5" t="s">
        <v>141</v>
      </c>
      <c r="C1009" s="5" t="s">
        <v>142</v>
      </c>
      <c r="D1009" s="5" t="s">
        <v>8</v>
      </c>
      <c r="E1009" s="5" t="s">
        <v>14</v>
      </c>
      <c r="F1009" s="6">
        <v>45291</v>
      </c>
      <c r="G1009" s="5">
        <f t="shared" si="161"/>
        <v>2023</v>
      </c>
      <c r="H1009" s="5" t="str">
        <f t="shared" si="162"/>
        <v>Diciembre</v>
      </c>
      <c r="I1009" s="6" t="str">
        <f t="shared" si="157"/>
        <v>2023-2</v>
      </c>
      <c r="J1009" s="5">
        <v>3</v>
      </c>
      <c r="K1009" s="9">
        <v>2.9</v>
      </c>
      <c r="L1009" s="8">
        <f t="shared" si="167"/>
        <v>1.0344827586206897</v>
      </c>
      <c r="M1009" s="8">
        <f t="shared" si="168"/>
        <v>1.0344827586206897</v>
      </c>
      <c r="N1009" s="5" t="s">
        <v>478</v>
      </c>
      <c r="O1009" s="5" t="s">
        <v>478</v>
      </c>
      <c r="P1009" s="16">
        <v>0</v>
      </c>
      <c r="Q1009" s="16">
        <v>1</v>
      </c>
      <c r="R1009" s="5" t="str">
        <f t="shared" si="158"/>
        <v>260-2023-12-31</v>
      </c>
    </row>
    <row r="1010" spans="1:18" x14ac:dyDescent="0.3">
      <c r="A1010" s="5">
        <v>260</v>
      </c>
      <c r="B1010" s="5" t="s">
        <v>141</v>
      </c>
      <c r="C1010" s="5" t="s">
        <v>142</v>
      </c>
      <c r="D1010" s="5" t="s">
        <v>8</v>
      </c>
      <c r="E1010" s="5" t="s">
        <v>14</v>
      </c>
      <c r="F1010" s="6">
        <v>45473</v>
      </c>
      <c r="G1010" s="5">
        <f t="shared" si="161"/>
        <v>2024</v>
      </c>
      <c r="H1010" s="5" t="str">
        <f t="shared" si="162"/>
        <v>Junio</v>
      </c>
      <c r="I1010" s="6" t="str">
        <f t="shared" si="157"/>
        <v>2024-1</v>
      </c>
      <c r="J1010" s="5">
        <v>2.8</v>
      </c>
      <c r="K1010" s="5">
        <v>2.5099999999999998</v>
      </c>
      <c r="L1010" s="8">
        <f t="shared" si="167"/>
        <v>1.1155378486055778</v>
      </c>
      <c r="M1010" s="8">
        <f t="shared" si="168"/>
        <v>1.1155378486055778</v>
      </c>
      <c r="N1010" s="5" t="s">
        <v>478</v>
      </c>
      <c r="O1010" s="5" t="s">
        <v>478</v>
      </c>
      <c r="P1010" s="5">
        <v>1</v>
      </c>
      <c r="Q1010" s="5">
        <v>1</v>
      </c>
      <c r="R1010" s="5" t="str">
        <f t="shared" si="158"/>
        <v>260-2024-06-30</v>
      </c>
    </row>
    <row r="1011" spans="1:18" x14ac:dyDescent="0.3">
      <c r="A1011" s="26">
        <v>260</v>
      </c>
      <c r="B1011" s="5" t="s">
        <v>141</v>
      </c>
      <c r="C1011" s="5" t="s">
        <v>142</v>
      </c>
      <c r="D1011" s="5" t="s">
        <v>8</v>
      </c>
      <c r="E1011" s="5" t="s">
        <v>14</v>
      </c>
      <c r="F1011" s="6">
        <v>45657</v>
      </c>
      <c r="G1011" s="5">
        <f t="shared" si="161"/>
        <v>2024</v>
      </c>
      <c r="H1011" s="5" t="str">
        <f t="shared" si="162"/>
        <v>Diciembre</v>
      </c>
      <c r="I1011" s="6" t="str">
        <f t="shared" si="157"/>
        <v>2024-2</v>
      </c>
      <c r="J1011" s="5">
        <v>2.8</v>
      </c>
      <c r="K1011" s="10">
        <v>2.1</v>
      </c>
      <c r="L1011" s="8">
        <f t="shared" si="167"/>
        <v>1.3</v>
      </c>
      <c r="M1011" s="8">
        <f t="shared" si="168"/>
        <v>1.3333333333333333</v>
      </c>
      <c r="N1011" s="5" t="s">
        <v>478</v>
      </c>
      <c r="O1011" s="5" t="s">
        <v>478</v>
      </c>
      <c r="P1011" s="16">
        <v>1</v>
      </c>
      <c r="Q1011" s="16">
        <v>1</v>
      </c>
      <c r="R1011" s="5" t="str">
        <f t="shared" si="158"/>
        <v>260-2024-12-31</v>
      </c>
    </row>
    <row r="1012" spans="1:18" x14ac:dyDescent="0.3">
      <c r="A1012" s="26">
        <v>261</v>
      </c>
      <c r="B1012" s="5" t="s">
        <v>143</v>
      </c>
      <c r="C1012" s="5" t="s">
        <v>74</v>
      </c>
      <c r="D1012" s="5" t="s">
        <v>8</v>
      </c>
      <c r="E1012" s="5" t="s">
        <v>14</v>
      </c>
      <c r="F1012" s="17">
        <v>45107</v>
      </c>
      <c r="G1012" s="5">
        <f t="shared" si="161"/>
        <v>2023</v>
      </c>
      <c r="H1012" s="5" t="str">
        <f t="shared" si="162"/>
        <v>Junio</v>
      </c>
      <c r="I1012" s="6" t="str">
        <f t="shared" si="157"/>
        <v>2023-1</v>
      </c>
      <c r="J1012" s="5">
        <v>3</v>
      </c>
      <c r="K1012" s="9">
        <v>1.98</v>
      </c>
      <c r="L1012" s="8">
        <f t="shared" si="167"/>
        <v>1.3</v>
      </c>
      <c r="M1012" s="8">
        <f t="shared" si="168"/>
        <v>1.5151515151515151</v>
      </c>
      <c r="N1012" s="5" t="s">
        <v>478</v>
      </c>
      <c r="O1012" s="5" t="s">
        <v>478</v>
      </c>
      <c r="P1012" s="16">
        <v>2</v>
      </c>
      <c r="Q1012" s="16">
        <v>2</v>
      </c>
      <c r="R1012" s="5" t="str">
        <f t="shared" si="158"/>
        <v>261-2023-06-30</v>
      </c>
    </row>
    <row r="1013" spans="1:18" x14ac:dyDescent="0.3">
      <c r="A1013" s="39">
        <v>261</v>
      </c>
      <c r="B1013" s="5" t="s">
        <v>143</v>
      </c>
      <c r="C1013" s="5" t="s">
        <v>74</v>
      </c>
      <c r="D1013" s="5" t="s">
        <v>8</v>
      </c>
      <c r="E1013" s="5" t="s">
        <v>14</v>
      </c>
      <c r="F1013" s="6">
        <v>45291</v>
      </c>
      <c r="G1013" s="5">
        <f t="shared" si="161"/>
        <v>2023</v>
      </c>
      <c r="H1013" s="5" t="str">
        <f t="shared" si="162"/>
        <v>Diciembre</v>
      </c>
      <c r="I1013" s="6" t="str">
        <f t="shared" si="157"/>
        <v>2023-2</v>
      </c>
      <c r="J1013" s="5">
        <v>3</v>
      </c>
      <c r="K1013" s="9">
        <v>1.98</v>
      </c>
      <c r="L1013" s="8">
        <f t="shared" si="167"/>
        <v>1.3</v>
      </c>
      <c r="M1013" s="8">
        <f t="shared" si="168"/>
        <v>1.5151515151515151</v>
      </c>
      <c r="N1013" s="5" t="s">
        <v>478</v>
      </c>
      <c r="O1013" s="5" t="s">
        <v>478</v>
      </c>
      <c r="P1013" s="16">
        <v>0</v>
      </c>
      <c r="Q1013" s="16">
        <v>0</v>
      </c>
      <c r="R1013" s="5" t="str">
        <f t="shared" si="158"/>
        <v>261-2023-12-31</v>
      </c>
    </row>
    <row r="1014" spans="1:18" x14ac:dyDescent="0.3">
      <c r="A1014" s="5">
        <v>261</v>
      </c>
      <c r="B1014" s="5" t="s">
        <v>143</v>
      </c>
      <c r="C1014" s="5" t="s">
        <v>74</v>
      </c>
      <c r="D1014" s="5" t="s">
        <v>8</v>
      </c>
      <c r="E1014" s="5" t="s">
        <v>14</v>
      </c>
      <c r="F1014" s="6">
        <v>45473</v>
      </c>
      <c r="G1014" s="5">
        <f t="shared" si="161"/>
        <v>2024</v>
      </c>
      <c r="H1014" s="5" t="str">
        <f t="shared" si="162"/>
        <v>Junio</v>
      </c>
      <c r="I1014" s="6" t="str">
        <f t="shared" ref="I1014:I1073" si="169">IF(OR(H1014="Enero",H1014="Febrero",H1014="Marzo",H1014="Abril",H1014="Mayo",H1014="Junio"),G1014&amp;"-1",IF(OR(H1014="Julio",H1014="Agosto",H1014="Septiembre",H1014="Octubre",H1014="Noviembre",H1014="Diciembre"),G1014&amp;"-2"))</f>
        <v>2024-1</v>
      </c>
      <c r="J1014" s="5">
        <v>3</v>
      </c>
      <c r="K1014" s="5">
        <v>2.2000000000000002</v>
      </c>
      <c r="L1014" s="8">
        <f t="shared" si="167"/>
        <v>1.3</v>
      </c>
      <c r="M1014" s="8">
        <f t="shared" si="168"/>
        <v>1.3636363636363635</v>
      </c>
      <c r="N1014" s="5" t="s">
        <v>478</v>
      </c>
      <c r="O1014" s="5" t="s">
        <v>478</v>
      </c>
      <c r="P1014" s="5">
        <v>1</v>
      </c>
      <c r="Q1014" s="5">
        <v>1</v>
      </c>
      <c r="R1014" s="5" t="str">
        <f t="shared" ref="R1014:R1073" si="170">A1014&amp;"-"&amp;YEAR(F1014)&amp;"-"&amp;IF(LEN(MONTH(F1014))=1,"0"&amp;MONTH(F1014),MONTH(F1014))&amp;"-"&amp;DAY(F1014)</f>
        <v>261-2024-06-30</v>
      </c>
    </row>
    <row r="1015" spans="1:18" x14ac:dyDescent="0.3">
      <c r="A1015" s="26">
        <v>261</v>
      </c>
      <c r="B1015" s="5" t="s">
        <v>143</v>
      </c>
      <c r="C1015" s="5" t="s">
        <v>74</v>
      </c>
      <c r="D1015" s="5" t="s">
        <v>8</v>
      </c>
      <c r="E1015" s="5" t="s">
        <v>14</v>
      </c>
      <c r="F1015" s="6">
        <v>45657</v>
      </c>
      <c r="G1015" s="5">
        <f t="shared" si="161"/>
        <v>2024</v>
      </c>
      <c r="H1015" s="5" t="str">
        <f t="shared" si="162"/>
        <v>Diciembre</v>
      </c>
      <c r="I1015" s="6" t="str">
        <f t="shared" si="169"/>
        <v>2024-2</v>
      </c>
      <c r="J1015" s="5">
        <v>3</v>
      </c>
      <c r="K1015" s="10">
        <v>2.2000000000000002</v>
      </c>
      <c r="L1015" s="8">
        <f t="shared" si="167"/>
        <v>1.3</v>
      </c>
      <c r="M1015" s="8">
        <f t="shared" si="168"/>
        <v>1.3636363636363635</v>
      </c>
      <c r="N1015" s="5" t="s">
        <v>478</v>
      </c>
      <c r="O1015" s="5" t="s">
        <v>478</v>
      </c>
      <c r="P1015" s="16">
        <v>1</v>
      </c>
      <c r="Q1015" s="16">
        <v>1</v>
      </c>
      <c r="R1015" s="5" t="str">
        <f t="shared" si="170"/>
        <v>261-2024-12-31</v>
      </c>
    </row>
    <row r="1016" spans="1:18" x14ac:dyDescent="0.3">
      <c r="A1016" s="26">
        <v>262</v>
      </c>
      <c r="B1016" s="5" t="s">
        <v>144</v>
      </c>
      <c r="C1016" s="5" t="s">
        <v>145</v>
      </c>
      <c r="D1016" s="5" t="s">
        <v>8</v>
      </c>
      <c r="E1016" s="5" t="s">
        <v>14</v>
      </c>
      <c r="F1016" s="17">
        <v>45107</v>
      </c>
      <c r="G1016" s="5">
        <f t="shared" si="161"/>
        <v>2023</v>
      </c>
      <c r="H1016" s="5" t="str">
        <f t="shared" si="162"/>
        <v>Junio</v>
      </c>
      <c r="I1016" s="6" t="str">
        <f t="shared" si="169"/>
        <v>2023-1</v>
      </c>
      <c r="J1016" s="5">
        <v>20</v>
      </c>
      <c r="K1016" s="9">
        <v>0</v>
      </c>
      <c r="L1016" s="8">
        <v>1</v>
      </c>
      <c r="M1016" s="8">
        <v>1</v>
      </c>
      <c r="N1016" s="5" t="s">
        <v>347</v>
      </c>
      <c r="O1016" s="5" t="s">
        <v>347</v>
      </c>
      <c r="P1016" s="16">
        <v>0</v>
      </c>
      <c r="Q1016" s="16">
        <v>0</v>
      </c>
      <c r="R1016" s="5" t="str">
        <f t="shared" si="170"/>
        <v>262-2023-06-30</v>
      </c>
    </row>
    <row r="1017" spans="1:18" x14ac:dyDescent="0.3">
      <c r="A1017" s="39">
        <v>262</v>
      </c>
      <c r="B1017" s="5" t="s">
        <v>144</v>
      </c>
      <c r="C1017" s="5" t="s">
        <v>145</v>
      </c>
      <c r="D1017" s="5" t="s">
        <v>8</v>
      </c>
      <c r="E1017" s="5" t="s">
        <v>14</v>
      </c>
      <c r="F1017" s="6">
        <v>45291</v>
      </c>
      <c r="G1017" s="5">
        <f t="shared" si="161"/>
        <v>2023</v>
      </c>
      <c r="H1017" s="5" t="str">
        <f t="shared" si="162"/>
        <v>Diciembre</v>
      </c>
      <c r="I1017" s="6" t="str">
        <f t="shared" si="169"/>
        <v>2023-2</v>
      </c>
      <c r="J1017" s="5">
        <v>20</v>
      </c>
      <c r="K1017" s="9">
        <v>11</v>
      </c>
      <c r="L1017" s="8">
        <v>1</v>
      </c>
      <c r="M1017" s="8">
        <v>1</v>
      </c>
      <c r="N1017" s="5" t="s">
        <v>347</v>
      </c>
      <c r="O1017" s="5" t="s">
        <v>347</v>
      </c>
      <c r="P1017" s="16">
        <v>0</v>
      </c>
      <c r="Q1017" s="16">
        <v>0</v>
      </c>
      <c r="R1017" s="5" t="str">
        <f t="shared" si="170"/>
        <v>262-2023-12-31</v>
      </c>
    </row>
    <row r="1018" spans="1:18" x14ac:dyDescent="0.3">
      <c r="A1018" s="5">
        <v>262</v>
      </c>
      <c r="B1018" s="5" t="s">
        <v>494</v>
      </c>
      <c r="C1018" s="5" t="s">
        <v>145</v>
      </c>
      <c r="D1018" s="5" t="s">
        <v>8</v>
      </c>
      <c r="E1018" s="5" t="s">
        <v>14</v>
      </c>
      <c r="F1018" s="6">
        <v>45473</v>
      </c>
      <c r="G1018" s="5">
        <f t="shared" si="161"/>
        <v>2024</v>
      </c>
      <c r="H1018" s="5" t="str">
        <f t="shared" si="162"/>
        <v>Junio</v>
      </c>
      <c r="I1018" s="6" t="str">
        <f t="shared" si="169"/>
        <v>2024-1</v>
      </c>
      <c r="J1018" s="5">
        <v>20</v>
      </c>
      <c r="K1018" s="5">
        <v>0</v>
      </c>
      <c r="L1018" s="8">
        <v>1</v>
      </c>
      <c r="M1018" s="8">
        <v>1</v>
      </c>
      <c r="N1018" s="5" t="s">
        <v>347</v>
      </c>
      <c r="O1018" s="5" t="s">
        <v>347</v>
      </c>
      <c r="P1018" s="5">
        <v>0</v>
      </c>
      <c r="Q1018" s="5">
        <v>0</v>
      </c>
      <c r="R1018" s="5" t="str">
        <f t="shared" si="170"/>
        <v>262-2024-06-30</v>
      </c>
    </row>
    <row r="1019" spans="1:18" x14ac:dyDescent="0.3">
      <c r="A1019" s="26">
        <v>262</v>
      </c>
      <c r="B1019" s="5" t="s">
        <v>494</v>
      </c>
      <c r="C1019" s="5" t="s">
        <v>145</v>
      </c>
      <c r="D1019" s="5" t="s">
        <v>8</v>
      </c>
      <c r="E1019" s="5" t="s">
        <v>14</v>
      </c>
      <c r="F1019" s="6">
        <v>45657</v>
      </c>
      <c r="G1019" s="5">
        <f t="shared" si="161"/>
        <v>2024</v>
      </c>
      <c r="H1019" s="5" t="str">
        <f t="shared" si="162"/>
        <v>Diciembre</v>
      </c>
      <c r="I1019" s="6" t="str">
        <f t="shared" si="169"/>
        <v>2024-2</v>
      </c>
      <c r="J1019" s="5">
        <v>20</v>
      </c>
      <c r="K1019" s="10">
        <v>0</v>
      </c>
      <c r="L1019" s="8">
        <v>1</v>
      </c>
      <c r="M1019" s="8">
        <v>1</v>
      </c>
      <c r="N1019" s="5" t="s">
        <v>347</v>
      </c>
      <c r="O1019" s="5" t="s">
        <v>347</v>
      </c>
      <c r="P1019" s="16">
        <v>0</v>
      </c>
      <c r="Q1019" s="16">
        <v>0</v>
      </c>
      <c r="R1019" s="5" t="str">
        <f t="shared" si="170"/>
        <v>262-2024-12-31</v>
      </c>
    </row>
    <row r="1020" spans="1:18" x14ac:dyDescent="0.3">
      <c r="A1020" s="26">
        <v>263</v>
      </c>
      <c r="B1020" s="5" t="s">
        <v>146</v>
      </c>
      <c r="C1020" s="5" t="s">
        <v>145</v>
      </c>
      <c r="D1020" s="5" t="s">
        <v>11</v>
      </c>
      <c r="E1020" s="5" t="s">
        <v>9</v>
      </c>
      <c r="F1020" s="6">
        <v>45016</v>
      </c>
      <c r="G1020" s="5">
        <f t="shared" si="161"/>
        <v>2023</v>
      </c>
      <c r="H1020" s="5" t="str">
        <f t="shared" si="162"/>
        <v>Marzo</v>
      </c>
      <c r="I1020" s="6" t="str">
        <f t="shared" si="169"/>
        <v>2023-1</v>
      </c>
      <c r="J1020" s="5">
        <v>100</v>
      </c>
      <c r="K1020" s="9">
        <v>100</v>
      </c>
      <c r="L1020" s="8">
        <f>IFERROR(K1020/J1020,"")</f>
        <v>1</v>
      </c>
      <c r="M1020" s="15">
        <f t="shared" ref="M1020:M1024" si="171">IFERROR(IF((K1020/J1020)&gt;K1020/J1020,1.3,K1020/J1020),"")</f>
        <v>1</v>
      </c>
      <c r="N1020" s="5" t="s">
        <v>347</v>
      </c>
      <c r="O1020" s="5" t="s">
        <v>347</v>
      </c>
      <c r="P1020" s="16">
        <v>0</v>
      </c>
      <c r="Q1020" s="16">
        <v>0</v>
      </c>
      <c r="R1020" s="5" t="str">
        <f t="shared" si="170"/>
        <v>263-2023-03-31</v>
      </c>
    </row>
    <row r="1021" spans="1:18" x14ac:dyDescent="0.3">
      <c r="A1021" s="26">
        <v>263</v>
      </c>
      <c r="B1021" s="5" t="s">
        <v>146</v>
      </c>
      <c r="C1021" s="5" t="s">
        <v>145</v>
      </c>
      <c r="D1021" s="5" t="s">
        <v>11</v>
      </c>
      <c r="E1021" s="5" t="s">
        <v>9</v>
      </c>
      <c r="F1021" s="6">
        <v>45107</v>
      </c>
      <c r="G1021" s="5">
        <f t="shared" si="161"/>
        <v>2023</v>
      </c>
      <c r="H1021" s="5" t="str">
        <f t="shared" si="162"/>
        <v>Junio</v>
      </c>
      <c r="I1021" s="6" t="str">
        <f t="shared" si="169"/>
        <v>2023-1</v>
      </c>
      <c r="J1021" s="5">
        <v>100</v>
      </c>
      <c r="K1021" s="9">
        <v>100</v>
      </c>
      <c r="L1021" s="8">
        <f>IFERROR(K1021/J1021,"")</f>
        <v>1</v>
      </c>
      <c r="M1021" s="15">
        <f t="shared" si="171"/>
        <v>1</v>
      </c>
      <c r="N1021" s="5" t="s">
        <v>347</v>
      </c>
      <c r="O1021" s="5" t="s">
        <v>347</v>
      </c>
      <c r="P1021" s="16">
        <v>0</v>
      </c>
      <c r="Q1021" s="16">
        <v>0</v>
      </c>
      <c r="R1021" s="5" t="str">
        <f t="shared" si="170"/>
        <v>263-2023-06-30</v>
      </c>
    </row>
    <row r="1022" spans="1:18" x14ac:dyDescent="0.3">
      <c r="A1022" s="43">
        <v>263</v>
      </c>
      <c r="B1022" s="5" t="s">
        <v>146</v>
      </c>
      <c r="C1022" s="5" t="s">
        <v>145</v>
      </c>
      <c r="D1022" s="5" t="s">
        <v>11</v>
      </c>
      <c r="E1022" s="5" t="s">
        <v>9</v>
      </c>
      <c r="F1022" s="6">
        <v>45199</v>
      </c>
      <c r="G1022" s="5">
        <f t="shared" si="161"/>
        <v>2023</v>
      </c>
      <c r="H1022" s="5" t="str">
        <f t="shared" si="162"/>
        <v>Septiembre</v>
      </c>
      <c r="I1022" s="6" t="str">
        <f t="shared" si="169"/>
        <v>2023-2</v>
      </c>
      <c r="J1022" s="5">
        <v>100</v>
      </c>
      <c r="K1022" s="9">
        <v>100</v>
      </c>
      <c r="L1022" s="8">
        <f>IFERROR(K1022/J1022,"")</f>
        <v>1</v>
      </c>
      <c r="M1022" s="15">
        <f t="shared" si="171"/>
        <v>1</v>
      </c>
      <c r="N1022" s="5" t="s">
        <v>347</v>
      </c>
      <c r="O1022" s="5" t="s">
        <v>347</v>
      </c>
      <c r="P1022" s="16">
        <v>0</v>
      </c>
      <c r="Q1022" s="16">
        <v>0</v>
      </c>
      <c r="R1022" s="5" t="str">
        <f t="shared" si="170"/>
        <v>263-2023-09-30</v>
      </c>
    </row>
    <row r="1023" spans="1:18" x14ac:dyDescent="0.3">
      <c r="A1023" s="39">
        <v>263</v>
      </c>
      <c r="B1023" s="5" t="s">
        <v>146</v>
      </c>
      <c r="C1023" s="5" t="s">
        <v>145</v>
      </c>
      <c r="D1023" s="5" t="s">
        <v>11</v>
      </c>
      <c r="E1023" s="5" t="s">
        <v>9</v>
      </c>
      <c r="F1023" s="6">
        <v>45291</v>
      </c>
      <c r="G1023" s="5">
        <f t="shared" si="161"/>
        <v>2023</v>
      </c>
      <c r="H1023" s="5" t="str">
        <f t="shared" si="162"/>
        <v>Diciembre</v>
      </c>
      <c r="I1023" s="6" t="str">
        <f t="shared" si="169"/>
        <v>2023-2</v>
      </c>
      <c r="J1023" s="5">
        <v>100</v>
      </c>
      <c r="K1023" s="9">
        <v>100</v>
      </c>
      <c r="L1023" s="8">
        <f>IFERROR(K1023/J1023,"")</f>
        <v>1</v>
      </c>
      <c r="M1023" s="15">
        <f t="shared" si="171"/>
        <v>1</v>
      </c>
      <c r="N1023" s="5" t="s">
        <v>347</v>
      </c>
      <c r="O1023" s="5" t="s">
        <v>347</v>
      </c>
      <c r="P1023" s="16">
        <v>0</v>
      </c>
      <c r="Q1023" s="16">
        <v>0</v>
      </c>
      <c r="R1023" s="5" t="str">
        <f t="shared" si="170"/>
        <v>263-2023-12-31</v>
      </c>
    </row>
    <row r="1024" spans="1:18" x14ac:dyDescent="0.3">
      <c r="A1024" s="26">
        <v>263</v>
      </c>
      <c r="B1024" s="5" t="s">
        <v>146</v>
      </c>
      <c r="C1024" s="5" t="s">
        <v>145</v>
      </c>
      <c r="D1024" s="5" t="s">
        <v>11</v>
      </c>
      <c r="E1024" s="5" t="s">
        <v>9</v>
      </c>
      <c r="F1024" s="6">
        <v>45382</v>
      </c>
      <c r="G1024" s="5">
        <f t="shared" si="161"/>
        <v>2024</v>
      </c>
      <c r="H1024" s="5" t="str">
        <f t="shared" si="162"/>
        <v>Marzo</v>
      </c>
      <c r="I1024" s="6" t="str">
        <f t="shared" si="169"/>
        <v>2024-1</v>
      </c>
      <c r="J1024" s="5">
        <v>100</v>
      </c>
      <c r="K1024" s="10">
        <v>100</v>
      </c>
      <c r="L1024" s="15">
        <f>IFERROR(IF((K1024/J1024)&gt;1.3,1.3,K1024/J1024),"")</f>
        <v>1</v>
      </c>
      <c r="M1024" s="15">
        <f t="shared" si="171"/>
        <v>1</v>
      </c>
      <c r="N1024" s="5" t="s">
        <v>347</v>
      </c>
      <c r="O1024" s="5" t="s">
        <v>347</v>
      </c>
      <c r="P1024" s="16">
        <v>0</v>
      </c>
      <c r="Q1024" s="16">
        <v>0</v>
      </c>
      <c r="R1024" s="5" t="str">
        <f t="shared" si="170"/>
        <v>263-2024-03-31</v>
      </c>
    </row>
    <row r="1025" spans="1:18" x14ac:dyDescent="0.3">
      <c r="A1025" s="5">
        <v>263</v>
      </c>
      <c r="B1025" s="5" t="s">
        <v>146</v>
      </c>
      <c r="C1025" s="5" t="s">
        <v>145</v>
      </c>
      <c r="D1025" s="5" t="s">
        <v>11</v>
      </c>
      <c r="E1025" s="5" t="s">
        <v>9</v>
      </c>
      <c r="F1025" s="6">
        <v>45473</v>
      </c>
      <c r="G1025" s="5">
        <f t="shared" si="161"/>
        <v>2024</v>
      </c>
      <c r="H1025" s="5" t="str">
        <f t="shared" si="162"/>
        <v>Junio</v>
      </c>
      <c r="I1025" s="6" t="str">
        <f t="shared" si="169"/>
        <v>2024-1</v>
      </c>
      <c r="J1025" s="5">
        <v>100</v>
      </c>
      <c r="K1025" s="5">
        <v>100</v>
      </c>
      <c r="L1025" s="15">
        <v>1</v>
      </c>
      <c r="M1025" s="15">
        <v>1</v>
      </c>
      <c r="N1025" s="5" t="s">
        <v>347</v>
      </c>
      <c r="O1025" s="5" t="s">
        <v>347</v>
      </c>
      <c r="P1025" s="5">
        <v>0</v>
      </c>
      <c r="Q1025" s="5">
        <v>0</v>
      </c>
      <c r="R1025" s="5" t="str">
        <f t="shared" si="170"/>
        <v>263-2024-06-30</v>
      </c>
    </row>
    <row r="1026" spans="1:18" x14ac:dyDescent="0.3">
      <c r="A1026" s="26">
        <v>263</v>
      </c>
      <c r="B1026" s="5" t="s">
        <v>146</v>
      </c>
      <c r="C1026" s="5" t="s">
        <v>145</v>
      </c>
      <c r="D1026" s="5" t="s">
        <v>11</v>
      </c>
      <c r="E1026" s="5" t="s">
        <v>9</v>
      </c>
      <c r="F1026" s="6">
        <v>45565</v>
      </c>
      <c r="G1026" s="5">
        <f t="shared" ref="G1026:G1089" si="172">YEAR(F1026)</f>
        <v>2024</v>
      </c>
      <c r="H1026" s="5" t="str">
        <f t="shared" ref="H1026:H1089" si="173">PROPER(TEXT(F1026,"mmmm"))</f>
        <v>Septiembre</v>
      </c>
      <c r="I1026" s="6" t="str">
        <f t="shared" si="169"/>
        <v>2024-2</v>
      </c>
      <c r="J1026" s="5">
        <v>100</v>
      </c>
      <c r="K1026" s="10">
        <v>100</v>
      </c>
      <c r="L1026" s="15">
        <f>IFERROR(IF((K1026/J1026)&gt;1.3,1.3,K1026/J1026),"")</f>
        <v>1</v>
      </c>
      <c r="M1026" s="15">
        <f>IFERROR(IF((K1026/J1026)&gt;K1026/J1026,1.3,K1026/J1026),"")</f>
        <v>1</v>
      </c>
      <c r="N1026" s="5" t="s">
        <v>347</v>
      </c>
      <c r="O1026" s="5" t="s">
        <v>347</v>
      </c>
      <c r="P1026" s="16">
        <v>0</v>
      </c>
      <c r="Q1026" s="16">
        <v>0</v>
      </c>
      <c r="R1026" s="5" t="str">
        <f t="shared" si="170"/>
        <v>263-2024-09-30</v>
      </c>
    </row>
    <row r="1027" spans="1:18" x14ac:dyDescent="0.3">
      <c r="A1027" s="26">
        <v>263</v>
      </c>
      <c r="B1027" s="5" t="s">
        <v>146</v>
      </c>
      <c r="C1027" s="5" t="s">
        <v>145</v>
      </c>
      <c r="D1027" s="5" t="s">
        <v>11</v>
      </c>
      <c r="E1027" s="5" t="s">
        <v>9</v>
      </c>
      <c r="F1027" s="6">
        <v>45657</v>
      </c>
      <c r="G1027" s="5">
        <f t="shared" si="172"/>
        <v>2024</v>
      </c>
      <c r="H1027" s="5" t="str">
        <f t="shared" si="173"/>
        <v>Diciembre</v>
      </c>
      <c r="I1027" s="6" t="str">
        <f t="shared" si="169"/>
        <v>2024-2</v>
      </c>
      <c r="J1027" s="5">
        <v>100</v>
      </c>
      <c r="K1027" s="10">
        <v>100</v>
      </c>
      <c r="L1027" s="15">
        <f>IFERROR(IF((K1027/J1027)&gt;1.3,1.3,K1027/J1027),"")</f>
        <v>1</v>
      </c>
      <c r="M1027" s="15">
        <f>IFERROR(IF((K1027/J1027)&gt;K1027/J1027,1.3,K1027/J1027),"")</f>
        <v>1</v>
      </c>
      <c r="N1027" s="5" t="s">
        <v>347</v>
      </c>
      <c r="O1027" s="5" t="s">
        <v>347</v>
      </c>
      <c r="P1027" s="16">
        <v>0</v>
      </c>
      <c r="Q1027" s="16">
        <v>0</v>
      </c>
      <c r="R1027" s="5" t="str">
        <f t="shared" si="170"/>
        <v>263-2024-12-31</v>
      </c>
    </row>
    <row r="1028" spans="1:18" x14ac:dyDescent="0.3">
      <c r="A1028" s="26">
        <v>264</v>
      </c>
      <c r="B1028" s="5" t="s">
        <v>147</v>
      </c>
      <c r="C1028" s="5" t="s">
        <v>145</v>
      </c>
      <c r="D1028" s="5" t="s">
        <v>8</v>
      </c>
      <c r="E1028" s="5" t="s">
        <v>9</v>
      </c>
      <c r="F1028" s="17">
        <v>45107</v>
      </c>
      <c r="G1028" s="5">
        <f t="shared" si="172"/>
        <v>2023</v>
      </c>
      <c r="H1028" s="5" t="str">
        <f t="shared" si="173"/>
        <v>Junio</v>
      </c>
      <c r="I1028" s="6" t="str">
        <f t="shared" si="169"/>
        <v>2023-1</v>
      </c>
      <c r="J1028" s="5">
        <v>100</v>
      </c>
      <c r="K1028" s="9">
        <v>100</v>
      </c>
      <c r="L1028" s="8">
        <f>IFERROR(K1028/J1028,"")</f>
        <v>1</v>
      </c>
      <c r="M1028" s="15">
        <f>IFERROR(IF((K1028/J1028)&gt;K1028/J1028,1.3,K1028/J1028),"")</f>
        <v>1</v>
      </c>
      <c r="N1028" s="5" t="s">
        <v>347</v>
      </c>
      <c r="O1028" s="5" t="s">
        <v>347</v>
      </c>
      <c r="P1028" s="16">
        <v>0</v>
      </c>
      <c r="Q1028" s="16">
        <v>0</v>
      </c>
      <c r="R1028" s="5" t="str">
        <f t="shared" si="170"/>
        <v>264-2023-06-30</v>
      </c>
    </row>
    <row r="1029" spans="1:18" x14ac:dyDescent="0.3">
      <c r="A1029" s="39">
        <v>264</v>
      </c>
      <c r="B1029" s="5" t="s">
        <v>147</v>
      </c>
      <c r="C1029" s="5" t="s">
        <v>145</v>
      </c>
      <c r="D1029" s="5" t="s">
        <v>8</v>
      </c>
      <c r="E1029" s="5" t="s">
        <v>9</v>
      </c>
      <c r="F1029" s="6">
        <v>45291</v>
      </c>
      <c r="G1029" s="5">
        <f t="shared" si="172"/>
        <v>2023</v>
      </c>
      <c r="H1029" s="5" t="str">
        <f t="shared" si="173"/>
        <v>Diciembre</v>
      </c>
      <c r="I1029" s="6" t="str">
        <f t="shared" si="169"/>
        <v>2023-2</v>
      </c>
      <c r="J1029" s="5">
        <v>100</v>
      </c>
      <c r="K1029" s="9">
        <v>100</v>
      </c>
      <c r="L1029" s="8">
        <f>IFERROR(K1029/J1029,"")</f>
        <v>1</v>
      </c>
      <c r="M1029" s="15">
        <f>IFERROR(IF((K1029/J1029)&gt;K1029/J1029,1.3,K1029/J1029),"")</f>
        <v>1</v>
      </c>
      <c r="N1029" s="5" t="s">
        <v>347</v>
      </c>
      <c r="O1029" s="5" t="s">
        <v>347</v>
      </c>
      <c r="P1029" s="16">
        <v>0</v>
      </c>
      <c r="Q1029" s="16">
        <v>0</v>
      </c>
      <c r="R1029" s="5" t="str">
        <f t="shared" si="170"/>
        <v>264-2023-12-31</v>
      </c>
    </row>
    <row r="1030" spans="1:18" x14ac:dyDescent="0.3">
      <c r="A1030" s="5">
        <v>264</v>
      </c>
      <c r="B1030" s="5" t="s">
        <v>495</v>
      </c>
      <c r="C1030" s="5" t="s">
        <v>145</v>
      </c>
      <c r="D1030" s="5" t="s">
        <v>8</v>
      </c>
      <c r="E1030" s="5" t="s">
        <v>9</v>
      </c>
      <c r="F1030" s="6">
        <v>45473</v>
      </c>
      <c r="G1030" s="5">
        <f t="shared" si="172"/>
        <v>2024</v>
      </c>
      <c r="H1030" s="5" t="str">
        <f t="shared" si="173"/>
        <v>Junio</v>
      </c>
      <c r="I1030" s="6" t="str">
        <f t="shared" si="169"/>
        <v>2024-1</v>
      </c>
      <c r="J1030" s="5">
        <v>100</v>
      </c>
      <c r="K1030" s="5">
        <v>100</v>
      </c>
      <c r="L1030" s="15">
        <v>1</v>
      </c>
      <c r="M1030" s="15">
        <v>1</v>
      </c>
      <c r="N1030" s="5" t="s">
        <v>347</v>
      </c>
      <c r="O1030" s="5" t="s">
        <v>347</v>
      </c>
      <c r="P1030" s="5">
        <v>0</v>
      </c>
      <c r="Q1030" s="5">
        <v>0</v>
      </c>
      <c r="R1030" s="5" t="str">
        <f t="shared" si="170"/>
        <v>264-2024-06-30</v>
      </c>
    </row>
    <row r="1031" spans="1:18" x14ac:dyDescent="0.3">
      <c r="A1031" s="26">
        <v>264</v>
      </c>
      <c r="B1031" s="5" t="s">
        <v>495</v>
      </c>
      <c r="C1031" s="5" t="s">
        <v>145</v>
      </c>
      <c r="D1031" s="5" t="s">
        <v>8</v>
      </c>
      <c r="E1031" s="5" t="s">
        <v>9</v>
      </c>
      <c r="F1031" s="6">
        <v>45657</v>
      </c>
      <c r="G1031" s="5">
        <f t="shared" si="172"/>
        <v>2024</v>
      </c>
      <c r="H1031" s="5" t="str">
        <f t="shared" si="173"/>
        <v>Diciembre</v>
      </c>
      <c r="I1031" s="6" t="str">
        <f t="shared" si="169"/>
        <v>2024-2</v>
      </c>
      <c r="J1031" s="5">
        <v>100</v>
      </c>
      <c r="K1031" s="10">
        <v>100</v>
      </c>
      <c r="L1031" s="15">
        <f>IFERROR(IF((K1031/J1031)&gt;1.3,1.3,K1031/J1031),"")</f>
        <v>1</v>
      </c>
      <c r="M1031" s="15">
        <f>IFERROR(IF((K1031/J1031)&gt;K1031/J1031,1.3,K1031/J1031),"")</f>
        <v>1</v>
      </c>
      <c r="N1031" s="5" t="s">
        <v>347</v>
      </c>
      <c r="O1031" s="5" t="s">
        <v>347</v>
      </c>
      <c r="P1031" s="16">
        <v>0</v>
      </c>
      <c r="Q1031" s="16">
        <v>0</v>
      </c>
      <c r="R1031" s="5" t="str">
        <f t="shared" si="170"/>
        <v>264-2024-12-31</v>
      </c>
    </row>
    <row r="1032" spans="1:18" x14ac:dyDescent="0.3">
      <c r="A1032" s="26">
        <v>265</v>
      </c>
      <c r="B1032" s="5" t="s">
        <v>148</v>
      </c>
      <c r="C1032" s="5" t="s">
        <v>145</v>
      </c>
      <c r="D1032" s="5" t="s">
        <v>8</v>
      </c>
      <c r="E1032" s="5" t="s">
        <v>9</v>
      </c>
      <c r="F1032" s="17">
        <v>45107</v>
      </c>
      <c r="G1032" s="5">
        <f t="shared" si="172"/>
        <v>2023</v>
      </c>
      <c r="H1032" s="5" t="str">
        <f t="shared" si="173"/>
        <v>Junio</v>
      </c>
      <c r="I1032" s="6" t="str">
        <f t="shared" si="169"/>
        <v>2023-1</v>
      </c>
      <c r="J1032" s="5">
        <v>100</v>
      </c>
      <c r="K1032" s="9">
        <v>80</v>
      </c>
      <c r="L1032" s="8">
        <f>IFERROR(K1032/J1032,"")</f>
        <v>0.8</v>
      </c>
      <c r="M1032" s="15">
        <f>IFERROR(IF((K1032/J1032)&gt;K1032/J1032,1.3,K1032/J1032),"")</f>
        <v>0.8</v>
      </c>
      <c r="N1032" s="5" t="s">
        <v>347</v>
      </c>
      <c r="O1032" s="5" t="s">
        <v>347</v>
      </c>
      <c r="P1032" s="16">
        <v>0</v>
      </c>
      <c r="Q1032" s="16">
        <v>0</v>
      </c>
      <c r="R1032" s="5" t="str">
        <f t="shared" si="170"/>
        <v>265-2023-06-30</v>
      </c>
    </row>
    <row r="1033" spans="1:18" x14ac:dyDescent="0.3">
      <c r="A1033" s="39">
        <v>265</v>
      </c>
      <c r="B1033" s="5" t="s">
        <v>148</v>
      </c>
      <c r="C1033" s="5" t="s">
        <v>145</v>
      </c>
      <c r="D1033" s="5" t="s">
        <v>8</v>
      </c>
      <c r="E1033" s="5" t="s">
        <v>9</v>
      </c>
      <c r="F1033" s="6">
        <v>45291</v>
      </c>
      <c r="G1033" s="5">
        <f t="shared" si="172"/>
        <v>2023</v>
      </c>
      <c r="H1033" s="5" t="str">
        <f t="shared" si="173"/>
        <v>Diciembre</v>
      </c>
      <c r="I1033" s="6" t="str">
        <f t="shared" si="169"/>
        <v>2023-2</v>
      </c>
      <c r="J1033" s="5">
        <v>100</v>
      </c>
      <c r="K1033" s="9">
        <v>97.13</v>
      </c>
      <c r="L1033" s="8">
        <f>IFERROR(K1033/J1033,"")</f>
        <v>0.97129999999999994</v>
      </c>
      <c r="M1033" s="15">
        <f>IFERROR(IF((K1033/J1033)&gt;K1033/J1033,1.3,K1033/J1033),"")</f>
        <v>0.97129999999999994</v>
      </c>
      <c r="N1033" s="5" t="s">
        <v>347</v>
      </c>
      <c r="O1033" s="5" t="s">
        <v>347</v>
      </c>
      <c r="P1033" s="16">
        <v>0</v>
      </c>
      <c r="Q1033" s="16">
        <v>0</v>
      </c>
      <c r="R1033" s="5" t="str">
        <f t="shared" si="170"/>
        <v>265-2023-12-31</v>
      </c>
    </row>
    <row r="1034" spans="1:18" x14ac:dyDescent="0.3">
      <c r="A1034" s="5">
        <v>265</v>
      </c>
      <c r="B1034" s="5" t="s">
        <v>496</v>
      </c>
      <c r="C1034" s="5" t="s">
        <v>145</v>
      </c>
      <c r="D1034" s="5" t="s">
        <v>8</v>
      </c>
      <c r="E1034" s="5" t="s">
        <v>9</v>
      </c>
      <c r="F1034" s="6">
        <v>45473</v>
      </c>
      <c r="G1034" s="5">
        <f t="shared" si="172"/>
        <v>2024</v>
      </c>
      <c r="H1034" s="5" t="str">
        <f t="shared" si="173"/>
        <v>Junio</v>
      </c>
      <c r="I1034" s="6" t="str">
        <f t="shared" si="169"/>
        <v>2024-1</v>
      </c>
      <c r="J1034" s="5">
        <v>95</v>
      </c>
      <c r="K1034" s="5">
        <v>100</v>
      </c>
      <c r="L1034" s="15">
        <f>IFERROR(IF((K1034/J1034)&gt;1.3,1.3,K1034/J1034),"")</f>
        <v>1.0526315789473684</v>
      </c>
      <c r="M1034" s="15">
        <v>1.0526315789473684</v>
      </c>
      <c r="N1034" s="5" t="s">
        <v>347</v>
      </c>
      <c r="O1034" s="5" t="s">
        <v>347</v>
      </c>
      <c r="P1034" s="5">
        <v>0</v>
      </c>
      <c r="Q1034" s="5">
        <v>0</v>
      </c>
      <c r="R1034" s="5" t="str">
        <f t="shared" si="170"/>
        <v>265-2024-06-30</v>
      </c>
    </row>
    <row r="1035" spans="1:18" x14ac:dyDescent="0.3">
      <c r="A1035" s="26">
        <v>265</v>
      </c>
      <c r="B1035" s="5" t="s">
        <v>496</v>
      </c>
      <c r="C1035" s="5" t="s">
        <v>145</v>
      </c>
      <c r="D1035" s="5" t="s">
        <v>8</v>
      </c>
      <c r="E1035" s="5" t="s">
        <v>9</v>
      </c>
      <c r="F1035" s="6">
        <v>45657</v>
      </c>
      <c r="G1035" s="5">
        <f t="shared" si="172"/>
        <v>2024</v>
      </c>
      <c r="H1035" s="5" t="str">
        <f t="shared" si="173"/>
        <v>Diciembre</v>
      </c>
      <c r="I1035" s="6" t="str">
        <f t="shared" si="169"/>
        <v>2024-2</v>
      </c>
      <c r="J1035" s="5">
        <v>95</v>
      </c>
      <c r="K1035" s="10">
        <v>100</v>
      </c>
      <c r="L1035" s="15">
        <f>IFERROR(IF((K1035/J1035)&gt;1.3,1.3,K1035/J1035),"")</f>
        <v>1.0526315789473684</v>
      </c>
      <c r="M1035" s="15">
        <f t="shared" ref="M1035:M1041" si="174">IFERROR(IF((K1035/J1035)&gt;K1035/J1035,1.3,K1035/J1035),"")</f>
        <v>1.0526315789473684</v>
      </c>
      <c r="N1035" s="5" t="s">
        <v>347</v>
      </c>
      <c r="O1035" s="5" t="s">
        <v>347</v>
      </c>
      <c r="P1035" s="16">
        <v>0</v>
      </c>
      <c r="Q1035" s="16">
        <v>0</v>
      </c>
      <c r="R1035" s="5" t="str">
        <f t="shared" si="170"/>
        <v>265-2024-12-31</v>
      </c>
    </row>
    <row r="1036" spans="1:18" x14ac:dyDescent="0.3">
      <c r="A1036" s="26">
        <v>266</v>
      </c>
      <c r="B1036" s="5" t="s">
        <v>149</v>
      </c>
      <c r="C1036" s="5" t="s">
        <v>145</v>
      </c>
      <c r="D1036" s="23" t="s">
        <v>8</v>
      </c>
      <c r="E1036" s="5" t="s">
        <v>9</v>
      </c>
      <c r="F1036" s="6">
        <v>45107</v>
      </c>
      <c r="G1036" s="5">
        <f t="shared" si="172"/>
        <v>2023</v>
      </c>
      <c r="H1036" s="5" t="str">
        <f t="shared" si="173"/>
        <v>Junio</v>
      </c>
      <c r="I1036" s="6" t="str">
        <f t="shared" si="169"/>
        <v>2023-1</v>
      </c>
      <c r="J1036" s="5">
        <v>95</v>
      </c>
      <c r="K1036" s="9">
        <v>89.91</v>
      </c>
      <c r="L1036" s="8">
        <f t="shared" ref="L1036:L1041" si="175">IFERROR(K1036/J1036,"")</f>
        <v>0.94642105263157894</v>
      </c>
      <c r="M1036" s="15">
        <f t="shared" si="174"/>
        <v>0.94642105263157894</v>
      </c>
      <c r="N1036" s="5" t="s">
        <v>347</v>
      </c>
      <c r="O1036" s="5" t="s">
        <v>347</v>
      </c>
      <c r="P1036" s="16">
        <v>0</v>
      </c>
      <c r="Q1036" s="16">
        <v>0</v>
      </c>
      <c r="R1036" s="5" t="str">
        <f t="shared" si="170"/>
        <v>266-2023-06-30</v>
      </c>
    </row>
    <row r="1037" spans="1:18" x14ac:dyDescent="0.3">
      <c r="A1037" s="39">
        <v>266</v>
      </c>
      <c r="B1037" s="5" t="s">
        <v>149</v>
      </c>
      <c r="C1037" s="5" t="s">
        <v>145</v>
      </c>
      <c r="D1037" s="5" t="s">
        <v>8</v>
      </c>
      <c r="E1037" s="5" t="s">
        <v>9</v>
      </c>
      <c r="F1037" s="6">
        <v>45291</v>
      </c>
      <c r="G1037" s="5">
        <f t="shared" si="172"/>
        <v>2023</v>
      </c>
      <c r="H1037" s="5" t="str">
        <f t="shared" si="173"/>
        <v>Diciembre</v>
      </c>
      <c r="I1037" s="6" t="str">
        <f t="shared" si="169"/>
        <v>2023-2</v>
      </c>
      <c r="J1037" s="5">
        <v>95</v>
      </c>
      <c r="K1037" s="9">
        <v>97.07</v>
      </c>
      <c r="L1037" s="8">
        <f t="shared" si="175"/>
        <v>1.0217894736842104</v>
      </c>
      <c r="M1037" s="15">
        <f t="shared" si="174"/>
        <v>1.0217894736842104</v>
      </c>
      <c r="N1037" s="5" t="s">
        <v>347</v>
      </c>
      <c r="O1037" s="5" t="s">
        <v>347</v>
      </c>
      <c r="P1037" s="16">
        <v>0</v>
      </c>
      <c r="Q1037" s="16">
        <v>0</v>
      </c>
      <c r="R1037" s="5" t="str">
        <f t="shared" si="170"/>
        <v>266-2023-12-31</v>
      </c>
    </row>
    <row r="1038" spans="1:18" x14ac:dyDescent="0.3">
      <c r="A1038" s="5">
        <v>266</v>
      </c>
      <c r="B1038" s="5" t="s">
        <v>149</v>
      </c>
      <c r="C1038" s="5" t="s">
        <v>145</v>
      </c>
      <c r="D1038" s="5" t="s">
        <v>8</v>
      </c>
      <c r="E1038" s="5" t="s">
        <v>9</v>
      </c>
      <c r="F1038" s="6">
        <v>45473</v>
      </c>
      <c r="G1038" s="5">
        <f t="shared" si="172"/>
        <v>2024</v>
      </c>
      <c r="H1038" s="5" t="str">
        <f t="shared" si="173"/>
        <v>Junio</v>
      </c>
      <c r="I1038" s="6" t="str">
        <f t="shared" si="169"/>
        <v>2024-1</v>
      </c>
      <c r="J1038" s="5">
        <v>95</v>
      </c>
      <c r="K1038" s="5">
        <v>95.02</v>
      </c>
      <c r="L1038" s="8">
        <f t="shared" si="175"/>
        <v>1.0002105263157894</v>
      </c>
      <c r="M1038" s="15">
        <f t="shared" si="174"/>
        <v>1.0002105263157894</v>
      </c>
      <c r="N1038" s="5" t="s">
        <v>347</v>
      </c>
      <c r="O1038" s="5" t="s">
        <v>347</v>
      </c>
      <c r="P1038" s="5">
        <v>0</v>
      </c>
      <c r="Q1038" s="5">
        <v>0</v>
      </c>
      <c r="R1038" s="5" t="str">
        <f t="shared" si="170"/>
        <v>266-2024-06-30</v>
      </c>
    </row>
    <row r="1039" spans="1:18" x14ac:dyDescent="0.3">
      <c r="A1039" s="26">
        <v>266</v>
      </c>
      <c r="B1039" s="5" t="s">
        <v>149</v>
      </c>
      <c r="C1039" s="5" t="s">
        <v>145</v>
      </c>
      <c r="D1039" s="5" t="s">
        <v>8</v>
      </c>
      <c r="E1039" s="5" t="s">
        <v>9</v>
      </c>
      <c r="F1039" s="6">
        <v>45657</v>
      </c>
      <c r="G1039" s="5">
        <f t="shared" si="172"/>
        <v>2024</v>
      </c>
      <c r="H1039" s="5" t="str">
        <f t="shared" si="173"/>
        <v>Diciembre</v>
      </c>
      <c r="I1039" s="6" t="str">
        <f t="shared" si="169"/>
        <v>2024-2</v>
      </c>
      <c r="J1039" s="5">
        <v>95</v>
      </c>
      <c r="K1039" s="10">
        <v>81.93</v>
      </c>
      <c r="L1039" s="8">
        <f t="shared" si="175"/>
        <v>0.86242105263157898</v>
      </c>
      <c r="M1039" s="15">
        <f t="shared" si="174"/>
        <v>0.86242105263157898</v>
      </c>
      <c r="N1039" s="5" t="s">
        <v>347</v>
      </c>
      <c r="O1039" s="5" t="s">
        <v>347</v>
      </c>
      <c r="P1039" s="16">
        <v>0</v>
      </c>
      <c r="Q1039" s="16">
        <v>0</v>
      </c>
      <c r="R1039" s="5" t="str">
        <f t="shared" si="170"/>
        <v>266-2024-12-31</v>
      </c>
    </row>
    <row r="1040" spans="1:18" x14ac:dyDescent="0.3">
      <c r="A1040" s="26">
        <v>268</v>
      </c>
      <c r="B1040" s="5" t="s">
        <v>151</v>
      </c>
      <c r="C1040" s="5" t="s">
        <v>152</v>
      </c>
      <c r="D1040" s="5" t="s">
        <v>8</v>
      </c>
      <c r="E1040" s="5" t="s">
        <v>9</v>
      </c>
      <c r="F1040" s="17">
        <v>45107</v>
      </c>
      <c r="G1040" s="5">
        <f t="shared" si="172"/>
        <v>2023</v>
      </c>
      <c r="H1040" s="5" t="str">
        <f t="shared" si="173"/>
        <v>Junio</v>
      </c>
      <c r="I1040" s="6" t="str">
        <f t="shared" si="169"/>
        <v>2023-1</v>
      </c>
      <c r="J1040" s="5">
        <v>0</v>
      </c>
      <c r="K1040" s="9">
        <v>680</v>
      </c>
      <c r="L1040" s="8" t="str">
        <f t="shared" si="175"/>
        <v/>
      </c>
      <c r="M1040" s="15" t="str">
        <f t="shared" si="174"/>
        <v/>
      </c>
      <c r="N1040" s="5"/>
      <c r="O1040" s="5" t="s">
        <v>490</v>
      </c>
      <c r="P1040" s="16">
        <v>0</v>
      </c>
      <c r="Q1040" s="16">
        <v>0</v>
      </c>
      <c r="R1040" s="5" t="str">
        <f t="shared" si="170"/>
        <v>268-2023-06-30</v>
      </c>
    </row>
    <row r="1041" spans="1:18" x14ac:dyDescent="0.3">
      <c r="A1041" s="39">
        <v>268</v>
      </c>
      <c r="B1041" s="5" t="s">
        <v>151</v>
      </c>
      <c r="C1041" s="5" t="s">
        <v>152</v>
      </c>
      <c r="D1041" s="5" t="s">
        <v>8</v>
      </c>
      <c r="E1041" s="5" t="s">
        <v>9</v>
      </c>
      <c r="F1041" s="6">
        <v>45291</v>
      </c>
      <c r="G1041" s="5">
        <f t="shared" si="172"/>
        <v>2023</v>
      </c>
      <c r="H1041" s="5" t="str">
        <f t="shared" si="173"/>
        <v>Diciembre</v>
      </c>
      <c r="I1041" s="6" t="str">
        <f t="shared" si="169"/>
        <v>2023-2</v>
      </c>
      <c r="J1041" s="5">
        <v>0</v>
      </c>
      <c r="K1041" s="9">
        <v>1524</v>
      </c>
      <c r="L1041" s="8" t="str">
        <f t="shared" si="175"/>
        <v/>
      </c>
      <c r="M1041" s="15" t="str">
        <f t="shared" si="174"/>
        <v/>
      </c>
      <c r="N1041" s="5"/>
      <c r="O1041" s="5" t="s">
        <v>490</v>
      </c>
      <c r="P1041" s="16">
        <v>0</v>
      </c>
      <c r="Q1041" s="16">
        <v>0</v>
      </c>
      <c r="R1041" s="5" t="str">
        <f t="shared" si="170"/>
        <v>268-2023-12-31</v>
      </c>
    </row>
    <row r="1042" spans="1:18" x14ac:dyDescent="0.3">
      <c r="A1042" s="5">
        <v>268</v>
      </c>
      <c r="B1042" s="5" t="s">
        <v>151</v>
      </c>
      <c r="C1042" s="5" t="s">
        <v>152</v>
      </c>
      <c r="D1042" s="5" t="s">
        <v>8</v>
      </c>
      <c r="E1042" s="5" t="s">
        <v>9</v>
      </c>
      <c r="F1042" s="6">
        <v>45473</v>
      </c>
      <c r="G1042" s="5">
        <f t="shared" si="172"/>
        <v>2024</v>
      </c>
      <c r="H1042" s="5" t="str">
        <f t="shared" si="173"/>
        <v>Junio</v>
      </c>
      <c r="I1042" s="6" t="str">
        <f t="shared" si="169"/>
        <v>2024-1</v>
      </c>
      <c r="J1042" s="5">
        <v>0</v>
      </c>
      <c r="K1042" s="5">
        <v>760</v>
      </c>
      <c r="L1042" s="15" t="s">
        <v>417</v>
      </c>
      <c r="M1042" s="15" t="s">
        <v>417</v>
      </c>
      <c r="N1042" s="5"/>
      <c r="O1042" s="5" t="s">
        <v>490</v>
      </c>
      <c r="P1042" s="5">
        <v>0</v>
      </c>
      <c r="Q1042" s="5">
        <v>0</v>
      </c>
      <c r="R1042" s="5" t="str">
        <f t="shared" si="170"/>
        <v>268-2024-06-30</v>
      </c>
    </row>
    <row r="1043" spans="1:18" x14ac:dyDescent="0.3">
      <c r="A1043" s="26">
        <v>268</v>
      </c>
      <c r="B1043" s="5" t="s">
        <v>151</v>
      </c>
      <c r="C1043" s="5" t="s">
        <v>152</v>
      </c>
      <c r="D1043" s="5" t="s">
        <v>8</v>
      </c>
      <c r="E1043" s="5" t="s">
        <v>9</v>
      </c>
      <c r="F1043" s="6">
        <v>45657</v>
      </c>
      <c r="G1043" s="5">
        <f t="shared" si="172"/>
        <v>2024</v>
      </c>
      <c r="H1043" s="5" t="str">
        <f t="shared" si="173"/>
        <v>Diciembre</v>
      </c>
      <c r="I1043" s="6" t="str">
        <f t="shared" si="169"/>
        <v>2024-2</v>
      </c>
      <c r="J1043" s="5">
        <v>0</v>
      </c>
      <c r="K1043" s="10">
        <v>1005</v>
      </c>
      <c r="L1043" s="15" t="str">
        <f>IFERROR(IF((K1043/J1043)&gt;1.3,1.3,K1043/J1043),"")</f>
        <v/>
      </c>
      <c r="M1043" s="15" t="str">
        <f>IFERROR(IF((K1043/J1043)&gt;K1043/J1043,1.3,K1043/J1043),"")</f>
        <v/>
      </c>
      <c r="N1043" s="5"/>
      <c r="O1043" s="5" t="s">
        <v>490</v>
      </c>
      <c r="P1043" s="16">
        <v>0</v>
      </c>
      <c r="Q1043" s="16">
        <v>0</v>
      </c>
      <c r="R1043" s="5" t="str">
        <f t="shared" si="170"/>
        <v>268-2024-12-31</v>
      </c>
    </row>
    <row r="1044" spans="1:18" x14ac:dyDescent="0.3">
      <c r="A1044" s="26">
        <v>269</v>
      </c>
      <c r="B1044" s="5" t="s">
        <v>153</v>
      </c>
      <c r="C1044" s="5" t="s">
        <v>152</v>
      </c>
      <c r="D1044" s="5" t="s">
        <v>8</v>
      </c>
      <c r="E1044" s="5" t="s">
        <v>9</v>
      </c>
      <c r="F1044" s="17">
        <v>45107</v>
      </c>
      <c r="G1044" s="5">
        <f t="shared" si="172"/>
        <v>2023</v>
      </c>
      <c r="H1044" s="5" t="str">
        <f t="shared" si="173"/>
        <v>Junio</v>
      </c>
      <c r="I1044" s="6" t="str">
        <f t="shared" si="169"/>
        <v>2023-1</v>
      </c>
      <c r="J1044" s="5"/>
      <c r="K1044" s="9">
        <v>0.4</v>
      </c>
      <c r="L1044" s="8" t="str">
        <f>IFERROR(K1044/J1044,"")</f>
        <v/>
      </c>
      <c r="M1044" s="15" t="str">
        <f>IFERROR(IF((K1044/J1044)&gt;K1044/J1044,1.3,K1044/J1044),"")</f>
        <v/>
      </c>
      <c r="N1044" s="5"/>
      <c r="O1044" s="5" t="s">
        <v>478</v>
      </c>
      <c r="P1044" s="16">
        <v>2</v>
      </c>
      <c r="Q1044" s="16">
        <v>2</v>
      </c>
      <c r="R1044" s="5" t="str">
        <f t="shared" si="170"/>
        <v>269-2023-06-30</v>
      </c>
    </row>
    <row r="1045" spans="1:18" x14ac:dyDescent="0.3">
      <c r="A1045" s="39">
        <v>269</v>
      </c>
      <c r="B1045" s="5" t="s">
        <v>153</v>
      </c>
      <c r="C1045" s="5" t="s">
        <v>152</v>
      </c>
      <c r="D1045" s="5" t="s">
        <v>8</v>
      </c>
      <c r="E1045" s="5" t="s">
        <v>9</v>
      </c>
      <c r="F1045" s="6">
        <v>45291</v>
      </c>
      <c r="G1045" s="5">
        <f t="shared" si="172"/>
        <v>2023</v>
      </c>
      <c r="H1045" s="5" t="str">
        <f t="shared" si="173"/>
        <v>Diciembre</v>
      </c>
      <c r="I1045" s="6" t="str">
        <f t="shared" si="169"/>
        <v>2023-2</v>
      </c>
      <c r="J1045" s="5"/>
      <c r="K1045" s="9">
        <v>1.28</v>
      </c>
      <c r="L1045" s="8" t="str">
        <f>IFERROR(K1045/J1045,"")</f>
        <v/>
      </c>
      <c r="M1045" s="15" t="str">
        <f>IFERROR(IF((K1045/J1045)&gt;K1045/J1045,1.3,K1045/J1045),"")</f>
        <v/>
      </c>
      <c r="N1045" s="5"/>
      <c r="O1045" s="5" t="s">
        <v>478</v>
      </c>
      <c r="P1045" s="16">
        <v>0</v>
      </c>
      <c r="Q1045" s="16">
        <v>0</v>
      </c>
      <c r="R1045" s="5" t="str">
        <f t="shared" si="170"/>
        <v>269-2023-12-31</v>
      </c>
    </row>
    <row r="1046" spans="1:18" x14ac:dyDescent="0.3">
      <c r="A1046" s="5">
        <v>269</v>
      </c>
      <c r="B1046" s="5" t="s">
        <v>153</v>
      </c>
      <c r="C1046" s="5" t="s">
        <v>152</v>
      </c>
      <c r="D1046" s="5" t="s">
        <v>8</v>
      </c>
      <c r="E1046" s="5" t="s">
        <v>9</v>
      </c>
      <c r="F1046" s="6">
        <v>45473</v>
      </c>
      <c r="G1046" s="5">
        <f t="shared" si="172"/>
        <v>2024</v>
      </c>
      <c r="H1046" s="5" t="str">
        <f t="shared" si="173"/>
        <v>Junio</v>
      </c>
      <c r="I1046" s="6" t="str">
        <f t="shared" si="169"/>
        <v>2024-1</v>
      </c>
      <c r="J1046" s="5"/>
      <c r="K1046" s="5">
        <v>3</v>
      </c>
      <c r="L1046" s="15" t="s">
        <v>417</v>
      </c>
      <c r="M1046" s="15" t="s">
        <v>417</v>
      </c>
      <c r="N1046" s="5"/>
      <c r="O1046" s="5" t="s">
        <v>478</v>
      </c>
      <c r="P1046" s="5">
        <v>2</v>
      </c>
      <c r="Q1046" s="5">
        <v>2</v>
      </c>
      <c r="R1046" s="5" t="str">
        <f t="shared" si="170"/>
        <v>269-2024-06-30</v>
      </c>
    </row>
    <row r="1047" spans="1:18" x14ac:dyDescent="0.3">
      <c r="A1047" s="26">
        <v>269</v>
      </c>
      <c r="B1047" s="5" t="s">
        <v>153</v>
      </c>
      <c r="C1047" s="5" t="s">
        <v>152</v>
      </c>
      <c r="D1047" s="5" t="s">
        <v>8</v>
      </c>
      <c r="E1047" s="5" t="s">
        <v>9</v>
      </c>
      <c r="F1047" s="6">
        <v>45657</v>
      </c>
      <c r="G1047" s="5">
        <f t="shared" si="172"/>
        <v>2024</v>
      </c>
      <c r="H1047" s="5" t="str">
        <f t="shared" si="173"/>
        <v>Diciembre</v>
      </c>
      <c r="I1047" s="6" t="str">
        <f t="shared" si="169"/>
        <v>2024-2</v>
      </c>
      <c r="J1047" s="5" t="s">
        <v>417</v>
      </c>
      <c r="K1047" s="10">
        <v>1.28</v>
      </c>
      <c r="L1047" s="15" t="str">
        <f>IFERROR(IF((K1047/J1047)&gt;1.3,1.3,K1047/J1047),"")</f>
        <v/>
      </c>
      <c r="M1047" s="15" t="str">
        <f>IFERROR(IF((K1047/J1047)&gt;K1047/J1047,1.3,K1047/J1047),"")</f>
        <v/>
      </c>
      <c r="N1047" s="5"/>
      <c r="O1047" s="5" t="s">
        <v>478</v>
      </c>
      <c r="P1047" s="16">
        <v>2</v>
      </c>
      <c r="Q1047" s="16">
        <v>2</v>
      </c>
      <c r="R1047" s="5" t="str">
        <f t="shared" si="170"/>
        <v>269-2024-12-31</v>
      </c>
    </row>
    <row r="1048" spans="1:18" x14ac:dyDescent="0.3">
      <c r="A1048" s="26">
        <v>270</v>
      </c>
      <c r="B1048" s="5" t="s">
        <v>154</v>
      </c>
      <c r="C1048" s="5" t="s">
        <v>152</v>
      </c>
      <c r="D1048" s="5" t="s">
        <v>8</v>
      </c>
      <c r="E1048" s="5" t="s">
        <v>9</v>
      </c>
      <c r="F1048" s="17">
        <v>45107</v>
      </c>
      <c r="G1048" s="5">
        <f t="shared" si="172"/>
        <v>2023</v>
      </c>
      <c r="H1048" s="5" t="str">
        <f t="shared" si="173"/>
        <v>Junio</v>
      </c>
      <c r="I1048" s="6" t="str">
        <f t="shared" si="169"/>
        <v>2023-1</v>
      </c>
      <c r="J1048" s="5">
        <v>0</v>
      </c>
      <c r="K1048" s="9">
        <v>6.55</v>
      </c>
      <c r="L1048" s="8" t="str">
        <f>IFERROR(K1048/J1048,"")</f>
        <v/>
      </c>
      <c r="M1048" s="15" t="str">
        <f>IFERROR(IF((K1048/J1048)&gt;K1048/J1048,1.3,K1048/J1048),"")</f>
        <v/>
      </c>
      <c r="N1048" s="5" t="s">
        <v>478</v>
      </c>
      <c r="O1048" s="5" t="s">
        <v>478</v>
      </c>
      <c r="P1048" s="16">
        <v>0</v>
      </c>
      <c r="Q1048" s="16">
        <v>0</v>
      </c>
      <c r="R1048" s="5" t="str">
        <f t="shared" si="170"/>
        <v>270-2023-06-30</v>
      </c>
    </row>
    <row r="1049" spans="1:18" x14ac:dyDescent="0.3">
      <c r="A1049" s="39">
        <v>270</v>
      </c>
      <c r="B1049" s="5" t="s">
        <v>154</v>
      </c>
      <c r="C1049" s="5" t="s">
        <v>152</v>
      </c>
      <c r="D1049" s="5" t="s">
        <v>8</v>
      </c>
      <c r="E1049" s="5" t="s">
        <v>9</v>
      </c>
      <c r="F1049" s="6">
        <v>45291</v>
      </c>
      <c r="G1049" s="5">
        <f t="shared" si="172"/>
        <v>2023</v>
      </c>
      <c r="H1049" s="5" t="str">
        <f t="shared" si="173"/>
        <v>Diciembre</v>
      </c>
      <c r="I1049" s="6" t="str">
        <f t="shared" si="169"/>
        <v>2023-2</v>
      </c>
      <c r="J1049" s="5">
        <v>0</v>
      </c>
      <c r="K1049" s="9">
        <v>3.83</v>
      </c>
      <c r="L1049" s="8" t="str">
        <f>IFERROR(K1049/J1049,"")</f>
        <v/>
      </c>
      <c r="M1049" s="15" t="str">
        <f>IFERROR(IF((K1049/J1049)&gt;K1049/J1049,1.3,K1049/J1049),"")</f>
        <v/>
      </c>
      <c r="N1049" s="5" t="s">
        <v>478</v>
      </c>
      <c r="O1049" s="5" t="s">
        <v>478</v>
      </c>
      <c r="P1049" s="16">
        <v>0</v>
      </c>
      <c r="Q1049" s="16">
        <v>0</v>
      </c>
      <c r="R1049" s="5" t="str">
        <f t="shared" si="170"/>
        <v>270-2023-12-31</v>
      </c>
    </row>
    <row r="1050" spans="1:18" x14ac:dyDescent="0.3">
      <c r="A1050" s="5">
        <v>270</v>
      </c>
      <c r="B1050" s="5" t="s">
        <v>154</v>
      </c>
      <c r="C1050" s="5" t="s">
        <v>152</v>
      </c>
      <c r="D1050" s="5" t="s">
        <v>8</v>
      </c>
      <c r="E1050" s="5" t="s">
        <v>9</v>
      </c>
      <c r="F1050" s="6">
        <v>45473</v>
      </c>
      <c r="G1050" s="5">
        <f t="shared" si="172"/>
        <v>2024</v>
      </c>
      <c r="H1050" s="5" t="str">
        <f t="shared" si="173"/>
        <v>Junio</v>
      </c>
      <c r="I1050" s="6" t="str">
        <f t="shared" si="169"/>
        <v>2024-1</v>
      </c>
      <c r="J1050" s="5">
        <v>0</v>
      </c>
      <c r="K1050" s="5">
        <v>4.88</v>
      </c>
      <c r="L1050" s="15" t="s">
        <v>417</v>
      </c>
      <c r="M1050" s="15" t="s">
        <v>417</v>
      </c>
      <c r="N1050" s="5">
        <v>0</v>
      </c>
      <c r="O1050" s="5" t="s">
        <v>490</v>
      </c>
      <c r="P1050" s="5">
        <v>1</v>
      </c>
      <c r="Q1050" s="5">
        <v>1</v>
      </c>
      <c r="R1050" s="5" t="str">
        <f t="shared" si="170"/>
        <v>270-2024-06-30</v>
      </c>
    </row>
    <row r="1051" spans="1:18" x14ac:dyDescent="0.3">
      <c r="A1051" s="26">
        <v>270</v>
      </c>
      <c r="B1051" s="5" t="s">
        <v>154</v>
      </c>
      <c r="C1051" s="5" t="s">
        <v>152</v>
      </c>
      <c r="D1051" s="5" t="s">
        <v>8</v>
      </c>
      <c r="E1051" s="5" t="s">
        <v>9</v>
      </c>
      <c r="F1051" s="6">
        <v>45657</v>
      </c>
      <c r="G1051" s="5">
        <f t="shared" si="172"/>
        <v>2024</v>
      </c>
      <c r="H1051" s="5" t="str">
        <f t="shared" si="173"/>
        <v>Diciembre</v>
      </c>
      <c r="I1051" s="6" t="str">
        <f t="shared" si="169"/>
        <v>2024-2</v>
      </c>
      <c r="J1051" s="5">
        <v>0</v>
      </c>
      <c r="K1051" s="10">
        <v>4.57</v>
      </c>
      <c r="L1051" s="15" t="str">
        <f>IFERROR(IF((K1051/J1051)&gt;1.3,1.3,K1051/J1051),"")</f>
        <v/>
      </c>
      <c r="M1051" s="15" t="str">
        <f>IFERROR(IF((K1051/J1051)&gt;K1051/J1051,1.3,K1051/J1051),"")</f>
        <v/>
      </c>
      <c r="N1051" s="5">
        <v>0</v>
      </c>
      <c r="O1051" s="5" t="s">
        <v>490</v>
      </c>
      <c r="P1051" s="16">
        <v>1</v>
      </c>
      <c r="Q1051" s="16">
        <v>1</v>
      </c>
      <c r="R1051" s="5" t="str">
        <f t="shared" si="170"/>
        <v>270-2024-12-31</v>
      </c>
    </row>
    <row r="1052" spans="1:18" x14ac:dyDescent="0.3">
      <c r="A1052" s="26">
        <v>271</v>
      </c>
      <c r="B1052" s="5" t="s">
        <v>155</v>
      </c>
      <c r="C1052" s="5" t="s">
        <v>152</v>
      </c>
      <c r="D1052" s="5" t="s">
        <v>8</v>
      </c>
      <c r="E1052" s="5" t="s">
        <v>9</v>
      </c>
      <c r="F1052" s="17">
        <v>45107</v>
      </c>
      <c r="G1052" s="5">
        <f t="shared" si="172"/>
        <v>2023</v>
      </c>
      <c r="H1052" s="5" t="str">
        <f t="shared" si="173"/>
        <v>Junio</v>
      </c>
      <c r="I1052" s="6" t="str">
        <f t="shared" si="169"/>
        <v>2023-1</v>
      </c>
      <c r="J1052" s="5">
        <v>0</v>
      </c>
      <c r="K1052" s="9">
        <v>63.29</v>
      </c>
      <c r="L1052" s="8" t="str">
        <f>IFERROR(K1052/J1052,"")</f>
        <v/>
      </c>
      <c r="M1052" s="15" t="str">
        <f>IFERROR(IF((K1052/J1052)&gt;K1052/J1052,1.3,K1052/J1052),"")</f>
        <v/>
      </c>
      <c r="N1052" s="5">
        <v>0</v>
      </c>
      <c r="O1052" s="5" t="s">
        <v>490</v>
      </c>
      <c r="P1052" s="16">
        <v>0</v>
      </c>
      <c r="Q1052" s="16">
        <v>0</v>
      </c>
      <c r="R1052" s="5" t="str">
        <f t="shared" si="170"/>
        <v>271-2023-06-30</v>
      </c>
    </row>
    <row r="1053" spans="1:18" x14ac:dyDescent="0.3">
      <c r="A1053" s="39">
        <v>271</v>
      </c>
      <c r="B1053" s="5" t="s">
        <v>155</v>
      </c>
      <c r="C1053" s="5" t="s">
        <v>152</v>
      </c>
      <c r="D1053" s="5" t="s">
        <v>8</v>
      </c>
      <c r="E1053" s="5" t="s">
        <v>9</v>
      </c>
      <c r="F1053" s="6">
        <v>45291</v>
      </c>
      <c r="G1053" s="5">
        <f t="shared" si="172"/>
        <v>2023</v>
      </c>
      <c r="H1053" s="5" t="str">
        <f t="shared" si="173"/>
        <v>Diciembre</v>
      </c>
      <c r="I1053" s="6" t="str">
        <f t="shared" si="169"/>
        <v>2023-2</v>
      </c>
      <c r="J1053" s="5">
        <v>0</v>
      </c>
      <c r="K1053" s="9">
        <v>16.170000000000002</v>
      </c>
      <c r="L1053" s="8" t="str">
        <f>IFERROR(K1053/J1053,"")</f>
        <v/>
      </c>
      <c r="M1053" s="15" t="str">
        <f>IFERROR(IF((K1053/J1053)&gt;K1053/J1053,1.3,K1053/J1053),"")</f>
        <v/>
      </c>
      <c r="N1053" s="5">
        <v>0</v>
      </c>
      <c r="O1053" s="5" t="s">
        <v>490</v>
      </c>
      <c r="P1053" s="16">
        <v>0</v>
      </c>
      <c r="Q1053" s="16">
        <v>0</v>
      </c>
      <c r="R1053" s="5" t="str">
        <f t="shared" si="170"/>
        <v>271-2023-12-31</v>
      </c>
    </row>
    <row r="1054" spans="1:18" x14ac:dyDescent="0.3">
      <c r="A1054" s="5">
        <v>271</v>
      </c>
      <c r="B1054" s="5" t="s">
        <v>155</v>
      </c>
      <c r="C1054" s="5" t="s">
        <v>152</v>
      </c>
      <c r="D1054" s="5" t="s">
        <v>8</v>
      </c>
      <c r="E1054" s="5" t="s">
        <v>9</v>
      </c>
      <c r="F1054" s="6">
        <v>45473</v>
      </c>
      <c r="G1054" s="5">
        <f t="shared" si="172"/>
        <v>2024</v>
      </c>
      <c r="H1054" s="5" t="str">
        <f t="shared" si="173"/>
        <v>Junio</v>
      </c>
      <c r="I1054" s="6" t="str">
        <f t="shared" si="169"/>
        <v>2024-1</v>
      </c>
      <c r="J1054" s="5">
        <v>0</v>
      </c>
      <c r="K1054" s="5">
        <v>19.39</v>
      </c>
      <c r="L1054" s="15" t="s">
        <v>417</v>
      </c>
      <c r="M1054" s="15" t="s">
        <v>417</v>
      </c>
      <c r="N1054" s="5">
        <v>0</v>
      </c>
      <c r="O1054" s="5" t="s">
        <v>490</v>
      </c>
      <c r="P1054" s="5">
        <v>1</v>
      </c>
      <c r="Q1054" s="5">
        <v>1</v>
      </c>
      <c r="R1054" s="5" t="str">
        <f t="shared" si="170"/>
        <v>271-2024-06-30</v>
      </c>
    </row>
    <row r="1055" spans="1:18" x14ac:dyDescent="0.3">
      <c r="A1055" s="39">
        <v>272</v>
      </c>
      <c r="B1055" s="5" t="s">
        <v>156</v>
      </c>
      <c r="C1055" s="5" t="s">
        <v>24</v>
      </c>
      <c r="D1055" s="5" t="s">
        <v>25</v>
      </c>
      <c r="E1055" s="5" t="s">
        <v>14</v>
      </c>
      <c r="F1055" s="6">
        <v>45291</v>
      </c>
      <c r="G1055" s="5">
        <f t="shared" si="172"/>
        <v>2023</v>
      </c>
      <c r="H1055" s="5" t="str">
        <f t="shared" si="173"/>
        <v>Diciembre</v>
      </c>
      <c r="I1055" s="6" t="str">
        <f t="shared" si="169"/>
        <v>2023-2</v>
      </c>
      <c r="J1055" s="16">
        <v>1E-8</v>
      </c>
      <c r="K1055" s="9">
        <v>1E-8</v>
      </c>
      <c r="L1055" s="8">
        <f>IF(K1055&lt;=J1055,100%,J1055/K1055)</f>
        <v>1</v>
      </c>
      <c r="M1055" s="8">
        <f>IF(K1055&lt;=J1055,100%,J1055/K1055)</f>
        <v>1</v>
      </c>
      <c r="N1055" s="5">
        <v>0</v>
      </c>
      <c r="O1055" s="5" t="s">
        <v>490</v>
      </c>
      <c r="P1055" s="16">
        <v>0</v>
      </c>
      <c r="Q1055" s="16">
        <v>0</v>
      </c>
      <c r="R1055" s="5" t="str">
        <f t="shared" si="170"/>
        <v>272-2023-12-31</v>
      </c>
    </row>
    <row r="1056" spans="1:18" x14ac:dyDescent="0.3">
      <c r="A1056" s="26">
        <v>272</v>
      </c>
      <c r="B1056" s="5" t="s">
        <v>156</v>
      </c>
      <c r="C1056" s="5" t="s">
        <v>24</v>
      </c>
      <c r="D1056" s="5" t="s">
        <v>25</v>
      </c>
      <c r="E1056" s="5" t="s">
        <v>14</v>
      </c>
      <c r="F1056" s="6">
        <v>45657</v>
      </c>
      <c r="G1056" s="5">
        <f t="shared" si="172"/>
        <v>2024</v>
      </c>
      <c r="H1056" s="5" t="str">
        <f t="shared" si="173"/>
        <v>Diciembre</v>
      </c>
      <c r="I1056" s="6" t="str">
        <f t="shared" si="169"/>
        <v>2024-2</v>
      </c>
      <c r="J1056" s="5">
        <v>0</v>
      </c>
      <c r="K1056" s="10">
        <v>0</v>
      </c>
      <c r="L1056" s="15" t="str">
        <f>IFERROR(IF((K1056/J1056)&gt;1.3,1.3,K1056/J1056),"")</f>
        <v/>
      </c>
      <c r="M1056" s="15" t="str">
        <f>IFERROR(IF((K1056/J1056)&gt;K1056/J1056,1.3,K1056/J1056),"")</f>
        <v/>
      </c>
      <c r="N1056" s="5"/>
      <c r="O1056" s="5"/>
      <c r="P1056" s="16">
        <v>0</v>
      </c>
      <c r="Q1056" s="16">
        <v>0</v>
      </c>
      <c r="R1056" s="5" t="str">
        <f t="shared" si="170"/>
        <v>272-2024-12-31</v>
      </c>
    </row>
    <row r="1057" spans="1:18" x14ac:dyDescent="0.3">
      <c r="A1057" s="26">
        <v>273</v>
      </c>
      <c r="B1057" s="5" t="s">
        <v>157</v>
      </c>
      <c r="C1057" s="5" t="s">
        <v>158</v>
      </c>
      <c r="D1057" s="5" t="s">
        <v>8</v>
      </c>
      <c r="E1057" s="5" t="s">
        <v>9</v>
      </c>
      <c r="F1057" s="17">
        <v>45107</v>
      </c>
      <c r="G1057" s="5">
        <f t="shared" si="172"/>
        <v>2023</v>
      </c>
      <c r="H1057" s="5" t="str">
        <f t="shared" si="173"/>
        <v>Junio</v>
      </c>
      <c r="I1057" s="6" t="str">
        <f t="shared" si="169"/>
        <v>2023-1</v>
      </c>
      <c r="J1057" s="5">
        <v>3</v>
      </c>
      <c r="K1057" s="9">
        <v>3</v>
      </c>
      <c r="L1057" s="8">
        <f>IFERROR(K1057/J1057,"")</f>
        <v>1</v>
      </c>
      <c r="M1057" s="15">
        <f>IFERROR(IF((K1057/J1057)&gt;K1057/J1057,1.3,K1057/J1057),"")</f>
        <v>1</v>
      </c>
      <c r="N1057" s="5" t="s">
        <v>490</v>
      </c>
      <c r="O1057" s="5" t="s">
        <v>490</v>
      </c>
      <c r="P1057" s="16">
        <v>0</v>
      </c>
      <c r="Q1057" s="16">
        <v>0</v>
      </c>
      <c r="R1057" s="5" t="str">
        <f t="shared" si="170"/>
        <v>273-2023-06-30</v>
      </c>
    </row>
    <row r="1058" spans="1:18" x14ac:dyDescent="0.3">
      <c r="A1058" s="39">
        <v>273</v>
      </c>
      <c r="B1058" s="5" t="s">
        <v>157</v>
      </c>
      <c r="C1058" s="5" t="s">
        <v>158</v>
      </c>
      <c r="D1058" s="5" t="s">
        <v>8</v>
      </c>
      <c r="E1058" s="5" t="s">
        <v>9</v>
      </c>
      <c r="F1058" s="6">
        <v>45291</v>
      </c>
      <c r="G1058" s="5">
        <f t="shared" si="172"/>
        <v>2023</v>
      </c>
      <c r="H1058" s="5" t="str">
        <f t="shared" si="173"/>
        <v>Diciembre</v>
      </c>
      <c r="I1058" s="6" t="str">
        <f t="shared" si="169"/>
        <v>2023-2</v>
      </c>
      <c r="J1058" s="5">
        <v>2</v>
      </c>
      <c r="K1058" s="9">
        <v>2</v>
      </c>
      <c r="L1058" s="8">
        <f>IFERROR(K1058/J1058,"")</f>
        <v>1</v>
      </c>
      <c r="M1058" s="15">
        <f>IFERROR(IF((K1058/J1058)&gt;K1058/J1058,1.3,K1058/J1058),"")</f>
        <v>1</v>
      </c>
      <c r="N1058" s="5" t="s">
        <v>490</v>
      </c>
      <c r="O1058" s="5" t="s">
        <v>490</v>
      </c>
      <c r="P1058" s="16">
        <v>0</v>
      </c>
      <c r="Q1058" s="16">
        <v>0</v>
      </c>
      <c r="R1058" s="5" t="str">
        <f t="shared" si="170"/>
        <v>273-2023-12-31</v>
      </c>
    </row>
    <row r="1059" spans="1:18" x14ac:dyDescent="0.3">
      <c r="A1059" s="5">
        <v>273</v>
      </c>
      <c r="B1059" s="5" t="s">
        <v>157</v>
      </c>
      <c r="C1059" s="5" t="s">
        <v>158</v>
      </c>
      <c r="D1059" s="5" t="s">
        <v>8</v>
      </c>
      <c r="E1059" s="5" t="s">
        <v>9</v>
      </c>
      <c r="F1059" s="6">
        <v>45473</v>
      </c>
      <c r="G1059" s="5">
        <f t="shared" si="172"/>
        <v>2024</v>
      </c>
      <c r="H1059" s="5" t="str">
        <f t="shared" si="173"/>
        <v>Junio</v>
      </c>
      <c r="I1059" s="6" t="str">
        <f t="shared" si="169"/>
        <v>2024-1</v>
      </c>
      <c r="J1059" s="5">
        <v>3</v>
      </c>
      <c r="K1059" s="5">
        <v>3</v>
      </c>
      <c r="L1059" s="8">
        <f>IFERROR(K1059/J1059,"")</f>
        <v>1</v>
      </c>
      <c r="M1059" s="15">
        <v>1</v>
      </c>
      <c r="N1059" s="5" t="s">
        <v>490</v>
      </c>
      <c r="O1059" s="5" t="s">
        <v>490</v>
      </c>
      <c r="P1059" s="5">
        <v>0</v>
      </c>
      <c r="Q1059" s="5">
        <v>0</v>
      </c>
      <c r="R1059" s="5" t="str">
        <f t="shared" si="170"/>
        <v>273-2024-06-30</v>
      </c>
    </row>
    <row r="1060" spans="1:18" x14ac:dyDescent="0.3">
      <c r="A1060" s="26">
        <v>273</v>
      </c>
      <c r="B1060" s="5" t="s">
        <v>157</v>
      </c>
      <c r="C1060" s="5" t="s">
        <v>158</v>
      </c>
      <c r="D1060" s="5" t="s">
        <v>8</v>
      </c>
      <c r="E1060" s="5" t="s">
        <v>9</v>
      </c>
      <c r="F1060" s="6">
        <v>45657</v>
      </c>
      <c r="G1060" s="5">
        <f t="shared" si="172"/>
        <v>2024</v>
      </c>
      <c r="H1060" s="5" t="str">
        <f t="shared" si="173"/>
        <v>Diciembre</v>
      </c>
      <c r="I1060" s="6" t="str">
        <f t="shared" si="169"/>
        <v>2024-2</v>
      </c>
      <c r="J1060" s="5">
        <v>3</v>
      </c>
      <c r="K1060" s="10">
        <v>3</v>
      </c>
      <c r="L1060" s="15">
        <f t="shared" ref="L1060:L1066" si="176">IFERROR(IF((K1060/J1060)&gt;1.3,1.3,K1060/J1060),"")</f>
        <v>1</v>
      </c>
      <c r="M1060" s="15">
        <f t="shared" ref="M1060:M1066" si="177">IFERROR(IF((K1060/J1060)&gt;K1060/J1060,1.3,K1060/J1060),"")</f>
        <v>1</v>
      </c>
      <c r="N1060" s="5" t="s">
        <v>490</v>
      </c>
      <c r="O1060" s="5" t="s">
        <v>490</v>
      </c>
      <c r="P1060" s="16">
        <v>0</v>
      </c>
      <c r="Q1060" s="16">
        <v>0</v>
      </c>
      <c r="R1060" s="5" t="str">
        <f t="shared" si="170"/>
        <v>273-2024-12-31</v>
      </c>
    </row>
    <row r="1061" spans="1:18" x14ac:dyDescent="0.3">
      <c r="A1061" s="5">
        <v>274</v>
      </c>
      <c r="B1061" s="5" t="s">
        <v>159</v>
      </c>
      <c r="C1061" s="5" t="s">
        <v>142</v>
      </c>
      <c r="D1061" s="5" t="s">
        <v>8</v>
      </c>
      <c r="E1061" s="5" t="s">
        <v>9</v>
      </c>
      <c r="F1061" s="17">
        <v>44742</v>
      </c>
      <c r="G1061" s="5">
        <f t="shared" si="172"/>
        <v>2022</v>
      </c>
      <c r="H1061" s="5" t="str">
        <f t="shared" si="173"/>
        <v>Junio</v>
      </c>
      <c r="I1061" s="6" t="str">
        <f t="shared" si="169"/>
        <v>2022-1</v>
      </c>
      <c r="J1061" s="5">
        <v>39623</v>
      </c>
      <c r="K1061" s="9">
        <v>40000</v>
      </c>
      <c r="L1061" s="15">
        <f t="shared" si="176"/>
        <v>1.0095146758195996</v>
      </c>
      <c r="M1061" s="15">
        <f t="shared" si="177"/>
        <v>1.0095146758195996</v>
      </c>
      <c r="N1061" s="5" t="s">
        <v>490</v>
      </c>
      <c r="O1061" s="5" t="s">
        <v>490</v>
      </c>
      <c r="P1061" s="5">
        <v>0</v>
      </c>
      <c r="Q1061" s="5">
        <v>0</v>
      </c>
      <c r="R1061" s="5" t="str">
        <f t="shared" si="170"/>
        <v>274-2022-06-30</v>
      </c>
    </row>
    <row r="1062" spans="1:18" x14ac:dyDescent="0.3">
      <c r="A1062" s="5">
        <v>274</v>
      </c>
      <c r="B1062" s="5" t="s">
        <v>159</v>
      </c>
      <c r="C1062" s="5" t="s">
        <v>142</v>
      </c>
      <c r="D1062" s="5" t="s">
        <v>8</v>
      </c>
      <c r="E1062" s="5" t="s">
        <v>9</v>
      </c>
      <c r="F1062" s="17">
        <v>44926</v>
      </c>
      <c r="G1062" s="5">
        <f t="shared" si="172"/>
        <v>2022</v>
      </c>
      <c r="H1062" s="5" t="str">
        <f t="shared" si="173"/>
        <v>Diciembre</v>
      </c>
      <c r="I1062" s="6" t="str">
        <f t="shared" si="169"/>
        <v>2022-2</v>
      </c>
      <c r="J1062" s="5">
        <v>39817</v>
      </c>
      <c r="K1062" s="9">
        <v>40663</v>
      </c>
      <c r="L1062" s="15">
        <f t="shared" si="176"/>
        <v>1.0212472059673003</v>
      </c>
      <c r="M1062" s="15">
        <f t="shared" si="177"/>
        <v>1.0212472059673003</v>
      </c>
      <c r="N1062" s="5" t="s">
        <v>490</v>
      </c>
      <c r="O1062" s="5" t="s">
        <v>490</v>
      </c>
      <c r="P1062" s="5">
        <v>0</v>
      </c>
      <c r="Q1062" s="5">
        <v>0</v>
      </c>
      <c r="R1062" s="5" t="str">
        <f t="shared" si="170"/>
        <v>274-2022-12-31</v>
      </c>
    </row>
    <row r="1063" spans="1:18" x14ac:dyDescent="0.3">
      <c r="A1063" s="35">
        <v>274</v>
      </c>
      <c r="B1063" s="18" t="s">
        <v>159</v>
      </c>
      <c r="C1063" s="18" t="s">
        <v>142</v>
      </c>
      <c r="D1063" s="18" t="s">
        <v>8</v>
      </c>
      <c r="E1063" s="18" t="s">
        <v>9</v>
      </c>
      <c r="F1063" s="19">
        <v>45107</v>
      </c>
      <c r="G1063" s="5">
        <f t="shared" si="172"/>
        <v>2023</v>
      </c>
      <c r="H1063" s="5" t="str">
        <f t="shared" si="173"/>
        <v>Junio</v>
      </c>
      <c r="I1063" s="6" t="str">
        <f t="shared" si="169"/>
        <v>2023-1</v>
      </c>
      <c r="J1063" s="18">
        <v>40047</v>
      </c>
      <c r="K1063" s="9">
        <v>39091</v>
      </c>
      <c r="L1063" s="15">
        <f t="shared" si="176"/>
        <v>0.97612804954178845</v>
      </c>
      <c r="M1063" s="15">
        <f t="shared" si="177"/>
        <v>0.97612804954178845</v>
      </c>
      <c r="N1063" s="18" t="s">
        <v>490</v>
      </c>
      <c r="O1063" s="18" t="s">
        <v>490</v>
      </c>
      <c r="P1063" s="16">
        <v>0</v>
      </c>
      <c r="Q1063" s="16">
        <v>0</v>
      </c>
      <c r="R1063" s="5" t="str">
        <f t="shared" si="170"/>
        <v>274-2023-06-30</v>
      </c>
    </row>
    <row r="1064" spans="1:18" x14ac:dyDescent="0.3">
      <c r="A1064" s="39">
        <v>274</v>
      </c>
      <c r="B1064" s="5" t="s">
        <v>159</v>
      </c>
      <c r="C1064" s="5" t="s">
        <v>142</v>
      </c>
      <c r="D1064" s="5" t="s">
        <v>8</v>
      </c>
      <c r="E1064" s="5" t="s">
        <v>9</v>
      </c>
      <c r="F1064" s="6">
        <v>45291</v>
      </c>
      <c r="G1064" s="5">
        <f t="shared" si="172"/>
        <v>2023</v>
      </c>
      <c r="H1064" s="5" t="str">
        <f t="shared" si="173"/>
        <v>Diciembre</v>
      </c>
      <c r="I1064" s="6" t="str">
        <f t="shared" si="169"/>
        <v>2023-2</v>
      </c>
      <c r="J1064" s="5">
        <v>42012</v>
      </c>
      <c r="K1064" s="9">
        <v>40771</v>
      </c>
      <c r="L1064" s="15">
        <f t="shared" si="176"/>
        <v>0.97046082071789008</v>
      </c>
      <c r="M1064" s="15">
        <f t="shared" si="177"/>
        <v>0.97046082071789008</v>
      </c>
      <c r="N1064" s="5" t="s">
        <v>490</v>
      </c>
      <c r="O1064" s="5" t="s">
        <v>490</v>
      </c>
      <c r="P1064" s="16">
        <v>0</v>
      </c>
      <c r="Q1064" s="16">
        <v>0</v>
      </c>
      <c r="R1064" s="5" t="str">
        <f t="shared" si="170"/>
        <v>274-2023-12-31</v>
      </c>
    </row>
    <row r="1065" spans="1:18" x14ac:dyDescent="0.3">
      <c r="A1065" s="35">
        <v>274</v>
      </c>
      <c r="B1065" s="18" t="s">
        <v>159</v>
      </c>
      <c r="C1065" s="18" t="s">
        <v>142</v>
      </c>
      <c r="D1065" s="18" t="s">
        <v>8</v>
      </c>
      <c r="E1065" s="18" t="s">
        <v>9</v>
      </c>
      <c r="F1065" s="19">
        <v>45473</v>
      </c>
      <c r="G1065" s="5">
        <f t="shared" si="172"/>
        <v>2024</v>
      </c>
      <c r="H1065" s="5" t="str">
        <f t="shared" si="173"/>
        <v>Junio</v>
      </c>
      <c r="I1065" s="6" t="str">
        <f t="shared" si="169"/>
        <v>2024-1</v>
      </c>
      <c r="J1065" s="18">
        <v>38813</v>
      </c>
      <c r="K1065" s="9">
        <v>39598</v>
      </c>
      <c r="L1065" s="15">
        <f t="shared" si="176"/>
        <v>1.0202251822842863</v>
      </c>
      <c r="M1065" s="15">
        <f t="shared" si="177"/>
        <v>1.0202251822842863</v>
      </c>
      <c r="N1065" s="18" t="s">
        <v>490</v>
      </c>
      <c r="O1065" s="18" t="s">
        <v>490</v>
      </c>
      <c r="P1065" s="16">
        <v>0</v>
      </c>
      <c r="Q1065" s="16">
        <v>0</v>
      </c>
      <c r="R1065" s="5" t="str">
        <f t="shared" si="170"/>
        <v>274-2024-06-30</v>
      </c>
    </row>
    <row r="1066" spans="1:18" x14ac:dyDescent="0.3">
      <c r="A1066" s="26">
        <v>274</v>
      </c>
      <c r="B1066" s="5" t="s">
        <v>159</v>
      </c>
      <c r="C1066" s="5" t="s">
        <v>142</v>
      </c>
      <c r="D1066" s="5" t="s">
        <v>8</v>
      </c>
      <c r="E1066" s="5" t="s">
        <v>9</v>
      </c>
      <c r="F1066" s="6">
        <v>45657</v>
      </c>
      <c r="G1066" s="5">
        <f t="shared" si="172"/>
        <v>2024</v>
      </c>
      <c r="H1066" s="5" t="str">
        <f t="shared" si="173"/>
        <v>Diciembre</v>
      </c>
      <c r="I1066" s="6" t="str">
        <f t="shared" si="169"/>
        <v>2024-2</v>
      </c>
      <c r="J1066" s="5">
        <v>40441</v>
      </c>
      <c r="K1066" s="16">
        <v>41436</v>
      </c>
      <c r="L1066" s="15">
        <f t="shared" si="176"/>
        <v>1.0246037437254272</v>
      </c>
      <c r="M1066" s="15">
        <f t="shared" si="177"/>
        <v>1.0246037437254272</v>
      </c>
      <c r="N1066" s="18" t="s">
        <v>490</v>
      </c>
      <c r="O1066" s="18" t="s">
        <v>490</v>
      </c>
      <c r="P1066" s="16">
        <v>0</v>
      </c>
      <c r="Q1066" s="16">
        <v>0</v>
      </c>
      <c r="R1066" s="5" t="str">
        <f t="shared" si="170"/>
        <v>274-2024-12-31</v>
      </c>
    </row>
    <row r="1067" spans="1:18" x14ac:dyDescent="0.3">
      <c r="A1067" s="5">
        <v>275</v>
      </c>
      <c r="B1067" s="5" t="s">
        <v>497</v>
      </c>
      <c r="C1067" s="5" t="s">
        <v>160</v>
      </c>
      <c r="D1067" s="5" t="s">
        <v>8</v>
      </c>
      <c r="E1067" s="5" t="s">
        <v>9</v>
      </c>
      <c r="F1067" s="6">
        <v>45473</v>
      </c>
      <c r="G1067" s="5">
        <f t="shared" si="172"/>
        <v>2024</v>
      </c>
      <c r="H1067" s="5" t="str">
        <f t="shared" si="173"/>
        <v>Junio</v>
      </c>
      <c r="I1067" s="6" t="str">
        <f t="shared" si="169"/>
        <v>2024-1</v>
      </c>
      <c r="J1067" s="5">
        <v>80</v>
      </c>
      <c r="K1067" s="5">
        <v>83</v>
      </c>
      <c r="L1067" s="15">
        <f>IFERROR(IF((K1067/J1067)&gt;1.3,1.3,K1067/J1067),"")</f>
        <v>1.0375000000000001</v>
      </c>
      <c r="M1067" s="15">
        <f>IFERROR(IF((K1067/J1067)&gt;K1067/J1067,1.3,K1067/J1067),"")</f>
        <v>1.0375000000000001</v>
      </c>
      <c r="N1067" s="5" t="s">
        <v>347</v>
      </c>
      <c r="O1067" s="5" t="s">
        <v>347</v>
      </c>
      <c r="P1067" s="5">
        <v>0</v>
      </c>
      <c r="Q1067" s="5">
        <v>0</v>
      </c>
      <c r="R1067" s="5" t="str">
        <f t="shared" si="170"/>
        <v>275-2024-06-30</v>
      </c>
    </row>
    <row r="1068" spans="1:18" x14ac:dyDescent="0.3">
      <c r="A1068" s="26">
        <v>275</v>
      </c>
      <c r="B1068" s="5" t="s">
        <v>497</v>
      </c>
      <c r="C1068" s="5" t="s">
        <v>160</v>
      </c>
      <c r="D1068" s="5" t="s">
        <v>8</v>
      </c>
      <c r="E1068" s="5" t="s">
        <v>9</v>
      </c>
      <c r="F1068" s="6">
        <v>45657</v>
      </c>
      <c r="G1068" s="5">
        <f t="shared" si="172"/>
        <v>2024</v>
      </c>
      <c r="H1068" s="5" t="str">
        <f t="shared" si="173"/>
        <v>Diciembre</v>
      </c>
      <c r="I1068" s="6" t="str">
        <f t="shared" si="169"/>
        <v>2024-2</v>
      </c>
      <c r="J1068" s="5">
        <v>80</v>
      </c>
      <c r="K1068" s="10">
        <v>87.67</v>
      </c>
      <c r="L1068" s="15">
        <f>IFERROR(IF((K1068/J1068)&gt;1.3,1.3,K1068/J1068),"")</f>
        <v>1.0958749999999999</v>
      </c>
      <c r="M1068" s="15">
        <f>IFERROR(IF((K1068/J1068)&gt;K1068/J1068,1.3,K1068/J1068),"")</f>
        <v>1.0958749999999999</v>
      </c>
      <c r="N1068" s="5" t="s">
        <v>347</v>
      </c>
      <c r="O1068" s="5" t="s">
        <v>347</v>
      </c>
      <c r="P1068" s="16">
        <v>0</v>
      </c>
      <c r="Q1068" s="16">
        <v>0</v>
      </c>
      <c r="R1068" s="5" t="str">
        <f t="shared" si="170"/>
        <v>275-2024-12-31</v>
      </c>
    </row>
    <row r="1069" spans="1:18" x14ac:dyDescent="0.3">
      <c r="A1069" s="5">
        <v>276</v>
      </c>
      <c r="B1069" s="5" t="s">
        <v>161</v>
      </c>
      <c r="C1069" s="5" t="s">
        <v>162</v>
      </c>
      <c r="D1069" s="5" t="s">
        <v>8</v>
      </c>
      <c r="E1069" s="5" t="s">
        <v>14</v>
      </c>
      <c r="F1069" s="17">
        <v>44742</v>
      </c>
      <c r="G1069" s="5">
        <f t="shared" si="172"/>
        <v>2022</v>
      </c>
      <c r="H1069" s="5" t="str">
        <f t="shared" si="173"/>
        <v>Junio</v>
      </c>
      <c r="I1069" s="6" t="str">
        <f t="shared" si="169"/>
        <v>2022-1</v>
      </c>
      <c r="J1069" s="5">
        <v>93</v>
      </c>
      <c r="K1069" s="9">
        <v>106</v>
      </c>
      <c r="L1069" s="15">
        <v>0.87735849056603776</v>
      </c>
      <c r="M1069" s="15">
        <v>0.87735849056603776</v>
      </c>
      <c r="N1069" s="5"/>
      <c r="O1069" s="5"/>
      <c r="P1069" s="5">
        <v>0</v>
      </c>
      <c r="Q1069" s="5">
        <v>0</v>
      </c>
      <c r="R1069" s="5" t="str">
        <f t="shared" si="170"/>
        <v>276-2022-06-30</v>
      </c>
    </row>
    <row r="1070" spans="1:18" x14ac:dyDescent="0.3">
      <c r="A1070" s="5">
        <v>276</v>
      </c>
      <c r="B1070" s="5" t="s">
        <v>161</v>
      </c>
      <c r="C1070" s="5" t="s">
        <v>162</v>
      </c>
      <c r="D1070" s="5" t="s">
        <v>8</v>
      </c>
      <c r="E1070" s="5" t="s">
        <v>14</v>
      </c>
      <c r="F1070" s="17">
        <v>44926</v>
      </c>
      <c r="G1070" s="5">
        <f t="shared" si="172"/>
        <v>2022</v>
      </c>
      <c r="H1070" s="5" t="str">
        <f t="shared" si="173"/>
        <v>Diciembre</v>
      </c>
      <c r="I1070" s="6" t="str">
        <f t="shared" si="169"/>
        <v>2022-2</v>
      </c>
      <c r="J1070" s="5">
        <v>88</v>
      </c>
      <c r="K1070" s="9">
        <v>88</v>
      </c>
      <c r="L1070" s="15">
        <v>1</v>
      </c>
      <c r="M1070" s="15">
        <v>1</v>
      </c>
      <c r="N1070" s="5"/>
      <c r="O1070" s="5"/>
      <c r="P1070" s="5">
        <v>0</v>
      </c>
      <c r="Q1070" s="5">
        <v>0</v>
      </c>
      <c r="R1070" s="5" t="str">
        <f t="shared" si="170"/>
        <v>276-2022-12-31</v>
      </c>
    </row>
    <row r="1071" spans="1:18" x14ac:dyDescent="0.3">
      <c r="A1071" s="26">
        <v>276</v>
      </c>
      <c r="B1071" s="5" t="s">
        <v>161</v>
      </c>
      <c r="C1071" s="5" t="s">
        <v>162</v>
      </c>
      <c r="D1071" s="5" t="s">
        <v>8</v>
      </c>
      <c r="E1071" s="5" t="s">
        <v>14</v>
      </c>
      <c r="F1071" s="17">
        <v>45107</v>
      </c>
      <c r="G1071" s="5">
        <f t="shared" si="172"/>
        <v>2023</v>
      </c>
      <c r="H1071" s="5" t="str">
        <f t="shared" si="173"/>
        <v>Junio</v>
      </c>
      <c r="I1071" s="6" t="str">
        <f t="shared" si="169"/>
        <v>2023-1</v>
      </c>
      <c r="J1071" s="5">
        <v>85</v>
      </c>
      <c r="K1071" s="9">
        <v>89.99</v>
      </c>
      <c r="L1071" s="15">
        <f>IFERROR(IF((J1071/K1071)&gt;1.3,1.3,J1071/K1071),"")</f>
        <v>0.94454939437715302</v>
      </c>
      <c r="M1071" s="8">
        <f>IFERROR(J1071/K1071,"")</f>
        <v>0.94454939437715302</v>
      </c>
      <c r="N1071" s="5"/>
      <c r="O1071" s="5"/>
      <c r="P1071" s="16">
        <v>0</v>
      </c>
      <c r="Q1071" s="16">
        <v>0</v>
      </c>
      <c r="R1071" s="5" t="str">
        <f t="shared" si="170"/>
        <v>276-2023-06-30</v>
      </c>
    </row>
    <row r="1072" spans="1:18" x14ac:dyDescent="0.3">
      <c r="A1072" s="39">
        <v>276</v>
      </c>
      <c r="B1072" s="5" t="s">
        <v>161</v>
      </c>
      <c r="C1072" s="5" t="s">
        <v>162</v>
      </c>
      <c r="D1072" s="5" t="s">
        <v>8</v>
      </c>
      <c r="E1072" s="5" t="s">
        <v>14</v>
      </c>
      <c r="F1072" s="6">
        <v>45291</v>
      </c>
      <c r="G1072" s="5">
        <f t="shared" si="172"/>
        <v>2023</v>
      </c>
      <c r="H1072" s="5" t="str">
        <f t="shared" si="173"/>
        <v>Diciembre</v>
      </c>
      <c r="I1072" s="6" t="str">
        <f t="shared" si="169"/>
        <v>2023-2</v>
      </c>
      <c r="J1072" s="5">
        <v>85</v>
      </c>
      <c r="K1072" s="9">
        <v>84.5</v>
      </c>
      <c r="L1072" s="15">
        <f>IFERROR(IF((J1072/K1072)&gt;1.3,1.3,J1072/K1072),"")</f>
        <v>1.0059171597633136</v>
      </c>
      <c r="M1072" s="8">
        <f>IFERROR(J1072/K1072,"")</f>
        <v>1.0059171597633136</v>
      </c>
      <c r="N1072" s="5"/>
      <c r="O1072" s="5"/>
      <c r="P1072" s="16">
        <v>1</v>
      </c>
      <c r="Q1072" s="16">
        <v>1</v>
      </c>
      <c r="R1072" s="5" t="str">
        <f t="shared" si="170"/>
        <v>276-2023-12-31</v>
      </c>
    </row>
    <row r="1073" spans="1:18" x14ac:dyDescent="0.3">
      <c r="A1073" s="26">
        <v>276</v>
      </c>
      <c r="B1073" s="5" t="s">
        <v>161</v>
      </c>
      <c r="C1073" s="5" t="s">
        <v>162</v>
      </c>
      <c r="D1073" s="5" t="s">
        <v>8</v>
      </c>
      <c r="E1073" s="5" t="s">
        <v>14</v>
      </c>
      <c r="F1073" s="17">
        <v>45473</v>
      </c>
      <c r="G1073" s="5">
        <f t="shared" si="172"/>
        <v>2024</v>
      </c>
      <c r="H1073" s="5" t="str">
        <f t="shared" si="173"/>
        <v>Junio</v>
      </c>
      <c r="I1073" s="6" t="str">
        <f t="shared" si="169"/>
        <v>2024-1</v>
      </c>
      <c r="J1073" s="5">
        <v>75</v>
      </c>
      <c r="K1073" s="9">
        <v>83.65</v>
      </c>
      <c r="L1073" s="15">
        <f>IFERROR(IF((J1073/K1073)&gt;1.3,1.3,J1073/K1073),"")</f>
        <v>0.89659294680215174</v>
      </c>
      <c r="M1073" s="8">
        <f>IFERROR(J1073/K1073,"")</f>
        <v>0.89659294680215174</v>
      </c>
      <c r="N1073" s="5" t="s">
        <v>478</v>
      </c>
      <c r="O1073" s="5" t="s">
        <v>478</v>
      </c>
      <c r="P1073" s="16">
        <v>0</v>
      </c>
      <c r="Q1073" s="16">
        <v>0</v>
      </c>
      <c r="R1073" s="5" t="str">
        <f t="shared" si="170"/>
        <v>276-2024-06-30</v>
      </c>
    </row>
    <row r="1074" spans="1:18" x14ac:dyDescent="0.3">
      <c r="A1074" s="26">
        <v>276</v>
      </c>
      <c r="B1074" s="5" t="s">
        <v>161</v>
      </c>
      <c r="C1074" s="5" t="s">
        <v>162</v>
      </c>
      <c r="D1074" s="5" t="s">
        <v>8</v>
      </c>
      <c r="E1074" s="5" t="s">
        <v>14</v>
      </c>
      <c r="F1074" s="6">
        <v>45657</v>
      </c>
      <c r="G1074" s="5">
        <f t="shared" si="172"/>
        <v>2024</v>
      </c>
      <c r="H1074" s="5" t="str">
        <f t="shared" si="173"/>
        <v>Diciembre</v>
      </c>
      <c r="I1074" s="6" t="str">
        <f t="shared" ref="I1074:I1132" si="178">IF(OR(H1074="Enero",H1074="Febrero",H1074="Marzo",H1074="Abril",H1074="Mayo",H1074="Junio"),G1074&amp;"-1",IF(OR(H1074="Julio",H1074="Agosto",H1074="Septiembre",H1074="Octubre",H1074="Noviembre",H1074="Diciembre"),G1074&amp;"-2"))</f>
        <v>2024-2</v>
      </c>
      <c r="J1074" s="5">
        <v>75</v>
      </c>
      <c r="K1074" s="10">
        <v>82.68</v>
      </c>
      <c r="L1074" s="15">
        <f>IFERROR(IF((K1074/J1074)&gt;1.3,1.3,K1074/J1074),"")</f>
        <v>1.1024</v>
      </c>
      <c r="M1074" s="15">
        <f>IFERROR(IF((K1074/J1074)&gt;K1074/J1074,1.3,K1074/J1074),"")</f>
        <v>1.1024</v>
      </c>
      <c r="N1074" s="5" t="s">
        <v>478</v>
      </c>
      <c r="O1074" s="5" t="s">
        <v>478</v>
      </c>
      <c r="P1074" s="16">
        <v>0</v>
      </c>
      <c r="Q1074" s="16">
        <v>0</v>
      </c>
      <c r="R1074" s="5" t="str">
        <f t="shared" ref="R1074:R1132" si="179">A1074&amp;"-"&amp;YEAR(F1074)&amp;"-"&amp;IF(LEN(MONTH(F1074))=1,"0"&amp;MONTH(F1074),MONTH(F1074))&amp;"-"&amp;DAY(F1074)</f>
        <v>276-2024-12-31</v>
      </c>
    </row>
    <row r="1075" spans="1:18" x14ac:dyDescent="0.3">
      <c r="A1075" s="26">
        <v>277</v>
      </c>
      <c r="B1075" s="5" t="s">
        <v>163</v>
      </c>
      <c r="C1075" s="5" t="s">
        <v>162</v>
      </c>
      <c r="D1075" s="5" t="s">
        <v>8</v>
      </c>
      <c r="E1075" s="5" t="s">
        <v>14</v>
      </c>
      <c r="F1075" s="17">
        <v>45107</v>
      </c>
      <c r="G1075" s="5">
        <f t="shared" si="172"/>
        <v>2023</v>
      </c>
      <c r="H1075" s="5" t="str">
        <f t="shared" si="173"/>
        <v>Junio</v>
      </c>
      <c r="I1075" s="6" t="str">
        <f t="shared" si="178"/>
        <v>2023-1</v>
      </c>
      <c r="J1075" s="5">
        <v>85</v>
      </c>
      <c r="K1075" s="9">
        <v>76.48</v>
      </c>
      <c r="L1075" s="8">
        <f>IFERROR(J1075/K1075,"")</f>
        <v>1.1114016736401673</v>
      </c>
      <c r="M1075" s="8">
        <f>IFERROR(J1075/K1075,"")</f>
        <v>1.1114016736401673</v>
      </c>
      <c r="N1075" s="5" t="s">
        <v>478</v>
      </c>
      <c r="O1075" s="5" t="s">
        <v>478</v>
      </c>
      <c r="P1075" s="16">
        <v>0</v>
      </c>
      <c r="Q1075" s="16">
        <v>0</v>
      </c>
      <c r="R1075" s="5" t="str">
        <f t="shared" si="179"/>
        <v>277-2023-06-30</v>
      </c>
    </row>
    <row r="1076" spans="1:18" x14ac:dyDescent="0.3">
      <c r="A1076" s="39">
        <v>277</v>
      </c>
      <c r="B1076" s="5" t="s">
        <v>163</v>
      </c>
      <c r="C1076" s="5" t="s">
        <v>162</v>
      </c>
      <c r="D1076" s="5" t="s">
        <v>8</v>
      </c>
      <c r="E1076" s="5" t="s">
        <v>14</v>
      </c>
      <c r="F1076" s="6">
        <v>45291</v>
      </c>
      <c r="G1076" s="5">
        <f t="shared" si="172"/>
        <v>2023</v>
      </c>
      <c r="H1076" s="5" t="str">
        <f t="shared" si="173"/>
        <v>Diciembre</v>
      </c>
      <c r="I1076" s="6" t="str">
        <f t="shared" si="178"/>
        <v>2023-2</v>
      </c>
      <c r="J1076" s="5">
        <v>85</v>
      </c>
      <c r="K1076" s="9">
        <v>73.290000000000006</v>
      </c>
      <c r="L1076" s="8">
        <f>IFERROR(J1076/K1076,"")</f>
        <v>1.1597762314094691</v>
      </c>
      <c r="M1076" s="8">
        <f>IFERROR(J1076/K1076,"")</f>
        <v>1.1597762314094691</v>
      </c>
      <c r="N1076" s="5" t="s">
        <v>478</v>
      </c>
      <c r="O1076" s="5" t="s">
        <v>478</v>
      </c>
      <c r="P1076" s="16">
        <v>0</v>
      </c>
      <c r="Q1076" s="16">
        <v>0</v>
      </c>
      <c r="R1076" s="5" t="str">
        <f t="shared" si="179"/>
        <v>277-2023-12-31</v>
      </c>
    </row>
    <row r="1077" spans="1:18" x14ac:dyDescent="0.3">
      <c r="A1077" s="26">
        <v>277</v>
      </c>
      <c r="B1077" s="5" t="s">
        <v>163</v>
      </c>
      <c r="C1077" s="5" t="s">
        <v>162</v>
      </c>
      <c r="D1077" s="5" t="s">
        <v>8</v>
      </c>
      <c r="E1077" s="5" t="s">
        <v>14</v>
      </c>
      <c r="F1077" s="17">
        <v>45473</v>
      </c>
      <c r="G1077" s="5">
        <f t="shared" si="172"/>
        <v>2024</v>
      </c>
      <c r="H1077" s="5" t="str">
        <f t="shared" si="173"/>
        <v>Junio</v>
      </c>
      <c r="I1077" s="6" t="str">
        <f t="shared" si="178"/>
        <v>2024-1</v>
      </c>
      <c r="J1077" s="5">
        <v>73</v>
      </c>
      <c r="K1077" s="9">
        <v>71.180000000000007</v>
      </c>
      <c r="L1077" s="8">
        <f>IFERROR(J1077/K1077,"")</f>
        <v>1.0255689800505758</v>
      </c>
      <c r="M1077" s="8">
        <f>IFERROR(J1077/K1077,"")</f>
        <v>1.0255689800505758</v>
      </c>
      <c r="N1077" s="5" t="s">
        <v>478</v>
      </c>
      <c r="O1077" s="5" t="s">
        <v>478</v>
      </c>
      <c r="P1077" s="16">
        <v>0</v>
      </c>
      <c r="Q1077" s="16">
        <v>0</v>
      </c>
      <c r="R1077" s="5" t="str">
        <f t="shared" si="179"/>
        <v>277-2024-06-30</v>
      </c>
    </row>
    <row r="1078" spans="1:18" x14ac:dyDescent="0.3">
      <c r="A1078" s="26">
        <v>277</v>
      </c>
      <c r="B1078" s="5" t="s">
        <v>163</v>
      </c>
      <c r="C1078" s="5" t="s">
        <v>162</v>
      </c>
      <c r="D1078" s="5" t="s">
        <v>8</v>
      </c>
      <c r="E1078" s="5" t="s">
        <v>14</v>
      </c>
      <c r="F1078" s="6">
        <v>45657</v>
      </c>
      <c r="G1078" s="5">
        <f t="shared" si="172"/>
        <v>2024</v>
      </c>
      <c r="H1078" s="5" t="str">
        <f t="shared" si="173"/>
        <v>Diciembre</v>
      </c>
      <c r="I1078" s="6" t="str">
        <f t="shared" si="178"/>
        <v>2024-2</v>
      </c>
      <c r="J1078" s="5">
        <v>73</v>
      </c>
      <c r="K1078" s="10">
        <v>71.239999999999995</v>
      </c>
      <c r="L1078" s="8">
        <f>IFERROR(J1078/K1078,"")</f>
        <v>1.0247052217855139</v>
      </c>
      <c r="M1078" s="8">
        <f>IFERROR(J1078/K1078,"")</f>
        <v>1.0247052217855139</v>
      </c>
      <c r="N1078" s="5" t="s">
        <v>478</v>
      </c>
      <c r="O1078" s="5" t="s">
        <v>478</v>
      </c>
      <c r="P1078" s="16">
        <v>0</v>
      </c>
      <c r="Q1078" s="16">
        <v>0</v>
      </c>
      <c r="R1078" s="5" t="str">
        <f t="shared" si="179"/>
        <v>277-2024-12-31</v>
      </c>
    </row>
    <row r="1079" spans="1:18" x14ac:dyDescent="0.3">
      <c r="A1079" s="26">
        <v>278</v>
      </c>
      <c r="B1079" s="5" t="s">
        <v>164</v>
      </c>
      <c r="C1079" s="5" t="s">
        <v>162</v>
      </c>
      <c r="D1079" s="5" t="s">
        <v>8</v>
      </c>
      <c r="E1079" s="5" t="s">
        <v>9</v>
      </c>
      <c r="F1079" s="17">
        <v>45107</v>
      </c>
      <c r="G1079" s="5">
        <f t="shared" si="172"/>
        <v>2023</v>
      </c>
      <c r="H1079" s="5" t="str">
        <f t="shared" si="173"/>
        <v>Junio</v>
      </c>
      <c r="I1079" s="6" t="str">
        <f t="shared" si="178"/>
        <v>2023-1</v>
      </c>
      <c r="J1079" s="5"/>
      <c r="K1079" s="9">
        <v>1015</v>
      </c>
      <c r="L1079" s="8" t="str">
        <f>IFERROR(K1079/J1079,"")</f>
        <v/>
      </c>
      <c r="M1079" s="15" t="str">
        <f>IFERROR(IF((K1079/J1079)&gt;K1079/J1079,1.3,K1079/J1079),"")</f>
        <v/>
      </c>
      <c r="N1079" s="5" t="s">
        <v>478</v>
      </c>
      <c r="O1079" s="5" t="s">
        <v>478</v>
      </c>
      <c r="P1079" s="16">
        <v>0</v>
      </c>
      <c r="Q1079" s="16">
        <v>0</v>
      </c>
      <c r="R1079" s="5" t="str">
        <f t="shared" si="179"/>
        <v>278-2023-06-30</v>
      </c>
    </row>
    <row r="1080" spans="1:18" x14ac:dyDescent="0.3">
      <c r="A1080" s="39">
        <v>278</v>
      </c>
      <c r="B1080" s="5" t="s">
        <v>164</v>
      </c>
      <c r="C1080" s="5" t="s">
        <v>162</v>
      </c>
      <c r="D1080" s="5" t="s">
        <v>8</v>
      </c>
      <c r="E1080" s="5" t="s">
        <v>9</v>
      </c>
      <c r="F1080" s="6">
        <v>45291</v>
      </c>
      <c r="G1080" s="5">
        <f t="shared" si="172"/>
        <v>2023</v>
      </c>
      <c r="H1080" s="5" t="str">
        <f t="shared" si="173"/>
        <v>Diciembre</v>
      </c>
      <c r="I1080" s="6" t="str">
        <f t="shared" si="178"/>
        <v>2023-2</v>
      </c>
      <c r="J1080" s="5">
        <v>0</v>
      </c>
      <c r="K1080" s="9">
        <v>1017</v>
      </c>
      <c r="L1080" s="8" t="str">
        <f>IFERROR(K1080/J1080,"")</f>
        <v/>
      </c>
      <c r="M1080" s="15" t="str">
        <f>IFERROR(IF((K1080/J1080)&gt;K1080/J1080,1.3,K1080/J1080),"")</f>
        <v/>
      </c>
      <c r="N1080" s="5" t="s">
        <v>478</v>
      </c>
      <c r="O1080" s="5" t="s">
        <v>478</v>
      </c>
      <c r="P1080" s="16">
        <v>0</v>
      </c>
      <c r="Q1080" s="16">
        <v>0</v>
      </c>
      <c r="R1080" s="5" t="str">
        <f t="shared" si="179"/>
        <v>278-2023-12-31</v>
      </c>
    </row>
    <row r="1081" spans="1:18" x14ac:dyDescent="0.3">
      <c r="A1081" s="5">
        <v>278</v>
      </c>
      <c r="B1081" s="5" t="s">
        <v>164</v>
      </c>
      <c r="C1081" s="5" t="s">
        <v>162</v>
      </c>
      <c r="D1081" s="5" t="s">
        <v>8</v>
      </c>
      <c r="E1081" s="5" t="s">
        <v>9</v>
      </c>
      <c r="F1081" s="6">
        <v>45473</v>
      </c>
      <c r="G1081" s="5">
        <f t="shared" si="172"/>
        <v>2024</v>
      </c>
      <c r="H1081" s="5" t="str">
        <f t="shared" si="173"/>
        <v>Junio</v>
      </c>
      <c r="I1081" s="6" t="str">
        <f t="shared" si="178"/>
        <v>2024-1</v>
      </c>
      <c r="J1081" s="5">
        <v>0</v>
      </c>
      <c r="K1081" s="5">
        <v>1074</v>
      </c>
      <c r="L1081" s="15" t="s">
        <v>417</v>
      </c>
      <c r="M1081" s="15" t="s">
        <v>417</v>
      </c>
      <c r="N1081" s="5">
        <v>0</v>
      </c>
      <c r="O1081" s="5" t="s">
        <v>490</v>
      </c>
      <c r="P1081" s="5">
        <v>0</v>
      </c>
      <c r="Q1081" s="5">
        <v>0</v>
      </c>
      <c r="R1081" s="5" t="str">
        <f t="shared" si="179"/>
        <v>278-2024-06-30</v>
      </c>
    </row>
    <row r="1082" spans="1:18" x14ac:dyDescent="0.3">
      <c r="A1082" s="26">
        <v>278</v>
      </c>
      <c r="B1082" s="5" t="s">
        <v>164</v>
      </c>
      <c r="C1082" s="5" t="s">
        <v>162</v>
      </c>
      <c r="D1082" s="5" t="s">
        <v>8</v>
      </c>
      <c r="E1082" s="5" t="s">
        <v>9</v>
      </c>
      <c r="F1082" s="6">
        <v>45657</v>
      </c>
      <c r="G1082" s="5">
        <f t="shared" si="172"/>
        <v>2024</v>
      </c>
      <c r="H1082" s="5" t="str">
        <f t="shared" si="173"/>
        <v>Diciembre</v>
      </c>
      <c r="I1082" s="6" t="str">
        <f t="shared" si="178"/>
        <v>2024-2</v>
      </c>
      <c r="J1082" s="5">
        <v>0</v>
      </c>
      <c r="K1082" s="10">
        <v>1013</v>
      </c>
      <c r="L1082" s="15" t="str">
        <f>IFERROR(IF((K1082/J1082)&gt;1.3,1.3,K1082/J1082),"")</f>
        <v/>
      </c>
      <c r="M1082" s="15" t="str">
        <f t="shared" ref="M1082:M1089" si="180">IFERROR(IF((K1082/J1082)&gt;K1082/J1082,1.3,K1082/J1082),"")</f>
        <v/>
      </c>
      <c r="N1082" s="5">
        <v>0</v>
      </c>
      <c r="O1082" s="5" t="s">
        <v>490</v>
      </c>
      <c r="P1082" s="16">
        <v>0</v>
      </c>
      <c r="Q1082" s="16">
        <v>0</v>
      </c>
      <c r="R1082" s="5" t="str">
        <f t="shared" si="179"/>
        <v>278-2024-12-31</v>
      </c>
    </row>
    <row r="1083" spans="1:18" x14ac:dyDescent="0.3">
      <c r="A1083" s="26">
        <v>279</v>
      </c>
      <c r="B1083" s="5" t="s">
        <v>165</v>
      </c>
      <c r="C1083" s="5" t="s">
        <v>162</v>
      </c>
      <c r="D1083" s="5" t="s">
        <v>8</v>
      </c>
      <c r="E1083" s="5" t="s">
        <v>9</v>
      </c>
      <c r="F1083" s="17">
        <v>45107</v>
      </c>
      <c r="G1083" s="5">
        <f t="shared" si="172"/>
        <v>2023</v>
      </c>
      <c r="H1083" s="5" t="str">
        <f t="shared" si="173"/>
        <v>Junio</v>
      </c>
      <c r="I1083" s="6" t="str">
        <f t="shared" si="178"/>
        <v>2023-1</v>
      </c>
      <c r="J1083" s="5"/>
      <c r="K1083" s="9">
        <v>572</v>
      </c>
      <c r="L1083" s="8" t="str">
        <f t="shared" ref="L1083:L1089" si="181">IFERROR(K1083/J1083,"")</f>
        <v/>
      </c>
      <c r="M1083" s="15" t="str">
        <f t="shared" si="180"/>
        <v/>
      </c>
      <c r="N1083" s="5"/>
      <c r="O1083" s="5"/>
      <c r="P1083" s="16">
        <v>0</v>
      </c>
      <c r="Q1083" s="16">
        <v>0</v>
      </c>
      <c r="R1083" s="5" t="str">
        <f t="shared" si="179"/>
        <v>279-2023-06-30</v>
      </c>
    </row>
    <row r="1084" spans="1:18" x14ac:dyDescent="0.3">
      <c r="A1084" s="26">
        <v>280</v>
      </c>
      <c r="B1084" s="5" t="s">
        <v>166</v>
      </c>
      <c r="C1084" s="5" t="s">
        <v>162</v>
      </c>
      <c r="D1084" s="5" t="s">
        <v>8</v>
      </c>
      <c r="E1084" s="5" t="s">
        <v>9</v>
      </c>
      <c r="F1084" s="17">
        <v>45107</v>
      </c>
      <c r="G1084" s="5">
        <f t="shared" si="172"/>
        <v>2023</v>
      </c>
      <c r="H1084" s="5" t="str">
        <f t="shared" si="173"/>
        <v>Junio</v>
      </c>
      <c r="I1084" s="6" t="str">
        <f t="shared" si="178"/>
        <v>2023-1</v>
      </c>
      <c r="J1084" s="5"/>
      <c r="K1084" s="9">
        <v>203</v>
      </c>
      <c r="L1084" s="8" t="str">
        <f t="shared" si="181"/>
        <v/>
      </c>
      <c r="M1084" s="15" t="str">
        <f t="shared" si="180"/>
        <v/>
      </c>
      <c r="N1084" s="5"/>
      <c r="O1084" s="5"/>
      <c r="P1084" s="16">
        <v>0</v>
      </c>
      <c r="Q1084" s="16">
        <v>0</v>
      </c>
      <c r="R1084" s="5" t="str">
        <f t="shared" si="179"/>
        <v>280-2023-06-30</v>
      </c>
    </row>
    <row r="1085" spans="1:18" x14ac:dyDescent="0.3">
      <c r="A1085" s="39">
        <v>280</v>
      </c>
      <c r="B1085" s="5" t="s">
        <v>166</v>
      </c>
      <c r="C1085" s="5" t="s">
        <v>162</v>
      </c>
      <c r="D1085" s="5" t="s">
        <v>8</v>
      </c>
      <c r="E1085" s="5" t="s">
        <v>9</v>
      </c>
      <c r="F1085" s="6">
        <v>45291</v>
      </c>
      <c r="G1085" s="5">
        <f t="shared" si="172"/>
        <v>2023</v>
      </c>
      <c r="H1085" s="5" t="str">
        <f t="shared" si="173"/>
        <v>Diciembre</v>
      </c>
      <c r="I1085" s="6" t="str">
        <f t="shared" si="178"/>
        <v>2023-2</v>
      </c>
      <c r="J1085" s="5">
        <v>0</v>
      </c>
      <c r="K1085" s="9">
        <v>186</v>
      </c>
      <c r="L1085" s="8" t="str">
        <f t="shared" si="181"/>
        <v/>
      </c>
      <c r="M1085" s="15" t="str">
        <f t="shared" si="180"/>
        <v/>
      </c>
      <c r="N1085" s="5"/>
      <c r="O1085" s="5"/>
      <c r="P1085" s="16">
        <v>0</v>
      </c>
      <c r="Q1085" s="16">
        <v>0</v>
      </c>
      <c r="R1085" s="5" t="str">
        <f t="shared" si="179"/>
        <v>280-2023-12-31</v>
      </c>
    </row>
    <row r="1086" spans="1:18" x14ac:dyDescent="0.3">
      <c r="A1086" s="26">
        <v>281</v>
      </c>
      <c r="B1086" s="5" t="s">
        <v>167</v>
      </c>
      <c r="C1086" s="5" t="s">
        <v>162</v>
      </c>
      <c r="D1086" s="5" t="s">
        <v>8</v>
      </c>
      <c r="E1086" s="5" t="s">
        <v>9</v>
      </c>
      <c r="F1086" s="17">
        <v>45107</v>
      </c>
      <c r="G1086" s="5">
        <f t="shared" si="172"/>
        <v>2023</v>
      </c>
      <c r="H1086" s="5" t="str">
        <f t="shared" si="173"/>
        <v>Junio</v>
      </c>
      <c r="I1086" s="6" t="str">
        <f t="shared" si="178"/>
        <v>2023-1</v>
      </c>
      <c r="J1086" s="5"/>
      <c r="K1086" s="9">
        <v>240</v>
      </c>
      <c r="L1086" s="8" t="str">
        <f t="shared" si="181"/>
        <v/>
      </c>
      <c r="M1086" s="15" t="str">
        <f t="shared" si="180"/>
        <v/>
      </c>
      <c r="N1086" s="5"/>
      <c r="O1086" s="5"/>
      <c r="P1086" s="16">
        <v>0</v>
      </c>
      <c r="Q1086" s="16">
        <v>0</v>
      </c>
      <c r="R1086" s="5" t="str">
        <f t="shared" si="179"/>
        <v>281-2023-06-30</v>
      </c>
    </row>
    <row r="1087" spans="1:18" x14ac:dyDescent="0.3">
      <c r="A1087" s="39">
        <v>281</v>
      </c>
      <c r="B1087" s="5" t="s">
        <v>167</v>
      </c>
      <c r="C1087" s="5" t="s">
        <v>162</v>
      </c>
      <c r="D1087" s="5" t="s">
        <v>8</v>
      </c>
      <c r="E1087" s="5" t="s">
        <v>9</v>
      </c>
      <c r="F1087" s="6">
        <v>45291</v>
      </c>
      <c r="G1087" s="5">
        <f t="shared" si="172"/>
        <v>2023</v>
      </c>
      <c r="H1087" s="5" t="str">
        <f t="shared" si="173"/>
        <v>Diciembre</v>
      </c>
      <c r="I1087" s="6" t="str">
        <f t="shared" si="178"/>
        <v>2023-2</v>
      </c>
      <c r="J1087" s="5"/>
      <c r="K1087" s="9">
        <v>223</v>
      </c>
      <c r="L1087" s="8" t="str">
        <f t="shared" si="181"/>
        <v/>
      </c>
      <c r="M1087" s="15" t="str">
        <f t="shared" si="180"/>
        <v/>
      </c>
      <c r="N1087" s="5"/>
      <c r="O1087" s="5"/>
      <c r="P1087" s="16">
        <v>0</v>
      </c>
      <c r="Q1087" s="16">
        <v>0</v>
      </c>
      <c r="R1087" s="5" t="str">
        <f t="shared" si="179"/>
        <v>281-2023-12-31</v>
      </c>
    </row>
    <row r="1088" spans="1:18" x14ac:dyDescent="0.3">
      <c r="A1088" s="26">
        <v>282</v>
      </c>
      <c r="B1088" s="5" t="s">
        <v>168</v>
      </c>
      <c r="C1088" s="5" t="s">
        <v>162</v>
      </c>
      <c r="D1088" s="5" t="s">
        <v>8</v>
      </c>
      <c r="E1088" s="5" t="s">
        <v>9</v>
      </c>
      <c r="F1088" s="17">
        <v>45107</v>
      </c>
      <c r="G1088" s="5">
        <f t="shared" si="172"/>
        <v>2023</v>
      </c>
      <c r="H1088" s="5" t="str">
        <f t="shared" si="173"/>
        <v>Junio</v>
      </c>
      <c r="I1088" s="6" t="str">
        <f t="shared" si="178"/>
        <v>2023-1</v>
      </c>
      <c r="J1088" s="11">
        <v>96</v>
      </c>
      <c r="K1088" s="9">
        <v>96.06</v>
      </c>
      <c r="L1088" s="8">
        <f t="shared" si="181"/>
        <v>1.0006250000000001</v>
      </c>
      <c r="M1088" s="15">
        <f t="shared" si="180"/>
        <v>1.0006250000000001</v>
      </c>
      <c r="N1088" s="11" t="s">
        <v>347</v>
      </c>
      <c r="O1088" s="11" t="s">
        <v>347</v>
      </c>
      <c r="P1088" s="16">
        <v>0</v>
      </c>
      <c r="Q1088" s="16">
        <v>0</v>
      </c>
      <c r="R1088" s="5" t="str">
        <f t="shared" si="179"/>
        <v>282-2023-06-30</v>
      </c>
    </row>
    <row r="1089" spans="1:18" x14ac:dyDescent="0.3">
      <c r="A1089" s="39">
        <v>282</v>
      </c>
      <c r="B1089" s="5" t="s">
        <v>168</v>
      </c>
      <c r="C1089" s="5" t="s">
        <v>162</v>
      </c>
      <c r="D1089" s="5" t="s">
        <v>8</v>
      </c>
      <c r="E1089" s="5" t="s">
        <v>9</v>
      </c>
      <c r="F1089" s="6">
        <v>45291</v>
      </c>
      <c r="G1089" s="5">
        <f t="shared" si="172"/>
        <v>2023</v>
      </c>
      <c r="H1089" s="5" t="str">
        <f t="shared" si="173"/>
        <v>Diciembre</v>
      </c>
      <c r="I1089" s="6" t="str">
        <f t="shared" si="178"/>
        <v>2023-2</v>
      </c>
      <c r="J1089" s="11">
        <v>96</v>
      </c>
      <c r="K1089" s="9">
        <v>96.56</v>
      </c>
      <c r="L1089" s="8">
        <f t="shared" si="181"/>
        <v>1.0058333333333334</v>
      </c>
      <c r="M1089" s="15">
        <f t="shared" si="180"/>
        <v>1.0058333333333334</v>
      </c>
      <c r="N1089" s="11" t="s">
        <v>347</v>
      </c>
      <c r="O1089" s="11" t="s">
        <v>347</v>
      </c>
      <c r="P1089" s="16">
        <v>0</v>
      </c>
      <c r="Q1089" s="16">
        <v>0</v>
      </c>
      <c r="R1089" s="5" t="str">
        <f t="shared" si="179"/>
        <v>282-2023-12-31</v>
      </c>
    </row>
    <row r="1090" spans="1:18" x14ac:dyDescent="0.3">
      <c r="A1090" s="5">
        <v>282</v>
      </c>
      <c r="B1090" s="5" t="s">
        <v>168</v>
      </c>
      <c r="C1090" s="5" t="s">
        <v>162</v>
      </c>
      <c r="D1090" s="5" t="s">
        <v>8</v>
      </c>
      <c r="E1090" s="5" t="s">
        <v>9</v>
      </c>
      <c r="F1090" s="6">
        <v>45473</v>
      </c>
      <c r="G1090" s="5">
        <f t="shared" ref="G1090:G1153" si="182">YEAR(F1090)</f>
        <v>2024</v>
      </c>
      <c r="H1090" s="5" t="str">
        <f t="shared" ref="H1090:H1153" si="183">PROPER(TEXT(F1090,"mmmm"))</f>
        <v>Junio</v>
      </c>
      <c r="I1090" s="6" t="str">
        <f t="shared" si="178"/>
        <v>2024-1</v>
      </c>
      <c r="J1090" s="5">
        <v>97</v>
      </c>
      <c r="K1090" s="5">
        <v>97.02</v>
      </c>
      <c r="L1090" s="15">
        <v>1.0002061855670104</v>
      </c>
      <c r="M1090" s="15">
        <v>1.0002061855670104</v>
      </c>
      <c r="N1090" s="5" t="s">
        <v>347</v>
      </c>
      <c r="O1090" s="5" t="s">
        <v>347</v>
      </c>
      <c r="P1090" s="5">
        <v>0</v>
      </c>
      <c r="Q1090" s="5">
        <v>0</v>
      </c>
      <c r="R1090" s="5" t="str">
        <f t="shared" si="179"/>
        <v>282-2024-06-30</v>
      </c>
    </row>
    <row r="1091" spans="1:18" x14ac:dyDescent="0.3">
      <c r="A1091" s="26">
        <v>282</v>
      </c>
      <c r="B1091" s="5" t="s">
        <v>168</v>
      </c>
      <c r="C1091" s="5" t="s">
        <v>162</v>
      </c>
      <c r="D1091" s="5" t="s">
        <v>8</v>
      </c>
      <c r="E1091" s="5" t="s">
        <v>9</v>
      </c>
      <c r="F1091" s="6">
        <v>45657</v>
      </c>
      <c r="G1091" s="5">
        <f t="shared" si="182"/>
        <v>2024</v>
      </c>
      <c r="H1091" s="5" t="str">
        <f t="shared" si="183"/>
        <v>Diciembre</v>
      </c>
      <c r="I1091" s="6" t="str">
        <f t="shared" si="178"/>
        <v>2024-2</v>
      </c>
      <c r="J1091" s="5">
        <v>97</v>
      </c>
      <c r="K1091" s="10">
        <v>96.84</v>
      </c>
      <c r="L1091" s="15">
        <f>IFERROR(IF((K1091/J1091)&gt;1.3,1.3,K1091/J1091),"")</f>
        <v>0.99835051546391751</v>
      </c>
      <c r="M1091" s="15">
        <f>IFERROR(IF((K1091/J1091)&gt;K1091/J1091,1.3,K1091/J1091),"")</f>
        <v>0.99835051546391751</v>
      </c>
      <c r="N1091" s="5" t="s">
        <v>347</v>
      </c>
      <c r="O1091" s="5" t="s">
        <v>347</v>
      </c>
      <c r="P1091" s="16">
        <v>0</v>
      </c>
      <c r="Q1091" s="16">
        <v>0</v>
      </c>
      <c r="R1091" s="5" t="str">
        <f t="shared" si="179"/>
        <v>282-2024-12-31</v>
      </c>
    </row>
    <row r="1092" spans="1:18" x14ac:dyDescent="0.3">
      <c r="A1092" s="26">
        <v>283</v>
      </c>
      <c r="B1092" s="5" t="s">
        <v>169</v>
      </c>
      <c r="C1092" s="5" t="s">
        <v>162</v>
      </c>
      <c r="D1092" s="5" t="s">
        <v>8</v>
      </c>
      <c r="E1092" s="5" t="s">
        <v>9</v>
      </c>
      <c r="F1092" s="17">
        <v>45107</v>
      </c>
      <c r="G1092" s="5">
        <f t="shared" si="182"/>
        <v>2023</v>
      </c>
      <c r="H1092" s="5" t="str">
        <f t="shared" si="183"/>
        <v>Junio</v>
      </c>
      <c r="I1092" s="6" t="str">
        <f t="shared" si="178"/>
        <v>2023-1</v>
      </c>
      <c r="J1092" s="5">
        <v>4.5</v>
      </c>
      <c r="K1092" s="9">
        <v>4.6100000000000003</v>
      </c>
      <c r="L1092" s="8">
        <f>IFERROR(K1092/J1092,"")</f>
        <v>1.0244444444444445</v>
      </c>
      <c r="M1092" s="15">
        <f>IFERROR(IF((K1092/J1092)&gt;K1092/J1092,1.3,K1092/J1092),"")</f>
        <v>1.0244444444444445</v>
      </c>
      <c r="N1092" s="5" t="s">
        <v>347</v>
      </c>
      <c r="O1092" s="5" t="s">
        <v>347</v>
      </c>
      <c r="P1092" s="16">
        <v>2</v>
      </c>
      <c r="Q1092" s="16">
        <v>2</v>
      </c>
      <c r="R1092" s="5" t="str">
        <f t="shared" si="179"/>
        <v>283-2023-06-30</v>
      </c>
    </row>
    <row r="1093" spans="1:18" x14ac:dyDescent="0.3">
      <c r="A1093" s="39">
        <v>283</v>
      </c>
      <c r="B1093" s="5" t="s">
        <v>169</v>
      </c>
      <c r="C1093" s="5" t="s">
        <v>162</v>
      </c>
      <c r="D1093" s="5" t="s">
        <v>8</v>
      </c>
      <c r="E1093" s="5" t="s">
        <v>9</v>
      </c>
      <c r="F1093" s="6">
        <v>45291</v>
      </c>
      <c r="G1093" s="5">
        <f t="shared" si="182"/>
        <v>2023</v>
      </c>
      <c r="H1093" s="5" t="str">
        <f t="shared" si="183"/>
        <v>Diciembre</v>
      </c>
      <c r="I1093" s="6" t="str">
        <f t="shared" si="178"/>
        <v>2023-2</v>
      </c>
      <c r="J1093" s="5">
        <v>4.5</v>
      </c>
      <c r="K1093" s="9">
        <v>4.51</v>
      </c>
      <c r="L1093" s="8">
        <f>IFERROR(K1093/J1093,"")</f>
        <v>1.0022222222222221</v>
      </c>
      <c r="M1093" s="15">
        <f>IFERROR(IF((K1093/J1093)&gt;K1093/J1093,1.3,K1093/J1093),"")</f>
        <v>1.0022222222222221</v>
      </c>
      <c r="N1093" s="5" t="s">
        <v>347</v>
      </c>
      <c r="O1093" s="5" t="s">
        <v>347</v>
      </c>
      <c r="P1093" s="16">
        <v>0</v>
      </c>
      <c r="Q1093" s="16">
        <v>0</v>
      </c>
      <c r="R1093" s="5" t="str">
        <f t="shared" si="179"/>
        <v>283-2023-12-31</v>
      </c>
    </row>
    <row r="1094" spans="1:18" x14ac:dyDescent="0.3">
      <c r="A1094" s="5">
        <v>283</v>
      </c>
      <c r="B1094" s="5" t="s">
        <v>169</v>
      </c>
      <c r="C1094" s="5" t="s">
        <v>162</v>
      </c>
      <c r="D1094" s="5" t="s">
        <v>8</v>
      </c>
      <c r="E1094" s="5" t="s">
        <v>9</v>
      </c>
      <c r="F1094" s="6">
        <v>45473</v>
      </c>
      <c r="G1094" s="5">
        <f t="shared" si="182"/>
        <v>2024</v>
      </c>
      <c r="H1094" s="5" t="str">
        <f t="shared" si="183"/>
        <v>Junio</v>
      </c>
      <c r="I1094" s="6" t="str">
        <f t="shared" si="178"/>
        <v>2024-1</v>
      </c>
      <c r="J1094" s="5">
        <v>4.5</v>
      </c>
      <c r="K1094" s="5">
        <v>4.57</v>
      </c>
      <c r="L1094" s="15">
        <v>1</v>
      </c>
      <c r="M1094" s="15">
        <v>1.0155555555555555</v>
      </c>
      <c r="N1094" s="5" t="s">
        <v>478</v>
      </c>
      <c r="O1094" s="5" t="s">
        <v>478</v>
      </c>
      <c r="P1094" s="5">
        <v>2</v>
      </c>
      <c r="Q1094" s="5">
        <v>2</v>
      </c>
      <c r="R1094" s="5" t="str">
        <f t="shared" si="179"/>
        <v>283-2024-06-30</v>
      </c>
    </row>
    <row r="1095" spans="1:18" x14ac:dyDescent="0.3">
      <c r="A1095" s="26">
        <v>283</v>
      </c>
      <c r="B1095" s="5" t="s">
        <v>169</v>
      </c>
      <c r="C1095" s="5" t="s">
        <v>162</v>
      </c>
      <c r="D1095" s="5" t="s">
        <v>8</v>
      </c>
      <c r="E1095" s="5" t="s">
        <v>9</v>
      </c>
      <c r="F1095" s="6">
        <v>45657</v>
      </c>
      <c r="G1095" s="5">
        <f t="shared" si="182"/>
        <v>2024</v>
      </c>
      <c r="H1095" s="5" t="str">
        <f t="shared" si="183"/>
        <v>Diciembre</v>
      </c>
      <c r="I1095" s="6" t="str">
        <f t="shared" si="178"/>
        <v>2024-2</v>
      </c>
      <c r="J1095" s="5">
        <v>4.5</v>
      </c>
      <c r="K1095" s="10">
        <v>4.6399999999999997</v>
      </c>
      <c r="L1095" s="15">
        <f>IFERROR(IF((K1095/J1095)&gt;1.3,1.3,K1095/J1095),"")</f>
        <v>1.0311111111111111</v>
      </c>
      <c r="M1095" s="15">
        <f>IFERROR(IF((K1095/J1095)&gt;K1095/J1095,1.3,K1095/J1095),"")</f>
        <v>1.0311111111111111</v>
      </c>
      <c r="N1095" s="5" t="s">
        <v>478</v>
      </c>
      <c r="O1095" s="5" t="s">
        <v>478</v>
      </c>
      <c r="P1095" s="16">
        <v>2</v>
      </c>
      <c r="Q1095" s="16">
        <v>2</v>
      </c>
      <c r="R1095" s="5" t="str">
        <f t="shared" si="179"/>
        <v>283-2024-12-31</v>
      </c>
    </row>
    <row r="1096" spans="1:18" x14ac:dyDescent="0.3">
      <c r="A1096" s="26">
        <v>284</v>
      </c>
      <c r="B1096" s="5" t="s">
        <v>170</v>
      </c>
      <c r="C1096" s="5" t="s">
        <v>162</v>
      </c>
      <c r="D1096" s="5" t="s">
        <v>8</v>
      </c>
      <c r="E1096" s="5" t="s">
        <v>9</v>
      </c>
      <c r="F1096" s="17">
        <v>45107</v>
      </c>
      <c r="G1096" s="5">
        <f t="shared" si="182"/>
        <v>2023</v>
      </c>
      <c r="H1096" s="5" t="str">
        <f t="shared" si="183"/>
        <v>Junio</v>
      </c>
      <c r="I1096" s="6" t="str">
        <f t="shared" si="178"/>
        <v>2023-1</v>
      </c>
      <c r="J1096" s="5"/>
      <c r="K1096" s="9">
        <v>15047</v>
      </c>
      <c r="L1096" s="8" t="str">
        <f>IFERROR(K1096/J1096,"")</f>
        <v/>
      </c>
      <c r="M1096" s="15" t="str">
        <f>IFERROR(IF((K1096/J1096)&gt;K1096/J1096,1.3,K1096/J1096),"")</f>
        <v/>
      </c>
      <c r="N1096" s="5" t="s">
        <v>478</v>
      </c>
      <c r="O1096" s="5" t="s">
        <v>478</v>
      </c>
      <c r="P1096" s="16">
        <v>0</v>
      </c>
      <c r="Q1096" s="16">
        <v>0</v>
      </c>
      <c r="R1096" s="5" t="str">
        <f t="shared" si="179"/>
        <v>284-2023-06-30</v>
      </c>
    </row>
    <row r="1097" spans="1:18" x14ac:dyDescent="0.3">
      <c r="A1097" s="39">
        <v>284</v>
      </c>
      <c r="B1097" s="5" t="s">
        <v>170</v>
      </c>
      <c r="C1097" s="5" t="s">
        <v>162</v>
      </c>
      <c r="D1097" s="5" t="s">
        <v>8</v>
      </c>
      <c r="E1097" s="5" t="s">
        <v>9</v>
      </c>
      <c r="F1097" s="6">
        <v>45291</v>
      </c>
      <c r="G1097" s="5">
        <f t="shared" si="182"/>
        <v>2023</v>
      </c>
      <c r="H1097" s="5" t="str">
        <f t="shared" si="183"/>
        <v>Diciembre</v>
      </c>
      <c r="I1097" s="6" t="str">
        <f t="shared" si="178"/>
        <v>2023-2</v>
      </c>
      <c r="J1097" s="5"/>
      <c r="K1097" s="9">
        <v>16281</v>
      </c>
      <c r="L1097" s="8" t="str">
        <f>IFERROR(K1097/J1097,"")</f>
        <v/>
      </c>
      <c r="M1097" s="15" t="str">
        <f>IFERROR(IF((K1097/J1097)&gt;K1097/J1097,1.3,K1097/J1097),"")</f>
        <v/>
      </c>
      <c r="N1097" s="5" t="s">
        <v>478</v>
      </c>
      <c r="O1097" s="5" t="s">
        <v>478</v>
      </c>
      <c r="P1097" s="16">
        <v>0</v>
      </c>
      <c r="Q1097" s="16">
        <v>0</v>
      </c>
      <c r="R1097" s="5" t="str">
        <f t="shared" si="179"/>
        <v>284-2023-12-31</v>
      </c>
    </row>
    <row r="1098" spans="1:18" x14ac:dyDescent="0.3">
      <c r="A1098" s="26">
        <v>285</v>
      </c>
      <c r="B1098" s="5" t="s">
        <v>171</v>
      </c>
      <c r="C1098" s="5" t="s">
        <v>162</v>
      </c>
      <c r="D1098" s="5" t="s">
        <v>8</v>
      </c>
      <c r="E1098" s="5" t="s">
        <v>9</v>
      </c>
      <c r="F1098" s="17">
        <v>45107</v>
      </c>
      <c r="G1098" s="5">
        <f t="shared" si="182"/>
        <v>2023</v>
      </c>
      <c r="H1098" s="5" t="str">
        <f t="shared" si="183"/>
        <v>Junio</v>
      </c>
      <c r="I1098" s="6" t="str">
        <f t="shared" si="178"/>
        <v>2023-1</v>
      </c>
      <c r="J1098" s="5">
        <v>100</v>
      </c>
      <c r="K1098" s="9">
        <v>100</v>
      </c>
      <c r="L1098" s="8">
        <f>IFERROR(K1098/J1098,"")</f>
        <v>1</v>
      </c>
      <c r="M1098" s="15">
        <f>IFERROR(IF((K1098/J1098)&gt;K1098/J1098,1.3,K1098/J1098),"")</f>
        <v>1</v>
      </c>
      <c r="N1098" s="5" t="s">
        <v>347</v>
      </c>
      <c r="O1098" s="5" t="s">
        <v>347</v>
      </c>
      <c r="P1098" s="16">
        <v>0</v>
      </c>
      <c r="Q1098" s="16">
        <v>0</v>
      </c>
      <c r="R1098" s="5" t="str">
        <f t="shared" si="179"/>
        <v>285-2023-06-30</v>
      </c>
    </row>
    <row r="1099" spans="1:18" x14ac:dyDescent="0.3">
      <c r="A1099" s="39">
        <v>285</v>
      </c>
      <c r="B1099" s="5" t="s">
        <v>171</v>
      </c>
      <c r="C1099" s="5" t="s">
        <v>162</v>
      </c>
      <c r="D1099" s="5" t="s">
        <v>8</v>
      </c>
      <c r="E1099" s="5" t="s">
        <v>9</v>
      </c>
      <c r="F1099" s="6">
        <v>45291</v>
      </c>
      <c r="G1099" s="5">
        <f t="shared" si="182"/>
        <v>2023</v>
      </c>
      <c r="H1099" s="5" t="str">
        <f t="shared" si="183"/>
        <v>Diciembre</v>
      </c>
      <c r="I1099" s="6" t="str">
        <f t="shared" si="178"/>
        <v>2023-2</v>
      </c>
      <c r="J1099" s="5">
        <v>100</v>
      </c>
      <c r="K1099" s="9">
        <v>100</v>
      </c>
      <c r="L1099" s="8">
        <f>IFERROR(K1099/J1099,"")</f>
        <v>1</v>
      </c>
      <c r="M1099" s="15">
        <f>IFERROR(IF((K1099/J1099)&gt;K1099/J1099,1.3,K1099/J1099),"")</f>
        <v>1</v>
      </c>
      <c r="N1099" s="5" t="s">
        <v>347</v>
      </c>
      <c r="O1099" s="5" t="s">
        <v>347</v>
      </c>
      <c r="P1099" s="16">
        <v>0</v>
      </c>
      <c r="Q1099" s="16">
        <v>0</v>
      </c>
      <c r="R1099" s="5" t="str">
        <f t="shared" si="179"/>
        <v>285-2023-12-31</v>
      </c>
    </row>
    <row r="1100" spans="1:18" x14ac:dyDescent="0.3">
      <c r="A1100" s="5">
        <v>285</v>
      </c>
      <c r="B1100" s="5" t="s">
        <v>171</v>
      </c>
      <c r="C1100" s="5" t="s">
        <v>162</v>
      </c>
      <c r="D1100" s="5" t="s">
        <v>8</v>
      </c>
      <c r="E1100" s="5" t="s">
        <v>9</v>
      </c>
      <c r="F1100" s="6">
        <v>45473</v>
      </c>
      <c r="G1100" s="5">
        <f t="shared" si="182"/>
        <v>2024</v>
      </c>
      <c r="H1100" s="5" t="str">
        <f t="shared" si="183"/>
        <v>Junio</v>
      </c>
      <c r="I1100" s="6" t="str">
        <f t="shared" si="178"/>
        <v>2024-1</v>
      </c>
      <c r="J1100" s="5">
        <v>100</v>
      </c>
      <c r="K1100" s="5">
        <v>100</v>
      </c>
      <c r="L1100" s="15">
        <v>1</v>
      </c>
      <c r="M1100" s="15">
        <v>1</v>
      </c>
      <c r="N1100" s="5" t="s">
        <v>347</v>
      </c>
      <c r="O1100" s="5" t="s">
        <v>347</v>
      </c>
      <c r="P1100" s="5">
        <v>0</v>
      </c>
      <c r="Q1100" s="5">
        <v>0</v>
      </c>
      <c r="R1100" s="5" t="str">
        <f t="shared" si="179"/>
        <v>285-2024-06-30</v>
      </c>
    </row>
    <row r="1101" spans="1:18" x14ac:dyDescent="0.3">
      <c r="A1101" s="26">
        <v>285</v>
      </c>
      <c r="B1101" s="5" t="s">
        <v>171</v>
      </c>
      <c r="C1101" s="5" t="s">
        <v>162</v>
      </c>
      <c r="D1101" s="5" t="s">
        <v>8</v>
      </c>
      <c r="E1101" s="5" t="s">
        <v>9</v>
      </c>
      <c r="F1101" s="6">
        <v>45657</v>
      </c>
      <c r="G1101" s="5">
        <f t="shared" si="182"/>
        <v>2024</v>
      </c>
      <c r="H1101" s="5" t="str">
        <f t="shared" si="183"/>
        <v>Diciembre</v>
      </c>
      <c r="I1101" s="6" t="str">
        <f t="shared" si="178"/>
        <v>2024-2</v>
      </c>
      <c r="J1101" s="5">
        <v>100</v>
      </c>
      <c r="K1101" s="10">
        <v>100</v>
      </c>
      <c r="L1101" s="15">
        <f>IFERROR(IF((K1101/J1101)&gt;1.3,1.3,K1101/J1101),"")</f>
        <v>1</v>
      </c>
      <c r="M1101" s="15">
        <f>IFERROR(IF((K1101/J1101)&gt;K1101/J1101,1.3,K1101/J1101),"")</f>
        <v>1</v>
      </c>
      <c r="N1101" s="5" t="s">
        <v>347</v>
      </c>
      <c r="O1101" s="5" t="s">
        <v>347</v>
      </c>
      <c r="P1101" s="16">
        <v>0</v>
      </c>
      <c r="Q1101" s="16">
        <v>0</v>
      </c>
      <c r="R1101" s="5" t="str">
        <f t="shared" si="179"/>
        <v>285-2024-12-31</v>
      </c>
    </row>
    <row r="1102" spans="1:18" x14ac:dyDescent="0.3">
      <c r="A1102" s="26">
        <v>286</v>
      </c>
      <c r="B1102" s="5" t="s">
        <v>172</v>
      </c>
      <c r="C1102" s="5" t="s">
        <v>162</v>
      </c>
      <c r="D1102" s="5" t="s">
        <v>8</v>
      </c>
      <c r="E1102" s="5" t="s">
        <v>9</v>
      </c>
      <c r="F1102" s="17">
        <v>45107</v>
      </c>
      <c r="G1102" s="5">
        <f t="shared" si="182"/>
        <v>2023</v>
      </c>
      <c r="H1102" s="5" t="str">
        <f t="shared" si="183"/>
        <v>Junio</v>
      </c>
      <c r="I1102" s="6" t="str">
        <f t="shared" si="178"/>
        <v>2023-1</v>
      </c>
      <c r="J1102" s="5"/>
      <c r="K1102" s="9">
        <v>1015</v>
      </c>
      <c r="L1102" s="8" t="str">
        <f>IFERROR(K1102/J1102,"")</f>
        <v/>
      </c>
      <c r="M1102" s="15" t="str">
        <f>IFERROR(IF((K1102/J1102)&gt;K1102/J1102,1.3,K1102/J1102),"")</f>
        <v/>
      </c>
      <c r="N1102" s="5" t="s">
        <v>347</v>
      </c>
      <c r="O1102" s="5" t="s">
        <v>347</v>
      </c>
      <c r="P1102" s="16">
        <v>0</v>
      </c>
      <c r="Q1102" s="16">
        <v>0</v>
      </c>
      <c r="R1102" s="5" t="str">
        <f t="shared" si="179"/>
        <v>286-2023-06-30</v>
      </c>
    </row>
    <row r="1103" spans="1:18" x14ac:dyDescent="0.3">
      <c r="A1103" s="39">
        <v>286</v>
      </c>
      <c r="B1103" s="5" t="s">
        <v>172</v>
      </c>
      <c r="C1103" s="5" t="s">
        <v>162</v>
      </c>
      <c r="D1103" s="5" t="s">
        <v>8</v>
      </c>
      <c r="E1103" s="5" t="s">
        <v>9</v>
      </c>
      <c r="F1103" s="6">
        <v>45291</v>
      </c>
      <c r="G1103" s="5">
        <f t="shared" si="182"/>
        <v>2023</v>
      </c>
      <c r="H1103" s="5" t="str">
        <f t="shared" si="183"/>
        <v>Diciembre</v>
      </c>
      <c r="I1103" s="6" t="str">
        <f t="shared" si="178"/>
        <v>2023-2</v>
      </c>
      <c r="J1103" s="5"/>
      <c r="K1103" s="9">
        <v>1017</v>
      </c>
      <c r="L1103" s="8" t="str">
        <f>IFERROR(K1103/J1103,"")</f>
        <v/>
      </c>
      <c r="M1103" s="15" t="str">
        <f>IFERROR(IF((K1103/J1103)&gt;K1103/J1103,1.3,K1103/J1103),"")</f>
        <v/>
      </c>
      <c r="N1103" s="5" t="s">
        <v>347</v>
      </c>
      <c r="O1103" s="5" t="s">
        <v>347</v>
      </c>
      <c r="P1103" s="16">
        <v>0</v>
      </c>
      <c r="Q1103" s="16">
        <v>0</v>
      </c>
      <c r="R1103" s="5" t="str">
        <f t="shared" si="179"/>
        <v>286-2023-12-31</v>
      </c>
    </row>
    <row r="1104" spans="1:18" x14ac:dyDescent="0.3">
      <c r="A1104" s="5">
        <v>286</v>
      </c>
      <c r="B1104" s="5" t="s">
        <v>172</v>
      </c>
      <c r="C1104" s="5" t="s">
        <v>162</v>
      </c>
      <c r="D1104" s="5" t="s">
        <v>8</v>
      </c>
      <c r="E1104" s="5" t="s">
        <v>9</v>
      </c>
      <c r="F1104" s="6">
        <v>45473</v>
      </c>
      <c r="G1104" s="5">
        <f t="shared" si="182"/>
        <v>2024</v>
      </c>
      <c r="H1104" s="5" t="str">
        <f t="shared" si="183"/>
        <v>Junio</v>
      </c>
      <c r="I1104" s="6" t="str">
        <f t="shared" si="178"/>
        <v>2024-1</v>
      </c>
      <c r="J1104" s="5">
        <v>0</v>
      </c>
      <c r="K1104" s="5">
        <v>1074</v>
      </c>
      <c r="L1104" s="15" t="s">
        <v>417</v>
      </c>
      <c r="M1104" s="15" t="s">
        <v>417</v>
      </c>
      <c r="N1104" s="5">
        <v>0</v>
      </c>
      <c r="O1104" s="5" t="s">
        <v>490</v>
      </c>
      <c r="P1104" s="5">
        <v>0</v>
      </c>
      <c r="Q1104" s="5">
        <v>0</v>
      </c>
      <c r="R1104" s="5" t="str">
        <f t="shared" si="179"/>
        <v>286-2024-06-30</v>
      </c>
    </row>
    <row r="1105" spans="1:18" x14ac:dyDescent="0.3">
      <c r="A1105" s="26">
        <v>286</v>
      </c>
      <c r="B1105" s="5" t="s">
        <v>172</v>
      </c>
      <c r="C1105" s="5" t="s">
        <v>162</v>
      </c>
      <c r="D1105" s="5" t="s">
        <v>8</v>
      </c>
      <c r="E1105" s="5" t="s">
        <v>9</v>
      </c>
      <c r="F1105" s="6">
        <v>45657</v>
      </c>
      <c r="G1105" s="5">
        <f t="shared" si="182"/>
        <v>2024</v>
      </c>
      <c r="H1105" s="5" t="str">
        <f t="shared" si="183"/>
        <v>Diciembre</v>
      </c>
      <c r="I1105" s="6" t="str">
        <f t="shared" si="178"/>
        <v>2024-2</v>
      </c>
      <c r="J1105" s="5">
        <v>0</v>
      </c>
      <c r="K1105" s="10">
        <v>1013</v>
      </c>
      <c r="L1105" s="15" t="str">
        <f>IFERROR(IF((K1105/J1105)&gt;1.3,1.3,K1105/J1105),"")</f>
        <v/>
      </c>
      <c r="M1105" s="15" t="str">
        <f>IFERROR(IF((K1105/J1105)&gt;K1105/J1105,1.3,K1105/J1105),"")</f>
        <v/>
      </c>
      <c r="N1105" s="5">
        <v>0</v>
      </c>
      <c r="O1105" s="5" t="s">
        <v>490</v>
      </c>
      <c r="P1105" s="16">
        <v>0</v>
      </c>
      <c r="Q1105" s="16">
        <v>0</v>
      </c>
      <c r="R1105" s="5" t="str">
        <f t="shared" si="179"/>
        <v>286-2024-12-31</v>
      </c>
    </row>
    <row r="1106" spans="1:18" x14ac:dyDescent="0.3">
      <c r="A1106" s="26">
        <v>288</v>
      </c>
      <c r="B1106" s="5" t="s">
        <v>173</v>
      </c>
      <c r="C1106" s="5" t="s">
        <v>162</v>
      </c>
      <c r="D1106" s="5" t="s">
        <v>8</v>
      </c>
      <c r="E1106" s="5" t="s">
        <v>9</v>
      </c>
      <c r="F1106" s="17">
        <v>45107</v>
      </c>
      <c r="G1106" s="5">
        <f t="shared" si="182"/>
        <v>2023</v>
      </c>
      <c r="H1106" s="5" t="str">
        <f t="shared" si="183"/>
        <v>Junio</v>
      </c>
      <c r="I1106" s="6" t="str">
        <f t="shared" si="178"/>
        <v>2023-1</v>
      </c>
      <c r="J1106" s="5">
        <v>16</v>
      </c>
      <c r="K1106" s="9">
        <v>18</v>
      </c>
      <c r="L1106" s="8">
        <f>IFERROR(K1106/J1106,"")</f>
        <v>1.125</v>
      </c>
      <c r="M1106" s="15">
        <f>IFERROR(IF((K1106/J1106)&gt;K1106/J1106,1.3,K1106/J1106),"")</f>
        <v>1.125</v>
      </c>
      <c r="N1106" s="5">
        <v>0</v>
      </c>
      <c r="O1106" s="5" t="s">
        <v>490</v>
      </c>
      <c r="P1106" s="16">
        <v>0</v>
      </c>
      <c r="Q1106" s="16">
        <v>0</v>
      </c>
      <c r="R1106" s="5" t="str">
        <f t="shared" si="179"/>
        <v>288-2023-06-30</v>
      </c>
    </row>
    <row r="1107" spans="1:18" x14ac:dyDescent="0.3">
      <c r="A1107" s="39">
        <v>288</v>
      </c>
      <c r="B1107" s="5" t="s">
        <v>173</v>
      </c>
      <c r="C1107" s="5" t="s">
        <v>162</v>
      </c>
      <c r="D1107" s="5" t="s">
        <v>8</v>
      </c>
      <c r="E1107" s="5" t="s">
        <v>9</v>
      </c>
      <c r="F1107" s="6">
        <v>45291</v>
      </c>
      <c r="G1107" s="5">
        <f t="shared" si="182"/>
        <v>2023</v>
      </c>
      <c r="H1107" s="5" t="str">
        <f t="shared" si="183"/>
        <v>Diciembre</v>
      </c>
      <c r="I1107" s="6" t="str">
        <f t="shared" si="178"/>
        <v>2023-2</v>
      </c>
      <c r="J1107" s="5">
        <v>16</v>
      </c>
      <c r="K1107" s="9">
        <v>18</v>
      </c>
      <c r="L1107" s="8">
        <f>IFERROR(K1107/J1107,"")</f>
        <v>1.125</v>
      </c>
      <c r="M1107" s="15">
        <f>IFERROR(IF((K1107/J1107)&gt;K1107/J1107,1.3,K1107/J1107),"")</f>
        <v>1.125</v>
      </c>
      <c r="N1107" s="5">
        <v>0</v>
      </c>
      <c r="O1107" s="5" t="s">
        <v>490</v>
      </c>
      <c r="P1107" s="16">
        <v>0</v>
      </c>
      <c r="Q1107" s="16">
        <v>0</v>
      </c>
      <c r="R1107" s="5" t="str">
        <f t="shared" si="179"/>
        <v>288-2023-12-31</v>
      </c>
    </row>
    <row r="1108" spans="1:18" x14ac:dyDescent="0.3">
      <c r="A1108" s="5">
        <v>288</v>
      </c>
      <c r="B1108" s="5" t="s">
        <v>173</v>
      </c>
      <c r="C1108" s="5" t="s">
        <v>162</v>
      </c>
      <c r="D1108" s="5" t="s">
        <v>8</v>
      </c>
      <c r="E1108" s="5" t="s">
        <v>9</v>
      </c>
      <c r="F1108" s="6">
        <v>45473</v>
      </c>
      <c r="G1108" s="5">
        <f t="shared" si="182"/>
        <v>2024</v>
      </c>
      <c r="H1108" s="5" t="str">
        <f t="shared" si="183"/>
        <v>Junio</v>
      </c>
      <c r="I1108" s="6" t="str">
        <f t="shared" si="178"/>
        <v>2024-1</v>
      </c>
      <c r="J1108" s="5">
        <v>85</v>
      </c>
      <c r="K1108" s="5">
        <v>173.33</v>
      </c>
      <c r="L1108" s="15">
        <v>1.3</v>
      </c>
      <c r="M1108" s="15">
        <v>2.0391764705882354</v>
      </c>
      <c r="N1108" s="5" t="s">
        <v>490</v>
      </c>
      <c r="O1108" s="5" t="s">
        <v>490</v>
      </c>
      <c r="P1108" s="5">
        <v>0</v>
      </c>
      <c r="Q1108" s="5">
        <v>0</v>
      </c>
      <c r="R1108" s="5" t="str">
        <f t="shared" si="179"/>
        <v>288-2024-06-30</v>
      </c>
    </row>
    <row r="1109" spans="1:18" x14ac:dyDescent="0.3">
      <c r="A1109" s="26">
        <v>289</v>
      </c>
      <c r="B1109" s="5" t="s">
        <v>174</v>
      </c>
      <c r="C1109" s="5" t="s">
        <v>45</v>
      </c>
      <c r="D1109" s="5" t="s">
        <v>11</v>
      </c>
      <c r="E1109" s="5" t="s">
        <v>9</v>
      </c>
      <c r="F1109" s="6">
        <v>45107</v>
      </c>
      <c r="G1109" s="5">
        <f t="shared" si="182"/>
        <v>2023</v>
      </c>
      <c r="H1109" s="5" t="str">
        <f t="shared" si="183"/>
        <v>Junio</v>
      </c>
      <c r="I1109" s="6" t="str">
        <f t="shared" si="178"/>
        <v>2023-1</v>
      </c>
      <c r="J1109" s="5">
        <v>95</v>
      </c>
      <c r="K1109" s="9">
        <v>85.714285714286007</v>
      </c>
      <c r="L1109" s="8">
        <f>IFERROR(K1109/J1109,"")</f>
        <v>0.90225563909774742</v>
      </c>
      <c r="M1109" s="15">
        <f t="shared" ref="M1109:M1110" si="184">IFERROR(IF((K1109/J1109)&gt;K1109/J1109,1.3,K1109/J1109),"")</f>
        <v>0.90225563909774742</v>
      </c>
      <c r="N1109" s="5" t="s">
        <v>347</v>
      </c>
      <c r="O1109" s="5" t="s">
        <v>347</v>
      </c>
      <c r="P1109" s="16">
        <v>1</v>
      </c>
      <c r="Q1109" s="16">
        <v>1</v>
      </c>
      <c r="R1109" s="5" t="str">
        <f t="shared" si="179"/>
        <v>289-2023-06-30</v>
      </c>
    </row>
    <row r="1110" spans="1:18" x14ac:dyDescent="0.3">
      <c r="A1110" s="43">
        <v>289</v>
      </c>
      <c r="B1110" s="5" t="s">
        <v>174</v>
      </c>
      <c r="C1110" s="5" t="s">
        <v>45</v>
      </c>
      <c r="D1110" s="5" t="s">
        <v>11</v>
      </c>
      <c r="E1110" s="5" t="s">
        <v>9</v>
      </c>
      <c r="F1110" s="6">
        <v>45199</v>
      </c>
      <c r="G1110" s="5">
        <f t="shared" si="182"/>
        <v>2023</v>
      </c>
      <c r="H1110" s="5" t="str">
        <f t="shared" si="183"/>
        <v>Septiembre</v>
      </c>
      <c r="I1110" s="6" t="str">
        <f t="shared" si="178"/>
        <v>2023-2</v>
      </c>
      <c r="J1110" s="5">
        <v>95</v>
      </c>
      <c r="K1110" s="9">
        <v>87.5</v>
      </c>
      <c r="L1110" s="8">
        <f>IFERROR(K1110/J1110,"")</f>
        <v>0.92105263157894735</v>
      </c>
      <c r="M1110" s="15">
        <f t="shared" si="184"/>
        <v>0.92105263157894735</v>
      </c>
      <c r="N1110" s="5" t="s">
        <v>347</v>
      </c>
      <c r="O1110" s="5" t="s">
        <v>347</v>
      </c>
      <c r="P1110" s="16">
        <v>1</v>
      </c>
      <c r="Q1110" s="16">
        <v>1</v>
      </c>
      <c r="R1110" s="5" t="str">
        <f t="shared" si="179"/>
        <v>289-2023-09-30</v>
      </c>
    </row>
    <row r="1111" spans="1:18" x14ac:dyDescent="0.3">
      <c r="A1111" s="5">
        <v>289</v>
      </c>
      <c r="B1111" s="5" t="s">
        <v>174</v>
      </c>
      <c r="C1111" s="5" t="s">
        <v>45</v>
      </c>
      <c r="D1111" s="5" t="s">
        <v>11</v>
      </c>
      <c r="E1111" s="5" t="s">
        <v>9</v>
      </c>
      <c r="F1111" s="6">
        <v>45473</v>
      </c>
      <c r="G1111" s="5">
        <f t="shared" si="182"/>
        <v>2024</v>
      </c>
      <c r="H1111" s="5" t="str">
        <f t="shared" si="183"/>
        <v>Junio</v>
      </c>
      <c r="I1111" s="6" t="str">
        <f t="shared" si="178"/>
        <v>2024-1</v>
      </c>
      <c r="J1111" s="5">
        <v>95</v>
      </c>
      <c r="K1111" s="5">
        <v>100</v>
      </c>
      <c r="L1111" s="15">
        <v>1.0526315789473684</v>
      </c>
      <c r="M1111" s="15">
        <v>1.0526315789473684</v>
      </c>
      <c r="N1111" s="5" t="s">
        <v>347</v>
      </c>
      <c r="O1111" s="5" t="s">
        <v>347</v>
      </c>
      <c r="P1111" s="5">
        <v>0</v>
      </c>
      <c r="Q1111" s="5">
        <v>0</v>
      </c>
      <c r="R1111" s="5" t="str">
        <f t="shared" si="179"/>
        <v>289-2024-06-30</v>
      </c>
    </row>
    <row r="1112" spans="1:18" x14ac:dyDescent="0.3">
      <c r="A1112" s="26">
        <v>289</v>
      </c>
      <c r="B1112" s="5" t="s">
        <v>174</v>
      </c>
      <c r="C1112" s="5" t="s">
        <v>45</v>
      </c>
      <c r="D1112" s="5" t="s">
        <v>11</v>
      </c>
      <c r="E1112" s="5" t="s">
        <v>9</v>
      </c>
      <c r="F1112" s="6">
        <v>45565</v>
      </c>
      <c r="G1112" s="5">
        <f t="shared" si="182"/>
        <v>2024</v>
      </c>
      <c r="H1112" s="5" t="str">
        <f t="shared" si="183"/>
        <v>Septiembre</v>
      </c>
      <c r="I1112" s="6" t="str">
        <f t="shared" si="178"/>
        <v>2024-2</v>
      </c>
      <c r="J1112" s="5">
        <v>95</v>
      </c>
      <c r="K1112" s="10">
        <v>80</v>
      </c>
      <c r="L1112" s="15">
        <f>IFERROR(IF((K1112/J1112)&gt;1.3,1.3,K1112/J1112),"")</f>
        <v>0.84210526315789469</v>
      </c>
      <c r="M1112" s="15">
        <f t="shared" ref="M1112:M1119" si="185">IFERROR(IF((K1112/J1112)&gt;K1112/J1112,1.3,K1112/J1112),"")</f>
        <v>0.84210526315789469</v>
      </c>
      <c r="N1112" s="5" t="s">
        <v>347</v>
      </c>
      <c r="O1112" s="5" t="s">
        <v>347</v>
      </c>
      <c r="P1112" s="16">
        <v>0</v>
      </c>
      <c r="Q1112" s="16">
        <v>0</v>
      </c>
      <c r="R1112" s="5" t="str">
        <f t="shared" si="179"/>
        <v>289-2024-09-30</v>
      </c>
    </row>
    <row r="1113" spans="1:18" x14ac:dyDescent="0.3">
      <c r="A1113" s="26">
        <v>289</v>
      </c>
      <c r="B1113" s="5" t="s">
        <v>174</v>
      </c>
      <c r="C1113" s="5" t="s">
        <v>45</v>
      </c>
      <c r="D1113" s="5" t="s">
        <v>11</v>
      </c>
      <c r="E1113" s="5" t="s">
        <v>9</v>
      </c>
      <c r="F1113" s="6">
        <v>45657</v>
      </c>
      <c r="G1113" s="5">
        <f t="shared" si="182"/>
        <v>2024</v>
      </c>
      <c r="H1113" s="5" t="str">
        <f t="shared" si="183"/>
        <v>Diciembre</v>
      </c>
      <c r="I1113" s="6" t="str">
        <f t="shared" si="178"/>
        <v>2024-2</v>
      </c>
      <c r="J1113" s="5">
        <v>95</v>
      </c>
      <c r="K1113" s="10">
        <v>100</v>
      </c>
      <c r="L1113" s="15">
        <f>IFERROR(IF((K1113/J1113)&gt;1.3,1.3,K1113/J1113),"")</f>
        <v>1.0526315789473684</v>
      </c>
      <c r="M1113" s="15">
        <f t="shared" si="185"/>
        <v>1.0526315789473684</v>
      </c>
      <c r="N1113" s="5" t="s">
        <v>347</v>
      </c>
      <c r="O1113" s="5" t="s">
        <v>347</v>
      </c>
      <c r="P1113" s="16">
        <v>0</v>
      </c>
      <c r="Q1113" s="16">
        <v>0</v>
      </c>
      <c r="R1113" s="5" t="str">
        <f t="shared" si="179"/>
        <v>289-2024-12-31</v>
      </c>
    </row>
    <row r="1114" spans="1:18" x14ac:dyDescent="0.3">
      <c r="A1114" s="26">
        <v>290</v>
      </c>
      <c r="B1114" s="5" t="s">
        <v>175</v>
      </c>
      <c r="C1114" s="5" t="s">
        <v>114</v>
      </c>
      <c r="D1114" s="5" t="s">
        <v>21</v>
      </c>
      <c r="E1114" s="5" t="s">
        <v>9</v>
      </c>
      <c r="F1114" s="6">
        <v>45107</v>
      </c>
      <c r="G1114" s="5">
        <f t="shared" si="182"/>
        <v>2023</v>
      </c>
      <c r="H1114" s="5" t="str">
        <f t="shared" si="183"/>
        <v>Junio</v>
      </c>
      <c r="I1114" s="6" t="str">
        <f t="shared" si="178"/>
        <v>2023-1</v>
      </c>
      <c r="J1114" s="5">
        <v>90</v>
      </c>
      <c r="K1114" s="9">
        <v>100</v>
      </c>
      <c r="L1114" s="8">
        <f>IFERROR(K1114/J1114,"")</f>
        <v>1.1111111111111112</v>
      </c>
      <c r="M1114" s="15">
        <f t="shared" si="185"/>
        <v>1.1111111111111112</v>
      </c>
      <c r="N1114" s="5" t="s">
        <v>347</v>
      </c>
      <c r="O1114" s="5" t="s">
        <v>347</v>
      </c>
      <c r="P1114" s="16">
        <v>0</v>
      </c>
      <c r="Q1114" s="16">
        <v>0</v>
      </c>
      <c r="R1114" s="5" t="str">
        <f t="shared" si="179"/>
        <v>290-2023-06-30</v>
      </c>
    </row>
    <row r="1115" spans="1:18" x14ac:dyDescent="0.3">
      <c r="A1115" s="26">
        <v>290</v>
      </c>
      <c r="B1115" s="5" t="s">
        <v>175</v>
      </c>
      <c r="C1115" s="5" t="s">
        <v>114</v>
      </c>
      <c r="D1115" s="5" t="s">
        <v>21</v>
      </c>
      <c r="E1115" s="5" t="s">
        <v>9</v>
      </c>
      <c r="F1115" s="6">
        <v>45168</v>
      </c>
      <c r="G1115" s="5">
        <f t="shared" si="182"/>
        <v>2023</v>
      </c>
      <c r="H1115" s="5" t="str">
        <f t="shared" si="183"/>
        <v>Agosto</v>
      </c>
      <c r="I1115" s="6" t="str">
        <f t="shared" si="178"/>
        <v>2023-2</v>
      </c>
      <c r="J1115" s="5">
        <v>90</v>
      </c>
      <c r="K1115" s="9">
        <v>81.819999999999993</v>
      </c>
      <c r="L1115" s="8">
        <f>IFERROR(K1115/J1115,"")</f>
        <v>0.90911111111111098</v>
      </c>
      <c r="M1115" s="15">
        <f t="shared" si="185"/>
        <v>0.90911111111111098</v>
      </c>
      <c r="N1115" s="5" t="s">
        <v>347</v>
      </c>
      <c r="O1115" s="5" t="s">
        <v>347</v>
      </c>
      <c r="P1115" s="16">
        <v>0</v>
      </c>
      <c r="Q1115" s="16">
        <v>0</v>
      </c>
      <c r="R1115" s="5" t="str">
        <f t="shared" si="179"/>
        <v>290-2023-08-30</v>
      </c>
    </row>
    <row r="1116" spans="1:18" x14ac:dyDescent="0.3">
      <c r="A1116" s="39">
        <v>290</v>
      </c>
      <c r="B1116" s="5" t="s">
        <v>175</v>
      </c>
      <c r="C1116" s="5" t="s">
        <v>114</v>
      </c>
      <c r="D1116" s="5" t="s">
        <v>21</v>
      </c>
      <c r="E1116" s="5" t="s">
        <v>9</v>
      </c>
      <c r="F1116" s="6">
        <v>45230</v>
      </c>
      <c r="G1116" s="5">
        <f t="shared" si="182"/>
        <v>2023</v>
      </c>
      <c r="H1116" s="5" t="str">
        <f t="shared" si="183"/>
        <v>Octubre</v>
      </c>
      <c r="I1116" s="6" t="str">
        <f t="shared" si="178"/>
        <v>2023-2</v>
      </c>
      <c r="J1116" s="5">
        <v>90</v>
      </c>
      <c r="K1116" s="9">
        <v>90.91</v>
      </c>
      <c r="L1116" s="8">
        <f>IFERROR(K1116/J1116,"")</f>
        <v>1.0101111111111112</v>
      </c>
      <c r="M1116" s="15">
        <f t="shared" si="185"/>
        <v>1.0101111111111112</v>
      </c>
      <c r="N1116" s="5" t="s">
        <v>347</v>
      </c>
      <c r="O1116" s="5" t="s">
        <v>347</v>
      </c>
      <c r="P1116" s="16">
        <v>0</v>
      </c>
      <c r="Q1116" s="16">
        <v>0</v>
      </c>
      <c r="R1116" s="5" t="str">
        <f t="shared" si="179"/>
        <v>290-2023-10-31</v>
      </c>
    </row>
    <row r="1117" spans="1:18" x14ac:dyDescent="0.3">
      <c r="A1117" s="26">
        <v>290</v>
      </c>
      <c r="B1117" s="5" t="s">
        <v>175</v>
      </c>
      <c r="C1117" s="5" t="s">
        <v>114</v>
      </c>
      <c r="D1117" s="5" t="s">
        <v>21</v>
      </c>
      <c r="E1117" s="5" t="s">
        <v>9</v>
      </c>
      <c r="F1117" s="6">
        <v>45291</v>
      </c>
      <c r="G1117" s="5">
        <f t="shared" si="182"/>
        <v>2023</v>
      </c>
      <c r="H1117" s="5" t="str">
        <f t="shared" si="183"/>
        <v>Diciembre</v>
      </c>
      <c r="I1117" s="6" t="str">
        <f t="shared" si="178"/>
        <v>2023-2</v>
      </c>
      <c r="J1117" s="5">
        <v>90</v>
      </c>
      <c r="K1117" s="9">
        <v>80</v>
      </c>
      <c r="L1117" s="8">
        <f>IFERROR(K1117/J1117,"")</f>
        <v>0.88888888888888884</v>
      </c>
      <c r="M1117" s="15">
        <f t="shared" si="185"/>
        <v>0.88888888888888884</v>
      </c>
      <c r="N1117" s="5" t="s">
        <v>347</v>
      </c>
      <c r="O1117" s="5" t="s">
        <v>347</v>
      </c>
      <c r="P1117" s="16">
        <v>0</v>
      </c>
      <c r="Q1117" s="16">
        <v>0</v>
      </c>
      <c r="R1117" s="5" t="str">
        <f t="shared" si="179"/>
        <v>290-2023-12-31</v>
      </c>
    </row>
    <row r="1118" spans="1:18" x14ac:dyDescent="0.3">
      <c r="A1118" s="26">
        <v>290</v>
      </c>
      <c r="B1118" s="5" t="s">
        <v>175</v>
      </c>
      <c r="C1118" s="5" t="s">
        <v>114</v>
      </c>
      <c r="D1118" s="5" t="s">
        <v>21</v>
      </c>
      <c r="E1118" s="5" t="s">
        <v>9</v>
      </c>
      <c r="F1118" s="6">
        <v>45351</v>
      </c>
      <c r="G1118" s="5">
        <f t="shared" si="182"/>
        <v>2024</v>
      </c>
      <c r="H1118" s="5" t="str">
        <f t="shared" si="183"/>
        <v>Febrero</v>
      </c>
      <c r="I1118" s="6" t="str">
        <f t="shared" si="178"/>
        <v>2024-1</v>
      </c>
      <c r="J1118" s="5">
        <v>90</v>
      </c>
      <c r="K1118" s="10">
        <v>91.666666666666998</v>
      </c>
      <c r="L1118" s="15">
        <f>IFERROR(IF((K1118/J1118)&gt;1.3,1.3,K1118/J1118),"")</f>
        <v>1.0185185185185222</v>
      </c>
      <c r="M1118" s="15">
        <f t="shared" si="185"/>
        <v>1.0185185185185222</v>
      </c>
      <c r="N1118" s="5"/>
      <c r="O1118" s="5"/>
      <c r="P1118" s="16">
        <v>0</v>
      </c>
      <c r="Q1118" s="16">
        <v>0</v>
      </c>
      <c r="R1118" s="5" t="str">
        <f t="shared" si="179"/>
        <v>290-2024-02-29</v>
      </c>
    </row>
    <row r="1119" spans="1:18" x14ac:dyDescent="0.3">
      <c r="A1119" s="26">
        <v>290</v>
      </c>
      <c r="B1119" s="5" t="s">
        <v>175</v>
      </c>
      <c r="C1119" s="5" t="s">
        <v>114</v>
      </c>
      <c r="D1119" s="5" t="s">
        <v>21</v>
      </c>
      <c r="E1119" s="5" t="s">
        <v>9</v>
      </c>
      <c r="F1119" s="6">
        <v>45412</v>
      </c>
      <c r="G1119" s="5">
        <f t="shared" si="182"/>
        <v>2024</v>
      </c>
      <c r="H1119" s="5" t="str">
        <f t="shared" si="183"/>
        <v>Abril</v>
      </c>
      <c r="I1119" s="6" t="str">
        <f t="shared" si="178"/>
        <v>2024-1</v>
      </c>
      <c r="J1119" s="5">
        <v>90</v>
      </c>
      <c r="K1119" s="10">
        <v>100</v>
      </c>
      <c r="L1119" s="15">
        <f>IFERROR(IF((K1119/J1119)&gt;1.3,1.3,K1119/J1119),"")</f>
        <v>1.1111111111111112</v>
      </c>
      <c r="M1119" s="15">
        <f t="shared" si="185"/>
        <v>1.1111111111111112</v>
      </c>
      <c r="N1119" s="5"/>
      <c r="O1119" s="5"/>
      <c r="P1119" s="16">
        <v>0</v>
      </c>
      <c r="Q1119" s="16">
        <v>0</v>
      </c>
      <c r="R1119" s="5" t="str">
        <f t="shared" si="179"/>
        <v>290-2024-04-30</v>
      </c>
    </row>
    <row r="1120" spans="1:18" x14ac:dyDescent="0.3">
      <c r="A1120" s="5">
        <v>290</v>
      </c>
      <c r="B1120" s="5" t="s">
        <v>175</v>
      </c>
      <c r="C1120" s="5" t="s">
        <v>114</v>
      </c>
      <c r="D1120" s="5" t="s">
        <v>21</v>
      </c>
      <c r="E1120" s="5" t="s">
        <v>9</v>
      </c>
      <c r="F1120" s="6">
        <v>45473</v>
      </c>
      <c r="G1120" s="5">
        <f t="shared" si="182"/>
        <v>2024</v>
      </c>
      <c r="H1120" s="5" t="str">
        <f t="shared" si="183"/>
        <v>Junio</v>
      </c>
      <c r="I1120" s="6" t="str">
        <f t="shared" si="178"/>
        <v>2024-1</v>
      </c>
      <c r="J1120" s="5">
        <v>90</v>
      </c>
      <c r="K1120" s="5">
        <v>100</v>
      </c>
      <c r="L1120" s="15">
        <v>1</v>
      </c>
      <c r="M1120" s="15">
        <v>1.1111111111111112</v>
      </c>
      <c r="N1120" s="5"/>
      <c r="O1120" s="5"/>
      <c r="P1120" s="5">
        <v>0</v>
      </c>
      <c r="Q1120" s="5">
        <v>0</v>
      </c>
      <c r="R1120" s="5" t="str">
        <f t="shared" si="179"/>
        <v>290-2024-06-30</v>
      </c>
    </row>
    <row r="1121" spans="1:18" x14ac:dyDescent="0.3">
      <c r="A1121" s="26">
        <v>290</v>
      </c>
      <c r="B1121" s="5" t="s">
        <v>175</v>
      </c>
      <c r="C1121" s="5" t="s">
        <v>114</v>
      </c>
      <c r="D1121" s="5" t="s">
        <v>21</v>
      </c>
      <c r="E1121" s="5" t="s">
        <v>9</v>
      </c>
      <c r="F1121" s="6">
        <v>45535</v>
      </c>
      <c r="G1121" s="5">
        <f t="shared" si="182"/>
        <v>2024</v>
      </c>
      <c r="H1121" s="5" t="str">
        <f t="shared" si="183"/>
        <v>Agosto</v>
      </c>
      <c r="I1121" s="6" t="str">
        <f t="shared" si="178"/>
        <v>2024-2</v>
      </c>
      <c r="J1121" s="5">
        <v>90</v>
      </c>
      <c r="K1121" s="10">
        <v>100</v>
      </c>
      <c r="L1121" s="15">
        <f>IFERROR(IF((K1121/J1121)&gt;1.3,1.3,K1121/J1121),"")</f>
        <v>1.1111111111111112</v>
      </c>
      <c r="M1121" s="15">
        <f>IFERROR(IF((K1121/J1121)&gt;K1121/J1121,1.3,K1121/J1121),"")</f>
        <v>1.1111111111111112</v>
      </c>
      <c r="N1121" s="5"/>
      <c r="O1121" s="5"/>
      <c r="P1121" s="16">
        <v>0</v>
      </c>
      <c r="Q1121" s="16">
        <v>0</v>
      </c>
      <c r="R1121" s="5" t="str">
        <f t="shared" si="179"/>
        <v>290-2024-08-31</v>
      </c>
    </row>
    <row r="1122" spans="1:18" x14ac:dyDescent="0.3">
      <c r="A1122" s="26">
        <v>290</v>
      </c>
      <c r="B1122" s="5" t="s">
        <v>175</v>
      </c>
      <c r="C1122" s="5" t="s">
        <v>114</v>
      </c>
      <c r="D1122" s="5" t="s">
        <v>21</v>
      </c>
      <c r="E1122" s="5" t="s">
        <v>9</v>
      </c>
      <c r="F1122" s="6">
        <v>45596</v>
      </c>
      <c r="G1122" s="5">
        <f t="shared" si="182"/>
        <v>2024</v>
      </c>
      <c r="H1122" s="5" t="str">
        <f t="shared" si="183"/>
        <v>Octubre</v>
      </c>
      <c r="I1122" s="6" t="str">
        <f t="shared" si="178"/>
        <v>2024-2</v>
      </c>
      <c r="J1122" s="5">
        <v>90</v>
      </c>
      <c r="K1122" s="10">
        <v>100</v>
      </c>
      <c r="L1122" s="15">
        <f>IFERROR(IF((K1122/J1122)&gt;1.3,1.3,K1122/J1122),"")</f>
        <v>1.1111111111111112</v>
      </c>
      <c r="M1122" s="15">
        <f>IFERROR(IF((K1122/J1122)&gt;K1122/J1122,1.3,K1122/J1122),"")</f>
        <v>1.1111111111111112</v>
      </c>
      <c r="N1122" s="5"/>
      <c r="O1122" s="5"/>
      <c r="P1122" s="16">
        <v>0</v>
      </c>
      <c r="Q1122" s="16">
        <v>0</v>
      </c>
      <c r="R1122" s="5" t="str">
        <f t="shared" si="179"/>
        <v>290-2024-10-31</v>
      </c>
    </row>
    <row r="1123" spans="1:18" x14ac:dyDescent="0.3">
      <c r="A1123" s="26">
        <v>290</v>
      </c>
      <c r="B1123" s="5" t="s">
        <v>175</v>
      </c>
      <c r="C1123" s="5" t="s">
        <v>114</v>
      </c>
      <c r="D1123" s="5" t="s">
        <v>21</v>
      </c>
      <c r="E1123" s="5" t="s">
        <v>9</v>
      </c>
      <c r="F1123" s="6">
        <v>45657</v>
      </c>
      <c r="G1123" s="5">
        <f t="shared" si="182"/>
        <v>2024</v>
      </c>
      <c r="H1123" s="5" t="str">
        <f t="shared" si="183"/>
        <v>Diciembre</v>
      </c>
      <c r="I1123" s="6" t="str">
        <f t="shared" si="178"/>
        <v>2024-2</v>
      </c>
      <c r="J1123" s="5">
        <v>90</v>
      </c>
      <c r="K1123" s="10">
        <v>100</v>
      </c>
      <c r="L1123" s="15">
        <f>IFERROR(IF((K1123/J1123)&gt;1.3,1.3,K1123/J1123),"")</f>
        <v>1.1111111111111112</v>
      </c>
      <c r="M1123" s="15">
        <f>IFERROR(IF((K1123/J1123)&gt;K1123/J1123,1.3,K1123/J1123),"")</f>
        <v>1.1111111111111112</v>
      </c>
      <c r="N1123" s="5"/>
      <c r="O1123" s="5"/>
      <c r="P1123" s="16">
        <v>0</v>
      </c>
      <c r="Q1123" s="16">
        <v>0</v>
      </c>
      <c r="R1123" s="5" t="str">
        <f t="shared" si="179"/>
        <v>290-2024-12-31</v>
      </c>
    </row>
    <row r="1124" spans="1:18" x14ac:dyDescent="0.3">
      <c r="A1124" s="26">
        <v>291</v>
      </c>
      <c r="B1124" s="5" t="s">
        <v>176</v>
      </c>
      <c r="C1124" s="5" t="s">
        <v>177</v>
      </c>
      <c r="D1124" s="5" t="s">
        <v>8</v>
      </c>
      <c r="E1124" s="5" t="s">
        <v>9</v>
      </c>
      <c r="F1124" s="17">
        <v>45107</v>
      </c>
      <c r="G1124" s="5">
        <f t="shared" si="182"/>
        <v>2023</v>
      </c>
      <c r="H1124" s="5" t="str">
        <f t="shared" si="183"/>
        <v>Junio</v>
      </c>
      <c r="I1124" s="6" t="str">
        <f t="shared" si="178"/>
        <v>2023-1</v>
      </c>
      <c r="J1124" s="5">
        <v>100</v>
      </c>
      <c r="K1124" s="9">
        <v>100</v>
      </c>
      <c r="L1124" s="8">
        <f>IF(IFERROR(K1124/J1124,"")&gt;130%,130%,K1124/J1124)</f>
        <v>1</v>
      </c>
      <c r="M1124" s="15">
        <f>IFERROR(IF((K1124/J1124)&gt;K1124/J1124,1.3,K1124/J1124),"")</f>
        <v>1</v>
      </c>
      <c r="N1124" s="5" t="s">
        <v>347</v>
      </c>
      <c r="O1124" s="5" t="s">
        <v>347</v>
      </c>
      <c r="P1124" s="16">
        <v>0</v>
      </c>
      <c r="Q1124" s="16">
        <v>0</v>
      </c>
      <c r="R1124" s="5" t="str">
        <f t="shared" si="179"/>
        <v>291-2023-06-30</v>
      </c>
    </row>
    <row r="1125" spans="1:18" x14ac:dyDescent="0.3">
      <c r="A1125" s="39">
        <v>291</v>
      </c>
      <c r="B1125" s="5" t="s">
        <v>176</v>
      </c>
      <c r="C1125" s="5" t="s">
        <v>177</v>
      </c>
      <c r="D1125" s="5" t="s">
        <v>8</v>
      </c>
      <c r="E1125" s="5" t="s">
        <v>9</v>
      </c>
      <c r="F1125" s="6">
        <v>45291</v>
      </c>
      <c r="G1125" s="5">
        <f t="shared" si="182"/>
        <v>2023</v>
      </c>
      <c r="H1125" s="5" t="str">
        <f t="shared" si="183"/>
        <v>Diciembre</v>
      </c>
      <c r="I1125" s="6" t="str">
        <f t="shared" si="178"/>
        <v>2023-2</v>
      </c>
      <c r="J1125" s="5">
        <v>100</v>
      </c>
      <c r="K1125" s="9">
        <v>100</v>
      </c>
      <c r="L1125" s="8">
        <f>IFERROR(K1125/J1125,"")</f>
        <v>1</v>
      </c>
      <c r="M1125" s="15">
        <f>IFERROR(IF((K1125/J1125)&gt;K1125/J1125,1.3,K1125/J1125),"")</f>
        <v>1</v>
      </c>
      <c r="N1125" s="5" t="s">
        <v>347</v>
      </c>
      <c r="O1125" s="5" t="s">
        <v>347</v>
      </c>
      <c r="P1125" s="16">
        <v>0</v>
      </c>
      <c r="Q1125" s="16">
        <v>0</v>
      </c>
      <c r="R1125" s="5" t="str">
        <f t="shared" si="179"/>
        <v>291-2023-12-31</v>
      </c>
    </row>
    <row r="1126" spans="1:18" x14ac:dyDescent="0.3">
      <c r="A1126" s="5">
        <v>291</v>
      </c>
      <c r="B1126" s="5" t="s">
        <v>176</v>
      </c>
      <c r="C1126" s="5" t="s">
        <v>177</v>
      </c>
      <c r="D1126" s="5" t="s">
        <v>8</v>
      </c>
      <c r="E1126" s="5" t="s">
        <v>9</v>
      </c>
      <c r="F1126" s="6">
        <v>45473</v>
      </c>
      <c r="G1126" s="5">
        <f t="shared" si="182"/>
        <v>2024</v>
      </c>
      <c r="H1126" s="5" t="str">
        <f t="shared" si="183"/>
        <v>Junio</v>
      </c>
      <c r="I1126" s="6" t="str">
        <f t="shared" si="178"/>
        <v>2024-1</v>
      </c>
      <c r="J1126" s="5">
        <v>100</v>
      </c>
      <c r="K1126" s="5">
        <v>100</v>
      </c>
      <c r="L1126" s="15">
        <v>1</v>
      </c>
      <c r="M1126" s="15">
        <v>1</v>
      </c>
      <c r="N1126" s="5" t="s">
        <v>347</v>
      </c>
      <c r="O1126" s="5" t="s">
        <v>347</v>
      </c>
      <c r="P1126" s="5">
        <v>0</v>
      </c>
      <c r="Q1126" s="5">
        <v>0</v>
      </c>
      <c r="R1126" s="5" t="str">
        <f t="shared" si="179"/>
        <v>291-2024-06-30</v>
      </c>
    </row>
    <row r="1127" spans="1:18" x14ac:dyDescent="0.3">
      <c r="A1127" s="26">
        <v>291</v>
      </c>
      <c r="B1127" s="5" t="s">
        <v>176</v>
      </c>
      <c r="C1127" s="5" t="s">
        <v>177</v>
      </c>
      <c r="D1127" s="5" t="s">
        <v>8</v>
      </c>
      <c r="E1127" s="5" t="s">
        <v>9</v>
      </c>
      <c r="F1127" s="6">
        <v>45657</v>
      </c>
      <c r="G1127" s="5">
        <f t="shared" si="182"/>
        <v>2024</v>
      </c>
      <c r="H1127" s="5" t="str">
        <f t="shared" si="183"/>
        <v>Diciembre</v>
      </c>
      <c r="I1127" s="6" t="str">
        <f t="shared" si="178"/>
        <v>2024-2</v>
      </c>
      <c r="J1127" s="5">
        <v>100</v>
      </c>
      <c r="K1127" s="10">
        <v>100</v>
      </c>
      <c r="L1127" s="15">
        <f>IFERROR(IF((K1127/J1127)&gt;1.3,1.3,K1127/J1127),"")</f>
        <v>1</v>
      </c>
      <c r="M1127" s="15">
        <f t="shared" ref="M1127:M1133" si="186">IFERROR(IF((K1127/J1127)&gt;K1127/J1127,1.3,K1127/J1127),"")</f>
        <v>1</v>
      </c>
      <c r="N1127" s="5" t="s">
        <v>347</v>
      </c>
      <c r="O1127" s="5" t="s">
        <v>347</v>
      </c>
      <c r="P1127" s="16">
        <v>0</v>
      </c>
      <c r="Q1127" s="16">
        <v>0</v>
      </c>
      <c r="R1127" s="5" t="str">
        <f t="shared" si="179"/>
        <v>291-2024-12-31</v>
      </c>
    </row>
    <row r="1128" spans="1:18" x14ac:dyDescent="0.3">
      <c r="A1128" s="26">
        <v>292</v>
      </c>
      <c r="B1128" s="5" t="s">
        <v>729</v>
      </c>
      <c r="C1128" s="5" t="s">
        <v>177</v>
      </c>
      <c r="D1128" s="5" t="s">
        <v>8</v>
      </c>
      <c r="E1128" s="5" t="s">
        <v>9</v>
      </c>
      <c r="F1128" s="17">
        <v>45107</v>
      </c>
      <c r="G1128" s="5">
        <f t="shared" si="182"/>
        <v>2023</v>
      </c>
      <c r="H1128" s="5" t="str">
        <f t="shared" si="183"/>
        <v>Junio</v>
      </c>
      <c r="I1128" s="6" t="str">
        <f t="shared" si="178"/>
        <v>2023-1</v>
      </c>
      <c r="J1128" s="5">
        <v>3</v>
      </c>
      <c r="K1128" s="9">
        <v>10.990099009901</v>
      </c>
      <c r="L1128" s="8">
        <f>IF(IFERROR(K1128/J1128,"")&gt;130%,130%,K1128/J1128)</f>
        <v>1.3</v>
      </c>
      <c r="M1128" s="15">
        <f t="shared" si="186"/>
        <v>3.6633663366336666</v>
      </c>
      <c r="N1128" s="5" t="s">
        <v>347</v>
      </c>
      <c r="O1128" s="5" t="s">
        <v>347</v>
      </c>
      <c r="P1128" s="16">
        <v>0</v>
      </c>
      <c r="Q1128" s="16">
        <v>0</v>
      </c>
      <c r="R1128" s="5" t="str">
        <f t="shared" si="179"/>
        <v>292-2023-06-30</v>
      </c>
    </row>
    <row r="1129" spans="1:18" x14ac:dyDescent="0.3">
      <c r="A1129" s="39">
        <v>292</v>
      </c>
      <c r="B1129" s="5" t="s">
        <v>729</v>
      </c>
      <c r="C1129" s="5" t="s">
        <v>177</v>
      </c>
      <c r="D1129" s="5" t="s">
        <v>8</v>
      </c>
      <c r="E1129" s="5" t="s">
        <v>9</v>
      </c>
      <c r="F1129" s="6">
        <v>45291</v>
      </c>
      <c r="G1129" s="5">
        <f t="shared" si="182"/>
        <v>2023</v>
      </c>
      <c r="H1129" s="5" t="str">
        <f t="shared" si="183"/>
        <v>Diciembre</v>
      </c>
      <c r="I1129" s="6" t="str">
        <f t="shared" si="178"/>
        <v>2023-2</v>
      </c>
      <c r="J1129" s="5">
        <v>3</v>
      </c>
      <c r="K1129" s="9">
        <v>27.66</v>
      </c>
      <c r="L1129" s="8">
        <f>IF(IFERROR(K1129/J1129,"")&gt;130%,130%,K1129/J1129)</f>
        <v>1.3</v>
      </c>
      <c r="M1129" s="15">
        <f t="shared" si="186"/>
        <v>9.2200000000000006</v>
      </c>
      <c r="N1129" s="5" t="s">
        <v>347</v>
      </c>
      <c r="O1129" s="5" t="s">
        <v>347</v>
      </c>
      <c r="P1129" s="16">
        <v>0</v>
      </c>
      <c r="Q1129" s="16">
        <v>0</v>
      </c>
      <c r="R1129" s="5" t="str">
        <f t="shared" si="179"/>
        <v>292-2023-12-31</v>
      </c>
    </row>
    <row r="1130" spans="1:18" x14ac:dyDescent="0.3">
      <c r="A1130" s="5">
        <v>292</v>
      </c>
      <c r="B1130" s="5" t="s">
        <v>729</v>
      </c>
      <c r="C1130" s="5" t="s">
        <v>177</v>
      </c>
      <c r="D1130" s="5" t="s">
        <v>8</v>
      </c>
      <c r="E1130" s="5" t="s">
        <v>9</v>
      </c>
      <c r="F1130" s="6">
        <v>45473</v>
      </c>
      <c r="G1130" s="5">
        <f t="shared" si="182"/>
        <v>2024</v>
      </c>
      <c r="H1130" s="5" t="str">
        <f t="shared" si="183"/>
        <v>Junio</v>
      </c>
      <c r="I1130" s="6" t="str">
        <f t="shared" si="178"/>
        <v>2024-1</v>
      </c>
      <c r="J1130" s="5">
        <v>3</v>
      </c>
      <c r="K1130" s="5">
        <v>23.313905079100699</v>
      </c>
      <c r="L1130" s="15">
        <v>1.3</v>
      </c>
      <c r="M1130" s="15">
        <f t="shared" si="186"/>
        <v>7.7713016930335668</v>
      </c>
      <c r="N1130" s="5" t="s">
        <v>347</v>
      </c>
      <c r="O1130" s="5" t="s">
        <v>347</v>
      </c>
      <c r="P1130" s="5">
        <v>0</v>
      </c>
      <c r="Q1130" s="5">
        <v>0</v>
      </c>
      <c r="R1130" s="5" t="str">
        <f t="shared" si="179"/>
        <v>292-2024-06-30</v>
      </c>
    </row>
    <row r="1131" spans="1:18" x14ac:dyDescent="0.3">
      <c r="A1131" s="26">
        <v>292</v>
      </c>
      <c r="B1131" s="5" t="s">
        <v>729</v>
      </c>
      <c r="C1131" s="5" t="s">
        <v>177</v>
      </c>
      <c r="D1131" s="5" t="s">
        <v>8</v>
      </c>
      <c r="E1131" s="5" t="s">
        <v>9</v>
      </c>
      <c r="F1131" s="6">
        <v>45657</v>
      </c>
      <c r="G1131" s="5">
        <f t="shared" si="182"/>
        <v>2024</v>
      </c>
      <c r="H1131" s="5" t="str">
        <f t="shared" si="183"/>
        <v>Diciembre</v>
      </c>
      <c r="I1131" s="6" t="str">
        <f t="shared" si="178"/>
        <v>2024-2</v>
      </c>
      <c r="J1131" s="5">
        <v>3</v>
      </c>
      <c r="K1131" s="10">
        <v>14.263862332695901</v>
      </c>
      <c r="L1131" s="15">
        <f>IFERROR(IF((K1131/J1131)&gt;1.3,1.3,K1131/J1131),"")</f>
        <v>1.3</v>
      </c>
      <c r="M1131" s="15">
        <f t="shared" si="186"/>
        <v>4.7546207775653002</v>
      </c>
      <c r="N1131" s="5" t="s">
        <v>347</v>
      </c>
      <c r="O1131" s="5" t="s">
        <v>347</v>
      </c>
      <c r="P1131" s="16">
        <v>0</v>
      </c>
      <c r="Q1131" s="16">
        <v>0</v>
      </c>
      <c r="R1131" s="5" t="str">
        <f t="shared" si="179"/>
        <v>292-2024-12-31</v>
      </c>
    </row>
    <row r="1132" spans="1:18" x14ac:dyDescent="0.3">
      <c r="A1132" s="26">
        <v>293</v>
      </c>
      <c r="B1132" s="5" t="s">
        <v>179</v>
      </c>
      <c r="C1132" s="5" t="s">
        <v>177</v>
      </c>
      <c r="D1132" s="5" t="s">
        <v>8</v>
      </c>
      <c r="E1132" s="5" t="s">
        <v>9</v>
      </c>
      <c r="F1132" s="17">
        <v>45107</v>
      </c>
      <c r="G1132" s="5">
        <f t="shared" si="182"/>
        <v>2023</v>
      </c>
      <c r="H1132" s="5" t="str">
        <f t="shared" si="183"/>
        <v>Junio</v>
      </c>
      <c r="I1132" s="6" t="str">
        <f t="shared" si="178"/>
        <v>2023-1</v>
      </c>
      <c r="J1132" s="5">
        <v>100</v>
      </c>
      <c r="K1132" s="9">
        <v>100</v>
      </c>
      <c r="L1132" s="8">
        <f>IF(IFERROR(K1132/J1132,"")&gt;130%,130%,K1132/J1132)</f>
        <v>1</v>
      </c>
      <c r="M1132" s="15">
        <f t="shared" si="186"/>
        <v>1</v>
      </c>
      <c r="N1132" s="5" t="s">
        <v>347</v>
      </c>
      <c r="O1132" s="5" t="s">
        <v>347</v>
      </c>
      <c r="P1132" s="16">
        <v>0</v>
      </c>
      <c r="Q1132" s="16">
        <v>0</v>
      </c>
      <c r="R1132" s="5" t="str">
        <f t="shared" si="179"/>
        <v>293-2023-06-30</v>
      </c>
    </row>
    <row r="1133" spans="1:18" x14ac:dyDescent="0.3">
      <c r="A1133" s="39">
        <v>293</v>
      </c>
      <c r="B1133" s="5" t="s">
        <v>179</v>
      </c>
      <c r="C1133" s="5" t="s">
        <v>177</v>
      </c>
      <c r="D1133" s="5" t="s">
        <v>8</v>
      </c>
      <c r="E1133" s="5" t="s">
        <v>9</v>
      </c>
      <c r="F1133" s="6">
        <v>45291</v>
      </c>
      <c r="G1133" s="5">
        <f t="shared" si="182"/>
        <v>2023</v>
      </c>
      <c r="H1133" s="5" t="str">
        <f t="shared" si="183"/>
        <v>Diciembre</v>
      </c>
      <c r="I1133" s="6" t="str">
        <f t="shared" ref="I1133:I1195" si="187">IF(OR(H1133="Enero",H1133="Febrero",H1133="Marzo",H1133="Abril",H1133="Mayo",H1133="Junio"),G1133&amp;"-1",IF(OR(H1133="Julio",H1133="Agosto",H1133="Septiembre",H1133="Octubre",H1133="Noviembre",H1133="Diciembre"),G1133&amp;"-2"))</f>
        <v>2023-2</v>
      </c>
      <c r="J1133" s="5">
        <v>100</v>
      </c>
      <c r="K1133" s="9">
        <v>100</v>
      </c>
      <c r="L1133" s="8">
        <f>IFERROR(K1133/J1133,"")</f>
        <v>1</v>
      </c>
      <c r="M1133" s="15">
        <f t="shared" si="186"/>
        <v>1</v>
      </c>
      <c r="N1133" s="5" t="s">
        <v>347</v>
      </c>
      <c r="O1133" s="5" t="s">
        <v>347</v>
      </c>
      <c r="P1133" s="16">
        <v>0</v>
      </c>
      <c r="Q1133" s="16">
        <v>0</v>
      </c>
      <c r="R1133" s="5" t="str">
        <f t="shared" ref="R1133:R1195" si="188">A1133&amp;"-"&amp;YEAR(F1133)&amp;"-"&amp;IF(LEN(MONTH(F1133))=1,"0"&amp;MONTH(F1133),MONTH(F1133))&amp;"-"&amp;DAY(F1133)</f>
        <v>293-2023-12-31</v>
      </c>
    </row>
    <row r="1134" spans="1:18" x14ac:dyDescent="0.3">
      <c r="A1134" s="5">
        <v>293</v>
      </c>
      <c r="B1134" s="5" t="s">
        <v>179</v>
      </c>
      <c r="C1134" s="5" t="s">
        <v>177</v>
      </c>
      <c r="D1134" s="5" t="s">
        <v>8</v>
      </c>
      <c r="E1134" s="5" t="s">
        <v>9</v>
      </c>
      <c r="F1134" s="6">
        <v>45473</v>
      </c>
      <c r="G1134" s="5">
        <f t="shared" si="182"/>
        <v>2024</v>
      </c>
      <c r="H1134" s="5" t="str">
        <f t="shared" si="183"/>
        <v>Junio</v>
      </c>
      <c r="I1134" s="6" t="str">
        <f t="shared" si="187"/>
        <v>2024-1</v>
      </c>
      <c r="J1134" s="5">
        <v>100</v>
      </c>
      <c r="K1134" s="5">
        <v>100</v>
      </c>
      <c r="L1134" s="15">
        <v>1</v>
      </c>
      <c r="M1134" s="15">
        <v>1</v>
      </c>
      <c r="N1134" s="5" t="s">
        <v>347</v>
      </c>
      <c r="O1134" s="5" t="s">
        <v>347</v>
      </c>
      <c r="P1134" s="5">
        <v>0</v>
      </c>
      <c r="Q1134" s="5">
        <v>0</v>
      </c>
      <c r="R1134" s="5" t="str">
        <f t="shared" si="188"/>
        <v>293-2024-06-30</v>
      </c>
    </row>
    <row r="1135" spans="1:18" x14ac:dyDescent="0.3">
      <c r="A1135" s="26">
        <v>293</v>
      </c>
      <c r="B1135" s="5" t="s">
        <v>179</v>
      </c>
      <c r="C1135" s="5" t="s">
        <v>177</v>
      </c>
      <c r="D1135" s="5" t="s">
        <v>8</v>
      </c>
      <c r="E1135" s="5" t="s">
        <v>9</v>
      </c>
      <c r="F1135" s="6">
        <v>45657</v>
      </c>
      <c r="G1135" s="5">
        <f t="shared" si="182"/>
        <v>2024</v>
      </c>
      <c r="H1135" s="5" t="str">
        <f t="shared" si="183"/>
        <v>Diciembre</v>
      </c>
      <c r="I1135" s="6" t="str">
        <f t="shared" si="187"/>
        <v>2024-2</v>
      </c>
      <c r="J1135" s="5">
        <v>100</v>
      </c>
      <c r="K1135" s="10">
        <v>100</v>
      </c>
      <c r="L1135" s="15">
        <f>IFERROR(IF((K1135/J1135)&gt;1.3,1.3,K1135/J1135),"")</f>
        <v>1</v>
      </c>
      <c r="M1135" s="15">
        <f>IFERROR(IF((K1135/J1135)&gt;K1135/J1135,1.3,K1135/J1135),"")</f>
        <v>1</v>
      </c>
      <c r="N1135" s="5" t="s">
        <v>347</v>
      </c>
      <c r="O1135" s="5" t="s">
        <v>347</v>
      </c>
      <c r="P1135" s="16">
        <v>0</v>
      </c>
      <c r="Q1135" s="16">
        <v>0</v>
      </c>
      <c r="R1135" s="5" t="str">
        <f t="shared" si="188"/>
        <v>293-2024-12-31</v>
      </c>
    </row>
    <row r="1136" spans="1:18" x14ac:dyDescent="0.3">
      <c r="A1136" s="26">
        <v>294</v>
      </c>
      <c r="B1136" s="5" t="s">
        <v>180</v>
      </c>
      <c r="C1136" s="5" t="s">
        <v>177</v>
      </c>
      <c r="D1136" s="5" t="s">
        <v>8</v>
      </c>
      <c r="E1136" s="5" t="s">
        <v>9</v>
      </c>
      <c r="F1136" s="17">
        <v>45107</v>
      </c>
      <c r="G1136" s="5">
        <f t="shared" si="182"/>
        <v>2023</v>
      </c>
      <c r="H1136" s="5" t="str">
        <f t="shared" si="183"/>
        <v>Junio</v>
      </c>
      <c r="I1136" s="6" t="str">
        <f t="shared" si="187"/>
        <v>2023-1</v>
      </c>
      <c r="J1136" s="5">
        <v>3</v>
      </c>
      <c r="K1136" s="9">
        <v>30.158730158730201</v>
      </c>
      <c r="L1136" s="8">
        <f>IF(IFERROR(K1136/J1136,"")&gt;130%,130%,K1136/J1136)</f>
        <v>1.3</v>
      </c>
      <c r="M1136" s="15">
        <f>IFERROR(IF((K1136/J1136)&gt;K1136/J1136,1.3,K1136/J1136),"")</f>
        <v>10.052910052910066</v>
      </c>
      <c r="N1136" s="5" t="s">
        <v>347</v>
      </c>
      <c r="O1136" s="5" t="s">
        <v>347</v>
      </c>
      <c r="P1136" s="16">
        <v>0</v>
      </c>
      <c r="Q1136" s="16">
        <v>0</v>
      </c>
      <c r="R1136" s="5" t="str">
        <f t="shared" si="188"/>
        <v>294-2023-06-30</v>
      </c>
    </row>
    <row r="1137" spans="1:18" x14ac:dyDescent="0.3">
      <c r="A1137" s="39">
        <v>294</v>
      </c>
      <c r="B1137" s="5" t="s">
        <v>180</v>
      </c>
      <c r="C1137" s="5" t="s">
        <v>177</v>
      </c>
      <c r="D1137" s="5" t="s">
        <v>8</v>
      </c>
      <c r="E1137" s="5" t="s">
        <v>9</v>
      </c>
      <c r="F1137" s="6">
        <v>45291</v>
      </c>
      <c r="G1137" s="5">
        <f t="shared" si="182"/>
        <v>2023</v>
      </c>
      <c r="H1137" s="5" t="str">
        <f t="shared" si="183"/>
        <v>Diciembre</v>
      </c>
      <c r="I1137" s="6" t="str">
        <f t="shared" si="187"/>
        <v>2023-2</v>
      </c>
      <c r="J1137" s="5">
        <v>3</v>
      </c>
      <c r="K1137" s="9">
        <v>41.99</v>
      </c>
      <c r="L1137" s="8">
        <f>IF(IFERROR(K1137/J1137,"")&gt;130%,130%,K1137/J1137)</f>
        <v>1.3</v>
      </c>
      <c r="M1137" s="15">
        <f>IFERROR(IF((K1137/J1137)&gt;K1137/J1137,1.3,K1137/J1137),"")</f>
        <v>13.996666666666668</v>
      </c>
      <c r="N1137" s="5" t="s">
        <v>347</v>
      </c>
      <c r="O1137" s="5" t="s">
        <v>347</v>
      </c>
      <c r="P1137" s="16">
        <v>0</v>
      </c>
      <c r="Q1137" s="16">
        <v>0</v>
      </c>
      <c r="R1137" s="5" t="str">
        <f t="shared" si="188"/>
        <v>294-2023-12-31</v>
      </c>
    </row>
    <row r="1138" spans="1:18" x14ac:dyDescent="0.3">
      <c r="A1138" s="5">
        <v>294</v>
      </c>
      <c r="B1138" s="5" t="s">
        <v>180</v>
      </c>
      <c r="C1138" s="5" t="s">
        <v>177</v>
      </c>
      <c r="D1138" s="5" t="s">
        <v>8</v>
      </c>
      <c r="E1138" s="5" t="s">
        <v>9</v>
      </c>
      <c r="F1138" s="6">
        <v>45473</v>
      </c>
      <c r="G1138" s="5">
        <f t="shared" si="182"/>
        <v>2024</v>
      </c>
      <c r="H1138" s="5" t="str">
        <f t="shared" si="183"/>
        <v>Junio</v>
      </c>
      <c r="I1138" s="6" t="str">
        <f t="shared" si="187"/>
        <v>2024-1</v>
      </c>
      <c r="J1138" s="5">
        <v>3</v>
      </c>
      <c r="K1138" s="5">
        <v>26.276694521819799</v>
      </c>
      <c r="L1138" s="15">
        <v>1.3</v>
      </c>
      <c r="M1138" s="15">
        <v>8.758898173939933</v>
      </c>
      <c r="N1138" s="5" t="s">
        <v>347</v>
      </c>
      <c r="O1138" s="5" t="s">
        <v>347</v>
      </c>
      <c r="P1138" s="5">
        <v>0</v>
      </c>
      <c r="Q1138" s="5">
        <v>0</v>
      </c>
      <c r="R1138" s="5" t="str">
        <f t="shared" si="188"/>
        <v>294-2024-06-30</v>
      </c>
    </row>
    <row r="1139" spans="1:18" x14ac:dyDescent="0.3">
      <c r="A1139" s="26">
        <v>294</v>
      </c>
      <c r="B1139" s="5" t="s">
        <v>512</v>
      </c>
      <c r="C1139" s="5" t="s">
        <v>177</v>
      </c>
      <c r="D1139" s="5" t="s">
        <v>8</v>
      </c>
      <c r="E1139" s="5" t="s">
        <v>9</v>
      </c>
      <c r="F1139" s="6">
        <v>45657</v>
      </c>
      <c r="G1139" s="5">
        <f t="shared" si="182"/>
        <v>2024</v>
      </c>
      <c r="H1139" s="5" t="str">
        <f t="shared" si="183"/>
        <v>Diciembre</v>
      </c>
      <c r="I1139" s="6" t="str">
        <f t="shared" si="187"/>
        <v>2024-2</v>
      </c>
      <c r="J1139" s="5">
        <v>3</v>
      </c>
      <c r="K1139" s="10">
        <v>5.5</v>
      </c>
      <c r="L1139" s="15">
        <f>IFERROR(IF((K1139/J1139)&gt;1.3,1.3,K1139/J1139),"")</f>
        <v>1.3</v>
      </c>
      <c r="M1139" s="15">
        <f>IFERROR(IF((K1139/J1139)&gt;K1139/J1139,1.3,K1139/J1139),"")</f>
        <v>1.8333333333333333</v>
      </c>
      <c r="N1139" s="5" t="s">
        <v>347</v>
      </c>
      <c r="O1139" s="5" t="s">
        <v>347</v>
      </c>
      <c r="P1139" s="16">
        <v>0</v>
      </c>
      <c r="Q1139" s="16">
        <v>0</v>
      </c>
      <c r="R1139" s="5" t="str">
        <f t="shared" si="188"/>
        <v>294-2024-12-31</v>
      </c>
    </row>
    <row r="1140" spans="1:18" x14ac:dyDescent="0.3">
      <c r="A1140" s="26">
        <v>295</v>
      </c>
      <c r="B1140" s="5" t="s">
        <v>181</v>
      </c>
      <c r="C1140" s="5" t="s">
        <v>20</v>
      </c>
      <c r="D1140" s="5" t="s">
        <v>8</v>
      </c>
      <c r="E1140" s="5" t="s">
        <v>9</v>
      </c>
      <c r="F1140" s="17">
        <v>45107</v>
      </c>
      <c r="G1140" s="5">
        <f t="shared" si="182"/>
        <v>2023</v>
      </c>
      <c r="H1140" s="5" t="str">
        <f t="shared" si="183"/>
        <v>Junio</v>
      </c>
      <c r="I1140" s="6" t="str">
        <f t="shared" si="187"/>
        <v>2023-1</v>
      </c>
      <c r="J1140" s="5">
        <v>11</v>
      </c>
      <c r="K1140" s="9">
        <v>5</v>
      </c>
      <c r="L1140" s="8">
        <f>IFERROR(K1140/J1140,"")</f>
        <v>0.45454545454545453</v>
      </c>
      <c r="M1140" s="15">
        <f>IFERROR(IF((K1140/J1140)&gt;K1140/J1140,1.3,K1140/J1140),"")</f>
        <v>0.45454545454545453</v>
      </c>
      <c r="N1140" s="5" t="s">
        <v>347</v>
      </c>
      <c r="O1140" s="5" t="s">
        <v>347</v>
      </c>
      <c r="P1140" s="16">
        <v>0</v>
      </c>
      <c r="Q1140" s="16">
        <v>0</v>
      </c>
      <c r="R1140" s="5" t="str">
        <f t="shared" si="188"/>
        <v>295-2023-06-30</v>
      </c>
    </row>
    <row r="1141" spans="1:18" x14ac:dyDescent="0.3">
      <c r="A1141" s="39">
        <v>295</v>
      </c>
      <c r="B1141" s="5" t="s">
        <v>181</v>
      </c>
      <c r="C1141" s="5" t="s">
        <v>20</v>
      </c>
      <c r="D1141" s="5" t="s">
        <v>8</v>
      </c>
      <c r="E1141" s="5" t="s">
        <v>9</v>
      </c>
      <c r="F1141" s="6">
        <v>45291</v>
      </c>
      <c r="G1141" s="5">
        <f t="shared" si="182"/>
        <v>2023</v>
      </c>
      <c r="H1141" s="5" t="str">
        <f t="shared" si="183"/>
        <v>Diciembre</v>
      </c>
      <c r="I1141" s="6" t="str">
        <f t="shared" si="187"/>
        <v>2023-2</v>
      </c>
      <c r="J1141" s="5">
        <v>21</v>
      </c>
      <c r="K1141" s="9">
        <v>9</v>
      </c>
      <c r="L1141" s="8">
        <f>IFERROR(K1141/J1141,"")</f>
        <v>0.42857142857142855</v>
      </c>
      <c r="M1141" s="15">
        <f>IFERROR(IF((K1141/J1141)&gt;K1141/J1141,1.3,K1141/J1141),"")</f>
        <v>0.42857142857142855</v>
      </c>
      <c r="N1141" s="5" t="s">
        <v>347</v>
      </c>
      <c r="O1141" s="5" t="s">
        <v>347</v>
      </c>
      <c r="P1141" s="16">
        <v>0</v>
      </c>
      <c r="Q1141" s="16">
        <v>0</v>
      </c>
      <c r="R1141" s="5" t="str">
        <f t="shared" si="188"/>
        <v>295-2023-12-31</v>
      </c>
    </row>
    <row r="1142" spans="1:18" x14ac:dyDescent="0.3">
      <c r="A1142" s="5">
        <v>295</v>
      </c>
      <c r="B1142" s="5" t="s">
        <v>181</v>
      </c>
      <c r="C1142" s="5" t="s">
        <v>20</v>
      </c>
      <c r="D1142" s="5" t="s">
        <v>8</v>
      </c>
      <c r="E1142" s="5" t="s">
        <v>9</v>
      </c>
      <c r="F1142" s="6">
        <v>45473</v>
      </c>
      <c r="G1142" s="5">
        <f t="shared" si="182"/>
        <v>2024</v>
      </c>
      <c r="H1142" s="5" t="str">
        <f t="shared" si="183"/>
        <v>Junio</v>
      </c>
      <c r="I1142" s="6" t="str">
        <f t="shared" si="187"/>
        <v>2024-1</v>
      </c>
      <c r="J1142" s="5">
        <v>60</v>
      </c>
      <c r="K1142" s="5">
        <v>52.38</v>
      </c>
      <c r="L1142" s="15">
        <v>0.873</v>
      </c>
      <c r="M1142" s="15">
        <v>0.873</v>
      </c>
      <c r="N1142" s="5" t="s">
        <v>490</v>
      </c>
      <c r="O1142" s="5" t="s">
        <v>490</v>
      </c>
      <c r="P1142" s="5">
        <v>0</v>
      </c>
      <c r="Q1142" s="5">
        <v>0</v>
      </c>
      <c r="R1142" s="5" t="str">
        <f t="shared" si="188"/>
        <v>295-2024-06-30</v>
      </c>
    </row>
    <row r="1143" spans="1:18" x14ac:dyDescent="0.3">
      <c r="A1143" s="26">
        <v>296</v>
      </c>
      <c r="B1143" s="5" t="s">
        <v>413</v>
      </c>
      <c r="C1143" s="5" t="s">
        <v>182</v>
      </c>
      <c r="D1143" s="5" t="s">
        <v>21</v>
      </c>
      <c r="E1143" s="5" t="s">
        <v>9</v>
      </c>
      <c r="F1143" s="6">
        <v>45169</v>
      </c>
      <c r="G1143" s="5">
        <f t="shared" si="182"/>
        <v>2023</v>
      </c>
      <c r="H1143" s="5" t="str">
        <f t="shared" si="183"/>
        <v>Agosto</v>
      </c>
      <c r="I1143" s="6" t="str">
        <f t="shared" si="187"/>
        <v>2023-2</v>
      </c>
      <c r="J1143" s="5">
        <v>70</v>
      </c>
      <c r="K1143" s="9">
        <v>70.91</v>
      </c>
      <c r="L1143" s="22">
        <f>IF(IFERROR(K1143/J1143,"")&gt;130%,130%,K1143/J1143)</f>
        <v>1.0129999999999999</v>
      </c>
      <c r="M1143" s="15">
        <f>IFERROR(IF((K1143/J1143)&gt;K1143/J1143,1.3,K1143/J1143),"")</f>
        <v>1.0129999999999999</v>
      </c>
      <c r="N1143" s="5" t="s">
        <v>490</v>
      </c>
      <c r="O1143" s="5" t="s">
        <v>490</v>
      </c>
      <c r="P1143" s="16">
        <v>0</v>
      </c>
      <c r="Q1143" s="16">
        <v>0</v>
      </c>
      <c r="R1143" s="5" t="str">
        <f t="shared" si="188"/>
        <v>296-2023-08-31</v>
      </c>
    </row>
    <row r="1144" spans="1:18" x14ac:dyDescent="0.3">
      <c r="A1144" s="26">
        <v>296</v>
      </c>
      <c r="B1144" s="5" t="s">
        <v>413</v>
      </c>
      <c r="C1144" s="5" t="s">
        <v>182</v>
      </c>
      <c r="D1144" s="5" t="s">
        <v>21</v>
      </c>
      <c r="E1144" s="5" t="s">
        <v>9</v>
      </c>
      <c r="F1144" s="6">
        <v>45230</v>
      </c>
      <c r="G1144" s="5">
        <f t="shared" si="182"/>
        <v>2023</v>
      </c>
      <c r="H1144" s="5" t="str">
        <f t="shared" si="183"/>
        <v>Octubre</v>
      </c>
      <c r="I1144" s="6" t="str">
        <f t="shared" si="187"/>
        <v>2023-2</v>
      </c>
      <c r="J1144" s="5">
        <v>80</v>
      </c>
      <c r="K1144" s="9">
        <v>80</v>
      </c>
      <c r="L1144" s="22">
        <f>IF(IFERROR(K1144/J1144,"")&gt;130%,130%,K1144/J1144)</f>
        <v>1</v>
      </c>
      <c r="M1144" s="15">
        <f>IFERROR(IF((K1144/J1144)&gt;K1144/J1144,1.3,K1144/J1144),"")</f>
        <v>1</v>
      </c>
      <c r="N1144" s="5" t="s">
        <v>490</v>
      </c>
      <c r="O1144" s="5" t="s">
        <v>490</v>
      </c>
      <c r="P1144" s="16">
        <v>0</v>
      </c>
      <c r="Q1144" s="16">
        <v>0</v>
      </c>
      <c r="R1144" s="5" t="str">
        <f t="shared" si="188"/>
        <v>296-2023-10-31</v>
      </c>
    </row>
    <row r="1145" spans="1:18" x14ac:dyDescent="0.3">
      <c r="A1145" s="39">
        <v>296</v>
      </c>
      <c r="B1145" s="5" t="s">
        <v>413</v>
      </c>
      <c r="C1145" s="5" t="s">
        <v>182</v>
      </c>
      <c r="D1145" s="5" t="s">
        <v>21</v>
      </c>
      <c r="E1145" s="5" t="s">
        <v>9</v>
      </c>
      <c r="F1145" s="6">
        <v>45291</v>
      </c>
      <c r="G1145" s="5">
        <f t="shared" si="182"/>
        <v>2023</v>
      </c>
      <c r="H1145" s="5" t="str">
        <f t="shared" si="183"/>
        <v>Diciembre</v>
      </c>
      <c r="I1145" s="6" t="str">
        <f t="shared" si="187"/>
        <v>2023-2</v>
      </c>
      <c r="J1145" s="5">
        <v>100</v>
      </c>
      <c r="K1145" s="9">
        <v>85.45</v>
      </c>
      <c r="L1145" s="8">
        <f>IFERROR(K1145/J1145,"")</f>
        <v>0.85450000000000004</v>
      </c>
      <c r="M1145" s="15">
        <f>IFERROR(IF((K1145/J1145)&gt;K1145/J1145,1.3,K1145/J1145),"")</f>
        <v>0.85450000000000004</v>
      </c>
      <c r="N1145" s="5" t="s">
        <v>490</v>
      </c>
      <c r="O1145" s="5" t="s">
        <v>490</v>
      </c>
      <c r="P1145" s="16">
        <v>0</v>
      </c>
      <c r="Q1145" s="16">
        <v>0</v>
      </c>
      <c r="R1145" s="5" t="str">
        <f t="shared" si="188"/>
        <v>296-2023-12-31</v>
      </c>
    </row>
    <row r="1146" spans="1:18" x14ac:dyDescent="0.3">
      <c r="A1146" s="26">
        <v>297</v>
      </c>
      <c r="B1146" s="5" t="s">
        <v>414</v>
      </c>
      <c r="C1146" s="5" t="s">
        <v>182</v>
      </c>
      <c r="D1146" s="5" t="s">
        <v>21</v>
      </c>
      <c r="E1146" s="5" t="s">
        <v>14</v>
      </c>
      <c r="F1146" s="6">
        <v>45169</v>
      </c>
      <c r="G1146" s="5">
        <f t="shared" si="182"/>
        <v>2023</v>
      </c>
      <c r="H1146" s="5" t="str">
        <f t="shared" si="183"/>
        <v>Agosto</v>
      </c>
      <c r="I1146" s="6" t="str">
        <f t="shared" si="187"/>
        <v>2023-2</v>
      </c>
      <c r="J1146" s="5">
        <v>20</v>
      </c>
      <c r="K1146" s="9">
        <v>0</v>
      </c>
      <c r="L1146" s="8">
        <v>1</v>
      </c>
      <c r="M1146" s="8">
        <f>IF(K1146&lt;J1146,100%,J1146/K1146)</f>
        <v>1</v>
      </c>
      <c r="N1146" s="5" t="s">
        <v>490</v>
      </c>
      <c r="O1146" s="5" t="s">
        <v>490</v>
      </c>
      <c r="P1146" s="16">
        <v>0</v>
      </c>
      <c r="Q1146" s="16">
        <v>0</v>
      </c>
      <c r="R1146" s="5" t="str">
        <f t="shared" si="188"/>
        <v>297-2023-08-31</v>
      </c>
    </row>
    <row r="1147" spans="1:18" x14ac:dyDescent="0.3">
      <c r="A1147" s="26">
        <v>297</v>
      </c>
      <c r="B1147" s="5" t="s">
        <v>414</v>
      </c>
      <c r="C1147" s="5" t="s">
        <v>182</v>
      </c>
      <c r="D1147" s="5" t="s">
        <v>21</v>
      </c>
      <c r="E1147" s="5" t="s">
        <v>14</v>
      </c>
      <c r="F1147" s="6">
        <v>45230</v>
      </c>
      <c r="G1147" s="5">
        <f t="shared" si="182"/>
        <v>2023</v>
      </c>
      <c r="H1147" s="5" t="str">
        <f t="shared" si="183"/>
        <v>Octubre</v>
      </c>
      <c r="I1147" s="6" t="str">
        <f t="shared" si="187"/>
        <v>2023-2</v>
      </c>
      <c r="J1147" s="5">
        <v>20</v>
      </c>
      <c r="K1147" s="9">
        <v>1.19</v>
      </c>
      <c r="L1147" s="8">
        <f>IF(K1147&lt;J1147,100%,J1147/K1147)</f>
        <v>1</v>
      </c>
      <c r="M1147" s="8">
        <f>IF(K1147&lt;J1147,100%,J1147/K1147)</f>
        <v>1</v>
      </c>
      <c r="N1147" s="5" t="s">
        <v>490</v>
      </c>
      <c r="O1147" s="5" t="s">
        <v>478</v>
      </c>
      <c r="P1147" s="16">
        <v>2</v>
      </c>
      <c r="Q1147" s="16">
        <v>2</v>
      </c>
      <c r="R1147" s="5" t="str">
        <f t="shared" si="188"/>
        <v>297-2023-10-31</v>
      </c>
    </row>
    <row r="1148" spans="1:18" x14ac:dyDescent="0.3">
      <c r="A1148" s="5">
        <v>297</v>
      </c>
      <c r="B1148" s="5" t="s">
        <v>414</v>
      </c>
      <c r="C1148" s="5" t="s">
        <v>182</v>
      </c>
      <c r="D1148" s="5" t="s">
        <v>21</v>
      </c>
      <c r="E1148" s="5" t="s">
        <v>14</v>
      </c>
      <c r="F1148" s="6">
        <v>45291</v>
      </c>
      <c r="G1148" s="5">
        <f t="shared" si="182"/>
        <v>2023</v>
      </c>
      <c r="H1148" s="5" t="str">
        <f t="shared" si="183"/>
        <v>Diciembre</v>
      </c>
      <c r="I1148" s="6" t="str">
        <f t="shared" si="187"/>
        <v>2023-2</v>
      </c>
      <c r="J1148" s="5">
        <v>20</v>
      </c>
      <c r="K1148" s="9">
        <v>0.93</v>
      </c>
      <c r="L1148" s="8">
        <f>IF(K1148&lt;J1148,100%,J1148/K1148)</f>
        <v>1</v>
      </c>
      <c r="M1148" s="8">
        <f>IF(K1148&lt;J1148,100%,J1148/K1148)</f>
        <v>1</v>
      </c>
      <c r="N1148" s="5" t="s">
        <v>490</v>
      </c>
      <c r="O1148" s="5" t="s">
        <v>478</v>
      </c>
      <c r="P1148" s="16">
        <v>0</v>
      </c>
      <c r="Q1148" s="16">
        <v>0</v>
      </c>
      <c r="R1148" s="5" t="str">
        <f t="shared" si="188"/>
        <v>297-2023-12-31</v>
      </c>
    </row>
    <row r="1149" spans="1:18" x14ac:dyDescent="0.3">
      <c r="A1149" s="39">
        <v>298</v>
      </c>
      <c r="B1149" s="5" t="s">
        <v>183</v>
      </c>
      <c r="C1149" s="5" t="s">
        <v>182</v>
      </c>
      <c r="D1149" s="5" t="s">
        <v>8</v>
      </c>
      <c r="E1149" s="5" t="s">
        <v>14</v>
      </c>
      <c r="F1149" s="6">
        <v>45291</v>
      </c>
      <c r="G1149" s="5">
        <f t="shared" si="182"/>
        <v>2023</v>
      </c>
      <c r="H1149" s="5" t="str">
        <f t="shared" si="183"/>
        <v>Diciembre</v>
      </c>
      <c r="I1149" s="6" t="str">
        <f t="shared" si="187"/>
        <v>2023-2</v>
      </c>
      <c r="J1149" s="5"/>
      <c r="K1149" s="9">
        <v>1</v>
      </c>
      <c r="L1149" s="8" t="str">
        <f t="shared" ref="L1149:L1153" si="189">IFERROR(K1149/J1149,"")</f>
        <v/>
      </c>
      <c r="M1149" s="8">
        <f>IFERROR(J1149/K1149,"")</f>
        <v>0</v>
      </c>
      <c r="N1149" s="5" t="s">
        <v>477</v>
      </c>
      <c r="O1149" s="5" t="s">
        <v>478</v>
      </c>
      <c r="P1149" s="16">
        <v>0</v>
      </c>
      <c r="Q1149" s="16">
        <v>0</v>
      </c>
      <c r="R1149" s="5" t="str">
        <f t="shared" si="188"/>
        <v>298-2023-12-31</v>
      </c>
    </row>
    <row r="1150" spans="1:18" x14ac:dyDescent="0.3">
      <c r="A1150" s="26">
        <v>300</v>
      </c>
      <c r="B1150" s="5" t="s">
        <v>184</v>
      </c>
      <c r="C1150" s="5" t="s">
        <v>185</v>
      </c>
      <c r="D1150" s="5" t="s">
        <v>11</v>
      </c>
      <c r="E1150" s="5" t="s">
        <v>9</v>
      </c>
      <c r="F1150" s="6">
        <v>45016</v>
      </c>
      <c r="G1150" s="5">
        <f t="shared" si="182"/>
        <v>2023</v>
      </c>
      <c r="H1150" s="5" t="str">
        <f t="shared" si="183"/>
        <v>Marzo</v>
      </c>
      <c r="I1150" s="6" t="str">
        <f t="shared" si="187"/>
        <v>2023-1</v>
      </c>
      <c r="J1150" s="5">
        <v>100</v>
      </c>
      <c r="K1150" s="9">
        <v>100</v>
      </c>
      <c r="L1150" s="8">
        <f t="shared" si="189"/>
        <v>1</v>
      </c>
      <c r="M1150" s="15">
        <f>IFERROR(IF((K1150/J1150)&gt;K1150/J1150,1.3,K1150/J1150),"")</f>
        <v>1</v>
      </c>
      <c r="N1150" s="5" t="s">
        <v>347</v>
      </c>
      <c r="O1150" s="5" t="s">
        <v>347</v>
      </c>
      <c r="P1150" s="16">
        <v>0</v>
      </c>
      <c r="Q1150" s="16">
        <v>0</v>
      </c>
      <c r="R1150" s="5" t="str">
        <f t="shared" si="188"/>
        <v>300-2023-03-31</v>
      </c>
    </row>
    <row r="1151" spans="1:18" x14ac:dyDescent="0.3">
      <c r="A1151" s="26">
        <v>300</v>
      </c>
      <c r="B1151" s="5" t="s">
        <v>184</v>
      </c>
      <c r="C1151" s="5" t="s">
        <v>185</v>
      </c>
      <c r="D1151" s="5" t="s">
        <v>11</v>
      </c>
      <c r="E1151" s="5" t="s">
        <v>9</v>
      </c>
      <c r="F1151" s="6">
        <v>45107</v>
      </c>
      <c r="G1151" s="5">
        <f t="shared" si="182"/>
        <v>2023</v>
      </c>
      <c r="H1151" s="5" t="str">
        <f t="shared" si="183"/>
        <v>Junio</v>
      </c>
      <c r="I1151" s="6" t="str">
        <f t="shared" si="187"/>
        <v>2023-1</v>
      </c>
      <c r="J1151" s="5">
        <v>100</v>
      </c>
      <c r="K1151" s="9">
        <v>100</v>
      </c>
      <c r="L1151" s="8">
        <f t="shared" si="189"/>
        <v>1</v>
      </c>
      <c r="M1151" s="15">
        <f>IFERROR(IF((K1151/J1151)&gt;K1151/J1151,1.3,K1151/J1151),"")</f>
        <v>1</v>
      </c>
      <c r="N1151" s="5" t="s">
        <v>347</v>
      </c>
      <c r="O1151" s="5" t="s">
        <v>347</v>
      </c>
      <c r="P1151" s="16">
        <v>0</v>
      </c>
      <c r="Q1151" s="16">
        <v>0</v>
      </c>
      <c r="R1151" s="5" t="str">
        <f t="shared" si="188"/>
        <v>300-2023-06-30</v>
      </c>
    </row>
    <row r="1152" spans="1:18" x14ac:dyDescent="0.3">
      <c r="A1152" s="43">
        <v>300</v>
      </c>
      <c r="B1152" s="5" t="s">
        <v>184</v>
      </c>
      <c r="C1152" s="5" t="s">
        <v>185</v>
      </c>
      <c r="D1152" s="5" t="s">
        <v>11</v>
      </c>
      <c r="E1152" s="5" t="s">
        <v>9</v>
      </c>
      <c r="F1152" s="6">
        <v>45199</v>
      </c>
      <c r="G1152" s="5">
        <f t="shared" si="182"/>
        <v>2023</v>
      </c>
      <c r="H1152" s="5" t="str">
        <f t="shared" si="183"/>
        <v>Septiembre</v>
      </c>
      <c r="I1152" s="6" t="str">
        <f t="shared" si="187"/>
        <v>2023-2</v>
      </c>
      <c r="J1152" s="5">
        <v>100</v>
      </c>
      <c r="K1152" s="9">
        <v>100</v>
      </c>
      <c r="L1152" s="8">
        <f t="shared" si="189"/>
        <v>1</v>
      </c>
      <c r="M1152" s="15">
        <f>IFERROR(IF((K1152/J1152)&gt;K1152/J1152,1.3,K1152/J1152),"")</f>
        <v>1</v>
      </c>
      <c r="N1152" s="5" t="s">
        <v>347</v>
      </c>
      <c r="O1152" s="5" t="s">
        <v>347</v>
      </c>
      <c r="P1152" s="16">
        <v>0</v>
      </c>
      <c r="Q1152" s="16">
        <v>0</v>
      </c>
      <c r="R1152" s="5" t="str">
        <f t="shared" si="188"/>
        <v>300-2023-09-30</v>
      </c>
    </row>
    <row r="1153" spans="1:18" x14ac:dyDescent="0.3">
      <c r="A1153" s="39">
        <v>300</v>
      </c>
      <c r="B1153" s="5" t="s">
        <v>184</v>
      </c>
      <c r="C1153" s="5" t="s">
        <v>185</v>
      </c>
      <c r="D1153" s="5" t="s">
        <v>11</v>
      </c>
      <c r="E1153" s="5" t="s">
        <v>9</v>
      </c>
      <c r="F1153" s="6">
        <v>45291</v>
      </c>
      <c r="G1153" s="5">
        <f t="shared" si="182"/>
        <v>2023</v>
      </c>
      <c r="H1153" s="5" t="str">
        <f t="shared" si="183"/>
        <v>Diciembre</v>
      </c>
      <c r="I1153" s="6" t="str">
        <f t="shared" si="187"/>
        <v>2023-2</v>
      </c>
      <c r="J1153" s="5">
        <v>100</v>
      </c>
      <c r="K1153" s="9">
        <v>100</v>
      </c>
      <c r="L1153" s="8">
        <f t="shared" si="189"/>
        <v>1</v>
      </c>
      <c r="M1153" s="15">
        <f>IFERROR(IF((K1153/J1153)&gt;K1153/J1153,1.3,K1153/J1153),"")</f>
        <v>1</v>
      </c>
      <c r="N1153" s="5" t="s">
        <v>347</v>
      </c>
      <c r="O1153" s="5" t="s">
        <v>347</v>
      </c>
      <c r="P1153" s="16">
        <v>0</v>
      </c>
      <c r="Q1153" s="16">
        <v>0</v>
      </c>
      <c r="R1153" s="5" t="str">
        <f t="shared" si="188"/>
        <v>300-2023-12-31</v>
      </c>
    </row>
    <row r="1154" spans="1:18" x14ac:dyDescent="0.3">
      <c r="A1154" s="26">
        <v>300</v>
      </c>
      <c r="B1154" s="5" t="s">
        <v>184</v>
      </c>
      <c r="C1154" s="5" t="s">
        <v>185</v>
      </c>
      <c r="D1154" s="5" t="s">
        <v>11</v>
      </c>
      <c r="E1154" s="5" t="s">
        <v>9</v>
      </c>
      <c r="F1154" s="6">
        <v>45382</v>
      </c>
      <c r="G1154" s="5">
        <f t="shared" ref="G1154:G1217" si="190">YEAR(F1154)</f>
        <v>2024</v>
      </c>
      <c r="H1154" s="5" t="str">
        <f t="shared" ref="H1154:H1217" si="191">PROPER(TEXT(F1154,"mmmm"))</f>
        <v>Marzo</v>
      </c>
      <c r="I1154" s="6" t="str">
        <f t="shared" si="187"/>
        <v>2024-1</v>
      </c>
      <c r="J1154" s="5">
        <v>100</v>
      </c>
      <c r="K1154" s="10">
        <v>100</v>
      </c>
      <c r="L1154" s="15">
        <f>IFERROR(IF((K1154/J1154)&gt;1.3,1.3,K1154/J1154),"")</f>
        <v>1</v>
      </c>
      <c r="M1154" s="15">
        <f>IFERROR(IF((K1154/J1154)&gt;K1154/J1154,1.3,K1154/J1154),"")</f>
        <v>1</v>
      </c>
      <c r="N1154" s="5" t="s">
        <v>347</v>
      </c>
      <c r="O1154" s="5" t="s">
        <v>347</v>
      </c>
      <c r="P1154" s="16">
        <v>0</v>
      </c>
      <c r="Q1154" s="16">
        <v>0</v>
      </c>
      <c r="R1154" s="5" t="str">
        <f t="shared" si="188"/>
        <v>300-2024-03-31</v>
      </c>
    </row>
    <row r="1155" spans="1:18" x14ac:dyDescent="0.3">
      <c r="A1155" s="5">
        <v>300</v>
      </c>
      <c r="B1155" s="5" t="s">
        <v>184</v>
      </c>
      <c r="C1155" s="5" t="s">
        <v>185</v>
      </c>
      <c r="D1155" s="5" t="s">
        <v>11</v>
      </c>
      <c r="E1155" s="5" t="s">
        <v>9</v>
      </c>
      <c r="F1155" s="6">
        <v>45473</v>
      </c>
      <c r="G1155" s="5">
        <f t="shared" si="190"/>
        <v>2024</v>
      </c>
      <c r="H1155" s="5" t="str">
        <f t="shared" si="191"/>
        <v>Junio</v>
      </c>
      <c r="I1155" s="6" t="str">
        <f t="shared" si="187"/>
        <v>2024-1</v>
      </c>
      <c r="J1155" s="5">
        <v>100</v>
      </c>
      <c r="K1155" s="5">
        <v>100</v>
      </c>
      <c r="L1155" s="15">
        <v>1</v>
      </c>
      <c r="M1155" s="15">
        <v>1</v>
      </c>
      <c r="N1155" s="5" t="s">
        <v>347</v>
      </c>
      <c r="O1155" s="5" t="s">
        <v>347</v>
      </c>
      <c r="P1155" s="5">
        <v>0</v>
      </c>
      <c r="Q1155" s="5">
        <v>0</v>
      </c>
      <c r="R1155" s="5" t="str">
        <f t="shared" si="188"/>
        <v>300-2024-06-30</v>
      </c>
    </row>
    <row r="1156" spans="1:18" x14ac:dyDescent="0.3">
      <c r="A1156" s="26">
        <v>300</v>
      </c>
      <c r="B1156" s="5" t="s">
        <v>184</v>
      </c>
      <c r="C1156" s="5" t="s">
        <v>185</v>
      </c>
      <c r="D1156" s="5" t="s">
        <v>11</v>
      </c>
      <c r="E1156" s="5" t="s">
        <v>9</v>
      </c>
      <c r="F1156" s="6">
        <v>45565</v>
      </c>
      <c r="G1156" s="5">
        <f t="shared" si="190"/>
        <v>2024</v>
      </c>
      <c r="H1156" s="5" t="str">
        <f t="shared" si="191"/>
        <v>Septiembre</v>
      </c>
      <c r="I1156" s="6" t="str">
        <f t="shared" si="187"/>
        <v>2024-2</v>
      </c>
      <c r="J1156" s="5">
        <v>100</v>
      </c>
      <c r="K1156" s="10">
        <v>100</v>
      </c>
      <c r="L1156" s="15">
        <f>IFERROR(IF((K1156/J1156)&gt;1.3,1.3,K1156/J1156),"")</f>
        <v>1</v>
      </c>
      <c r="M1156" s="15">
        <f t="shared" ref="M1156:M1162" si="192">IFERROR(IF((K1156/J1156)&gt;K1156/J1156,1.3,K1156/J1156),"")</f>
        <v>1</v>
      </c>
      <c r="N1156" s="5" t="s">
        <v>347</v>
      </c>
      <c r="O1156" s="5" t="s">
        <v>347</v>
      </c>
      <c r="P1156" s="16">
        <v>0</v>
      </c>
      <c r="Q1156" s="16">
        <v>0</v>
      </c>
      <c r="R1156" s="5" t="str">
        <f t="shared" si="188"/>
        <v>300-2024-09-30</v>
      </c>
    </row>
    <row r="1157" spans="1:18" x14ac:dyDescent="0.3">
      <c r="A1157" s="26">
        <v>300</v>
      </c>
      <c r="B1157" s="5" t="s">
        <v>184</v>
      </c>
      <c r="C1157" s="5" t="s">
        <v>185</v>
      </c>
      <c r="D1157" s="5" t="s">
        <v>11</v>
      </c>
      <c r="E1157" s="5" t="s">
        <v>9</v>
      </c>
      <c r="F1157" s="6">
        <v>45657</v>
      </c>
      <c r="G1157" s="5">
        <f t="shared" si="190"/>
        <v>2024</v>
      </c>
      <c r="H1157" s="5" t="str">
        <f t="shared" si="191"/>
        <v>Diciembre</v>
      </c>
      <c r="I1157" s="6" t="str">
        <f t="shared" si="187"/>
        <v>2024-2</v>
      </c>
      <c r="J1157" s="5">
        <v>100</v>
      </c>
      <c r="K1157" s="10">
        <v>100</v>
      </c>
      <c r="L1157" s="15">
        <f>IFERROR(IF((K1157/J1157)&gt;1.3,1.3,K1157/J1157),"")</f>
        <v>1</v>
      </c>
      <c r="M1157" s="15">
        <f t="shared" si="192"/>
        <v>1</v>
      </c>
      <c r="N1157" s="5" t="s">
        <v>347</v>
      </c>
      <c r="O1157" s="5" t="s">
        <v>347</v>
      </c>
      <c r="P1157" s="16">
        <v>0</v>
      </c>
      <c r="Q1157" s="16">
        <v>0</v>
      </c>
      <c r="R1157" s="5" t="str">
        <f t="shared" si="188"/>
        <v>300-2024-12-31</v>
      </c>
    </row>
    <row r="1158" spans="1:18" x14ac:dyDescent="0.3">
      <c r="A1158" s="26">
        <v>301</v>
      </c>
      <c r="B1158" s="5" t="s">
        <v>186</v>
      </c>
      <c r="C1158" s="5" t="s">
        <v>185</v>
      </c>
      <c r="D1158" s="5" t="s">
        <v>11</v>
      </c>
      <c r="E1158" s="5" t="s">
        <v>9</v>
      </c>
      <c r="F1158" s="6">
        <v>45016</v>
      </c>
      <c r="G1158" s="5">
        <f t="shared" si="190"/>
        <v>2023</v>
      </c>
      <c r="H1158" s="5" t="str">
        <f t="shared" si="191"/>
        <v>Marzo</v>
      </c>
      <c r="I1158" s="6" t="str">
        <f t="shared" si="187"/>
        <v>2023-1</v>
      </c>
      <c r="J1158" s="5">
        <v>100</v>
      </c>
      <c r="K1158" s="9">
        <v>100</v>
      </c>
      <c r="L1158" s="8">
        <f>IFERROR(K1158/J1158,"")</f>
        <v>1</v>
      </c>
      <c r="M1158" s="15">
        <f t="shared" si="192"/>
        <v>1</v>
      </c>
      <c r="N1158" s="5" t="s">
        <v>347</v>
      </c>
      <c r="O1158" s="5" t="s">
        <v>347</v>
      </c>
      <c r="P1158" s="16">
        <v>0</v>
      </c>
      <c r="Q1158" s="16">
        <v>0</v>
      </c>
      <c r="R1158" s="5" t="str">
        <f t="shared" si="188"/>
        <v>301-2023-03-31</v>
      </c>
    </row>
    <row r="1159" spans="1:18" x14ac:dyDescent="0.3">
      <c r="A1159" s="26">
        <v>301</v>
      </c>
      <c r="B1159" s="5" t="s">
        <v>186</v>
      </c>
      <c r="C1159" s="5" t="s">
        <v>185</v>
      </c>
      <c r="D1159" s="5" t="s">
        <v>11</v>
      </c>
      <c r="E1159" s="5" t="s">
        <v>9</v>
      </c>
      <c r="F1159" s="6">
        <v>45107</v>
      </c>
      <c r="G1159" s="5">
        <f t="shared" si="190"/>
        <v>2023</v>
      </c>
      <c r="H1159" s="5" t="str">
        <f t="shared" si="191"/>
        <v>Junio</v>
      </c>
      <c r="I1159" s="6" t="str">
        <f t="shared" si="187"/>
        <v>2023-1</v>
      </c>
      <c r="J1159" s="5">
        <v>100</v>
      </c>
      <c r="K1159" s="9">
        <v>100</v>
      </c>
      <c r="L1159" s="8">
        <f>IFERROR(K1159/J1159,"")</f>
        <v>1</v>
      </c>
      <c r="M1159" s="15">
        <f t="shared" si="192"/>
        <v>1</v>
      </c>
      <c r="N1159" s="5" t="s">
        <v>347</v>
      </c>
      <c r="O1159" s="5" t="s">
        <v>347</v>
      </c>
      <c r="P1159" s="16">
        <v>0</v>
      </c>
      <c r="Q1159" s="16">
        <v>0</v>
      </c>
      <c r="R1159" s="5" t="str">
        <f t="shared" si="188"/>
        <v>301-2023-06-30</v>
      </c>
    </row>
    <row r="1160" spans="1:18" x14ac:dyDescent="0.3">
      <c r="A1160" s="43">
        <v>301</v>
      </c>
      <c r="B1160" s="5" t="s">
        <v>186</v>
      </c>
      <c r="C1160" s="5" t="s">
        <v>185</v>
      </c>
      <c r="D1160" s="5" t="s">
        <v>11</v>
      </c>
      <c r="E1160" s="5" t="s">
        <v>9</v>
      </c>
      <c r="F1160" s="6">
        <v>45199</v>
      </c>
      <c r="G1160" s="5">
        <f t="shared" si="190"/>
        <v>2023</v>
      </c>
      <c r="H1160" s="5" t="str">
        <f t="shared" si="191"/>
        <v>Septiembre</v>
      </c>
      <c r="I1160" s="6" t="str">
        <f t="shared" si="187"/>
        <v>2023-2</v>
      </c>
      <c r="J1160" s="5">
        <v>100</v>
      </c>
      <c r="K1160" s="9">
        <v>100</v>
      </c>
      <c r="L1160" s="8">
        <v>0</v>
      </c>
      <c r="M1160" s="15">
        <f t="shared" si="192"/>
        <v>1</v>
      </c>
      <c r="N1160" s="5" t="s">
        <v>347</v>
      </c>
      <c r="O1160" s="5" t="s">
        <v>347</v>
      </c>
      <c r="P1160" s="16">
        <v>0</v>
      </c>
      <c r="Q1160" s="16">
        <v>0</v>
      </c>
      <c r="R1160" s="5" t="str">
        <f t="shared" si="188"/>
        <v>301-2023-09-30</v>
      </c>
    </row>
    <row r="1161" spans="1:18" x14ac:dyDescent="0.3">
      <c r="A1161" s="39">
        <v>301</v>
      </c>
      <c r="B1161" s="5" t="s">
        <v>186</v>
      </c>
      <c r="C1161" s="5" t="s">
        <v>185</v>
      </c>
      <c r="D1161" s="5" t="s">
        <v>11</v>
      </c>
      <c r="E1161" s="5" t="s">
        <v>9</v>
      </c>
      <c r="F1161" s="6">
        <v>45291</v>
      </c>
      <c r="G1161" s="5">
        <f t="shared" si="190"/>
        <v>2023</v>
      </c>
      <c r="H1161" s="5" t="str">
        <f t="shared" si="191"/>
        <v>Diciembre</v>
      </c>
      <c r="I1161" s="6" t="str">
        <f t="shared" si="187"/>
        <v>2023-2</v>
      </c>
      <c r="J1161" s="5">
        <v>100</v>
      </c>
      <c r="K1161" s="9">
        <v>100</v>
      </c>
      <c r="L1161" s="8">
        <f>IFERROR(K1161/J1161,"")</f>
        <v>1</v>
      </c>
      <c r="M1161" s="15">
        <f t="shared" si="192"/>
        <v>1</v>
      </c>
      <c r="N1161" s="5" t="s">
        <v>347</v>
      </c>
      <c r="O1161" s="5" t="s">
        <v>347</v>
      </c>
      <c r="P1161" s="16">
        <v>0</v>
      </c>
      <c r="Q1161" s="16">
        <v>0</v>
      </c>
      <c r="R1161" s="5" t="str">
        <f t="shared" si="188"/>
        <v>301-2023-12-31</v>
      </c>
    </row>
    <row r="1162" spans="1:18" x14ac:dyDescent="0.3">
      <c r="A1162" s="26">
        <v>301</v>
      </c>
      <c r="B1162" s="5" t="s">
        <v>186</v>
      </c>
      <c r="C1162" s="5" t="s">
        <v>185</v>
      </c>
      <c r="D1162" s="5" t="s">
        <v>11</v>
      </c>
      <c r="E1162" s="5" t="s">
        <v>9</v>
      </c>
      <c r="F1162" s="6">
        <v>45382</v>
      </c>
      <c r="G1162" s="5">
        <f t="shared" si="190"/>
        <v>2024</v>
      </c>
      <c r="H1162" s="5" t="str">
        <f t="shared" si="191"/>
        <v>Marzo</v>
      </c>
      <c r="I1162" s="6" t="str">
        <f t="shared" si="187"/>
        <v>2024-1</v>
      </c>
      <c r="J1162" s="5">
        <v>100</v>
      </c>
      <c r="K1162" s="10">
        <v>100</v>
      </c>
      <c r="L1162" s="15">
        <f>IFERROR(IF((K1162/J1162)&gt;1.3,1.3,K1162/J1162),"")</f>
        <v>1</v>
      </c>
      <c r="M1162" s="15">
        <f t="shared" si="192"/>
        <v>1</v>
      </c>
      <c r="N1162" s="5" t="s">
        <v>347</v>
      </c>
      <c r="O1162" s="5" t="s">
        <v>347</v>
      </c>
      <c r="P1162" s="16">
        <v>0</v>
      </c>
      <c r="Q1162" s="16">
        <v>0</v>
      </c>
      <c r="R1162" s="5" t="str">
        <f t="shared" si="188"/>
        <v>301-2024-03-31</v>
      </c>
    </row>
    <row r="1163" spans="1:18" x14ac:dyDescent="0.3">
      <c r="A1163" s="5">
        <v>301</v>
      </c>
      <c r="B1163" s="5" t="s">
        <v>186</v>
      </c>
      <c r="C1163" s="5" t="s">
        <v>185</v>
      </c>
      <c r="D1163" s="5" t="s">
        <v>11</v>
      </c>
      <c r="E1163" s="5" t="s">
        <v>9</v>
      </c>
      <c r="F1163" s="6">
        <v>45473</v>
      </c>
      <c r="G1163" s="5">
        <f t="shared" si="190"/>
        <v>2024</v>
      </c>
      <c r="H1163" s="5" t="str">
        <f t="shared" si="191"/>
        <v>Junio</v>
      </c>
      <c r="I1163" s="6" t="str">
        <f t="shared" si="187"/>
        <v>2024-1</v>
      </c>
      <c r="J1163" s="5">
        <v>100</v>
      </c>
      <c r="K1163" s="5">
        <v>100</v>
      </c>
      <c r="L1163" s="15">
        <v>1</v>
      </c>
      <c r="M1163" s="15">
        <v>1</v>
      </c>
      <c r="N1163" s="5" t="s">
        <v>347</v>
      </c>
      <c r="O1163" s="5" t="s">
        <v>347</v>
      </c>
      <c r="P1163" s="5">
        <v>0</v>
      </c>
      <c r="Q1163" s="5">
        <v>0</v>
      </c>
      <c r="R1163" s="5" t="str">
        <f t="shared" si="188"/>
        <v>301-2024-06-30</v>
      </c>
    </row>
    <row r="1164" spans="1:18" x14ac:dyDescent="0.3">
      <c r="A1164" s="26">
        <v>301</v>
      </c>
      <c r="B1164" s="5" t="s">
        <v>186</v>
      </c>
      <c r="C1164" s="5" t="s">
        <v>185</v>
      </c>
      <c r="D1164" s="5" t="s">
        <v>11</v>
      </c>
      <c r="E1164" s="5" t="s">
        <v>9</v>
      </c>
      <c r="F1164" s="6">
        <v>45565</v>
      </c>
      <c r="G1164" s="5">
        <f t="shared" si="190"/>
        <v>2024</v>
      </c>
      <c r="H1164" s="5" t="str">
        <f t="shared" si="191"/>
        <v>Septiembre</v>
      </c>
      <c r="I1164" s="6" t="str">
        <f t="shared" si="187"/>
        <v>2024-2</v>
      </c>
      <c r="J1164" s="5">
        <v>100</v>
      </c>
      <c r="K1164" s="10">
        <v>100</v>
      </c>
      <c r="L1164" s="15">
        <f>IFERROR(IF((K1164/J1164)&gt;1.3,1.3,K1164/J1164),"")</f>
        <v>1</v>
      </c>
      <c r="M1164" s="15">
        <f>IFERROR(IF((K1164/J1164)&gt;K1164/J1164,1.3,K1164/J1164),"")</f>
        <v>1</v>
      </c>
      <c r="N1164" s="5" t="s">
        <v>347</v>
      </c>
      <c r="O1164" s="5" t="s">
        <v>347</v>
      </c>
      <c r="P1164" s="16">
        <v>0</v>
      </c>
      <c r="Q1164" s="16">
        <v>0</v>
      </c>
      <c r="R1164" s="5" t="str">
        <f t="shared" si="188"/>
        <v>301-2024-09-30</v>
      </c>
    </row>
    <row r="1165" spans="1:18" x14ac:dyDescent="0.3">
      <c r="A1165" s="26">
        <v>301</v>
      </c>
      <c r="B1165" s="5" t="s">
        <v>186</v>
      </c>
      <c r="C1165" s="5" t="s">
        <v>185</v>
      </c>
      <c r="D1165" s="5" t="s">
        <v>11</v>
      </c>
      <c r="E1165" s="5" t="s">
        <v>9</v>
      </c>
      <c r="F1165" s="6">
        <v>45657</v>
      </c>
      <c r="G1165" s="5">
        <f t="shared" si="190"/>
        <v>2024</v>
      </c>
      <c r="H1165" s="5" t="str">
        <f t="shared" si="191"/>
        <v>Diciembre</v>
      </c>
      <c r="I1165" s="6" t="str">
        <f t="shared" si="187"/>
        <v>2024-2</v>
      </c>
      <c r="J1165" s="5">
        <v>100</v>
      </c>
      <c r="K1165" s="10">
        <v>100</v>
      </c>
      <c r="L1165" s="15">
        <f>IFERROR(IF((K1165/J1165)&gt;1.3,1.3,K1165/J1165),"")</f>
        <v>1</v>
      </c>
      <c r="M1165" s="15">
        <f>IFERROR(IF((K1165/J1165)&gt;K1165/J1165,1.3,K1165/J1165),"")</f>
        <v>1</v>
      </c>
      <c r="N1165" s="5" t="s">
        <v>347</v>
      </c>
      <c r="O1165" s="5" t="s">
        <v>347</v>
      </c>
      <c r="P1165" s="16">
        <v>0</v>
      </c>
      <c r="Q1165" s="16">
        <v>0</v>
      </c>
      <c r="R1165" s="5" t="str">
        <f t="shared" si="188"/>
        <v>301-2024-12-31</v>
      </c>
    </row>
    <row r="1166" spans="1:18" x14ac:dyDescent="0.3">
      <c r="A1166" s="26">
        <v>302</v>
      </c>
      <c r="B1166" s="5" t="s">
        <v>187</v>
      </c>
      <c r="C1166" s="5" t="s">
        <v>152</v>
      </c>
      <c r="D1166" s="5" t="s">
        <v>8</v>
      </c>
      <c r="E1166" s="5" t="s">
        <v>9</v>
      </c>
      <c r="F1166" s="17">
        <v>45107</v>
      </c>
      <c r="G1166" s="5">
        <f t="shared" si="190"/>
        <v>2023</v>
      </c>
      <c r="H1166" s="5" t="str">
        <f t="shared" si="191"/>
        <v>Junio</v>
      </c>
      <c r="I1166" s="6" t="str">
        <f t="shared" si="187"/>
        <v>2023-1</v>
      </c>
      <c r="J1166" s="5">
        <v>0</v>
      </c>
      <c r="K1166" s="9">
        <v>16609</v>
      </c>
      <c r="L1166" s="8" t="str">
        <f>IFERROR(K1166/J1166,"")</f>
        <v/>
      </c>
      <c r="M1166" s="15" t="str">
        <f>IFERROR(IF((K1166/J1166)&gt;K1166/J1166,1.3,K1166/J1166),"")</f>
        <v/>
      </c>
      <c r="N1166" s="5" t="s">
        <v>347</v>
      </c>
      <c r="O1166" s="5" t="s">
        <v>347</v>
      </c>
      <c r="P1166" s="16">
        <v>0</v>
      </c>
      <c r="Q1166" s="16">
        <v>0</v>
      </c>
      <c r="R1166" s="5" t="str">
        <f t="shared" si="188"/>
        <v>302-2023-06-30</v>
      </c>
    </row>
    <row r="1167" spans="1:18" x14ac:dyDescent="0.3">
      <c r="A1167" s="39">
        <v>302</v>
      </c>
      <c r="B1167" s="5" t="s">
        <v>187</v>
      </c>
      <c r="C1167" s="5" t="s">
        <v>152</v>
      </c>
      <c r="D1167" s="5" t="s">
        <v>8</v>
      </c>
      <c r="E1167" s="5" t="s">
        <v>9</v>
      </c>
      <c r="F1167" s="6">
        <v>45291</v>
      </c>
      <c r="G1167" s="5">
        <f t="shared" si="190"/>
        <v>2023</v>
      </c>
      <c r="H1167" s="5" t="str">
        <f t="shared" si="191"/>
        <v>Diciembre</v>
      </c>
      <c r="I1167" s="6" t="str">
        <f t="shared" si="187"/>
        <v>2023-2</v>
      </c>
      <c r="J1167" s="5">
        <v>0</v>
      </c>
      <c r="K1167" s="9">
        <v>21237</v>
      </c>
      <c r="L1167" s="8" t="str">
        <f>IFERROR(K1167/J1167,"")</f>
        <v/>
      </c>
      <c r="M1167" s="15" t="str">
        <f>IFERROR(IF((K1167/J1167)&gt;K1167/J1167,1.3,K1167/J1167),"")</f>
        <v/>
      </c>
      <c r="N1167" s="5" t="s">
        <v>347</v>
      </c>
      <c r="O1167" s="5" t="s">
        <v>347</v>
      </c>
      <c r="P1167" s="16">
        <v>0</v>
      </c>
      <c r="Q1167" s="16">
        <v>0</v>
      </c>
      <c r="R1167" s="5" t="str">
        <f t="shared" si="188"/>
        <v>302-2023-12-31</v>
      </c>
    </row>
    <row r="1168" spans="1:18" x14ac:dyDescent="0.3">
      <c r="A1168" s="5">
        <v>302</v>
      </c>
      <c r="B1168" s="5" t="s">
        <v>187</v>
      </c>
      <c r="C1168" s="5" t="s">
        <v>152</v>
      </c>
      <c r="D1168" s="5" t="s">
        <v>8</v>
      </c>
      <c r="E1168" s="5" t="s">
        <v>9</v>
      </c>
      <c r="F1168" s="6">
        <v>45473</v>
      </c>
      <c r="G1168" s="5">
        <f t="shared" si="190"/>
        <v>2024</v>
      </c>
      <c r="H1168" s="5" t="str">
        <f t="shared" si="191"/>
        <v>Junio</v>
      </c>
      <c r="I1168" s="6" t="str">
        <f t="shared" si="187"/>
        <v>2024-1</v>
      </c>
      <c r="J1168" s="5">
        <v>0</v>
      </c>
      <c r="K1168" s="5">
        <v>18355</v>
      </c>
      <c r="L1168" s="15" t="s">
        <v>417</v>
      </c>
      <c r="M1168" s="15" t="s">
        <v>417</v>
      </c>
      <c r="N1168" s="5">
        <v>0</v>
      </c>
      <c r="O1168" s="5" t="s">
        <v>490</v>
      </c>
      <c r="P1168" s="5">
        <v>0</v>
      </c>
      <c r="Q1168" s="5">
        <v>0</v>
      </c>
      <c r="R1168" s="5" t="str">
        <f t="shared" si="188"/>
        <v>302-2024-06-30</v>
      </c>
    </row>
    <row r="1169" spans="1:18" x14ac:dyDescent="0.3">
      <c r="A1169" s="26">
        <v>302</v>
      </c>
      <c r="B1169" s="5" t="s">
        <v>187</v>
      </c>
      <c r="C1169" s="5" t="s">
        <v>152</v>
      </c>
      <c r="D1169" s="5" t="s">
        <v>8</v>
      </c>
      <c r="E1169" s="5" t="s">
        <v>9</v>
      </c>
      <c r="F1169" s="6">
        <v>45657</v>
      </c>
      <c r="G1169" s="5">
        <f t="shared" si="190"/>
        <v>2024</v>
      </c>
      <c r="H1169" s="5" t="str">
        <f t="shared" si="191"/>
        <v>Diciembre</v>
      </c>
      <c r="I1169" s="6" t="str">
        <f t="shared" si="187"/>
        <v>2024-2</v>
      </c>
      <c r="J1169" s="5">
        <v>0</v>
      </c>
      <c r="K1169" s="10">
        <v>0</v>
      </c>
      <c r="L1169" s="15" t="str">
        <f>IFERROR(IF((K1169/J1169)&gt;1.3,1.3,K1169/J1169),"")</f>
        <v/>
      </c>
      <c r="M1169" s="15" t="str">
        <f t="shared" ref="M1169:M1176" si="193">IFERROR(IF((K1169/J1169)&gt;K1169/J1169,1.3,K1169/J1169),"")</f>
        <v/>
      </c>
      <c r="N1169" s="5">
        <v>0</v>
      </c>
      <c r="O1169" s="5" t="s">
        <v>490</v>
      </c>
      <c r="P1169" s="16">
        <v>0</v>
      </c>
      <c r="Q1169" s="16">
        <v>0</v>
      </c>
      <c r="R1169" s="5" t="str">
        <f t="shared" si="188"/>
        <v>302-2024-12-31</v>
      </c>
    </row>
    <row r="1170" spans="1:18" x14ac:dyDescent="0.3">
      <c r="A1170" s="26">
        <v>303</v>
      </c>
      <c r="B1170" s="5" t="s">
        <v>188</v>
      </c>
      <c r="C1170" s="5" t="s">
        <v>189</v>
      </c>
      <c r="D1170" s="5" t="s">
        <v>8</v>
      </c>
      <c r="E1170" s="5" t="s">
        <v>9</v>
      </c>
      <c r="F1170" s="17">
        <v>45107</v>
      </c>
      <c r="G1170" s="5">
        <f t="shared" si="190"/>
        <v>2023</v>
      </c>
      <c r="H1170" s="5" t="str">
        <f t="shared" si="191"/>
        <v>Junio</v>
      </c>
      <c r="I1170" s="6" t="str">
        <f t="shared" si="187"/>
        <v>2023-1</v>
      </c>
      <c r="J1170" s="5">
        <v>100</v>
      </c>
      <c r="K1170" s="9">
        <v>75.760000000000005</v>
      </c>
      <c r="L1170" s="8">
        <f>IFERROR(K1170/J1170,"")</f>
        <v>0.75760000000000005</v>
      </c>
      <c r="M1170" s="15">
        <f t="shared" si="193"/>
        <v>0.75760000000000005</v>
      </c>
      <c r="N1170" s="5" t="s">
        <v>347</v>
      </c>
      <c r="O1170" s="5" t="s">
        <v>347</v>
      </c>
      <c r="P1170" s="16">
        <v>0</v>
      </c>
      <c r="Q1170" s="16">
        <v>0</v>
      </c>
      <c r="R1170" s="5" t="str">
        <f t="shared" si="188"/>
        <v>303-2023-06-30</v>
      </c>
    </row>
    <row r="1171" spans="1:18" x14ac:dyDescent="0.3">
      <c r="A1171" s="39">
        <v>303</v>
      </c>
      <c r="B1171" s="5" t="s">
        <v>188</v>
      </c>
      <c r="C1171" s="5" t="s">
        <v>189</v>
      </c>
      <c r="D1171" s="5" t="s">
        <v>8</v>
      </c>
      <c r="E1171" s="5" t="s">
        <v>9</v>
      </c>
      <c r="F1171" s="6">
        <v>45291</v>
      </c>
      <c r="G1171" s="5">
        <f t="shared" si="190"/>
        <v>2023</v>
      </c>
      <c r="H1171" s="5" t="str">
        <f t="shared" si="191"/>
        <v>Diciembre</v>
      </c>
      <c r="I1171" s="6" t="str">
        <f t="shared" si="187"/>
        <v>2023-2</v>
      </c>
      <c r="J1171" s="5">
        <v>100</v>
      </c>
      <c r="K1171" s="9">
        <v>79.55</v>
      </c>
      <c r="L1171" s="8">
        <f>IFERROR(K1171/J1171,"")</f>
        <v>0.79549999999999998</v>
      </c>
      <c r="M1171" s="15">
        <f t="shared" si="193"/>
        <v>0.79549999999999998</v>
      </c>
      <c r="N1171" s="5" t="s">
        <v>347</v>
      </c>
      <c r="O1171" s="5" t="s">
        <v>347</v>
      </c>
      <c r="P1171" s="16">
        <v>0</v>
      </c>
      <c r="Q1171" s="16">
        <v>0</v>
      </c>
      <c r="R1171" s="5" t="str">
        <f t="shared" si="188"/>
        <v>303-2023-12-31</v>
      </c>
    </row>
    <row r="1172" spans="1:18" x14ac:dyDescent="0.3">
      <c r="A1172" s="5">
        <v>303</v>
      </c>
      <c r="B1172" s="5" t="s">
        <v>188</v>
      </c>
      <c r="C1172" s="5" t="s">
        <v>189</v>
      </c>
      <c r="D1172" s="5" t="s">
        <v>8</v>
      </c>
      <c r="E1172" s="5" t="s">
        <v>9</v>
      </c>
      <c r="F1172" s="6">
        <v>45473</v>
      </c>
      <c r="G1172" s="5">
        <f t="shared" si="190"/>
        <v>2024</v>
      </c>
      <c r="H1172" s="5" t="str">
        <f t="shared" si="191"/>
        <v>Junio</v>
      </c>
      <c r="I1172" s="6" t="str">
        <f t="shared" si="187"/>
        <v>2024-1</v>
      </c>
      <c r="J1172" s="5">
        <v>95</v>
      </c>
      <c r="K1172" s="5">
        <v>100</v>
      </c>
      <c r="L1172" s="15">
        <f>IFERROR(IF((K1172/J1172)&gt;1.3,1.3,K1172/J1172),"")</f>
        <v>1.0526315789473684</v>
      </c>
      <c r="M1172" s="15">
        <f t="shared" si="193"/>
        <v>1.0526315789473684</v>
      </c>
      <c r="N1172" s="5" t="s">
        <v>347</v>
      </c>
      <c r="O1172" s="5" t="s">
        <v>347</v>
      </c>
      <c r="P1172" s="5">
        <v>0</v>
      </c>
      <c r="Q1172" s="5">
        <v>0</v>
      </c>
      <c r="R1172" s="5" t="str">
        <f t="shared" si="188"/>
        <v>303-2024-06-30</v>
      </c>
    </row>
    <row r="1173" spans="1:18" x14ac:dyDescent="0.3">
      <c r="A1173" s="26">
        <v>303</v>
      </c>
      <c r="B1173" s="5" t="s">
        <v>188</v>
      </c>
      <c r="C1173" s="5" t="s">
        <v>189</v>
      </c>
      <c r="D1173" s="5" t="s">
        <v>8</v>
      </c>
      <c r="E1173" s="5" t="s">
        <v>9</v>
      </c>
      <c r="F1173" s="6">
        <v>45657</v>
      </c>
      <c r="G1173" s="5">
        <f t="shared" si="190"/>
        <v>2024</v>
      </c>
      <c r="H1173" s="5" t="str">
        <f t="shared" si="191"/>
        <v>Diciembre</v>
      </c>
      <c r="I1173" s="6" t="str">
        <f t="shared" si="187"/>
        <v>2024-2</v>
      </c>
      <c r="J1173" s="5">
        <v>95</v>
      </c>
      <c r="K1173" s="10">
        <v>95.652173913043399</v>
      </c>
      <c r="L1173" s="15">
        <f>IFERROR(IF((K1173/J1173)&gt;1.3,1.3,K1173/J1173),"")</f>
        <v>1.0068649885583516</v>
      </c>
      <c r="M1173" s="15">
        <f t="shared" si="193"/>
        <v>1.0068649885583516</v>
      </c>
      <c r="N1173" s="5" t="s">
        <v>347</v>
      </c>
      <c r="O1173" s="5" t="s">
        <v>347</v>
      </c>
      <c r="P1173" s="16">
        <v>0</v>
      </c>
      <c r="Q1173" s="16">
        <v>0</v>
      </c>
      <c r="R1173" s="5" t="str">
        <f t="shared" si="188"/>
        <v>303-2024-12-31</v>
      </c>
    </row>
    <row r="1174" spans="1:18" x14ac:dyDescent="0.3">
      <c r="A1174" s="26">
        <v>304</v>
      </c>
      <c r="B1174" s="5" t="s">
        <v>190</v>
      </c>
      <c r="C1174" s="5" t="s">
        <v>189</v>
      </c>
      <c r="D1174" s="5" t="s">
        <v>8</v>
      </c>
      <c r="E1174" s="5" t="s">
        <v>9</v>
      </c>
      <c r="F1174" s="17">
        <v>45107</v>
      </c>
      <c r="G1174" s="5">
        <f t="shared" si="190"/>
        <v>2023</v>
      </c>
      <c r="H1174" s="5" t="str">
        <f t="shared" si="191"/>
        <v>Junio</v>
      </c>
      <c r="I1174" s="6" t="str">
        <f t="shared" si="187"/>
        <v>2023-1</v>
      </c>
      <c r="J1174" s="5">
        <v>1863</v>
      </c>
      <c r="K1174" s="9">
        <v>3537</v>
      </c>
      <c r="L1174" s="8">
        <f>IF(IFERROR(K1174/J1174,"")&gt;130%,130%,K1174/J1174)</f>
        <v>1.3</v>
      </c>
      <c r="M1174" s="15">
        <f t="shared" si="193"/>
        <v>1.8985507246376812</v>
      </c>
      <c r="N1174" s="5" t="s">
        <v>490</v>
      </c>
      <c r="O1174" s="5" t="s">
        <v>490</v>
      </c>
      <c r="P1174" s="16">
        <v>0</v>
      </c>
      <c r="Q1174" s="16">
        <v>0</v>
      </c>
      <c r="R1174" s="5" t="str">
        <f t="shared" si="188"/>
        <v>304-2023-06-30</v>
      </c>
    </row>
    <row r="1175" spans="1:18" x14ac:dyDescent="0.3">
      <c r="A1175" s="39">
        <v>304</v>
      </c>
      <c r="B1175" s="5" t="s">
        <v>190</v>
      </c>
      <c r="C1175" s="5" t="s">
        <v>189</v>
      </c>
      <c r="D1175" s="5" t="s">
        <v>8</v>
      </c>
      <c r="E1175" s="5" t="s">
        <v>9</v>
      </c>
      <c r="F1175" s="6">
        <v>45291</v>
      </c>
      <c r="G1175" s="5">
        <f t="shared" si="190"/>
        <v>2023</v>
      </c>
      <c r="H1175" s="5" t="str">
        <f t="shared" si="191"/>
        <v>Diciembre</v>
      </c>
      <c r="I1175" s="6" t="str">
        <f t="shared" si="187"/>
        <v>2023-2</v>
      </c>
      <c r="J1175" s="5">
        <v>1863</v>
      </c>
      <c r="K1175" s="9">
        <v>3285</v>
      </c>
      <c r="L1175" s="8">
        <f>IF(IFERROR(K1175/J1175,"")&gt;130%,130%,K1175/J1175)</f>
        <v>1.3</v>
      </c>
      <c r="M1175" s="15">
        <f t="shared" si="193"/>
        <v>1.7632850241545894</v>
      </c>
      <c r="N1175" s="5" t="s">
        <v>490</v>
      </c>
      <c r="O1175" s="5" t="s">
        <v>490</v>
      </c>
      <c r="P1175" s="16">
        <v>0</v>
      </c>
      <c r="Q1175" s="16">
        <v>0</v>
      </c>
      <c r="R1175" s="5" t="str">
        <f t="shared" si="188"/>
        <v>304-2023-12-31</v>
      </c>
    </row>
    <row r="1176" spans="1:18" x14ac:dyDescent="0.3">
      <c r="A1176" s="5">
        <v>304</v>
      </c>
      <c r="B1176" s="5" t="s">
        <v>190</v>
      </c>
      <c r="C1176" s="5" t="s">
        <v>189</v>
      </c>
      <c r="D1176" s="5" t="s">
        <v>8</v>
      </c>
      <c r="E1176" s="5" t="s">
        <v>9</v>
      </c>
      <c r="F1176" s="6">
        <v>45473</v>
      </c>
      <c r="G1176" s="5">
        <f t="shared" si="190"/>
        <v>2024</v>
      </c>
      <c r="H1176" s="5" t="str">
        <f t="shared" si="191"/>
        <v>Junio</v>
      </c>
      <c r="I1176" s="6" t="str">
        <f t="shared" si="187"/>
        <v>2024-1</v>
      </c>
      <c r="J1176" s="5">
        <v>3400</v>
      </c>
      <c r="K1176" s="5">
        <v>3404</v>
      </c>
      <c r="L1176" s="8">
        <f>IF(IFERROR(K1176/J1176,"")&gt;130%,130%,K1176/J1176)</f>
        <v>1.0011764705882353</v>
      </c>
      <c r="M1176" s="15">
        <f t="shared" si="193"/>
        <v>1.0011764705882353</v>
      </c>
      <c r="N1176" s="5" t="s">
        <v>490</v>
      </c>
      <c r="O1176" s="5" t="s">
        <v>490</v>
      </c>
      <c r="P1176" s="5">
        <v>0</v>
      </c>
      <c r="Q1176" s="5">
        <v>0</v>
      </c>
      <c r="R1176" s="5" t="str">
        <f t="shared" si="188"/>
        <v>304-2024-06-30</v>
      </c>
    </row>
    <row r="1177" spans="1:18" x14ac:dyDescent="0.3">
      <c r="A1177" s="26">
        <v>304</v>
      </c>
      <c r="B1177" s="5" t="s">
        <v>190</v>
      </c>
      <c r="C1177" s="5" t="s">
        <v>189</v>
      </c>
      <c r="D1177" s="5" t="s">
        <v>8</v>
      </c>
      <c r="E1177" s="5" t="s">
        <v>9</v>
      </c>
      <c r="F1177" s="6">
        <v>45657</v>
      </c>
      <c r="G1177" s="5">
        <f t="shared" si="190"/>
        <v>2024</v>
      </c>
      <c r="H1177" s="5" t="str">
        <f t="shared" si="191"/>
        <v>Diciembre</v>
      </c>
      <c r="I1177" s="6" t="str">
        <f t="shared" si="187"/>
        <v>2024-2</v>
      </c>
      <c r="J1177" s="5">
        <v>3400</v>
      </c>
      <c r="K1177" s="10">
        <v>2841</v>
      </c>
      <c r="L1177" s="15">
        <f>IFERROR(IF((K1177/J1177)&gt;1.3,1.3,K1177/J1177),"")</f>
        <v>0.83558823529411763</v>
      </c>
      <c r="M1177" s="15">
        <f t="shared" ref="M1177:M1183" si="194">IFERROR(IF((K1177/J1177)&gt;K1177/J1177,1.3,K1177/J1177),"")</f>
        <v>0.83558823529411763</v>
      </c>
      <c r="N1177" s="5" t="s">
        <v>490</v>
      </c>
      <c r="O1177" s="5" t="s">
        <v>490</v>
      </c>
      <c r="P1177" s="16">
        <v>0</v>
      </c>
      <c r="Q1177" s="16">
        <v>0</v>
      </c>
      <c r="R1177" s="5" t="str">
        <f t="shared" si="188"/>
        <v>304-2024-12-31</v>
      </c>
    </row>
    <row r="1178" spans="1:18" x14ac:dyDescent="0.3">
      <c r="A1178" s="26">
        <v>305</v>
      </c>
      <c r="B1178" s="5" t="s">
        <v>191</v>
      </c>
      <c r="C1178" s="5" t="s">
        <v>189</v>
      </c>
      <c r="D1178" s="5" t="s">
        <v>25</v>
      </c>
      <c r="E1178" s="5" t="s">
        <v>9</v>
      </c>
      <c r="F1178" s="6">
        <v>45291</v>
      </c>
      <c r="G1178" s="5">
        <f t="shared" si="190"/>
        <v>2023</v>
      </c>
      <c r="H1178" s="5" t="str">
        <f t="shared" si="191"/>
        <v>Diciembre</v>
      </c>
      <c r="I1178" s="6" t="str">
        <f t="shared" si="187"/>
        <v>2023-2</v>
      </c>
      <c r="J1178" s="5">
        <v>100</v>
      </c>
      <c r="K1178" s="9">
        <v>100</v>
      </c>
      <c r="L1178" s="8">
        <f>IFERROR(K1178/J1178,"")</f>
        <v>1</v>
      </c>
      <c r="M1178" s="15">
        <f t="shared" si="194"/>
        <v>1</v>
      </c>
      <c r="N1178" s="5" t="s">
        <v>347</v>
      </c>
      <c r="O1178" s="5" t="s">
        <v>347</v>
      </c>
      <c r="P1178" s="16">
        <v>0</v>
      </c>
      <c r="Q1178" s="16">
        <v>0</v>
      </c>
      <c r="R1178" s="5" t="str">
        <f t="shared" si="188"/>
        <v>305-2023-12-31</v>
      </c>
    </row>
    <row r="1179" spans="1:18" x14ac:dyDescent="0.3">
      <c r="A1179" s="26">
        <v>305</v>
      </c>
      <c r="B1179" s="5" t="s">
        <v>191</v>
      </c>
      <c r="C1179" s="5" t="s">
        <v>189</v>
      </c>
      <c r="D1179" s="5" t="s">
        <v>25</v>
      </c>
      <c r="E1179" s="5" t="s">
        <v>9</v>
      </c>
      <c r="F1179" s="6">
        <v>45657</v>
      </c>
      <c r="G1179" s="5">
        <f t="shared" si="190"/>
        <v>2024</v>
      </c>
      <c r="H1179" s="5" t="str">
        <f t="shared" si="191"/>
        <v>Diciembre</v>
      </c>
      <c r="I1179" s="6" t="str">
        <f t="shared" si="187"/>
        <v>2024-2</v>
      </c>
      <c r="J1179" s="5">
        <v>100</v>
      </c>
      <c r="K1179" s="10">
        <v>100</v>
      </c>
      <c r="L1179" s="15">
        <f>IFERROR(IF((K1179/J1179)&gt;1.3,1.3,K1179/J1179),"")</f>
        <v>1</v>
      </c>
      <c r="M1179" s="15">
        <f t="shared" si="194"/>
        <v>1</v>
      </c>
      <c r="N1179" s="5" t="s">
        <v>347</v>
      </c>
      <c r="O1179" s="5" t="s">
        <v>347</v>
      </c>
      <c r="P1179" s="16">
        <v>0</v>
      </c>
      <c r="Q1179" s="16">
        <v>0</v>
      </c>
      <c r="R1179" s="5" t="str">
        <f t="shared" si="188"/>
        <v>305-2024-12-31</v>
      </c>
    </row>
    <row r="1180" spans="1:18" x14ac:dyDescent="0.3">
      <c r="A1180" s="26">
        <v>306</v>
      </c>
      <c r="B1180" s="5" t="s">
        <v>192</v>
      </c>
      <c r="C1180" s="5" t="s">
        <v>134</v>
      </c>
      <c r="D1180" s="5" t="s">
        <v>11</v>
      </c>
      <c r="E1180" s="5" t="s">
        <v>9</v>
      </c>
      <c r="F1180" s="6">
        <v>45107</v>
      </c>
      <c r="G1180" s="5">
        <f t="shared" si="190"/>
        <v>2023</v>
      </c>
      <c r="H1180" s="5" t="str">
        <f t="shared" si="191"/>
        <v>Junio</v>
      </c>
      <c r="I1180" s="6" t="str">
        <f t="shared" si="187"/>
        <v>2023-1</v>
      </c>
      <c r="J1180" s="5">
        <v>100</v>
      </c>
      <c r="K1180" s="9">
        <v>120.5</v>
      </c>
      <c r="L1180" s="8">
        <f>IFERROR(K1180/J1180,"")</f>
        <v>1.2050000000000001</v>
      </c>
      <c r="M1180" s="15">
        <f t="shared" si="194"/>
        <v>1.2050000000000001</v>
      </c>
      <c r="N1180" s="5" t="s">
        <v>347</v>
      </c>
      <c r="O1180" s="5" t="s">
        <v>347</v>
      </c>
      <c r="P1180" s="16">
        <v>0</v>
      </c>
      <c r="Q1180" s="16">
        <v>0</v>
      </c>
      <c r="R1180" s="5" t="str">
        <f t="shared" si="188"/>
        <v>306-2023-06-30</v>
      </c>
    </row>
    <row r="1181" spans="1:18" x14ac:dyDescent="0.3">
      <c r="A1181" s="43">
        <v>306</v>
      </c>
      <c r="B1181" s="5" t="s">
        <v>192</v>
      </c>
      <c r="C1181" s="5" t="s">
        <v>134</v>
      </c>
      <c r="D1181" s="5" t="s">
        <v>11</v>
      </c>
      <c r="E1181" s="5" t="s">
        <v>9</v>
      </c>
      <c r="F1181" s="6">
        <v>45199</v>
      </c>
      <c r="G1181" s="5">
        <f t="shared" si="190"/>
        <v>2023</v>
      </c>
      <c r="H1181" s="5" t="str">
        <f t="shared" si="191"/>
        <v>Septiembre</v>
      </c>
      <c r="I1181" s="6" t="str">
        <f t="shared" si="187"/>
        <v>2023-2</v>
      </c>
      <c r="J1181" s="5">
        <v>100</v>
      </c>
      <c r="K1181" s="9">
        <v>103.17</v>
      </c>
      <c r="L1181" s="8">
        <f>IFERROR(K1181/J1181,"")</f>
        <v>1.0317000000000001</v>
      </c>
      <c r="M1181" s="15">
        <f t="shared" si="194"/>
        <v>1.0317000000000001</v>
      </c>
      <c r="N1181" s="5" t="s">
        <v>347</v>
      </c>
      <c r="O1181" s="5" t="s">
        <v>347</v>
      </c>
      <c r="P1181" s="16">
        <v>0</v>
      </c>
      <c r="Q1181" s="16">
        <v>0</v>
      </c>
      <c r="R1181" s="5" t="str">
        <f t="shared" si="188"/>
        <v>306-2023-09-30</v>
      </c>
    </row>
    <row r="1182" spans="1:18" x14ac:dyDescent="0.3">
      <c r="A1182" s="39">
        <v>306</v>
      </c>
      <c r="B1182" s="5" t="s">
        <v>192</v>
      </c>
      <c r="C1182" s="5" t="s">
        <v>134</v>
      </c>
      <c r="D1182" s="5" t="s">
        <v>11</v>
      </c>
      <c r="E1182" s="5" t="s">
        <v>9</v>
      </c>
      <c r="F1182" s="6">
        <v>45291</v>
      </c>
      <c r="G1182" s="5">
        <f t="shared" si="190"/>
        <v>2023</v>
      </c>
      <c r="H1182" s="5" t="str">
        <f t="shared" si="191"/>
        <v>Diciembre</v>
      </c>
      <c r="I1182" s="6" t="str">
        <f t="shared" si="187"/>
        <v>2023-2</v>
      </c>
      <c r="J1182" s="5">
        <v>100</v>
      </c>
      <c r="K1182" s="9">
        <v>104.5</v>
      </c>
      <c r="L1182" s="8">
        <f>IFERROR(K1182/J1182,"")</f>
        <v>1.0449999999999999</v>
      </c>
      <c r="M1182" s="15">
        <f t="shared" si="194"/>
        <v>1.0449999999999999</v>
      </c>
      <c r="N1182" s="5" t="s">
        <v>347</v>
      </c>
      <c r="O1182" s="5" t="s">
        <v>347</v>
      </c>
      <c r="P1182" s="16">
        <v>0</v>
      </c>
      <c r="Q1182" s="16">
        <v>0</v>
      </c>
      <c r="R1182" s="5" t="str">
        <f t="shared" si="188"/>
        <v>306-2023-12-31</v>
      </c>
    </row>
    <row r="1183" spans="1:18" x14ac:dyDescent="0.3">
      <c r="A1183" s="26">
        <v>306</v>
      </c>
      <c r="B1183" s="5" t="s">
        <v>192</v>
      </c>
      <c r="C1183" s="5" t="s">
        <v>134</v>
      </c>
      <c r="D1183" s="5" t="s">
        <v>11</v>
      </c>
      <c r="E1183" s="5" t="s">
        <v>9</v>
      </c>
      <c r="F1183" s="6">
        <v>45382</v>
      </c>
      <c r="G1183" s="5">
        <f t="shared" si="190"/>
        <v>2024</v>
      </c>
      <c r="H1183" s="5" t="str">
        <f t="shared" si="191"/>
        <v>Marzo</v>
      </c>
      <c r="I1183" s="6" t="str">
        <f t="shared" si="187"/>
        <v>2024-1</v>
      </c>
      <c r="J1183" s="5">
        <v>100</v>
      </c>
      <c r="K1183" s="10">
        <v>0</v>
      </c>
      <c r="L1183" s="15">
        <f>IFERROR(IF((K1183/J1183)&gt;1.3,1.3,K1183/J1183),"")</f>
        <v>0</v>
      </c>
      <c r="M1183" s="15">
        <f t="shared" si="194"/>
        <v>0</v>
      </c>
      <c r="N1183" s="5" t="s">
        <v>347</v>
      </c>
      <c r="O1183" s="5" t="s">
        <v>347</v>
      </c>
      <c r="P1183" s="16">
        <v>0</v>
      </c>
      <c r="Q1183" s="16">
        <v>0</v>
      </c>
      <c r="R1183" s="5" t="str">
        <f t="shared" si="188"/>
        <v>306-2024-03-31</v>
      </c>
    </row>
    <row r="1184" spans="1:18" x14ac:dyDescent="0.3">
      <c r="A1184" s="5">
        <v>306</v>
      </c>
      <c r="B1184" s="5" t="s">
        <v>192</v>
      </c>
      <c r="C1184" s="5" t="s">
        <v>134</v>
      </c>
      <c r="D1184" s="5" t="s">
        <v>11</v>
      </c>
      <c r="E1184" s="5" t="s">
        <v>9</v>
      </c>
      <c r="F1184" s="6">
        <v>45473</v>
      </c>
      <c r="G1184" s="5">
        <f t="shared" si="190"/>
        <v>2024</v>
      </c>
      <c r="H1184" s="5" t="str">
        <f t="shared" si="191"/>
        <v>Junio</v>
      </c>
      <c r="I1184" s="6" t="str">
        <f t="shared" si="187"/>
        <v>2024-1</v>
      </c>
      <c r="J1184" s="5">
        <v>100</v>
      </c>
      <c r="K1184" s="5" t="s">
        <v>715</v>
      </c>
      <c r="L1184" s="15" t="s">
        <v>417</v>
      </c>
      <c r="M1184" s="15" t="s">
        <v>417</v>
      </c>
      <c r="N1184" s="5" t="s">
        <v>347</v>
      </c>
      <c r="O1184" s="5" t="s">
        <v>347</v>
      </c>
      <c r="P1184" s="5">
        <v>0</v>
      </c>
      <c r="Q1184" s="5">
        <v>0</v>
      </c>
      <c r="R1184" s="5" t="str">
        <f t="shared" si="188"/>
        <v>306-2024-06-30</v>
      </c>
    </row>
    <row r="1185" spans="1:18" x14ac:dyDescent="0.3">
      <c r="A1185" s="26">
        <v>306</v>
      </c>
      <c r="B1185" s="5" t="s">
        <v>192</v>
      </c>
      <c r="C1185" s="5" t="s">
        <v>134</v>
      </c>
      <c r="D1185" s="5" t="s">
        <v>11</v>
      </c>
      <c r="E1185" s="5" t="s">
        <v>9</v>
      </c>
      <c r="F1185" s="6">
        <v>45565</v>
      </c>
      <c r="G1185" s="5">
        <f t="shared" si="190"/>
        <v>2024</v>
      </c>
      <c r="H1185" s="5" t="str">
        <f t="shared" si="191"/>
        <v>Septiembre</v>
      </c>
      <c r="I1185" s="6" t="str">
        <f t="shared" si="187"/>
        <v>2024-2</v>
      </c>
      <c r="J1185" s="5">
        <v>100</v>
      </c>
      <c r="K1185" s="10">
        <v>0</v>
      </c>
      <c r="L1185" s="15">
        <f>IFERROR(IF((K1185/J1185)&gt;1.3,1.3,K1185/J1185),"")</f>
        <v>0</v>
      </c>
      <c r="M1185" s="15">
        <f>IFERROR(IF((K1185/J1185)&gt;K1185/J1185,1.3,K1185/J1185),"")</f>
        <v>0</v>
      </c>
      <c r="N1185" s="5" t="s">
        <v>347</v>
      </c>
      <c r="O1185" s="5" t="s">
        <v>347</v>
      </c>
      <c r="P1185" s="16">
        <v>0</v>
      </c>
      <c r="Q1185" s="16">
        <v>0</v>
      </c>
      <c r="R1185" s="5" t="str">
        <f t="shared" si="188"/>
        <v>306-2024-09-30</v>
      </c>
    </row>
    <row r="1186" spans="1:18" x14ac:dyDescent="0.3">
      <c r="A1186" s="26">
        <v>306</v>
      </c>
      <c r="B1186" s="5" t="s">
        <v>192</v>
      </c>
      <c r="C1186" s="5" t="s">
        <v>134</v>
      </c>
      <c r="D1186" s="5" t="s">
        <v>11</v>
      </c>
      <c r="E1186" s="5" t="s">
        <v>9</v>
      </c>
      <c r="F1186" s="6">
        <v>45657</v>
      </c>
      <c r="G1186" s="5">
        <f t="shared" si="190"/>
        <v>2024</v>
      </c>
      <c r="H1186" s="5" t="str">
        <f t="shared" si="191"/>
        <v>Diciembre</v>
      </c>
      <c r="I1186" s="6" t="str">
        <f t="shared" si="187"/>
        <v>2024-2</v>
      </c>
      <c r="J1186" s="5">
        <v>100</v>
      </c>
      <c r="K1186" s="10">
        <v>0</v>
      </c>
      <c r="L1186" s="15">
        <f>IFERROR(IF((K1186/J1186)&gt;1.3,1.3,K1186/J1186),"")</f>
        <v>0</v>
      </c>
      <c r="M1186" s="15">
        <f>IFERROR(IF((K1186/J1186)&gt;K1186/J1186,1.3,K1186/J1186),"")</f>
        <v>0</v>
      </c>
      <c r="N1186" s="5" t="s">
        <v>347</v>
      </c>
      <c r="O1186" s="5" t="s">
        <v>347</v>
      </c>
      <c r="P1186" s="16">
        <v>0</v>
      </c>
      <c r="Q1186" s="16">
        <v>0</v>
      </c>
      <c r="R1186" s="5" t="str">
        <f t="shared" si="188"/>
        <v>306-2024-12-31</v>
      </c>
    </row>
    <row r="1187" spans="1:18" x14ac:dyDescent="0.3">
      <c r="A1187" s="26">
        <v>307</v>
      </c>
      <c r="B1187" s="5" t="s">
        <v>193</v>
      </c>
      <c r="C1187" s="5" t="s">
        <v>53</v>
      </c>
      <c r="D1187" s="5" t="s">
        <v>8</v>
      </c>
      <c r="E1187" s="5" t="s">
        <v>9</v>
      </c>
      <c r="F1187" s="17">
        <v>45107</v>
      </c>
      <c r="G1187" s="5">
        <f t="shared" si="190"/>
        <v>2023</v>
      </c>
      <c r="H1187" s="5" t="str">
        <f t="shared" si="191"/>
        <v>Junio</v>
      </c>
      <c r="I1187" s="6" t="str">
        <f t="shared" si="187"/>
        <v>2023-1</v>
      </c>
      <c r="J1187" s="5">
        <v>20</v>
      </c>
      <c r="K1187" s="9">
        <v>25</v>
      </c>
      <c r="L1187" s="8">
        <f>IF(IFERROR(K1187/J1187,"")&gt;130%,130%,K1187/J1187)</f>
        <v>1.25</v>
      </c>
      <c r="M1187" s="15">
        <f>IFERROR(IF((K1187/J1187)&gt;K1187/J1187,1.3,K1187/J1187),"")</f>
        <v>1.25</v>
      </c>
      <c r="N1187" s="5" t="s">
        <v>347</v>
      </c>
      <c r="O1187" s="5" t="s">
        <v>347</v>
      </c>
      <c r="P1187" s="16">
        <v>0</v>
      </c>
      <c r="Q1187" s="16">
        <v>0</v>
      </c>
      <c r="R1187" s="5" t="str">
        <f t="shared" si="188"/>
        <v>307-2023-06-30</v>
      </c>
    </row>
    <row r="1188" spans="1:18" x14ac:dyDescent="0.3">
      <c r="A1188" s="39">
        <v>307</v>
      </c>
      <c r="B1188" s="5" t="s">
        <v>193</v>
      </c>
      <c r="C1188" s="5" t="s">
        <v>53</v>
      </c>
      <c r="D1188" s="5" t="s">
        <v>8</v>
      </c>
      <c r="E1188" s="5" t="s">
        <v>9</v>
      </c>
      <c r="F1188" s="6">
        <v>45291</v>
      </c>
      <c r="G1188" s="5">
        <f t="shared" si="190"/>
        <v>2023</v>
      </c>
      <c r="H1188" s="5" t="str">
        <f t="shared" si="191"/>
        <v>Diciembre</v>
      </c>
      <c r="I1188" s="6" t="str">
        <f t="shared" si="187"/>
        <v>2023-2</v>
      </c>
      <c r="J1188" s="5">
        <v>26</v>
      </c>
      <c r="K1188" s="9">
        <v>82</v>
      </c>
      <c r="L1188" s="8">
        <f>IFERROR(K1188/J1188,"")</f>
        <v>3.1538461538461537</v>
      </c>
      <c r="M1188" s="15">
        <f>IFERROR(IF((K1188/J1188)&gt;K1188/J1188,1.3,K1188/J1188),"")</f>
        <v>3.1538461538461537</v>
      </c>
      <c r="N1188" s="5" t="s">
        <v>347</v>
      </c>
      <c r="O1188" s="5" t="s">
        <v>347</v>
      </c>
      <c r="P1188" s="16">
        <v>0</v>
      </c>
      <c r="Q1188" s="16">
        <v>0</v>
      </c>
      <c r="R1188" s="5" t="str">
        <f t="shared" si="188"/>
        <v>307-2023-12-31</v>
      </c>
    </row>
    <row r="1189" spans="1:18" x14ac:dyDescent="0.3">
      <c r="A1189" s="5">
        <v>307</v>
      </c>
      <c r="B1189" s="5" t="s">
        <v>193</v>
      </c>
      <c r="C1189" s="5" t="s">
        <v>53</v>
      </c>
      <c r="D1189" s="5" t="s">
        <v>8</v>
      </c>
      <c r="E1189" s="5" t="s">
        <v>9</v>
      </c>
      <c r="F1189" s="6">
        <v>45473</v>
      </c>
      <c r="G1189" s="5">
        <f t="shared" si="190"/>
        <v>2024</v>
      </c>
      <c r="H1189" s="5" t="str">
        <f t="shared" si="191"/>
        <v>Junio</v>
      </c>
      <c r="I1189" s="6" t="str">
        <f t="shared" si="187"/>
        <v>2024-1</v>
      </c>
      <c r="J1189" s="5">
        <v>100</v>
      </c>
      <c r="K1189" s="5">
        <v>112</v>
      </c>
      <c r="L1189" s="15">
        <v>1.1200000000000001</v>
      </c>
      <c r="M1189" s="15">
        <v>1.1200000000000001</v>
      </c>
      <c r="N1189" s="5" t="s">
        <v>490</v>
      </c>
      <c r="O1189" s="5" t="s">
        <v>490</v>
      </c>
      <c r="P1189" s="5">
        <v>0</v>
      </c>
      <c r="Q1189" s="5">
        <v>0</v>
      </c>
      <c r="R1189" s="5" t="str">
        <f t="shared" si="188"/>
        <v>307-2024-06-30</v>
      </c>
    </row>
    <row r="1190" spans="1:18" x14ac:dyDescent="0.3">
      <c r="A1190" s="26">
        <v>307</v>
      </c>
      <c r="B1190" s="5" t="s">
        <v>193</v>
      </c>
      <c r="C1190" s="5" t="s">
        <v>53</v>
      </c>
      <c r="D1190" s="5" t="s">
        <v>8</v>
      </c>
      <c r="E1190" s="5" t="s">
        <v>9</v>
      </c>
      <c r="F1190" s="6">
        <v>45657</v>
      </c>
      <c r="G1190" s="5">
        <f t="shared" si="190"/>
        <v>2024</v>
      </c>
      <c r="H1190" s="5" t="str">
        <f t="shared" si="191"/>
        <v>Diciembre</v>
      </c>
      <c r="I1190" s="6" t="str">
        <f t="shared" si="187"/>
        <v>2024-2</v>
      </c>
      <c r="J1190" s="5">
        <v>100</v>
      </c>
      <c r="K1190" s="10">
        <v>413.33</v>
      </c>
      <c r="L1190" s="15">
        <f>IFERROR(IF((K1190/J1190)&gt;1.3,1.3,K1190/J1190),"")</f>
        <v>1.3</v>
      </c>
      <c r="M1190" s="15">
        <f>IFERROR(IF((K1190/J1190)&gt;K1190/J1190,1.3,K1190/J1190),"")</f>
        <v>4.1333000000000002</v>
      </c>
      <c r="N1190" s="5" t="s">
        <v>490</v>
      </c>
      <c r="O1190" s="5" t="s">
        <v>490</v>
      </c>
      <c r="P1190" s="16">
        <v>0</v>
      </c>
      <c r="Q1190" s="16">
        <v>0</v>
      </c>
      <c r="R1190" s="5" t="str">
        <f t="shared" si="188"/>
        <v>307-2024-12-31</v>
      </c>
    </row>
    <row r="1191" spans="1:18" x14ac:dyDescent="0.3">
      <c r="A1191" s="26">
        <v>308</v>
      </c>
      <c r="B1191" s="5" t="s">
        <v>194</v>
      </c>
      <c r="C1191" s="5" t="s">
        <v>53</v>
      </c>
      <c r="D1191" s="5" t="s">
        <v>8</v>
      </c>
      <c r="E1191" s="5" t="s">
        <v>9</v>
      </c>
      <c r="F1191" s="17">
        <v>45107</v>
      </c>
      <c r="G1191" s="5">
        <f t="shared" si="190"/>
        <v>2023</v>
      </c>
      <c r="H1191" s="5" t="str">
        <f t="shared" si="191"/>
        <v>Junio</v>
      </c>
      <c r="I1191" s="6" t="str">
        <f t="shared" si="187"/>
        <v>2023-1</v>
      </c>
      <c r="J1191" s="5">
        <v>12</v>
      </c>
      <c r="K1191" s="9">
        <v>27</v>
      </c>
      <c r="L1191" s="8">
        <f>IFERROR(K1191/J1191,"")</f>
        <v>2.25</v>
      </c>
      <c r="M1191" s="15">
        <f>IFERROR(IF((K1191/J1191)&gt;K1191/J1191,1.3,K1191/J1191),"")</f>
        <v>2.25</v>
      </c>
      <c r="N1191" s="5" t="s">
        <v>490</v>
      </c>
      <c r="O1191" s="5" t="s">
        <v>490</v>
      </c>
      <c r="P1191" s="16">
        <v>0</v>
      </c>
      <c r="Q1191" s="16">
        <v>0</v>
      </c>
      <c r="R1191" s="5" t="str">
        <f t="shared" si="188"/>
        <v>308-2023-06-30</v>
      </c>
    </row>
    <row r="1192" spans="1:18" x14ac:dyDescent="0.3">
      <c r="A1192" s="39">
        <v>308</v>
      </c>
      <c r="B1192" s="5" t="s">
        <v>194</v>
      </c>
      <c r="C1192" s="5" t="s">
        <v>53</v>
      </c>
      <c r="D1192" s="5" t="s">
        <v>8</v>
      </c>
      <c r="E1192" s="5" t="s">
        <v>9</v>
      </c>
      <c r="F1192" s="6">
        <v>45291</v>
      </c>
      <c r="G1192" s="5">
        <f t="shared" si="190"/>
        <v>2023</v>
      </c>
      <c r="H1192" s="5" t="str">
        <f t="shared" si="191"/>
        <v>Diciembre</v>
      </c>
      <c r="I1192" s="6" t="str">
        <f t="shared" si="187"/>
        <v>2023-2</v>
      </c>
      <c r="J1192" s="5">
        <v>20</v>
      </c>
      <c r="K1192" s="9">
        <v>54</v>
      </c>
      <c r="L1192" s="8">
        <f>IFERROR(K1192/J1192,"")</f>
        <v>2.7</v>
      </c>
      <c r="M1192" s="15">
        <f>IFERROR(IF((K1192/J1192)&gt;K1192/J1192,1.3,K1192/J1192),"")</f>
        <v>2.7</v>
      </c>
      <c r="N1192" s="5" t="s">
        <v>490</v>
      </c>
      <c r="O1192" s="5" t="s">
        <v>490</v>
      </c>
      <c r="P1192" s="16">
        <v>0</v>
      </c>
      <c r="Q1192" s="16">
        <v>0</v>
      </c>
      <c r="R1192" s="5" t="str">
        <f t="shared" si="188"/>
        <v>308-2023-12-31</v>
      </c>
    </row>
    <row r="1193" spans="1:18" x14ac:dyDescent="0.3">
      <c r="A1193" s="5">
        <v>308</v>
      </c>
      <c r="B1193" s="5" t="s">
        <v>194</v>
      </c>
      <c r="C1193" s="5" t="s">
        <v>53</v>
      </c>
      <c r="D1193" s="5" t="s">
        <v>8</v>
      </c>
      <c r="E1193" s="5" t="s">
        <v>9</v>
      </c>
      <c r="F1193" s="6">
        <v>45473</v>
      </c>
      <c r="G1193" s="5">
        <f t="shared" si="190"/>
        <v>2024</v>
      </c>
      <c r="H1193" s="5" t="str">
        <f t="shared" si="191"/>
        <v>Junio</v>
      </c>
      <c r="I1193" s="6" t="str">
        <f t="shared" si="187"/>
        <v>2024-1</v>
      </c>
      <c r="J1193" s="5">
        <v>100</v>
      </c>
      <c r="K1193" s="5">
        <v>100</v>
      </c>
      <c r="L1193" s="15">
        <v>1</v>
      </c>
      <c r="M1193" s="15">
        <v>1</v>
      </c>
      <c r="N1193" s="5" t="s">
        <v>490</v>
      </c>
      <c r="O1193" s="5" t="s">
        <v>490</v>
      </c>
      <c r="P1193" s="5">
        <v>0</v>
      </c>
      <c r="Q1193" s="5">
        <v>0</v>
      </c>
      <c r="R1193" s="5" t="str">
        <f t="shared" si="188"/>
        <v>308-2024-06-30</v>
      </c>
    </row>
    <row r="1194" spans="1:18" x14ac:dyDescent="0.3">
      <c r="A1194" s="26">
        <v>308</v>
      </c>
      <c r="B1194" s="5" t="s">
        <v>194</v>
      </c>
      <c r="C1194" s="5" t="s">
        <v>53</v>
      </c>
      <c r="D1194" s="5" t="s">
        <v>8</v>
      </c>
      <c r="E1194" s="5" t="s">
        <v>9</v>
      </c>
      <c r="F1194" s="6">
        <v>45657</v>
      </c>
      <c r="G1194" s="5">
        <f t="shared" si="190"/>
        <v>2024</v>
      </c>
      <c r="H1194" s="5" t="str">
        <f t="shared" si="191"/>
        <v>Diciembre</v>
      </c>
      <c r="I1194" s="6" t="str">
        <f t="shared" si="187"/>
        <v>2024-2</v>
      </c>
      <c r="J1194" s="5">
        <v>100</v>
      </c>
      <c r="K1194" s="10">
        <v>100</v>
      </c>
      <c r="L1194" s="15">
        <f>IFERROR(IF((K1194/J1194)&gt;1.3,1.3,K1194/J1194),"")</f>
        <v>1</v>
      </c>
      <c r="M1194" s="15">
        <f>IFERROR(IF((K1194/J1194)&gt;K1194/J1194,1.3,K1194/J1194),"")</f>
        <v>1</v>
      </c>
      <c r="N1194" s="5" t="s">
        <v>490</v>
      </c>
      <c r="O1194" s="5" t="s">
        <v>490</v>
      </c>
      <c r="P1194" s="16">
        <v>0</v>
      </c>
      <c r="Q1194" s="16">
        <v>0</v>
      </c>
      <c r="R1194" s="5" t="str">
        <f t="shared" si="188"/>
        <v>308-2024-12-31</v>
      </c>
    </row>
    <row r="1195" spans="1:18" x14ac:dyDescent="0.3">
      <c r="A1195" s="26">
        <v>309</v>
      </c>
      <c r="B1195" s="5" t="s">
        <v>195</v>
      </c>
      <c r="C1195" s="5" t="s">
        <v>53</v>
      </c>
      <c r="D1195" s="5" t="s">
        <v>8</v>
      </c>
      <c r="E1195" s="5" t="s">
        <v>9</v>
      </c>
      <c r="F1195" s="17">
        <v>45107</v>
      </c>
      <c r="G1195" s="5">
        <f t="shared" si="190"/>
        <v>2023</v>
      </c>
      <c r="H1195" s="5" t="str">
        <f t="shared" si="191"/>
        <v>Junio</v>
      </c>
      <c r="I1195" s="6" t="str">
        <f t="shared" si="187"/>
        <v>2023-1</v>
      </c>
      <c r="J1195" s="5">
        <v>19</v>
      </c>
      <c r="K1195" s="9">
        <v>27</v>
      </c>
      <c r="L1195" s="8">
        <f>IFERROR(K1195/J1195,"")</f>
        <v>1.4210526315789473</v>
      </c>
      <c r="M1195" s="15">
        <f>IFERROR(IF((K1195/J1195)&gt;K1195/J1195,1.3,K1195/J1195),"")</f>
        <v>1.4210526315789473</v>
      </c>
      <c r="N1195" s="5" t="s">
        <v>490</v>
      </c>
      <c r="O1195" s="5" t="s">
        <v>490</v>
      </c>
      <c r="P1195" s="16">
        <v>0</v>
      </c>
      <c r="Q1195" s="16">
        <v>0</v>
      </c>
      <c r="R1195" s="5" t="str">
        <f t="shared" si="188"/>
        <v>309-2023-06-30</v>
      </c>
    </row>
    <row r="1196" spans="1:18" x14ac:dyDescent="0.3">
      <c r="A1196" s="39">
        <v>309</v>
      </c>
      <c r="B1196" s="5" t="s">
        <v>195</v>
      </c>
      <c r="C1196" s="5" t="s">
        <v>53</v>
      </c>
      <c r="D1196" s="5" t="s">
        <v>8</v>
      </c>
      <c r="E1196" s="5" t="s">
        <v>9</v>
      </c>
      <c r="F1196" s="6">
        <v>45291</v>
      </c>
      <c r="G1196" s="5">
        <f t="shared" si="190"/>
        <v>2023</v>
      </c>
      <c r="H1196" s="5" t="str">
        <f t="shared" si="191"/>
        <v>Diciembre</v>
      </c>
      <c r="I1196" s="6" t="str">
        <f t="shared" ref="I1196:I1254" si="195">IF(OR(H1196="Enero",H1196="Febrero",H1196="Marzo",H1196="Abril",H1196="Mayo",H1196="Junio"),G1196&amp;"-1",IF(OR(H1196="Julio",H1196="Agosto",H1196="Septiembre",H1196="Octubre",H1196="Noviembre",H1196="Diciembre"),G1196&amp;"-2"))</f>
        <v>2023-2</v>
      </c>
      <c r="J1196" s="5">
        <v>45</v>
      </c>
      <c r="K1196" s="9">
        <v>76</v>
      </c>
      <c r="L1196" s="8">
        <f>IFERROR(K1196/J1196,"")</f>
        <v>1.6888888888888889</v>
      </c>
      <c r="M1196" s="15">
        <f>IFERROR(IF((K1196/J1196)&gt;K1196/J1196,1.3,K1196/J1196),"")</f>
        <v>1.6888888888888889</v>
      </c>
      <c r="N1196" s="5" t="s">
        <v>490</v>
      </c>
      <c r="O1196" s="5" t="s">
        <v>490</v>
      </c>
      <c r="P1196" s="16">
        <v>0</v>
      </c>
      <c r="Q1196" s="16">
        <v>0</v>
      </c>
      <c r="R1196" s="5" t="str">
        <f t="shared" ref="R1196:R1254" si="196">A1196&amp;"-"&amp;YEAR(F1196)&amp;"-"&amp;IF(LEN(MONTH(F1196))=1,"0"&amp;MONTH(F1196),MONTH(F1196))&amp;"-"&amp;DAY(F1196)</f>
        <v>309-2023-12-31</v>
      </c>
    </row>
    <row r="1197" spans="1:18" x14ac:dyDescent="0.3">
      <c r="A1197" s="5">
        <v>309</v>
      </c>
      <c r="B1197" s="5" t="s">
        <v>195</v>
      </c>
      <c r="C1197" s="5" t="s">
        <v>53</v>
      </c>
      <c r="D1197" s="5" t="s">
        <v>8</v>
      </c>
      <c r="E1197" s="5" t="s">
        <v>9</v>
      </c>
      <c r="F1197" s="6">
        <v>45473</v>
      </c>
      <c r="G1197" s="5">
        <f t="shared" si="190"/>
        <v>2024</v>
      </c>
      <c r="H1197" s="5" t="str">
        <f t="shared" si="191"/>
        <v>Junio</v>
      </c>
      <c r="I1197" s="6" t="str">
        <f t="shared" si="195"/>
        <v>2024-1</v>
      </c>
      <c r="J1197" s="5">
        <v>100</v>
      </c>
      <c r="K1197" s="5">
        <v>216</v>
      </c>
      <c r="L1197" s="15">
        <v>1.3</v>
      </c>
      <c r="M1197" s="15">
        <v>2.16</v>
      </c>
      <c r="N1197" s="5" t="s">
        <v>490</v>
      </c>
      <c r="O1197" s="5" t="s">
        <v>490</v>
      </c>
      <c r="P1197" s="5">
        <v>0</v>
      </c>
      <c r="Q1197" s="5">
        <v>0</v>
      </c>
      <c r="R1197" s="5" t="str">
        <f t="shared" si="196"/>
        <v>309-2024-06-30</v>
      </c>
    </row>
    <row r="1198" spans="1:18" x14ac:dyDescent="0.3">
      <c r="A1198" s="26">
        <v>309</v>
      </c>
      <c r="B1198" s="5" t="s">
        <v>730</v>
      </c>
      <c r="C1198" s="5" t="s">
        <v>53</v>
      </c>
      <c r="D1198" s="5" t="s">
        <v>8</v>
      </c>
      <c r="E1198" s="5" t="s">
        <v>9</v>
      </c>
      <c r="F1198" s="6">
        <v>45657</v>
      </c>
      <c r="G1198" s="5">
        <f t="shared" si="190"/>
        <v>2024</v>
      </c>
      <c r="H1198" s="5" t="str">
        <f t="shared" si="191"/>
        <v>Diciembre</v>
      </c>
      <c r="I1198" s="6" t="str">
        <f t="shared" si="195"/>
        <v>2024-2</v>
      </c>
      <c r="J1198" s="5">
        <v>100</v>
      </c>
      <c r="K1198" s="10">
        <v>154.66999999999999</v>
      </c>
      <c r="L1198" s="15">
        <f>IFERROR(IF((K1198/J1198)&gt;1.3,1.3,K1198/J1198),"")</f>
        <v>1.3</v>
      </c>
      <c r="M1198" s="15">
        <f>IFERROR(IF((K1198/J1198)&gt;K1198/J1198,1.3,K1198/J1198),"")</f>
        <v>1.5467</v>
      </c>
      <c r="N1198" s="5" t="s">
        <v>490</v>
      </c>
      <c r="O1198" s="5" t="s">
        <v>490</v>
      </c>
      <c r="P1198" s="16">
        <v>0</v>
      </c>
      <c r="Q1198" s="16">
        <v>0</v>
      </c>
      <c r="R1198" s="5" t="str">
        <f t="shared" si="196"/>
        <v>309-2024-12-31</v>
      </c>
    </row>
    <row r="1199" spans="1:18" x14ac:dyDescent="0.3">
      <c r="A1199" s="26">
        <v>310</v>
      </c>
      <c r="B1199" s="5" t="s">
        <v>196</v>
      </c>
      <c r="C1199" s="5" t="s">
        <v>53</v>
      </c>
      <c r="D1199" s="5" t="s">
        <v>8</v>
      </c>
      <c r="E1199" s="5" t="s">
        <v>9</v>
      </c>
      <c r="F1199" s="17">
        <v>45107</v>
      </c>
      <c r="G1199" s="5">
        <f t="shared" si="190"/>
        <v>2023</v>
      </c>
      <c r="H1199" s="5" t="str">
        <f t="shared" si="191"/>
        <v>Junio</v>
      </c>
      <c r="I1199" s="6" t="str">
        <f t="shared" si="195"/>
        <v>2023-1</v>
      </c>
      <c r="J1199" s="5">
        <v>14</v>
      </c>
      <c r="K1199" s="9">
        <v>48</v>
      </c>
      <c r="L1199" s="8">
        <f>IFERROR(K1199/J1199,"")</f>
        <v>3.4285714285714284</v>
      </c>
      <c r="M1199" s="15">
        <f>IFERROR(IF((K1199/J1199)&gt;K1199/J1199,1.3,K1199/J1199),"")</f>
        <v>3.4285714285714284</v>
      </c>
      <c r="N1199" s="5" t="s">
        <v>490</v>
      </c>
      <c r="O1199" s="5" t="s">
        <v>490</v>
      </c>
      <c r="P1199" s="16">
        <v>0</v>
      </c>
      <c r="Q1199" s="16">
        <v>0</v>
      </c>
      <c r="R1199" s="5" t="str">
        <f t="shared" si="196"/>
        <v>310-2023-06-30</v>
      </c>
    </row>
    <row r="1200" spans="1:18" x14ac:dyDescent="0.3">
      <c r="A1200" s="39">
        <v>310</v>
      </c>
      <c r="B1200" s="5" t="s">
        <v>196</v>
      </c>
      <c r="C1200" s="5" t="s">
        <v>53</v>
      </c>
      <c r="D1200" s="5" t="s">
        <v>8</v>
      </c>
      <c r="E1200" s="5" t="s">
        <v>9</v>
      </c>
      <c r="F1200" s="6">
        <v>45291</v>
      </c>
      <c r="G1200" s="5">
        <f t="shared" si="190"/>
        <v>2023</v>
      </c>
      <c r="H1200" s="5" t="str">
        <f t="shared" si="191"/>
        <v>Diciembre</v>
      </c>
      <c r="I1200" s="6" t="str">
        <f t="shared" si="195"/>
        <v>2023-2</v>
      </c>
      <c r="J1200" s="5">
        <v>70</v>
      </c>
      <c r="K1200" s="9">
        <v>118</v>
      </c>
      <c r="L1200" s="8">
        <f>IFERROR(K1200/J1200,"")</f>
        <v>1.6857142857142857</v>
      </c>
      <c r="M1200" s="15">
        <f>IFERROR(IF((K1200/J1200)&gt;K1200/J1200,1.3,K1200/J1200),"")</f>
        <v>1.6857142857142857</v>
      </c>
      <c r="N1200" s="5" t="s">
        <v>490</v>
      </c>
      <c r="O1200" s="5" t="s">
        <v>490</v>
      </c>
      <c r="P1200" s="16">
        <v>0</v>
      </c>
      <c r="Q1200" s="16">
        <v>0</v>
      </c>
      <c r="R1200" s="5" t="str">
        <f t="shared" si="196"/>
        <v>310-2023-12-31</v>
      </c>
    </row>
    <row r="1201" spans="1:18" x14ac:dyDescent="0.3">
      <c r="A1201" s="5">
        <v>310</v>
      </c>
      <c r="B1201" s="5" t="s">
        <v>196</v>
      </c>
      <c r="C1201" s="5" t="s">
        <v>53</v>
      </c>
      <c r="D1201" s="5" t="s">
        <v>8</v>
      </c>
      <c r="E1201" s="5" t="s">
        <v>9</v>
      </c>
      <c r="F1201" s="6">
        <v>45473</v>
      </c>
      <c r="G1201" s="5">
        <f t="shared" si="190"/>
        <v>2024</v>
      </c>
      <c r="H1201" s="5" t="str">
        <f t="shared" si="191"/>
        <v>Junio</v>
      </c>
      <c r="I1201" s="6" t="str">
        <f t="shared" si="195"/>
        <v>2024-1</v>
      </c>
      <c r="J1201" s="5">
        <v>100</v>
      </c>
      <c r="K1201" s="5">
        <v>95.56</v>
      </c>
      <c r="L1201" s="15">
        <v>0.9556</v>
      </c>
      <c r="M1201" s="15">
        <v>0.9556</v>
      </c>
      <c r="N1201" s="5" t="s">
        <v>490</v>
      </c>
      <c r="O1201" s="5" t="s">
        <v>490</v>
      </c>
      <c r="P1201" s="5">
        <v>0</v>
      </c>
      <c r="Q1201" s="5">
        <v>0</v>
      </c>
      <c r="R1201" s="5" t="str">
        <f t="shared" si="196"/>
        <v>310-2024-06-30</v>
      </c>
    </row>
    <row r="1202" spans="1:18" x14ac:dyDescent="0.3">
      <c r="A1202" s="26">
        <v>310</v>
      </c>
      <c r="B1202" s="5" t="s">
        <v>196</v>
      </c>
      <c r="C1202" s="5" t="s">
        <v>53</v>
      </c>
      <c r="D1202" s="5" t="s">
        <v>8</v>
      </c>
      <c r="E1202" s="5" t="s">
        <v>9</v>
      </c>
      <c r="F1202" s="6">
        <v>45657</v>
      </c>
      <c r="G1202" s="5">
        <f t="shared" si="190"/>
        <v>2024</v>
      </c>
      <c r="H1202" s="5" t="str">
        <f t="shared" si="191"/>
        <v>Diciembre</v>
      </c>
      <c r="I1202" s="6" t="str">
        <f t="shared" si="195"/>
        <v>2024-2</v>
      </c>
      <c r="J1202" s="5">
        <v>100</v>
      </c>
      <c r="K1202" s="10">
        <v>79.13</v>
      </c>
      <c r="L1202" s="15">
        <f>IFERROR(IF((K1202/J1202)&gt;1.3,1.3,K1202/J1202),"")</f>
        <v>0.7913</v>
      </c>
      <c r="M1202" s="15">
        <f>IFERROR(IF((K1202/J1202)&gt;K1202/J1202,1.3,K1202/J1202),"")</f>
        <v>0.7913</v>
      </c>
      <c r="N1202" s="5" t="s">
        <v>490</v>
      </c>
      <c r="O1202" s="5" t="s">
        <v>490</v>
      </c>
      <c r="P1202" s="16">
        <v>0</v>
      </c>
      <c r="Q1202" s="16">
        <v>0</v>
      </c>
      <c r="R1202" s="5" t="str">
        <f t="shared" si="196"/>
        <v>310-2024-12-31</v>
      </c>
    </row>
    <row r="1203" spans="1:18" x14ac:dyDescent="0.3">
      <c r="A1203" s="26">
        <v>311</v>
      </c>
      <c r="B1203" s="5" t="s">
        <v>197</v>
      </c>
      <c r="C1203" s="5" t="s">
        <v>53</v>
      </c>
      <c r="D1203" s="5" t="s">
        <v>8</v>
      </c>
      <c r="E1203" s="5" t="s">
        <v>9</v>
      </c>
      <c r="F1203" s="17">
        <v>45107</v>
      </c>
      <c r="G1203" s="5">
        <f t="shared" si="190"/>
        <v>2023</v>
      </c>
      <c r="H1203" s="5" t="str">
        <f t="shared" si="191"/>
        <v>Junio</v>
      </c>
      <c r="I1203" s="6" t="str">
        <f t="shared" si="195"/>
        <v>2023-1</v>
      </c>
      <c r="J1203" s="5">
        <v>22</v>
      </c>
      <c r="K1203" s="9">
        <v>85</v>
      </c>
      <c r="L1203" s="8">
        <f>IFERROR(K1203/J1203,"")</f>
        <v>3.8636363636363638</v>
      </c>
      <c r="M1203" s="15">
        <f>IFERROR(IF((K1203/J1203)&gt;K1203/J1203,1.3,K1203/J1203),"")</f>
        <v>3.8636363636363638</v>
      </c>
      <c r="N1203" s="5" t="s">
        <v>490</v>
      </c>
      <c r="O1203" s="5" t="s">
        <v>490</v>
      </c>
      <c r="P1203" s="16">
        <v>0</v>
      </c>
      <c r="Q1203" s="16">
        <v>0</v>
      </c>
      <c r="R1203" s="5" t="str">
        <f t="shared" si="196"/>
        <v>311-2023-06-30</v>
      </c>
    </row>
    <row r="1204" spans="1:18" x14ac:dyDescent="0.3">
      <c r="A1204" s="39">
        <v>311</v>
      </c>
      <c r="B1204" s="5" t="s">
        <v>197</v>
      </c>
      <c r="C1204" s="5" t="s">
        <v>53</v>
      </c>
      <c r="D1204" s="5" t="s">
        <v>8</v>
      </c>
      <c r="E1204" s="5" t="s">
        <v>9</v>
      </c>
      <c r="F1204" s="6">
        <v>45291</v>
      </c>
      <c r="G1204" s="5">
        <f t="shared" si="190"/>
        <v>2023</v>
      </c>
      <c r="H1204" s="5" t="str">
        <f t="shared" si="191"/>
        <v>Diciembre</v>
      </c>
      <c r="I1204" s="6" t="str">
        <f t="shared" si="195"/>
        <v>2023-2</v>
      </c>
      <c r="J1204" s="5">
        <v>245</v>
      </c>
      <c r="K1204" s="9">
        <v>247</v>
      </c>
      <c r="L1204" s="8">
        <f>IFERROR(K1204/J1204,"")</f>
        <v>1.0081632653061225</v>
      </c>
      <c r="M1204" s="15">
        <f>IFERROR(IF((K1204/J1204)&gt;K1204/J1204,1.3,K1204/J1204),"")</f>
        <v>1.0081632653061225</v>
      </c>
      <c r="N1204" s="5" t="s">
        <v>490</v>
      </c>
      <c r="O1204" s="5" t="s">
        <v>490</v>
      </c>
      <c r="P1204" s="16">
        <v>0</v>
      </c>
      <c r="Q1204" s="16">
        <v>0</v>
      </c>
      <c r="R1204" s="5" t="str">
        <f t="shared" si="196"/>
        <v>311-2023-12-31</v>
      </c>
    </row>
    <row r="1205" spans="1:18" x14ac:dyDescent="0.3">
      <c r="A1205" s="5">
        <v>311</v>
      </c>
      <c r="B1205" s="5" t="s">
        <v>197</v>
      </c>
      <c r="C1205" s="5" t="s">
        <v>53</v>
      </c>
      <c r="D1205" s="5" t="s">
        <v>8</v>
      </c>
      <c r="E1205" s="5" t="s">
        <v>9</v>
      </c>
      <c r="F1205" s="6">
        <v>45473</v>
      </c>
      <c r="G1205" s="5">
        <f t="shared" si="190"/>
        <v>2024</v>
      </c>
      <c r="H1205" s="5" t="str">
        <f t="shared" si="191"/>
        <v>Junio</v>
      </c>
      <c r="I1205" s="6" t="str">
        <f t="shared" si="195"/>
        <v>2024-1</v>
      </c>
      <c r="J1205" s="5">
        <v>100</v>
      </c>
      <c r="K1205" s="5">
        <v>117.65</v>
      </c>
      <c r="L1205" s="15">
        <v>1.1765000000000001</v>
      </c>
      <c r="M1205" s="15">
        <v>1.1765000000000001</v>
      </c>
      <c r="N1205" s="5" t="s">
        <v>490</v>
      </c>
      <c r="O1205" s="5" t="s">
        <v>490</v>
      </c>
      <c r="P1205" s="5">
        <v>0</v>
      </c>
      <c r="Q1205" s="5">
        <v>0</v>
      </c>
      <c r="R1205" s="5" t="str">
        <f t="shared" si="196"/>
        <v>311-2024-06-30</v>
      </c>
    </row>
    <row r="1206" spans="1:18" x14ac:dyDescent="0.3">
      <c r="A1206" s="26">
        <v>311</v>
      </c>
      <c r="B1206" s="5" t="s">
        <v>197</v>
      </c>
      <c r="C1206" s="5" t="s">
        <v>53</v>
      </c>
      <c r="D1206" s="5" t="s">
        <v>8</v>
      </c>
      <c r="E1206" s="5" t="s">
        <v>9</v>
      </c>
      <c r="F1206" s="6">
        <v>45657</v>
      </c>
      <c r="G1206" s="5">
        <f t="shared" si="190"/>
        <v>2024</v>
      </c>
      <c r="H1206" s="5" t="str">
        <f t="shared" si="191"/>
        <v>Diciembre</v>
      </c>
      <c r="I1206" s="6" t="str">
        <f t="shared" si="195"/>
        <v>2024-2</v>
      </c>
      <c r="J1206" s="5">
        <v>100</v>
      </c>
      <c r="K1206" s="10">
        <v>67.760000000000005</v>
      </c>
      <c r="L1206" s="15">
        <f>IFERROR(IF((K1206/J1206)&gt;1.3,1.3,K1206/J1206),"")</f>
        <v>0.67760000000000009</v>
      </c>
      <c r="M1206" s="15">
        <f>IFERROR(IF((K1206/J1206)&gt;K1206/J1206,1.3,K1206/J1206),"")</f>
        <v>0.67760000000000009</v>
      </c>
      <c r="N1206" s="5" t="s">
        <v>490</v>
      </c>
      <c r="O1206" s="5" t="s">
        <v>490</v>
      </c>
      <c r="P1206" s="16">
        <v>0</v>
      </c>
      <c r="Q1206" s="16">
        <v>0</v>
      </c>
      <c r="R1206" s="5" t="str">
        <f t="shared" si="196"/>
        <v>311-2024-12-31</v>
      </c>
    </row>
    <row r="1207" spans="1:18" x14ac:dyDescent="0.3">
      <c r="A1207" s="26">
        <v>312</v>
      </c>
      <c r="B1207" s="5" t="s">
        <v>198</v>
      </c>
      <c r="C1207" s="5" t="s">
        <v>53</v>
      </c>
      <c r="D1207" s="5" t="s">
        <v>8</v>
      </c>
      <c r="E1207" s="5" t="s">
        <v>9</v>
      </c>
      <c r="F1207" s="17">
        <v>45107</v>
      </c>
      <c r="G1207" s="5">
        <f t="shared" si="190"/>
        <v>2023</v>
      </c>
      <c r="H1207" s="5" t="str">
        <f t="shared" si="191"/>
        <v>Junio</v>
      </c>
      <c r="I1207" s="6" t="str">
        <f t="shared" si="195"/>
        <v>2023-1</v>
      </c>
      <c r="J1207" s="5">
        <v>113</v>
      </c>
      <c r="K1207" s="9">
        <v>125</v>
      </c>
      <c r="L1207" s="8">
        <f>IF(IFERROR(K1207/J1207,"")&gt;130%,130%,K1207/J1207)</f>
        <v>1.1061946902654867</v>
      </c>
      <c r="M1207" s="15">
        <f>IFERROR(IF((K1207/J1207)&gt;K1207/J1207,1.3,K1207/J1207),"")</f>
        <v>1.1061946902654867</v>
      </c>
      <c r="N1207" s="5" t="s">
        <v>490</v>
      </c>
      <c r="O1207" s="5" t="s">
        <v>490</v>
      </c>
      <c r="P1207" s="16">
        <v>0</v>
      </c>
      <c r="Q1207" s="16">
        <v>0</v>
      </c>
      <c r="R1207" s="5" t="str">
        <f t="shared" si="196"/>
        <v>312-2023-06-30</v>
      </c>
    </row>
    <row r="1208" spans="1:18" x14ac:dyDescent="0.3">
      <c r="A1208" s="39">
        <v>312</v>
      </c>
      <c r="B1208" s="5" t="s">
        <v>198</v>
      </c>
      <c r="C1208" s="5" t="s">
        <v>53</v>
      </c>
      <c r="D1208" s="5" t="s">
        <v>8</v>
      </c>
      <c r="E1208" s="5" t="s">
        <v>9</v>
      </c>
      <c r="F1208" s="6">
        <v>45291</v>
      </c>
      <c r="G1208" s="5">
        <f t="shared" si="190"/>
        <v>2023</v>
      </c>
      <c r="H1208" s="5" t="str">
        <f t="shared" si="191"/>
        <v>Diciembre</v>
      </c>
      <c r="I1208" s="6" t="str">
        <f t="shared" si="195"/>
        <v>2023-2</v>
      </c>
      <c r="J1208" s="5">
        <v>108</v>
      </c>
      <c r="K1208" s="9">
        <v>118</v>
      </c>
      <c r="L1208" s="8">
        <f>IFERROR(K1208/J1208,"")</f>
        <v>1.0925925925925926</v>
      </c>
      <c r="M1208" s="15">
        <f>IFERROR(IF((K1208/J1208)&gt;K1208/J1208,1.3,K1208/J1208),"")</f>
        <v>1.0925925925925926</v>
      </c>
      <c r="N1208" s="5" t="s">
        <v>490</v>
      </c>
      <c r="O1208" s="5" t="s">
        <v>490</v>
      </c>
      <c r="P1208" s="16">
        <v>0</v>
      </c>
      <c r="Q1208" s="16">
        <v>0</v>
      </c>
      <c r="R1208" s="5" t="str">
        <f t="shared" si="196"/>
        <v>312-2023-12-31</v>
      </c>
    </row>
    <row r="1209" spans="1:18" x14ac:dyDescent="0.3">
      <c r="A1209" s="5">
        <v>312</v>
      </c>
      <c r="B1209" s="5" t="s">
        <v>198</v>
      </c>
      <c r="C1209" s="5" t="s">
        <v>53</v>
      </c>
      <c r="D1209" s="5" t="s">
        <v>8</v>
      </c>
      <c r="E1209" s="5" t="s">
        <v>9</v>
      </c>
      <c r="F1209" s="6">
        <v>45473</v>
      </c>
      <c r="G1209" s="5">
        <f t="shared" si="190"/>
        <v>2024</v>
      </c>
      <c r="H1209" s="5" t="str">
        <f t="shared" si="191"/>
        <v>Junio</v>
      </c>
      <c r="I1209" s="6" t="str">
        <f t="shared" si="195"/>
        <v>2024-1</v>
      </c>
      <c r="J1209" s="5">
        <v>100</v>
      </c>
      <c r="K1209" s="5">
        <v>126</v>
      </c>
      <c r="L1209" s="15">
        <v>1.26</v>
      </c>
      <c r="M1209" s="15">
        <v>1.26</v>
      </c>
      <c r="N1209" s="5" t="s">
        <v>490</v>
      </c>
      <c r="O1209" s="5" t="s">
        <v>490</v>
      </c>
      <c r="P1209" s="5">
        <v>0</v>
      </c>
      <c r="Q1209" s="5">
        <v>0</v>
      </c>
      <c r="R1209" s="5" t="str">
        <f t="shared" si="196"/>
        <v>312-2024-06-30</v>
      </c>
    </row>
    <row r="1210" spans="1:18" x14ac:dyDescent="0.3">
      <c r="A1210" s="26">
        <v>312</v>
      </c>
      <c r="B1210" s="5" t="s">
        <v>198</v>
      </c>
      <c r="C1210" s="5" t="s">
        <v>53</v>
      </c>
      <c r="D1210" s="5" t="s">
        <v>8</v>
      </c>
      <c r="E1210" s="5" t="s">
        <v>9</v>
      </c>
      <c r="F1210" s="6">
        <v>45657</v>
      </c>
      <c r="G1210" s="5">
        <f t="shared" si="190"/>
        <v>2024</v>
      </c>
      <c r="H1210" s="5" t="str">
        <f t="shared" si="191"/>
        <v>Diciembre</v>
      </c>
      <c r="I1210" s="6" t="str">
        <f t="shared" si="195"/>
        <v>2024-2</v>
      </c>
      <c r="J1210" s="5">
        <v>100</v>
      </c>
      <c r="K1210" s="10">
        <v>137</v>
      </c>
      <c r="L1210" s="15">
        <f>IFERROR(IF((K1210/J1210)&gt;1.3,1.3,K1210/J1210),"")</f>
        <v>1.3</v>
      </c>
      <c r="M1210" s="15">
        <f>IFERROR(IF((K1210/J1210)&gt;K1210/J1210,1.3,K1210/J1210),"")</f>
        <v>1.37</v>
      </c>
      <c r="N1210" s="5" t="s">
        <v>490</v>
      </c>
      <c r="O1210" s="5" t="s">
        <v>490</v>
      </c>
      <c r="P1210" s="16">
        <v>0</v>
      </c>
      <c r="Q1210" s="16">
        <v>0</v>
      </c>
      <c r="R1210" s="5" t="str">
        <f t="shared" si="196"/>
        <v>312-2024-12-31</v>
      </c>
    </row>
    <row r="1211" spans="1:18" x14ac:dyDescent="0.3">
      <c r="A1211" s="26">
        <v>313</v>
      </c>
      <c r="B1211" s="5" t="s">
        <v>199</v>
      </c>
      <c r="C1211" s="5" t="s">
        <v>53</v>
      </c>
      <c r="D1211" s="5" t="s">
        <v>8</v>
      </c>
      <c r="E1211" s="5" t="s">
        <v>9</v>
      </c>
      <c r="F1211" s="17">
        <v>45107</v>
      </c>
      <c r="G1211" s="5">
        <f t="shared" si="190"/>
        <v>2023</v>
      </c>
      <c r="H1211" s="5" t="str">
        <f t="shared" si="191"/>
        <v>Junio</v>
      </c>
      <c r="I1211" s="6" t="str">
        <f t="shared" si="195"/>
        <v>2023-1</v>
      </c>
      <c r="J1211" s="5">
        <v>13</v>
      </c>
      <c r="K1211" s="9">
        <v>13</v>
      </c>
      <c r="L1211" s="8">
        <f>IFERROR(K1211/J1211,"")</f>
        <v>1</v>
      </c>
      <c r="M1211" s="15">
        <f>IFERROR(IF((K1211/J1211)&gt;K1211/J1211,1.3,K1211/J1211),"")</f>
        <v>1</v>
      </c>
      <c r="N1211" s="5" t="s">
        <v>490</v>
      </c>
      <c r="O1211" s="5" t="s">
        <v>490</v>
      </c>
      <c r="P1211" s="16">
        <v>0</v>
      </c>
      <c r="Q1211" s="16">
        <v>0</v>
      </c>
      <c r="R1211" s="5" t="str">
        <f t="shared" si="196"/>
        <v>313-2023-06-30</v>
      </c>
    </row>
    <row r="1212" spans="1:18" x14ac:dyDescent="0.3">
      <c r="A1212" s="39">
        <v>313</v>
      </c>
      <c r="B1212" s="5" t="s">
        <v>199</v>
      </c>
      <c r="C1212" s="5" t="s">
        <v>53</v>
      </c>
      <c r="D1212" s="5" t="s">
        <v>8</v>
      </c>
      <c r="E1212" s="5" t="s">
        <v>9</v>
      </c>
      <c r="F1212" s="6">
        <v>45291</v>
      </c>
      <c r="G1212" s="5">
        <f t="shared" si="190"/>
        <v>2023</v>
      </c>
      <c r="H1212" s="5" t="str">
        <f t="shared" si="191"/>
        <v>Diciembre</v>
      </c>
      <c r="I1212" s="6" t="str">
        <f t="shared" si="195"/>
        <v>2023-2</v>
      </c>
      <c r="J1212" s="5">
        <v>15</v>
      </c>
      <c r="K1212" s="9">
        <v>12</v>
      </c>
      <c r="L1212" s="8">
        <f>IFERROR(K1212/J1212,"")</f>
        <v>0.8</v>
      </c>
      <c r="M1212" s="15">
        <f>IFERROR(IF((K1212/J1212)&gt;K1212/J1212,1.3,K1212/J1212),"")</f>
        <v>0.8</v>
      </c>
      <c r="N1212" s="5" t="s">
        <v>490</v>
      </c>
      <c r="O1212" s="5" t="s">
        <v>490</v>
      </c>
      <c r="P1212" s="16">
        <v>0</v>
      </c>
      <c r="Q1212" s="16">
        <v>0</v>
      </c>
      <c r="R1212" s="5" t="str">
        <f t="shared" si="196"/>
        <v>313-2023-12-31</v>
      </c>
    </row>
    <row r="1213" spans="1:18" x14ac:dyDescent="0.3">
      <c r="A1213" s="5">
        <v>313</v>
      </c>
      <c r="B1213" s="5" t="s">
        <v>199</v>
      </c>
      <c r="C1213" s="5" t="s">
        <v>53</v>
      </c>
      <c r="D1213" s="5" t="s">
        <v>8</v>
      </c>
      <c r="E1213" s="5" t="s">
        <v>9</v>
      </c>
      <c r="F1213" s="6">
        <v>45473</v>
      </c>
      <c r="G1213" s="5">
        <f t="shared" si="190"/>
        <v>2024</v>
      </c>
      <c r="H1213" s="5" t="str">
        <f t="shared" si="191"/>
        <v>Junio</v>
      </c>
      <c r="I1213" s="6" t="str">
        <f t="shared" si="195"/>
        <v>2024-1</v>
      </c>
      <c r="J1213" s="5">
        <v>100</v>
      </c>
      <c r="K1213" s="5">
        <v>100</v>
      </c>
      <c r="L1213" s="15">
        <v>1</v>
      </c>
      <c r="M1213" s="15">
        <v>1</v>
      </c>
      <c r="N1213" s="5" t="s">
        <v>490</v>
      </c>
      <c r="O1213" s="5" t="s">
        <v>490</v>
      </c>
      <c r="P1213" s="5">
        <v>0</v>
      </c>
      <c r="Q1213" s="5">
        <v>0</v>
      </c>
      <c r="R1213" s="5" t="str">
        <f t="shared" si="196"/>
        <v>313-2024-06-30</v>
      </c>
    </row>
    <row r="1214" spans="1:18" x14ac:dyDescent="0.3">
      <c r="A1214" s="26">
        <v>313</v>
      </c>
      <c r="B1214" s="5" t="s">
        <v>199</v>
      </c>
      <c r="C1214" s="5" t="s">
        <v>53</v>
      </c>
      <c r="D1214" s="5" t="s">
        <v>8</v>
      </c>
      <c r="E1214" s="5" t="s">
        <v>9</v>
      </c>
      <c r="F1214" s="6">
        <v>45657</v>
      </c>
      <c r="G1214" s="5">
        <f t="shared" si="190"/>
        <v>2024</v>
      </c>
      <c r="H1214" s="5" t="str">
        <f t="shared" si="191"/>
        <v>Diciembre</v>
      </c>
      <c r="I1214" s="6" t="str">
        <f t="shared" si="195"/>
        <v>2024-2</v>
      </c>
      <c r="J1214" s="5">
        <v>100</v>
      </c>
      <c r="K1214" s="10">
        <v>100</v>
      </c>
      <c r="L1214" s="15">
        <f>IFERROR(IF((K1214/J1214)&gt;1.3,1.3,K1214/J1214),"")</f>
        <v>1</v>
      </c>
      <c r="M1214" s="15">
        <f>IFERROR(IF((K1214/J1214)&gt;K1214/J1214,1.3,K1214/J1214),"")</f>
        <v>1</v>
      </c>
      <c r="N1214" s="5" t="s">
        <v>490</v>
      </c>
      <c r="O1214" s="5" t="s">
        <v>490</v>
      </c>
      <c r="P1214" s="16">
        <v>0</v>
      </c>
      <c r="Q1214" s="16">
        <v>0</v>
      </c>
      <c r="R1214" s="5" t="str">
        <f t="shared" si="196"/>
        <v>313-2024-12-31</v>
      </c>
    </row>
    <row r="1215" spans="1:18" x14ac:dyDescent="0.3">
      <c r="A1215" s="26">
        <v>314</v>
      </c>
      <c r="B1215" s="5" t="s">
        <v>200</v>
      </c>
      <c r="C1215" s="5" t="s">
        <v>53</v>
      </c>
      <c r="D1215" s="5" t="s">
        <v>8</v>
      </c>
      <c r="E1215" s="5" t="s">
        <v>9</v>
      </c>
      <c r="F1215" s="17">
        <v>45107</v>
      </c>
      <c r="G1215" s="5">
        <f t="shared" si="190"/>
        <v>2023</v>
      </c>
      <c r="H1215" s="5" t="str">
        <f t="shared" si="191"/>
        <v>Junio</v>
      </c>
      <c r="I1215" s="6" t="str">
        <f t="shared" si="195"/>
        <v>2023-1</v>
      </c>
      <c r="J1215" s="5">
        <v>9</v>
      </c>
      <c r="K1215" s="9">
        <v>13</v>
      </c>
      <c r="L1215" s="8">
        <f>IFERROR(K1215/J1215,"")</f>
        <v>1.4444444444444444</v>
      </c>
      <c r="M1215" s="15">
        <f>IFERROR(IF((K1215/J1215)&gt;K1215/J1215,1.3,K1215/J1215),"")</f>
        <v>1.4444444444444444</v>
      </c>
      <c r="N1215" s="5" t="s">
        <v>490</v>
      </c>
      <c r="O1215" s="5" t="s">
        <v>490</v>
      </c>
      <c r="P1215" s="16">
        <v>0</v>
      </c>
      <c r="Q1215" s="16">
        <v>0</v>
      </c>
      <c r="R1215" s="5" t="str">
        <f t="shared" si="196"/>
        <v>314-2023-06-30</v>
      </c>
    </row>
    <row r="1216" spans="1:18" x14ac:dyDescent="0.3">
      <c r="A1216" s="39">
        <v>314</v>
      </c>
      <c r="B1216" s="5" t="s">
        <v>200</v>
      </c>
      <c r="C1216" s="5" t="s">
        <v>53</v>
      </c>
      <c r="D1216" s="5" t="s">
        <v>8</v>
      </c>
      <c r="E1216" s="5" t="s">
        <v>9</v>
      </c>
      <c r="F1216" s="6">
        <v>45291</v>
      </c>
      <c r="G1216" s="5">
        <f t="shared" si="190"/>
        <v>2023</v>
      </c>
      <c r="H1216" s="5" t="str">
        <f t="shared" si="191"/>
        <v>Diciembre</v>
      </c>
      <c r="I1216" s="6" t="str">
        <f t="shared" si="195"/>
        <v>2023-2</v>
      </c>
      <c r="J1216" s="5">
        <v>14</v>
      </c>
      <c r="K1216" s="9">
        <v>16</v>
      </c>
      <c r="L1216" s="8">
        <f>IFERROR(K1216/J1216,"")</f>
        <v>1.1428571428571428</v>
      </c>
      <c r="M1216" s="15">
        <f>IFERROR(IF((K1216/J1216)&gt;K1216/J1216,1.3,K1216/J1216),"")</f>
        <v>1.1428571428571428</v>
      </c>
      <c r="N1216" s="5" t="s">
        <v>490</v>
      </c>
      <c r="O1216" s="5" t="s">
        <v>490</v>
      </c>
      <c r="P1216" s="16">
        <v>0</v>
      </c>
      <c r="Q1216" s="16">
        <v>0</v>
      </c>
      <c r="R1216" s="5" t="str">
        <f t="shared" si="196"/>
        <v>314-2023-12-31</v>
      </c>
    </row>
    <row r="1217" spans="1:18" x14ac:dyDescent="0.3">
      <c r="A1217" s="5">
        <v>314</v>
      </c>
      <c r="B1217" s="5" t="s">
        <v>200</v>
      </c>
      <c r="C1217" s="5" t="s">
        <v>53</v>
      </c>
      <c r="D1217" s="5" t="s">
        <v>8</v>
      </c>
      <c r="E1217" s="5" t="s">
        <v>9</v>
      </c>
      <c r="F1217" s="6">
        <v>45473</v>
      </c>
      <c r="G1217" s="5">
        <f t="shared" si="190"/>
        <v>2024</v>
      </c>
      <c r="H1217" s="5" t="str">
        <f t="shared" si="191"/>
        <v>Junio</v>
      </c>
      <c r="I1217" s="6" t="str">
        <f t="shared" si="195"/>
        <v>2024-1</v>
      </c>
      <c r="J1217" s="5">
        <v>100</v>
      </c>
      <c r="K1217" s="5">
        <v>140</v>
      </c>
      <c r="L1217" s="15">
        <v>1.3</v>
      </c>
      <c r="M1217" s="15">
        <v>1.4</v>
      </c>
      <c r="N1217" s="5" t="s">
        <v>490</v>
      </c>
      <c r="O1217" s="5" t="s">
        <v>490</v>
      </c>
      <c r="P1217" s="5">
        <v>0</v>
      </c>
      <c r="Q1217" s="5">
        <v>0</v>
      </c>
      <c r="R1217" s="5" t="str">
        <f t="shared" si="196"/>
        <v>314-2024-06-30</v>
      </c>
    </row>
    <row r="1218" spans="1:18" x14ac:dyDescent="0.3">
      <c r="A1218" s="26">
        <v>314</v>
      </c>
      <c r="B1218" s="5" t="s">
        <v>200</v>
      </c>
      <c r="C1218" s="5" t="s">
        <v>53</v>
      </c>
      <c r="D1218" s="5" t="s">
        <v>8</v>
      </c>
      <c r="E1218" s="5" t="s">
        <v>9</v>
      </c>
      <c r="F1218" s="6">
        <v>45657</v>
      </c>
      <c r="G1218" s="5">
        <f t="shared" ref="G1218:G1281" si="197">YEAR(F1218)</f>
        <v>2024</v>
      </c>
      <c r="H1218" s="5" t="str">
        <f t="shared" ref="H1218:H1281" si="198">PROPER(TEXT(F1218,"mmmm"))</f>
        <v>Diciembre</v>
      </c>
      <c r="I1218" s="6" t="str">
        <f t="shared" si="195"/>
        <v>2024-2</v>
      </c>
      <c r="J1218" s="5">
        <v>100</v>
      </c>
      <c r="K1218" s="10">
        <v>145</v>
      </c>
      <c r="L1218" s="15">
        <f>IFERROR(IF((K1218/J1218)&gt;1.3,1.3,K1218/J1218),"")</f>
        <v>1.3</v>
      </c>
      <c r="M1218" s="15">
        <f>IFERROR(IF((K1218/J1218)&gt;K1218/J1218,1.3,K1218/J1218),"")</f>
        <v>1.45</v>
      </c>
      <c r="N1218" s="5" t="s">
        <v>490</v>
      </c>
      <c r="O1218" s="5" t="s">
        <v>490</v>
      </c>
      <c r="P1218" s="16">
        <v>0</v>
      </c>
      <c r="Q1218" s="16">
        <v>0</v>
      </c>
      <c r="R1218" s="5" t="str">
        <f t="shared" si="196"/>
        <v>314-2024-12-31</v>
      </c>
    </row>
    <row r="1219" spans="1:18" x14ac:dyDescent="0.3">
      <c r="A1219" s="26">
        <v>315</v>
      </c>
      <c r="B1219" s="5" t="s">
        <v>201</v>
      </c>
      <c r="C1219" s="5" t="s">
        <v>53</v>
      </c>
      <c r="D1219" s="5" t="s">
        <v>8</v>
      </c>
      <c r="E1219" s="5" t="s">
        <v>9</v>
      </c>
      <c r="F1219" s="17">
        <v>45107</v>
      </c>
      <c r="G1219" s="5">
        <f t="shared" si="197"/>
        <v>2023</v>
      </c>
      <c r="H1219" s="5" t="str">
        <f t="shared" si="198"/>
        <v>Junio</v>
      </c>
      <c r="I1219" s="6" t="str">
        <f t="shared" si="195"/>
        <v>2023-1</v>
      </c>
      <c r="J1219" s="5">
        <v>5</v>
      </c>
      <c r="K1219" s="9">
        <v>7</v>
      </c>
      <c r="L1219" s="8">
        <f>IF(IFERROR(K1219/J1219,"")&gt;130%,130%,K1219/J1219)</f>
        <v>1.3</v>
      </c>
      <c r="M1219" s="15">
        <f>IFERROR(IF((K1219/J1219)&gt;K1219/J1219,1.3,K1219/J1219),"")</f>
        <v>1.4</v>
      </c>
      <c r="N1219" s="5" t="s">
        <v>490</v>
      </c>
      <c r="O1219" s="5" t="s">
        <v>490</v>
      </c>
      <c r="P1219" s="16">
        <v>0</v>
      </c>
      <c r="Q1219" s="16">
        <v>0</v>
      </c>
      <c r="R1219" s="5" t="str">
        <f t="shared" si="196"/>
        <v>315-2023-06-30</v>
      </c>
    </row>
    <row r="1220" spans="1:18" x14ac:dyDescent="0.3">
      <c r="A1220" s="26">
        <v>316</v>
      </c>
      <c r="B1220" s="5" t="s">
        <v>202</v>
      </c>
      <c r="C1220" s="5" t="s">
        <v>53</v>
      </c>
      <c r="D1220" s="5" t="s">
        <v>8</v>
      </c>
      <c r="E1220" s="5" t="s">
        <v>9</v>
      </c>
      <c r="F1220" s="17">
        <v>45107</v>
      </c>
      <c r="G1220" s="5">
        <f t="shared" si="197"/>
        <v>2023</v>
      </c>
      <c r="H1220" s="5" t="str">
        <f t="shared" si="198"/>
        <v>Junio</v>
      </c>
      <c r="I1220" s="6" t="str">
        <f t="shared" si="195"/>
        <v>2023-1</v>
      </c>
      <c r="J1220" s="5">
        <v>9</v>
      </c>
      <c r="K1220" s="9">
        <v>11</v>
      </c>
      <c r="L1220" s="8">
        <f>IF(IFERROR(K1220/J1220,"")&gt;130%,130%,K1220/J1220)</f>
        <v>1.2222222222222223</v>
      </c>
      <c r="M1220" s="15">
        <f>IFERROR(IF((K1220/J1220)&gt;K1220/J1220,1.3,K1220/J1220),"")</f>
        <v>1.2222222222222223</v>
      </c>
      <c r="N1220" s="5" t="s">
        <v>490</v>
      </c>
      <c r="O1220" s="5" t="s">
        <v>490</v>
      </c>
      <c r="P1220" s="16">
        <v>0</v>
      </c>
      <c r="Q1220" s="16">
        <v>0</v>
      </c>
      <c r="R1220" s="5" t="str">
        <f t="shared" si="196"/>
        <v>316-2023-06-30</v>
      </c>
    </row>
    <row r="1221" spans="1:18" x14ac:dyDescent="0.3">
      <c r="A1221" s="39">
        <v>316</v>
      </c>
      <c r="B1221" s="5" t="s">
        <v>202</v>
      </c>
      <c r="C1221" s="5" t="s">
        <v>53</v>
      </c>
      <c r="D1221" s="5" t="s">
        <v>8</v>
      </c>
      <c r="E1221" s="5" t="s">
        <v>9</v>
      </c>
      <c r="F1221" s="6">
        <v>45291</v>
      </c>
      <c r="G1221" s="5">
        <f t="shared" si="197"/>
        <v>2023</v>
      </c>
      <c r="H1221" s="5" t="str">
        <f t="shared" si="198"/>
        <v>Diciembre</v>
      </c>
      <c r="I1221" s="6" t="str">
        <f t="shared" si="195"/>
        <v>2023-2</v>
      </c>
      <c r="J1221" s="5">
        <v>12</v>
      </c>
      <c r="K1221" s="9">
        <v>11</v>
      </c>
      <c r="L1221" s="8">
        <f>IFERROR(K1221/J1221,"")</f>
        <v>0.91666666666666663</v>
      </c>
      <c r="M1221" s="15">
        <f>IFERROR(IF((K1221/J1221)&gt;K1221/J1221,1.3,K1221/J1221),"")</f>
        <v>0.91666666666666663</v>
      </c>
      <c r="N1221" s="5" t="s">
        <v>490</v>
      </c>
      <c r="O1221" s="5" t="s">
        <v>490</v>
      </c>
      <c r="P1221" s="16">
        <v>0</v>
      </c>
      <c r="Q1221" s="16">
        <v>0</v>
      </c>
      <c r="R1221" s="5" t="str">
        <f t="shared" si="196"/>
        <v>316-2023-12-31</v>
      </c>
    </row>
    <row r="1222" spans="1:18" x14ac:dyDescent="0.3">
      <c r="A1222" s="39">
        <v>317</v>
      </c>
      <c r="B1222" s="5" t="s">
        <v>203</v>
      </c>
      <c r="C1222" s="5" t="s">
        <v>53</v>
      </c>
      <c r="D1222" s="5" t="s">
        <v>25</v>
      </c>
      <c r="E1222" s="5" t="s">
        <v>9</v>
      </c>
      <c r="F1222" s="6">
        <v>45291</v>
      </c>
      <c r="G1222" s="5">
        <f t="shared" si="197"/>
        <v>2023</v>
      </c>
      <c r="H1222" s="5" t="str">
        <f t="shared" si="198"/>
        <v>Diciembre</v>
      </c>
      <c r="I1222" s="6" t="str">
        <f t="shared" si="195"/>
        <v>2023-2</v>
      </c>
      <c r="J1222" s="5">
        <v>12</v>
      </c>
      <c r="K1222" s="9">
        <v>12</v>
      </c>
      <c r="L1222" s="8">
        <f>IFERROR(K1222/J1222,"")</f>
        <v>1</v>
      </c>
      <c r="M1222" s="15">
        <f t="shared" ref="M1222:M1228" si="199">IFERROR(IF((K1222/J1222)&gt;K1222/J1222,1.3,K1222/J1222),"")</f>
        <v>1</v>
      </c>
      <c r="N1222" s="5" t="s">
        <v>490</v>
      </c>
      <c r="O1222" s="5" t="s">
        <v>490</v>
      </c>
      <c r="P1222" s="16">
        <v>0</v>
      </c>
      <c r="Q1222" s="16">
        <v>0</v>
      </c>
      <c r="R1222" s="5" t="str">
        <f t="shared" si="196"/>
        <v>317-2023-12-31</v>
      </c>
    </row>
    <row r="1223" spans="1:18" x14ac:dyDescent="0.3">
      <c r="A1223" s="26">
        <v>317</v>
      </c>
      <c r="B1223" s="5" t="s">
        <v>203</v>
      </c>
      <c r="C1223" s="5" t="s">
        <v>53</v>
      </c>
      <c r="D1223" s="5" t="s">
        <v>25</v>
      </c>
      <c r="E1223" s="5" t="s">
        <v>9</v>
      </c>
      <c r="F1223" s="6">
        <v>45657</v>
      </c>
      <c r="G1223" s="5">
        <f t="shared" si="197"/>
        <v>2024</v>
      </c>
      <c r="H1223" s="5" t="str">
        <f t="shared" si="198"/>
        <v>Diciembre</v>
      </c>
      <c r="I1223" s="6" t="str">
        <f t="shared" si="195"/>
        <v>2024-2</v>
      </c>
      <c r="J1223" s="5">
        <v>100</v>
      </c>
      <c r="K1223" s="10">
        <v>100</v>
      </c>
      <c r="L1223" s="15">
        <f>IFERROR(IF((K1223/J1223)&gt;1.3,1.3,K1223/J1223),"")</f>
        <v>1</v>
      </c>
      <c r="M1223" s="15">
        <f t="shared" si="199"/>
        <v>1</v>
      </c>
      <c r="N1223" s="5"/>
      <c r="O1223" s="5"/>
      <c r="P1223" s="16">
        <v>0</v>
      </c>
      <c r="Q1223" s="16">
        <v>0</v>
      </c>
      <c r="R1223" s="5" t="str">
        <f t="shared" si="196"/>
        <v>317-2024-12-31</v>
      </c>
    </row>
    <row r="1224" spans="1:18" x14ac:dyDescent="0.3">
      <c r="A1224" s="26">
        <v>318</v>
      </c>
      <c r="B1224" s="5" t="s">
        <v>204</v>
      </c>
      <c r="C1224" s="5" t="s">
        <v>53</v>
      </c>
      <c r="D1224" s="5" t="s">
        <v>8</v>
      </c>
      <c r="E1224" s="5" t="s">
        <v>9</v>
      </c>
      <c r="F1224" s="17">
        <v>45107</v>
      </c>
      <c r="G1224" s="5">
        <f t="shared" si="197"/>
        <v>2023</v>
      </c>
      <c r="H1224" s="5" t="str">
        <f t="shared" si="198"/>
        <v>Junio</v>
      </c>
      <c r="I1224" s="6" t="str">
        <f t="shared" si="195"/>
        <v>2023-1</v>
      </c>
      <c r="J1224" s="5">
        <v>80</v>
      </c>
      <c r="K1224" s="9">
        <v>85.98</v>
      </c>
      <c r="L1224" s="8">
        <f>IF(IFERROR(K1224/J1224,"")&gt;130%,130%,K1224/J1224)</f>
        <v>1.0747500000000001</v>
      </c>
      <c r="M1224" s="15">
        <f t="shared" si="199"/>
        <v>1.0747500000000001</v>
      </c>
      <c r="N1224" s="5" t="s">
        <v>347</v>
      </c>
      <c r="O1224" s="5" t="s">
        <v>347</v>
      </c>
      <c r="P1224" s="16">
        <v>0</v>
      </c>
      <c r="Q1224" s="16">
        <v>0</v>
      </c>
      <c r="R1224" s="5" t="str">
        <f t="shared" si="196"/>
        <v>318-2023-06-30</v>
      </c>
    </row>
    <row r="1225" spans="1:18" x14ac:dyDescent="0.3">
      <c r="A1225" s="39">
        <v>318</v>
      </c>
      <c r="B1225" s="5" t="s">
        <v>204</v>
      </c>
      <c r="C1225" s="5" t="s">
        <v>53</v>
      </c>
      <c r="D1225" s="5" t="s">
        <v>8</v>
      </c>
      <c r="E1225" s="5" t="s">
        <v>9</v>
      </c>
      <c r="F1225" s="6">
        <v>45291</v>
      </c>
      <c r="G1225" s="5">
        <f t="shared" si="197"/>
        <v>2023</v>
      </c>
      <c r="H1225" s="5" t="str">
        <f t="shared" si="198"/>
        <v>Diciembre</v>
      </c>
      <c r="I1225" s="6" t="str">
        <f t="shared" si="195"/>
        <v>2023-2</v>
      </c>
      <c r="J1225" s="5">
        <v>80</v>
      </c>
      <c r="K1225" s="9">
        <v>90.91</v>
      </c>
      <c r="L1225" s="8">
        <f>IFERROR(K1225/J1225,"")</f>
        <v>1.1363749999999999</v>
      </c>
      <c r="M1225" s="15">
        <f t="shared" si="199"/>
        <v>1.1363749999999999</v>
      </c>
      <c r="N1225" s="5" t="s">
        <v>347</v>
      </c>
      <c r="O1225" s="5" t="s">
        <v>347</v>
      </c>
      <c r="P1225" s="16">
        <v>0</v>
      </c>
      <c r="Q1225" s="16">
        <v>0</v>
      </c>
      <c r="R1225" s="5" t="str">
        <f t="shared" si="196"/>
        <v>318-2023-12-31</v>
      </c>
    </row>
    <row r="1226" spans="1:18" x14ac:dyDescent="0.3">
      <c r="A1226" s="26">
        <v>318</v>
      </c>
      <c r="B1226" s="5" t="s">
        <v>731</v>
      </c>
      <c r="C1226" s="5" t="s">
        <v>53</v>
      </c>
      <c r="D1226" s="5" t="s">
        <v>25</v>
      </c>
      <c r="E1226" s="5" t="s">
        <v>9</v>
      </c>
      <c r="F1226" s="6">
        <v>45657</v>
      </c>
      <c r="G1226" s="5">
        <f t="shared" si="197"/>
        <v>2024</v>
      </c>
      <c r="H1226" s="5" t="str">
        <f t="shared" si="198"/>
        <v>Diciembre</v>
      </c>
      <c r="I1226" s="6" t="str">
        <f t="shared" si="195"/>
        <v>2024-2</v>
      </c>
      <c r="J1226" s="5">
        <v>80</v>
      </c>
      <c r="K1226" s="10">
        <v>90.28</v>
      </c>
      <c r="L1226" s="15">
        <f>IFERROR(IF((K1226/J1226)&gt;1.3,1.3,K1226/J1226),"")</f>
        <v>1.1285000000000001</v>
      </c>
      <c r="M1226" s="15">
        <f t="shared" si="199"/>
        <v>1.1285000000000001</v>
      </c>
      <c r="N1226" s="5" t="s">
        <v>347</v>
      </c>
      <c r="O1226" s="5" t="s">
        <v>347</v>
      </c>
      <c r="P1226" s="16">
        <v>0</v>
      </c>
      <c r="Q1226" s="16">
        <v>0</v>
      </c>
      <c r="R1226" s="5" t="str">
        <f t="shared" si="196"/>
        <v>318-2024-12-31</v>
      </c>
    </row>
    <row r="1227" spans="1:18" x14ac:dyDescent="0.3">
      <c r="A1227" s="26">
        <v>319</v>
      </c>
      <c r="B1227" s="5" t="s">
        <v>205</v>
      </c>
      <c r="C1227" s="5" t="s">
        <v>53</v>
      </c>
      <c r="D1227" s="5" t="s">
        <v>8</v>
      </c>
      <c r="E1227" s="5" t="s">
        <v>9</v>
      </c>
      <c r="F1227" s="17">
        <v>45107</v>
      </c>
      <c r="G1227" s="5">
        <f t="shared" si="197"/>
        <v>2023</v>
      </c>
      <c r="H1227" s="5" t="str">
        <f t="shared" si="198"/>
        <v>Junio</v>
      </c>
      <c r="I1227" s="6" t="str">
        <f t="shared" si="195"/>
        <v>2023-1</v>
      </c>
      <c r="J1227" s="5">
        <v>100</v>
      </c>
      <c r="K1227" s="9">
        <v>80</v>
      </c>
      <c r="L1227" s="8">
        <f>IF(IFERROR(K1227/J1227,"")&gt;130%,130%,K1227/J1227)</f>
        <v>0.8</v>
      </c>
      <c r="M1227" s="15">
        <f t="shared" si="199"/>
        <v>0.8</v>
      </c>
      <c r="N1227" s="5" t="s">
        <v>347</v>
      </c>
      <c r="O1227" s="5" t="s">
        <v>347</v>
      </c>
      <c r="P1227" s="16">
        <v>0</v>
      </c>
      <c r="Q1227" s="16">
        <v>0</v>
      </c>
      <c r="R1227" s="5" t="str">
        <f t="shared" si="196"/>
        <v>319-2023-06-30</v>
      </c>
    </row>
    <row r="1228" spans="1:18" x14ac:dyDescent="0.3">
      <c r="A1228" s="39">
        <v>319</v>
      </c>
      <c r="B1228" s="5" t="s">
        <v>205</v>
      </c>
      <c r="C1228" s="5" t="s">
        <v>53</v>
      </c>
      <c r="D1228" s="5" t="s">
        <v>8</v>
      </c>
      <c r="E1228" s="5" t="s">
        <v>9</v>
      </c>
      <c r="F1228" s="6">
        <v>45291</v>
      </c>
      <c r="G1228" s="5">
        <f t="shared" si="197"/>
        <v>2023</v>
      </c>
      <c r="H1228" s="5" t="str">
        <f t="shared" si="198"/>
        <v>Diciembre</v>
      </c>
      <c r="I1228" s="6" t="str">
        <f t="shared" si="195"/>
        <v>2023-2</v>
      </c>
      <c r="J1228" s="5">
        <v>100</v>
      </c>
      <c r="K1228" s="9">
        <v>100</v>
      </c>
      <c r="L1228" s="8">
        <f>IFERROR(K1228/J1228,"")</f>
        <v>1</v>
      </c>
      <c r="M1228" s="15">
        <f t="shared" si="199"/>
        <v>1</v>
      </c>
      <c r="N1228" s="5" t="s">
        <v>347</v>
      </c>
      <c r="O1228" s="5" t="s">
        <v>347</v>
      </c>
      <c r="P1228" s="16">
        <v>0</v>
      </c>
      <c r="Q1228" s="16">
        <v>0</v>
      </c>
      <c r="R1228" s="5" t="str">
        <f t="shared" si="196"/>
        <v>319-2023-12-31</v>
      </c>
    </row>
    <row r="1229" spans="1:18" x14ac:dyDescent="0.3">
      <c r="A1229" s="5">
        <v>319</v>
      </c>
      <c r="B1229" s="5" t="s">
        <v>205</v>
      </c>
      <c r="C1229" s="5" t="s">
        <v>53</v>
      </c>
      <c r="D1229" s="5" t="s">
        <v>8</v>
      </c>
      <c r="E1229" s="5" t="s">
        <v>9</v>
      </c>
      <c r="F1229" s="6">
        <v>45473</v>
      </c>
      <c r="G1229" s="5">
        <f t="shared" si="197"/>
        <v>2024</v>
      </c>
      <c r="H1229" s="5" t="str">
        <f t="shared" si="198"/>
        <v>Junio</v>
      </c>
      <c r="I1229" s="6" t="str">
        <f t="shared" si="195"/>
        <v>2024-1</v>
      </c>
      <c r="J1229" s="5">
        <v>100</v>
      </c>
      <c r="K1229" s="5">
        <v>100</v>
      </c>
      <c r="L1229" s="15">
        <v>1</v>
      </c>
      <c r="M1229" s="15">
        <v>1</v>
      </c>
      <c r="N1229" s="5" t="s">
        <v>347</v>
      </c>
      <c r="O1229" s="5" t="s">
        <v>347</v>
      </c>
      <c r="P1229" s="5">
        <v>0</v>
      </c>
      <c r="Q1229" s="5">
        <v>0</v>
      </c>
      <c r="R1229" s="5" t="str">
        <f t="shared" si="196"/>
        <v>319-2024-06-30</v>
      </c>
    </row>
    <row r="1230" spans="1:18" x14ac:dyDescent="0.3">
      <c r="A1230" s="26">
        <v>319</v>
      </c>
      <c r="B1230" s="5" t="s">
        <v>205</v>
      </c>
      <c r="C1230" s="5" t="s">
        <v>53</v>
      </c>
      <c r="D1230" s="5" t="s">
        <v>8</v>
      </c>
      <c r="E1230" s="5" t="s">
        <v>9</v>
      </c>
      <c r="F1230" s="6">
        <v>45657</v>
      </c>
      <c r="G1230" s="5">
        <f t="shared" si="197"/>
        <v>2024</v>
      </c>
      <c r="H1230" s="5" t="str">
        <f t="shared" si="198"/>
        <v>Diciembre</v>
      </c>
      <c r="I1230" s="6" t="str">
        <f t="shared" si="195"/>
        <v>2024-2</v>
      </c>
      <c r="J1230" s="5">
        <v>100</v>
      </c>
      <c r="K1230" s="10">
        <v>100</v>
      </c>
      <c r="L1230" s="15">
        <f>IFERROR(IF((K1230/J1230)&gt;1.3,1.3,K1230/J1230),"")</f>
        <v>1</v>
      </c>
      <c r="M1230" s="15">
        <f>IFERROR(IF((K1230/J1230)&gt;K1230/J1230,1.3,K1230/J1230),"")</f>
        <v>1</v>
      </c>
      <c r="N1230" s="5" t="s">
        <v>347</v>
      </c>
      <c r="O1230" s="5" t="s">
        <v>347</v>
      </c>
      <c r="P1230" s="16">
        <v>0</v>
      </c>
      <c r="Q1230" s="16">
        <v>0</v>
      </c>
      <c r="R1230" s="5" t="str">
        <f t="shared" si="196"/>
        <v>319-2024-12-31</v>
      </c>
    </row>
    <row r="1231" spans="1:18" x14ac:dyDescent="0.3">
      <c r="A1231" s="26">
        <v>320</v>
      </c>
      <c r="B1231" s="5" t="s">
        <v>206</v>
      </c>
      <c r="C1231" s="5" t="s">
        <v>53</v>
      </c>
      <c r="D1231" s="5" t="s">
        <v>8</v>
      </c>
      <c r="E1231" s="5" t="s">
        <v>9</v>
      </c>
      <c r="F1231" s="17">
        <v>45107</v>
      </c>
      <c r="G1231" s="5">
        <f t="shared" si="197"/>
        <v>2023</v>
      </c>
      <c r="H1231" s="5" t="str">
        <f t="shared" si="198"/>
        <v>Junio</v>
      </c>
      <c r="I1231" s="6" t="str">
        <f t="shared" si="195"/>
        <v>2023-1</v>
      </c>
      <c r="J1231" s="5">
        <v>26</v>
      </c>
      <c r="K1231" s="9">
        <v>12</v>
      </c>
      <c r="L1231" s="8">
        <f>IF(IFERROR(K1231/J1231,"")&gt;130%,130%,K1231/J1231)</f>
        <v>0.46153846153846156</v>
      </c>
      <c r="M1231" s="15">
        <f>IFERROR(IF((K1231/J1231)&gt;K1231/J1231,1.3,K1231/J1231),"")</f>
        <v>0.46153846153846156</v>
      </c>
      <c r="N1231" s="5" t="s">
        <v>347</v>
      </c>
      <c r="O1231" s="5" t="s">
        <v>347</v>
      </c>
      <c r="P1231" s="16">
        <v>0</v>
      </c>
      <c r="Q1231" s="16">
        <v>0</v>
      </c>
      <c r="R1231" s="5" t="str">
        <f t="shared" si="196"/>
        <v>320-2023-06-30</v>
      </c>
    </row>
    <row r="1232" spans="1:18" x14ac:dyDescent="0.3">
      <c r="A1232" s="39">
        <v>320</v>
      </c>
      <c r="B1232" s="5" t="s">
        <v>206</v>
      </c>
      <c r="C1232" s="5" t="s">
        <v>53</v>
      </c>
      <c r="D1232" s="5" t="s">
        <v>8</v>
      </c>
      <c r="E1232" s="5" t="s">
        <v>9</v>
      </c>
      <c r="F1232" s="6">
        <v>45291</v>
      </c>
      <c r="G1232" s="5">
        <f t="shared" si="197"/>
        <v>2023</v>
      </c>
      <c r="H1232" s="5" t="str">
        <f t="shared" si="198"/>
        <v>Diciembre</v>
      </c>
      <c r="I1232" s="6" t="str">
        <f t="shared" si="195"/>
        <v>2023-2</v>
      </c>
      <c r="J1232" s="5">
        <v>15</v>
      </c>
      <c r="K1232" s="9">
        <v>17</v>
      </c>
      <c r="L1232" s="8">
        <f>IFERROR(K1232/J1232,"")</f>
        <v>1.1333333333333333</v>
      </c>
      <c r="M1232" s="15">
        <f>IFERROR(IF((K1232/J1232)&gt;K1232/J1232,1.3,K1232/J1232),"")</f>
        <v>1.1333333333333333</v>
      </c>
      <c r="N1232" s="5" t="s">
        <v>347</v>
      </c>
      <c r="O1232" s="5" t="s">
        <v>347</v>
      </c>
      <c r="P1232" s="16">
        <v>0</v>
      </c>
      <c r="Q1232" s="16">
        <v>0</v>
      </c>
      <c r="R1232" s="5" t="str">
        <f t="shared" si="196"/>
        <v>320-2023-12-31</v>
      </c>
    </row>
    <row r="1233" spans="1:18" x14ac:dyDescent="0.3">
      <c r="A1233" s="5">
        <v>320</v>
      </c>
      <c r="B1233" s="5" t="s">
        <v>499</v>
      </c>
      <c r="C1233" s="5" t="s">
        <v>53</v>
      </c>
      <c r="D1233" s="5" t="s">
        <v>8</v>
      </c>
      <c r="E1233" s="5" t="s">
        <v>9</v>
      </c>
      <c r="F1233" s="6">
        <v>45473</v>
      </c>
      <c r="G1233" s="5">
        <f t="shared" si="197"/>
        <v>2024</v>
      </c>
      <c r="H1233" s="5" t="str">
        <f t="shared" si="198"/>
        <v>Junio</v>
      </c>
      <c r="I1233" s="6" t="str">
        <f t="shared" si="195"/>
        <v>2024-1</v>
      </c>
      <c r="J1233" s="5">
        <v>100</v>
      </c>
      <c r="K1233" s="5">
        <v>140</v>
      </c>
      <c r="L1233" s="15">
        <v>1.3</v>
      </c>
      <c r="M1233" s="15">
        <v>1.4</v>
      </c>
      <c r="N1233" s="5" t="s">
        <v>490</v>
      </c>
      <c r="O1233" s="5" t="s">
        <v>490</v>
      </c>
      <c r="P1233" s="5">
        <v>0</v>
      </c>
      <c r="Q1233" s="5">
        <v>0</v>
      </c>
      <c r="R1233" s="5" t="str">
        <f t="shared" si="196"/>
        <v>320-2024-06-30</v>
      </c>
    </row>
    <row r="1234" spans="1:18" x14ac:dyDescent="0.3">
      <c r="A1234" s="26">
        <v>320</v>
      </c>
      <c r="B1234" s="5" t="s">
        <v>499</v>
      </c>
      <c r="C1234" s="5" t="s">
        <v>53</v>
      </c>
      <c r="D1234" s="5" t="s">
        <v>8</v>
      </c>
      <c r="E1234" s="5" t="s">
        <v>9</v>
      </c>
      <c r="F1234" s="6">
        <v>45657</v>
      </c>
      <c r="G1234" s="5">
        <f t="shared" si="197"/>
        <v>2024</v>
      </c>
      <c r="H1234" s="5" t="str">
        <f t="shared" si="198"/>
        <v>Diciembre</v>
      </c>
      <c r="I1234" s="6" t="str">
        <f t="shared" si="195"/>
        <v>2024-2</v>
      </c>
      <c r="J1234" s="5">
        <v>100</v>
      </c>
      <c r="K1234" s="10">
        <v>115</v>
      </c>
      <c r="L1234" s="15">
        <f>IFERROR(IF((K1234/J1234)&gt;1.3,1.3,K1234/J1234),"")</f>
        <v>1.1499999999999999</v>
      </c>
      <c r="M1234" s="15">
        <f>IFERROR(IF((K1234/J1234)&gt;K1234/J1234,1.3,K1234/J1234),"")</f>
        <v>1.1499999999999999</v>
      </c>
      <c r="N1234" s="5" t="s">
        <v>490</v>
      </c>
      <c r="O1234" s="5" t="s">
        <v>490</v>
      </c>
      <c r="P1234" s="16">
        <v>0</v>
      </c>
      <c r="Q1234" s="16">
        <v>0</v>
      </c>
      <c r="R1234" s="5" t="str">
        <f t="shared" si="196"/>
        <v>320-2024-12-31</v>
      </c>
    </row>
    <row r="1235" spans="1:18" x14ac:dyDescent="0.3">
      <c r="A1235" s="26">
        <v>321</v>
      </c>
      <c r="B1235" s="5" t="s">
        <v>207</v>
      </c>
      <c r="C1235" s="5" t="s">
        <v>53</v>
      </c>
      <c r="D1235" s="5" t="s">
        <v>8</v>
      </c>
      <c r="E1235" s="5" t="s">
        <v>9</v>
      </c>
      <c r="F1235" s="17">
        <v>45107</v>
      </c>
      <c r="G1235" s="5">
        <f t="shared" si="197"/>
        <v>2023</v>
      </c>
      <c r="H1235" s="5" t="str">
        <f t="shared" si="198"/>
        <v>Junio</v>
      </c>
      <c r="I1235" s="6" t="str">
        <f t="shared" si="195"/>
        <v>2023-1</v>
      </c>
      <c r="J1235" s="5">
        <v>180</v>
      </c>
      <c r="K1235" s="9">
        <v>236</v>
      </c>
      <c r="L1235" s="8">
        <f>IF(IFERROR(K1235/J1235,"")&gt;130%,130%,K1235/J1235)</f>
        <v>1.3</v>
      </c>
      <c r="M1235" s="15">
        <f>IFERROR(IF((K1235/J1235)&gt;K1235/J1235,1.3,K1235/J1235),"")</f>
        <v>1.3111111111111111</v>
      </c>
      <c r="N1235" s="5" t="s">
        <v>490</v>
      </c>
      <c r="O1235" s="5" t="s">
        <v>490</v>
      </c>
      <c r="P1235" s="16">
        <v>0</v>
      </c>
      <c r="Q1235" s="16">
        <v>0</v>
      </c>
      <c r="R1235" s="5" t="str">
        <f t="shared" si="196"/>
        <v>321-2023-06-30</v>
      </c>
    </row>
    <row r="1236" spans="1:18" x14ac:dyDescent="0.3">
      <c r="A1236" s="39">
        <v>321</v>
      </c>
      <c r="B1236" s="5" t="s">
        <v>207</v>
      </c>
      <c r="C1236" s="5" t="s">
        <v>53</v>
      </c>
      <c r="D1236" s="5" t="s">
        <v>8</v>
      </c>
      <c r="E1236" s="5" t="s">
        <v>9</v>
      </c>
      <c r="F1236" s="6">
        <v>45291</v>
      </c>
      <c r="G1236" s="5">
        <f t="shared" si="197"/>
        <v>2023</v>
      </c>
      <c r="H1236" s="5" t="str">
        <f t="shared" si="198"/>
        <v>Diciembre</v>
      </c>
      <c r="I1236" s="6" t="str">
        <f t="shared" si="195"/>
        <v>2023-2</v>
      </c>
      <c r="J1236" s="5">
        <v>180</v>
      </c>
      <c r="K1236" s="9">
        <v>231</v>
      </c>
      <c r="L1236" s="8">
        <f>IFERROR(K1236/J1236,"")</f>
        <v>1.2833333333333334</v>
      </c>
      <c r="M1236" s="15">
        <f>IFERROR(IF((K1236/J1236)&gt;K1236/J1236,1.3,K1236/J1236),"")</f>
        <v>1.2833333333333334</v>
      </c>
      <c r="N1236" s="5" t="s">
        <v>490</v>
      </c>
      <c r="O1236" s="5" t="s">
        <v>490</v>
      </c>
      <c r="P1236" s="16">
        <v>0</v>
      </c>
      <c r="Q1236" s="16">
        <v>0</v>
      </c>
      <c r="R1236" s="5" t="str">
        <f t="shared" si="196"/>
        <v>321-2023-12-31</v>
      </c>
    </row>
    <row r="1237" spans="1:18" x14ac:dyDescent="0.3">
      <c r="A1237" s="5">
        <v>321</v>
      </c>
      <c r="B1237" s="5" t="s">
        <v>500</v>
      </c>
      <c r="C1237" s="5" t="s">
        <v>53</v>
      </c>
      <c r="D1237" s="5" t="s">
        <v>8</v>
      </c>
      <c r="E1237" s="5" t="s">
        <v>9</v>
      </c>
      <c r="F1237" s="6">
        <v>45473</v>
      </c>
      <c r="G1237" s="5">
        <f t="shared" si="197"/>
        <v>2024</v>
      </c>
      <c r="H1237" s="5" t="str">
        <f t="shared" si="198"/>
        <v>Junio</v>
      </c>
      <c r="I1237" s="6" t="str">
        <f t="shared" si="195"/>
        <v>2024-1</v>
      </c>
      <c r="J1237" s="5">
        <v>100</v>
      </c>
      <c r="K1237" s="5">
        <v>106.52</v>
      </c>
      <c r="L1237" s="15">
        <v>1.0651999999999999</v>
      </c>
      <c r="M1237" s="15">
        <v>1.0651999999999999</v>
      </c>
      <c r="N1237" s="5" t="s">
        <v>490</v>
      </c>
      <c r="O1237" s="5" t="s">
        <v>490</v>
      </c>
      <c r="P1237" s="5">
        <v>0</v>
      </c>
      <c r="Q1237" s="5">
        <v>0</v>
      </c>
      <c r="R1237" s="5" t="str">
        <f t="shared" si="196"/>
        <v>321-2024-06-30</v>
      </c>
    </row>
    <row r="1238" spans="1:18" x14ac:dyDescent="0.3">
      <c r="A1238" s="26">
        <v>321</v>
      </c>
      <c r="B1238" s="5" t="s">
        <v>500</v>
      </c>
      <c r="C1238" s="5" t="s">
        <v>53</v>
      </c>
      <c r="D1238" s="5" t="s">
        <v>8</v>
      </c>
      <c r="E1238" s="5" t="s">
        <v>9</v>
      </c>
      <c r="F1238" s="6">
        <v>45657</v>
      </c>
      <c r="G1238" s="5">
        <f t="shared" si="197"/>
        <v>2024</v>
      </c>
      <c r="H1238" s="5" t="str">
        <f t="shared" si="198"/>
        <v>Diciembre</v>
      </c>
      <c r="I1238" s="6" t="str">
        <f t="shared" si="195"/>
        <v>2024-2</v>
      </c>
      <c r="J1238" s="5">
        <v>100</v>
      </c>
      <c r="K1238" s="10">
        <v>502.17</v>
      </c>
      <c r="L1238" s="15">
        <f>IFERROR(IF((K1238/J1238)&gt;1.3,1.3,K1238/J1238),"")</f>
        <v>1.3</v>
      </c>
      <c r="M1238" s="15">
        <f>IFERROR(IF((K1238/J1238)&gt;K1238/J1238,1.3,K1238/J1238),"")</f>
        <v>5.0217000000000001</v>
      </c>
      <c r="N1238" s="5" t="s">
        <v>490</v>
      </c>
      <c r="O1238" s="5" t="s">
        <v>490</v>
      </c>
      <c r="P1238" s="16">
        <v>0</v>
      </c>
      <c r="Q1238" s="16">
        <v>0</v>
      </c>
      <c r="R1238" s="5" t="str">
        <f t="shared" si="196"/>
        <v>321-2024-12-31</v>
      </c>
    </row>
    <row r="1239" spans="1:18" x14ac:dyDescent="0.3">
      <c r="A1239" s="5">
        <v>323</v>
      </c>
      <c r="B1239" s="5" t="s">
        <v>208</v>
      </c>
      <c r="C1239" s="5" t="s">
        <v>209</v>
      </c>
      <c r="D1239" s="5" t="s">
        <v>8</v>
      </c>
      <c r="E1239" s="5" t="s">
        <v>9</v>
      </c>
      <c r="F1239" s="6">
        <v>44926</v>
      </c>
      <c r="G1239" s="5">
        <f t="shared" si="197"/>
        <v>2022</v>
      </c>
      <c r="H1239" s="5" t="str">
        <f t="shared" si="198"/>
        <v>Diciembre</v>
      </c>
      <c r="I1239" s="6" t="str">
        <f t="shared" si="195"/>
        <v>2022-2</v>
      </c>
      <c r="J1239" s="5">
        <v>3</v>
      </c>
      <c r="K1239" s="5">
        <v>3</v>
      </c>
      <c r="L1239" s="15">
        <v>1</v>
      </c>
      <c r="M1239" s="15">
        <v>1</v>
      </c>
      <c r="N1239" s="5" t="s">
        <v>490</v>
      </c>
      <c r="O1239" s="5" t="s">
        <v>490</v>
      </c>
      <c r="P1239" s="5">
        <v>0</v>
      </c>
      <c r="Q1239" s="5">
        <v>0</v>
      </c>
      <c r="R1239" s="5" t="str">
        <f t="shared" si="196"/>
        <v>323-2022-12-31</v>
      </c>
    </row>
    <row r="1240" spans="1:18" x14ac:dyDescent="0.3">
      <c r="A1240" s="43">
        <v>323</v>
      </c>
      <c r="B1240" s="5" t="s">
        <v>208</v>
      </c>
      <c r="C1240" s="5" t="s">
        <v>209</v>
      </c>
      <c r="D1240" s="5" t="s">
        <v>8</v>
      </c>
      <c r="E1240" s="5" t="s">
        <v>9</v>
      </c>
      <c r="F1240" s="6">
        <v>45107</v>
      </c>
      <c r="G1240" s="5">
        <f t="shared" si="197"/>
        <v>2023</v>
      </c>
      <c r="H1240" s="5" t="str">
        <f t="shared" si="198"/>
        <v>Junio</v>
      </c>
      <c r="I1240" s="6" t="str">
        <f t="shared" si="195"/>
        <v>2023-1</v>
      </c>
      <c r="J1240" s="5">
        <v>2</v>
      </c>
      <c r="K1240" s="9">
        <v>2</v>
      </c>
      <c r="L1240" s="15">
        <f>IFERROR(IF((K1240/J1240)&gt;1.3,1.3,K1240/J1240),"")</f>
        <v>1</v>
      </c>
      <c r="M1240" s="15">
        <f t="shared" ref="M1240:M1245" si="200">IFERROR(IF((K1240/J1240)&gt;K1240/J1240,1.3,K1240/J1240),"")</f>
        <v>1</v>
      </c>
      <c r="N1240" s="5" t="s">
        <v>490</v>
      </c>
      <c r="O1240" s="5" t="s">
        <v>490</v>
      </c>
      <c r="P1240" s="16">
        <v>0</v>
      </c>
      <c r="Q1240" s="16">
        <v>0</v>
      </c>
      <c r="R1240" s="5" t="str">
        <f t="shared" si="196"/>
        <v>323-2023-06-30</v>
      </c>
    </row>
    <row r="1241" spans="1:18" x14ac:dyDescent="0.3">
      <c r="A1241" s="39">
        <v>323</v>
      </c>
      <c r="B1241" s="5" t="s">
        <v>208</v>
      </c>
      <c r="C1241" s="5" t="s">
        <v>209</v>
      </c>
      <c r="D1241" s="5" t="s">
        <v>8</v>
      </c>
      <c r="E1241" s="5" t="s">
        <v>9</v>
      </c>
      <c r="F1241" s="6">
        <v>45291</v>
      </c>
      <c r="G1241" s="5">
        <f t="shared" si="197"/>
        <v>2023</v>
      </c>
      <c r="H1241" s="5" t="str">
        <f t="shared" si="198"/>
        <v>Diciembre</v>
      </c>
      <c r="I1241" s="6" t="str">
        <f t="shared" si="195"/>
        <v>2023-2</v>
      </c>
      <c r="J1241" s="5">
        <v>6</v>
      </c>
      <c r="K1241" s="9">
        <v>6</v>
      </c>
      <c r="L1241" s="15">
        <f>IFERROR(IF((K1241/J1241)&gt;1.3,1.3,K1241/J1241),"")</f>
        <v>1</v>
      </c>
      <c r="M1241" s="15">
        <f t="shared" si="200"/>
        <v>1</v>
      </c>
      <c r="N1241" s="5" t="s">
        <v>490</v>
      </c>
      <c r="O1241" s="5" t="s">
        <v>490</v>
      </c>
      <c r="P1241" s="16">
        <v>0</v>
      </c>
      <c r="Q1241" s="16">
        <v>0</v>
      </c>
      <c r="R1241" s="5" t="str">
        <f t="shared" si="196"/>
        <v>323-2023-12-31</v>
      </c>
    </row>
    <row r="1242" spans="1:18" x14ac:dyDescent="0.3">
      <c r="A1242" s="39">
        <v>323</v>
      </c>
      <c r="B1242" s="5" t="s">
        <v>208</v>
      </c>
      <c r="C1242" s="5" t="s">
        <v>209</v>
      </c>
      <c r="D1242" s="5" t="s">
        <v>8</v>
      </c>
      <c r="E1242" s="5" t="s">
        <v>9</v>
      </c>
      <c r="F1242" s="6">
        <v>45473</v>
      </c>
      <c r="G1242" s="5">
        <f t="shared" si="197"/>
        <v>2024</v>
      </c>
      <c r="H1242" s="5" t="str">
        <f t="shared" si="198"/>
        <v>Junio</v>
      </c>
      <c r="I1242" s="6" t="str">
        <f t="shared" si="195"/>
        <v>2024-1</v>
      </c>
      <c r="J1242" s="5">
        <v>3</v>
      </c>
      <c r="K1242" s="9">
        <v>3</v>
      </c>
      <c r="L1242" s="15">
        <f>IFERROR(IF((K1242/J1242)&gt;1.3,1.3,K1242/J1242),"")</f>
        <v>1</v>
      </c>
      <c r="M1242" s="15">
        <f t="shared" si="200"/>
        <v>1</v>
      </c>
      <c r="N1242" s="5" t="s">
        <v>490</v>
      </c>
      <c r="O1242" s="5" t="s">
        <v>490</v>
      </c>
      <c r="P1242" s="16">
        <v>0</v>
      </c>
      <c r="Q1242" s="16">
        <v>0</v>
      </c>
      <c r="R1242" s="5" t="str">
        <f t="shared" si="196"/>
        <v>323-2024-06-30</v>
      </c>
    </row>
    <row r="1243" spans="1:18" x14ac:dyDescent="0.3">
      <c r="A1243" s="39">
        <v>323</v>
      </c>
      <c r="B1243" s="5" t="s">
        <v>208</v>
      </c>
      <c r="C1243" s="5" t="s">
        <v>209</v>
      </c>
      <c r="D1243" s="5" t="s">
        <v>8</v>
      </c>
      <c r="E1243" s="5" t="s">
        <v>9</v>
      </c>
      <c r="F1243" s="6">
        <v>45657</v>
      </c>
      <c r="G1243" s="5">
        <f t="shared" si="197"/>
        <v>2024</v>
      </c>
      <c r="H1243" s="5" t="str">
        <f t="shared" si="198"/>
        <v>Diciembre</v>
      </c>
      <c r="I1243" s="6" t="str">
        <f t="shared" si="195"/>
        <v>2024-2</v>
      </c>
      <c r="J1243" s="5">
        <v>0</v>
      </c>
      <c r="K1243" s="5">
        <v>0</v>
      </c>
      <c r="L1243" s="15" t="str">
        <f>IFERROR(IF((K1243/J1243)&gt;1.3,1.3,K1243/J1243),"")</f>
        <v/>
      </c>
      <c r="M1243" s="15" t="str">
        <f t="shared" si="200"/>
        <v/>
      </c>
      <c r="N1243" s="5" t="s">
        <v>490</v>
      </c>
      <c r="O1243" s="5" t="s">
        <v>490</v>
      </c>
      <c r="P1243" s="16">
        <v>0</v>
      </c>
      <c r="Q1243" s="16">
        <v>0</v>
      </c>
      <c r="R1243" s="5" t="str">
        <f t="shared" si="196"/>
        <v>323-2024-12-31</v>
      </c>
    </row>
    <row r="1244" spans="1:18" x14ac:dyDescent="0.3">
      <c r="A1244" s="26">
        <v>324</v>
      </c>
      <c r="B1244" s="5" t="s">
        <v>210</v>
      </c>
      <c r="C1244" s="5" t="s">
        <v>209</v>
      </c>
      <c r="D1244" s="5" t="s">
        <v>8</v>
      </c>
      <c r="E1244" s="5" t="s">
        <v>9</v>
      </c>
      <c r="F1244" s="17">
        <v>45107</v>
      </c>
      <c r="G1244" s="5">
        <f t="shared" si="197"/>
        <v>2023</v>
      </c>
      <c r="H1244" s="5" t="str">
        <f t="shared" si="198"/>
        <v>Junio</v>
      </c>
      <c r="I1244" s="6" t="str">
        <f t="shared" si="195"/>
        <v>2023-1</v>
      </c>
      <c r="J1244" s="5">
        <v>0</v>
      </c>
      <c r="K1244" s="9">
        <v>0</v>
      </c>
      <c r="L1244" s="8" t="str">
        <f>IFERROR(K1244/J1244,"")</f>
        <v/>
      </c>
      <c r="M1244" s="15" t="str">
        <f t="shared" si="200"/>
        <v/>
      </c>
      <c r="N1244" s="5" t="s">
        <v>490</v>
      </c>
      <c r="O1244" s="5" t="s">
        <v>490</v>
      </c>
      <c r="P1244" s="16">
        <v>0</v>
      </c>
      <c r="Q1244" s="16">
        <v>0</v>
      </c>
      <c r="R1244" s="5" t="str">
        <f t="shared" si="196"/>
        <v>324-2023-06-30</v>
      </c>
    </row>
    <row r="1245" spans="1:18" x14ac:dyDescent="0.3">
      <c r="A1245" s="39">
        <v>324</v>
      </c>
      <c r="B1245" s="5" t="s">
        <v>210</v>
      </c>
      <c r="C1245" s="5" t="s">
        <v>209</v>
      </c>
      <c r="D1245" s="5" t="s">
        <v>8</v>
      </c>
      <c r="E1245" s="5" t="s">
        <v>9</v>
      </c>
      <c r="F1245" s="6">
        <v>45291</v>
      </c>
      <c r="G1245" s="5">
        <f t="shared" si="197"/>
        <v>2023</v>
      </c>
      <c r="H1245" s="5" t="str">
        <f t="shared" si="198"/>
        <v>Diciembre</v>
      </c>
      <c r="I1245" s="6" t="str">
        <f t="shared" si="195"/>
        <v>2023-2</v>
      </c>
      <c r="J1245" s="5">
        <v>12</v>
      </c>
      <c r="K1245" s="9">
        <v>12</v>
      </c>
      <c r="L1245" s="8">
        <f>IFERROR(K1245/J1245,"")</f>
        <v>1</v>
      </c>
      <c r="M1245" s="15">
        <f t="shared" si="200"/>
        <v>1</v>
      </c>
      <c r="N1245" s="5" t="s">
        <v>490</v>
      </c>
      <c r="O1245" s="5" t="s">
        <v>490</v>
      </c>
      <c r="P1245" s="16">
        <v>0</v>
      </c>
      <c r="Q1245" s="16">
        <v>0</v>
      </c>
      <c r="R1245" s="5" t="str">
        <f t="shared" si="196"/>
        <v>324-2023-12-31</v>
      </c>
    </row>
    <row r="1246" spans="1:18" x14ac:dyDescent="0.3">
      <c r="A1246" s="5">
        <v>324</v>
      </c>
      <c r="B1246" s="5" t="s">
        <v>210</v>
      </c>
      <c r="C1246" s="5" t="s">
        <v>209</v>
      </c>
      <c r="D1246" s="5" t="s">
        <v>8</v>
      </c>
      <c r="E1246" s="5" t="s">
        <v>9</v>
      </c>
      <c r="F1246" s="6">
        <v>45473</v>
      </c>
      <c r="G1246" s="5">
        <f t="shared" si="197"/>
        <v>2024</v>
      </c>
      <c r="H1246" s="5" t="str">
        <f t="shared" si="198"/>
        <v>Junio</v>
      </c>
      <c r="I1246" s="6" t="str">
        <f t="shared" si="195"/>
        <v>2024-1</v>
      </c>
      <c r="J1246" s="5">
        <v>0</v>
      </c>
      <c r="K1246" s="5">
        <v>0</v>
      </c>
      <c r="L1246" s="15" t="s">
        <v>417</v>
      </c>
      <c r="M1246" s="15" t="s">
        <v>417</v>
      </c>
      <c r="N1246" s="5" t="s">
        <v>490</v>
      </c>
      <c r="O1246" s="5" t="s">
        <v>490</v>
      </c>
      <c r="P1246" s="5">
        <v>0</v>
      </c>
      <c r="Q1246" s="5">
        <v>0</v>
      </c>
      <c r="R1246" s="5" t="str">
        <f t="shared" si="196"/>
        <v>324-2024-06-30</v>
      </c>
    </row>
    <row r="1247" spans="1:18" x14ac:dyDescent="0.3">
      <c r="A1247" s="26">
        <v>324</v>
      </c>
      <c r="B1247" s="5" t="s">
        <v>210</v>
      </c>
      <c r="C1247" s="5" t="s">
        <v>209</v>
      </c>
      <c r="D1247" s="5" t="s">
        <v>8</v>
      </c>
      <c r="E1247" s="5" t="s">
        <v>9</v>
      </c>
      <c r="F1247" s="6">
        <v>45657</v>
      </c>
      <c r="G1247" s="5">
        <f t="shared" si="197"/>
        <v>2024</v>
      </c>
      <c r="H1247" s="5" t="str">
        <f t="shared" si="198"/>
        <v>Diciembre</v>
      </c>
      <c r="I1247" s="6" t="str">
        <f t="shared" si="195"/>
        <v>2024-2</v>
      </c>
      <c r="J1247" s="5">
        <v>6</v>
      </c>
      <c r="K1247" s="10">
        <v>6</v>
      </c>
      <c r="L1247" s="15">
        <f>IFERROR(IF((K1247/J1247)&gt;1.3,1.3,K1247/J1247),"")</f>
        <v>1</v>
      </c>
      <c r="M1247" s="15">
        <f>IFERROR(IF((K1247/J1247)&gt;K1247/J1247,1.3,K1247/J1247),"")</f>
        <v>1</v>
      </c>
      <c r="N1247" s="5" t="s">
        <v>490</v>
      </c>
      <c r="O1247" s="5" t="s">
        <v>490</v>
      </c>
      <c r="P1247" s="16">
        <v>0</v>
      </c>
      <c r="Q1247" s="16">
        <v>0</v>
      </c>
      <c r="R1247" s="5" t="str">
        <f t="shared" si="196"/>
        <v>324-2024-12-31</v>
      </c>
    </row>
    <row r="1248" spans="1:18" x14ac:dyDescent="0.3">
      <c r="A1248" s="5">
        <v>325</v>
      </c>
      <c r="B1248" s="5" t="s">
        <v>211</v>
      </c>
      <c r="C1248" s="5" t="s">
        <v>209</v>
      </c>
      <c r="D1248" s="5" t="s">
        <v>8</v>
      </c>
      <c r="E1248" s="5" t="s">
        <v>9</v>
      </c>
      <c r="F1248" s="17">
        <v>44742</v>
      </c>
      <c r="G1248" s="5">
        <f t="shared" si="197"/>
        <v>2022</v>
      </c>
      <c r="H1248" s="5" t="str">
        <f t="shared" si="198"/>
        <v>Junio</v>
      </c>
      <c r="I1248" s="6" t="str">
        <f t="shared" si="195"/>
        <v>2022-1</v>
      </c>
      <c r="J1248" s="5">
        <v>3</v>
      </c>
      <c r="K1248" s="9">
        <v>3</v>
      </c>
      <c r="L1248" s="15">
        <v>1</v>
      </c>
      <c r="M1248" s="15">
        <v>1</v>
      </c>
      <c r="N1248" s="5" t="s">
        <v>490</v>
      </c>
      <c r="O1248" s="5" t="s">
        <v>490</v>
      </c>
      <c r="P1248" s="5">
        <v>0</v>
      </c>
      <c r="Q1248" s="5">
        <v>0</v>
      </c>
      <c r="R1248" s="5" t="str">
        <f t="shared" si="196"/>
        <v>325-2022-06-30</v>
      </c>
    </row>
    <row r="1249" spans="1:18" x14ac:dyDescent="0.3">
      <c r="A1249" s="5">
        <v>325</v>
      </c>
      <c r="B1249" s="5" t="s">
        <v>211</v>
      </c>
      <c r="C1249" s="5" t="s">
        <v>209</v>
      </c>
      <c r="D1249" s="5" t="s">
        <v>8</v>
      </c>
      <c r="E1249" s="5" t="s">
        <v>9</v>
      </c>
      <c r="F1249" s="17">
        <v>44926</v>
      </c>
      <c r="G1249" s="5">
        <f t="shared" si="197"/>
        <v>2022</v>
      </c>
      <c r="H1249" s="5" t="str">
        <f t="shared" si="198"/>
        <v>Diciembre</v>
      </c>
      <c r="I1249" s="6" t="str">
        <f t="shared" si="195"/>
        <v>2022-2</v>
      </c>
      <c r="J1249" s="5">
        <v>3</v>
      </c>
      <c r="K1249" s="9">
        <v>3</v>
      </c>
      <c r="L1249" s="15">
        <v>1</v>
      </c>
      <c r="M1249" s="15">
        <v>1</v>
      </c>
      <c r="N1249" s="5" t="s">
        <v>490</v>
      </c>
      <c r="O1249" s="5" t="s">
        <v>490</v>
      </c>
      <c r="P1249" s="5">
        <v>0</v>
      </c>
      <c r="Q1249" s="5">
        <v>0</v>
      </c>
      <c r="R1249" s="5" t="str">
        <f t="shared" si="196"/>
        <v>325-2022-12-31</v>
      </c>
    </row>
    <row r="1250" spans="1:18" x14ac:dyDescent="0.3">
      <c r="A1250" s="43">
        <v>325</v>
      </c>
      <c r="B1250" s="5" t="s">
        <v>211</v>
      </c>
      <c r="C1250" s="5" t="s">
        <v>209</v>
      </c>
      <c r="D1250" s="5" t="s">
        <v>8</v>
      </c>
      <c r="E1250" s="5" t="s">
        <v>9</v>
      </c>
      <c r="F1250" s="6">
        <v>45107</v>
      </c>
      <c r="G1250" s="5">
        <f t="shared" si="197"/>
        <v>2023</v>
      </c>
      <c r="H1250" s="5" t="str">
        <f t="shared" si="198"/>
        <v>Junio</v>
      </c>
      <c r="I1250" s="6" t="str">
        <f t="shared" si="195"/>
        <v>2023-1</v>
      </c>
      <c r="J1250" s="5">
        <v>1</v>
      </c>
      <c r="K1250" s="9">
        <v>1</v>
      </c>
      <c r="L1250" s="15">
        <v>1</v>
      </c>
      <c r="M1250" s="15">
        <f t="shared" ref="M1250:M1254" si="201">IFERROR(IF((K1250/J1250)&gt;K1250/J1250,1.3,K1250/J1250),"")</f>
        <v>1</v>
      </c>
      <c r="N1250" s="5" t="s">
        <v>490</v>
      </c>
      <c r="O1250" s="5" t="s">
        <v>490</v>
      </c>
      <c r="P1250" s="16">
        <v>0</v>
      </c>
      <c r="Q1250" s="16">
        <v>0</v>
      </c>
      <c r="R1250" s="5" t="str">
        <f t="shared" si="196"/>
        <v>325-2023-06-30</v>
      </c>
    </row>
    <row r="1251" spans="1:18" x14ac:dyDescent="0.3">
      <c r="A1251" s="39">
        <v>325</v>
      </c>
      <c r="B1251" s="5" t="s">
        <v>211</v>
      </c>
      <c r="C1251" s="5" t="s">
        <v>209</v>
      </c>
      <c r="D1251" s="5" t="s">
        <v>8</v>
      </c>
      <c r="E1251" s="5" t="s">
        <v>9</v>
      </c>
      <c r="F1251" s="6">
        <v>45291</v>
      </c>
      <c r="G1251" s="5">
        <f t="shared" si="197"/>
        <v>2023</v>
      </c>
      <c r="H1251" s="5" t="str">
        <f t="shared" si="198"/>
        <v>Diciembre</v>
      </c>
      <c r="I1251" s="6" t="str">
        <f t="shared" si="195"/>
        <v>2023-2</v>
      </c>
      <c r="J1251" s="5">
        <v>0</v>
      </c>
      <c r="K1251" s="9">
        <v>0</v>
      </c>
      <c r="L1251" s="15" t="str">
        <f>IFERROR(IF((K1251/J1251)&gt;1.3,1.3,K1251/J1251),"")</f>
        <v/>
      </c>
      <c r="M1251" s="15" t="str">
        <f t="shared" si="201"/>
        <v/>
      </c>
      <c r="N1251" s="5"/>
      <c r="O1251" s="5"/>
      <c r="P1251" s="16">
        <v>0</v>
      </c>
      <c r="Q1251" s="16">
        <v>0</v>
      </c>
      <c r="R1251" s="5" t="str">
        <f t="shared" si="196"/>
        <v>325-2023-12-31</v>
      </c>
    </row>
    <row r="1252" spans="1:18" x14ac:dyDescent="0.3">
      <c r="A1252" s="43">
        <v>325</v>
      </c>
      <c r="B1252" s="5" t="s">
        <v>211</v>
      </c>
      <c r="C1252" s="5" t="s">
        <v>209</v>
      </c>
      <c r="D1252" s="5" t="s">
        <v>8</v>
      </c>
      <c r="E1252" s="5" t="s">
        <v>9</v>
      </c>
      <c r="F1252" s="6">
        <v>45473</v>
      </c>
      <c r="G1252" s="5">
        <f t="shared" si="197"/>
        <v>2024</v>
      </c>
      <c r="H1252" s="5" t="str">
        <f t="shared" si="198"/>
        <v>Junio</v>
      </c>
      <c r="I1252" s="6" t="str">
        <f t="shared" si="195"/>
        <v>2024-1</v>
      </c>
      <c r="J1252" s="5">
        <v>5</v>
      </c>
      <c r="K1252" s="9">
        <v>5</v>
      </c>
      <c r="L1252" s="15">
        <v>1</v>
      </c>
      <c r="M1252" s="15">
        <f t="shared" si="201"/>
        <v>1</v>
      </c>
      <c r="N1252" s="5" t="s">
        <v>490</v>
      </c>
      <c r="O1252" s="5" t="s">
        <v>490</v>
      </c>
      <c r="P1252" s="16">
        <v>0</v>
      </c>
      <c r="Q1252" s="16">
        <v>0</v>
      </c>
      <c r="R1252" s="5" t="str">
        <f t="shared" si="196"/>
        <v>325-2024-06-30</v>
      </c>
    </row>
    <row r="1253" spans="1:18" x14ac:dyDescent="0.3">
      <c r="A1253" s="43">
        <v>325</v>
      </c>
      <c r="B1253" s="5" t="s">
        <v>211</v>
      </c>
      <c r="C1253" s="5" t="s">
        <v>209</v>
      </c>
      <c r="D1253" s="5" t="s">
        <v>8</v>
      </c>
      <c r="E1253" s="5" t="s">
        <v>9</v>
      </c>
      <c r="F1253" s="6">
        <v>45657</v>
      </c>
      <c r="G1253" s="5">
        <f t="shared" si="197"/>
        <v>2024</v>
      </c>
      <c r="H1253" s="5" t="str">
        <f t="shared" si="198"/>
        <v>Diciembre</v>
      </c>
      <c r="I1253" s="6" t="str">
        <f t="shared" si="195"/>
        <v>2024-2</v>
      </c>
      <c r="J1253" s="5">
        <v>3</v>
      </c>
      <c r="K1253" s="9">
        <v>3</v>
      </c>
      <c r="L1253" s="15">
        <v>1</v>
      </c>
      <c r="M1253" s="15">
        <f t="shared" si="201"/>
        <v>1</v>
      </c>
      <c r="N1253" s="5" t="s">
        <v>490</v>
      </c>
      <c r="O1253" s="5" t="s">
        <v>490</v>
      </c>
      <c r="P1253" s="16">
        <v>0</v>
      </c>
      <c r="Q1253" s="16">
        <v>0</v>
      </c>
      <c r="R1253" s="5" t="str">
        <f t="shared" si="196"/>
        <v>325-2024-12-31</v>
      </c>
    </row>
    <row r="1254" spans="1:18" x14ac:dyDescent="0.3">
      <c r="A1254" s="39">
        <v>326</v>
      </c>
      <c r="B1254" s="5" t="s">
        <v>212</v>
      </c>
      <c r="C1254" s="5" t="s">
        <v>158</v>
      </c>
      <c r="D1254" s="5" t="s">
        <v>25</v>
      </c>
      <c r="E1254" s="5" t="s">
        <v>9</v>
      </c>
      <c r="F1254" s="6">
        <v>45291</v>
      </c>
      <c r="G1254" s="5">
        <f t="shared" si="197"/>
        <v>2023</v>
      </c>
      <c r="H1254" s="5" t="str">
        <f t="shared" si="198"/>
        <v>Diciembre</v>
      </c>
      <c r="I1254" s="6" t="str">
        <f t="shared" si="195"/>
        <v>2023-2</v>
      </c>
      <c r="J1254" s="5">
        <v>5</v>
      </c>
      <c r="K1254" s="9">
        <v>5</v>
      </c>
      <c r="L1254" s="8">
        <f>IFERROR(K1254/J1254,"")</f>
        <v>1</v>
      </c>
      <c r="M1254" s="15">
        <f t="shared" si="201"/>
        <v>1</v>
      </c>
      <c r="N1254" s="5" t="s">
        <v>478</v>
      </c>
      <c r="O1254" s="5" t="s">
        <v>478</v>
      </c>
      <c r="P1254" s="16">
        <v>0</v>
      </c>
      <c r="Q1254" s="16">
        <v>0</v>
      </c>
      <c r="R1254" s="5" t="str">
        <f t="shared" si="196"/>
        <v>326-2023-12-31</v>
      </c>
    </row>
    <row r="1255" spans="1:18" x14ac:dyDescent="0.3">
      <c r="A1255" s="39">
        <v>327</v>
      </c>
      <c r="B1255" s="5" t="s">
        <v>213</v>
      </c>
      <c r="C1255" s="5" t="s">
        <v>158</v>
      </c>
      <c r="D1255" s="5" t="s">
        <v>8</v>
      </c>
      <c r="E1255" s="5" t="s">
        <v>9</v>
      </c>
      <c r="F1255" s="6">
        <v>44926</v>
      </c>
      <c r="G1255" s="5">
        <f t="shared" si="197"/>
        <v>2022</v>
      </c>
      <c r="H1255" s="5" t="str">
        <f t="shared" si="198"/>
        <v>Diciembre</v>
      </c>
      <c r="I1255" s="6" t="str">
        <f t="shared" ref="I1255:I1313" si="202">IF(OR(H1255="Enero",H1255="Febrero",H1255="Marzo",H1255="Abril",H1255="Mayo",H1255="Junio"),G1255&amp;"-1",IF(OR(H1255="Julio",H1255="Agosto",H1255="Septiembre",H1255="Octubre",H1255="Noviembre",H1255="Diciembre"),G1255&amp;"-2"))</f>
        <v>2022-2</v>
      </c>
      <c r="J1255" s="5">
        <v>0</v>
      </c>
      <c r="K1255" s="9">
        <v>0</v>
      </c>
      <c r="L1255" s="21" t="s">
        <v>417</v>
      </c>
      <c r="M1255" s="15" t="s">
        <v>417</v>
      </c>
      <c r="N1255" s="5"/>
      <c r="O1255" s="5"/>
      <c r="P1255" s="5">
        <v>0</v>
      </c>
      <c r="Q1255" s="5">
        <v>0</v>
      </c>
      <c r="R1255" s="5" t="str">
        <f t="shared" ref="R1255:R1313" si="203">A1255&amp;"-"&amp;YEAR(F1255)&amp;"-"&amp;IF(LEN(MONTH(F1255))=1,"0"&amp;MONTH(F1255),MONTH(F1255))&amp;"-"&amp;DAY(F1255)</f>
        <v>327-2022-12-31</v>
      </c>
    </row>
    <row r="1256" spans="1:18" x14ac:dyDescent="0.3">
      <c r="A1256" s="26">
        <v>327</v>
      </c>
      <c r="B1256" s="5" t="s">
        <v>213</v>
      </c>
      <c r="C1256" s="5" t="s">
        <v>158</v>
      </c>
      <c r="D1256" s="5" t="s">
        <v>8</v>
      </c>
      <c r="E1256" s="5" t="s">
        <v>9</v>
      </c>
      <c r="F1256" s="17">
        <v>45107</v>
      </c>
      <c r="G1256" s="5">
        <f t="shared" si="197"/>
        <v>2023</v>
      </c>
      <c r="H1256" s="5" t="str">
        <f t="shared" si="198"/>
        <v>Junio</v>
      </c>
      <c r="I1256" s="6" t="str">
        <f t="shared" si="202"/>
        <v>2023-1</v>
      </c>
      <c r="J1256" s="5">
        <v>0</v>
      </c>
      <c r="K1256" s="9">
        <v>0</v>
      </c>
      <c r="L1256" s="8" t="str">
        <f>IFERROR(K1256/J1256,"")</f>
        <v/>
      </c>
      <c r="M1256" s="15" t="str">
        <f t="shared" ref="M1256:M1265" si="204">IFERROR(IF((K1256/J1256)&gt;K1256/J1256,1.3,K1256/J1256),"")</f>
        <v/>
      </c>
      <c r="N1256" s="5"/>
      <c r="O1256" s="5"/>
      <c r="P1256" s="16">
        <v>0</v>
      </c>
      <c r="Q1256" s="16">
        <v>0</v>
      </c>
      <c r="R1256" s="5" t="str">
        <f t="shared" si="203"/>
        <v>327-2023-06-30</v>
      </c>
    </row>
    <row r="1257" spans="1:18" x14ac:dyDescent="0.3">
      <c r="A1257" s="39">
        <v>327</v>
      </c>
      <c r="B1257" s="5" t="s">
        <v>213</v>
      </c>
      <c r="C1257" s="5" t="s">
        <v>158</v>
      </c>
      <c r="D1257" s="5" t="s">
        <v>8</v>
      </c>
      <c r="E1257" s="5" t="s">
        <v>9</v>
      </c>
      <c r="F1257" s="6">
        <v>45291</v>
      </c>
      <c r="G1257" s="5">
        <f t="shared" si="197"/>
        <v>2023</v>
      </c>
      <c r="H1257" s="5" t="str">
        <f t="shared" si="198"/>
        <v>Diciembre</v>
      </c>
      <c r="I1257" s="6" t="str">
        <f t="shared" si="202"/>
        <v>2023-2</v>
      </c>
      <c r="J1257" s="5">
        <v>2</v>
      </c>
      <c r="K1257" s="9">
        <v>2</v>
      </c>
      <c r="L1257" s="8">
        <f>IFERROR(K1257/J1257,"")</f>
        <v>1</v>
      </c>
      <c r="M1257" s="15">
        <f t="shared" si="204"/>
        <v>1</v>
      </c>
      <c r="N1257" s="5"/>
      <c r="O1257" s="5"/>
      <c r="P1257" s="16">
        <v>0</v>
      </c>
      <c r="Q1257" s="16">
        <v>0</v>
      </c>
      <c r="R1257" s="5" t="str">
        <f t="shared" si="203"/>
        <v>327-2023-12-31</v>
      </c>
    </row>
    <row r="1258" spans="1:18" x14ac:dyDescent="0.3">
      <c r="A1258" s="26">
        <v>327</v>
      </c>
      <c r="B1258" s="5" t="s">
        <v>213</v>
      </c>
      <c r="C1258" s="5" t="s">
        <v>158</v>
      </c>
      <c r="D1258" s="5" t="s">
        <v>8</v>
      </c>
      <c r="E1258" s="5" t="s">
        <v>9</v>
      </c>
      <c r="F1258" s="17">
        <v>45473</v>
      </c>
      <c r="G1258" s="5">
        <f t="shared" si="197"/>
        <v>2024</v>
      </c>
      <c r="H1258" s="5" t="str">
        <f t="shared" si="198"/>
        <v>Junio</v>
      </c>
      <c r="I1258" s="6" t="str">
        <f t="shared" si="202"/>
        <v>2024-1</v>
      </c>
      <c r="J1258" s="5">
        <v>0</v>
      </c>
      <c r="K1258" s="9">
        <v>0</v>
      </c>
      <c r="L1258" s="8" t="str">
        <f>IFERROR(K1258/J1258,"")</f>
        <v/>
      </c>
      <c r="M1258" s="15" t="str">
        <f t="shared" si="204"/>
        <v/>
      </c>
      <c r="N1258" s="5"/>
      <c r="O1258" s="5"/>
      <c r="P1258" s="16">
        <v>0</v>
      </c>
      <c r="Q1258" s="16">
        <v>0</v>
      </c>
      <c r="R1258" s="5" t="str">
        <f t="shared" si="203"/>
        <v>327-2024-06-30</v>
      </c>
    </row>
    <row r="1259" spans="1:18" x14ac:dyDescent="0.3">
      <c r="A1259" s="26">
        <v>327</v>
      </c>
      <c r="B1259" s="5" t="s">
        <v>213</v>
      </c>
      <c r="C1259" s="5" t="s">
        <v>158</v>
      </c>
      <c r="D1259" s="5" t="s">
        <v>8</v>
      </c>
      <c r="E1259" s="5" t="s">
        <v>9</v>
      </c>
      <c r="F1259" s="6">
        <v>45657</v>
      </c>
      <c r="G1259" s="5">
        <f t="shared" si="197"/>
        <v>2024</v>
      </c>
      <c r="H1259" s="5" t="str">
        <f t="shared" si="198"/>
        <v>Diciembre</v>
      </c>
      <c r="I1259" s="6" t="str">
        <f t="shared" si="202"/>
        <v>2024-2</v>
      </c>
      <c r="J1259" s="5">
        <v>0</v>
      </c>
      <c r="K1259" s="10">
        <v>0</v>
      </c>
      <c r="L1259" s="15" t="str">
        <f>IFERROR(IF((K1259/J1259)&gt;1.3,1.3,K1259/J1259),"")</f>
        <v/>
      </c>
      <c r="M1259" s="15" t="str">
        <f t="shared" si="204"/>
        <v/>
      </c>
      <c r="N1259" s="5"/>
      <c r="O1259" s="5"/>
      <c r="P1259" s="16">
        <v>0</v>
      </c>
      <c r="Q1259" s="16">
        <v>0</v>
      </c>
      <c r="R1259" s="5" t="str">
        <f t="shared" si="203"/>
        <v>327-2024-12-31</v>
      </c>
    </row>
    <row r="1260" spans="1:18" x14ac:dyDescent="0.3">
      <c r="A1260" s="39">
        <v>328</v>
      </c>
      <c r="B1260" s="5" t="s">
        <v>459</v>
      </c>
      <c r="C1260" s="5" t="s">
        <v>214</v>
      </c>
      <c r="D1260" s="5" t="s">
        <v>25</v>
      </c>
      <c r="E1260" s="5" t="s">
        <v>9</v>
      </c>
      <c r="F1260" s="6">
        <v>45291</v>
      </c>
      <c r="G1260" s="5">
        <f t="shared" si="197"/>
        <v>2023</v>
      </c>
      <c r="H1260" s="5" t="str">
        <f t="shared" si="198"/>
        <v>Diciembre</v>
      </c>
      <c r="I1260" s="6" t="str">
        <f t="shared" si="202"/>
        <v>2023-2</v>
      </c>
      <c r="J1260" s="5">
        <v>800</v>
      </c>
      <c r="K1260" s="9">
        <v>1035</v>
      </c>
      <c r="L1260" s="8">
        <f>IFERROR(K1260/J1260,"")</f>
        <v>1.29375</v>
      </c>
      <c r="M1260" s="15">
        <f t="shared" si="204"/>
        <v>1.29375</v>
      </c>
      <c r="N1260" s="5"/>
      <c r="O1260" s="5"/>
      <c r="P1260" s="16">
        <v>0</v>
      </c>
      <c r="Q1260" s="16">
        <v>0</v>
      </c>
      <c r="R1260" s="5" t="str">
        <f t="shared" si="203"/>
        <v>328-2023-12-31</v>
      </c>
    </row>
    <row r="1261" spans="1:18" x14ac:dyDescent="0.3">
      <c r="A1261" s="26">
        <v>328</v>
      </c>
      <c r="B1261" s="5" t="s">
        <v>459</v>
      </c>
      <c r="C1261" s="5" t="s">
        <v>214</v>
      </c>
      <c r="D1261" s="5" t="s">
        <v>25</v>
      </c>
      <c r="E1261" s="5" t="s">
        <v>9</v>
      </c>
      <c r="F1261" s="6">
        <v>45657</v>
      </c>
      <c r="G1261" s="5">
        <f t="shared" si="197"/>
        <v>2024</v>
      </c>
      <c r="H1261" s="5" t="str">
        <f t="shared" si="198"/>
        <v>Diciembre</v>
      </c>
      <c r="I1261" s="6" t="str">
        <f t="shared" si="202"/>
        <v>2024-2</v>
      </c>
      <c r="J1261" s="5">
        <v>100</v>
      </c>
      <c r="K1261" s="10">
        <v>157</v>
      </c>
      <c r="L1261" s="15">
        <f>IFERROR(IF((K1261/J1261)&gt;1.3,1.3,K1261/J1261),"")</f>
        <v>1.3</v>
      </c>
      <c r="M1261" s="15">
        <f t="shared" si="204"/>
        <v>1.57</v>
      </c>
      <c r="N1261" s="5"/>
      <c r="O1261" s="5"/>
      <c r="P1261" s="16">
        <v>0</v>
      </c>
      <c r="Q1261" s="16">
        <v>0</v>
      </c>
      <c r="R1261" s="5" t="str">
        <f t="shared" si="203"/>
        <v>328-2024-12-31</v>
      </c>
    </row>
    <row r="1262" spans="1:18" x14ac:dyDescent="0.3">
      <c r="A1262" s="39">
        <v>329</v>
      </c>
      <c r="B1262" s="5" t="s">
        <v>215</v>
      </c>
      <c r="C1262" s="5" t="s">
        <v>214</v>
      </c>
      <c r="D1262" s="5" t="s">
        <v>25</v>
      </c>
      <c r="E1262" s="5" t="s">
        <v>9</v>
      </c>
      <c r="F1262" s="6">
        <v>45291</v>
      </c>
      <c r="G1262" s="5">
        <f t="shared" si="197"/>
        <v>2023</v>
      </c>
      <c r="H1262" s="5" t="str">
        <f t="shared" si="198"/>
        <v>Diciembre</v>
      </c>
      <c r="I1262" s="6" t="str">
        <f t="shared" si="202"/>
        <v>2023-2</v>
      </c>
      <c r="J1262" s="5">
        <v>3000</v>
      </c>
      <c r="K1262" s="9">
        <v>3315</v>
      </c>
      <c r="L1262" s="8">
        <f>IFERROR(K1262/J1262,"")</f>
        <v>1.105</v>
      </c>
      <c r="M1262" s="15">
        <f t="shared" si="204"/>
        <v>1.105</v>
      </c>
      <c r="N1262" s="5"/>
      <c r="O1262" s="5"/>
      <c r="P1262" s="16">
        <v>0</v>
      </c>
      <c r="Q1262" s="16">
        <v>0</v>
      </c>
      <c r="R1262" s="5" t="str">
        <f t="shared" si="203"/>
        <v>329-2023-12-31</v>
      </c>
    </row>
    <row r="1263" spans="1:18" x14ac:dyDescent="0.3">
      <c r="A1263" s="26">
        <v>329</v>
      </c>
      <c r="B1263" s="5" t="s">
        <v>215</v>
      </c>
      <c r="C1263" s="5" t="s">
        <v>214</v>
      </c>
      <c r="D1263" s="5" t="s">
        <v>25</v>
      </c>
      <c r="E1263" s="5" t="s">
        <v>9</v>
      </c>
      <c r="F1263" s="6">
        <v>45657</v>
      </c>
      <c r="G1263" s="5">
        <f t="shared" si="197"/>
        <v>2024</v>
      </c>
      <c r="H1263" s="5" t="str">
        <f t="shared" si="198"/>
        <v>Diciembre</v>
      </c>
      <c r="I1263" s="6" t="str">
        <f t="shared" si="202"/>
        <v>2024-2</v>
      </c>
      <c r="J1263" s="5">
        <v>100</v>
      </c>
      <c r="K1263" s="10">
        <v>106.63</v>
      </c>
      <c r="L1263" s="15">
        <f>IFERROR(IF((K1263/J1263)&gt;1.3,1.3,K1263/J1263),"")</f>
        <v>1.0663</v>
      </c>
      <c r="M1263" s="15">
        <f t="shared" si="204"/>
        <v>1.0663</v>
      </c>
      <c r="N1263" s="5"/>
      <c r="O1263" s="5"/>
      <c r="P1263" s="16">
        <v>0</v>
      </c>
      <c r="Q1263" s="16">
        <v>0</v>
      </c>
      <c r="R1263" s="5" t="str">
        <f t="shared" si="203"/>
        <v>329-2024-12-31</v>
      </c>
    </row>
    <row r="1264" spans="1:18" x14ac:dyDescent="0.3">
      <c r="A1264" s="39">
        <v>331</v>
      </c>
      <c r="B1264" s="5" t="s">
        <v>216</v>
      </c>
      <c r="C1264" s="5" t="s">
        <v>214</v>
      </c>
      <c r="D1264" s="5" t="s">
        <v>25</v>
      </c>
      <c r="E1264" s="5" t="s">
        <v>9</v>
      </c>
      <c r="F1264" s="6">
        <v>45291</v>
      </c>
      <c r="G1264" s="5">
        <f t="shared" si="197"/>
        <v>2023</v>
      </c>
      <c r="H1264" s="5" t="str">
        <f t="shared" si="198"/>
        <v>Diciembre</v>
      </c>
      <c r="I1264" s="6" t="str">
        <f t="shared" si="202"/>
        <v>2023-2</v>
      </c>
      <c r="J1264" s="5"/>
      <c r="K1264" s="9">
        <v>81</v>
      </c>
      <c r="L1264" s="21">
        <v>0.81</v>
      </c>
      <c r="M1264" s="15" t="str">
        <f t="shared" si="204"/>
        <v/>
      </c>
      <c r="N1264" s="5" t="s">
        <v>477</v>
      </c>
      <c r="O1264" s="5" t="s">
        <v>347</v>
      </c>
      <c r="P1264" s="16">
        <v>0</v>
      </c>
      <c r="Q1264" s="16">
        <v>0</v>
      </c>
      <c r="R1264" s="5" t="str">
        <f t="shared" si="203"/>
        <v>331-2023-12-31</v>
      </c>
    </row>
    <row r="1265" spans="1:18" x14ac:dyDescent="0.3">
      <c r="A1265" s="26">
        <v>331</v>
      </c>
      <c r="B1265" s="5" t="s">
        <v>216</v>
      </c>
      <c r="C1265" s="5" t="s">
        <v>214</v>
      </c>
      <c r="D1265" s="5" t="s">
        <v>25</v>
      </c>
      <c r="E1265" s="5" t="s">
        <v>9</v>
      </c>
      <c r="F1265" s="6">
        <v>45657</v>
      </c>
      <c r="G1265" s="5">
        <f t="shared" si="197"/>
        <v>2024</v>
      </c>
      <c r="H1265" s="5" t="str">
        <f t="shared" si="198"/>
        <v>Diciembre</v>
      </c>
      <c r="I1265" s="6" t="str">
        <f t="shared" si="202"/>
        <v>2024-2</v>
      </c>
      <c r="J1265" s="5">
        <v>0</v>
      </c>
      <c r="K1265" s="10">
        <v>82</v>
      </c>
      <c r="L1265" s="15" t="str">
        <f>IFERROR(IF((K1265/J1265)&gt;1.3,1.3,K1265/J1265),"")</f>
        <v/>
      </c>
      <c r="M1265" s="15" t="str">
        <f t="shared" si="204"/>
        <v/>
      </c>
      <c r="N1265" s="5" t="s">
        <v>477</v>
      </c>
      <c r="O1265" s="5" t="s">
        <v>347</v>
      </c>
      <c r="P1265" s="16">
        <v>0</v>
      </c>
      <c r="Q1265" s="16">
        <v>0</v>
      </c>
      <c r="R1265" s="5" t="str">
        <f t="shared" si="203"/>
        <v>331-2024-12-31</v>
      </c>
    </row>
    <row r="1266" spans="1:18" x14ac:dyDescent="0.3">
      <c r="A1266" s="5">
        <v>332</v>
      </c>
      <c r="B1266" s="5" t="s">
        <v>217</v>
      </c>
      <c r="C1266" s="5" t="s">
        <v>13</v>
      </c>
      <c r="D1266" s="5" t="s">
        <v>8</v>
      </c>
      <c r="E1266" s="5" t="s">
        <v>14</v>
      </c>
      <c r="F1266" s="17">
        <v>44742</v>
      </c>
      <c r="G1266" s="5">
        <f t="shared" si="197"/>
        <v>2022</v>
      </c>
      <c r="H1266" s="5" t="str">
        <f t="shared" si="198"/>
        <v>Junio</v>
      </c>
      <c r="I1266" s="6" t="str">
        <f t="shared" si="202"/>
        <v>2022-1</v>
      </c>
      <c r="J1266" s="5">
        <v>1.6</v>
      </c>
      <c r="K1266" s="12">
        <v>1.8</v>
      </c>
      <c r="L1266" s="15">
        <v>0.88888888888888895</v>
      </c>
      <c r="M1266" s="15">
        <v>0.88888888888888895</v>
      </c>
      <c r="N1266" s="5" t="s">
        <v>347</v>
      </c>
      <c r="O1266" s="5" t="s">
        <v>347</v>
      </c>
      <c r="P1266" s="5">
        <v>1</v>
      </c>
      <c r="Q1266" s="5">
        <v>1</v>
      </c>
      <c r="R1266" s="5" t="str">
        <f t="shared" si="203"/>
        <v>332-2022-06-30</v>
      </c>
    </row>
    <row r="1267" spans="1:18" x14ac:dyDescent="0.3">
      <c r="A1267" s="5">
        <v>332</v>
      </c>
      <c r="B1267" s="5" t="s">
        <v>217</v>
      </c>
      <c r="C1267" s="5" t="s">
        <v>13</v>
      </c>
      <c r="D1267" s="5" t="s">
        <v>8</v>
      </c>
      <c r="E1267" s="5" t="s">
        <v>14</v>
      </c>
      <c r="F1267" s="17">
        <v>44926</v>
      </c>
      <c r="G1267" s="5">
        <f t="shared" si="197"/>
        <v>2022</v>
      </c>
      <c r="H1267" s="5" t="str">
        <f t="shared" si="198"/>
        <v>Diciembre</v>
      </c>
      <c r="I1267" s="6" t="str">
        <f t="shared" si="202"/>
        <v>2022-2</v>
      </c>
      <c r="J1267" s="5">
        <v>1.6</v>
      </c>
      <c r="K1267" s="12">
        <v>1.75</v>
      </c>
      <c r="L1267" s="15">
        <v>0.91428571428571437</v>
      </c>
      <c r="M1267" s="15">
        <v>0.91428571428571437</v>
      </c>
      <c r="N1267" s="5" t="s">
        <v>347</v>
      </c>
      <c r="O1267" s="5" t="s">
        <v>347</v>
      </c>
      <c r="P1267" s="5">
        <v>1</v>
      </c>
      <c r="Q1267" s="5">
        <v>1</v>
      </c>
      <c r="R1267" s="5" t="str">
        <f t="shared" si="203"/>
        <v>332-2022-12-31</v>
      </c>
    </row>
    <row r="1268" spans="1:18" x14ac:dyDescent="0.3">
      <c r="A1268" s="26">
        <v>332</v>
      </c>
      <c r="B1268" s="5" t="s">
        <v>217</v>
      </c>
      <c r="C1268" s="5" t="s">
        <v>13</v>
      </c>
      <c r="D1268" s="5" t="s">
        <v>8</v>
      </c>
      <c r="E1268" s="5" t="s">
        <v>14</v>
      </c>
      <c r="F1268" s="17">
        <v>45107</v>
      </c>
      <c r="G1268" s="5">
        <f t="shared" si="197"/>
        <v>2023</v>
      </c>
      <c r="H1268" s="5" t="str">
        <f t="shared" si="198"/>
        <v>Junio</v>
      </c>
      <c r="I1268" s="6" t="str">
        <f t="shared" si="202"/>
        <v>2023-1</v>
      </c>
      <c r="J1268" s="5">
        <v>1.8</v>
      </c>
      <c r="K1268" s="12">
        <v>1.57</v>
      </c>
      <c r="L1268" s="15">
        <f>IFERROR(IF((J1268/K1268)&gt;1.3,1.3,J1268/K1268),"")</f>
        <v>1.1464968152866242</v>
      </c>
      <c r="M1268" s="8">
        <f>IFERROR(J1268/K1268,"")</f>
        <v>1.1464968152866242</v>
      </c>
      <c r="N1268" s="5" t="s">
        <v>347</v>
      </c>
      <c r="O1268" s="5" t="s">
        <v>347</v>
      </c>
      <c r="P1268" s="16">
        <v>2</v>
      </c>
      <c r="Q1268" s="16">
        <v>2</v>
      </c>
      <c r="R1268" s="5" t="str">
        <f t="shared" si="203"/>
        <v>332-2023-06-30</v>
      </c>
    </row>
    <row r="1269" spans="1:18" x14ac:dyDescent="0.3">
      <c r="A1269" s="39">
        <v>332</v>
      </c>
      <c r="B1269" s="5" t="s">
        <v>217</v>
      </c>
      <c r="C1269" s="5" t="s">
        <v>13</v>
      </c>
      <c r="D1269" s="5" t="s">
        <v>8</v>
      </c>
      <c r="E1269" s="5" t="s">
        <v>14</v>
      </c>
      <c r="F1269" s="6">
        <v>45291</v>
      </c>
      <c r="G1269" s="5">
        <f t="shared" si="197"/>
        <v>2023</v>
      </c>
      <c r="H1269" s="5" t="str">
        <f t="shared" si="198"/>
        <v>Diciembre</v>
      </c>
      <c r="I1269" s="6" t="str">
        <f t="shared" si="202"/>
        <v>2023-2</v>
      </c>
      <c r="J1269" s="5">
        <v>1.8</v>
      </c>
      <c r="K1269" s="12">
        <v>1.3</v>
      </c>
      <c r="L1269" s="15">
        <f>IFERROR(IF((J1269/K1269)&gt;1.3,1.3,J1269/K1269),"")</f>
        <v>1.3</v>
      </c>
      <c r="M1269" s="8">
        <f>IFERROR(J1269/K1269,"")</f>
        <v>1.3846153846153846</v>
      </c>
      <c r="N1269" s="5" t="s">
        <v>347</v>
      </c>
      <c r="O1269" s="5" t="s">
        <v>347</v>
      </c>
      <c r="P1269" s="16">
        <v>1</v>
      </c>
      <c r="Q1269" s="16">
        <v>1</v>
      </c>
      <c r="R1269" s="5" t="str">
        <f t="shared" si="203"/>
        <v>332-2023-12-31</v>
      </c>
    </row>
    <row r="1270" spans="1:18" x14ac:dyDescent="0.3">
      <c r="A1270" s="26">
        <v>332</v>
      </c>
      <c r="B1270" s="5" t="s">
        <v>217</v>
      </c>
      <c r="C1270" s="5" t="s">
        <v>13</v>
      </c>
      <c r="D1270" s="5" t="s">
        <v>8</v>
      </c>
      <c r="E1270" s="5" t="s">
        <v>14</v>
      </c>
      <c r="F1270" s="17">
        <v>45473</v>
      </c>
      <c r="G1270" s="5">
        <f t="shared" si="197"/>
        <v>2024</v>
      </c>
      <c r="H1270" s="5" t="str">
        <f t="shared" si="198"/>
        <v>Junio</v>
      </c>
      <c r="I1270" s="6" t="str">
        <f t="shared" si="202"/>
        <v>2024-1</v>
      </c>
      <c r="J1270" s="5">
        <v>1.5</v>
      </c>
      <c r="K1270" s="12">
        <v>1.48</v>
      </c>
      <c r="L1270" s="15">
        <f>IFERROR(IF((J1270/K1270)&gt;1.3,1.3,J1270/K1270),"")</f>
        <v>1.0135135135135136</v>
      </c>
      <c r="M1270" s="8">
        <f>IFERROR(J1270/K1270,"")</f>
        <v>1.0135135135135136</v>
      </c>
      <c r="N1270" s="5" t="s">
        <v>347</v>
      </c>
      <c r="O1270" s="5" t="s">
        <v>347</v>
      </c>
      <c r="P1270" s="16">
        <v>2</v>
      </c>
      <c r="Q1270" s="16">
        <v>2</v>
      </c>
      <c r="R1270" s="5" t="str">
        <f t="shared" si="203"/>
        <v>332-2024-06-30</v>
      </c>
    </row>
    <row r="1271" spans="1:18" x14ac:dyDescent="0.3">
      <c r="A1271" s="26">
        <v>332</v>
      </c>
      <c r="B1271" s="5" t="s">
        <v>217</v>
      </c>
      <c r="C1271" s="5" t="s">
        <v>13</v>
      </c>
      <c r="D1271" s="5" t="s">
        <v>8</v>
      </c>
      <c r="E1271" s="5" t="s">
        <v>14</v>
      </c>
      <c r="F1271" s="6">
        <v>45657</v>
      </c>
      <c r="G1271" s="5">
        <f t="shared" si="197"/>
        <v>2024</v>
      </c>
      <c r="H1271" s="5" t="str">
        <f t="shared" si="198"/>
        <v>Diciembre</v>
      </c>
      <c r="I1271" s="6" t="str">
        <f t="shared" si="202"/>
        <v>2024-2</v>
      </c>
      <c r="J1271" s="5">
        <v>1.8</v>
      </c>
      <c r="K1271" s="10">
        <v>0.82</v>
      </c>
      <c r="L1271" s="15">
        <f>IFERROR(IF((J1271/K1271)&gt;1.3,1.3,J1271/K1271),"")</f>
        <v>1.3</v>
      </c>
      <c r="M1271" s="8">
        <f>IFERROR(J1271/K1271,"")</f>
        <v>2.1951219512195124</v>
      </c>
      <c r="N1271" s="5" t="s">
        <v>347</v>
      </c>
      <c r="O1271" s="5" t="s">
        <v>347</v>
      </c>
      <c r="P1271" s="16">
        <v>2</v>
      </c>
      <c r="Q1271" s="16">
        <v>2</v>
      </c>
      <c r="R1271" s="5" t="str">
        <f t="shared" si="203"/>
        <v>332-2024-12-31</v>
      </c>
    </row>
    <row r="1272" spans="1:18" x14ac:dyDescent="0.3">
      <c r="A1272" s="5">
        <v>334</v>
      </c>
      <c r="B1272" s="5" t="s">
        <v>218</v>
      </c>
      <c r="C1272" s="5" t="s">
        <v>13</v>
      </c>
      <c r="D1272" s="5" t="s">
        <v>25</v>
      </c>
      <c r="E1272" s="5" t="s">
        <v>9</v>
      </c>
      <c r="F1272" s="6">
        <v>44926</v>
      </c>
      <c r="G1272" s="5">
        <f t="shared" si="197"/>
        <v>2022</v>
      </c>
      <c r="H1272" s="5" t="str">
        <f t="shared" si="198"/>
        <v>Diciembre</v>
      </c>
      <c r="I1272" s="6" t="str">
        <f t="shared" si="202"/>
        <v>2022-2</v>
      </c>
      <c r="J1272" s="5">
        <v>86</v>
      </c>
      <c r="K1272" s="5">
        <v>86</v>
      </c>
      <c r="L1272" s="15">
        <v>1</v>
      </c>
      <c r="M1272" s="15">
        <v>1</v>
      </c>
      <c r="N1272" s="5" t="s">
        <v>490</v>
      </c>
      <c r="O1272" s="5" t="s">
        <v>490</v>
      </c>
      <c r="P1272" s="5">
        <v>0</v>
      </c>
      <c r="Q1272" s="5">
        <v>0</v>
      </c>
      <c r="R1272" s="5" t="str">
        <f t="shared" si="203"/>
        <v>334-2022-12-31</v>
      </c>
    </row>
    <row r="1273" spans="1:18" x14ac:dyDescent="0.3">
      <c r="A1273" s="39">
        <v>334</v>
      </c>
      <c r="B1273" s="5" t="s">
        <v>218</v>
      </c>
      <c r="C1273" s="5" t="s">
        <v>13</v>
      </c>
      <c r="D1273" s="5" t="s">
        <v>25</v>
      </c>
      <c r="E1273" s="5" t="s">
        <v>9</v>
      </c>
      <c r="F1273" s="6">
        <v>45291</v>
      </c>
      <c r="G1273" s="5">
        <f t="shared" si="197"/>
        <v>2023</v>
      </c>
      <c r="H1273" s="5" t="str">
        <f t="shared" si="198"/>
        <v>Diciembre</v>
      </c>
      <c r="I1273" s="6" t="str">
        <f t="shared" si="202"/>
        <v>2023-2</v>
      </c>
      <c r="J1273" s="5">
        <v>88</v>
      </c>
      <c r="K1273" s="9">
        <v>88.39</v>
      </c>
      <c r="L1273" s="15">
        <f>IFERROR(IF((K1273/J1273)&gt;1.3,1.3,K1273/J1273),"")</f>
        <v>1.0044318181818181</v>
      </c>
      <c r="M1273" s="15">
        <f t="shared" ref="M1273:M1278" si="205">IFERROR(IF((K1273/J1273)&gt;K1273/J1273,1.3,K1273/J1273),"")</f>
        <v>1.0044318181818181</v>
      </c>
      <c r="N1273" s="5" t="s">
        <v>490</v>
      </c>
      <c r="O1273" s="5" t="s">
        <v>490</v>
      </c>
      <c r="P1273" s="16">
        <v>0</v>
      </c>
      <c r="Q1273" s="16">
        <v>0</v>
      </c>
      <c r="R1273" s="5" t="str">
        <f t="shared" si="203"/>
        <v>334-2023-12-31</v>
      </c>
    </row>
    <row r="1274" spans="1:18" x14ac:dyDescent="0.3">
      <c r="A1274" s="26">
        <v>334</v>
      </c>
      <c r="B1274" s="5" t="s">
        <v>218</v>
      </c>
      <c r="C1274" s="5" t="s">
        <v>13</v>
      </c>
      <c r="D1274" s="5" t="s">
        <v>25</v>
      </c>
      <c r="E1274" s="5" t="s">
        <v>9</v>
      </c>
      <c r="F1274" s="6">
        <v>45657</v>
      </c>
      <c r="G1274" s="5">
        <f t="shared" si="197"/>
        <v>2024</v>
      </c>
      <c r="H1274" s="5" t="str">
        <f t="shared" si="198"/>
        <v>Diciembre</v>
      </c>
      <c r="I1274" s="6" t="str">
        <f t="shared" si="202"/>
        <v>2024-2</v>
      </c>
      <c r="J1274" s="5">
        <v>88</v>
      </c>
      <c r="K1274" s="10">
        <v>88.84</v>
      </c>
      <c r="L1274" s="15">
        <f>IFERROR(IF((K1274/J1274)&gt;1.3,1.3,K1274/J1274),"")</f>
        <v>1.0095454545454545</v>
      </c>
      <c r="M1274" s="15">
        <f t="shared" si="205"/>
        <v>1.0095454545454545</v>
      </c>
      <c r="N1274" s="5" t="s">
        <v>490</v>
      </c>
      <c r="O1274" s="5" t="s">
        <v>490</v>
      </c>
      <c r="P1274" s="16">
        <v>0</v>
      </c>
      <c r="Q1274" s="16">
        <v>0</v>
      </c>
      <c r="R1274" s="5" t="str">
        <f t="shared" si="203"/>
        <v>334-2024-12-31</v>
      </c>
    </row>
    <row r="1275" spans="1:18" x14ac:dyDescent="0.3">
      <c r="A1275" s="39">
        <v>335</v>
      </c>
      <c r="B1275" s="5" t="s">
        <v>219</v>
      </c>
      <c r="C1275" s="5" t="s">
        <v>13</v>
      </c>
      <c r="D1275" s="5" t="s">
        <v>25</v>
      </c>
      <c r="E1275" s="5" t="s">
        <v>9</v>
      </c>
      <c r="F1275" s="6">
        <v>45291</v>
      </c>
      <c r="G1275" s="5">
        <f t="shared" si="197"/>
        <v>2023</v>
      </c>
      <c r="H1275" s="5" t="str">
        <f t="shared" si="198"/>
        <v>Diciembre</v>
      </c>
      <c r="I1275" s="6" t="str">
        <f t="shared" si="202"/>
        <v>2023-2</v>
      </c>
      <c r="J1275" s="5">
        <v>80</v>
      </c>
      <c r="K1275" s="9">
        <v>93.85</v>
      </c>
      <c r="L1275" s="8">
        <f>IFERROR(K1275/J1275,"")</f>
        <v>1.173125</v>
      </c>
      <c r="M1275" s="15">
        <f t="shared" si="205"/>
        <v>1.173125</v>
      </c>
      <c r="N1275" s="5" t="s">
        <v>347</v>
      </c>
      <c r="O1275" s="5" t="s">
        <v>347</v>
      </c>
      <c r="P1275" s="16">
        <v>0</v>
      </c>
      <c r="Q1275" s="16">
        <v>0</v>
      </c>
      <c r="R1275" s="5" t="str">
        <f t="shared" si="203"/>
        <v>335-2023-12-31</v>
      </c>
    </row>
    <row r="1276" spans="1:18" x14ac:dyDescent="0.3">
      <c r="A1276" s="26">
        <v>335</v>
      </c>
      <c r="B1276" s="5" t="s">
        <v>219</v>
      </c>
      <c r="C1276" s="5" t="s">
        <v>13</v>
      </c>
      <c r="D1276" s="5" t="s">
        <v>25</v>
      </c>
      <c r="E1276" s="5" t="s">
        <v>9</v>
      </c>
      <c r="F1276" s="6">
        <v>45657</v>
      </c>
      <c r="G1276" s="5">
        <f t="shared" si="197"/>
        <v>2024</v>
      </c>
      <c r="H1276" s="5" t="str">
        <f t="shared" si="198"/>
        <v>Diciembre</v>
      </c>
      <c r="I1276" s="6" t="str">
        <f t="shared" si="202"/>
        <v>2024-2</v>
      </c>
      <c r="J1276" s="5">
        <v>82</v>
      </c>
      <c r="K1276" s="10">
        <v>80.95</v>
      </c>
      <c r="L1276" s="15">
        <f>IFERROR(IF((K1276/J1276)&gt;1.3,1.3,K1276/J1276),"")</f>
        <v>0.9871951219512195</v>
      </c>
      <c r="M1276" s="15">
        <f t="shared" si="205"/>
        <v>0.9871951219512195</v>
      </c>
      <c r="N1276" s="5" t="s">
        <v>347</v>
      </c>
      <c r="O1276" s="5" t="s">
        <v>347</v>
      </c>
      <c r="P1276" s="16">
        <v>0</v>
      </c>
      <c r="Q1276" s="16">
        <v>0</v>
      </c>
      <c r="R1276" s="5" t="str">
        <f t="shared" si="203"/>
        <v>335-2024-12-31</v>
      </c>
    </row>
    <row r="1277" spans="1:18" x14ac:dyDescent="0.3">
      <c r="A1277" s="26">
        <v>336</v>
      </c>
      <c r="B1277" s="5" t="s">
        <v>220</v>
      </c>
      <c r="C1277" s="5" t="s">
        <v>55</v>
      </c>
      <c r="D1277" s="5" t="s">
        <v>25</v>
      </c>
      <c r="E1277" s="5" t="s">
        <v>14</v>
      </c>
      <c r="F1277" s="6">
        <v>45657</v>
      </c>
      <c r="G1277" s="5">
        <f t="shared" si="197"/>
        <v>2024</v>
      </c>
      <c r="H1277" s="5" t="str">
        <f t="shared" si="198"/>
        <v>Diciembre</v>
      </c>
      <c r="I1277" s="6" t="str">
        <f t="shared" si="202"/>
        <v>2024-2</v>
      </c>
      <c r="J1277" s="5">
        <v>2</v>
      </c>
      <c r="K1277" s="10">
        <v>0.79</v>
      </c>
      <c r="L1277" s="15">
        <f>IFERROR(IF((K1277/J1277)&gt;1.3,1.3,K1277/J1277),"")</f>
        <v>0.39500000000000002</v>
      </c>
      <c r="M1277" s="15">
        <f t="shared" si="205"/>
        <v>0.39500000000000002</v>
      </c>
      <c r="N1277" s="5"/>
      <c r="O1277" s="5"/>
      <c r="P1277" s="16">
        <v>0</v>
      </c>
      <c r="Q1277" s="16">
        <v>0</v>
      </c>
      <c r="R1277" s="5" t="str">
        <f t="shared" si="203"/>
        <v>336-2024-12-31</v>
      </c>
    </row>
    <row r="1278" spans="1:18" x14ac:dyDescent="0.3">
      <c r="A1278" s="39">
        <v>337</v>
      </c>
      <c r="B1278" s="5" t="s">
        <v>221</v>
      </c>
      <c r="C1278" s="5" t="s">
        <v>158</v>
      </c>
      <c r="D1278" s="5" t="s">
        <v>8</v>
      </c>
      <c r="E1278" s="5" t="s">
        <v>9</v>
      </c>
      <c r="F1278" s="6">
        <v>45291</v>
      </c>
      <c r="G1278" s="5">
        <f t="shared" si="197"/>
        <v>2023</v>
      </c>
      <c r="H1278" s="5" t="str">
        <f t="shared" si="198"/>
        <v>Diciembre</v>
      </c>
      <c r="I1278" s="6" t="str">
        <f t="shared" si="202"/>
        <v>2023-2</v>
      </c>
      <c r="J1278" s="5">
        <v>3</v>
      </c>
      <c r="K1278" s="9">
        <v>3</v>
      </c>
      <c r="L1278" s="8">
        <f>IFERROR(K1278/J1278,"")</f>
        <v>1</v>
      </c>
      <c r="M1278" s="15">
        <f t="shared" si="205"/>
        <v>1</v>
      </c>
      <c r="N1278" s="5"/>
      <c r="O1278" s="5"/>
      <c r="P1278" s="16">
        <v>0</v>
      </c>
      <c r="Q1278" s="16">
        <v>0</v>
      </c>
      <c r="R1278" s="5" t="str">
        <f t="shared" si="203"/>
        <v>337-2023-12-31</v>
      </c>
    </row>
    <row r="1279" spans="1:18" x14ac:dyDescent="0.3">
      <c r="A1279" s="5">
        <v>337</v>
      </c>
      <c r="B1279" s="5" t="s">
        <v>221</v>
      </c>
      <c r="C1279" s="5" t="s">
        <v>158</v>
      </c>
      <c r="D1279" s="5" t="s">
        <v>8</v>
      </c>
      <c r="E1279" s="5" t="s">
        <v>9</v>
      </c>
      <c r="F1279" s="6">
        <v>45473</v>
      </c>
      <c r="G1279" s="5">
        <f t="shared" si="197"/>
        <v>2024</v>
      </c>
      <c r="H1279" s="5" t="str">
        <f t="shared" si="198"/>
        <v>Junio</v>
      </c>
      <c r="I1279" s="6" t="str">
        <f t="shared" si="202"/>
        <v>2024-1</v>
      </c>
      <c r="J1279" s="5">
        <v>100</v>
      </c>
      <c r="K1279" s="5">
        <v>100</v>
      </c>
      <c r="L1279" s="15">
        <v>1</v>
      </c>
      <c r="M1279" s="15">
        <v>1</v>
      </c>
      <c r="N1279" s="5" t="s">
        <v>490</v>
      </c>
      <c r="O1279" s="5" t="s">
        <v>490</v>
      </c>
      <c r="P1279" s="5">
        <v>0</v>
      </c>
      <c r="Q1279" s="5">
        <v>0</v>
      </c>
      <c r="R1279" s="5" t="str">
        <f t="shared" si="203"/>
        <v>337-2024-06-30</v>
      </c>
    </row>
    <row r="1280" spans="1:18" x14ac:dyDescent="0.3">
      <c r="A1280" s="26">
        <v>338</v>
      </c>
      <c r="B1280" s="5" t="s">
        <v>222</v>
      </c>
      <c r="C1280" s="5" t="s">
        <v>158</v>
      </c>
      <c r="D1280" s="5" t="s">
        <v>8</v>
      </c>
      <c r="E1280" s="5" t="s">
        <v>9</v>
      </c>
      <c r="F1280" s="17">
        <v>45107</v>
      </c>
      <c r="G1280" s="5">
        <f t="shared" si="197"/>
        <v>2023</v>
      </c>
      <c r="H1280" s="5" t="str">
        <f t="shared" si="198"/>
        <v>Junio</v>
      </c>
      <c r="I1280" s="6" t="str">
        <f t="shared" si="202"/>
        <v>2023-1</v>
      </c>
      <c r="J1280" s="5">
        <v>5</v>
      </c>
      <c r="K1280" s="9">
        <v>5</v>
      </c>
      <c r="L1280" s="8">
        <f>IFERROR(K1280/J1280,"")</f>
        <v>1</v>
      </c>
      <c r="M1280" s="15">
        <f>IFERROR(IF((K1280/J1280)&gt;K1280/J1280,1.3,K1280/J1280),"")</f>
        <v>1</v>
      </c>
      <c r="N1280" s="5" t="s">
        <v>490</v>
      </c>
      <c r="O1280" s="5" t="s">
        <v>490</v>
      </c>
      <c r="P1280" s="16">
        <v>0</v>
      </c>
      <c r="Q1280" s="16">
        <v>0</v>
      </c>
      <c r="R1280" s="5" t="str">
        <f t="shared" si="203"/>
        <v>338-2023-06-30</v>
      </c>
    </row>
    <row r="1281" spans="1:18" x14ac:dyDescent="0.3">
      <c r="A1281" s="5">
        <v>338</v>
      </c>
      <c r="B1281" s="5" t="s">
        <v>707</v>
      </c>
      <c r="C1281" s="5" t="s">
        <v>158</v>
      </c>
      <c r="D1281" s="5" t="s">
        <v>8</v>
      </c>
      <c r="E1281" s="5" t="s">
        <v>9</v>
      </c>
      <c r="F1281" s="6">
        <v>45473</v>
      </c>
      <c r="G1281" s="5">
        <f t="shared" si="197"/>
        <v>2024</v>
      </c>
      <c r="H1281" s="5" t="str">
        <f t="shared" si="198"/>
        <v>Junio</v>
      </c>
      <c r="I1281" s="6" t="str">
        <f t="shared" si="202"/>
        <v>2024-1</v>
      </c>
      <c r="J1281" s="5">
        <v>3</v>
      </c>
      <c r="K1281" s="5">
        <v>3</v>
      </c>
      <c r="L1281" s="15">
        <v>1</v>
      </c>
      <c r="M1281" s="15">
        <v>1</v>
      </c>
      <c r="N1281" s="5" t="s">
        <v>490</v>
      </c>
      <c r="O1281" s="5" t="s">
        <v>490</v>
      </c>
      <c r="P1281" s="5">
        <v>0</v>
      </c>
      <c r="Q1281" s="5">
        <v>0</v>
      </c>
      <c r="R1281" s="5" t="str">
        <f t="shared" si="203"/>
        <v>338-2024-06-30</v>
      </c>
    </row>
    <row r="1282" spans="1:18" x14ac:dyDescent="0.3">
      <c r="A1282" s="39">
        <v>339</v>
      </c>
      <c r="B1282" s="5" t="s">
        <v>223</v>
      </c>
      <c r="C1282" s="5" t="s">
        <v>224</v>
      </c>
      <c r="D1282" s="5" t="s">
        <v>25</v>
      </c>
      <c r="E1282" s="5" t="s">
        <v>9</v>
      </c>
      <c r="F1282" s="6">
        <v>45291</v>
      </c>
      <c r="G1282" s="5">
        <f t="shared" ref="G1282:G1345" si="206">YEAR(F1282)</f>
        <v>2023</v>
      </c>
      <c r="H1282" s="5" t="str">
        <f t="shared" ref="H1282:H1345" si="207">PROPER(TEXT(F1282,"mmmm"))</f>
        <v>Diciembre</v>
      </c>
      <c r="I1282" s="6" t="str">
        <f t="shared" si="202"/>
        <v>2023-2</v>
      </c>
      <c r="J1282" s="5">
        <v>30</v>
      </c>
      <c r="K1282" s="9">
        <v>28.571428571428601</v>
      </c>
      <c r="L1282" s="15">
        <f>IFERROR(IF((K1282/J1282)&gt;1.3,1.3,K1282/J1282),"")</f>
        <v>0.95238095238095333</v>
      </c>
      <c r="M1282" s="15">
        <f t="shared" ref="M1282:M1283" si="208">IFERROR(IF((K1282/J1282)&gt;K1282/J1282,1.3,K1282/J1282),"")</f>
        <v>0.95238095238095333</v>
      </c>
      <c r="N1282" s="5" t="s">
        <v>347</v>
      </c>
      <c r="O1282" s="5" t="s">
        <v>347</v>
      </c>
      <c r="P1282" s="16">
        <v>2</v>
      </c>
      <c r="Q1282" s="16">
        <v>2</v>
      </c>
      <c r="R1282" s="5" t="str">
        <f t="shared" si="203"/>
        <v>339-2023-12-31</v>
      </c>
    </row>
    <row r="1283" spans="1:18" x14ac:dyDescent="0.3">
      <c r="A1283" s="26">
        <v>339</v>
      </c>
      <c r="B1283" s="5" t="s">
        <v>223</v>
      </c>
      <c r="C1283" s="5" t="s">
        <v>224</v>
      </c>
      <c r="D1283" s="5" t="s">
        <v>25</v>
      </c>
      <c r="E1283" s="5" t="s">
        <v>9</v>
      </c>
      <c r="F1283" s="6">
        <v>45657</v>
      </c>
      <c r="G1283" s="5">
        <f t="shared" si="206"/>
        <v>2024</v>
      </c>
      <c r="H1283" s="5" t="str">
        <f t="shared" si="207"/>
        <v>Diciembre</v>
      </c>
      <c r="I1283" s="6" t="str">
        <f t="shared" si="202"/>
        <v>2024-2</v>
      </c>
      <c r="J1283" s="5">
        <v>30</v>
      </c>
      <c r="K1283" s="10">
        <v>30.3</v>
      </c>
      <c r="L1283" s="15">
        <f>IFERROR(IF((K1283/J1283)&gt;1.3,1.3,K1283/J1283),"")</f>
        <v>1.01</v>
      </c>
      <c r="M1283" s="15">
        <f t="shared" si="208"/>
        <v>1.01</v>
      </c>
      <c r="N1283" s="5" t="s">
        <v>347</v>
      </c>
      <c r="O1283" s="5" t="s">
        <v>347</v>
      </c>
      <c r="P1283" s="16">
        <v>2</v>
      </c>
      <c r="Q1283" s="16">
        <v>2</v>
      </c>
      <c r="R1283" s="5" t="str">
        <f t="shared" si="203"/>
        <v>339-2024-12-31</v>
      </c>
    </row>
    <row r="1284" spans="1:18" x14ac:dyDescent="0.3">
      <c r="A1284" s="26">
        <v>340</v>
      </c>
      <c r="B1284" s="5" t="s">
        <v>225</v>
      </c>
      <c r="C1284" s="5" t="s">
        <v>43</v>
      </c>
      <c r="D1284" s="5" t="s">
        <v>11</v>
      </c>
      <c r="E1284" s="5" t="s">
        <v>9</v>
      </c>
      <c r="F1284" s="6">
        <v>45016</v>
      </c>
      <c r="G1284" s="5">
        <f t="shared" si="206"/>
        <v>2023</v>
      </c>
      <c r="H1284" s="5" t="str">
        <f t="shared" si="207"/>
        <v>Marzo</v>
      </c>
      <c r="I1284" s="6" t="str">
        <f t="shared" si="202"/>
        <v>2023-1</v>
      </c>
      <c r="J1284" s="5">
        <v>90</v>
      </c>
      <c r="K1284" s="9">
        <v>100</v>
      </c>
      <c r="L1284" s="15">
        <f t="shared" ref="L1284:L1291" si="209">IFERROR(IF((K1284/J1284)&gt;1,1,K1284/J1284),"")</f>
        <v>1</v>
      </c>
      <c r="M1284" s="15">
        <f>IFERROR(IF((K1284/J1284)&gt;1,1,K1284/J1284),"")</f>
        <v>1</v>
      </c>
      <c r="N1284" s="5" t="s">
        <v>347</v>
      </c>
      <c r="O1284" s="5" t="s">
        <v>347</v>
      </c>
      <c r="P1284" s="16">
        <v>0</v>
      </c>
      <c r="Q1284" s="16">
        <v>0</v>
      </c>
      <c r="R1284" s="5" t="str">
        <f t="shared" si="203"/>
        <v>340-2023-03-31</v>
      </c>
    </row>
    <row r="1285" spans="1:18" x14ac:dyDescent="0.3">
      <c r="A1285" s="26">
        <v>340</v>
      </c>
      <c r="B1285" s="5" t="s">
        <v>225</v>
      </c>
      <c r="C1285" s="5" t="s">
        <v>43</v>
      </c>
      <c r="D1285" s="5" t="s">
        <v>11</v>
      </c>
      <c r="E1285" s="5" t="s">
        <v>9</v>
      </c>
      <c r="F1285" s="6">
        <v>45107</v>
      </c>
      <c r="G1285" s="5">
        <f t="shared" si="206"/>
        <v>2023</v>
      </c>
      <c r="H1285" s="5" t="str">
        <f t="shared" si="207"/>
        <v>Junio</v>
      </c>
      <c r="I1285" s="6" t="str">
        <f t="shared" si="202"/>
        <v>2023-1</v>
      </c>
      <c r="J1285" s="5">
        <v>90</v>
      </c>
      <c r="K1285" s="9">
        <v>100</v>
      </c>
      <c r="L1285" s="15">
        <f t="shared" si="209"/>
        <v>1</v>
      </c>
      <c r="M1285" s="15">
        <f t="shared" ref="M1285:M1291" si="210">IFERROR(IF((K1285/J1285)&gt;1,1,K1285/J1285),"")</f>
        <v>1</v>
      </c>
      <c r="N1285" s="5" t="s">
        <v>347</v>
      </c>
      <c r="O1285" s="5" t="s">
        <v>347</v>
      </c>
      <c r="P1285" s="16">
        <v>0</v>
      </c>
      <c r="Q1285" s="16">
        <v>0</v>
      </c>
      <c r="R1285" s="5" t="str">
        <f t="shared" si="203"/>
        <v>340-2023-06-30</v>
      </c>
    </row>
    <row r="1286" spans="1:18" x14ac:dyDescent="0.3">
      <c r="A1286" s="43">
        <v>340</v>
      </c>
      <c r="B1286" s="5" t="s">
        <v>225</v>
      </c>
      <c r="C1286" s="5" t="s">
        <v>43</v>
      </c>
      <c r="D1286" s="5" t="s">
        <v>11</v>
      </c>
      <c r="E1286" s="5" t="s">
        <v>9</v>
      </c>
      <c r="F1286" s="6">
        <v>45199</v>
      </c>
      <c r="G1286" s="5">
        <f t="shared" si="206"/>
        <v>2023</v>
      </c>
      <c r="H1286" s="5" t="str">
        <f t="shared" si="207"/>
        <v>Septiembre</v>
      </c>
      <c r="I1286" s="6" t="str">
        <f t="shared" si="202"/>
        <v>2023-2</v>
      </c>
      <c r="J1286" s="5">
        <v>90</v>
      </c>
      <c r="K1286" s="9">
        <v>100</v>
      </c>
      <c r="L1286" s="15">
        <f t="shared" si="209"/>
        <v>1</v>
      </c>
      <c r="M1286" s="15">
        <f t="shared" si="210"/>
        <v>1</v>
      </c>
      <c r="N1286" s="5" t="s">
        <v>347</v>
      </c>
      <c r="O1286" s="5" t="s">
        <v>347</v>
      </c>
      <c r="P1286" s="16">
        <v>0</v>
      </c>
      <c r="Q1286" s="16">
        <v>0</v>
      </c>
      <c r="R1286" s="5" t="str">
        <f t="shared" si="203"/>
        <v>340-2023-09-30</v>
      </c>
    </row>
    <row r="1287" spans="1:18" x14ac:dyDescent="0.3">
      <c r="A1287" s="39">
        <v>340</v>
      </c>
      <c r="B1287" s="5" t="s">
        <v>225</v>
      </c>
      <c r="C1287" s="5" t="s">
        <v>43</v>
      </c>
      <c r="D1287" s="5" t="s">
        <v>11</v>
      </c>
      <c r="E1287" s="5" t="s">
        <v>9</v>
      </c>
      <c r="F1287" s="6">
        <v>45291</v>
      </c>
      <c r="G1287" s="5">
        <f t="shared" si="206"/>
        <v>2023</v>
      </c>
      <c r="H1287" s="5" t="str">
        <f t="shared" si="207"/>
        <v>Diciembre</v>
      </c>
      <c r="I1287" s="6" t="str">
        <f t="shared" si="202"/>
        <v>2023-2</v>
      </c>
      <c r="J1287" s="5">
        <v>90</v>
      </c>
      <c r="K1287" s="9">
        <v>100</v>
      </c>
      <c r="L1287" s="15">
        <f t="shared" si="209"/>
        <v>1</v>
      </c>
      <c r="M1287" s="15">
        <f t="shared" si="210"/>
        <v>1</v>
      </c>
      <c r="N1287" s="5" t="s">
        <v>347</v>
      </c>
      <c r="O1287" s="5" t="s">
        <v>347</v>
      </c>
      <c r="P1287" s="16">
        <v>0</v>
      </c>
      <c r="Q1287" s="16">
        <v>0</v>
      </c>
      <c r="R1287" s="5" t="str">
        <f t="shared" si="203"/>
        <v>340-2023-12-31</v>
      </c>
    </row>
    <row r="1288" spans="1:18" x14ac:dyDescent="0.3">
      <c r="A1288" s="26">
        <v>340</v>
      </c>
      <c r="B1288" s="5" t="s">
        <v>225</v>
      </c>
      <c r="C1288" s="5" t="s">
        <v>43</v>
      </c>
      <c r="D1288" s="5" t="s">
        <v>11</v>
      </c>
      <c r="E1288" s="5" t="s">
        <v>9</v>
      </c>
      <c r="F1288" s="6">
        <v>45382</v>
      </c>
      <c r="G1288" s="5">
        <f t="shared" si="206"/>
        <v>2024</v>
      </c>
      <c r="H1288" s="5" t="str">
        <f t="shared" si="207"/>
        <v>Marzo</v>
      </c>
      <c r="I1288" s="6" t="str">
        <f t="shared" si="202"/>
        <v>2024-1</v>
      </c>
      <c r="J1288" s="5">
        <v>95</v>
      </c>
      <c r="K1288" s="10">
        <v>100</v>
      </c>
      <c r="L1288" s="15">
        <f t="shared" si="209"/>
        <v>1</v>
      </c>
      <c r="M1288" s="15">
        <f t="shared" si="210"/>
        <v>1</v>
      </c>
      <c r="N1288" s="5" t="s">
        <v>347</v>
      </c>
      <c r="O1288" s="5" t="s">
        <v>347</v>
      </c>
      <c r="P1288" s="16">
        <v>0</v>
      </c>
      <c r="Q1288" s="16">
        <v>0</v>
      </c>
      <c r="R1288" s="5" t="str">
        <f t="shared" si="203"/>
        <v>340-2024-03-31</v>
      </c>
    </row>
    <row r="1289" spans="1:18" x14ac:dyDescent="0.3">
      <c r="A1289" s="5">
        <v>340</v>
      </c>
      <c r="B1289" s="5" t="s">
        <v>225</v>
      </c>
      <c r="C1289" s="5" t="s">
        <v>43</v>
      </c>
      <c r="D1289" s="5" t="s">
        <v>11</v>
      </c>
      <c r="E1289" s="5" t="s">
        <v>9</v>
      </c>
      <c r="F1289" s="6">
        <v>45473</v>
      </c>
      <c r="G1289" s="5">
        <f t="shared" si="206"/>
        <v>2024</v>
      </c>
      <c r="H1289" s="5" t="str">
        <f t="shared" si="207"/>
        <v>Junio</v>
      </c>
      <c r="I1289" s="6" t="str">
        <f t="shared" si="202"/>
        <v>2024-1</v>
      </c>
      <c r="J1289" s="5">
        <v>95</v>
      </c>
      <c r="K1289" s="5">
        <v>100</v>
      </c>
      <c r="L1289" s="15">
        <f t="shared" si="209"/>
        <v>1</v>
      </c>
      <c r="M1289" s="15">
        <f t="shared" si="210"/>
        <v>1</v>
      </c>
      <c r="N1289" s="5" t="s">
        <v>347</v>
      </c>
      <c r="O1289" s="5" t="s">
        <v>347</v>
      </c>
      <c r="P1289" s="5">
        <v>0</v>
      </c>
      <c r="Q1289" s="5">
        <v>0</v>
      </c>
      <c r="R1289" s="5" t="str">
        <f t="shared" si="203"/>
        <v>340-2024-06-30</v>
      </c>
    </row>
    <row r="1290" spans="1:18" x14ac:dyDescent="0.3">
      <c r="A1290" s="26">
        <v>340</v>
      </c>
      <c r="B1290" s="5" t="s">
        <v>225</v>
      </c>
      <c r="C1290" s="5" t="s">
        <v>43</v>
      </c>
      <c r="D1290" s="5" t="s">
        <v>11</v>
      </c>
      <c r="E1290" s="5" t="s">
        <v>9</v>
      </c>
      <c r="F1290" s="6">
        <v>45565</v>
      </c>
      <c r="G1290" s="5">
        <f t="shared" si="206"/>
        <v>2024</v>
      </c>
      <c r="H1290" s="5" t="str">
        <f t="shared" si="207"/>
        <v>Septiembre</v>
      </c>
      <c r="I1290" s="6" t="str">
        <f t="shared" si="202"/>
        <v>2024-2</v>
      </c>
      <c r="J1290" s="5">
        <v>95</v>
      </c>
      <c r="K1290" s="10">
        <v>100</v>
      </c>
      <c r="L1290" s="15">
        <f t="shared" si="209"/>
        <v>1</v>
      </c>
      <c r="M1290" s="15">
        <f t="shared" si="210"/>
        <v>1</v>
      </c>
      <c r="N1290" s="5" t="s">
        <v>347</v>
      </c>
      <c r="O1290" s="5" t="s">
        <v>347</v>
      </c>
      <c r="P1290" s="16">
        <v>0</v>
      </c>
      <c r="Q1290" s="16">
        <v>0</v>
      </c>
      <c r="R1290" s="5" t="str">
        <f t="shared" si="203"/>
        <v>340-2024-09-30</v>
      </c>
    </row>
    <row r="1291" spans="1:18" x14ac:dyDescent="0.3">
      <c r="A1291" s="26">
        <v>340</v>
      </c>
      <c r="B1291" s="5" t="s">
        <v>225</v>
      </c>
      <c r="C1291" s="5" t="s">
        <v>43</v>
      </c>
      <c r="D1291" s="5" t="s">
        <v>11</v>
      </c>
      <c r="E1291" s="5" t="s">
        <v>9</v>
      </c>
      <c r="F1291" s="6">
        <v>45657</v>
      </c>
      <c r="G1291" s="5">
        <f t="shared" si="206"/>
        <v>2024</v>
      </c>
      <c r="H1291" s="5" t="str">
        <f t="shared" si="207"/>
        <v>Diciembre</v>
      </c>
      <c r="I1291" s="6" t="str">
        <f t="shared" si="202"/>
        <v>2024-2</v>
      </c>
      <c r="J1291" s="5">
        <v>95</v>
      </c>
      <c r="K1291" s="10">
        <v>100</v>
      </c>
      <c r="L1291" s="15">
        <f t="shared" si="209"/>
        <v>1</v>
      </c>
      <c r="M1291" s="15">
        <f t="shared" si="210"/>
        <v>1</v>
      </c>
      <c r="N1291" s="5" t="s">
        <v>347</v>
      </c>
      <c r="O1291" s="5" t="s">
        <v>347</v>
      </c>
      <c r="P1291" s="16">
        <v>0</v>
      </c>
      <c r="Q1291" s="16">
        <v>0</v>
      </c>
      <c r="R1291" s="5" t="str">
        <f t="shared" si="203"/>
        <v>340-2024-12-31</v>
      </c>
    </row>
    <row r="1292" spans="1:18" x14ac:dyDescent="0.3">
      <c r="A1292" s="26">
        <v>341</v>
      </c>
      <c r="B1292" s="5" t="s">
        <v>226</v>
      </c>
      <c r="C1292" s="5" t="s">
        <v>7</v>
      </c>
      <c r="D1292" s="5" t="s">
        <v>8</v>
      </c>
      <c r="E1292" s="5" t="s">
        <v>9</v>
      </c>
      <c r="F1292" s="17">
        <v>45107</v>
      </c>
      <c r="G1292" s="5">
        <f t="shared" si="206"/>
        <v>2023</v>
      </c>
      <c r="H1292" s="5" t="str">
        <f t="shared" si="207"/>
        <v>Junio</v>
      </c>
      <c r="I1292" s="6" t="str">
        <f t="shared" si="202"/>
        <v>2023-1</v>
      </c>
      <c r="J1292" s="9">
        <v>600000000</v>
      </c>
      <c r="K1292" s="9">
        <v>743218000</v>
      </c>
      <c r="L1292" s="8">
        <f>IFERROR(IF(K1292/J1292&gt;1.3,1.3,K1292/J1292),"")</f>
        <v>1.2386966666666666</v>
      </c>
      <c r="M1292" s="15">
        <f>IFERROR(IF((K1292/J1292)&gt;K1292/J1292,1.3,K1292/J1292),"")</f>
        <v>1.2386966666666666</v>
      </c>
      <c r="N1292" s="5" t="s">
        <v>474</v>
      </c>
      <c r="O1292" s="5" t="s">
        <v>474</v>
      </c>
      <c r="P1292" s="16">
        <v>0</v>
      </c>
      <c r="Q1292" s="16">
        <v>0</v>
      </c>
      <c r="R1292" s="5" t="str">
        <f t="shared" si="203"/>
        <v>341-2023-06-30</v>
      </c>
    </row>
    <row r="1293" spans="1:18" x14ac:dyDescent="0.3">
      <c r="A1293" s="39">
        <v>341</v>
      </c>
      <c r="B1293" s="5" t="s">
        <v>226</v>
      </c>
      <c r="C1293" s="5" t="s">
        <v>7</v>
      </c>
      <c r="D1293" s="5" t="s">
        <v>8</v>
      </c>
      <c r="E1293" s="5" t="s">
        <v>9</v>
      </c>
      <c r="F1293" s="6">
        <v>45291</v>
      </c>
      <c r="G1293" s="5">
        <f t="shared" si="206"/>
        <v>2023</v>
      </c>
      <c r="H1293" s="5" t="str">
        <f t="shared" si="207"/>
        <v>Diciembre</v>
      </c>
      <c r="I1293" s="6" t="str">
        <f t="shared" si="202"/>
        <v>2023-2</v>
      </c>
      <c r="J1293" s="9">
        <v>900000000</v>
      </c>
      <c r="K1293" s="9">
        <v>1175172000</v>
      </c>
      <c r="L1293" s="8">
        <f>IFERROR(IF(K1293/J1293&gt;1.3,1.3,K1293/J1293),"")</f>
        <v>1.3</v>
      </c>
      <c r="M1293" s="15">
        <f>IFERROR(IF((K1293/J1293)&gt;K1293/J1293,1.3,K1293/J1293),"")</f>
        <v>1.3057466666666666</v>
      </c>
      <c r="N1293" s="5" t="s">
        <v>474</v>
      </c>
      <c r="O1293" s="5" t="s">
        <v>474</v>
      </c>
      <c r="P1293" s="16">
        <v>0</v>
      </c>
      <c r="Q1293" s="16">
        <v>0</v>
      </c>
      <c r="R1293" s="5" t="str">
        <f t="shared" si="203"/>
        <v>341-2023-12-31</v>
      </c>
    </row>
    <row r="1294" spans="1:18" x14ac:dyDescent="0.3">
      <c r="A1294" s="5">
        <v>341</v>
      </c>
      <c r="B1294" s="5" t="s">
        <v>501</v>
      </c>
      <c r="C1294" s="5" t="s">
        <v>7</v>
      </c>
      <c r="D1294" s="5" t="s">
        <v>8</v>
      </c>
      <c r="E1294" s="5" t="s">
        <v>9</v>
      </c>
      <c r="F1294" s="6">
        <v>45473</v>
      </c>
      <c r="G1294" s="5">
        <f t="shared" si="206"/>
        <v>2024</v>
      </c>
      <c r="H1294" s="5" t="str">
        <f t="shared" si="207"/>
        <v>Junio</v>
      </c>
      <c r="I1294" s="6" t="str">
        <f t="shared" si="202"/>
        <v>2024-1</v>
      </c>
      <c r="J1294" s="9">
        <v>600000000</v>
      </c>
      <c r="K1294" s="9">
        <v>750000000</v>
      </c>
      <c r="L1294" s="8">
        <f>IFERROR(IF(K1294/J1294&gt;1.3,1.3,K1294/J1294),"")</f>
        <v>1.25</v>
      </c>
      <c r="M1294" s="15">
        <v>1.25</v>
      </c>
      <c r="N1294" s="5" t="s">
        <v>474</v>
      </c>
      <c r="O1294" s="5" t="s">
        <v>474</v>
      </c>
      <c r="P1294" s="5">
        <v>0</v>
      </c>
      <c r="Q1294" s="5">
        <v>0</v>
      </c>
      <c r="R1294" s="5" t="str">
        <f t="shared" si="203"/>
        <v>341-2024-06-30</v>
      </c>
    </row>
    <row r="1295" spans="1:18" x14ac:dyDescent="0.3">
      <c r="A1295" s="26">
        <v>341</v>
      </c>
      <c r="B1295" s="5" t="s">
        <v>501</v>
      </c>
      <c r="C1295" s="5" t="s">
        <v>7</v>
      </c>
      <c r="D1295" s="5" t="s">
        <v>8</v>
      </c>
      <c r="E1295" s="5" t="s">
        <v>9</v>
      </c>
      <c r="F1295" s="6">
        <v>45657</v>
      </c>
      <c r="G1295" s="5">
        <f t="shared" si="206"/>
        <v>2024</v>
      </c>
      <c r="H1295" s="5" t="str">
        <f t="shared" si="207"/>
        <v>Diciembre</v>
      </c>
      <c r="I1295" s="6" t="str">
        <f t="shared" si="202"/>
        <v>2024-2</v>
      </c>
      <c r="J1295" s="9">
        <v>900000000</v>
      </c>
      <c r="K1295" s="9">
        <v>922000000</v>
      </c>
      <c r="L1295" s="8">
        <f>IFERROR(IF(K1295/J1295&gt;1.3,1.3,K1295/J1295),"")</f>
        <v>1.0244444444444445</v>
      </c>
      <c r="M1295" s="15">
        <f>IFERROR(IF((K1295/J1295)&gt;K1295/J1295,1.3,K1295/J1295),"")</f>
        <v>1.0244444444444445</v>
      </c>
      <c r="N1295" s="5" t="s">
        <v>474</v>
      </c>
      <c r="O1295" s="5" t="s">
        <v>474</v>
      </c>
      <c r="P1295" s="16">
        <v>0</v>
      </c>
      <c r="Q1295" s="16">
        <v>0</v>
      </c>
      <c r="R1295" s="5" t="str">
        <f t="shared" si="203"/>
        <v>341-2024-12-31</v>
      </c>
    </row>
    <row r="1296" spans="1:18" x14ac:dyDescent="0.3">
      <c r="A1296" s="26">
        <v>344</v>
      </c>
      <c r="B1296" s="5" t="s">
        <v>227</v>
      </c>
      <c r="C1296" s="5" t="s">
        <v>13</v>
      </c>
      <c r="D1296" s="5" t="s">
        <v>8</v>
      </c>
      <c r="E1296" s="5" t="s">
        <v>9</v>
      </c>
      <c r="F1296" s="17">
        <v>45107</v>
      </c>
      <c r="G1296" s="5">
        <f t="shared" si="206"/>
        <v>2023</v>
      </c>
      <c r="H1296" s="5" t="str">
        <f t="shared" si="207"/>
        <v>Junio</v>
      </c>
      <c r="I1296" s="6" t="str">
        <f t="shared" si="202"/>
        <v>2023-1</v>
      </c>
      <c r="J1296" s="5">
        <v>90</v>
      </c>
      <c r="K1296" s="9">
        <v>97.74</v>
      </c>
      <c r="L1296" s="8">
        <f>IFERROR(K1296/J1296,"")</f>
        <v>1.0859999999999999</v>
      </c>
      <c r="M1296" s="15">
        <f>IFERROR(IF((K1296/J1296)&gt;K1296/J1296,1.3,K1296/J1296),"")</f>
        <v>1.0859999999999999</v>
      </c>
      <c r="N1296" s="5" t="s">
        <v>347</v>
      </c>
      <c r="O1296" s="5" t="s">
        <v>347</v>
      </c>
      <c r="P1296" s="16">
        <v>0</v>
      </c>
      <c r="Q1296" s="16">
        <v>0</v>
      </c>
      <c r="R1296" s="5" t="str">
        <f t="shared" si="203"/>
        <v>344-2023-06-30</v>
      </c>
    </row>
    <row r="1297" spans="1:18" x14ac:dyDescent="0.3">
      <c r="A1297" s="39">
        <v>344</v>
      </c>
      <c r="B1297" s="5" t="s">
        <v>227</v>
      </c>
      <c r="C1297" s="5" t="s">
        <v>13</v>
      </c>
      <c r="D1297" s="5" t="s">
        <v>8</v>
      </c>
      <c r="E1297" s="5" t="s">
        <v>9</v>
      </c>
      <c r="F1297" s="6">
        <v>45291</v>
      </c>
      <c r="G1297" s="5">
        <f t="shared" si="206"/>
        <v>2023</v>
      </c>
      <c r="H1297" s="5" t="str">
        <f t="shared" si="207"/>
        <v>Diciembre</v>
      </c>
      <c r="I1297" s="6" t="str">
        <f t="shared" si="202"/>
        <v>2023-2</v>
      </c>
      <c r="J1297" s="5">
        <v>90</v>
      </c>
      <c r="K1297" s="9">
        <v>97.76</v>
      </c>
      <c r="L1297" s="8">
        <f>IFERROR(K1297/J1297,"")</f>
        <v>1.0862222222222222</v>
      </c>
      <c r="M1297" s="15">
        <f>IFERROR(IF((K1297/J1297)&gt;K1297/J1297,1.3,K1297/J1297),"")</f>
        <v>1.0862222222222222</v>
      </c>
      <c r="N1297" s="5" t="s">
        <v>347</v>
      </c>
      <c r="O1297" s="5" t="s">
        <v>347</v>
      </c>
      <c r="P1297" s="16">
        <v>0</v>
      </c>
      <c r="Q1297" s="16">
        <v>0</v>
      </c>
      <c r="R1297" s="5" t="str">
        <f t="shared" si="203"/>
        <v>344-2023-12-31</v>
      </c>
    </row>
    <row r="1298" spans="1:18" x14ac:dyDescent="0.3">
      <c r="A1298" s="5">
        <v>344</v>
      </c>
      <c r="B1298" s="5" t="s">
        <v>227</v>
      </c>
      <c r="C1298" s="5" t="s">
        <v>13</v>
      </c>
      <c r="D1298" s="5" t="s">
        <v>8</v>
      </c>
      <c r="E1298" s="5" t="s">
        <v>9</v>
      </c>
      <c r="F1298" s="6">
        <v>45473</v>
      </c>
      <c r="G1298" s="5">
        <f t="shared" si="206"/>
        <v>2024</v>
      </c>
      <c r="H1298" s="5" t="str">
        <f t="shared" si="207"/>
        <v>Junio</v>
      </c>
      <c r="I1298" s="6" t="str">
        <f t="shared" si="202"/>
        <v>2024-1</v>
      </c>
      <c r="J1298" s="5">
        <v>93</v>
      </c>
      <c r="K1298" s="5">
        <v>97.34</v>
      </c>
      <c r="L1298" s="15">
        <v>1.0466666666666666</v>
      </c>
      <c r="M1298" s="15">
        <v>1.0466666666666666</v>
      </c>
      <c r="N1298" s="5" t="s">
        <v>347</v>
      </c>
      <c r="O1298" s="5" t="s">
        <v>347</v>
      </c>
      <c r="P1298" s="5">
        <v>0</v>
      </c>
      <c r="Q1298" s="5">
        <v>0</v>
      </c>
      <c r="R1298" s="5" t="str">
        <f t="shared" si="203"/>
        <v>344-2024-06-30</v>
      </c>
    </row>
    <row r="1299" spans="1:18" x14ac:dyDescent="0.3">
      <c r="A1299" s="26">
        <v>344</v>
      </c>
      <c r="B1299" s="5" t="s">
        <v>227</v>
      </c>
      <c r="C1299" s="5" t="s">
        <v>13</v>
      </c>
      <c r="D1299" s="5" t="s">
        <v>8</v>
      </c>
      <c r="E1299" s="5" t="s">
        <v>9</v>
      </c>
      <c r="F1299" s="6">
        <v>45657</v>
      </c>
      <c r="G1299" s="5">
        <f t="shared" si="206"/>
        <v>2024</v>
      </c>
      <c r="H1299" s="5" t="str">
        <f t="shared" si="207"/>
        <v>Diciembre</v>
      </c>
      <c r="I1299" s="6" t="str">
        <f t="shared" si="202"/>
        <v>2024-2</v>
      </c>
      <c r="J1299" s="5">
        <v>93</v>
      </c>
      <c r="K1299" s="10">
        <v>99.19</v>
      </c>
      <c r="L1299" s="15">
        <f>IFERROR(IF((K1299/J1299)&gt;1.3,1.3,K1299/J1299),"")</f>
        <v>1.0665591397849463</v>
      </c>
      <c r="M1299" s="15">
        <f>IFERROR(IF((K1299/J1299)&gt;K1299/J1299,1.3,K1299/J1299),"")</f>
        <v>1.0665591397849463</v>
      </c>
      <c r="N1299" s="5" t="s">
        <v>347</v>
      </c>
      <c r="O1299" s="5" t="s">
        <v>347</v>
      </c>
      <c r="P1299" s="16">
        <v>0</v>
      </c>
      <c r="Q1299" s="16">
        <v>0</v>
      </c>
      <c r="R1299" s="5" t="str">
        <f t="shared" si="203"/>
        <v>344-2024-12-31</v>
      </c>
    </row>
    <row r="1300" spans="1:18" x14ac:dyDescent="0.3">
      <c r="A1300" s="39">
        <v>345</v>
      </c>
      <c r="B1300" s="5" t="s">
        <v>228</v>
      </c>
      <c r="C1300" s="5" t="s">
        <v>13</v>
      </c>
      <c r="D1300" s="5" t="s">
        <v>25</v>
      </c>
      <c r="E1300" s="5" t="s">
        <v>9</v>
      </c>
      <c r="F1300" s="6">
        <v>45291</v>
      </c>
      <c r="G1300" s="5">
        <f t="shared" si="206"/>
        <v>2023</v>
      </c>
      <c r="H1300" s="5" t="str">
        <f t="shared" si="207"/>
        <v>Diciembre</v>
      </c>
      <c r="I1300" s="6" t="str">
        <f t="shared" si="202"/>
        <v>2023-2</v>
      </c>
      <c r="J1300" s="5"/>
      <c r="K1300" s="9">
        <v>94.85</v>
      </c>
      <c r="L1300" s="15" t="str">
        <f>IFERROR(IF((K1300/J1300)&gt;1.3,1.3,K1300/J1300),"")</f>
        <v/>
      </c>
      <c r="M1300" s="15" t="str">
        <f>IFERROR(IF((K1300/J1300)&gt;K1300/J1300,1.3,K1300/J1300),"")</f>
        <v/>
      </c>
      <c r="N1300" s="5" t="s">
        <v>477</v>
      </c>
      <c r="O1300" s="20" t="s">
        <v>347</v>
      </c>
      <c r="P1300" s="16">
        <v>0</v>
      </c>
      <c r="Q1300" s="16">
        <v>0</v>
      </c>
      <c r="R1300" s="5" t="str">
        <f t="shared" si="203"/>
        <v>345-2023-12-31</v>
      </c>
    </row>
    <row r="1301" spans="1:18" x14ac:dyDescent="0.3">
      <c r="A1301" s="39">
        <v>346</v>
      </c>
      <c r="B1301" s="5" t="s">
        <v>229</v>
      </c>
      <c r="C1301" s="5" t="s">
        <v>13</v>
      </c>
      <c r="D1301" s="5" t="s">
        <v>25</v>
      </c>
      <c r="E1301" s="5" t="s">
        <v>9</v>
      </c>
      <c r="F1301" s="6">
        <v>45291</v>
      </c>
      <c r="G1301" s="5">
        <f t="shared" si="206"/>
        <v>2023</v>
      </c>
      <c r="H1301" s="5" t="str">
        <f t="shared" si="207"/>
        <v>Diciembre</v>
      </c>
      <c r="I1301" s="6" t="str">
        <f t="shared" si="202"/>
        <v>2023-2</v>
      </c>
      <c r="J1301" s="5"/>
      <c r="K1301" s="9">
        <v>88.24</v>
      </c>
      <c r="L1301" s="8" t="str">
        <f>IFERROR(K1301/J1301,"")</f>
        <v/>
      </c>
      <c r="M1301" s="15" t="str">
        <f>IFERROR(IF((K1301/J1301)&gt;K1301/J1301,1.3,K1301/J1301),"")</f>
        <v/>
      </c>
      <c r="N1301" s="5" t="s">
        <v>477</v>
      </c>
      <c r="O1301" s="20" t="s">
        <v>347</v>
      </c>
      <c r="P1301" s="16">
        <v>0</v>
      </c>
      <c r="Q1301" s="16">
        <v>0</v>
      </c>
      <c r="R1301" s="5" t="str">
        <f t="shared" si="203"/>
        <v>346-2023-12-31</v>
      </c>
    </row>
    <row r="1302" spans="1:18" x14ac:dyDescent="0.3">
      <c r="A1302" s="26">
        <v>346</v>
      </c>
      <c r="B1302" s="5" t="s">
        <v>229</v>
      </c>
      <c r="C1302" s="5" t="s">
        <v>13</v>
      </c>
      <c r="D1302" s="5" t="s">
        <v>25</v>
      </c>
      <c r="E1302" s="5" t="s">
        <v>9</v>
      </c>
      <c r="F1302" s="6">
        <v>45657</v>
      </c>
      <c r="G1302" s="5">
        <f t="shared" si="206"/>
        <v>2024</v>
      </c>
      <c r="H1302" s="5" t="str">
        <f t="shared" si="207"/>
        <v>Diciembre</v>
      </c>
      <c r="I1302" s="6" t="str">
        <f t="shared" si="202"/>
        <v>2024-2</v>
      </c>
      <c r="J1302" s="5">
        <v>85</v>
      </c>
      <c r="K1302" s="10">
        <v>91.88</v>
      </c>
      <c r="L1302" s="15">
        <f>IFERROR(IF((K1302/J1302)&gt;1.3,1.3,K1302/J1302),"")</f>
        <v>1.0809411764705881</v>
      </c>
      <c r="M1302" s="15">
        <f>IFERROR(IF((K1302/J1302)&gt;K1302/J1302,1.3,K1302/J1302),"")</f>
        <v>1.0809411764705881</v>
      </c>
      <c r="N1302" s="5" t="s">
        <v>477</v>
      </c>
      <c r="O1302" s="5" t="s">
        <v>347</v>
      </c>
      <c r="P1302" s="16">
        <v>0</v>
      </c>
      <c r="Q1302" s="16">
        <v>0</v>
      </c>
      <c r="R1302" s="5" t="str">
        <f t="shared" si="203"/>
        <v>346-2024-12-31</v>
      </c>
    </row>
    <row r="1303" spans="1:18" x14ac:dyDescent="0.3">
      <c r="A1303" s="26">
        <v>347</v>
      </c>
      <c r="B1303" s="5" t="s">
        <v>230</v>
      </c>
      <c r="C1303" s="5" t="s">
        <v>231</v>
      </c>
      <c r="D1303" s="5" t="s">
        <v>11</v>
      </c>
      <c r="E1303" s="5" t="s">
        <v>14</v>
      </c>
      <c r="F1303" s="6">
        <v>45016</v>
      </c>
      <c r="G1303" s="5">
        <f t="shared" si="206"/>
        <v>2023</v>
      </c>
      <c r="H1303" s="5" t="str">
        <f t="shared" si="207"/>
        <v>Marzo</v>
      </c>
      <c r="I1303" s="6" t="str">
        <f t="shared" si="202"/>
        <v>2023-1</v>
      </c>
      <c r="J1303" s="16">
        <v>9.9999999999999995E-7</v>
      </c>
      <c r="K1303" s="9">
        <v>5</v>
      </c>
      <c r="L1303" s="8">
        <v>0.9</v>
      </c>
      <c r="M1303" s="8">
        <v>0.9</v>
      </c>
      <c r="N1303" s="5" t="s">
        <v>490</v>
      </c>
      <c r="O1303" s="5" t="s">
        <v>490</v>
      </c>
      <c r="P1303" s="16">
        <v>0</v>
      </c>
      <c r="Q1303" s="16">
        <v>0</v>
      </c>
      <c r="R1303" s="5" t="str">
        <f t="shared" si="203"/>
        <v>347-2023-03-31</v>
      </c>
    </row>
    <row r="1304" spans="1:18" x14ac:dyDescent="0.3">
      <c r="A1304" s="26">
        <v>347</v>
      </c>
      <c r="B1304" s="5" t="s">
        <v>230</v>
      </c>
      <c r="C1304" s="5" t="s">
        <v>231</v>
      </c>
      <c r="D1304" s="5" t="s">
        <v>11</v>
      </c>
      <c r="E1304" s="5" t="s">
        <v>14</v>
      </c>
      <c r="F1304" s="6">
        <v>45107</v>
      </c>
      <c r="G1304" s="5">
        <f t="shared" si="206"/>
        <v>2023</v>
      </c>
      <c r="H1304" s="5" t="str">
        <f t="shared" si="207"/>
        <v>Junio</v>
      </c>
      <c r="I1304" s="6" t="str">
        <f t="shared" si="202"/>
        <v>2023-1</v>
      </c>
      <c r="J1304" s="16">
        <v>9.9999999999999995E-7</v>
      </c>
      <c r="K1304" s="9">
        <v>8</v>
      </c>
      <c r="L1304" s="8">
        <v>0.85</v>
      </c>
      <c r="M1304" s="8">
        <v>0.85</v>
      </c>
      <c r="N1304" s="5" t="s">
        <v>490</v>
      </c>
      <c r="O1304" s="5" t="s">
        <v>490</v>
      </c>
      <c r="P1304" s="16">
        <v>0</v>
      </c>
      <c r="Q1304" s="16">
        <v>0</v>
      </c>
      <c r="R1304" s="5" t="str">
        <f t="shared" si="203"/>
        <v>347-2023-06-30</v>
      </c>
    </row>
    <row r="1305" spans="1:18" x14ac:dyDescent="0.3">
      <c r="A1305" s="43">
        <v>347</v>
      </c>
      <c r="B1305" s="5" t="s">
        <v>230</v>
      </c>
      <c r="C1305" s="5" t="s">
        <v>231</v>
      </c>
      <c r="D1305" s="5" t="s">
        <v>11</v>
      </c>
      <c r="E1305" s="5" t="s">
        <v>14</v>
      </c>
      <c r="F1305" s="6">
        <v>45199</v>
      </c>
      <c r="G1305" s="5">
        <f t="shared" si="206"/>
        <v>2023</v>
      </c>
      <c r="H1305" s="5" t="str">
        <f t="shared" si="207"/>
        <v>Septiembre</v>
      </c>
      <c r="I1305" s="6" t="str">
        <f t="shared" si="202"/>
        <v>2023-2</v>
      </c>
      <c r="J1305" s="5">
        <v>0</v>
      </c>
      <c r="K1305" s="9">
        <v>12</v>
      </c>
      <c r="L1305" s="8">
        <v>0.7</v>
      </c>
      <c r="M1305" s="8">
        <v>0.7</v>
      </c>
      <c r="N1305" s="5" t="s">
        <v>490</v>
      </c>
      <c r="O1305" s="5" t="s">
        <v>490</v>
      </c>
      <c r="P1305" s="16">
        <v>0</v>
      </c>
      <c r="Q1305" s="16">
        <v>0</v>
      </c>
      <c r="R1305" s="5" t="str">
        <f t="shared" si="203"/>
        <v>347-2023-09-30</v>
      </c>
    </row>
    <row r="1306" spans="1:18" x14ac:dyDescent="0.3">
      <c r="A1306" s="39">
        <v>347</v>
      </c>
      <c r="B1306" s="5" t="s">
        <v>230</v>
      </c>
      <c r="C1306" s="5" t="s">
        <v>231</v>
      </c>
      <c r="D1306" s="5" t="s">
        <v>11</v>
      </c>
      <c r="E1306" s="5" t="s">
        <v>14</v>
      </c>
      <c r="F1306" s="6">
        <v>45291</v>
      </c>
      <c r="G1306" s="5">
        <f t="shared" si="206"/>
        <v>2023</v>
      </c>
      <c r="H1306" s="5" t="str">
        <f t="shared" si="207"/>
        <v>Diciembre</v>
      </c>
      <c r="I1306" s="6" t="str">
        <f t="shared" si="202"/>
        <v>2023-2</v>
      </c>
      <c r="J1306" s="5">
        <v>0</v>
      </c>
      <c r="K1306" s="9">
        <v>2</v>
      </c>
      <c r="L1306" s="8">
        <v>0.95</v>
      </c>
      <c r="M1306" s="8">
        <v>0.95</v>
      </c>
      <c r="N1306" s="5" t="s">
        <v>490</v>
      </c>
      <c r="O1306" s="5" t="s">
        <v>490</v>
      </c>
      <c r="P1306" s="16">
        <v>0</v>
      </c>
      <c r="Q1306" s="16">
        <v>0</v>
      </c>
      <c r="R1306" s="5" t="str">
        <f t="shared" si="203"/>
        <v>347-2023-12-31</v>
      </c>
    </row>
    <row r="1307" spans="1:18" x14ac:dyDescent="0.3">
      <c r="A1307" s="26">
        <v>347</v>
      </c>
      <c r="B1307" s="5" t="s">
        <v>230</v>
      </c>
      <c r="C1307" s="5" t="s">
        <v>231</v>
      </c>
      <c r="D1307" s="5" t="s">
        <v>11</v>
      </c>
      <c r="E1307" s="5" t="s">
        <v>14</v>
      </c>
      <c r="F1307" s="6">
        <v>45382</v>
      </c>
      <c r="G1307" s="5">
        <f t="shared" si="206"/>
        <v>2024</v>
      </c>
      <c r="H1307" s="5" t="str">
        <f t="shared" si="207"/>
        <v>Marzo</v>
      </c>
      <c r="I1307" s="6" t="str">
        <f t="shared" si="202"/>
        <v>2024-1</v>
      </c>
      <c r="J1307" s="5">
        <v>5</v>
      </c>
      <c r="K1307" s="10">
        <v>0</v>
      </c>
      <c r="L1307" s="15">
        <f>IF(K1307&lt;J1307,1,0)</f>
        <v>1</v>
      </c>
      <c r="M1307" s="15">
        <f>IF(K1307&lt;J1307,1,0)</f>
        <v>1</v>
      </c>
      <c r="N1307" s="5" t="s">
        <v>490</v>
      </c>
      <c r="O1307" s="5" t="s">
        <v>490</v>
      </c>
      <c r="P1307" s="16">
        <v>0</v>
      </c>
      <c r="Q1307" s="16">
        <v>0</v>
      </c>
      <c r="R1307" s="5" t="str">
        <f t="shared" si="203"/>
        <v>347-2024-03-31</v>
      </c>
    </row>
    <row r="1308" spans="1:18" x14ac:dyDescent="0.3">
      <c r="A1308" s="5">
        <v>347</v>
      </c>
      <c r="B1308" s="5" t="s">
        <v>230</v>
      </c>
      <c r="C1308" s="5" t="s">
        <v>231</v>
      </c>
      <c r="D1308" s="5" t="s">
        <v>11</v>
      </c>
      <c r="E1308" s="5" t="s">
        <v>14</v>
      </c>
      <c r="F1308" s="6">
        <v>45473</v>
      </c>
      <c r="G1308" s="5">
        <f t="shared" si="206"/>
        <v>2024</v>
      </c>
      <c r="H1308" s="5" t="str">
        <f t="shared" si="207"/>
        <v>Junio</v>
      </c>
      <c r="I1308" s="6" t="str">
        <f t="shared" si="202"/>
        <v>2024-1</v>
      </c>
      <c r="J1308" s="5">
        <v>5</v>
      </c>
      <c r="K1308" s="5">
        <v>3</v>
      </c>
      <c r="L1308" s="15">
        <f>IF(K1308&lt;J1308,1,0)</f>
        <v>1</v>
      </c>
      <c r="M1308" s="15">
        <f>IF(K1308&lt;J1308,1,0)</f>
        <v>1</v>
      </c>
      <c r="N1308" s="5" t="s">
        <v>490</v>
      </c>
      <c r="O1308" s="5" t="s">
        <v>490</v>
      </c>
      <c r="P1308" s="5">
        <v>0</v>
      </c>
      <c r="Q1308" s="5">
        <v>0</v>
      </c>
      <c r="R1308" s="5" t="str">
        <f t="shared" si="203"/>
        <v>347-2024-06-30</v>
      </c>
    </row>
    <row r="1309" spans="1:18" x14ac:dyDescent="0.3">
      <c r="A1309" s="26">
        <v>347</v>
      </c>
      <c r="B1309" s="5" t="s">
        <v>230</v>
      </c>
      <c r="C1309" s="5" t="s">
        <v>231</v>
      </c>
      <c r="D1309" s="5" t="s">
        <v>11</v>
      </c>
      <c r="E1309" s="5" t="s">
        <v>14</v>
      </c>
      <c r="F1309" s="6">
        <v>45565</v>
      </c>
      <c r="G1309" s="5">
        <f t="shared" si="206"/>
        <v>2024</v>
      </c>
      <c r="H1309" s="5" t="str">
        <f t="shared" si="207"/>
        <v>Septiembre</v>
      </c>
      <c r="I1309" s="6" t="str">
        <f t="shared" si="202"/>
        <v>2024-2</v>
      </c>
      <c r="J1309" s="5">
        <v>5</v>
      </c>
      <c r="K1309" s="10">
        <v>0</v>
      </c>
      <c r="L1309" s="15">
        <f>IF(K1309&lt;J1309,1,0)</f>
        <v>1</v>
      </c>
      <c r="M1309" s="15">
        <f>IF(K1309&lt;J1309,1,0)</f>
        <v>1</v>
      </c>
      <c r="N1309" s="5" t="s">
        <v>490</v>
      </c>
      <c r="O1309" s="5" t="s">
        <v>490</v>
      </c>
      <c r="P1309" s="16">
        <v>0</v>
      </c>
      <c r="Q1309" s="16">
        <v>0</v>
      </c>
      <c r="R1309" s="5" t="str">
        <f t="shared" si="203"/>
        <v>347-2024-09-30</v>
      </c>
    </row>
    <row r="1310" spans="1:18" x14ac:dyDescent="0.3">
      <c r="A1310" s="26">
        <v>347</v>
      </c>
      <c r="B1310" s="5" t="s">
        <v>230</v>
      </c>
      <c r="C1310" s="5" t="s">
        <v>231</v>
      </c>
      <c r="D1310" s="5" t="s">
        <v>11</v>
      </c>
      <c r="E1310" s="5" t="s">
        <v>14</v>
      </c>
      <c r="F1310" s="6">
        <v>45657</v>
      </c>
      <c r="G1310" s="5">
        <f t="shared" si="206"/>
        <v>2024</v>
      </c>
      <c r="H1310" s="5" t="str">
        <f t="shared" si="207"/>
        <v>Diciembre</v>
      </c>
      <c r="I1310" s="6" t="str">
        <f t="shared" si="202"/>
        <v>2024-2</v>
      </c>
      <c r="J1310" s="5">
        <v>5</v>
      </c>
      <c r="K1310" s="10">
        <v>0</v>
      </c>
      <c r="L1310" s="15">
        <f>IF(K1310&lt;J1310,1,0)</f>
        <v>1</v>
      </c>
      <c r="M1310" s="15">
        <f>IF(K1310&lt;J1310,1,0)</f>
        <v>1</v>
      </c>
      <c r="N1310" s="5" t="s">
        <v>490</v>
      </c>
      <c r="O1310" s="5" t="s">
        <v>490</v>
      </c>
      <c r="P1310" s="16">
        <v>0</v>
      </c>
      <c r="Q1310" s="16">
        <v>0</v>
      </c>
      <c r="R1310" s="5" t="str">
        <f t="shared" si="203"/>
        <v>347-2024-12-31</v>
      </c>
    </row>
    <row r="1311" spans="1:18" x14ac:dyDescent="0.3">
      <c r="A1311" s="26">
        <v>348</v>
      </c>
      <c r="B1311" s="5" t="s">
        <v>232</v>
      </c>
      <c r="C1311" s="5" t="s">
        <v>231</v>
      </c>
      <c r="D1311" s="5" t="s">
        <v>11</v>
      </c>
      <c r="E1311" s="5" t="s">
        <v>9</v>
      </c>
      <c r="F1311" s="6">
        <v>45016</v>
      </c>
      <c r="G1311" s="5">
        <f t="shared" si="206"/>
        <v>2023</v>
      </c>
      <c r="H1311" s="5" t="str">
        <f t="shared" si="207"/>
        <v>Marzo</v>
      </c>
      <c r="I1311" s="6" t="str">
        <f t="shared" si="202"/>
        <v>2023-1</v>
      </c>
      <c r="J1311" s="5">
        <v>99</v>
      </c>
      <c r="K1311" s="9">
        <v>99.94</v>
      </c>
      <c r="L1311" s="15">
        <f>IFERROR(K1311/J1311,"")</f>
        <v>1.0094949494949494</v>
      </c>
      <c r="M1311" s="15">
        <f t="shared" ref="M1311:M1315" si="211">IFERROR(IF((K1311/J1311)&gt;K1311/J1311,1.3,K1311/J1311),"")</f>
        <v>1.0094949494949494</v>
      </c>
      <c r="N1311" s="5" t="s">
        <v>347</v>
      </c>
      <c r="O1311" s="5" t="s">
        <v>347</v>
      </c>
      <c r="P1311" s="16">
        <v>0</v>
      </c>
      <c r="Q1311" s="16">
        <v>0</v>
      </c>
      <c r="R1311" s="5" t="str">
        <f t="shared" si="203"/>
        <v>348-2023-03-31</v>
      </c>
    </row>
    <row r="1312" spans="1:18" x14ac:dyDescent="0.3">
      <c r="A1312" s="26">
        <v>348</v>
      </c>
      <c r="B1312" s="5" t="s">
        <v>232</v>
      </c>
      <c r="C1312" s="5" t="s">
        <v>231</v>
      </c>
      <c r="D1312" s="5" t="s">
        <v>11</v>
      </c>
      <c r="E1312" s="5" t="s">
        <v>9</v>
      </c>
      <c r="F1312" s="6">
        <v>45107</v>
      </c>
      <c r="G1312" s="5">
        <f t="shared" si="206"/>
        <v>2023</v>
      </c>
      <c r="H1312" s="5" t="str">
        <f t="shared" si="207"/>
        <v>Junio</v>
      </c>
      <c r="I1312" s="6" t="str">
        <f t="shared" si="202"/>
        <v>2023-1</v>
      </c>
      <c r="J1312" s="5">
        <v>99</v>
      </c>
      <c r="K1312" s="9">
        <v>99.7</v>
      </c>
      <c r="L1312" s="15">
        <f>IFERROR(K1312/J1312,"")</f>
        <v>1.007070707070707</v>
      </c>
      <c r="M1312" s="15">
        <f t="shared" si="211"/>
        <v>1.007070707070707</v>
      </c>
      <c r="N1312" s="5" t="s">
        <v>347</v>
      </c>
      <c r="O1312" s="5" t="s">
        <v>347</v>
      </c>
      <c r="P1312" s="16">
        <v>0</v>
      </c>
      <c r="Q1312" s="16">
        <v>0</v>
      </c>
      <c r="R1312" s="5" t="str">
        <f t="shared" si="203"/>
        <v>348-2023-06-30</v>
      </c>
    </row>
    <row r="1313" spans="1:18" x14ac:dyDescent="0.3">
      <c r="A1313" s="43">
        <v>348</v>
      </c>
      <c r="B1313" s="5" t="s">
        <v>232</v>
      </c>
      <c r="C1313" s="5" t="s">
        <v>231</v>
      </c>
      <c r="D1313" s="5" t="s">
        <v>11</v>
      </c>
      <c r="E1313" s="5" t="s">
        <v>9</v>
      </c>
      <c r="F1313" s="6">
        <v>45199</v>
      </c>
      <c r="G1313" s="5">
        <f t="shared" si="206"/>
        <v>2023</v>
      </c>
      <c r="H1313" s="5" t="str">
        <f t="shared" si="207"/>
        <v>Septiembre</v>
      </c>
      <c r="I1313" s="6" t="str">
        <f t="shared" si="202"/>
        <v>2023-2</v>
      </c>
      <c r="J1313" s="5">
        <v>99</v>
      </c>
      <c r="K1313" s="9">
        <v>100</v>
      </c>
      <c r="L1313" s="15">
        <f>IFERROR(K1313/J1313,"")</f>
        <v>1.0101010101010102</v>
      </c>
      <c r="M1313" s="15">
        <f t="shared" si="211"/>
        <v>1.0101010101010102</v>
      </c>
      <c r="N1313" s="5" t="s">
        <v>347</v>
      </c>
      <c r="O1313" s="5" t="s">
        <v>347</v>
      </c>
      <c r="P1313" s="16">
        <v>0</v>
      </c>
      <c r="Q1313" s="16">
        <v>0</v>
      </c>
      <c r="R1313" s="5" t="str">
        <f t="shared" si="203"/>
        <v>348-2023-09-30</v>
      </c>
    </row>
    <row r="1314" spans="1:18" x14ac:dyDescent="0.3">
      <c r="A1314" s="39">
        <v>348</v>
      </c>
      <c r="B1314" s="5" t="s">
        <v>232</v>
      </c>
      <c r="C1314" s="5" t="s">
        <v>231</v>
      </c>
      <c r="D1314" s="5" t="s">
        <v>11</v>
      </c>
      <c r="E1314" s="5" t="s">
        <v>9</v>
      </c>
      <c r="F1314" s="6">
        <v>45291</v>
      </c>
      <c r="G1314" s="5">
        <f t="shared" si="206"/>
        <v>2023</v>
      </c>
      <c r="H1314" s="5" t="str">
        <f t="shared" si="207"/>
        <v>Diciembre</v>
      </c>
      <c r="I1314" s="6" t="str">
        <f t="shared" ref="I1314:I1371" si="212">IF(OR(H1314="Enero",H1314="Febrero",H1314="Marzo",H1314="Abril",H1314="Mayo",H1314="Junio"),G1314&amp;"-1",IF(OR(H1314="Julio",H1314="Agosto",H1314="Septiembre",H1314="Octubre",H1314="Noviembre",H1314="Diciembre"),G1314&amp;"-2"))</f>
        <v>2023-2</v>
      </c>
      <c r="J1314" s="5">
        <v>99</v>
      </c>
      <c r="K1314" s="9">
        <v>100</v>
      </c>
      <c r="L1314" s="15">
        <f>IFERROR(K1314/J1314,"")</f>
        <v>1.0101010101010102</v>
      </c>
      <c r="M1314" s="15">
        <f t="shared" si="211"/>
        <v>1.0101010101010102</v>
      </c>
      <c r="N1314" s="5" t="s">
        <v>347</v>
      </c>
      <c r="O1314" s="5" t="s">
        <v>347</v>
      </c>
      <c r="P1314" s="16">
        <v>0</v>
      </c>
      <c r="Q1314" s="16">
        <v>0</v>
      </c>
      <c r="R1314" s="5" t="str">
        <f t="shared" ref="R1314:R1371" si="213">A1314&amp;"-"&amp;YEAR(F1314)&amp;"-"&amp;IF(LEN(MONTH(F1314))=1,"0"&amp;MONTH(F1314),MONTH(F1314))&amp;"-"&amp;DAY(F1314)</f>
        <v>348-2023-12-31</v>
      </c>
    </row>
    <row r="1315" spans="1:18" x14ac:dyDescent="0.3">
      <c r="A1315" s="26">
        <v>348</v>
      </c>
      <c r="B1315" s="5" t="s">
        <v>232</v>
      </c>
      <c r="C1315" s="5" t="s">
        <v>231</v>
      </c>
      <c r="D1315" s="5" t="s">
        <v>11</v>
      </c>
      <c r="E1315" s="5" t="s">
        <v>9</v>
      </c>
      <c r="F1315" s="6">
        <v>45382</v>
      </c>
      <c r="G1315" s="5">
        <f t="shared" si="206"/>
        <v>2024</v>
      </c>
      <c r="H1315" s="5" t="str">
        <f t="shared" si="207"/>
        <v>Marzo</v>
      </c>
      <c r="I1315" s="6" t="str">
        <f t="shared" si="212"/>
        <v>2024-1</v>
      </c>
      <c r="J1315" s="5">
        <v>99</v>
      </c>
      <c r="K1315" s="10">
        <v>99.95</v>
      </c>
      <c r="L1315" s="15">
        <f>IFERROR(IF((K1315/J1315)&gt;1.3,1.3,K1315/J1315),"")</f>
        <v>1.0095959595959596</v>
      </c>
      <c r="M1315" s="15">
        <f t="shared" si="211"/>
        <v>1.0095959595959596</v>
      </c>
      <c r="N1315" s="5" t="s">
        <v>347</v>
      </c>
      <c r="O1315" s="5" t="s">
        <v>347</v>
      </c>
      <c r="P1315" s="16">
        <v>0</v>
      </c>
      <c r="Q1315" s="16">
        <v>0</v>
      </c>
      <c r="R1315" s="5" t="str">
        <f t="shared" si="213"/>
        <v>348-2024-03-31</v>
      </c>
    </row>
    <row r="1316" spans="1:18" x14ac:dyDescent="0.3">
      <c r="A1316" s="5">
        <v>348</v>
      </c>
      <c r="B1316" s="5" t="s">
        <v>232</v>
      </c>
      <c r="C1316" s="5" t="s">
        <v>231</v>
      </c>
      <c r="D1316" s="5" t="s">
        <v>11</v>
      </c>
      <c r="E1316" s="5" t="s">
        <v>9</v>
      </c>
      <c r="F1316" s="6">
        <v>45473</v>
      </c>
      <c r="G1316" s="5">
        <f t="shared" si="206"/>
        <v>2024</v>
      </c>
      <c r="H1316" s="5" t="str">
        <f t="shared" si="207"/>
        <v>Junio</v>
      </c>
      <c r="I1316" s="6" t="str">
        <f t="shared" si="212"/>
        <v>2024-1</v>
      </c>
      <c r="J1316" s="5">
        <v>99</v>
      </c>
      <c r="K1316" s="5">
        <v>99.9</v>
      </c>
      <c r="L1316" s="15">
        <v>1.009090909090909</v>
      </c>
      <c r="M1316" s="15">
        <v>1.009090909090909</v>
      </c>
      <c r="N1316" s="5" t="s">
        <v>347</v>
      </c>
      <c r="O1316" s="5" t="s">
        <v>347</v>
      </c>
      <c r="P1316" s="5">
        <v>1</v>
      </c>
      <c r="Q1316" s="5">
        <v>1</v>
      </c>
      <c r="R1316" s="5" t="str">
        <f t="shared" si="213"/>
        <v>348-2024-06-30</v>
      </c>
    </row>
    <row r="1317" spans="1:18" x14ac:dyDescent="0.3">
      <c r="A1317" s="26">
        <v>348</v>
      </c>
      <c r="B1317" s="5" t="s">
        <v>232</v>
      </c>
      <c r="C1317" s="5" t="s">
        <v>231</v>
      </c>
      <c r="D1317" s="5" t="s">
        <v>11</v>
      </c>
      <c r="E1317" s="5" t="s">
        <v>9</v>
      </c>
      <c r="F1317" s="6">
        <v>45565</v>
      </c>
      <c r="G1317" s="5">
        <f t="shared" si="206"/>
        <v>2024</v>
      </c>
      <c r="H1317" s="5" t="str">
        <f t="shared" si="207"/>
        <v>Septiembre</v>
      </c>
      <c r="I1317" s="6" t="str">
        <f t="shared" si="212"/>
        <v>2024-2</v>
      </c>
      <c r="J1317" s="5">
        <v>99</v>
      </c>
      <c r="K1317" s="10">
        <v>100</v>
      </c>
      <c r="L1317" s="15">
        <f>IFERROR(IF((K1317/J1317)&gt;1.3,1.3,K1317/J1317),"")</f>
        <v>1.0101010101010102</v>
      </c>
      <c r="M1317" s="15">
        <f>IFERROR(IF((K1317/J1317)&gt;K1317/J1317,1.3,K1317/J1317),"")</f>
        <v>1.0101010101010102</v>
      </c>
      <c r="N1317" s="5" t="s">
        <v>347</v>
      </c>
      <c r="O1317" s="5" t="s">
        <v>347</v>
      </c>
      <c r="P1317" s="16">
        <v>1</v>
      </c>
      <c r="Q1317" s="16">
        <v>1</v>
      </c>
      <c r="R1317" s="5" t="str">
        <f t="shared" si="213"/>
        <v>348-2024-09-30</v>
      </c>
    </row>
    <row r="1318" spans="1:18" x14ac:dyDescent="0.3">
      <c r="A1318" s="26">
        <v>348</v>
      </c>
      <c r="B1318" s="5" t="s">
        <v>232</v>
      </c>
      <c r="C1318" s="5" t="s">
        <v>231</v>
      </c>
      <c r="D1318" s="5" t="s">
        <v>11</v>
      </c>
      <c r="E1318" s="5" t="s">
        <v>9</v>
      </c>
      <c r="F1318" s="6">
        <v>45657</v>
      </c>
      <c r="G1318" s="5">
        <f t="shared" si="206"/>
        <v>2024</v>
      </c>
      <c r="H1318" s="5" t="str">
        <f t="shared" si="207"/>
        <v>Diciembre</v>
      </c>
      <c r="I1318" s="6" t="str">
        <f t="shared" si="212"/>
        <v>2024-2</v>
      </c>
      <c r="J1318" s="5">
        <v>99</v>
      </c>
      <c r="K1318" s="10">
        <v>100</v>
      </c>
      <c r="L1318" s="15">
        <f>IFERROR(IF((K1318/J1318)&gt;1.3,1.3,K1318/J1318),"")</f>
        <v>1.0101010101010102</v>
      </c>
      <c r="M1318" s="15">
        <f>IFERROR(IF((K1318/J1318)&gt;K1318/J1318,1.3,K1318/J1318),"")</f>
        <v>1.0101010101010102</v>
      </c>
      <c r="N1318" s="5" t="s">
        <v>347</v>
      </c>
      <c r="O1318" s="5" t="s">
        <v>347</v>
      </c>
      <c r="P1318" s="16">
        <v>1</v>
      </c>
      <c r="Q1318" s="16">
        <v>1</v>
      </c>
      <c r="R1318" s="5" t="str">
        <f t="shared" si="213"/>
        <v>348-2024-12-31</v>
      </c>
    </row>
    <row r="1319" spans="1:18" x14ac:dyDescent="0.3">
      <c r="A1319" s="26">
        <v>351</v>
      </c>
      <c r="B1319" s="5" t="s">
        <v>235</v>
      </c>
      <c r="C1319" s="5" t="s">
        <v>231</v>
      </c>
      <c r="D1319" s="5" t="s">
        <v>11</v>
      </c>
      <c r="E1319" s="5" t="s">
        <v>14</v>
      </c>
      <c r="F1319" s="6">
        <v>45016</v>
      </c>
      <c r="G1319" s="5">
        <f t="shared" si="206"/>
        <v>2023</v>
      </c>
      <c r="H1319" s="5" t="str">
        <f t="shared" si="207"/>
        <v>Marzo</v>
      </c>
      <c r="I1319" s="6" t="str">
        <f t="shared" si="212"/>
        <v>2023-1</v>
      </c>
      <c r="J1319" s="5">
        <v>5</v>
      </c>
      <c r="K1319" s="75">
        <v>11.418685121107</v>
      </c>
      <c r="L1319" s="15">
        <v>0.8</v>
      </c>
      <c r="M1319" s="15">
        <v>0.8</v>
      </c>
      <c r="N1319" s="5" t="s">
        <v>490</v>
      </c>
      <c r="O1319" s="5" t="s">
        <v>478</v>
      </c>
      <c r="P1319" s="16">
        <v>0</v>
      </c>
      <c r="Q1319" s="16">
        <v>0</v>
      </c>
      <c r="R1319" s="5" t="str">
        <f t="shared" si="213"/>
        <v>351-2023-03-31</v>
      </c>
    </row>
    <row r="1320" spans="1:18" x14ac:dyDescent="0.3">
      <c r="A1320" s="26">
        <v>351</v>
      </c>
      <c r="B1320" s="5" t="s">
        <v>235</v>
      </c>
      <c r="C1320" s="5" t="s">
        <v>231</v>
      </c>
      <c r="D1320" s="5" t="s">
        <v>11</v>
      </c>
      <c r="E1320" s="5" t="s">
        <v>14</v>
      </c>
      <c r="F1320" s="6">
        <v>45107</v>
      </c>
      <c r="G1320" s="5">
        <f t="shared" si="206"/>
        <v>2023</v>
      </c>
      <c r="H1320" s="5" t="str">
        <f t="shared" si="207"/>
        <v>Junio</v>
      </c>
      <c r="I1320" s="6" t="str">
        <f t="shared" si="212"/>
        <v>2023-1</v>
      </c>
      <c r="J1320" s="5">
        <v>5</v>
      </c>
      <c r="K1320" s="75">
        <v>8.2333989618757997</v>
      </c>
      <c r="L1320" s="15">
        <v>0.8</v>
      </c>
      <c r="M1320" s="15">
        <v>0.8</v>
      </c>
      <c r="N1320" s="5" t="s">
        <v>490</v>
      </c>
      <c r="O1320" s="5" t="s">
        <v>478</v>
      </c>
      <c r="P1320" s="16">
        <v>0</v>
      </c>
      <c r="Q1320" s="16">
        <v>0</v>
      </c>
      <c r="R1320" s="5" t="str">
        <f t="shared" si="213"/>
        <v>351-2023-06-30</v>
      </c>
    </row>
    <row r="1321" spans="1:18" x14ac:dyDescent="0.3">
      <c r="A1321" s="43">
        <v>351</v>
      </c>
      <c r="B1321" s="5" t="s">
        <v>235</v>
      </c>
      <c r="C1321" s="5" t="s">
        <v>231</v>
      </c>
      <c r="D1321" s="5" t="s">
        <v>11</v>
      </c>
      <c r="E1321" s="5" t="s">
        <v>14</v>
      </c>
      <c r="F1321" s="6">
        <v>45199</v>
      </c>
      <c r="G1321" s="5">
        <f t="shared" si="206"/>
        <v>2023</v>
      </c>
      <c r="H1321" s="5" t="str">
        <f t="shared" si="207"/>
        <v>Septiembre</v>
      </c>
      <c r="I1321" s="6" t="str">
        <f t="shared" si="212"/>
        <v>2023-2</v>
      </c>
      <c r="J1321" s="5">
        <v>5</v>
      </c>
      <c r="K1321" s="75">
        <v>10.3</v>
      </c>
      <c r="L1321" s="15">
        <v>0.8</v>
      </c>
      <c r="M1321" s="15">
        <v>0.8</v>
      </c>
      <c r="N1321" s="5" t="s">
        <v>490</v>
      </c>
      <c r="O1321" s="5" t="s">
        <v>478</v>
      </c>
      <c r="P1321" s="16">
        <v>0</v>
      </c>
      <c r="Q1321" s="16">
        <v>0</v>
      </c>
      <c r="R1321" s="5" t="str">
        <f t="shared" si="213"/>
        <v>351-2023-09-30</v>
      </c>
    </row>
    <row r="1322" spans="1:18" x14ac:dyDescent="0.3">
      <c r="A1322" s="39">
        <v>351</v>
      </c>
      <c r="B1322" s="5" t="s">
        <v>235</v>
      </c>
      <c r="C1322" s="5" t="s">
        <v>231</v>
      </c>
      <c r="D1322" s="5" t="s">
        <v>11</v>
      </c>
      <c r="E1322" s="5" t="s">
        <v>14</v>
      </c>
      <c r="F1322" s="6">
        <v>45291</v>
      </c>
      <c r="G1322" s="5">
        <f t="shared" si="206"/>
        <v>2023</v>
      </c>
      <c r="H1322" s="5" t="str">
        <f t="shared" si="207"/>
        <v>Diciembre</v>
      </c>
      <c r="I1322" s="6" t="str">
        <f t="shared" si="212"/>
        <v>2023-2</v>
      </c>
      <c r="J1322" s="5">
        <v>5</v>
      </c>
      <c r="K1322" s="75">
        <v>3.54</v>
      </c>
      <c r="L1322" s="15">
        <f>IFERROR(IF(K1322&lt;J1322,1,0),"")</f>
        <v>1</v>
      </c>
      <c r="M1322" s="8">
        <f>IFERROR(IF(K1322&lt;J1322,1,0),"")</f>
        <v>1</v>
      </c>
      <c r="N1322" s="5" t="s">
        <v>490</v>
      </c>
      <c r="O1322" s="5" t="s">
        <v>478</v>
      </c>
      <c r="P1322" s="16">
        <v>0</v>
      </c>
      <c r="Q1322" s="16">
        <v>0</v>
      </c>
      <c r="R1322" s="5" t="str">
        <f t="shared" si="213"/>
        <v>351-2023-12-31</v>
      </c>
    </row>
    <row r="1323" spans="1:18" x14ac:dyDescent="0.3">
      <c r="A1323" s="26">
        <v>351</v>
      </c>
      <c r="B1323" s="5" t="s">
        <v>235</v>
      </c>
      <c r="C1323" s="5" t="s">
        <v>231</v>
      </c>
      <c r="D1323" s="5" t="s">
        <v>11</v>
      </c>
      <c r="E1323" s="5" t="s">
        <v>14</v>
      </c>
      <c r="F1323" s="6">
        <v>45382</v>
      </c>
      <c r="G1323" s="5">
        <f t="shared" si="206"/>
        <v>2024</v>
      </c>
      <c r="H1323" s="5" t="str">
        <f t="shared" si="207"/>
        <v>Marzo</v>
      </c>
      <c r="I1323" s="6" t="str">
        <f t="shared" si="212"/>
        <v>2024-1</v>
      </c>
      <c r="J1323" s="5">
        <v>5</v>
      </c>
      <c r="K1323" s="10">
        <v>5</v>
      </c>
      <c r="L1323" s="15">
        <f>IFERROR(IF((K1323/J1323)&gt;1.3,1.3,K1323/J1323),"")</f>
        <v>1</v>
      </c>
      <c r="M1323" s="15">
        <f>IFERROR(IF((K1323/J1323)&gt;K1323/J1323,1.3,K1323/J1323),"")</f>
        <v>1</v>
      </c>
      <c r="N1323" s="5" t="s">
        <v>490</v>
      </c>
      <c r="O1323" s="5" t="s">
        <v>478</v>
      </c>
      <c r="P1323" s="16">
        <v>0</v>
      </c>
      <c r="Q1323" s="16">
        <v>0</v>
      </c>
      <c r="R1323" s="5" t="str">
        <f t="shared" si="213"/>
        <v>351-2024-03-31</v>
      </c>
    </row>
    <row r="1324" spans="1:18" x14ac:dyDescent="0.3">
      <c r="A1324" s="5">
        <v>351</v>
      </c>
      <c r="B1324" s="5" t="s">
        <v>235</v>
      </c>
      <c r="C1324" s="5" t="s">
        <v>231</v>
      </c>
      <c r="D1324" s="5" t="s">
        <v>11</v>
      </c>
      <c r="E1324" s="5" t="s">
        <v>14</v>
      </c>
      <c r="F1324" s="6">
        <v>45473</v>
      </c>
      <c r="G1324" s="5">
        <f t="shared" si="206"/>
        <v>2024</v>
      </c>
      <c r="H1324" s="5" t="str">
        <f t="shared" si="207"/>
        <v>Junio</v>
      </c>
      <c r="I1324" s="6" t="str">
        <f t="shared" si="212"/>
        <v>2024-1</v>
      </c>
      <c r="J1324" s="5">
        <v>5</v>
      </c>
      <c r="K1324" s="5">
        <v>12.53</v>
      </c>
      <c r="L1324" s="15">
        <f>1-(15-K1324)/15</f>
        <v>0.83533333333333326</v>
      </c>
      <c r="M1324" s="15">
        <f>1-(15-K1324)/15</f>
        <v>0.83533333333333326</v>
      </c>
      <c r="N1324" s="5" t="s">
        <v>490</v>
      </c>
      <c r="O1324" s="5" t="s">
        <v>478</v>
      </c>
      <c r="P1324" s="16">
        <v>0</v>
      </c>
      <c r="Q1324" s="5">
        <v>1</v>
      </c>
      <c r="R1324" s="5" t="str">
        <f t="shared" si="213"/>
        <v>351-2024-06-30</v>
      </c>
    </row>
    <row r="1325" spans="1:18" x14ac:dyDescent="0.3">
      <c r="A1325" s="26">
        <v>351</v>
      </c>
      <c r="B1325" s="5" t="s">
        <v>235</v>
      </c>
      <c r="C1325" s="5" t="s">
        <v>231</v>
      </c>
      <c r="D1325" s="5" t="s">
        <v>11</v>
      </c>
      <c r="E1325" s="5" t="s">
        <v>14</v>
      </c>
      <c r="F1325" s="6">
        <v>45565</v>
      </c>
      <c r="G1325" s="5">
        <f t="shared" si="206"/>
        <v>2024</v>
      </c>
      <c r="H1325" s="5" t="str">
        <f t="shared" si="207"/>
        <v>Septiembre</v>
      </c>
      <c r="I1325" s="6" t="str">
        <f t="shared" si="212"/>
        <v>2024-2</v>
      </c>
      <c r="J1325" s="5">
        <v>5</v>
      </c>
      <c r="K1325" s="10">
        <v>3.18</v>
      </c>
      <c r="L1325" s="15">
        <f>IFERROR(IF(K1325&lt;J1325,1,0),"")</f>
        <v>1</v>
      </c>
      <c r="M1325" s="15">
        <f>IFERROR(IF(K1325&lt;J1325,1,0),"")</f>
        <v>1</v>
      </c>
      <c r="N1325" s="5" t="s">
        <v>490</v>
      </c>
      <c r="O1325" s="5" t="s">
        <v>478</v>
      </c>
      <c r="P1325" s="16">
        <v>0</v>
      </c>
      <c r="Q1325" s="16">
        <v>1</v>
      </c>
      <c r="R1325" s="5" t="str">
        <f t="shared" si="213"/>
        <v>351-2024-09-30</v>
      </c>
    </row>
    <row r="1326" spans="1:18" x14ac:dyDescent="0.3">
      <c r="A1326" s="26">
        <v>351</v>
      </c>
      <c r="B1326" s="5" t="s">
        <v>235</v>
      </c>
      <c r="C1326" s="5" t="s">
        <v>231</v>
      </c>
      <c r="D1326" s="5" t="s">
        <v>11</v>
      </c>
      <c r="E1326" s="5" t="s">
        <v>14</v>
      </c>
      <c r="F1326" s="6">
        <v>45657</v>
      </c>
      <c r="G1326" s="5">
        <f t="shared" si="206"/>
        <v>2024</v>
      </c>
      <c r="H1326" s="5" t="str">
        <f t="shared" si="207"/>
        <v>Diciembre</v>
      </c>
      <c r="I1326" s="6" t="str">
        <f t="shared" si="212"/>
        <v>2024-2</v>
      </c>
      <c r="J1326" s="5">
        <v>5</v>
      </c>
      <c r="K1326" s="10">
        <v>1.5</v>
      </c>
      <c r="L1326" s="15">
        <f>IFERROR(IF(K1326&lt;J1326,1,0),"")</f>
        <v>1</v>
      </c>
      <c r="M1326" s="15">
        <f>IFERROR(IF(K1326&lt;J1326,1,0),"")</f>
        <v>1</v>
      </c>
      <c r="N1326" s="5" t="s">
        <v>490</v>
      </c>
      <c r="O1326" s="5" t="s">
        <v>478</v>
      </c>
      <c r="P1326" s="16">
        <v>0</v>
      </c>
      <c r="Q1326" s="16">
        <v>1</v>
      </c>
      <c r="R1326" s="5" t="str">
        <f t="shared" si="213"/>
        <v>351-2024-12-31</v>
      </c>
    </row>
    <row r="1327" spans="1:18" x14ac:dyDescent="0.3">
      <c r="A1327" s="26">
        <v>352</v>
      </c>
      <c r="B1327" s="5" t="s">
        <v>412</v>
      </c>
      <c r="C1327" s="5" t="s">
        <v>231</v>
      </c>
      <c r="D1327" s="5" t="s">
        <v>11</v>
      </c>
      <c r="E1327" s="5" t="s">
        <v>14</v>
      </c>
      <c r="F1327" s="6">
        <v>45016</v>
      </c>
      <c r="G1327" s="5">
        <f t="shared" si="206"/>
        <v>2023</v>
      </c>
      <c r="H1327" s="5" t="str">
        <f t="shared" si="207"/>
        <v>Marzo</v>
      </c>
      <c r="I1327" s="6" t="str">
        <f t="shared" si="212"/>
        <v>2023-1</v>
      </c>
      <c r="J1327" s="5">
        <v>0</v>
      </c>
      <c r="K1327" s="12">
        <v>1.038596855648E-2</v>
      </c>
      <c r="L1327" s="15">
        <f>(100%)-(K1327/100)</f>
        <v>0.99989614031443519</v>
      </c>
      <c r="M1327" s="15">
        <f>(100%)-(L1327/100)</f>
        <v>0.99000103859685562</v>
      </c>
      <c r="N1327" s="5" t="s">
        <v>347</v>
      </c>
      <c r="O1327" s="5" t="s">
        <v>347</v>
      </c>
      <c r="P1327" s="16">
        <v>0</v>
      </c>
      <c r="Q1327" s="16">
        <v>2</v>
      </c>
      <c r="R1327" s="5" t="str">
        <f t="shared" si="213"/>
        <v>352-2023-03-31</v>
      </c>
    </row>
    <row r="1328" spans="1:18" x14ac:dyDescent="0.3">
      <c r="A1328" s="26">
        <v>352</v>
      </c>
      <c r="B1328" s="5" t="s">
        <v>412</v>
      </c>
      <c r="C1328" s="5" t="s">
        <v>231</v>
      </c>
      <c r="D1328" s="5" t="s">
        <v>11</v>
      </c>
      <c r="E1328" s="5" t="s">
        <v>14</v>
      </c>
      <c r="F1328" s="6">
        <v>45107</v>
      </c>
      <c r="G1328" s="5">
        <f t="shared" si="206"/>
        <v>2023</v>
      </c>
      <c r="H1328" s="5" t="str">
        <f t="shared" si="207"/>
        <v>Junio</v>
      </c>
      <c r="I1328" s="6" t="str">
        <f t="shared" si="212"/>
        <v>2023-1</v>
      </c>
      <c r="J1328" s="5">
        <v>0</v>
      </c>
      <c r="K1328" s="12">
        <v>2.7700831024931E-2</v>
      </c>
      <c r="L1328" s="15">
        <f t="shared" ref="L1328:M1328" si="214">(100%)-(K1328/100)</f>
        <v>0.99972299168975065</v>
      </c>
      <c r="M1328" s="15">
        <f t="shared" si="214"/>
        <v>0.99000277008310245</v>
      </c>
      <c r="N1328" s="5" t="s">
        <v>347</v>
      </c>
      <c r="O1328" s="5" t="s">
        <v>347</v>
      </c>
      <c r="P1328" s="16">
        <v>0</v>
      </c>
      <c r="Q1328" s="16">
        <v>2</v>
      </c>
      <c r="R1328" s="5" t="str">
        <f t="shared" si="213"/>
        <v>352-2023-06-30</v>
      </c>
    </row>
    <row r="1329" spans="1:18" x14ac:dyDescent="0.3">
      <c r="A1329" s="43">
        <v>352</v>
      </c>
      <c r="B1329" s="5" t="s">
        <v>412</v>
      </c>
      <c r="C1329" s="5" t="s">
        <v>231</v>
      </c>
      <c r="D1329" s="5" t="s">
        <v>11</v>
      </c>
      <c r="E1329" s="5" t="s">
        <v>14</v>
      </c>
      <c r="F1329" s="6">
        <v>45199</v>
      </c>
      <c r="G1329" s="5">
        <f t="shared" si="206"/>
        <v>2023</v>
      </c>
      <c r="H1329" s="5" t="str">
        <f t="shared" si="207"/>
        <v>Septiembre</v>
      </c>
      <c r="I1329" s="6" t="str">
        <f t="shared" si="212"/>
        <v>2023-2</v>
      </c>
      <c r="J1329" s="5">
        <v>0</v>
      </c>
      <c r="K1329" s="12">
        <v>0.03</v>
      </c>
      <c r="L1329" s="15">
        <f t="shared" ref="L1329:M1329" si="215">(100%)-(K1329/100)</f>
        <v>0.99970000000000003</v>
      </c>
      <c r="M1329" s="15">
        <f t="shared" si="215"/>
        <v>0.99000299999999997</v>
      </c>
      <c r="N1329" s="5" t="s">
        <v>347</v>
      </c>
      <c r="O1329" s="5" t="s">
        <v>347</v>
      </c>
      <c r="P1329" s="16">
        <v>0</v>
      </c>
      <c r="Q1329" s="16">
        <v>2</v>
      </c>
      <c r="R1329" s="5" t="str">
        <f t="shared" si="213"/>
        <v>352-2023-09-30</v>
      </c>
    </row>
    <row r="1330" spans="1:18" x14ac:dyDescent="0.3">
      <c r="A1330" s="39">
        <v>352</v>
      </c>
      <c r="B1330" s="5" t="s">
        <v>412</v>
      </c>
      <c r="C1330" s="5" t="s">
        <v>231</v>
      </c>
      <c r="D1330" s="5" t="s">
        <v>11</v>
      </c>
      <c r="E1330" s="5" t="s">
        <v>14</v>
      </c>
      <c r="F1330" s="6">
        <v>45291</v>
      </c>
      <c r="G1330" s="5">
        <f t="shared" si="206"/>
        <v>2023</v>
      </c>
      <c r="H1330" s="5" t="str">
        <f t="shared" si="207"/>
        <v>Diciembre</v>
      </c>
      <c r="I1330" s="6" t="str">
        <f t="shared" si="212"/>
        <v>2023-2</v>
      </c>
      <c r="J1330" s="5">
        <v>0</v>
      </c>
      <c r="K1330" s="12">
        <v>0.28000000000000003</v>
      </c>
      <c r="L1330" s="15">
        <f t="shared" ref="L1330:M1330" si="216">(100%)-(K1330/100)</f>
        <v>0.99719999999999998</v>
      </c>
      <c r="M1330" s="15">
        <f t="shared" si="216"/>
        <v>0.99002800000000002</v>
      </c>
      <c r="N1330" s="5" t="s">
        <v>347</v>
      </c>
      <c r="O1330" s="5" t="s">
        <v>347</v>
      </c>
      <c r="P1330" s="16">
        <v>0</v>
      </c>
      <c r="Q1330" s="16">
        <v>2</v>
      </c>
      <c r="R1330" s="5" t="str">
        <f t="shared" si="213"/>
        <v>352-2023-12-31</v>
      </c>
    </row>
    <row r="1331" spans="1:18" x14ac:dyDescent="0.3">
      <c r="A1331" s="26">
        <v>352</v>
      </c>
      <c r="B1331" s="5" t="s">
        <v>412</v>
      </c>
      <c r="C1331" s="5" t="s">
        <v>231</v>
      </c>
      <c r="D1331" s="5" t="s">
        <v>11</v>
      </c>
      <c r="E1331" s="5" t="s">
        <v>14</v>
      </c>
      <c r="F1331" s="6">
        <v>45382</v>
      </c>
      <c r="G1331" s="5">
        <f t="shared" si="206"/>
        <v>2024</v>
      </c>
      <c r="H1331" s="5" t="str">
        <f t="shared" si="207"/>
        <v>Marzo</v>
      </c>
      <c r="I1331" s="6" t="str">
        <f t="shared" si="212"/>
        <v>2024-1</v>
      </c>
      <c r="J1331" s="5">
        <v>0</v>
      </c>
      <c r="K1331" s="10">
        <v>0.02</v>
      </c>
      <c r="L1331" s="15">
        <f t="shared" ref="L1331:M1331" si="217">(100%)-(K1331/100)</f>
        <v>0.99980000000000002</v>
      </c>
      <c r="M1331" s="15">
        <f t="shared" si="217"/>
        <v>0.99000200000000005</v>
      </c>
      <c r="N1331" s="5" t="s">
        <v>347</v>
      </c>
      <c r="O1331" s="5" t="s">
        <v>347</v>
      </c>
      <c r="P1331" s="16">
        <v>0</v>
      </c>
      <c r="Q1331" s="16">
        <v>2</v>
      </c>
      <c r="R1331" s="5" t="str">
        <f t="shared" si="213"/>
        <v>352-2024-03-31</v>
      </c>
    </row>
    <row r="1332" spans="1:18" x14ac:dyDescent="0.3">
      <c r="A1332" s="5">
        <v>352</v>
      </c>
      <c r="B1332" s="5" t="s">
        <v>412</v>
      </c>
      <c r="C1332" s="5" t="s">
        <v>231</v>
      </c>
      <c r="D1332" s="5" t="s">
        <v>11</v>
      </c>
      <c r="E1332" s="5" t="s">
        <v>14</v>
      </c>
      <c r="F1332" s="6">
        <v>45473</v>
      </c>
      <c r="G1332" s="5">
        <f t="shared" si="206"/>
        <v>2024</v>
      </c>
      <c r="H1332" s="5" t="str">
        <f t="shared" si="207"/>
        <v>Junio</v>
      </c>
      <c r="I1332" s="6" t="str">
        <f t="shared" si="212"/>
        <v>2024-1</v>
      </c>
      <c r="J1332" s="5">
        <v>0</v>
      </c>
      <c r="K1332" s="5">
        <v>0.06</v>
      </c>
      <c r="L1332" s="15">
        <f t="shared" ref="L1332:M1332" si="218">(100%)-(K1332/100)</f>
        <v>0.99939999999999996</v>
      </c>
      <c r="M1332" s="15">
        <f t="shared" si="218"/>
        <v>0.99000600000000005</v>
      </c>
      <c r="N1332" s="5" t="s">
        <v>347</v>
      </c>
      <c r="O1332" s="5" t="s">
        <v>347</v>
      </c>
      <c r="P1332" s="16">
        <v>0</v>
      </c>
      <c r="Q1332" s="5">
        <v>2</v>
      </c>
      <c r="R1332" s="5" t="str">
        <f t="shared" si="213"/>
        <v>352-2024-06-30</v>
      </c>
    </row>
    <row r="1333" spans="1:18" x14ac:dyDescent="0.3">
      <c r="A1333" s="26">
        <v>352</v>
      </c>
      <c r="B1333" s="5" t="s">
        <v>412</v>
      </c>
      <c r="C1333" s="5" t="s">
        <v>231</v>
      </c>
      <c r="D1333" s="5" t="s">
        <v>11</v>
      </c>
      <c r="E1333" s="5" t="s">
        <v>14</v>
      </c>
      <c r="F1333" s="6">
        <v>45565</v>
      </c>
      <c r="G1333" s="5">
        <f t="shared" si="206"/>
        <v>2024</v>
      </c>
      <c r="H1333" s="5" t="str">
        <f t="shared" si="207"/>
        <v>Septiembre</v>
      </c>
      <c r="I1333" s="6" t="str">
        <f t="shared" si="212"/>
        <v>2024-2</v>
      </c>
      <c r="J1333" s="5">
        <v>0</v>
      </c>
      <c r="K1333" s="10">
        <v>0</v>
      </c>
      <c r="L1333" s="15">
        <f t="shared" ref="L1333:M1333" si="219">(100%)-(K1333/100)</f>
        <v>1</v>
      </c>
      <c r="M1333" s="15">
        <f t="shared" si="219"/>
        <v>0.99</v>
      </c>
      <c r="N1333" s="5" t="s">
        <v>347</v>
      </c>
      <c r="O1333" s="5" t="s">
        <v>347</v>
      </c>
      <c r="P1333" s="16">
        <v>0</v>
      </c>
      <c r="Q1333" s="16">
        <v>2</v>
      </c>
      <c r="R1333" s="5" t="str">
        <f t="shared" si="213"/>
        <v>352-2024-09-30</v>
      </c>
    </row>
    <row r="1334" spans="1:18" x14ac:dyDescent="0.3">
      <c r="A1334" s="26">
        <v>352</v>
      </c>
      <c r="B1334" s="5" t="s">
        <v>412</v>
      </c>
      <c r="C1334" s="5" t="s">
        <v>231</v>
      </c>
      <c r="D1334" s="5" t="s">
        <v>11</v>
      </c>
      <c r="E1334" s="5" t="s">
        <v>14</v>
      </c>
      <c r="F1334" s="6">
        <v>45657</v>
      </c>
      <c r="G1334" s="5">
        <f t="shared" si="206"/>
        <v>2024</v>
      </c>
      <c r="H1334" s="5" t="str">
        <f t="shared" si="207"/>
        <v>Diciembre</v>
      </c>
      <c r="I1334" s="6" t="str">
        <f t="shared" si="212"/>
        <v>2024-2</v>
      </c>
      <c r="J1334" s="5">
        <v>0</v>
      </c>
      <c r="K1334" s="10">
        <v>0</v>
      </c>
      <c r="L1334" s="15">
        <f t="shared" ref="L1334:M1334" si="220">(100%)-(K1334/100)</f>
        <v>1</v>
      </c>
      <c r="M1334" s="15">
        <f t="shared" si="220"/>
        <v>0.99</v>
      </c>
      <c r="N1334" s="5" t="s">
        <v>347</v>
      </c>
      <c r="O1334" s="5" t="s">
        <v>347</v>
      </c>
      <c r="P1334" s="16">
        <v>0</v>
      </c>
      <c r="Q1334" s="16">
        <v>2</v>
      </c>
      <c r="R1334" s="5" t="str">
        <f t="shared" si="213"/>
        <v>352-2024-12-31</v>
      </c>
    </row>
    <row r="1335" spans="1:18" x14ac:dyDescent="0.3">
      <c r="A1335" s="43">
        <v>353</v>
      </c>
      <c r="B1335" s="5" t="s">
        <v>236</v>
      </c>
      <c r="C1335" s="5" t="s">
        <v>237</v>
      </c>
      <c r="D1335" s="5" t="s">
        <v>8</v>
      </c>
      <c r="E1335" s="5" t="s">
        <v>9</v>
      </c>
      <c r="F1335" s="6">
        <v>45107</v>
      </c>
      <c r="G1335" s="5">
        <f t="shared" si="206"/>
        <v>2023</v>
      </c>
      <c r="H1335" s="5" t="str">
        <f t="shared" si="207"/>
        <v>Junio</v>
      </c>
      <c r="I1335" s="6" t="str">
        <f t="shared" si="212"/>
        <v>2023-1</v>
      </c>
      <c r="J1335" s="5">
        <v>35</v>
      </c>
      <c r="K1335" s="9">
        <v>40.384615384615003</v>
      </c>
      <c r="L1335" s="15">
        <v>1.1538461538461544</v>
      </c>
      <c r="M1335" s="15">
        <f t="shared" ref="M1335:M1340" si="221">IFERROR(IF((K1335/J1335)&gt;K1335/J1335,1.3,K1335/J1335),"")</f>
        <v>1.1538461538461429</v>
      </c>
      <c r="N1335" s="5" t="s">
        <v>478</v>
      </c>
      <c r="O1335" s="5" t="s">
        <v>478</v>
      </c>
      <c r="P1335" s="16">
        <v>0</v>
      </c>
      <c r="Q1335" s="16">
        <v>0</v>
      </c>
      <c r="R1335" s="5" t="str">
        <f t="shared" si="213"/>
        <v>353-2023-06-30</v>
      </c>
    </row>
    <row r="1336" spans="1:18" x14ac:dyDescent="0.3">
      <c r="A1336" s="39">
        <v>353</v>
      </c>
      <c r="B1336" s="5" t="s">
        <v>236</v>
      </c>
      <c r="C1336" s="5" t="s">
        <v>237</v>
      </c>
      <c r="D1336" s="5" t="s">
        <v>8</v>
      </c>
      <c r="E1336" s="5" t="s">
        <v>9</v>
      </c>
      <c r="F1336" s="6">
        <v>45291</v>
      </c>
      <c r="G1336" s="5">
        <f t="shared" si="206"/>
        <v>2023</v>
      </c>
      <c r="H1336" s="5" t="str">
        <f t="shared" si="207"/>
        <v>Diciembre</v>
      </c>
      <c r="I1336" s="6" t="str">
        <f t="shared" si="212"/>
        <v>2023-2</v>
      </c>
      <c r="J1336" s="5">
        <v>35</v>
      </c>
      <c r="K1336" s="9">
        <v>40.384615384615401</v>
      </c>
      <c r="L1336" s="15">
        <f>IFERROR(IF((K1336/J1336)&gt;1.3,1.3,K1336/J1336),"")</f>
        <v>1.1538461538461544</v>
      </c>
      <c r="M1336" s="15">
        <f t="shared" si="221"/>
        <v>1.1538461538461544</v>
      </c>
      <c r="N1336" s="5" t="s">
        <v>478</v>
      </c>
      <c r="O1336" s="5" t="s">
        <v>478</v>
      </c>
      <c r="P1336" s="16">
        <v>0</v>
      </c>
      <c r="Q1336" s="16">
        <v>0</v>
      </c>
      <c r="R1336" s="5" t="str">
        <f t="shared" si="213"/>
        <v>353-2023-12-31</v>
      </c>
    </row>
    <row r="1337" spans="1:18" x14ac:dyDescent="0.3">
      <c r="A1337" s="26">
        <v>354</v>
      </c>
      <c r="B1337" s="5" t="s">
        <v>238</v>
      </c>
      <c r="C1337" s="5" t="s">
        <v>237</v>
      </c>
      <c r="D1337" s="5" t="s">
        <v>8</v>
      </c>
      <c r="E1337" s="5" t="s">
        <v>9</v>
      </c>
      <c r="F1337" s="17">
        <v>45107</v>
      </c>
      <c r="G1337" s="5">
        <f t="shared" si="206"/>
        <v>2023</v>
      </c>
      <c r="H1337" s="5" t="str">
        <f t="shared" si="207"/>
        <v>Junio</v>
      </c>
      <c r="I1337" s="6" t="str">
        <f t="shared" si="212"/>
        <v>2023-1</v>
      </c>
      <c r="J1337" s="5">
        <v>10</v>
      </c>
      <c r="K1337" s="9">
        <v>5.07</v>
      </c>
      <c r="L1337" s="8">
        <f>IFERROR(K1337/J1337,"")</f>
        <v>0.50700000000000001</v>
      </c>
      <c r="M1337" s="15">
        <f t="shared" si="221"/>
        <v>0.50700000000000001</v>
      </c>
      <c r="N1337" s="5" t="s">
        <v>478</v>
      </c>
      <c r="O1337" s="5" t="s">
        <v>478</v>
      </c>
      <c r="P1337" s="16">
        <v>2</v>
      </c>
      <c r="Q1337" s="16">
        <v>2</v>
      </c>
      <c r="R1337" s="5" t="str">
        <f t="shared" si="213"/>
        <v>354-2023-06-30</v>
      </c>
    </row>
    <row r="1338" spans="1:18" x14ac:dyDescent="0.3">
      <c r="A1338" s="39">
        <v>354</v>
      </c>
      <c r="B1338" s="5" t="s">
        <v>238</v>
      </c>
      <c r="C1338" s="5" t="s">
        <v>237</v>
      </c>
      <c r="D1338" s="5" t="s">
        <v>8</v>
      </c>
      <c r="E1338" s="5" t="s">
        <v>9</v>
      </c>
      <c r="F1338" s="6">
        <v>45291</v>
      </c>
      <c r="G1338" s="5">
        <f t="shared" si="206"/>
        <v>2023</v>
      </c>
      <c r="H1338" s="5" t="str">
        <f t="shared" si="207"/>
        <v>Diciembre</v>
      </c>
      <c r="I1338" s="6" t="str">
        <f t="shared" si="212"/>
        <v>2023-2</v>
      </c>
      <c r="J1338" s="5">
        <v>10</v>
      </c>
      <c r="K1338" s="9">
        <v>31.77</v>
      </c>
      <c r="L1338" s="8">
        <f>IFERROR(K1338/J1338,"")</f>
        <v>3.177</v>
      </c>
      <c r="M1338" s="15">
        <f t="shared" si="221"/>
        <v>3.177</v>
      </c>
      <c r="N1338" s="5" t="s">
        <v>478</v>
      </c>
      <c r="O1338" s="5" t="s">
        <v>478</v>
      </c>
      <c r="P1338" s="16">
        <v>0</v>
      </c>
      <c r="Q1338" s="16">
        <v>0</v>
      </c>
      <c r="R1338" s="5" t="str">
        <f t="shared" si="213"/>
        <v>354-2023-12-31</v>
      </c>
    </row>
    <row r="1339" spans="1:18" x14ac:dyDescent="0.3">
      <c r="A1339" s="39">
        <v>355</v>
      </c>
      <c r="B1339" s="5" t="s">
        <v>239</v>
      </c>
      <c r="C1339" s="5" t="s">
        <v>240</v>
      </c>
      <c r="D1339" s="5" t="s">
        <v>25</v>
      </c>
      <c r="E1339" s="5" t="s">
        <v>9</v>
      </c>
      <c r="F1339" s="6">
        <v>45291</v>
      </c>
      <c r="G1339" s="5">
        <f t="shared" si="206"/>
        <v>2023</v>
      </c>
      <c r="H1339" s="5" t="str">
        <f t="shared" si="207"/>
        <v>Diciembre</v>
      </c>
      <c r="I1339" s="6" t="str">
        <f t="shared" si="212"/>
        <v>2023-2</v>
      </c>
      <c r="J1339" s="11">
        <v>1</v>
      </c>
      <c r="K1339" s="9">
        <v>1.65</v>
      </c>
      <c r="L1339" s="8">
        <f>IFERROR(K1339/J1339,"")</f>
        <v>1.65</v>
      </c>
      <c r="M1339" s="15">
        <f t="shared" si="221"/>
        <v>1.65</v>
      </c>
      <c r="N1339" s="5" t="s">
        <v>478</v>
      </c>
      <c r="O1339" s="5" t="s">
        <v>478</v>
      </c>
      <c r="P1339" s="16">
        <v>0</v>
      </c>
      <c r="Q1339" s="16">
        <v>0</v>
      </c>
      <c r="R1339" s="5" t="str">
        <f t="shared" si="213"/>
        <v>355-2023-12-31</v>
      </c>
    </row>
    <row r="1340" spans="1:18" x14ac:dyDescent="0.3">
      <c r="A1340" s="26">
        <v>355</v>
      </c>
      <c r="B1340" s="5" t="s">
        <v>239</v>
      </c>
      <c r="C1340" s="5" t="s">
        <v>240</v>
      </c>
      <c r="D1340" s="5" t="s">
        <v>25</v>
      </c>
      <c r="E1340" s="5" t="s">
        <v>9</v>
      </c>
      <c r="F1340" s="6">
        <v>45657</v>
      </c>
      <c r="G1340" s="5">
        <f t="shared" si="206"/>
        <v>2024</v>
      </c>
      <c r="H1340" s="5" t="str">
        <f t="shared" si="207"/>
        <v>Diciembre</v>
      </c>
      <c r="I1340" s="6" t="str">
        <f t="shared" si="212"/>
        <v>2024-2</v>
      </c>
      <c r="J1340" s="5">
        <v>0</v>
      </c>
      <c r="K1340" s="10">
        <v>1.69</v>
      </c>
      <c r="L1340" s="15" t="str">
        <f>IFERROR(IF((K1340/J1340)&gt;1.3,1.3,K1340/J1340),"")</f>
        <v/>
      </c>
      <c r="M1340" s="15" t="str">
        <f t="shared" si="221"/>
        <v/>
      </c>
      <c r="N1340" s="5"/>
      <c r="O1340" s="5"/>
      <c r="P1340" s="16">
        <v>0</v>
      </c>
      <c r="Q1340" s="16">
        <v>0</v>
      </c>
      <c r="R1340" s="5" t="str">
        <f t="shared" si="213"/>
        <v>355-2024-12-31</v>
      </c>
    </row>
    <row r="1341" spans="1:18" x14ac:dyDescent="0.3">
      <c r="A1341" s="26">
        <v>356</v>
      </c>
      <c r="B1341" s="5" t="s">
        <v>241</v>
      </c>
      <c r="C1341" s="5" t="s">
        <v>240</v>
      </c>
      <c r="D1341" s="5" t="s">
        <v>8</v>
      </c>
      <c r="E1341" s="5" t="s">
        <v>14</v>
      </c>
      <c r="F1341" s="17">
        <v>45107</v>
      </c>
      <c r="G1341" s="5">
        <f t="shared" si="206"/>
        <v>2023</v>
      </c>
      <c r="H1341" s="5" t="str">
        <f t="shared" si="207"/>
        <v>Junio</v>
      </c>
      <c r="I1341" s="6" t="str">
        <f t="shared" si="212"/>
        <v>2023-1</v>
      </c>
      <c r="J1341" s="11">
        <v>60</v>
      </c>
      <c r="K1341" s="9">
        <v>49.21</v>
      </c>
      <c r="L1341" s="8">
        <f>J1341/K1341</f>
        <v>1.2192643771591141</v>
      </c>
      <c r="M1341" s="8">
        <f>IFERROR(J1341/K1341,"")</f>
        <v>1.2192643771591141</v>
      </c>
      <c r="N1341" s="11" t="s">
        <v>347</v>
      </c>
      <c r="O1341" s="11" t="s">
        <v>347</v>
      </c>
      <c r="P1341" s="16">
        <v>0</v>
      </c>
      <c r="Q1341" s="16">
        <v>0</v>
      </c>
      <c r="R1341" s="5" t="str">
        <f t="shared" si="213"/>
        <v>356-2023-06-30</v>
      </c>
    </row>
    <row r="1342" spans="1:18" x14ac:dyDescent="0.3">
      <c r="A1342" s="39">
        <v>356</v>
      </c>
      <c r="B1342" s="5" t="s">
        <v>241</v>
      </c>
      <c r="C1342" s="5" t="s">
        <v>240</v>
      </c>
      <c r="D1342" s="5" t="s">
        <v>8</v>
      </c>
      <c r="E1342" s="5" t="s">
        <v>14</v>
      </c>
      <c r="F1342" s="6">
        <v>45291</v>
      </c>
      <c r="G1342" s="5">
        <f t="shared" si="206"/>
        <v>2023</v>
      </c>
      <c r="H1342" s="5" t="str">
        <f t="shared" si="207"/>
        <v>Diciembre</v>
      </c>
      <c r="I1342" s="6" t="str">
        <f t="shared" si="212"/>
        <v>2023-2</v>
      </c>
      <c r="J1342" s="5">
        <v>60</v>
      </c>
      <c r="K1342" s="9">
        <v>61.54</v>
      </c>
      <c r="L1342" s="8">
        <f t="shared" ref="L1342:L1344" si="222">J1342/K1342</f>
        <v>0.9749756256093598</v>
      </c>
      <c r="M1342" s="8">
        <f t="shared" ref="M1342:M1344" si="223">IFERROR(J1342/K1342,"")</f>
        <v>0.9749756256093598</v>
      </c>
      <c r="N1342" s="11" t="s">
        <v>347</v>
      </c>
      <c r="O1342" s="11" t="s">
        <v>347</v>
      </c>
      <c r="P1342" s="16">
        <v>0</v>
      </c>
      <c r="Q1342" s="16">
        <v>0</v>
      </c>
      <c r="R1342" s="5" t="str">
        <f t="shared" si="213"/>
        <v>356-2023-12-31</v>
      </c>
    </row>
    <row r="1343" spans="1:18" x14ac:dyDescent="0.3">
      <c r="A1343" s="5">
        <v>356</v>
      </c>
      <c r="B1343" s="5" t="s">
        <v>241</v>
      </c>
      <c r="C1343" s="5" t="s">
        <v>240</v>
      </c>
      <c r="D1343" s="5" t="s">
        <v>8</v>
      </c>
      <c r="E1343" s="5" t="s">
        <v>14</v>
      </c>
      <c r="F1343" s="6">
        <v>45473</v>
      </c>
      <c r="G1343" s="5">
        <f t="shared" si="206"/>
        <v>2024</v>
      </c>
      <c r="H1343" s="5" t="str">
        <f t="shared" si="207"/>
        <v>Junio</v>
      </c>
      <c r="I1343" s="6" t="str">
        <f t="shared" si="212"/>
        <v>2024-1</v>
      </c>
      <c r="J1343" s="5">
        <v>60</v>
      </c>
      <c r="K1343" s="5">
        <v>54.08</v>
      </c>
      <c r="L1343" s="8">
        <f t="shared" si="222"/>
        <v>1.1094674556213018</v>
      </c>
      <c r="M1343" s="8">
        <f t="shared" si="223"/>
        <v>1.1094674556213018</v>
      </c>
      <c r="N1343" s="11" t="s">
        <v>347</v>
      </c>
      <c r="O1343" s="11" t="s">
        <v>347</v>
      </c>
      <c r="P1343" s="5">
        <v>1</v>
      </c>
      <c r="Q1343" s="5">
        <v>1</v>
      </c>
      <c r="R1343" s="5" t="str">
        <f t="shared" si="213"/>
        <v>356-2024-06-30</v>
      </c>
    </row>
    <row r="1344" spans="1:18" x14ac:dyDescent="0.3">
      <c r="A1344" s="26">
        <v>356</v>
      </c>
      <c r="B1344" s="5" t="s">
        <v>241</v>
      </c>
      <c r="C1344" s="5" t="s">
        <v>240</v>
      </c>
      <c r="D1344" s="5" t="s">
        <v>8</v>
      </c>
      <c r="E1344" s="5" t="s">
        <v>14</v>
      </c>
      <c r="F1344" s="6">
        <v>45657</v>
      </c>
      <c r="G1344" s="5">
        <f t="shared" si="206"/>
        <v>2024</v>
      </c>
      <c r="H1344" s="5" t="str">
        <f t="shared" si="207"/>
        <v>Diciembre</v>
      </c>
      <c r="I1344" s="6" t="str">
        <f t="shared" si="212"/>
        <v>2024-2</v>
      </c>
      <c r="J1344" s="5">
        <v>60</v>
      </c>
      <c r="K1344" s="10">
        <v>65.55</v>
      </c>
      <c r="L1344" s="8">
        <f t="shared" si="222"/>
        <v>0.91533180778032042</v>
      </c>
      <c r="M1344" s="8">
        <f t="shared" si="223"/>
        <v>0.91533180778032042</v>
      </c>
      <c r="N1344" s="11" t="s">
        <v>347</v>
      </c>
      <c r="O1344" s="11" t="s">
        <v>347</v>
      </c>
      <c r="P1344" s="16">
        <v>1</v>
      </c>
      <c r="Q1344" s="16">
        <v>1</v>
      </c>
      <c r="R1344" s="5" t="str">
        <f t="shared" si="213"/>
        <v>356-2024-12-31</v>
      </c>
    </row>
    <row r="1345" spans="1:18" x14ac:dyDescent="0.3">
      <c r="A1345" s="26">
        <v>357</v>
      </c>
      <c r="B1345" s="5" t="s">
        <v>242</v>
      </c>
      <c r="C1345" s="5" t="s">
        <v>240</v>
      </c>
      <c r="D1345" s="5" t="s">
        <v>8</v>
      </c>
      <c r="E1345" s="5" t="s">
        <v>9</v>
      </c>
      <c r="F1345" s="17">
        <v>45107</v>
      </c>
      <c r="G1345" s="5">
        <f t="shared" si="206"/>
        <v>2023</v>
      </c>
      <c r="H1345" s="5" t="str">
        <f t="shared" si="207"/>
        <v>Junio</v>
      </c>
      <c r="I1345" s="6" t="str">
        <f t="shared" si="212"/>
        <v>2023-1</v>
      </c>
      <c r="J1345" s="5"/>
      <c r="K1345" s="9">
        <v>3.01</v>
      </c>
      <c r="L1345" s="8" t="str">
        <f>IFERROR(K1345/J1345,"")</f>
        <v/>
      </c>
      <c r="M1345" s="15" t="str">
        <f>IFERROR(IF((K1345/J1345)&gt;K1345/J1345,1.3,K1345/J1345),"")</f>
        <v/>
      </c>
      <c r="N1345" s="5" t="s">
        <v>728</v>
      </c>
      <c r="O1345" s="20" t="s">
        <v>478</v>
      </c>
      <c r="P1345" s="16">
        <v>2</v>
      </c>
      <c r="Q1345" s="16">
        <v>2</v>
      </c>
      <c r="R1345" s="5" t="str">
        <f t="shared" si="213"/>
        <v>357-2023-06-30</v>
      </c>
    </row>
    <row r="1346" spans="1:18" x14ac:dyDescent="0.3">
      <c r="A1346" s="39">
        <v>357</v>
      </c>
      <c r="B1346" s="5" t="s">
        <v>242</v>
      </c>
      <c r="C1346" s="5" t="s">
        <v>240</v>
      </c>
      <c r="D1346" s="5" t="s">
        <v>8</v>
      </c>
      <c r="E1346" s="5" t="s">
        <v>9</v>
      </c>
      <c r="F1346" s="6">
        <v>45291</v>
      </c>
      <c r="G1346" s="5">
        <f t="shared" ref="G1346:G1409" si="224">YEAR(F1346)</f>
        <v>2023</v>
      </c>
      <c r="H1346" s="5" t="str">
        <f t="shared" ref="H1346:H1409" si="225">PROPER(TEXT(F1346,"mmmm"))</f>
        <v>Diciembre</v>
      </c>
      <c r="I1346" s="6" t="str">
        <f t="shared" si="212"/>
        <v>2023-2</v>
      </c>
      <c r="J1346" s="5"/>
      <c r="K1346" s="9">
        <v>4.45</v>
      </c>
      <c r="L1346" s="8" t="str">
        <f>IFERROR(K1346/J1346,"")</f>
        <v/>
      </c>
      <c r="M1346" s="15" t="str">
        <f>IFERROR(IF((K1346/J1346)&gt;K1346/J1346,1.3,K1346/J1346),"")</f>
        <v/>
      </c>
      <c r="N1346" s="5" t="s">
        <v>728</v>
      </c>
      <c r="O1346" s="20" t="s">
        <v>478</v>
      </c>
      <c r="P1346" s="16">
        <v>0</v>
      </c>
      <c r="Q1346" s="16">
        <v>0</v>
      </c>
      <c r="R1346" s="5" t="str">
        <f t="shared" si="213"/>
        <v>357-2023-12-31</v>
      </c>
    </row>
    <row r="1347" spans="1:18" x14ac:dyDescent="0.3">
      <c r="A1347" s="5">
        <v>357</v>
      </c>
      <c r="B1347" s="5" t="s">
        <v>242</v>
      </c>
      <c r="C1347" s="5" t="s">
        <v>240</v>
      </c>
      <c r="D1347" s="5" t="s">
        <v>8</v>
      </c>
      <c r="E1347" s="5" t="s">
        <v>9</v>
      </c>
      <c r="F1347" s="6">
        <v>45473</v>
      </c>
      <c r="G1347" s="5">
        <f t="shared" si="224"/>
        <v>2024</v>
      </c>
      <c r="H1347" s="5" t="str">
        <f t="shared" si="225"/>
        <v>Junio</v>
      </c>
      <c r="I1347" s="6" t="str">
        <f t="shared" si="212"/>
        <v>2024-1</v>
      </c>
      <c r="J1347" s="5"/>
      <c r="K1347" s="5">
        <v>3.87</v>
      </c>
      <c r="L1347" s="15" t="s">
        <v>417</v>
      </c>
      <c r="M1347" s="15" t="s">
        <v>417</v>
      </c>
      <c r="N1347" s="5" t="s">
        <v>728</v>
      </c>
      <c r="O1347" s="20" t="s">
        <v>478</v>
      </c>
      <c r="P1347" s="5">
        <v>2</v>
      </c>
      <c r="Q1347" s="5">
        <v>2</v>
      </c>
      <c r="R1347" s="5" t="str">
        <f t="shared" si="213"/>
        <v>357-2024-06-30</v>
      </c>
    </row>
    <row r="1348" spans="1:18" x14ac:dyDescent="0.3">
      <c r="A1348" s="26">
        <v>357</v>
      </c>
      <c r="B1348" s="5" t="s">
        <v>242</v>
      </c>
      <c r="C1348" s="5" t="s">
        <v>240</v>
      </c>
      <c r="D1348" s="5" t="s">
        <v>8</v>
      </c>
      <c r="E1348" s="5" t="s">
        <v>9</v>
      </c>
      <c r="F1348" s="6">
        <v>45657</v>
      </c>
      <c r="G1348" s="5">
        <f t="shared" si="224"/>
        <v>2024</v>
      </c>
      <c r="H1348" s="5" t="str">
        <f t="shared" si="225"/>
        <v>Diciembre</v>
      </c>
      <c r="I1348" s="6" t="str">
        <f t="shared" si="212"/>
        <v>2024-2</v>
      </c>
      <c r="J1348" s="5"/>
      <c r="K1348" s="10">
        <v>0.51</v>
      </c>
      <c r="L1348" s="15" t="str">
        <f>IFERROR(IF((K1348/J1348)&gt;1.3,1.3,K1348/J1348),"")</f>
        <v/>
      </c>
      <c r="M1348" s="15" t="str">
        <f>IFERROR(IF((K1348/J1348)&gt;K1348/J1348,1.3,K1348/J1348),"")</f>
        <v/>
      </c>
      <c r="N1348" s="5" t="s">
        <v>728</v>
      </c>
      <c r="O1348" s="20" t="s">
        <v>478</v>
      </c>
      <c r="P1348" s="16">
        <v>2</v>
      </c>
      <c r="Q1348" s="16">
        <v>2</v>
      </c>
      <c r="R1348" s="5" t="str">
        <f t="shared" si="213"/>
        <v>357-2024-12-31</v>
      </c>
    </row>
    <row r="1349" spans="1:18" x14ac:dyDescent="0.3">
      <c r="A1349" s="26">
        <v>358</v>
      </c>
      <c r="B1349" s="5" t="s">
        <v>243</v>
      </c>
      <c r="C1349" s="5" t="s">
        <v>244</v>
      </c>
      <c r="D1349" s="5" t="s">
        <v>8</v>
      </c>
      <c r="E1349" s="5" t="s">
        <v>9</v>
      </c>
      <c r="F1349" s="17">
        <v>45107</v>
      </c>
      <c r="G1349" s="5">
        <f t="shared" si="224"/>
        <v>2023</v>
      </c>
      <c r="H1349" s="5" t="str">
        <f t="shared" si="225"/>
        <v>Junio</v>
      </c>
      <c r="I1349" s="6" t="str">
        <f t="shared" si="212"/>
        <v>2023-1</v>
      </c>
      <c r="J1349" s="5">
        <v>87</v>
      </c>
      <c r="K1349" s="9">
        <v>86.98</v>
      </c>
      <c r="L1349" s="8">
        <f>IFERROR(K1349/J1349,"")</f>
        <v>0.99977011494252876</v>
      </c>
      <c r="M1349" s="15">
        <f>IFERROR(IF((K1349/J1349)&gt;K1349/J1349,1.3,K1349/J1349),"")</f>
        <v>0.99977011494252876</v>
      </c>
      <c r="N1349" s="5" t="s">
        <v>347</v>
      </c>
      <c r="O1349" s="5" t="s">
        <v>347</v>
      </c>
      <c r="P1349" s="16">
        <v>0</v>
      </c>
      <c r="Q1349" s="16">
        <v>0</v>
      </c>
      <c r="R1349" s="5" t="str">
        <f t="shared" si="213"/>
        <v>358-2023-06-30</v>
      </c>
    </row>
    <row r="1350" spans="1:18" x14ac:dyDescent="0.3">
      <c r="A1350" s="39">
        <v>358</v>
      </c>
      <c r="B1350" s="5" t="s">
        <v>243</v>
      </c>
      <c r="C1350" s="5" t="s">
        <v>244</v>
      </c>
      <c r="D1350" s="5" t="s">
        <v>8</v>
      </c>
      <c r="E1350" s="5" t="s">
        <v>9</v>
      </c>
      <c r="F1350" s="6">
        <v>45291</v>
      </c>
      <c r="G1350" s="5">
        <f t="shared" si="224"/>
        <v>2023</v>
      </c>
      <c r="H1350" s="5" t="str">
        <f t="shared" si="225"/>
        <v>Diciembre</v>
      </c>
      <c r="I1350" s="6" t="str">
        <f t="shared" si="212"/>
        <v>2023-2</v>
      </c>
      <c r="J1350" s="5">
        <v>87</v>
      </c>
      <c r="K1350" s="9">
        <v>95</v>
      </c>
      <c r="L1350" s="8">
        <f>IFERROR(K1350/J1350,"")</f>
        <v>1.0919540229885059</v>
      </c>
      <c r="M1350" s="15">
        <f>IFERROR(IF((K1350/J1350)&gt;K1350/J1350,1.3,K1350/J1350),"")</f>
        <v>1.0919540229885059</v>
      </c>
      <c r="N1350" s="5" t="s">
        <v>347</v>
      </c>
      <c r="O1350" s="5" t="s">
        <v>347</v>
      </c>
      <c r="P1350" s="16">
        <v>0</v>
      </c>
      <c r="Q1350" s="16">
        <v>0</v>
      </c>
      <c r="R1350" s="5" t="str">
        <f t="shared" si="213"/>
        <v>358-2023-12-31</v>
      </c>
    </row>
    <row r="1351" spans="1:18" x14ac:dyDescent="0.3">
      <c r="A1351" s="5">
        <v>358</v>
      </c>
      <c r="B1351" s="5" t="s">
        <v>243</v>
      </c>
      <c r="C1351" s="5" t="s">
        <v>244</v>
      </c>
      <c r="D1351" s="5" t="s">
        <v>8</v>
      </c>
      <c r="E1351" s="5" t="s">
        <v>9</v>
      </c>
      <c r="F1351" s="6">
        <v>45473</v>
      </c>
      <c r="G1351" s="5">
        <f t="shared" si="224"/>
        <v>2024</v>
      </c>
      <c r="H1351" s="5" t="str">
        <f t="shared" si="225"/>
        <v>Junio</v>
      </c>
      <c r="I1351" s="6" t="str">
        <f t="shared" si="212"/>
        <v>2024-1</v>
      </c>
      <c r="J1351" s="5">
        <v>87</v>
      </c>
      <c r="K1351" s="5">
        <v>97.99</v>
      </c>
      <c r="L1351" s="15">
        <v>1.1263218390804597</v>
      </c>
      <c r="M1351" s="15">
        <v>1.1263218390804597</v>
      </c>
      <c r="N1351" s="5" t="s">
        <v>347</v>
      </c>
      <c r="O1351" s="5" t="s">
        <v>347</v>
      </c>
      <c r="P1351" s="5">
        <v>0</v>
      </c>
      <c r="Q1351" s="5">
        <v>0</v>
      </c>
      <c r="R1351" s="5" t="str">
        <f t="shared" si="213"/>
        <v>358-2024-06-30</v>
      </c>
    </row>
    <row r="1352" spans="1:18" x14ac:dyDescent="0.3">
      <c r="A1352" s="26">
        <v>358</v>
      </c>
      <c r="B1352" s="5" t="s">
        <v>243</v>
      </c>
      <c r="C1352" s="5" t="s">
        <v>244</v>
      </c>
      <c r="D1352" s="5" t="s">
        <v>8</v>
      </c>
      <c r="E1352" s="5" t="s">
        <v>9</v>
      </c>
      <c r="F1352" s="6">
        <v>45657</v>
      </c>
      <c r="G1352" s="5">
        <f t="shared" si="224"/>
        <v>2024</v>
      </c>
      <c r="H1352" s="5" t="str">
        <f t="shared" si="225"/>
        <v>Diciembre</v>
      </c>
      <c r="I1352" s="6" t="str">
        <f t="shared" si="212"/>
        <v>2024-2</v>
      </c>
      <c r="J1352" s="5">
        <v>87</v>
      </c>
      <c r="K1352" s="10">
        <v>100</v>
      </c>
      <c r="L1352" s="15">
        <f t="shared" ref="L1352:L1356" si="226">IFERROR(IF((K1352/J1352)&gt;1.3,1.3,K1352/J1352),"")</f>
        <v>1.1494252873563218</v>
      </c>
      <c r="M1352" s="15">
        <f>IFERROR(IF((K1352/J1352)&gt;K1352/J1352,1.3,K1352/J1352),"")</f>
        <v>1.1494252873563218</v>
      </c>
      <c r="N1352" s="5" t="s">
        <v>347</v>
      </c>
      <c r="O1352" s="5" t="s">
        <v>347</v>
      </c>
      <c r="P1352" s="16">
        <v>0</v>
      </c>
      <c r="Q1352" s="16">
        <v>0</v>
      </c>
      <c r="R1352" s="5" t="str">
        <f t="shared" si="213"/>
        <v>358-2024-12-31</v>
      </c>
    </row>
    <row r="1353" spans="1:18" x14ac:dyDescent="0.3">
      <c r="A1353" s="26">
        <v>359</v>
      </c>
      <c r="B1353" s="5" t="s">
        <v>502</v>
      </c>
      <c r="C1353" s="5" t="s">
        <v>160</v>
      </c>
      <c r="D1353" s="5" t="s">
        <v>8</v>
      </c>
      <c r="E1353" s="5" t="s">
        <v>9</v>
      </c>
      <c r="F1353" s="6">
        <v>45657</v>
      </c>
      <c r="G1353" s="5">
        <f t="shared" si="224"/>
        <v>2024</v>
      </c>
      <c r="H1353" s="5" t="str">
        <f t="shared" si="225"/>
        <v>Diciembre</v>
      </c>
      <c r="I1353" s="6" t="str">
        <f t="shared" si="212"/>
        <v>2024-2</v>
      </c>
      <c r="J1353" s="5">
        <v>80</v>
      </c>
      <c r="K1353" s="10">
        <v>86</v>
      </c>
      <c r="L1353" s="15">
        <f t="shared" si="226"/>
        <v>1.075</v>
      </c>
      <c r="M1353" s="15">
        <f t="shared" ref="M1353:M1357" si="227">IFERROR(IF((K1353/J1353)&gt;K1353/J1353,1.3,K1353/J1353),"")</f>
        <v>1.075</v>
      </c>
      <c r="N1353" s="5" t="s">
        <v>347</v>
      </c>
      <c r="O1353" s="5" t="s">
        <v>347</v>
      </c>
      <c r="P1353" s="16">
        <v>0</v>
      </c>
      <c r="Q1353" s="16">
        <v>0</v>
      </c>
      <c r="R1353" s="5" t="str">
        <f t="shared" si="213"/>
        <v>359-2024-12-31</v>
      </c>
    </row>
    <row r="1354" spans="1:18" x14ac:dyDescent="0.3">
      <c r="A1354" s="26">
        <v>360</v>
      </c>
      <c r="B1354" s="5" t="s">
        <v>246</v>
      </c>
      <c r="C1354" s="5" t="s">
        <v>344</v>
      </c>
      <c r="D1354" s="5" t="s">
        <v>8</v>
      </c>
      <c r="E1354" s="5" t="s">
        <v>9</v>
      </c>
      <c r="F1354" s="17">
        <v>45107</v>
      </c>
      <c r="G1354" s="5">
        <f t="shared" si="224"/>
        <v>2023</v>
      </c>
      <c r="H1354" s="5" t="str">
        <f t="shared" si="225"/>
        <v>Junio</v>
      </c>
      <c r="I1354" s="6" t="str">
        <f t="shared" si="212"/>
        <v>2023-1</v>
      </c>
      <c r="J1354" s="5">
        <v>0</v>
      </c>
      <c r="K1354" s="9">
        <v>0</v>
      </c>
      <c r="L1354" s="15" t="str">
        <f t="shared" si="226"/>
        <v/>
      </c>
      <c r="M1354" s="15" t="str">
        <f t="shared" si="227"/>
        <v/>
      </c>
      <c r="N1354" s="5"/>
      <c r="O1354" s="5"/>
      <c r="P1354" s="16">
        <v>0</v>
      </c>
      <c r="Q1354" s="16">
        <v>0</v>
      </c>
      <c r="R1354" s="5" t="str">
        <f t="shared" si="213"/>
        <v>360-2023-06-30</v>
      </c>
    </row>
    <row r="1355" spans="1:18" x14ac:dyDescent="0.3">
      <c r="A1355" s="39">
        <v>360</v>
      </c>
      <c r="B1355" s="5" t="s">
        <v>246</v>
      </c>
      <c r="C1355" s="5" t="s">
        <v>160</v>
      </c>
      <c r="D1355" s="5" t="s">
        <v>8</v>
      </c>
      <c r="E1355" s="5" t="s">
        <v>9</v>
      </c>
      <c r="F1355" s="6">
        <v>45291</v>
      </c>
      <c r="G1355" s="5">
        <f t="shared" si="224"/>
        <v>2023</v>
      </c>
      <c r="H1355" s="5" t="str">
        <f t="shared" si="225"/>
        <v>Diciembre</v>
      </c>
      <c r="I1355" s="6" t="str">
        <f t="shared" si="212"/>
        <v>2023-2</v>
      </c>
      <c r="J1355" s="5">
        <v>0</v>
      </c>
      <c r="K1355" s="9">
        <v>0</v>
      </c>
      <c r="L1355" s="15" t="str">
        <f t="shared" si="226"/>
        <v/>
      </c>
      <c r="M1355" s="15" t="str">
        <f t="shared" si="227"/>
        <v/>
      </c>
      <c r="N1355" s="5"/>
      <c r="O1355" s="5"/>
      <c r="P1355" s="16">
        <v>0</v>
      </c>
      <c r="Q1355" s="16">
        <v>0</v>
      </c>
      <c r="R1355" s="5" t="str">
        <f t="shared" si="213"/>
        <v>360-2023-12-31</v>
      </c>
    </row>
    <row r="1356" spans="1:18" x14ac:dyDescent="0.3">
      <c r="A1356" s="39">
        <v>361</v>
      </c>
      <c r="B1356" s="5" t="s">
        <v>471</v>
      </c>
      <c r="C1356" s="5" t="s">
        <v>248</v>
      </c>
      <c r="D1356" s="5" t="s">
        <v>25</v>
      </c>
      <c r="E1356" s="5" t="s">
        <v>9</v>
      </c>
      <c r="F1356" s="6">
        <v>45291</v>
      </c>
      <c r="G1356" s="5">
        <f t="shared" si="224"/>
        <v>2023</v>
      </c>
      <c r="H1356" s="5" t="str">
        <f t="shared" si="225"/>
        <v>Diciembre</v>
      </c>
      <c r="I1356" s="6" t="str">
        <f t="shared" si="212"/>
        <v>2023-2</v>
      </c>
      <c r="J1356" s="5">
        <v>4.5</v>
      </c>
      <c r="K1356" s="9">
        <v>4.5599999999999996</v>
      </c>
      <c r="L1356" s="15">
        <f t="shared" si="226"/>
        <v>1.0133333333333332</v>
      </c>
      <c r="M1356" s="15">
        <f t="shared" si="227"/>
        <v>1.0133333333333332</v>
      </c>
      <c r="N1356" s="5"/>
      <c r="O1356" s="5"/>
      <c r="P1356" s="16">
        <v>2</v>
      </c>
      <c r="Q1356" s="16">
        <v>2</v>
      </c>
      <c r="R1356" s="5" t="str">
        <f t="shared" si="213"/>
        <v>361-2023-12-31</v>
      </c>
    </row>
    <row r="1357" spans="1:18" x14ac:dyDescent="0.3">
      <c r="A1357" s="39">
        <v>362</v>
      </c>
      <c r="B1357" s="5" t="s">
        <v>460</v>
      </c>
      <c r="C1357" s="5" t="s">
        <v>762</v>
      </c>
      <c r="D1357" s="5" t="s">
        <v>8</v>
      </c>
      <c r="E1357" s="5" t="s">
        <v>9</v>
      </c>
      <c r="F1357" s="6">
        <v>45291</v>
      </c>
      <c r="G1357" s="5">
        <f t="shared" si="224"/>
        <v>2023</v>
      </c>
      <c r="H1357" s="5" t="str">
        <f t="shared" si="225"/>
        <v>Diciembre</v>
      </c>
      <c r="I1357" s="6" t="str">
        <f t="shared" si="212"/>
        <v>2023-2</v>
      </c>
      <c r="J1357" s="5">
        <v>100</v>
      </c>
      <c r="K1357" s="9">
        <v>99.16</v>
      </c>
      <c r="L1357" s="8">
        <f>IFERROR(K1357/J1357,"")</f>
        <v>0.99159999999999993</v>
      </c>
      <c r="M1357" s="15">
        <f t="shared" si="227"/>
        <v>0.99159999999999993</v>
      </c>
      <c r="N1357" s="5" t="s">
        <v>347</v>
      </c>
      <c r="O1357" s="5" t="s">
        <v>347</v>
      </c>
      <c r="P1357" s="16">
        <v>0</v>
      </c>
      <c r="Q1357" s="16">
        <v>0</v>
      </c>
      <c r="R1357" s="5" t="str">
        <f t="shared" si="213"/>
        <v>362-2023-12-31</v>
      </c>
    </row>
    <row r="1358" spans="1:18" x14ac:dyDescent="0.3">
      <c r="A1358" s="5">
        <v>362</v>
      </c>
      <c r="B1358" s="5" t="s">
        <v>460</v>
      </c>
      <c r="C1358" s="5" t="s">
        <v>762</v>
      </c>
      <c r="D1358" s="5" t="s">
        <v>8</v>
      </c>
      <c r="E1358" s="5" t="s">
        <v>9</v>
      </c>
      <c r="F1358" s="6">
        <v>45473</v>
      </c>
      <c r="G1358" s="5">
        <f t="shared" si="224"/>
        <v>2024</v>
      </c>
      <c r="H1358" s="5" t="str">
        <f t="shared" si="225"/>
        <v>Junio</v>
      </c>
      <c r="I1358" s="6" t="str">
        <f t="shared" si="212"/>
        <v>2024-1</v>
      </c>
      <c r="J1358" s="5">
        <v>98</v>
      </c>
      <c r="K1358" s="5">
        <v>99.584323040379999</v>
      </c>
      <c r="L1358" s="15">
        <v>1.0161665616365305</v>
      </c>
      <c r="M1358" s="15">
        <v>1.0161665616365305</v>
      </c>
      <c r="N1358" s="5" t="s">
        <v>347</v>
      </c>
      <c r="O1358" s="5" t="s">
        <v>347</v>
      </c>
      <c r="P1358" s="16">
        <v>0</v>
      </c>
      <c r="Q1358" s="5">
        <v>0</v>
      </c>
      <c r="R1358" s="5" t="str">
        <f t="shared" si="213"/>
        <v>362-2024-06-30</v>
      </c>
    </row>
    <row r="1359" spans="1:18" x14ac:dyDescent="0.3">
      <c r="A1359" s="26">
        <v>362</v>
      </c>
      <c r="B1359" s="5" t="s">
        <v>460</v>
      </c>
      <c r="C1359" s="5" t="s">
        <v>762</v>
      </c>
      <c r="D1359" s="5" t="s">
        <v>8</v>
      </c>
      <c r="E1359" s="5" t="s">
        <v>9</v>
      </c>
      <c r="F1359" s="6">
        <v>45657</v>
      </c>
      <c r="G1359" s="5">
        <f t="shared" si="224"/>
        <v>2024</v>
      </c>
      <c r="H1359" s="5" t="str">
        <f t="shared" si="225"/>
        <v>Diciembre</v>
      </c>
      <c r="I1359" s="6" t="str">
        <f t="shared" si="212"/>
        <v>2024-2</v>
      </c>
      <c r="J1359" s="5">
        <v>98</v>
      </c>
      <c r="K1359" s="10">
        <v>99.49</v>
      </c>
      <c r="L1359" s="15">
        <f>IFERROR(IF((K1359/J1359)&gt;1.3,1.3,K1359/J1359),"")</f>
        <v>1.0152040816326531</v>
      </c>
      <c r="M1359" s="15">
        <f>IFERROR(IF((K1359/J1359)&gt;K1359/J1359,1.3,K1359/J1359),"")</f>
        <v>1.0152040816326531</v>
      </c>
      <c r="N1359" s="5" t="s">
        <v>347</v>
      </c>
      <c r="O1359" s="5" t="s">
        <v>347</v>
      </c>
      <c r="P1359" s="16">
        <v>0</v>
      </c>
      <c r="Q1359" s="16">
        <v>0</v>
      </c>
      <c r="R1359" s="5" t="str">
        <f t="shared" si="213"/>
        <v>362-2024-12-31</v>
      </c>
    </row>
    <row r="1360" spans="1:18" x14ac:dyDescent="0.3">
      <c r="A1360" s="39">
        <v>363</v>
      </c>
      <c r="B1360" s="5" t="s">
        <v>250</v>
      </c>
      <c r="C1360" s="5" t="s">
        <v>762</v>
      </c>
      <c r="D1360" s="5" t="s">
        <v>8</v>
      </c>
      <c r="E1360" s="5" t="s">
        <v>9</v>
      </c>
      <c r="F1360" s="6">
        <v>45291</v>
      </c>
      <c r="G1360" s="5">
        <f t="shared" si="224"/>
        <v>2023</v>
      </c>
      <c r="H1360" s="5" t="str">
        <f t="shared" si="225"/>
        <v>Diciembre</v>
      </c>
      <c r="I1360" s="6" t="str">
        <f t="shared" si="212"/>
        <v>2023-2</v>
      </c>
      <c r="J1360" s="5">
        <v>100</v>
      </c>
      <c r="K1360" s="9">
        <v>100</v>
      </c>
      <c r="L1360" s="8">
        <f>IFERROR(K1360/J1360,"")</f>
        <v>1</v>
      </c>
      <c r="M1360" s="15">
        <f>IFERROR(IF((K1360/J1360)&gt;K1360/J1360,1.3,K1360/J1360),"")</f>
        <v>1</v>
      </c>
      <c r="N1360" s="5" t="s">
        <v>347</v>
      </c>
      <c r="O1360" s="5" t="s">
        <v>347</v>
      </c>
      <c r="P1360" s="16">
        <v>0</v>
      </c>
      <c r="Q1360" s="16">
        <v>0</v>
      </c>
      <c r="R1360" s="5" t="str">
        <f t="shared" si="213"/>
        <v>363-2023-12-31</v>
      </c>
    </row>
    <row r="1361" spans="1:18" x14ac:dyDescent="0.3">
      <c r="A1361" s="5">
        <v>363</v>
      </c>
      <c r="B1361" s="5" t="s">
        <v>250</v>
      </c>
      <c r="C1361" s="5" t="s">
        <v>762</v>
      </c>
      <c r="D1361" s="5" t="s">
        <v>8</v>
      </c>
      <c r="E1361" s="5" t="s">
        <v>9</v>
      </c>
      <c r="F1361" s="6">
        <v>45473</v>
      </c>
      <c r="G1361" s="5">
        <f t="shared" si="224"/>
        <v>2024</v>
      </c>
      <c r="H1361" s="5" t="str">
        <f t="shared" si="225"/>
        <v>Junio</v>
      </c>
      <c r="I1361" s="6" t="str">
        <f t="shared" si="212"/>
        <v>2024-1</v>
      </c>
      <c r="J1361" s="5">
        <v>100</v>
      </c>
      <c r="K1361" s="5">
        <v>100</v>
      </c>
      <c r="L1361" s="15">
        <v>1</v>
      </c>
      <c r="M1361" s="15">
        <v>1</v>
      </c>
      <c r="N1361" s="5" t="s">
        <v>347</v>
      </c>
      <c r="O1361" s="5" t="s">
        <v>347</v>
      </c>
      <c r="P1361" s="16">
        <v>0</v>
      </c>
      <c r="Q1361" s="5">
        <v>0</v>
      </c>
      <c r="R1361" s="5" t="str">
        <f t="shared" si="213"/>
        <v>363-2024-06-30</v>
      </c>
    </row>
    <row r="1362" spans="1:18" x14ac:dyDescent="0.3">
      <c r="A1362" s="26">
        <v>363</v>
      </c>
      <c r="B1362" s="5" t="s">
        <v>250</v>
      </c>
      <c r="C1362" s="5" t="s">
        <v>762</v>
      </c>
      <c r="D1362" s="5" t="s">
        <v>8</v>
      </c>
      <c r="E1362" s="5" t="s">
        <v>9</v>
      </c>
      <c r="F1362" s="6">
        <v>45657</v>
      </c>
      <c r="G1362" s="5">
        <f t="shared" si="224"/>
        <v>2024</v>
      </c>
      <c r="H1362" s="5" t="str">
        <f t="shared" si="225"/>
        <v>Diciembre</v>
      </c>
      <c r="I1362" s="6" t="str">
        <f t="shared" si="212"/>
        <v>2024-2</v>
      </c>
      <c r="J1362" s="5">
        <v>100</v>
      </c>
      <c r="K1362" s="10">
        <v>100</v>
      </c>
      <c r="L1362" s="15">
        <f>IFERROR(IF((K1362/J1362)&gt;1.3,1.3,K1362/J1362),"")</f>
        <v>1</v>
      </c>
      <c r="M1362" s="15">
        <f>IFERROR(IF((K1362/J1362)&gt;K1362/J1362,1.3,K1362/J1362),"")</f>
        <v>1</v>
      </c>
      <c r="N1362" s="5" t="s">
        <v>347</v>
      </c>
      <c r="O1362" s="5" t="s">
        <v>347</v>
      </c>
      <c r="P1362" s="16">
        <v>0</v>
      </c>
      <c r="Q1362" s="16">
        <v>0</v>
      </c>
      <c r="R1362" s="5" t="str">
        <f t="shared" si="213"/>
        <v>363-2024-12-31</v>
      </c>
    </row>
    <row r="1363" spans="1:18" x14ac:dyDescent="0.3">
      <c r="A1363" s="43">
        <v>364</v>
      </c>
      <c r="B1363" s="5" t="s">
        <v>252</v>
      </c>
      <c r="C1363" s="5" t="s">
        <v>248</v>
      </c>
      <c r="D1363" s="5" t="s">
        <v>8</v>
      </c>
      <c r="E1363" s="5" t="s">
        <v>14</v>
      </c>
      <c r="F1363" s="6">
        <v>45107</v>
      </c>
      <c r="G1363" s="5">
        <f t="shared" si="224"/>
        <v>2023</v>
      </c>
      <c r="H1363" s="5" t="str">
        <f t="shared" si="225"/>
        <v>Junio</v>
      </c>
      <c r="I1363" s="6" t="str">
        <f t="shared" si="212"/>
        <v>2023-1</v>
      </c>
      <c r="J1363" s="5">
        <v>0</v>
      </c>
      <c r="K1363" s="9">
        <v>30173</v>
      </c>
      <c r="L1363" s="15">
        <v>0</v>
      </c>
      <c r="M1363" s="8">
        <f>IFERROR(J1363/K1363,"")</f>
        <v>0</v>
      </c>
      <c r="N1363" s="5"/>
      <c r="O1363" s="5"/>
      <c r="P1363" s="16">
        <v>0</v>
      </c>
      <c r="Q1363" s="16">
        <v>0</v>
      </c>
      <c r="R1363" s="5" t="str">
        <f t="shared" si="213"/>
        <v>364-2023-06-30</v>
      </c>
    </row>
    <row r="1364" spans="1:18" x14ac:dyDescent="0.3">
      <c r="A1364" s="39">
        <v>364</v>
      </c>
      <c r="B1364" s="5" t="s">
        <v>252</v>
      </c>
      <c r="C1364" s="5" t="s">
        <v>248</v>
      </c>
      <c r="D1364" s="5" t="s">
        <v>8</v>
      </c>
      <c r="E1364" s="5" t="s">
        <v>14</v>
      </c>
      <c r="F1364" s="6">
        <v>45291</v>
      </c>
      <c r="G1364" s="5">
        <f t="shared" si="224"/>
        <v>2023</v>
      </c>
      <c r="H1364" s="5" t="str">
        <f t="shared" si="225"/>
        <v>Diciembre</v>
      </c>
      <c r="I1364" s="6" t="str">
        <f t="shared" si="212"/>
        <v>2023-2</v>
      </c>
      <c r="J1364" s="5">
        <v>0</v>
      </c>
      <c r="K1364" s="9">
        <v>78450</v>
      </c>
      <c r="L1364" s="15">
        <f>IFERROR(IF((J1364/K1364)&gt;1.3,1.3,J1364/K1364),"")</f>
        <v>0</v>
      </c>
      <c r="M1364" s="8">
        <f>IFERROR(J1364/K1364,"")</f>
        <v>0</v>
      </c>
      <c r="N1364" s="5"/>
      <c r="O1364" s="5"/>
      <c r="P1364" s="16">
        <v>0</v>
      </c>
      <c r="Q1364" s="16">
        <v>0</v>
      </c>
      <c r="R1364" s="5" t="str">
        <f t="shared" si="213"/>
        <v>364-2023-12-31</v>
      </c>
    </row>
    <row r="1365" spans="1:18" x14ac:dyDescent="0.3">
      <c r="A1365" s="43">
        <v>364</v>
      </c>
      <c r="B1365" s="5" t="s">
        <v>252</v>
      </c>
      <c r="C1365" s="5" t="s">
        <v>248</v>
      </c>
      <c r="D1365" s="5" t="s">
        <v>8</v>
      </c>
      <c r="E1365" s="5" t="s">
        <v>14</v>
      </c>
      <c r="F1365" s="6">
        <v>45473</v>
      </c>
      <c r="G1365" s="5">
        <f t="shared" si="224"/>
        <v>2024</v>
      </c>
      <c r="H1365" s="5" t="str">
        <f t="shared" si="225"/>
        <v>Junio</v>
      </c>
      <c r="I1365" s="6" t="str">
        <f t="shared" si="212"/>
        <v>2024-1</v>
      </c>
      <c r="J1365" s="10">
        <v>31694</v>
      </c>
      <c r="K1365" s="9">
        <v>35993</v>
      </c>
      <c r="L1365" s="15">
        <f>K1365/J1365</f>
        <v>1.1356408152962705</v>
      </c>
      <c r="M1365" s="8">
        <f>IFERROR(J1365/K1365,"")</f>
        <v>0.88056010891006586</v>
      </c>
      <c r="N1365" s="5"/>
      <c r="O1365" s="5"/>
      <c r="P1365" s="16">
        <v>0</v>
      </c>
      <c r="Q1365" s="16">
        <v>0</v>
      </c>
      <c r="R1365" s="5" t="str">
        <f t="shared" si="213"/>
        <v>364-2024-06-30</v>
      </c>
    </row>
    <row r="1366" spans="1:18" x14ac:dyDescent="0.3">
      <c r="A1366" s="26">
        <v>364</v>
      </c>
      <c r="B1366" s="5" t="s">
        <v>252</v>
      </c>
      <c r="C1366" s="5" t="s">
        <v>248</v>
      </c>
      <c r="D1366" s="5" t="s">
        <v>8</v>
      </c>
      <c r="E1366" s="5" t="s">
        <v>9</v>
      </c>
      <c r="F1366" s="6">
        <v>45657</v>
      </c>
      <c r="G1366" s="5">
        <f t="shared" si="224"/>
        <v>2024</v>
      </c>
      <c r="H1366" s="5" t="str">
        <f t="shared" si="225"/>
        <v>Diciembre</v>
      </c>
      <c r="I1366" s="6" t="str">
        <f t="shared" si="212"/>
        <v>2024-2</v>
      </c>
      <c r="J1366" s="5">
        <v>100</v>
      </c>
      <c r="K1366" s="10">
        <v>98.09</v>
      </c>
      <c r="L1366" s="15">
        <f>IFERROR(IF((K1366/J1366)&gt;1.3,1.3,K1366/J1366),"")</f>
        <v>0.98089999999999999</v>
      </c>
      <c r="M1366" s="15">
        <f>IFERROR(IF((K1366/J1366)&gt;K1366/J1366,1.3,K1366/J1366),"")</f>
        <v>0.98089999999999999</v>
      </c>
      <c r="N1366" s="5"/>
      <c r="O1366" s="5"/>
      <c r="P1366" s="16">
        <v>0</v>
      </c>
      <c r="Q1366" s="16">
        <v>0</v>
      </c>
      <c r="R1366" s="5" t="str">
        <f t="shared" si="213"/>
        <v>364-2024-12-31</v>
      </c>
    </row>
    <row r="1367" spans="1:18" x14ac:dyDescent="0.3">
      <c r="A1367" s="39">
        <v>365</v>
      </c>
      <c r="B1367" s="5" t="s">
        <v>461</v>
      </c>
      <c r="C1367" s="5" t="s">
        <v>762</v>
      </c>
      <c r="D1367" s="5" t="s">
        <v>8</v>
      </c>
      <c r="E1367" s="5" t="s">
        <v>9</v>
      </c>
      <c r="F1367" s="6">
        <v>45291</v>
      </c>
      <c r="G1367" s="5">
        <f t="shared" si="224"/>
        <v>2023</v>
      </c>
      <c r="H1367" s="5" t="str">
        <f t="shared" si="225"/>
        <v>Diciembre</v>
      </c>
      <c r="I1367" s="6" t="str">
        <f t="shared" si="212"/>
        <v>2023-2</v>
      </c>
      <c r="J1367" s="5">
        <v>100</v>
      </c>
      <c r="K1367" s="9">
        <v>100</v>
      </c>
      <c r="L1367" s="8">
        <f>IFERROR(K1367/J1367,"")</f>
        <v>1</v>
      </c>
      <c r="M1367" s="15">
        <f>IFERROR(IF((K1367/J1367)&gt;K1367/J1367,1.3,K1367/J1367),"")</f>
        <v>1</v>
      </c>
      <c r="N1367" s="5" t="s">
        <v>347</v>
      </c>
      <c r="O1367" s="5" t="s">
        <v>347</v>
      </c>
      <c r="P1367" s="16">
        <v>0</v>
      </c>
      <c r="Q1367" s="16">
        <v>0</v>
      </c>
      <c r="R1367" s="5" t="str">
        <f t="shared" si="213"/>
        <v>365-2023-12-31</v>
      </c>
    </row>
    <row r="1368" spans="1:18" x14ac:dyDescent="0.3">
      <c r="A1368" s="39">
        <v>366</v>
      </c>
      <c r="B1368" s="5" t="s">
        <v>253</v>
      </c>
      <c r="C1368" s="5" t="s">
        <v>762</v>
      </c>
      <c r="D1368" s="5" t="s">
        <v>25</v>
      </c>
      <c r="E1368" s="5" t="s">
        <v>9</v>
      </c>
      <c r="F1368" s="6">
        <v>45291</v>
      </c>
      <c r="G1368" s="5">
        <f t="shared" si="224"/>
        <v>2023</v>
      </c>
      <c r="H1368" s="5" t="str">
        <f t="shared" si="225"/>
        <v>Diciembre</v>
      </c>
      <c r="I1368" s="6" t="str">
        <f t="shared" si="212"/>
        <v>2023-2</v>
      </c>
      <c r="J1368" s="5">
        <v>100</v>
      </c>
      <c r="K1368" s="9">
        <v>100</v>
      </c>
      <c r="L1368" s="8">
        <f>IFERROR(K1368/J1368,"")</f>
        <v>1</v>
      </c>
      <c r="M1368" s="15">
        <f>IFERROR(IF((K1368/J1368)&gt;K1368/J1368,1.3,K1368/J1368),"")</f>
        <v>1</v>
      </c>
      <c r="N1368" s="5" t="s">
        <v>347</v>
      </c>
      <c r="O1368" s="5" t="s">
        <v>347</v>
      </c>
      <c r="P1368" s="16">
        <v>0</v>
      </c>
      <c r="Q1368" s="16">
        <v>0</v>
      </c>
      <c r="R1368" s="5" t="str">
        <f t="shared" si="213"/>
        <v>366-2023-12-31</v>
      </c>
    </row>
    <row r="1369" spans="1:18" x14ac:dyDescent="0.3">
      <c r="A1369" s="26">
        <v>366</v>
      </c>
      <c r="B1369" s="5" t="s">
        <v>253</v>
      </c>
      <c r="C1369" s="5" t="s">
        <v>762</v>
      </c>
      <c r="D1369" s="5" t="s">
        <v>25</v>
      </c>
      <c r="E1369" s="5" t="s">
        <v>9</v>
      </c>
      <c r="F1369" s="6">
        <v>45657</v>
      </c>
      <c r="G1369" s="5">
        <f t="shared" si="224"/>
        <v>2024</v>
      </c>
      <c r="H1369" s="5" t="str">
        <f t="shared" si="225"/>
        <v>Diciembre</v>
      </c>
      <c r="I1369" s="6" t="str">
        <f t="shared" si="212"/>
        <v>2024-2</v>
      </c>
      <c r="J1369" s="5">
        <v>100</v>
      </c>
      <c r="K1369" s="10">
        <v>100</v>
      </c>
      <c r="L1369" s="15">
        <f>IFERROR(IF((K1369/J1369)&gt;1.3,1.3,K1369/J1369),"")</f>
        <v>1</v>
      </c>
      <c r="M1369" s="15">
        <f>IFERROR(IF((K1369/J1369)&gt;K1369/J1369,1.3,K1369/J1369),"")</f>
        <v>1</v>
      </c>
      <c r="N1369" s="5" t="s">
        <v>347</v>
      </c>
      <c r="O1369" s="5" t="s">
        <v>347</v>
      </c>
      <c r="P1369" s="16">
        <v>0</v>
      </c>
      <c r="Q1369" s="16">
        <v>0</v>
      </c>
      <c r="R1369" s="5" t="str">
        <f t="shared" si="213"/>
        <v>366-2024-12-31</v>
      </c>
    </row>
    <row r="1370" spans="1:18" x14ac:dyDescent="0.3">
      <c r="A1370" s="5">
        <v>367</v>
      </c>
      <c r="B1370" s="5" t="s">
        <v>254</v>
      </c>
      <c r="C1370" s="5" t="s">
        <v>248</v>
      </c>
      <c r="D1370" s="5" t="s">
        <v>25</v>
      </c>
      <c r="E1370" s="5" t="s">
        <v>9</v>
      </c>
      <c r="F1370" s="6">
        <v>44926</v>
      </c>
      <c r="G1370" s="5">
        <f t="shared" si="224"/>
        <v>2022</v>
      </c>
      <c r="H1370" s="5" t="str">
        <f t="shared" si="225"/>
        <v>Diciembre</v>
      </c>
      <c r="I1370" s="6" t="str">
        <f t="shared" si="212"/>
        <v>2022-2</v>
      </c>
      <c r="J1370" s="5">
        <v>5.7</v>
      </c>
      <c r="K1370" s="5">
        <v>6.7</v>
      </c>
      <c r="L1370" s="15">
        <v>1.1754385964912282</v>
      </c>
      <c r="M1370" s="15">
        <v>1.1754385964912282</v>
      </c>
      <c r="N1370" s="5" t="s">
        <v>347</v>
      </c>
      <c r="O1370" s="5" t="s">
        <v>347</v>
      </c>
      <c r="P1370" s="5">
        <v>2</v>
      </c>
      <c r="Q1370" s="5">
        <v>2</v>
      </c>
      <c r="R1370" s="5" t="str">
        <f t="shared" si="213"/>
        <v>367-2022-12-31</v>
      </c>
    </row>
    <row r="1371" spans="1:18" x14ac:dyDescent="0.3">
      <c r="A1371" s="39">
        <v>367</v>
      </c>
      <c r="B1371" s="5" t="s">
        <v>470</v>
      </c>
      <c r="C1371" s="5" t="s">
        <v>248</v>
      </c>
      <c r="D1371" s="5" t="s">
        <v>25</v>
      </c>
      <c r="E1371" s="5" t="s">
        <v>9</v>
      </c>
      <c r="F1371" s="6">
        <v>45291</v>
      </c>
      <c r="G1371" s="5">
        <f t="shared" si="224"/>
        <v>2023</v>
      </c>
      <c r="H1371" s="5" t="str">
        <f t="shared" si="225"/>
        <v>Diciembre</v>
      </c>
      <c r="I1371" s="6" t="str">
        <f t="shared" si="212"/>
        <v>2023-2</v>
      </c>
      <c r="J1371" s="5">
        <v>5</v>
      </c>
      <c r="K1371" s="9">
        <v>6.25</v>
      </c>
      <c r="L1371" s="8">
        <f>IFERROR(K1371/J1371,"")</f>
        <v>1.25</v>
      </c>
      <c r="M1371" s="15">
        <f>IFERROR(IF((K1371/J1371)&gt;K1371/J1371,1.3,K1371/J1371),"")</f>
        <v>1.25</v>
      </c>
      <c r="N1371" s="5" t="s">
        <v>347</v>
      </c>
      <c r="O1371" s="5" t="s">
        <v>347</v>
      </c>
      <c r="P1371" s="16">
        <v>2</v>
      </c>
      <c r="Q1371" s="16">
        <v>2</v>
      </c>
      <c r="R1371" s="5" t="str">
        <f t="shared" si="213"/>
        <v>367-2023-12-31</v>
      </c>
    </row>
    <row r="1372" spans="1:18" x14ac:dyDescent="0.3">
      <c r="A1372" s="26">
        <v>367</v>
      </c>
      <c r="B1372" s="5" t="s">
        <v>254</v>
      </c>
      <c r="C1372" s="5" t="s">
        <v>248</v>
      </c>
      <c r="D1372" s="5" t="s">
        <v>25</v>
      </c>
      <c r="E1372" s="5" t="s">
        <v>9</v>
      </c>
      <c r="F1372" s="6">
        <v>45657</v>
      </c>
      <c r="G1372" s="5">
        <f t="shared" si="224"/>
        <v>2024</v>
      </c>
      <c r="H1372" s="5" t="str">
        <f t="shared" si="225"/>
        <v>Diciembre</v>
      </c>
      <c r="I1372" s="6" t="str">
        <f t="shared" ref="I1372:I1434" si="228">IF(OR(H1372="Enero",H1372="Febrero",H1372="Marzo",H1372="Abril",H1372="Mayo",H1372="Junio"),G1372&amp;"-1",IF(OR(H1372="Julio",H1372="Agosto",H1372="Septiembre",H1372="Octubre",H1372="Noviembre",H1372="Diciembre"),G1372&amp;"-2"))</f>
        <v>2024-2</v>
      </c>
      <c r="J1372" s="5">
        <v>5</v>
      </c>
      <c r="K1372" s="10">
        <v>4.96</v>
      </c>
      <c r="L1372" s="15">
        <f>IFERROR(IF((K1372/J1372)&gt;1.3,1.3,K1372/J1372),"")</f>
        <v>0.99199999999999999</v>
      </c>
      <c r="M1372" s="15">
        <f>IFERROR(IF((K1372/J1372)&gt;K1372/J1372,1.3,K1372/J1372),"")</f>
        <v>0.99199999999999999</v>
      </c>
      <c r="N1372" s="5" t="s">
        <v>347</v>
      </c>
      <c r="O1372" s="5" t="s">
        <v>347</v>
      </c>
      <c r="P1372" s="16">
        <v>2</v>
      </c>
      <c r="Q1372" s="16">
        <v>2</v>
      </c>
      <c r="R1372" s="5" t="str">
        <f t="shared" ref="R1372:R1434" si="229">A1372&amp;"-"&amp;YEAR(F1372)&amp;"-"&amp;IF(LEN(MONTH(F1372))=1,"0"&amp;MONTH(F1372),MONTH(F1372))&amp;"-"&amp;DAY(F1372)</f>
        <v>367-2024-12-31</v>
      </c>
    </row>
    <row r="1373" spans="1:18" x14ac:dyDescent="0.3">
      <c r="A1373" s="43">
        <v>368</v>
      </c>
      <c r="B1373" s="5" t="s">
        <v>255</v>
      </c>
      <c r="C1373" s="5" t="s">
        <v>256</v>
      </c>
      <c r="D1373" s="5" t="s">
        <v>11</v>
      </c>
      <c r="E1373" s="5" t="s">
        <v>9</v>
      </c>
      <c r="F1373" s="6">
        <v>45199</v>
      </c>
      <c r="G1373" s="5">
        <f t="shared" si="224"/>
        <v>2023</v>
      </c>
      <c r="H1373" s="5" t="str">
        <f t="shared" si="225"/>
        <v>Septiembre</v>
      </c>
      <c r="I1373" s="6" t="str">
        <f t="shared" si="228"/>
        <v>2023-2</v>
      </c>
      <c r="J1373" s="5">
        <v>90</v>
      </c>
      <c r="K1373" s="9">
        <v>95</v>
      </c>
      <c r="L1373" s="8">
        <f>IFERROR(K1373/J1373,"")</f>
        <v>1.0555555555555556</v>
      </c>
      <c r="M1373" s="15">
        <f>IFERROR(IF((K1373/J1373)&gt;K1373/J1373,1.3,K1373/J1373),"")</f>
        <v>1.0555555555555556</v>
      </c>
      <c r="N1373" s="5" t="s">
        <v>347</v>
      </c>
      <c r="O1373" s="5" t="s">
        <v>347</v>
      </c>
      <c r="P1373" s="16">
        <v>0</v>
      </c>
      <c r="Q1373" s="16">
        <v>0</v>
      </c>
      <c r="R1373" s="5" t="str">
        <f t="shared" si="229"/>
        <v>368-2023-09-30</v>
      </c>
    </row>
    <row r="1374" spans="1:18" x14ac:dyDescent="0.3">
      <c r="A1374" s="39">
        <v>368</v>
      </c>
      <c r="B1374" s="5" t="s">
        <v>255</v>
      </c>
      <c r="C1374" s="5" t="s">
        <v>256</v>
      </c>
      <c r="D1374" s="5" t="s">
        <v>11</v>
      </c>
      <c r="E1374" s="5" t="s">
        <v>9</v>
      </c>
      <c r="F1374" s="6">
        <v>45291</v>
      </c>
      <c r="G1374" s="5">
        <f t="shared" si="224"/>
        <v>2023</v>
      </c>
      <c r="H1374" s="5" t="str">
        <f t="shared" si="225"/>
        <v>Diciembre</v>
      </c>
      <c r="I1374" s="6" t="str">
        <f t="shared" si="228"/>
        <v>2023-2</v>
      </c>
      <c r="J1374" s="5">
        <v>90</v>
      </c>
      <c r="K1374" s="9">
        <v>94</v>
      </c>
      <c r="L1374" s="8">
        <f>IFERROR(K1374/J1374,"")</f>
        <v>1.0444444444444445</v>
      </c>
      <c r="M1374" s="15">
        <f t="shared" ref="M1374:M1378" si="230">IFERROR(IF((K1374/J1374)&gt;K1374/J1374,1.3,K1374/J1374),"")</f>
        <v>1.0444444444444445</v>
      </c>
      <c r="N1374" s="5" t="s">
        <v>347</v>
      </c>
      <c r="O1374" s="5" t="s">
        <v>347</v>
      </c>
      <c r="P1374" s="16">
        <v>0</v>
      </c>
      <c r="Q1374" s="16">
        <v>0</v>
      </c>
      <c r="R1374" s="5" t="str">
        <f t="shared" si="229"/>
        <v>368-2023-12-31</v>
      </c>
    </row>
    <row r="1375" spans="1:18" x14ac:dyDescent="0.3">
      <c r="A1375" s="26">
        <v>368</v>
      </c>
      <c r="B1375" s="5" t="s">
        <v>255</v>
      </c>
      <c r="C1375" s="5" t="s">
        <v>256</v>
      </c>
      <c r="D1375" s="5" t="s">
        <v>11</v>
      </c>
      <c r="E1375" s="5" t="s">
        <v>9</v>
      </c>
      <c r="F1375" s="6">
        <v>45382</v>
      </c>
      <c r="G1375" s="5">
        <f t="shared" si="224"/>
        <v>2024</v>
      </c>
      <c r="H1375" s="5" t="str">
        <f t="shared" si="225"/>
        <v>Marzo</v>
      </c>
      <c r="I1375" s="6" t="str">
        <f t="shared" si="228"/>
        <v>2024-1</v>
      </c>
      <c r="J1375" s="5">
        <v>90</v>
      </c>
      <c r="K1375" s="10">
        <v>94</v>
      </c>
      <c r="L1375" s="15">
        <f>IFERROR(IF((K1375/J1375)&gt;1.3,1.3,K1375/J1375),"")</f>
        <v>1.0444444444444445</v>
      </c>
      <c r="M1375" s="15">
        <f t="shared" si="230"/>
        <v>1.0444444444444445</v>
      </c>
      <c r="N1375" s="5" t="s">
        <v>347</v>
      </c>
      <c r="O1375" s="5" t="s">
        <v>347</v>
      </c>
      <c r="P1375" s="16">
        <v>0</v>
      </c>
      <c r="Q1375" s="16">
        <v>0</v>
      </c>
      <c r="R1375" s="5" t="str">
        <f t="shared" si="229"/>
        <v>368-2024-03-31</v>
      </c>
    </row>
    <row r="1376" spans="1:18" x14ac:dyDescent="0.3">
      <c r="A1376" s="5">
        <v>368</v>
      </c>
      <c r="B1376" s="5" t="s">
        <v>255</v>
      </c>
      <c r="C1376" s="5" t="s">
        <v>256</v>
      </c>
      <c r="D1376" s="5" t="s">
        <v>11</v>
      </c>
      <c r="E1376" s="5" t="s">
        <v>9</v>
      </c>
      <c r="F1376" s="6">
        <v>45473</v>
      </c>
      <c r="G1376" s="5">
        <f t="shared" si="224"/>
        <v>2024</v>
      </c>
      <c r="H1376" s="5" t="str">
        <f t="shared" si="225"/>
        <v>Junio</v>
      </c>
      <c r="I1376" s="6" t="str">
        <f t="shared" si="228"/>
        <v>2024-1</v>
      </c>
      <c r="J1376" s="5">
        <v>90</v>
      </c>
      <c r="K1376" s="5">
        <v>95</v>
      </c>
      <c r="L1376" s="15">
        <f>IFERROR(IF((K1376/J1376)&gt;1.3,1.3,K1376/J1376),"")</f>
        <v>1.0555555555555556</v>
      </c>
      <c r="M1376" s="15">
        <f t="shared" si="230"/>
        <v>1.0555555555555556</v>
      </c>
      <c r="N1376" s="5" t="s">
        <v>347</v>
      </c>
      <c r="O1376" s="5" t="s">
        <v>347</v>
      </c>
      <c r="P1376" s="5">
        <v>0</v>
      </c>
      <c r="Q1376" s="5">
        <v>0</v>
      </c>
      <c r="R1376" s="5" t="str">
        <f t="shared" si="229"/>
        <v>368-2024-06-30</v>
      </c>
    </row>
    <row r="1377" spans="1:18" x14ac:dyDescent="0.3">
      <c r="A1377" s="26">
        <v>368</v>
      </c>
      <c r="B1377" s="5" t="s">
        <v>255</v>
      </c>
      <c r="C1377" s="5" t="s">
        <v>256</v>
      </c>
      <c r="D1377" s="5" t="s">
        <v>11</v>
      </c>
      <c r="E1377" s="5" t="s">
        <v>9</v>
      </c>
      <c r="F1377" s="6">
        <v>45565</v>
      </c>
      <c r="G1377" s="5">
        <f t="shared" si="224"/>
        <v>2024</v>
      </c>
      <c r="H1377" s="5" t="str">
        <f t="shared" si="225"/>
        <v>Septiembre</v>
      </c>
      <c r="I1377" s="6" t="str">
        <f t="shared" si="228"/>
        <v>2024-2</v>
      </c>
      <c r="J1377" s="5">
        <v>90</v>
      </c>
      <c r="K1377" s="10">
        <v>94</v>
      </c>
      <c r="L1377" s="15">
        <f>IFERROR(IF((K1377/J1377)&gt;1.3,1.3,K1377/J1377),"")</f>
        <v>1.0444444444444445</v>
      </c>
      <c r="M1377" s="15">
        <f t="shared" si="230"/>
        <v>1.0444444444444445</v>
      </c>
      <c r="N1377" s="5" t="s">
        <v>347</v>
      </c>
      <c r="O1377" s="5" t="s">
        <v>347</v>
      </c>
      <c r="P1377" s="16">
        <v>0</v>
      </c>
      <c r="Q1377" s="16">
        <v>0</v>
      </c>
      <c r="R1377" s="5" t="str">
        <f t="shared" si="229"/>
        <v>368-2024-09-30</v>
      </c>
    </row>
    <row r="1378" spans="1:18" x14ac:dyDescent="0.3">
      <c r="A1378" s="26">
        <v>368</v>
      </c>
      <c r="B1378" s="5" t="s">
        <v>255</v>
      </c>
      <c r="C1378" s="5" t="s">
        <v>256</v>
      </c>
      <c r="D1378" s="5" t="s">
        <v>11</v>
      </c>
      <c r="E1378" s="5" t="s">
        <v>9</v>
      </c>
      <c r="F1378" s="6">
        <v>45657</v>
      </c>
      <c r="G1378" s="5">
        <f t="shared" si="224"/>
        <v>2024</v>
      </c>
      <c r="H1378" s="5" t="str">
        <f t="shared" si="225"/>
        <v>Diciembre</v>
      </c>
      <c r="I1378" s="6" t="str">
        <f t="shared" si="228"/>
        <v>2024-2</v>
      </c>
      <c r="J1378" s="5">
        <v>90</v>
      </c>
      <c r="K1378" s="10">
        <v>94</v>
      </c>
      <c r="L1378" s="15">
        <f>IFERROR(IF((K1378/J1378)&gt;1.3,1.3,K1378/J1378),"")</f>
        <v>1.0444444444444445</v>
      </c>
      <c r="M1378" s="15">
        <f t="shared" si="230"/>
        <v>1.0444444444444445</v>
      </c>
      <c r="N1378" s="5" t="s">
        <v>347</v>
      </c>
      <c r="O1378" s="5" t="s">
        <v>347</v>
      </c>
      <c r="P1378" s="16">
        <v>0</v>
      </c>
      <c r="Q1378" s="16">
        <v>0</v>
      </c>
      <c r="R1378" s="5" t="str">
        <f t="shared" si="229"/>
        <v>368-2024-12-31</v>
      </c>
    </row>
    <row r="1379" spans="1:18" x14ac:dyDescent="0.3">
      <c r="A1379" s="43">
        <v>369</v>
      </c>
      <c r="B1379" s="5" t="s">
        <v>257</v>
      </c>
      <c r="C1379" s="5" t="s">
        <v>248</v>
      </c>
      <c r="D1379" s="5" t="s">
        <v>8</v>
      </c>
      <c r="E1379" s="5" t="s">
        <v>9</v>
      </c>
      <c r="F1379" s="6">
        <v>45107</v>
      </c>
      <c r="G1379" s="5">
        <f t="shared" si="224"/>
        <v>2023</v>
      </c>
      <c r="H1379" s="5" t="str">
        <f t="shared" si="225"/>
        <v>Junio</v>
      </c>
      <c r="I1379" s="6" t="str">
        <f t="shared" si="228"/>
        <v>2023-1</v>
      </c>
      <c r="J1379" s="5">
        <v>0</v>
      </c>
      <c r="K1379" s="9">
        <v>78</v>
      </c>
      <c r="L1379" s="15" t="s">
        <v>417</v>
      </c>
      <c r="M1379" s="15" t="str">
        <f t="shared" ref="M1379:M1387" si="231">IFERROR(IF((K1379/J1379)&gt;K1379/J1379,1.3,K1379/J1379),"")</f>
        <v/>
      </c>
      <c r="N1379" s="5" t="s">
        <v>477</v>
      </c>
      <c r="O1379" s="5" t="s">
        <v>347</v>
      </c>
      <c r="P1379" s="16">
        <v>0</v>
      </c>
      <c r="Q1379" s="16">
        <v>0</v>
      </c>
      <c r="R1379" s="5" t="str">
        <f t="shared" si="229"/>
        <v>369-2023-06-30</v>
      </c>
    </row>
    <row r="1380" spans="1:18" x14ac:dyDescent="0.3">
      <c r="A1380" s="39">
        <v>369</v>
      </c>
      <c r="B1380" s="5" t="s">
        <v>257</v>
      </c>
      <c r="C1380" s="5" t="s">
        <v>248</v>
      </c>
      <c r="D1380" s="5" t="s">
        <v>8</v>
      </c>
      <c r="E1380" s="5" t="s">
        <v>9</v>
      </c>
      <c r="F1380" s="6">
        <v>45291</v>
      </c>
      <c r="G1380" s="5">
        <f t="shared" si="224"/>
        <v>2023</v>
      </c>
      <c r="H1380" s="5" t="str">
        <f t="shared" si="225"/>
        <v>Diciembre</v>
      </c>
      <c r="I1380" s="6" t="str">
        <f t="shared" si="228"/>
        <v>2023-2</v>
      </c>
      <c r="J1380" s="5">
        <v>0</v>
      </c>
      <c r="K1380" s="9">
        <v>96</v>
      </c>
      <c r="L1380" s="15" t="str">
        <f>IFERROR(IF((K1380/J1380)&gt;1.3,1.3,K1380/J1380),"")</f>
        <v/>
      </c>
      <c r="M1380" s="15" t="str">
        <f t="shared" si="231"/>
        <v/>
      </c>
      <c r="N1380" s="5" t="s">
        <v>477</v>
      </c>
      <c r="O1380" s="5" t="s">
        <v>347</v>
      </c>
      <c r="P1380" s="16">
        <v>0</v>
      </c>
      <c r="Q1380" s="16">
        <v>0</v>
      </c>
      <c r="R1380" s="5" t="str">
        <f t="shared" si="229"/>
        <v>369-2023-12-31</v>
      </c>
    </row>
    <row r="1381" spans="1:18" x14ac:dyDescent="0.3">
      <c r="A1381" s="43">
        <v>369</v>
      </c>
      <c r="B1381" s="5" t="s">
        <v>257</v>
      </c>
      <c r="C1381" s="5" t="s">
        <v>248</v>
      </c>
      <c r="D1381" s="5" t="s">
        <v>8</v>
      </c>
      <c r="E1381" s="5" t="s">
        <v>9</v>
      </c>
      <c r="F1381" s="6">
        <v>45473</v>
      </c>
      <c r="G1381" s="5">
        <f t="shared" si="224"/>
        <v>2024</v>
      </c>
      <c r="H1381" s="5" t="str">
        <f t="shared" si="225"/>
        <v>Junio</v>
      </c>
      <c r="I1381" s="6" t="str">
        <f t="shared" si="228"/>
        <v>2024-1</v>
      </c>
      <c r="J1381" s="5">
        <v>80</v>
      </c>
      <c r="K1381" s="9">
        <v>61</v>
      </c>
      <c r="L1381" s="15">
        <f>IFERROR(IF((K1381/J1381)&gt;1.3,1.3,K1381/J1381),"")</f>
        <v>0.76249999999999996</v>
      </c>
      <c r="M1381" s="15">
        <f t="shared" si="231"/>
        <v>0.76249999999999996</v>
      </c>
      <c r="N1381" s="5" t="s">
        <v>477</v>
      </c>
      <c r="O1381" s="5" t="s">
        <v>347</v>
      </c>
      <c r="P1381" s="16">
        <v>0</v>
      </c>
      <c r="Q1381" s="16">
        <v>0</v>
      </c>
      <c r="R1381" s="5" t="str">
        <f t="shared" si="229"/>
        <v>369-2024-06-30</v>
      </c>
    </row>
    <row r="1382" spans="1:18" x14ac:dyDescent="0.3">
      <c r="A1382" s="26">
        <v>369</v>
      </c>
      <c r="B1382" s="5" t="s">
        <v>257</v>
      </c>
      <c r="C1382" s="5" t="s">
        <v>248</v>
      </c>
      <c r="D1382" s="5" t="s">
        <v>8</v>
      </c>
      <c r="E1382" s="5" t="s">
        <v>9</v>
      </c>
      <c r="F1382" s="6">
        <v>45657</v>
      </c>
      <c r="G1382" s="5">
        <f t="shared" si="224"/>
        <v>2024</v>
      </c>
      <c r="H1382" s="5" t="str">
        <f t="shared" si="225"/>
        <v>Diciembre</v>
      </c>
      <c r="I1382" s="6" t="str">
        <f t="shared" si="228"/>
        <v>2024-2</v>
      </c>
      <c r="J1382" s="5">
        <v>100</v>
      </c>
      <c r="K1382" s="10">
        <v>71.3</v>
      </c>
      <c r="L1382" s="15">
        <f>IFERROR(IF((K1382/J1382)&gt;1.3,1.3,K1382/J1382),"")</f>
        <v>0.71299999999999997</v>
      </c>
      <c r="M1382" s="15">
        <f t="shared" si="231"/>
        <v>0.71299999999999997</v>
      </c>
      <c r="N1382" s="5"/>
      <c r="O1382" s="5"/>
      <c r="P1382" s="16">
        <v>0</v>
      </c>
      <c r="Q1382" s="16">
        <v>0</v>
      </c>
      <c r="R1382" s="5" t="str">
        <f t="shared" si="229"/>
        <v>369-2024-12-31</v>
      </c>
    </row>
    <row r="1383" spans="1:18" x14ac:dyDescent="0.3">
      <c r="A1383" s="26">
        <v>370</v>
      </c>
      <c r="B1383" s="5" t="s">
        <v>258</v>
      </c>
      <c r="C1383" s="5" t="s">
        <v>248</v>
      </c>
      <c r="D1383" s="5" t="s">
        <v>8</v>
      </c>
      <c r="E1383" s="5" t="s">
        <v>9</v>
      </c>
      <c r="F1383" s="17">
        <v>45107</v>
      </c>
      <c r="G1383" s="5">
        <f t="shared" si="224"/>
        <v>2023</v>
      </c>
      <c r="H1383" s="5" t="str">
        <f t="shared" si="225"/>
        <v>Junio</v>
      </c>
      <c r="I1383" s="6" t="str">
        <f t="shared" si="228"/>
        <v>2023-1</v>
      </c>
      <c r="J1383" s="5">
        <v>0</v>
      </c>
      <c r="K1383" s="9">
        <v>0</v>
      </c>
      <c r="L1383" s="8" t="str">
        <f>IFERROR(K1383/J1383,"")</f>
        <v/>
      </c>
      <c r="M1383" s="15" t="str">
        <f t="shared" si="231"/>
        <v/>
      </c>
      <c r="N1383" s="5"/>
      <c r="O1383" s="5"/>
      <c r="P1383" s="16">
        <v>0</v>
      </c>
      <c r="Q1383" s="16">
        <v>0</v>
      </c>
      <c r="R1383" s="5" t="str">
        <f t="shared" si="229"/>
        <v>370-2023-06-30</v>
      </c>
    </row>
    <row r="1384" spans="1:18" x14ac:dyDescent="0.3">
      <c r="A1384" s="26">
        <v>371</v>
      </c>
      <c r="B1384" s="5" t="s">
        <v>259</v>
      </c>
      <c r="C1384" s="5" t="s">
        <v>248</v>
      </c>
      <c r="D1384" s="5" t="s">
        <v>8</v>
      </c>
      <c r="E1384" s="5" t="s">
        <v>9</v>
      </c>
      <c r="F1384" s="17">
        <v>45107</v>
      </c>
      <c r="G1384" s="5">
        <f t="shared" si="224"/>
        <v>2023</v>
      </c>
      <c r="H1384" s="5" t="str">
        <f t="shared" si="225"/>
        <v>Junio</v>
      </c>
      <c r="I1384" s="6" t="str">
        <f t="shared" si="228"/>
        <v>2023-1</v>
      </c>
      <c r="J1384" s="11">
        <v>2750000000</v>
      </c>
      <c r="K1384" s="9">
        <v>4331325417</v>
      </c>
      <c r="L1384" s="8">
        <f>IF(IFERROR(K1384/J1384,"")&gt;130%,130%,K1384/J1384)</f>
        <v>1.3</v>
      </c>
      <c r="M1384" s="15">
        <f t="shared" si="231"/>
        <v>1.5750274243636364</v>
      </c>
      <c r="N1384" s="5" t="s">
        <v>474</v>
      </c>
      <c r="O1384" s="5" t="s">
        <v>474</v>
      </c>
      <c r="P1384" s="16">
        <v>0</v>
      </c>
      <c r="Q1384" s="16">
        <v>0</v>
      </c>
      <c r="R1384" s="5" t="str">
        <f t="shared" si="229"/>
        <v>371-2023-06-30</v>
      </c>
    </row>
    <row r="1385" spans="1:18" x14ac:dyDescent="0.3">
      <c r="A1385" s="39">
        <v>371</v>
      </c>
      <c r="B1385" s="5" t="s">
        <v>259</v>
      </c>
      <c r="C1385" s="5" t="s">
        <v>248</v>
      </c>
      <c r="D1385" s="5" t="s">
        <v>8</v>
      </c>
      <c r="E1385" s="5" t="s">
        <v>9</v>
      </c>
      <c r="F1385" s="6">
        <v>45291</v>
      </c>
      <c r="G1385" s="5">
        <f t="shared" si="224"/>
        <v>2023</v>
      </c>
      <c r="H1385" s="5" t="str">
        <f t="shared" si="225"/>
        <v>Diciembre</v>
      </c>
      <c r="I1385" s="6" t="str">
        <f t="shared" si="228"/>
        <v>2023-2</v>
      </c>
      <c r="J1385" s="11">
        <v>2750000000</v>
      </c>
      <c r="K1385" s="9">
        <v>5187526725</v>
      </c>
      <c r="L1385" s="8">
        <f>IF(IFERROR(K1385/J1385,"")&gt;130%,130%,K1385/J1385)</f>
        <v>1.3</v>
      </c>
      <c r="M1385" s="15">
        <f t="shared" si="231"/>
        <v>1.8863733545454546</v>
      </c>
      <c r="N1385" s="5" t="s">
        <v>474</v>
      </c>
      <c r="O1385" s="5" t="s">
        <v>474</v>
      </c>
      <c r="P1385" s="16">
        <v>0</v>
      </c>
      <c r="Q1385" s="16">
        <v>0</v>
      </c>
      <c r="R1385" s="5" t="str">
        <f t="shared" si="229"/>
        <v>371-2023-12-31</v>
      </c>
    </row>
    <row r="1386" spans="1:18" x14ac:dyDescent="0.3">
      <c r="A1386" s="5">
        <v>371</v>
      </c>
      <c r="B1386" s="5" t="s">
        <v>259</v>
      </c>
      <c r="C1386" s="5" t="s">
        <v>248</v>
      </c>
      <c r="D1386" s="5" t="s">
        <v>8</v>
      </c>
      <c r="E1386" s="5" t="s">
        <v>9</v>
      </c>
      <c r="F1386" s="6">
        <v>45473</v>
      </c>
      <c r="G1386" s="5">
        <f t="shared" si="224"/>
        <v>2024</v>
      </c>
      <c r="H1386" s="5" t="str">
        <f t="shared" si="225"/>
        <v>Junio</v>
      </c>
      <c r="I1386" s="6" t="str">
        <f t="shared" si="228"/>
        <v>2024-1</v>
      </c>
      <c r="J1386" s="11">
        <v>620023081</v>
      </c>
      <c r="K1386" s="11">
        <v>928306953</v>
      </c>
      <c r="L1386" s="8">
        <f>IF(IFERROR(K1386/J1386,"")&gt;130%,130%,K1386/J1386)</f>
        <v>1.3</v>
      </c>
      <c r="M1386" s="15">
        <f t="shared" si="231"/>
        <v>1.4972135416358798</v>
      </c>
      <c r="N1386" s="5" t="s">
        <v>474</v>
      </c>
      <c r="O1386" s="5" t="s">
        <v>474</v>
      </c>
      <c r="P1386" s="5">
        <v>0</v>
      </c>
      <c r="Q1386" s="5">
        <v>0</v>
      </c>
      <c r="R1386" s="5" t="str">
        <f t="shared" si="229"/>
        <v>371-2024-06-30</v>
      </c>
    </row>
    <row r="1387" spans="1:18" x14ac:dyDescent="0.3">
      <c r="A1387" s="26">
        <v>371</v>
      </c>
      <c r="B1387" s="5" t="s">
        <v>259</v>
      </c>
      <c r="C1387" s="5" t="s">
        <v>248</v>
      </c>
      <c r="D1387" s="5" t="s">
        <v>8</v>
      </c>
      <c r="E1387" s="5" t="s">
        <v>9</v>
      </c>
      <c r="F1387" s="6">
        <v>45657</v>
      </c>
      <c r="G1387" s="5">
        <f t="shared" si="224"/>
        <v>2024</v>
      </c>
      <c r="H1387" s="5" t="str">
        <f t="shared" si="225"/>
        <v>Diciembre</v>
      </c>
      <c r="I1387" s="6" t="str">
        <f t="shared" si="228"/>
        <v>2024-2</v>
      </c>
      <c r="J1387" s="5">
        <v>974321985.06500006</v>
      </c>
      <c r="K1387" s="10">
        <v>2045128020</v>
      </c>
      <c r="L1387" s="8">
        <f>IF(IFERROR(K1387/J1387,"")&gt;130%,130%,K1387/J1387)</f>
        <v>1.3</v>
      </c>
      <c r="M1387" s="15">
        <f t="shared" si="231"/>
        <v>2.099026863140693</v>
      </c>
      <c r="N1387" s="5" t="s">
        <v>474</v>
      </c>
      <c r="O1387" s="5" t="s">
        <v>474</v>
      </c>
      <c r="P1387" s="16">
        <v>0</v>
      </c>
      <c r="Q1387" s="16">
        <v>0</v>
      </c>
      <c r="R1387" s="5" t="str">
        <f t="shared" si="229"/>
        <v>371-2024-12-31</v>
      </c>
    </row>
    <row r="1388" spans="1:18" x14ac:dyDescent="0.3">
      <c r="A1388" s="43">
        <v>372</v>
      </c>
      <c r="B1388" s="5" t="s">
        <v>260</v>
      </c>
      <c r="C1388" s="5" t="s">
        <v>256</v>
      </c>
      <c r="D1388" s="5" t="s">
        <v>11</v>
      </c>
      <c r="E1388" s="5" t="s">
        <v>9</v>
      </c>
      <c r="F1388" s="6">
        <v>45199</v>
      </c>
      <c r="G1388" s="5">
        <f t="shared" si="224"/>
        <v>2023</v>
      </c>
      <c r="H1388" s="5" t="str">
        <f t="shared" si="225"/>
        <v>Septiembre</v>
      </c>
      <c r="I1388" s="6" t="str">
        <f t="shared" si="228"/>
        <v>2023-2</v>
      </c>
      <c r="J1388" s="5">
        <v>87</v>
      </c>
      <c r="K1388" s="9">
        <v>96</v>
      </c>
      <c r="L1388" s="8">
        <f>IFERROR(K1388/J1388,"")</f>
        <v>1.103448275862069</v>
      </c>
      <c r="M1388" s="15">
        <f>IFERROR(IF((K1388/J1388)&gt;K1388/J1388,1.3,K1388/J1388),"")</f>
        <v>1.103448275862069</v>
      </c>
      <c r="N1388" s="5" t="s">
        <v>347</v>
      </c>
      <c r="O1388" s="5" t="s">
        <v>347</v>
      </c>
      <c r="P1388" s="16">
        <v>0</v>
      </c>
      <c r="Q1388" s="16">
        <v>0</v>
      </c>
      <c r="R1388" s="5" t="str">
        <f t="shared" si="229"/>
        <v>372-2023-09-30</v>
      </c>
    </row>
    <row r="1389" spans="1:18" x14ac:dyDescent="0.3">
      <c r="A1389" s="39">
        <v>372</v>
      </c>
      <c r="B1389" s="5" t="s">
        <v>260</v>
      </c>
      <c r="C1389" s="5" t="s">
        <v>256</v>
      </c>
      <c r="D1389" s="5" t="s">
        <v>11</v>
      </c>
      <c r="E1389" s="5" t="s">
        <v>9</v>
      </c>
      <c r="F1389" s="6">
        <v>45291</v>
      </c>
      <c r="G1389" s="5">
        <f t="shared" si="224"/>
        <v>2023</v>
      </c>
      <c r="H1389" s="5" t="str">
        <f t="shared" si="225"/>
        <v>Diciembre</v>
      </c>
      <c r="I1389" s="6" t="str">
        <f t="shared" si="228"/>
        <v>2023-2</v>
      </c>
      <c r="J1389" s="5">
        <v>87</v>
      </c>
      <c r="K1389" s="9">
        <v>95</v>
      </c>
      <c r="L1389" s="8">
        <f>IFERROR(K1389/J1389,"")</f>
        <v>1.0919540229885059</v>
      </c>
      <c r="M1389" s="15">
        <f>IFERROR(IF((K1389/J1389)&gt;K1389/J1389,1.3,K1389/J1389),"")</f>
        <v>1.0919540229885059</v>
      </c>
      <c r="N1389" s="5" t="s">
        <v>347</v>
      </c>
      <c r="O1389" s="5" t="s">
        <v>347</v>
      </c>
      <c r="P1389" s="16">
        <v>0</v>
      </c>
      <c r="Q1389" s="16">
        <v>0</v>
      </c>
      <c r="R1389" s="5" t="str">
        <f t="shared" si="229"/>
        <v>372-2023-12-31</v>
      </c>
    </row>
    <row r="1390" spans="1:18" x14ac:dyDescent="0.3">
      <c r="A1390" s="26">
        <v>372</v>
      </c>
      <c r="B1390" s="5" t="s">
        <v>260</v>
      </c>
      <c r="C1390" s="5" t="s">
        <v>256</v>
      </c>
      <c r="D1390" s="5" t="s">
        <v>11</v>
      </c>
      <c r="E1390" s="5" t="s">
        <v>9</v>
      </c>
      <c r="F1390" s="6">
        <v>45382</v>
      </c>
      <c r="G1390" s="5">
        <f t="shared" si="224"/>
        <v>2024</v>
      </c>
      <c r="H1390" s="5" t="str">
        <f t="shared" si="225"/>
        <v>Marzo</v>
      </c>
      <c r="I1390" s="6" t="str">
        <f t="shared" si="228"/>
        <v>2024-1</v>
      </c>
      <c r="J1390" s="5">
        <v>87</v>
      </c>
      <c r="K1390" s="10">
        <v>93</v>
      </c>
      <c r="L1390" s="15">
        <f>IFERROR(IF((K1390/J1390)&gt;1.3,1.3,K1390/J1390),"")</f>
        <v>1.0689655172413792</v>
      </c>
      <c r="M1390" s="15">
        <f>IFERROR(IF((K1390/J1390)&gt;K1390/J1390,1.3,K1390/J1390),"")</f>
        <v>1.0689655172413792</v>
      </c>
      <c r="N1390" s="5" t="s">
        <v>347</v>
      </c>
      <c r="O1390" s="5" t="s">
        <v>347</v>
      </c>
      <c r="P1390" s="16">
        <v>0</v>
      </c>
      <c r="Q1390" s="16">
        <v>0</v>
      </c>
      <c r="R1390" s="5" t="str">
        <f t="shared" si="229"/>
        <v>372-2024-03-31</v>
      </c>
    </row>
    <row r="1391" spans="1:18" x14ac:dyDescent="0.3">
      <c r="A1391" s="5">
        <v>372</v>
      </c>
      <c r="B1391" s="5" t="s">
        <v>260</v>
      </c>
      <c r="C1391" s="5" t="s">
        <v>256</v>
      </c>
      <c r="D1391" s="5" t="s">
        <v>11</v>
      </c>
      <c r="E1391" s="5" t="s">
        <v>9</v>
      </c>
      <c r="F1391" s="6">
        <v>45473</v>
      </c>
      <c r="G1391" s="5">
        <f t="shared" si="224"/>
        <v>2024</v>
      </c>
      <c r="H1391" s="5" t="str">
        <f t="shared" si="225"/>
        <v>Junio</v>
      </c>
      <c r="I1391" s="6" t="str">
        <f t="shared" si="228"/>
        <v>2024-1</v>
      </c>
      <c r="J1391" s="5">
        <v>87</v>
      </c>
      <c r="K1391" s="5">
        <v>90</v>
      </c>
      <c r="L1391" s="15">
        <v>1.0344827586206897</v>
      </c>
      <c r="M1391" s="15">
        <v>1.0344827586206897</v>
      </c>
      <c r="N1391" s="5" t="s">
        <v>347</v>
      </c>
      <c r="O1391" s="5" t="s">
        <v>347</v>
      </c>
      <c r="P1391" s="5">
        <v>0</v>
      </c>
      <c r="Q1391" s="5">
        <v>0</v>
      </c>
      <c r="R1391" s="5" t="str">
        <f t="shared" si="229"/>
        <v>372-2024-06-30</v>
      </c>
    </row>
    <row r="1392" spans="1:18" x14ac:dyDescent="0.3">
      <c r="A1392" s="26">
        <v>372</v>
      </c>
      <c r="B1392" s="5" t="s">
        <v>260</v>
      </c>
      <c r="C1392" s="5" t="s">
        <v>256</v>
      </c>
      <c r="D1392" s="5" t="s">
        <v>11</v>
      </c>
      <c r="E1392" s="5" t="s">
        <v>9</v>
      </c>
      <c r="F1392" s="6">
        <v>45565</v>
      </c>
      <c r="G1392" s="5">
        <f t="shared" si="224"/>
        <v>2024</v>
      </c>
      <c r="H1392" s="5" t="str">
        <f t="shared" si="225"/>
        <v>Septiembre</v>
      </c>
      <c r="I1392" s="6" t="str">
        <f t="shared" si="228"/>
        <v>2024-2</v>
      </c>
      <c r="J1392" s="5">
        <v>87</v>
      </c>
      <c r="K1392" s="10">
        <v>91</v>
      </c>
      <c r="L1392" s="15">
        <f>IFERROR(IF((K1392/J1392)&gt;1.3,1.3,K1392/J1392),"")</f>
        <v>1.0459770114942528</v>
      </c>
      <c r="M1392" s="15">
        <f t="shared" ref="M1392:M1397" si="232">IFERROR(IF((K1392/J1392)&gt;K1392/J1392,1.3,K1392/J1392),"")</f>
        <v>1.0459770114942528</v>
      </c>
      <c r="N1392" s="5" t="s">
        <v>347</v>
      </c>
      <c r="O1392" s="5" t="s">
        <v>347</v>
      </c>
      <c r="P1392" s="16">
        <v>0</v>
      </c>
      <c r="Q1392" s="16">
        <v>0</v>
      </c>
      <c r="R1392" s="5" t="str">
        <f t="shared" si="229"/>
        <v>372-2024-09-30</v>
      </c>
    </row>
    <row r="1393" spans="1:18" x14ac:dyDescent="0.3">
      <c r="A1393" s="26">
        <v>372</v>
      </c>
      <c r="B1393" s="5" t="s">
        <v>260</v>
      </c>
      <c r="C1393" s="5" t="s">
        <v>256</v>
      </c>
      <c r="D1393" s="5" t="s">
        <v>11</v>
      </c>
      <c r="E1393" s="5" t="s">
        <v>9</v>
      </c>
      <c r="F1393" s="6">
        <v>45657</v>
      </c>
      <c r="G1393" s="5">
        <f t="shared" si="224"/>
        <v>2024</v>
      </c>
      <c r="H1393" s="5" t="str">
        <f t="shared" si="225"/>
        <v>Diciembre</v>
      </c>
      <c r="I1393" s="6" t="str">
        <f t="shared" si="228"/>
        <v>2024-2</v>
      </c>
      <c r="J1393" s="5">
        <v>87</v>
      </c>
      <c r="K1393" s="10">
        <v>93</v>
      </c>
      <c r="L1393" s="15">
        <f>IFERROR(IF((K1393/J1393)&gt;1.3,1.3,K1393/J1393),"")</f>
        <v>1.0689655172413792</v>
      </c>
      <c r="M1393" s="15">
        <f t="shared" si="232"/>
        <v>1.0689655172413792</v>
      </c>
      <c r="N1393" s="5" t="s">
        <v>347</v>
      </c>
      <c r="O1393" s="5" t="s">
        <v>347</v>
      </c>
      <c r="P1393" s="16">
        <v>0</v>
      </c>
      <c r="Q1393" s="16">
        <v>0</v>
      </c>
      <c r="R1393" s="5" t="str">
        <f t="shared" si="229"/>
        <v>372-2024-12-31</v>
      </c>
    </row>
    <row r="1394" spans="1:18" x14ac:dyDescent="0.3">
      <c r="A1394" s="26">
        <v>373</v>
      </c>
      <c r="B1394" s="5" t="s">
        <v>261</v>
      </c>
      <c r="C1394" s="5" t="s">
        <v>131</v>
      </c>
      <c r="D1394" s="5" t="s">
        <v>11</v>
      </c>
      <c r="E1394" s="5" t="s">
        <v>9</v>
      </c>
      <c r="F1394" s="6">
        <v>45107</v>
      </c>
      <c r="G1394" s="5">
        <f t="shared" si="224"/>
        <v>2023</v>
      </c>
      <c r="H1394" s="5" t="str">
        <f t="shared" si="225"/>
        <v>Junio</v>
      </c>
      <c r="I1394" s="6" t="str">
        <f t="shared" si="228"/>
        <v>2023-1</v>
      </c>
      <c r="J1394" s="5">
        <v>100</v>
      </c>
      <c r="K1394" s="9">
        <v>107.17</v>
      </c>
      <c r="L1394" s="15">
        <f>IFERROR(K1394/J1394,"")</f>
        <v>1.0717000000000001</v>
      </c>
      <c r="M1394" s="15">
        <f t="shared" si="232"/>
        <v>1.0717000000000001</v>
      </c>
      <c r="N1394" s="5" t="s">
        <v>347</v>
      </c>
      <c r="O1394" s="5" t="s">
        <v>347</v>
      </c>
      <c r="P1394" s="16">
        <v>0</v>
      </c>
      <c r="Q1394" s="16">
        <v>0</v>
      </c>
      <c r="R1394" s="5" t="str">
        <f t="shared" si="229"/>
        <v>373-2023-06-30</v>
      </c>
    </row>
    <row r="1395" spans="1:18" x14ac:dyDescent="0.3">
      <c r="A1395" s="43">
        <v>373</v>
      </c>
      <c r="B1395" s="5" t="s">
        <v>261</v>
      </c>
      <c r="C1395" s="5" t="s">
        <v>131</v>
      </c>
      <c r="D1395" s="5" t="s">
        <v>11</v>
      </c>
      <c r="E1395" s="5" t="s">
        <v>9</v>
      </c>
      <c r="F1395" s="6">
        <v>45199</v>
      </c>
      <c r="G1395" s="5">
        <f t="shared" si="224"/>
        <v>2023</v>
      </c>
      <c r="H1395" s="5" t="str">
        <f t="shared" si="225"/>
        <v>Septiembre</v>
      </c>
      <c r="I1395" s="6" t="str">
        <f t="shared" si="228"/>
        <v>2023-2</v>
      </c>
      <c r="J1395" s="5">
        <v>100</v>
      </c>
      <c r="K1395" s="9">
        <v>91.51</v>
      </c>
      <c r="L1395" s="15">
        <f>IFERROR(K1395/J1395,"")</f>
        <v>0.91510000000000002</v>
      </c>
      <c r="M1395" s="15">
        <f t="shared" si="232"/>
        <v>0.91510000000000002</v>
      </c>
      <c r="N1395" s="5" t="s">
        <v>347</v>
      </c>
      <c r="O1395" s="5" t="s">
        <v>347</v>
      </c>
      <c r="P1395" s="16">
        <v>0</v>
      </c>
      <c r="Q1395" s="16">
        <v>0</v>
      </c>
      <c r="R1395" s="5" t="str">
        <f t="shared" si="229"/>
        <v>373-2023-09-30</v>
      </c>
    </row>
    <row r="1396" spans="1:18" x14ac:dyDescent="0.3">
      <c r="A1396" s="39">
        <v>373</v>
      </c>
      <c r="B1396" s="5" t="s">
        <v>261</v>
      </c>
      <c r="C1396" s="5" t="s">
        <v>131</v>
      </c>
      <c r="D1396" s="5" t="s">
        <v>11</v>
      </c>
      <c r="E1396" s="5" t="s">
        <v>9</v>
      </c>
      <c r="F1396" s="6">
        <v>45291</v>
      </c>
      <c r="G1396" s="5">
        <f t="shared" si="224"/>
        <v>2023</v>
      </c>
      <c r="H1396" s="5" t="str">
        <f t="shared" si="225"/>
        <v>Diciembre</v>
      </c>
      <c r="I1396" s="6" t="str">
        <f t="shared" si="228"/>
        <v>2023-2</v>
      </c>
      <c r="J1396" s="5">
        <v>100</v>
      </c>
      <c r="K1396" s="9">
        <v>97.17</v>
      </c>
      <c r="L1396" s="8">
        <f>IFERROR(K1396/J1396,"")</f>
        <v>0.97170000000000001</v>
      </c>
      <c r="M1396" s="15">
        <f t="shared" si="232"/>
        <v>0.97170000000000001</v>
      </c>
      <c r="N1396" s="5" t="s">
        <v>347</v>
      </c>
      <c r="O1396" s="5" t="s">
        <v>347</v>
      </c>
      <c r="P1396" s="16">
        <v>0</v>
      </c>
      <c r="Q1396" s="16">
        <v>0</v>
      </c>
      <c r="R1396" s="5" t="str">
        <f t="shared" si="229"/>
        <v>373-2023-12-31</v>
      </c>
    </row>
    <row r="1397" spans="1:18" x14ac:dyDescent="0.3">
      <c r="A1397" s="26">
        <v>373</v>
      </c>
      <c r="B1397" s="5" t="s">
        <v>261</v>
      </c>
      <c r="C1397" s="5" t="s">
        <v>131</v>
      </c>
      <c r="D1397" s="5" t="s">
        <v>11</v>
      </c>
      <c r="E1397" s="5" t="s">
        <v>9</v>
      </c>
      <c r="F1397" s="6">
        <v>45382</v>
      </c>
      <c r="G1397" s="5">
        <f t="shared" si="224"/>
        <v>2024</v>
      </c>
      <c r="H1397" s="5" t="str">
        <f t="shared" si="225"/>
        <v>Marzo</v>
      </c>
      <c r="I1397" s="6" t="str">
        <f t="shared" si="228"/>
        <v>2024-1</v>
      </c>
      <c r="J1397" s="5">
        <v>100</v>
      </c>
      <c r="K1397" s="10">
        <v>89.02</v>
      </c>
      <c r="L1397" s="15">
        <f>IFERROR(IF((K1397/J1397)&gt;1.3,1.3,K1397/J1397),"")</f>
        <v>0.89019999999999999</v>
      </c>
      <c r="M1397" s="15">
        <f t="shared" si="232"/>
        <v>0.89019999999999999</v>
      </c>
      <c r="N1397" s="5" t="s">
        <v>347</v>
      </c>
      <c r="O1397" s="5" t="s">
        <v>347</v>
      </c>
      <c r="P1397" s="16">
        <v>0</v>
      </c>
      <c r="Q1397" s="16">
        <v>0</v>
      </c>
      <c r="R1397" s="5" t="str">
        <f t="shared" si="229"/>
        <v>373-2024-03-31</v>
      </c>
    </row>
    <row r="1398" spans="1:18" x14ac:dyDescent="0.3">
      <c r="A1398" s="5">
        <v>373</v>
      </c>
      <c r="B1398" s="5" t="s">
        <v>261</v>
      </c>
      <c r="C1398" s="5" t="s">
        <v>131</v>
      </c>
      <c r="D1398" s="5" t="s">
        <v>11</v>
      </c>
      <c r="E1398" s="5" t="s">
        <v>9</v>
      </c>
      <c r="F1398" s="6">
        <v>45473</v>
      </c>
      <c r="G1398" s="5">
        <f t="shared" si="224"/>
        <v>2024</v>
      </c>
      <c r="H1398" s="5" t="str">
        <f t="shared" si="225"/>
        <v>Junio</v>
      </c>
      <c r="I1398" s="6" t="str">
        <f t="shared" si="228"/>
        <v>2024-1</v>
      </c>
      <c r="J1398" s="5">
        <v>100</v>
      </c>
      <c r="K1398" s="5">
        <v>106.8</v>
      </c>
      <c r="L1398" s="15">
        <v>1.0680000000000001</v>
      </c>
      <c r="M1398" s="15">
        <v>1.0680000000000001</v>
      </c>
      <c r="N1398" s="5" t="s">
        <v>347</v>
      </c>
      <c r="O1398" s="5" t="s">
        <v>347</v>
      </c>
      <c r="P1398" s="5">
        <v>0</v>
      </c>
      <c r="Q1398" s="5">
        <v>0</v>
      </c>
      <c r="R1398" s="5" t="str">
        <f t="shared" si="229"/>
        <v>373-2024-06-30</v>
      </c>
    </row>
    <row r="1399" spans="1:18" x14ac:dyDescent="0.3">
      <c r="A1399" s="26">
        <v>373</v>
      </c>
      <c r="B1399" s="5" t="s">
        <v>261</v>
      </c>
      <c r="C1399" s="5" t="s">
        <v>131</v>
      </c>
      <c r="D1399" s="5" t="s">
        <v>11</v>
      </c>
      <c r="E1399" s="5" t="s">
        <v>9</v>
      </c>
      <c r="F1399" s="6">
        <v>45565</v>
      </c>
      <c r="G1399" s="5">
        <f t="shared" si="224"/>
        <v>2024</v>
      </c>
      <c r="H1399" s="5" t="str">
        <f t="shared" si="225"/>
        <v>Septiembre</v>
      </c>
      <c r="I1399" s="6" t="str">
        <f t="shared" si="228"/>
        <v>2024-2</v>
      </c>
      <c r="J1399" s="5">
        <v>100</v>
      </c>
      <c r="K1399" s="10">
        <v>99.61</v>
      </c>
      <c r="L1399" s="15">
        <f>IFERROR(IF((K1399/J1399)&gt;1.3,1.3,K1399/J1399),"")</f>
        <v>0.99609999999999999</v>
      </c>
      <c r="M1399" s="15">
        <f>IFERROR(IF((K1399/J1399)&gt;K1399/J1399,1.3,K1399/J1399),"")</f>
        <v>0.99609999999999999</v>
      </c>
      <c r="N1399" s="5" t="s">
        <v>347</v>
      </c>
      <c r="O1399" s="5" t="s">
        <v>347</v>
      </c>
      <c r="P1399" s="16">
        <v>0</v>
      </c>
      <c r="Q1399" s="16">
        <v>0</v>
      </c>
      <c r="R1399" s="5" t="str">
        <f t="shared" si="229"/>
        <v>373-2024-09-30</v>
      </c>
    </row>
    <row r="1400" spans="1:18" x14ac:dyDescent="0.3">
      <c r="A1400" s="26">
        <v>373</v>
      </c>
      <c r="B1400" s="5" t="s">
        <v>261</v>
      </c>
      <c r="C1400" s="5" t="s">
        <v>131</v>
      </c>
      <c r="D1400" s="5" t="s">
        <v>11</v>
      </c>
      <c r="E1400" s="5" t="s">
        <v>9</v>
      </c>
      <c r="F1400" s="6">
        <v>45657</v>
      </c>
      <c r="G1400" s="5">
        <f t="shared" si="224"/>
        <v>2024</v>
      </c>
      <c r="H1400" s="5" t="str">
        <f t="shared" si="225"/>
        <v>Diciembre</v>
      </c>
      <c r="I1400" s="6" t="str">
        <f t="shared" si="228"/>
        <v>2024-2</v>
      </c>
      <c r="J1400" s="5">
        <v>100</v>
      </c>
      <c r="K1400" s="10">
        <v>0</v>
      </c>
      <c r="L1400" s="15">
        <f>IFERROR(IF((K1400/J1400)&gt;1.3,1.3,K1400/J1400),"")</f>
        <v>0</v>
      </c>
      <c r="M1400" s="15">
        <f>IFERROR(IF((K1400/J1400)&gt;K1400/J1400,1.3,K1400/J1400),"")</f>
        <v>0</v>
      </c>
      <c r="N1400" s="5" t="s">
        <v>347</v>
      </c>
      <c r="O1400" s="5" t="s">
        <v>347</v>
      </c>
      <c r="P1400" s="16">
        <v>0</v>
      </c>
      <c r="Q1400" s="16">
        <v>0</v>
      </c>
      <c r="R1400" s="5" t="str">
        <f t="shared" si="229"/>
        <v>373-2024-12-31</v>
      </c>
    </row>
    <row r="1401" spans="1:18" x14ac:dyDescent="0.3">
      <c r="A1401" s="39">
        <v>374</v>
      </c>
      <c r="B1401" s="5" t="s">
        <v>262</v>
      </c>
      <c r="C1401" s="5" t="s">
        <v>762</v>
      </c>
      <c r="D1401" s="5" t="s">
        <v>8</v>
      </c>
      <c r="E1401" s="5" t="s">
        <v>9</v>
      </c>
      <c r="F1401" s="6">
        <v>45291</v>
      </c>
      <c r="G1401" s="5">
        <f t="shared" si="224"/>
        <v>2023</v>
      </c>
      <c r="H1401" s="5" t="str">
        <f t="shared" si="225"/>
        <v>Diciembre</v>
      </c>
      <c r="I1401" s="6" t="str">
        <f t="shared" si="228"/>
        <v>2023-2</v>
      </c>
      <c r="J1401" s="5">
        <v>100</v>
      </c>
      <c r="K1401" s="9">
        <v>100</v>
      </c>
      <c r="L1401" s="8">
        <f>IFERROR(K1401/J1401,"")</f>
        <v>1</v>
      </c>
      <c r="M1401" s="15">
        <f>IFERROR(IF((K1401/J1401)&gt;K1401/J1401,1.3,K1401/J1401),"")</f>
        <v>1</v>
      </c>
      <c r="N1401" s="5" t="s">
        <v>347</v>
      </c>
      <c r="O1401" s="5" t="s">
        <v>347</v>
      </c>
      <c r="P1401" s="16">
        <v>0</v>
      </c>
      <c r="Q1401" s="16">
        <v>0</v>
      </c>
      <c r="R1401" s="5" t="str">
        <f t="shared" si="229"/>
        <v>374-2023-12-31</v>
      </c>
    </row>
    <row r="1402" spans="1:18" x14ac:dyDescent="0.3">
      <c r="A1402" s="39">
        <v>375</v>
      </c>
      <c r="B1402" s="5" t="s">
        <v>462</v>
      </c>
      <c r="C1402" s="5" t="s">
        <v>762</v>
      </c>
      <c r="D1402" s="5" t="s">
        <v>8</v>
      </c>
      <c r="E1402" s="5" t="s">
        <v>9</v>
      </c>
      <c r="F1402" s="6">
        <v>45291</v>
      </c>
      <c r="G1402" s="5">
        <f t="shared" si="224"/>
        <v>2023</v>
      </c>
      <c r="H1402" s="5" t="str">
        <f t="shared" si="225"/>
        <v>Diciembre</v>
      </c>
      <c r="I1402" s="6" t="str">
        <f t="shared" si="228"/>
        <v>2023-2</v>
      </c>
      <c r="J1402" s="5">
        <v>100</v>
      </c>
      <c r="K1402" s="9">
        <v>100</v>
      </c>
      <c r="L1402" s="8">
        <f>IFERROR(K1402/J1402,"")</f>
        <v>1</v>
      </c>
      <c r="M1402" s="15">
        <f>IFERROR(IF((K1402/J1402)&gt;K1402/J1402,1.3,K1402/J1402),"")</f>
        <v>1</v>
      </c>
      <c r="N1402" s="5" t="s">
        <v>347</v>
      </c>
      <c r="O1402" s="5" t="s">
        <v>347</v>
      </c>
      <c r="P1402" s="16">
        <v>0</v>
      </c>
      <c r="Q1402" s="16">
        <v>0</v>
      </c>
      <c r="R1402" s="5" t="str">
        <f t="shared" si="229"/>
        <v>375-2023-12-31</v>
      </c>
    </row>
    <row r="1403" spans="1:18" x14ac:dyDescent="0.3">
      <c r="A1403" s="5">
        <v>375</v>
      </c>
      <c r="B1403" s="5" t="s">
        <v>462</v>
      </c>
      <c r="C1403" s="5" t="s">
        <v>762</v>
      </c>
      <c r="D1403" s="5" t="s">
        <v>8</v>
      </c>
      <c r="E1403" s="5" t="s">
        <v>9</v>
      </c>
      <c r="F1403" s="6">
        <v>45473</v>
      </c>
      <c r="G1403" s="5">
        <f t="shared" si="224"/>
        <v>2024</v>
      </c>
      <c r="H1403" s="5" t="str">
        <f t="shared" si="225"/>
        <v>Junio</v>
      </c>
      <c r="I1403" s="6" t="str">
        <f t="shared" si="228"/>
        <v>2024-1</v>
      </c>
      <c r="J1403" s="5">
        <v>100</v>
      </c>
      <c r="K1403" s="5">
        <v>100</v>
      </c>
      <c r="L1403" s="15">
        <v>1</v>
      </c>
      <c r="M1403" s="15">
        <v>1</v>
      </c>
      <c r="N1403" s="5" t="s">
        <v>347</v>
      </c>
      <c r="O1403" s="5" t="s">
        <v>347</v>
      </c>
      <c r="P1403" s="16">
        <v>0</v>
      </c>
      <c r="Q1403" s="5">
        <v>0</v>
      </c>
      <c r="R1403" s="5" t="str">
        <f t="shared" si="229"/>
        <v>375-2024-06-30</v>
      </c>
    </row>
    <row r="1404" spans="1:18" x14ac:dyDescent="0.3">
      <c r="A1404" s="26">
        <v>375</v>
      </c>
      <c r="B1404" s="5" t="s">
        <v>462</v>
      </c>
      <c r="C1404" s="5" t="s">
        <v>762</v>
      </c>
      <c r="D1404" s="5" t="s">
        <v>8</v>
      </c>
      <c r="E1404" s="5" t="s">
        <v>9</v>
      </c>
      <c r="F1404" s="6">
        <v>45657</v>
      </c>
      <c r="G1404" s="5">
        <f t="shared" si="224"/>
        <v>2024</v>
      </c>
      <c r="H1404" s="5" t="str">
        <f t="shared" si="225"/>
        <v>Diciembre</v>
      </c>
      <c r="I1404" s="6" t="str">
        <f t="shared" si="228"/>
        <v>2024-2</v>
      </c>
      <c r="J1404" s="5">
        <v>100</v>
      </c>
      <c r="K1404" s="10">
        <v>100</v>
      </c>
      <c r="L1404" s="15">
        <f>IFERROR(IF((K1404/J1404)&gt;1.3,1.3,K1404/J1404),"")</f>
        <v>1</v>
      </c>
      <c r="M1404" s="15">
        <f>IFERROR(IF((K1404/J1404)&gt;K1404/J1404,1.3,K1404/J1404),"")</f>
        <v>1</v>
      </c>
      <c r="N1404" s="5" t="s">
        <v>347</v>
      </c>
      <c r="O1404" s="5" t="s">
        <v>347</v>
      </c>
      <c r="P1404" s="16">
        <v>0</v>
      </c>
      <c r="Q1404" s="16">
        <v>0</v>
      </c>
      <c r="R1404" s="5" t="str">
        <f t="shared" si="229"/>
        <v>375-2024-12-31</v>
      </c>
    </row>
    <row r="1405" spans="1:18" x14ac:dyDescent="0.3">
      <c r="A1405" s="5">
        <v>376</v>
      </c>
      <c r="B1405" s="5" t="s">
        <v>263</v>
      </c>
      <c r="C1405" s="5" t="s">
        <v>84</v>
      </c>
      <c r="D1405" s="5" t="s">
        <v>8</v>
      </c>
      <c r="E1405" s="5" t="s">
        <v>9</v>
      </c>
      <c r="F1405" s="17">
        <v>44742</v>
      </c>
      <c r="G1405" s="5">
        <f t="shared" si="224"/>
        <v>2022</v>
      </c>
      <c r="H1405" s="5" t="str">
        <f t="shared" si="225"/>
        <v>Junio</v>
      </c>
      <c r="I1405" s="6" t="str">
        <f t="shared" si="228"/>
        <v>2022-1</v>
      </c>
      <c r="J1405" s="11">
        <v>10494</v>
      </c>
      <c r="K1405" s="9">
        <v>14221</v>
      </c>
      <c r="L1405" s="15">
        <v>1.3</v>
      </c>
      <c r="M1405" s="15">
        <v>1.35515532685344</v>
      </c>
      <c r="N1405" s="5" t="s">
        <v>474</v>
      </c>
      <c r="O1405" s="5" t="s">
        <v>474</v>
      </c>
      <c r="P1405" s="5">
        <v>0</v>
      </c>
      <c r="Q1405" s="5">
        <v>0</v>
      </c>
      <c r="R1405" s="5" t="str">
        <f t="shared" si="229"/>
        <v>376-2022-06-30</v>
      </c>
    </row>
    <row r="1406" spans="1:18" x14ac:dyDescent="0.3">
      <c r="A1406" s="5">
        <v>376</v>
      </c>
      <c r="B1406" s="5" t="s">
        <v>263</v>
      </c>
      <c r="C1406" s="5" t="s">
        <v>84</v>
      </c>
      <c r="D1406" s="5" t="s">
        <v>8</v>
      </c>
      <c r="E1406" s="5" t="s">
        <v>9</v>
      </c>
      <c r="F1406" s="17">
        <v>44925</v>
      </c>
      <c r="G1406" s="5">
        <f t="shared" si="224"/>
        <v>2022</v>
      </c>
      <c r="H1406" s="5" t="str">
        <f t="shared" si="225"/>
        <v>Diciembre</v>
      </c>
      <c r="I1406" s="6" t="str">
        <f t="shared" si="228"/>
        <v>2022-2</v>
      </c>
      <c r="J1406" s="11">
        <v>5570</v>
      </c>
      <c r="K1406" s="9">
        <v>9919</v>
      </c>
      <c r="L1406" s="15">
        <v>1.3</v>
      </c>
      <c r="M1406" s="15">
        <v>1.7807899461400358</v>
      </c>
      <c r="N1406" s="5" t="s">
        <v>474</v>
      </c>
      <c r="O1406" s="5" t="s">
        <v>474</v>
      </c>
      <c r="P1406" s="5">
        <v>0</v>
      </c>
      <c r="Q1406" s="5">
        <v>0</v>
      </c>
      <c r="R1406" s="5" t="str">
        <f t="shared" si="229"/>
        <v>376-2022-12-30</v>
      </c>
    </row>
    <row r="1407" spans="1:18" x14ac:dyDescent="0.3">
      <c r="A1407" s="43">
        <v>376</v>
      </c>
      <c r="B1407" s="5" t="s">
        <v>263</v>
      </c>
      <c r="C1407" s="5" t="s">
        <v>84</v>
      </c>
      <c r="D1407" s="5" t="s">
        <v>8</v>
      </c>
      <c r="E1407" s="5" t="s">
        <v>9</v>
      </c>
      <c r="F1407" s="6">
        <v>45107</v>
      </c>
      <c r="G1407" s="5">
        <f t="shared" si="224"/>
        <v>2023</v>
      </c>
      <c r="H1407" s="5" t="str">
        <f t="shared" si="225"/>
        <v>Junio</v>
      </c>
      <c r="I1407" s="6" t="str">
        <f t="shared" si="228"/>
        <v>2023-1</v>
      </c>
      <c r="J1407" s="5">
        <f xml:space="preserve"> 8796241270/1000000</f>
        <v>8796.2412700000004</v>
      </c>
      <c r="K1407" s="9">
        <f>13169941458/1000000</f>
        <v>13169.941457999999</v>
      </c>
      <c r="L1407" s="15">
        <f>IF(IFERROR(K1407/J1407,"")&gt;130%,130%,K1407/J1407)</f>
        <v>1.3</v>
      </c>
      <c r="M1407" s="15">
        <f>IFERROR(IF((K1407/J1407)&gt;K1407/J1407,1.3,K1407/J1407),"")</f>
        <v>1.4972237633950209</v>
      </c>
      <c r="N1407" s="5" t="s">
        <v>474</v>
      </c>
      <c r="O1407" s="5" t="s">
        <v>474</v>
      </c>
      <c r="P1407" s="16">
        <v>0</v>
      </c>
      <c r="Q1407" s="16">
        <v>0</v>
      </c>
      <c r="R1407" s="5" t="str">
        <f t="shared" si="229"/>
        <v>376-2023-06-30</v>
      </c>
    </row>
    <row r="1408" spans="1:18" x14ac:dyDescent="0.3">
      <c r="A1408" s="39">
        <v>376</v>
      </c>
      <c r="B1408" s="5" t="s">
        <v>263</v>
      </c>
      <c r="C1408" s="5" t="s">
        <v>84</v>
      </c>
      <c r="D1408" s="5" t="s">
        <v>8</v>
      </c>
      <c r="E1408" s="5" t="s">
        <v>9</v>
      </c>
      <c r="F1408" s="6">
        <v>45291</v>
      </c>
      <c r="G1408" s="5">
        <f t="shared" si="224"/>
        <v>2023</v>
      </c>
      <c r="H1408" s="5" t="str">
        <f t="shared" si="225"/>
        <v>Diciembre</v>
      </c>
      <c r="I1408" s="6" t="str">
        <f t="shared" si="228"/>
        <v>2023-2</v>
      </c>
      <c r="J1408" s="11">
        <v>26073.472702718544</v>
      </c>
      <c r="K1408" s="9">
        <v>26403.087925999949</v>
      </c>
      <c r="L1408" s="15">
        <f>IF(IFERROR(K1408/J1408,"")&gt;130%,130%,K1408/J1408)</f>
        <v>1.0126417845079394</v>
      </c>
      <c r="M1408" s="15">
        <f>IFERROR(IF((K1408/J1408)&gt;K1408/J1408,1.3,K1408/J1408),"")</f>
        <v>1.0126417845079394</v>
      </c>
      <c r="N1408" s="5" t="s">
        <v>474</v>
      </c>
      <c r="O1408" s="5" t="s">
        <v>474</v>
      </c>
      <c r="P1408" s="16">
        <v>0</v>
      </c>
      <c r="Q1408" s="16">
        <v>0</v>
      </c>
      <c r="R1408" s="5" t="str">
        <f t="shared" si="229"/>
        <v>376-2023-12-31</v>
      </c>
    </row>
    <row r="1409" spans="1:18" x14ac:dyDescent="0.3">
      <c r="A1409" s="43">
        <v>376</v>
      </c>
      <c r="B1409" s="5" t="s">
        <v>263</v>
      </c>
      <c r="C1409" s="5" t="s">
        <v>84</v>
      </c>
      <c r="D1409" s="5" t="s">
        <v>8</v>
      </c>
      <c r="E1409" s="5" t="s">
        <v>9</v>
      </c>
      <c r="F1409" s="6">
        <v>45473</v>
      </c>
      <c r="G1409" s="5">
        <f t="shared" si="224"/>
        <v>2024</v>
      </c>
      <c r="H1409" s="5" t="str">
        <f t="shared" si="225"/>
        <v>Junio</v>
      </c>
      <c r="I1409" s="6" t="str">
        <f t="shared" si="228"/>
        <v>2024-1</v>
      </c>
      <c r="J1409" s="11">
        <f>14136961539/1000000</f>
        <v>14136.961539</v>
      </c>
      <c r="K1409" s="9">
        <f>14702219810/1000000</f>
        <v>14702.219810000001</v>
      </c>
      <c r="L1409" s="15">
        <f>IF(IFERROR(K1409/J1409,"")&gt;130%,130%,K1409/J1409)</f>
        <v>1.0399844244776792</v>
      </c>
      <c r="M1409" s="15">
        <f>IFERROR(IF((K1409/J1409)&gt;K1409/J1409,1.3,K1409/J1409),"")</f>
        <v>1.0399844244776792</v>
      </c>
      <c r="N1409" s="5" t="s">
        <v>474</v>
      </c>
      <c r="O1409" s="5" t="s">
        <v>474</v>
      </c>
      <c r="P1409" s="16">
        <v>0</v>
      </c>
      <c r="Q1409" s="16">
        <v>0</v>
      </c>
      <c r="R1409" s="5" t="str">
        <f t="shared" si="229"/>
        <v>376-2024-06-30</v>
      </c>
    </row>
    <row r="1410" spans="1:18" x14ac:dyDescent="0.3">
      <c r="A1410" s="26">
        <v>376</v>
      </c>
      <c r="B1410" s="5" t="s">
        <v>732</v>
      </c>
      <c r="C1410" s="5" t="s">
        <v>84</v>
      </c>
      <c r="D1410" s="5" t="s">
        <v>8</v>
      </c>
      <c r="E1410" s="5" t="s">
        <v>9</v>
      </c>
      <c r="F1410" s="6">
        <v>45657</v>
      </c>
      <c r="G1410" s="5">
        <f t="shared" ref="G1410:G1473" si="233">YEAR(F1410)</f>
        <v>2024</v>
      </c>
      <c r="H1410" s="5" t="str">
        <f t="shared" ref="H1410:H1473" si="234">PROPER(TEXT(F1410,"mmmm"))</f>
        <v>Diciembre</v>
      </c>
      <c r="I1410" s="6" t="str">
        <f t="shared" si="228"/>
        <v>2024-2</v>
      </c>
      <c r="J1410" s="9">
        <f>27010108281/1000000</f>
        <v>27010.108281000001</v>
      </c>
      <c r="K1410" s="9">
        <f>29467922112/1000000</f>
        <v>29467.922112</v>
      </c>
      <c r="L1410" s="15">
        <f>IFERROR(IF((K1410/J1410)&gt;1.3,1.3,K1410/J1410),"")</f>
        <v>1.090996074707665</v>
      </c>
      <c r="M1410" s="15">
        <f>IFERROR(IF((K1410/J1410)&gt;K1410/J1410,1.3,K1410/J1410),"")</f>
        <v>1.090996074707665</v>
      </c>
      <c r="N1410" s="5" t="s">
        <v>474</v>
      </c>
      <c r="O1410" s="5" t="s">
        <v>474</v>
      </c>
      <c r="P1410" s="16">
        <v>0</v>
      </c>
      <c r="Q1410" s="16">
        <v>0</v>
      </c>
      <c r="R1410" s="5" t="str">
        <f t="shared" si="229"/>
        <v>376-2024-12-31</v>
      </c>
    </row>
    <row r="1411" spans="1:18" x14ac:dyDescent="0.3">
      <c r="A1411" s="43">
        <v>377</v>
      </c>
      <c r="B1411" s="5" t="s">
        <v>264</v>
      </c>
      <c r="C1411" s="5" t="s">
        <v>84</v>
      </c>
      <c r="D1411" s="5" t="s">
        <v>8</v>
      </c>
      <c r="E1411" s="5" t="s">
        <v>14</v>
      </c>
      <c r="F1411" s="6">
        <v>45107</v>
      </c>
      <c r="G1411" s="5">
        <f t="shared" si="233"/>
        <v>2023</v>
      </c>
      <c r="H1411" s="5" t="str">
        <f t="shared" si="234"/>
        <v>Junio</v>
      </c>
      <c r="I1411" s="6" t="str">
        <f t="shared" si="228"/>
        <v>2023-1</v>
      </c>
      <c r="J1411" s="5">
        <f>7200908222/1000000</f>
        <v>7200.908222</v>
      </c>
      <c r="K1411" s="9">
        <f>1606868149/1000000</f>
        <v>1606.8681489999999</v>
      </c>
      <c r="L1411" s="15">
        <f>IFERROR(IF((J1411/K1411)&gt;1.3,1.3,J1411/K1411),"")</f>
        <v>1.3</v>
      </c>
      <c r="M1411" s="8">
        <f>IFERROR(J1411/K1411,"")</f>
        <v>4.4813311076464686</v>
      </c>
      <c r="N1411" s="5" t="s">
        <v>474</v>
      </c>
      <c r="O1411" s="5" t="s">
        <v>474</v>
      </c>
      <c r="P1411" s="16">
        <v>0</v>
      </c>
      <c r="Q1411" s="16">
        <v>0</v>
      </c>
      <c r="R1411" s="5" t="str">
        <f t="shared" si="229"/>
        <v>377-2023-06-30</v>
      </c>
    </row>
    <row r="1412" spans="1:18" x14ac:dyDescent="0.3">
      <c r="A1412" s="39">
        <v>377</v>
      </c>
      <c r="B1412" s="5" t="s">
        <v>264</v>
      </c>
      <c r="C1412" s="5" t="s">
        <v>84</v>
      </c>
      <c r="D1412" s="5" t="s">
        <v>8</v>
      </c>
      <c r="E1412" s="5" t="s">
        <v>14</v>
      </c>
      <c r="F1412" s="6">
        <v>45291</v>
      </c>
      <c r="G1412" s="5">
        <f t="shared" si="233"/>
        <v>2023</v>
      </c>
      <c r="H1412" s="5" t="str">
        <f t="shared" si="234"/>
        <v>Diciembre</v>
      </c>
      <c r="I1412" s="6" t="str">
        <f t="shared" si="228"/>
        <v>2023-2</v>
      </c>
      <c r="J1412" s="5">
        <v>12518.005306706254</v>
      </c>
      <c r="K1412" s="9">
        <v>7607.138418999999</v>
      </c>
      <c r="L1412" s="15">
        <f>IFERROR(IF((J1412/K1412)&gt;1.3,1.3,J1412/K1412),"")</f>
        <v>1.3</v>
      </c>
      <c r="M1412" s="8">
        <f>IFERROR(J1412/K1412,"")</f>
        <v>1.6455603430904595</v>
      </c>
      <c r="N1412" s="5" t="s">
        <v>474</v>
      </c>
      <c r="O1412" s="5" t="s">
        <v>474</v>
      </c>
      <c r="P1412" s="16">
        <v>0</v>
      </c>
      <c r="Q1412" s="16">
        <v>0</v>
      </c>
      <c r="R1412" s="5" t="str">
        <f t="shared" si="229"/>
        <v>377-2023-12-31</v>
      </c>
    </row>
    <row r="1413" spans="1:18" x14ac:dyDescent="0.3">
      <c r="A1413" s="43">
        <v>377</v>
      </c>
      <c r="B1413" s="5" t="s">
        <v>264</v>
      </c>
      <c r="C1413" s="5" t="s">
        <v>84</v>
      </c>
      <c r="D1413" s="5" t="s">
        <v>8</v>
      </c>
      <c r="E1413" s="5" t="s">
        <v>14</v>
      </c>
      <c r="F1413" s="6">
        <v>45473</v>
      </c>
      <c r="G1413" s="5">
        <f t="shared" si="233"/>
        <v>2024</v>
      </c>
      <c r="H1413" s="5" t="str">
        <f t="shared" si="234"/>
        <v>Junio</v>
      </c>
      <c r="I1413" s="6" t="str">
        <f t="shared" si="228"/>
        <v>2024-1</v>
      </c>
      <c r="J1413" s="11">
        <f>4468402401/1000000</f>
        <v>4468.4024010000003</v>
      </c>
      <c r="K1413" s="9">
        <f>2155477505/1000000</f>
        <v>2155.4775049999998</v>
      </c>
      <c r="L1413" s="15">
        <f>IFERROR(IF((J1413/K1413)&gt;1.3,1.3,J1413/K1413),"")</f>
        <v>1.3</v>
      </c>
      <c r="M1413" s="8">
        <f>IFERROR(J1413/K1413,"")</f>
        <v>2.0730452489690911</v>
      </c>
      <c r="N1413" s="5" t="s">
        <v>474</v>
      </c>
      <c r="O1413" s="5" t="s">
        <v>474</v>
      </c>
      <c r="P1413" s="16">
        <v>0</v>
      </c>
      <c r="Q1413" s="16">
        <v>0</v>
      </c>
      <c r="R1413" s="5" t="str">
        <f t="shared" si="229"/>
        <v>377-2024-06-30</v>
      </c>
    </row>
    <row r="1414" spans="1:18" x14ac:dyDescent="0.3">
      <c r="A1414" s="26">
        <v>377</v>
      </c>
      <c r="B1414" s="5" t="s">
        <v>264</v>
      </c>
      <c r="C1414" s="5" t="s">
        <v>84</v>
      </c>
      <c r="D1414" s="5" t="s">
        <v>8</v>
      </c>
      <c r="E1414" s="5" t="s">
        <v>14</v>
      </c>
      <c r="F1414" s="6">
        <v>45657</v>
      </c>
      <c r="G1414" s="5">
        <f t="shared" si="233"/>
        <v>2024</v>
      </c>
      <c r="H1414" s="5" t="str">
        <f t="shared" si="234"/>
        <v>Diciembre</v>
      </c>
      <c r="I1414" s="6" t="str">
        <f t="shared" si="228"/>
        <v>2024-2</v>
      </c>
      <c r="J1414" s="5">
        <v>100</v>
      </c>
      <c r="K1414" s="10">
        <v>125.01</v>
      </c>
      <c r="L1414" s="15">
        <f>IFERROR(IF((K1414/J1414)&gt;1.3,1.3,K1414/J1414),"")</f>
        <v>1.2501</v>
      </c>
      <c r="M1414" s="15">
        <f t="shared" ref="M1414:M1431" si="235">IFERROR(IF((K1414/J1414)&gt;K1414/J1414,1.3,K1414/J1414),"")</f>
        <v>1.2501</v>
      </c>
      <c r="N1414" s="5" t="s">
        <v>474</v>
      </c>
      <c r="O1414" s="5" t="s">
        <v>474</v>
      </c>
      <c r="P1414" s="16">
        <v>0</v>
      </c>
      <c r="Q1414" s="16">
        <v>0</v>
      </c>
      <c r="R1414" s="5" t="str">
        <f t="shared" si="229"/>
        <v>377-2024-12-31</v>
      </c>
    </row>
    <row r="1415" spans="1:18" x14ac:dyDescent="0.3">
      <c r="A1415" s="26">
        <v>378</v>
      </c>
      <c r="B1415" s="5" t="s">
        <v>265</v>
      </c>
      <c r="C1415" s="5" t="s">
        <v>343</v>
      </c>
      <c r="D1415" s="5" t="s">
        <v>18</v>
      </c>
      <c r="E1415" s="5" t="s">
        <v>9</v>
      </c>
      <c r="F1415" s="6">
        <v>44957</v>
      </c>
      <c r="G1415" s="5">
        <f t="shared" si="233"/>
        <v>2023</v>
      </c>
      <c r="H1415" s="5" t="str">
        <f t="shared" si="234"/>
        <v>Enero</v>
      </c>
      <c r="I1415" s="6" t="str">
        <f t="shared" si="228"/>
        <v>2023-1</v>
      </c>
      <c r="J1415" s="5">
        <v>92</v>
      </c>
      <c r="K1415" s="9">
        <v>100</v>
      </c>
      <c r="L1415" s="8">
        <f t="shared" ref="L1415:L1426" si="236">IFERROR(K1415/J1415,"")</f>
        <v>1.0869565217391304</v>
      </c>
      <c r="M1415" s="15">
        <f t="shared" si="235"/>
        <v>1.0869565217391304</v>
      </c>
      <c r="N1415" s="5" t="s">
        <v>347</v>
      </c>
      <c r="O1415" s="5" t="s">
        <v>347</v>
      </c>
      <c r="P1415" s="16">
        <v>0</v>
      </c>
      <c r="Q1415" s="16">
        <v>0</v>
      </c>
      <c r="R1415" s="5" t="str">
        <f t="shared" si="229"/>
        <v>378-2023-01-31</v>
      </c>
    </row>
    <row r="1416" spans="1:18" x14ac:dyDescent="0.3">
      <c r="A1416" s="26">
        <v>378</v>
      </c>
      <c r="B1416" s="5" t="s">
        <v>265</v>
      </c>
      <c r="C1416" s="5" t="s">
        <v>343</v>
      </c>
      <c r="D1416" s="5" t="s">
        <v>18</v>
      </c>
      <c r="E1416" s="5" t="s">
        <v>9</v>
      </c>
      <c r="F1416" s="17">
        <v>44985</v>
      </c>
      <c r="G1416" s="5">
        <f t="shared" si="233"/>
        <v>2023</v>
      </c>
      <c r="H1416" s="5" t="str">
        <f t="shared" si="234"/>
        <v>Febrero</v>
      </c>
      <c r="I1416" s="6" t="str">
        <f t="shared" si="228"/>
        <v>2023-1</v>
      </c>
      <c r="J1416" s="5">
        <v>92</v>
      </c>
      <c r="K1416" s="9">
        <v>100</v>
      </c>
      <c r="L1416" s="8">
        <f t="shared" si="236"/>
        <v>1.0869565217391304</v>
      </c>
      <c r="M1416" s="15">
        <f t="shared" si="235"/>
        <v>1.0869565217391304</v>
      </c>
      <c r="N1416" s="5" t="s">
        <v>347</v>
      </c>
      <c r="O1416" s="5" t="s">
        <v>347</v>
      </c>
      <c r="P1416" s="16">
        <v>0</v>
      </c>
      <c r="Q1416" s="16">
        <v>0</v>
      </c>
      <c r="R1416" s="5" t="str">
        <f t="shared" si="229"/>
        <v>378-2023-02-28</v>
      </c>
    </row>
    <row r="1417" spans="1:18" x14ac:dyDescent="0.3">
      <c r="A1417" s="26">
        <v>378</v>
      </c>
      <c r="B1417" s="5" t="s">
        <v>265</v>
      </c>
      <c r="C1417" s="5" t="s">
        <v>343</v>
      </c>
      <c r="D1417" s="5" t="s">
        <v>18</v>
      </c>
      <c r="E1417" s="5" t="s">
        <v>9</v>
      </c>
      <c r="F1417" s="6">
        <v>45016</v>
      </c>
      <c r="G1417" s="5">
        <f t="shared" si="233"/>
        <v>2023</v>
      </c>
      <c r="H1417" s="5" t="str">
        <f t="shared" si="234"/>
        <v>Marzo</v>
      </c>
      <c r="I1417" s="6" t="str">
        <f t="shared" si="228"/>
        <v>2023-1</v>
      </c>
      <c r="J1417" s="5">
        <v>92</v>
      </c>
      <c r="K1417" s="9">
        <v>100</v>
      </c>
      <c r="L1417" s="8">
        <f t="shared" si="236"/>
        <v>1.0869565217391304</v>
      </c>
      <c r="M1417" s="15">
        <f t="shared" si="235"/>
        <v>1.0869565217391304</v>
      </c>
      <c r="N1417" s="5" t="s">
        <v>347</v>
      </c>
      <c r="O1417" s="5" t="s">
        <v>347</v>
      </c>
      <c r="P1417" s="16">
        <v>0</v>
      </c>
      <c r="Q1417" s="16">
        <v>0</v>
      </c>
      <c r="R1417" s="5" t="str">
        <f t="shared" si="229"/>
        <v>378-2023-03-31</v>
      </c>
    </row>
    <row r="1418" spans="1:18" x14ac:dyDescent="0.3">
      <c r="A1418" s="26">
        <v>378</v>
      </c>
      <c r="B1418" s="5" t="s">
        <v>265</v>
      </c>
      <c r="C1418" s="5" t="s">
        <v>343</v>
      </c>
      <c r="D1418" s="5" t="s">
        <v>18</v>
      </c>
      <c r="E1418" s="5" t="s">
        <v>9</v>
      </c>
      <c r="F1418" s="6">
        <v>45046</v>
      </c>
      <c r="G1418" s="5">
        <f t="shared" si="233"/>
        <v>2023</v>
      </c>
      <c r="H1418" s="5" t="str">
        <f t="shared" si="234"/>
        <v>Abril</v>
      </c>
      <c r="I1418" s="6" t="str">
        <f t="shared" si="228"/>
        <v>2023-1</v>
      </c>
      <c r="J1418" s="5">
        <v>92</v>
      </c>
      <c r="K1418" s="9">
        <v>90.5</v>
      </c>
      <c r="L1418" s="8">
        <f t="shared" si="236"/>
        <v>0.98369565217391308</v>
      </c>
      <c r="M1418" s="15">
        <f t="shared" si="235"/>
        <v>0.98369565217391308</v>
      </c>
      <c r="N1418" s="5" t="s">
        <v>347</v>
      </c>
      <c r="O1418" s="5" t="s">
        <v>347</v>
      </c>
      <c r="P1418" s="16">
        <v>1</v>
      </c>
      <c r="Q1418" s="16">
        <v>1</v>
      </c>
      <c r="R1418" s="5" t="str">
        <f t="shared" si="229"/>
        <v>378-2023-04-30</v>
      </c>
    </row>
    <row r="1419" spans="1:18" x14ac:dyDescent="0.3">
      <c r="A1419" s="26">
        <v>378</v>
      </c>
      <c r="B1419" s="5" t="s">
        <v>265</v>
      </c>
      <c r="C1419" s="5" t="s">
        <v>343</v>
      </c>
      <c r="D1419" s="5" t="s">
        <v>18</v>
      </c>
      <c r="E1419" s="5" t="s">
        <v>9</v>
      </c>
      <c r="F1419" s="6">
        <v>45077</v>
      </c>
      <c r="G1419" s="5">
        <f t="shared" si="233"/>
        <v>2023</v>
      </c>
      <c r="H1419" s="5" t="str">
        <f t="shared" si="234"/>
        <v>Mayo</v>
      </c>
      <c r="I1419" s="6" t="str">
        <f t="shared" si="228"/>
        <v>2023-1</v>
      </c>
      <c r="J1419" s="5">
        <v>92</v>
      </c>
      <c r="K1419" s="9">
        <v>83.5</v>
      </c>
      <c r="L1419" s="8">
        <f t="shared" si="236"/>
        <v>0.90760869565217395</v>
      </c>
      <c r="M1419" s="15">
        <f t="shared" si="235"/>
        <v>0.90760869565217395</v>
      </c>
      <c r="N1419" s="5" t="s">
        <v>347</v>
      </c>
      <c r="O1419" s="5" t="s">
        <v>347</v>
      </c>
      <c r="P1419" s="16">
        <v>1</v>
      </c>
      <c r="Q1419" s="16">
        <v>1</v>
      </c>
      <c r="R1419" s="5" t="str">
        <f t="shared" si="229"/>
        <v>378-2023-05-31</v>
      </c>
    </row>
    <row r="1420" spans="1:18" x14ac:dyDescent="0.3">
      <c r="A1420" s="26">
        <v>378</v>
      </c>
      <c r="B1420" s="5" t="s">
        <v>265</v>
      </c>
      <c r="C1420" s="5" t="s">
        <v>343</v>
      </c>
      <c r="D1420" s="5" t="s">
        <v>18</v>
      </c>
      <c r="E1420" s="5" t="s">
        <v>9</v>
      </c>
      <c r="F1420" s="6">
        <v>45107</v>
      </c>
      <c r="G1420" s="5">
        <f t="shared" si="233"/>
        <v>2023</v>
      </c>
      <c r="H1420" s="5" t="str">
        <f t="shared" si="234"/>
        <v>Junio</v>
      </c>
      <c r="I1420" s="6" t="str">
        <f t="shared" si="228"/>
        <v>2023-1</v>
      </c>
      <c r="J1420" s="5">
        <v>92</v>
      </c>
      <c r="K1420" s="9">
        <v>89</v>
      </c>
      <c r="L1420" s="8">
        <f t="shared" si="236"/>
        <v>0.96739130434782605</v>
      </c>
      <c r="M1420" s="15">
        <f t="shared" si="235"/>
        <v>0.96739130434782605</v>
      </c>
      <c r="N1420" s="5" t="s">
        <v>347</v>
      </c>
      <c r="O1420" s="5" t="s">
        <v>347</v>
      </c>
      <c r="P1420" s="16">
        <v>0</v>
      </c>
      <c r="Q1420" s="16">
        <v>0</v>
      </c>
      <c r="R1420" s="5" t="str">
        <f t="shared" si="229"/>
        <v>378-2023-06-30</v>
      </c>
    </row>
    <row r="1421" spans="1:18" x14ac:dyDescent="0.3">
      <c r="A1421" s="26">
        <v>378</v>
      </c>
      <c r="B1421" s="5" t="s">
        <v>265</v>
      </c>
      <c r="C1421" s="5" t="s">
        <v>343</v>
      </c>
      <c r="D1421" s="5" t="s">
        <v>18</v>
      </c>
      <c r="E1421" s="5" t="s">
        <v>9</v>
      </c>
      <c r="F1421" s="6">
        <v>45138</v>
      </c>
      <c r="G1421" s="5">
        <f t="shared" si="233"/>
        <v>2023</v>
      </c>
      <c r="H1421" s="5" t="str">
        <f t="shared" si="234"/>
        <v>Julio</v>
      </c>
      <c r="I1421" s="6" t="str">
        <f t="shared" si="228"/>
        <v>2023-2</v>
      </c>
      <c r="J1421" s="5">
        <v>92</v>
      </c>
      <c r="K1421" s="9">
        <v>94</v>
      </c>
      <c r="L1421" s="8">
        <f t="shared" si="236"/>
        <v>1.0217391304347827</v>
      </c>
      <c r="M1421" s="15">
        <f t="shared" si="235"/>
        <v>1.0217391304347827</v>
      </c>
      <c r="N1421" s="5" t="s">
        <v>347</v>
      </c>
      <c r="O1421" s="5" t="s">
        <v>347</v>
      </c>
      <c r="P1421" s="16">
        <v>0</v>
      </c>
      <c r="Q1421" s="16">
        <v>0</v>
      </c>
      <c r="R1421" s="5" t="str">
        <f t="shared" si="229"/>
        <v>378-2023-07-31</v>
      </c>
    </row>
    <row r="1422" spans="1:18" x14ac:dyDescent="0.3">
      <c r="A1422" s="26">
        <v>378</v>
      </c>
      <c r="B1422" s="5" t="s">
        <v>265</v>
      </c>
      <c r="C1422" s="5" t="s">
        <v>343</v>
      </c>
      <c r="D1422" s="5" t="s">
        <v>18</v>
      </c>
      <c r="E1422" s="5" t="s">
        <v>9</v>
      </c>
      <c r="F1422" s="6">
        <v>45169</v>
      </c>
      <c r="G1422" s="5">
        <f t="shared" si="233"/>
        <v>2023</v>
      </c>
      <c r="H1422" s="5" t="str">
        <f t="shared" si="234"/>
        <v>Agosto</v>
      </c>
      <c r="I1422" s="6" t="str">
        <f t="shared" si="228"/>
        <v>2023-2</v>
      </c>
      <c r="J1422" s="5">
        <v>92</v>
      </c>
      <c r="K1422" s="9">
        <v>97.5</v>
      </c>
      <c r="L1422" s="8">
        <f t="shared" si="236"/>
        <v>1.0597826086956521</v>
      </c>
      <c r="M1422" s="15">
        <f t="shared" si="235"/>
        <v>1.0597826086956521</v>
      </c>
      <c r="N1422" s="5" t="s">
        <v>347</v>
      </c>
      <c r="O1422" s="5" t="s">
        <v>347</v>
      </c>
      <c r="P1422" s="16">
        <v>1</v>
      </c>
      <c r="Q1422" s="16">
        <v>1</v>
      </c>
      <c r="R1422" s="5" t="str">
        <f t="shared" si="229"/>
        <v>378-2023-08-31</v>
      </c>
    </row>
    <row r="1423" spans="1:18" x14ac:dyDescent="0.3">
      <c r="A1423" s="26">
        <v>378</v>
      </c>
      <c r="B1423" s="5" t="s">
        <v>265</v>
      </c>
      <c r="C1423" s="5" t="s">
        <v>343</v>
      </c>
      <c r="D1423" s="5" t="s">
        <v>18</v>
      </c>
      <c r="E1423" s="5" t="s">
        <v>9</v>
      </c>
      <c r="F1423" s="6">
        <v>45199</v>
      </c>
      <c r="G1423" s="5">
        <f t="shared" si="233"/>
        <v>2023</v>
      </c>
      <c r="H1423" s="5" t="str">
        <f t="shared" si="234"/>
        <v>Septiembre</v>
      </c>
      <c r="I1423" s="6" t="str">
        <f t="shared" si="228"/>
        <v>2023-2</v>
      </c>
      <c r="J1423" s="5">
        <v>92</v>
      </c>
      <c r="K1423" s="9">
        <v>99</v>
      </c>
      <c r="L1423" s="8">
        <f t="shared" si="236"/>
        <v>1.076086956521739</v>
      </c>
      <c r="M1423" s="15">
        <f t="shared" si="235"/>
        <v>1.076086956521739</v>
      </c>
      <c r="N1423" s="5" t="s">
        <v>347</v>
      </c>
      <c r="O1423" s="5" t="s">
        <v>347</v>
      </c>
      <c r="P1423" s="16">
        <v>0</v>
      </c>
      <c r="Q1423" s="16">
        <v>0</v>
      </c>
      <c r="R1423" s="5" t="str">
        <f t="shared" si="229"/>
        <v>378-2023-09-30</v>
      </c>
    </row>
    <row r="1424" spans="1:18" x14ac:dyDescent="0.3">
      <c r="A1424" s="39">
        <v>378</v>
      </c>
      <c r="B1424" s="5" t="s">
        <v>265</v>
      </c>
      <c r="C1424" s="5" t="s">
        <v>343</v>
      </c>
      <c r="D1424" s="5" t="s">
        <v>18</v>
      </c>
      <c r="E1424" s="5" t="s">
        <v>9</v>
      </c>
      <c r="F1424" s="6">
        <v>45230</v>
      </c>
      <c r="G1424" s="5">
        <f t="shared" si="233"/>
        <v>2023</v>
      </c>
      <c r="H1424" s="5" t="str">
        <f t="shared" si="234"/>
        <v>Octubre</v>
      </c>
      <c r="I1424" s="6" t="str">
        <f t="shared" si="228"/>
        <v>2023-2</v>
      </c>
      <c r="J1424" s="5">
        <v>92</v>
      </c>
      <c r="K1424" s="9">
        <v>96</v>
      </c>
      <c r="L1424" s="8">
        <f t="shared" si="236"/>
        <v>1.0434782608695652</v>
      </c>
      <c r="M1424" s="15">
        <f t="shared" si="235"/>
        <v>1.0434782608695652</v>
      </c>
      <c r="N1424" s="5" t="s">
        <v>347</v>
      </c>
      <c r="O1424" s="5" t="s">
        <v>347</v>
      </c>
      <c r="P1424" s="16">
        <v>0</v>
      </c>
      <c r="Q1424" s="16">
        <v>0</v>
      </c>
      <c r="R1424" s="5" t="str">
        <f t="shared" si="229"/>
        <v>378-2023-10-31</v>
      </c>
    </row>
    <row r="1425" spans="1:18" x14ac:dyDescent="0.3">
      <c r="A1425" s="39">
        <v>378</v>
      </c>
      <c r="B1425" s="5" t="s">
        <v>265</v>
      </c>
      <c r="C1425" s="5" t="s">
        <v>343</v>
      </c>
      <c r="D1425" s="5" t="s">
        <v>18</v>
      </c>
      <c r="E1425" s="5" t="s">
        <v>9</v>
      </c>
      <c r="F1425" s="6">
        <v>45260</v>
      </c>
      <c r="G1425" s="5">
        <f t="shared" si="233"/>
        <v>2023</v>
      </c>
      <c r="H1425" s="5" t="str">
        <f t="shared" si="234"/>
        <v>Noviembre</v>
      </c>
      <c r="I1425" s="6" t="str">
        <f t="shared" si="228"/>
        <v>2023-2</v>
      </c>
      <c r="J1425" s="5">
        <v>92</v>
      </c>
      <c r="K1425" s="9">
        <v>96.91</v>
      </c>
      <c r="L1425" s="8">
        <f t="shared" si="236"/>
        <v>1.0533695652173913</v>
      </c>
      <c r="M1425" s="15">
        <f t="shared" si="235"/>
        <v>1.0533695652173913</v>
      </c>
      <c r="N1425" s="5" t="s">
        <v>347</v>
      </c>
      <c r="O1425" s="5" t="s">
        <v>347</v>
      </c>
      <c r="P1425" s="16">
        <v>0</v>
      </c>
      <c r="Q1425" s="16">
        <v>0</v>
      </c>
      <c r="R1425" s="5" t="str">
        <f t="shared" si="229"/>
        <v>378-2023-11-30</v>
      </c>
    </row>
    <row r="1426" spans="1:18" x14ac:dyDescent="0.3">
      <c r="A1426" s="39">
        <v>378</v>
      </c>
      <c r="B1426" s="5" t="s">
        <v>265</v>
      </c>
      <c r="C1426" s="5" t="s">
        <v>343</v>
      </c>
      <c r="D1426" s="5" t="s">
        <v>18</v>
      </c>
      <c r="E1426" s="5" t="s">
        <v>9</v>
      </c>
      <c r="F1426" s="6">
        <v>45291</v>
      </c>
      <c r="G1426" s="5">
        <f t="shared" si="233"/>
        <v>2023</v>
      </c>
      <c r="H1426" s="5" t="str">
        <f t="shared" si="234"/>
        <v>Diciembre</v>
      </c>
      <c r="I1426" s="6" t="str">
        <f t="shared" si="228"/>
        <v>2023-2</v>
      </c>
      <c r="J1426" s="5">
        <v>92</v>
      </c>
      <c r="K1426" s="9">
        <v>100.52</v>
      </c>
      <c r="L1426" s="8">
        <f t="shared" si="236"/>
        <v>1.0926086956521739</v>
      </c>
      <c r="M1426" s="15">
        <f t="shared" si="235"/>
        <v>1.0926086956521739</v>
      </c>
      <c r="N1426" s="5" t="s">
        <v>347</v>
      </c>
      <c r="O1426" s="5" t="s">
        <v>347</v>
      </c>
      <c r="P1426" s="16">
        <v>0</v>
      </c>
      <c r="Q1426" s="16">
        <v>0</v>
      </c>
      <c r="R1426" s="5" t="str">
        <f t="shared" si="229"/>
        <v>378-2023-12-31</v>
      </c>
    </row>
    <row r="1427" spans="1:18" x14ac:dyDescent="0.3">
      <c r="A1427" s="26">
        <v>378</v>
      </c>
      <c r="B1427" s="5" t="s">
        <v>265</v>
      </c>
      <c r="C1427" s="5" t="s">
        <v>17</v>
      </c>
      <c r="D1427" s="5" t="s">
        <v>18</v>
      </c>
      <c r="E1427" s="5" t="s">
        <v>9</v>
      </c>
      <c r="F1427" s="6">
        <v>45322</v>
      </c>
      <c r="G1427" s="5">
        <f t="shared" si="233"/>
        <v>2024</v>
      </c>
      <c r="H1427" s="5" t="str">
        <f t="shared" si="234"/>
        <v>Enero</v>
      </c>
      <c r="I1427" s="6" t="str">
        <f t="shared" si="228"/>
        <v>2024-1</v>
      </c>
      <c r="J1427" s="5">
        <v>92</v>
      </c>
      <c r="K1427" s="10">
        <v>0</v>
      </c>
      <c r="L1427" s="15">
        <f>IFERROR(IF((K1427/J1427)&gt;1.3,1.3,K1427/J1427),"")</f>
        <v>0</v>
      </c>
      <c r="M1427" s="15">
        <f t="shared" si="235"/>
        <v>0</v>
      </c>
      <c r="N1427" s="5" t="s">
        <v>347</v>
      </c>
      <c r="O1427" s="5" t="s">
        <v>347</v>
      </c>
      <c r="P1427" s="16">
        <v>0</v>
      </c>
      <c r="Q1427" s="16">
        <v>0</v>
      </c>
      <c r="R1427" s="5" t="str">
        <f t="shared" si="229"/>
        <v>378-2024-01-31</v>
      </c>
    </row>
    <row r="1428" spans="1:18" x14ac:dyDescent="0.3">
      <c r="A1428" s="26">
        <v>378</v>
      </c>
      <c r="B1428" s="5" t="s">
        <v>265</v>
      </c>
      <c r="C1428" s="5" t="s">
        <v>17</v>
      </c>
      <c r="D1428" s="5" t="s">
        <v>18</v>
      </c>
      <c r="E1428" s="5" t="s">
        <v>9</v>
      </c>
      <c r="F1428" s="6">
        <v>45351</v>
      </c>
      <c r="G1428" s="5">
        <f t="shared" si="233"/>
        <v>2024</v>
      </c>
      <c r="H1428" s="5" t="str">
        <f t="shared" si="234"/>
        <v>Febrero</v>
      </c>
      <c r="I1428" s="6" t="str">
        <f t="shared" si="228"/>
        <v>2024-1</v>
      </c>
      <c r="J1428" s="5">
        <v>92</v>
      </c>
      <c r="K1428" s="10">
        <v>0</v>
      </c>
      <c r="L1428" s="15">
        <f>IFERROR(IF((K1428/J1428)&gt;1.3,1.3,K1428/J1428),"")</f>
        <v>0</v>
      </c>
      <c r="M1428" s="15">
        <f t="shared" si="235"/>
        <v>0</v>
      </c>
      <c r="N1428" s="5" t="s">
        <v>347</v>
      </c>
      <c r="O1428" s="5" t="s">
        <v>347</v>
      </c>
      <c r="P1428" s="16">
        <v>0</v>
      </c>
      <c r="Q1428" s="16">
        <v>0</v>
      </c>
      <c r="R1428" s="5" t="str">
        <f t="shared" si="229"/>
        <v>378-2024-02-29</v>
      </c>
    </row>
    <row r="1429" spans="1:18" x14ac:dyDescent="0.3">
      <c r="A1429" s="26">
        <v>378</v>
      </c>
      <c r="B1429" s="5" t="s">
        <v>265</v>
      </c>
      <c r="C1429" s="5" t="s">
        <v>17</v>
      </c>
      <c r="D1429" s="5" t="s">
        <v>18</v>
      </c>
      <c r="E1429" s="5" t="s">
        <v>9</v>
      </c>
      <c r="F1429" s="6">
        <v>45382</v>
      </c>
      <c r="G1429" s="5">
        <f t="shared" si="233"/>
        <v>2024</v>
      </c>
      <c r="H1429" s="5" t="str">
        <f t="shared" si="234"/>
        <v>Marzo</v>
      </c>
      <c r="I1429" s="6" t="str">
        <f t="shared" si="228"/>
        <v>2024-1</v>
      </c>
      <c r="J1429" s="5">
        <v>92</v>
      </c>
      <c r="K1429" s="10">
        <v>0</v>
      </c>
      <c r="L1429" s="15">
        <f>IFERROR(IF((K1429/J1429)&gt;1.3,1.3,K1429/J1429),"")</f>
        <v>0</v>
      </c>
      <c r="M1429" s="15">
        <f t="shared" si="235"/>
        <v>0</v>
      </c>
      <c r="N1429" s="5" t="s">
        <v>347</v>
      </c>
      <c r="O1429" s="5" t="s">
        <v>347</v>
      </c>
      <c r="P1429" s="16">
        <v>0</v>
      </c>
      <c r="Q1429" s="16">
        <v>0</v>
      </c>
      <c r="R1429" s="5" t="str">
        <f t="shared" si="229"/>
        <v>378-2024-03-31</v>
      </c>
    </row>
    <row r="1430" spans="1:18" x14ac:dyDescent="0.3">
      <c r="A1430" s="26">
        <v>378</v>
      </c>
      <c r="B1430" s="5" t="s">
        <v>265</v>
      </c>
      <c r="C1430" s="5" t="s">
        <v>17</v>
      </c>
      <c r="D1430" s="5" t="s">
        <v>18</v>
      </c>
      <c r="E1430" s="5" t="s">
        <v>9</v>
      </c>
      <c r="F1430" s="6">
        <v>45412</v>
      </c>
      <c r="G1430" s="5">
        <f t="shared" si="233"/>
        <v>2024</v>
      </c>
      <c r="H1430" s="5" t="str">
        <f t="shared" si="234"/>
        <v>Abril</v>
      </c>
      <c r="I1430" s="6" t="str">
        <f t="shared" si="228"/>
        <v>2024-1</v>
      </c>
      <c r="J1430" s="5">
        <v>92</v>
      </c>
      <c r="K1430" s="10">
        <v>0</v>
      </c>
      <c r="L1430" s="15">
        <f>IFERROR(IF((K1430/J1430)&gt;1.3,1.3,K1430/J1430),"")</f>
        <v>0</v>
      </c>
      <c r="M1430" s="15">
        <f t="shared" si="235"/>
        <v>0</v>
      </c>
      <c r="N1430" s="5" t="s">
        <v>347</v>
      </c>
      <c r="O1430" s="5" t="s">
        <v>347</v>
      </c>
      <c r="P1430" s="16">
        <v>0</v>
      </c>
      <c r="Q1430" s="16">
        <v>0</v>
      </c>
      <c r="R1430" s="5" t="str">
        <f t="shared" si="229"/>
        <v>378-2024-04-30</v>
      </c>
    </row>
    <row r="1431" spans="1:18" x14ac:dyDescent="0.3">
      <c r="A1431" s="26">
        <v>378</v>
      </c>
      <c r="B1431" s="5" t="s">
        <v>265</v>
      </c>
      <c r="C1431" s="5" t="s">
        <v>17</v>
      </c>
      <c r="D1431" s="5" t="s">
        <v>18</v>
      </c>
      <c r="E1431" s="5" t="s">
        <v>9</v>
      </c>
      <c r="F1431" s="6">
        <v>45443</v>
      </c>
      <c r="G1431" s="5">
        <f t="shared" si="233"/>
        <v>2024</v>
      </c>
      <c r="H1431" s="5" t="str">
        <f t="shared" si="234"/>
        <v>Mayo</v>
      </c>
      <c r="I1431" s="6" t="str">
        <f t="shared" si="228"/>
        <v>2024-1</v>
      </c>
      <c r="J1431" s="5">
        <v>92</v>
      </c>
      <c r="K1431" s="10">
        <v>98.5</v>
      </c>
      <c r="L1431" s="15">
        <f>IFERROR(IF((K1431/J1431)&gt;1.3,1.3,K1431/J1431),"")</f>
        <v>1.0706521739130435</v>
      </c>
      <c r="M1431" s="15">
        <f t="shared" si="235"/>
        <v>1.0706521739130435</v>
      </c>
      <c r="N1431" s="5" t="s">
        <v>347</v>
      </c>
      <c r="O1431" s="5" t="s">
        <v>347</v>
      </c>
      <c r="P1431" s="16">
        <v>0</v>
      </c>
      <c r="Q1431" s="16">
        <v>0</v>
      </c>
      <c r="R1431" s="5" t="str">
        <f t="shared" si="229"/>
        <v>378-2024-05-31</v>
      </c>
    </row>
    <row r="1432" spans="1:18" x14ac:dyDescent="0.3">
      <c r="A1432" s="5">
        <v>378</v>
      </c>
      <c r="B1432" s="5" t="s">
        <v>265</v>
      </c>
      <c r="C1432" s="5" t="s">
        <v>17</v>
      </c>
      <c r="D1432" s="5" t="s">
        <v>18</v>
      </c>
      <c r="E1432" s="5" t="s">
        <v>9</v>
      </c>
      <c r="F1432" s="6">
        <v>45473</v>
      </c>
      <c r="G1432" s="5">
        <f t="shared" si="233"/>
        <v>2024</v>
      </c>
      <c r="H1432" s="5" t="str">
        <f t="shared" si="234"/>
        <v>Junio</v>
      </c>
      <c r="I1432" s="6" t="str">
        <f t="shared" si="228"/>
        <v>2024-1</v>
      </c>
      <c r="J1432" s="5">
        <v>92</v>
      </c>
      <c r="K1432" s="5">
        <v>98.5</v>
      </c>
      <c r="L1432" s="15">
        <v>1.0706521739130435</v>
      </c>
      <c r="M1432" s="15">
        <v>1.0706521739130435</v>
      </c>
      <c r="N1432" s="5" t="s">
        <v>347</v>
      </c>
      <c r="O1432" s="5" t="s">
        <v>347</v>
      </c>
      <c r="P1432" s="5">
        <v>0</v>
      </c>
      <c r="Q1432" s="5">
        <v>0</v>
      </c>
      <c r="R1432" s="5" t="str">
        <f t="shared" si="229"/>
        <v>378-2024-06-30</v>
      </c>
    </row>
    <row r="1433" spans="1:18" x14ac:dyDescent="0.3">
      <c r="A1433" s="26">
        <v>378</v>
      </c>
      <c r="B1433" s="5" t="s">
        <v>265</v>
      </c>
      <c r="C1433" s="5" t="s">
        <v>17</v>
      </c>
      <c r="D1433" s="5" t="s">
        <v>18</v>
      </c>
      <c r="E1433" s="5" t="s">
        <v>9</v>
      </c>
      <c r="F1433" s="6">
        <v>45504</v>
      </c>
      <c r="G1433" s="5">
        <f t="shared" si="233"/>
        <v>2024</v>
      </c>
      <c r="H1433" s="5" t="str">
        <f t="shared" si="234"/>
        <v>Julio</v>
      </c>
      <c r="I1433" s="6" t="str">
        <f t="shared" si="228"/>
        <v>2024-2</v>
      </c>
      <c r="J1433" s="5">
        <v>92</v>
      </c>
      <c r="K1433" s="10">
        <v>0</v>
      </c>
      <c r="L1433" s="15">
        <f t="shared" ref="L1433:L1438" si="237">IFERROR(IF((K1433/J1433)&gt;1.3,1.3,K1433/J1433),"")</f>
        <v>0</v>
      </c>
      <c r="M1433" s="15">
        <f t="shared" ref="M1433:M1438" si="238">IFERROR(IF((K1433/J1433)&gt;K1433/J1433,1.3,K1433/J1433),"")</f>
        <v>0</v>
      </c>
      <c r="N1433" s="5" t="s">
        <v>347</v>
      </c>
      <c r="O1433" s="5" t="s">
        <v>347</v>
      </c>
      <c r="P1433" s="16">
        <v>0</v>
      </c>
      <c r="Q1433" s="16">
        <v>0</v>
      </c>
      <c r="R1433" s="5" t="str">
        <f t="shared" si="229"/>
        <v>378-2024-07-31</v>
      </c>
    </row>
    <row r="1434" spans="1:18" x14ac:dyDescent="0.3">
      <c r="A1434" s="26">
        <v>378</v>
      </c>
      <c r="B1434" s="5" t="s">
        <v>265</v>
      </c>
      <c r="C1434" s="5" t="s">
        <v>17</v>
      </c>
      <c r="D1434" s="5" t="s">
        <v>18</v>
      </c>
      <c r="E1434" s="5" t="s">
        <v>9</v>
      </c>
      <c r="F1434" s="6">
        <v>45535</v>
      </c>
      <c r="G1434" s="5">
        <f t="shared" si="233"/>
        <v>2024</v>
      </c>
      <c r="H1434" s="5" t="str">
        <f t="shared" si="234"/>
        <v>Agosto</v>
      </c>
      <c r="I1434" s="6" t="str">
        <f t="shared" si="228"/>
        <v>2024-2</v>
      </c>
      <c r="J1434" s="5">
        <v>92</v>
      </c>
      <c r="K1434" s="10">
        <v>0</v>
      </c>
      <c r="L1434" s="15">
        <f t="shared" si="237"/>
        <v>0</v>
      </c>
      <c r="M1434" s="15">
        <f t="shared" si="238"/>
        <v>0</v>
      </c>
      <c r="N1434" s="5" t="s">
        <v>347</v>
      </c>
      <c r="O1434" s="5" t="s">
        <v>347</v>
      </c>
      <c r="P1434" s="16">
        <v>0</v>
      </c>
      <c r="Q1434" s="16">
        <v>0</v>
      </c>
      <c r="R1434" s="5" t="str">
        <f t="shared" si="229"/>
        <v>378-2024-08-31</v>
      </c>
    </row>
    <row r="1435" spans="1:18" x14ac:dyDescent="0.3">
      <c r="A1435" s="26">
        <v>378</v>
      </c>
      <c r="B1435" s="5" t="s">
        <v>265</v>
      </c>
      <c r="C1435" s="5" t="s">
        <v>17</v>
      </c>
      <c r="D1435" s="5" t="s">
        <v>18</v>
      </c>
      <c r="E1435" s="5" t="s">
        <v>9</v>
      </c>
      <c r="F1435" s="6">
        <v>45565</v>
      </c>
      <c r="G1435" s="5">
        <f t="shared" si="233"/>
        <v>2024</v>
      </c>
      <c r="H1435" s="5" t="str">
        <f t="shared" si="234"/>
        <v>Septiembre</v>
      </c>
      <c r="I1435" s="6" t="str">
        <f t="shared" ref="I1435:I1498" si="239">IF(OR(H1435="Enero",H1435="Febrero",H1435="Marzo",H1435="Abril",H1435="Mayo",H1435="Junio"),G1435&amp;"-1",IF(OR(H1435="Julio",H1435="Agosto",H1435="Septiembre",H1435="Octubre",H1435="Noviembre",H1435="Diciembre"),G1435&amp;"-2"))</f>
        <v>2024-2</v>
      </c>
      <c r="J1435" s="5">
        <v>92</v>
      </c>
      <c r="K1435" s="10">
        <v>0</v>
      </c>
      <c r="L1435" s="15">
        <f t="shared" si="237"/>
        <v>0</v>
      </c>
      <c r="M1435" s="15">
        <f t="shared" si="238"/>
        <v>0</v>
      </c>
      <c r="N1435" s="5" t="s">
        <v>347</v>
      </c>
      <c r="O1435" s="5" t="s">
        <v>347</v>
      </c>
      <c r="P1435" s="16">
        <v>0</v>
      </c>
      <c r="Q1435" s="16">
        <v>0</v>
      </c>
      <c r="R1435" s="5" t="str">
        <f t="shared" ref="R1435:R1498" si="240">A1435&amp;"-"&amp;YEAR(F1435)&amp;"-"&amp;IF(LEN(MONTH(F1435))=1,"0"&amp;MONTH(F1435),MONTH(F1435))&amp;"-"&amp;DAY(F1435)</f>
        <v>378-2024-09-30</v>
      </c>
    </row>
    <row r="1436" spans="1:18" x14ac:dyDescent="0.3">
      <c r="A1436" s="26">
        <v>378</v>
      </c>
      <c r="B1436" s="5" t="s">
        <v>265</v>
      </c>
      <c r="C1436" s="5" t="s">
        <v>17</v>
      </c>
      <c r="D1436" s="5" t="s">
        <v>18</v>
      </c>
      <c r="E1436" s="5" t="s">
        <v>9</v>
      </c>
      <c r="F1436" s="6">
        <v>45596</v>
      </c>
      <c r="G1436" s="5">
        <f t="shared" si="233"/>
        <v>2024</v>
      </c>
      <c r="H1436" s="5" t="str">
        <f t="shared" si="234"/>
        <v>Octubre</v>
      </c>
      <c r="I1436" s="6" t="str">
        <f t="shared" si="239"/>
        <v>2024-2</v>
      </c>
      <c r="J1436" s="5">
        <v>92</v>
      </c>
      <c r="K1436" s="10">
        <v>0</v>
      </c>
      <c r="L1436" s="15">
        <f t="shared" si="237"/>
        <v>0</v>
      </c>
      <c r="M1436" s="15">
        <f t="shared" si="238"/>
        <v>0</v>
      </c>
      <c r="N1436" s="5" t="s">
        <v>347</v>
      </c>
      <c r="O1436" s="5" t="s">
        <v>347</v>
      </c>
      <c r="P1436" s="16">
        <v>0</v>
      </c>
      <c r="Q1436" s="16">
        <v>0</v>
      </c>
      <c r="R1436" s="5" t="str">
        <f t="shared" si="240"/>
        <v>378-2024-10-31</v>
      </c>
    </row>
    <row r="1437" spans="1:18" x14ac:dyDescent="0.3">
      <c r="A1437" s="26">
        <v>378</v>
      </c>
      <c r="B1437" s="5" t="s">
        <v>265</v>
      </c>
      <c r="C1437" s="5" t="s">
        <v>17</v>
      </c>
      <c r="D1437" s="5" t="s">
        <v>18</v>
      </c>
      <c r="E1437" s="5" t="s">
        <v>9</v>
      </c>
      <c r="F1437" s="6">
        <v>45626</v>
      </c>
      <c r="G1437" s="5">
        <f t="shared" si="233"/>
        <v>2024</v>
      </c>
      <c r="H1437" s="5" t="str">
        <f t="shared" si="234"/>
        <v>Noviembre</v>
      </c>
      <c r="I1437" s="6" t="str">
        <f t="shared" si="239"/>
        <v>2024-2</v>
      </c>
      <c r="J1437" s="5">
        <v>92</v>
      </c>
      <c r="K1437" s="10">
        <v>0</v>
      </c>
      <c r="L1437" s="15">
        <f t="shared" si="237"/>
        <v>0</v>
      </c>
      <c r="M1437" s="15">
        <f t="shared" si="238"/>
        <v>0</v>
      </c>
      <c r="N1437" s="5" t="s">
        <v>347</v>
      </c>
      <c r="O1437" s="5" t="s">
        <v>347</v>
      </c>
      <c r="P1437" s="16">
        <v>0</v>
      </c>
      <c r="Q1437" s="16">
        <v>0</v>
      </c>
      <c r="R1437" s="5" t="str">
        <f t="shared" si="240"/>
        <v>378-2024-11-30</v>
      </c>
    </row>
    <row r="1438" spans="1:18" x14ac:dyDescent="0.3">
      <c r="A1438" s="26">
        <v>378</v>
      </c>
      <c r="B1438" s="5" t="s">
        <v>265</v>
      </c>
      <c r="C1438" s="5" t="s">
        <v>17</v>
      </c>
      <c r="D1438" s="5" t="s">
        <v>18</v>
      </c>
      <c r="E1438" s="5" t="s">
        <v>9</v>
      </c>
      <c r="F1438" s="6">
        <v>45657</v>
      </c>
      <c r="G1438" s="5">
        <f t="shared" si="233"/>
        <v>2024</v>
      </c>
      <c r="H1438" s="5" t="str">
        <f t="shared" si="234"/>
        <v>Diciembre</v>
      </c>
      <c r="I1438" s="6" t="str">
        <f t="shared" si="239"/>
        <v>2024-2</v>
      </c>
      <c r="J1438" s="5">
        <v>0</v>
      </c>
      <c r="K1438" s="10">
        <v>0</v>
      </c>
      <c r="L1438" s="15" t="str">
        <f t="shared" si="237"/>
        <v/>
      </c>
      <c r="M1438" s="15" t="str">
        <f t="shared" si="238"/>
        <v/>
      </c>
      <c r="N1438" s="5" t="s">
        <v>347</v>
      </c>
      <c r="O1438" s="5" t="s">
        <v>347</v>
      </c>
      <c r="P1438" s="16">
        <v>0</v>
      </c>
      <c r="Q1438" s="16">
        <v>0</v>
      </c>
      <c r="R1438" s="5" t="str">
        <f t="shared" si="240"/>
        <v>378-2024-12-31</v>
      </c>
    </row>
    <row r="1439" spans="1:18" x14ac:dyDescent="0.3">
      <c r="A1439" s="5">
        <v>379</v>
      </c>
      <c r="B1439" s="5" t="s">
        <v>266</v>
      </c>
      <c r="C1439" s="5" t="s">
        <v>267</v>
      </c>
      <c r="D1439" s="5" t="s">
        <v>8</v>
      </c>
      <c r="E1439" s="5" t="s">
        <v>9</v>
      </c>
      <c r="F1439" s="17">
        <v>44742</v>
      </c>
      <c r="G1439" s="5">
        <f t="shared" si="233"/>
        <v>2022</v>
      </c>
      <c r="H1439" s="5" t="str">
        <f t="shared" si="234"/>
        <v>Junio</v>
      </c>
      <c r="I1439" s="6" t="str">
        <f t="shared" si="239"/>
        <v>2022-1</v>
      </c>
      <c r="J1439" s="9">
        <v>10808</v>
      </c>
      <c r="K1439" s="9">
        <v>11013</v>
      </c>
      <c r="L1439" s="15">
        <f t="shared" ref="L1439:L1444" si="241">IFERROR(IF((K1439/J1439)&gt;1.3,1.3,K1439/J1439),"")</f>
        <v>1.0189674315321984</v>
      </c>
      <c r="M1439" s="15">
        <f t="shared" ref="M1439:M1448" si="242">IFERROR(IF((K1439/J1439)&gt;K1439/J1439,1.3,K1439/J1439),"")</f>
        <v>1.0189674315321984</v>
      </c>
      <c r="N1439" s="5" t="s">
        <v>490</v>
      </c>
      <c r="O1439" s="5" t="s">
        <v>490</v>
      </c>
      <c r="P1439" s="5">
        <v>0</v>
      </c>
      <c r="Q1439" s="5">
        <v>0</v>
      </c>
      <c r="R1439" s="5" t="str">
        <f t="shared" si="240"/>
        <v>379-2022-06-30</v>
      </c>
    </row>
    <row r="1440" spans="1:18" x14ac:dyDescent="0.3">
      <c r="A1440" s="5">
        <v>379</v>
      </c>
      <c r="B1440" s="5" t="s">
        <v>266</v>
      </c>
      <c r="C1440" s="5" t="s">
        <v>267</v>
      </c>
      <c r="D1440" s="5" t="s">
        <v>8</v>
      </c>
      <c r="E1440" s="5" t="s">
        <v>9</v>
      </c>
      <c r="F1440" s="17">
        <v>44926</v>
      </c>
      <c r="G1440" s="5">
        <f t="shared" si="233"/>
        <v>2022</v>
      </c>
      <c r="H1440" s="5" t="str">
        <f t="shared" si="234"/>
        <v>Diciembre</v>
      </c>
      <c r="I1440" s="6" t="str">
        <f t="shared" si="239"/>
        <v>2022-2</v>
      </c>
      <c r="J1440" s="9">
        <v>9192</v>
      </c>
      <c r="K1440" s="9">
        <v>9678</v>
      </c>
      <c r="L1440" s="15">
        <f t="shared" si="241"/>
        <v>1.0528720626631853</v>
      </c>
      <c r="M1440" s="15">
        <f t="shared" si="242"/>
        <v>1.0528720626631853</v>
      </c>
      <c r="N1440" s="5" t="s">
        <v>490</v>
      </c>
      <c r="O1440" s="5" t="s">
        <v>490</v>
      </c>
      <c r="P1440" s="5">
        <v>0</v>
      </c>
      <c r="Q1440" s="5">
        <v>0</v>
      </c>
      <c r="R1440" s="5" t="str">
        <f t="shared" si="240"/>
        <v>379-2022-12-31</v>
      </c>
    </row>
    <row r="1441" spans="1:18" x14ac:dyDescent="0.3">
      <c r="A1441" s="43">
        <v>379</v>
      </c>
      <c r="B1441" s="5" t="s">
        <v>266</v>
      </c>
      <c r="C1441" s="5" t="s">
        <v>267</v>
      </c>
      <c r="D1441" s="5" t="s">
        <v>8</v>
      </c>
      <c r="E1441" s="5" t="s">
        <v>9</v>
      </c>
      <c r="F1441" s="6">
        <v>45107</v>
      </c>
      <c r="G1441" s="5">
        <f t="shared" si="233"/>
        <v>2023</v>
      </c>
      <c r="H1441" s="5" t="str">
        <f t="shared" si="234"/>
        <v>Junio</v>
      </c>
      <c r="I1441" s="6" t="str">
        <f t="shared" si="239"/>
        <v>2023-1</v>
      </c>
      <c r="J1441" s="9">
        <v>12130</v>
      </c>
      <c r="K1441" s="9">
        <v>12461</v>
      </c>
      <c r="L1441" s="15">
        <f t="shared" si="241"/>
        <v>1.027287716405606</v>
      </c>
      <c r="M1441" s="15">
        <f t="shared" si="242"/>
        <v>1.027287716405606</v>
      </c>
      <c r="N1441" s="5" t="s">
        <v>490</v>
      </c>
      <c r="O1441" s="5" t="s">
        <v>490</v>
      </c>
      <c r="P1441" s="16">
        <v>0</v>
      </c>
      <c r="Q1441" s="16">
        <v>0</v>
      </c>
      <c r="R1441" s="5" t="str">
        <f t="shared" si="240"/>
        <v>379-2023-06-30</v>
      </c>
    </row>
    <row r="1442" spans="1:18" x14ac:dyDescent="0.3">
      <c r="A1442" s="39">
        <v>379</v>
      </c>
      <c r="B1442" s="5" t="s">
        <v>266</v>
      </c>
      <c r="C1442" s="5" t="s">
        <v>267</v>
      </c>
      <c r="D1442" s="5" t="s">
        <v>8</v>
      </c>
      <c r="E1442" s="5" t="s">
        <v>9</v>
      </c>
      <c r="F1442" s="6">
        <v>45291</v>
      </c>
      <c r="G1442" s="5">
        <f t="shared" si="233"/>
        <v>2023</v>
      </c>
      <c r="H1442" s="5" t="str">
        <f t="shared" si="234"/>
        <v>Diciembre</v>
      </c>
      <c r="I1442" s="6" t="str">
        <f t="shared" si="239"/>
        <v>2023-2</v>
      </c>
      <c r="J1442" s="9">
        <v>9876</v>
      </c>
      <c r="K1442" s="9">
        <v>10730</v>
      </c>
      <c r="L1442" s="15">
        <f t="shared" si="241"/>
        <v>1.0864722559740785</v>
      </c>
      <c r="M1442" s="15">
        <f t="shared" si="242"/>
        <v>1.0864722559740785</v>
      </c>
      <c r="N1442" s="5" t="s">
        <v>490</v>
      </c>
      <c r="O1442" s="5" t="s">
        <v>490</v>
      </c>
      <c r="P1442" s="16">
        <v>0</v>
      </c>
      <c r="Q1442" s="16">
        <v>0</v>
      </c>
      <c r="R1442" s="5" t="str">
        <f t="shared" si="240"/>
        <v>379-2023-12-31</v>
      </c>
    </row>
    <row r="1443" spans="1:18" x14ac:dyDescent="0.3">
      <c r="A1443" s="43">
        <v>379</v>
      </c>
      <c r="B1443" s="5" t="s">
        <v>266</v>
      </c>
      <c r="C1443" s="5" t="s">
        <v>267</v>
      </c>
      <c r="D1443" s="5" t="s">
        <v>8</v>
      </c>
      <c r="E1443" s="5" t="s">
        <v>9</v>
      </c>
      <c r="F1443" s="6">
        <v>45473</v>
      </c>
      <c r="G1443" s="5">
        <f t="shared" si="233"/>
        <v>2024</v>
      </c>
      <c r="H1443" s="5" t="str">
        <f t="shared" si="234"/>
        <v>Junio</v>
      </c>
      <c r="I1443" s="6" t="str">
        <f t="shared" si="239"/>
        <v>2024-1</v>
      </c>
      <c r="J1443" s="9">
        <v>13590</v>
      </c>
      <c r="K1443" s="9">
        <v>12987</v>
      </c>
      <c r="L1443" s="15">
        <f t="shared" si="241"/>
        <v>0.95562913907284763</v>
      </c>
      <c r="M1443" s="15">
        <f t="shared" si="242"/>
        <v>0.95562913907284763</v>
      </c>
      <c r="N1443" s="5" t="s">
        <v>490</v>
      </c>
      <c r="O1443" s="5" t="s">
        <v>490</v>
      </c>
      <c r="P1443" s="16">
        <v>0</v>
      </c>
      <c r="Q1443" s="16">
        <v>0</v>
      </c>
      <c r="R1443" s="5" t="str">
        <f t="shared" si="240"/>
        <v>379-2024-06-30</v>
      </c>
    </row>
    <row r="1444" spans="1:18" x14ac:dyDescent="0.3">
      <c r="A1444" s="26">
        <v>379</v>
      </c>
      <c r="B1444" s="5" t="s">
        <v>266</v>
      </c>
      <c r="C1444" s="5" t="s">
        <v>267</v>
      </c>
      <c r="D1444" s="5" t="s">
        <v>8</v>
      </c>
      <c r="E1444" s="5" t="s">
        <v>9</v>
      </c>
      <c r="F1444" s="6">
        <v>45657</v>
      </c>
      <c r="G1444" s="5">
        <f t="shared" si="233"/>
        <v>2024</v>
      </c>
      <c r="H1444" s="5" t="str">
        <f t="shared" si="234"/>
        <v>Diciembre</v>
      </c>
      <c r="I1444" s="6" t="str">
        <f t="shared" si="239"/>
        <v>2024-2</v>
      </c>
      <c r="J1444" s="9">
        <v>10675</v>
      </c>
      <c r="K1444" s="9">
        <v>10569</v>
      </c>
      <c r="L1444" s="15">
        <f t="shared" si="241"/>
        <v>0.99007025761124123</v>
      </c>
      <c r="M1444" s="15">
        <f t="shared" si="242"/>
        <v>0.99007025761124123</v>
      </c>
      <c r="N1444" s="5" t="s">
        <v>490</v>
      </c>
      <c r="O1444" s="5" t="s">
        <v>490</v>
      </c>
      <c r="P1444" s="16">
        <v>0</v>
      </c>
      <c r="Q1444" s="16">
        <v>0</v>
      </c>
      <c r="R1444" s="5" t="str">
        <f t="shared" si="240"/>
        <v>379-2024-12-31</v>
      </c>
    </row>
    <row r="1445" spans="1:18" x14ac:dyDescent="0.3">
      <c r="A1445" s="26">
        <v>380</v>
      </c>
      <c r="B1445" s="5" t="s">
        <v>268</v>
      </c>
      <c r="C1445" s="5" t="s">
        <v>267</v>
      </c>
      <c r="D1445" s="5" t="s">
        <v>8</v>
      </c>
      <c r="E1445" s="5" t="s">
        <v>9</v>
      </c>
      <c r="F1445" s="17">
        <v>45107</v>
      </c>
      <c r="G1445" s="5">
        <f t="shared" si="233"/>
        <v>2023</v>
      </c>
      <c r="H1445" s="5" t="str">
        <f t="shared" si="234"/>
        <v>Junio</v>
      </c>
      <c r="I1445" s="6" t="str">
        <f t="shared" si="239"/>
        <v>2023-1</v>
      </c>
      <c r="J1445" s="12">
        <f>24659314309/1000000</f>
        <v>24659.314309000001</v>
      </c>
      <c r="K1445" s="9">
        <f>25754085546/1000000</f>
        <v>25754.085545999998</v>
      </c>
      <c r="L1445" s="15">
        <f>IFERROR(K1445/J1445,"")</f>
        <v>1.0443958507232471</v>
      </c>
      <c r="M1445" s="15">
        <f t="shared" si="242"/>
        <v>1.0443958507232471</v>
      </c>
      <c r="N1445" s="5" t="s">
        <v>474</v>
      </c>
      <c r="O1445" s="5" t="s">
        <v>474</v>
      </c>
      <c r="P1445" s="16">
        <v>0</v>
      </c>
      <c r="Q1445" s="16">
        <v>0</v>
      </c>
      <c r="R1445" s="5" t="str">
        <f t="shared" si="240"/>
        <v>380-2023-06-30</v>
      </c>
    </row>
    <row r="1446" spans="1:18" x14ac:dyDescent="0.3">
      <c r="A1446" s="39">
        <v>380</v>
      </c>
      <c r="B1446" s="5" t="s">
        <v>268</v>
      </c>
      <c r="C1446" s="5" t="s">
        <v>267</v>
      </c>
      <c r="D1446" s="5" t="s">
        <v>8</v>
      </c>
      <c r="E1446" s="5" t="s">
        <v>9</v>
      </c>
      <c r="F1446" s="6">
        <v>45291</v>
      </c>
      <c r="G1446" s="5">
        <f t="shared" si="233"/>
        <v>2023</v>
      </c>
      <c r="H1446" s="5" t="str">
        <f t="shared" si="234"/>
        <v>Diciembre</v>
      </c>
      <c r="I1446" s="6" t="str">
        <f t="shared" si="239"/>
        <v>2023-2</v>
      </c>
      <c r="J1446" s="12">
        <f>24724802794/1000000</f>
        <v>24724.802793999999</v>
      </c>
      <c r="K1446" s="9">
        <f>25340546506/1000000</f>
        <v>25340.546505999999</v>
      </c>
      <c r="L1446" s="15">
        <f>IFERROR(K1446/J1446,"")</f>
        <v>1.0249038876924601</v>
      </c>
      <c r="M1446" s="15">
        <f t="shared" si="242"/>
        <v>1.0249038876924601</v>
      </c>
      <c r="N1446" s="5" t="s">
        <v>474</v>
      </c>
      <c r="O1446" s="5" t="s">
        <v>474</v>
      </c>
      <c r="P1446" s="16">
        <v>0</v>
      </c>
      <c r="Q1446" s="16">
        <v>0</v>
      </c>
      <c r="R1446" s="5" t="str">
        <f t="shared" si="240"/>
        <v>380-2023-12-31</v>
      </c>
    </row>
    <row r="1447" spans="1:18" x14ac:dyDescent="0.3">
      <c r="A1447" s="39">
        <v>380</v>
      </c>
      <c r="B1447" s="5" t="s">
        <v>268</v>
      </c>
      <c r="C1447" s="5" t="s">
        <v>267</v>
      </c>
      <c r="D1447" s="5" t="s">
        <v>8</v>
      </c>
      <c r="E1447" s="5" t="s">
        <v>9</v>
      </c>
      <c r="F1447" s="6">
        <v>45473</v>
      </c>
      <c r="G1447" s="5">
        <f t="shared" si="233"/>
        <v>2024</v>
      </c>
      <c r="H1447" s="5" t="str">
        <f t="shared" si="234"/>
        <v>Junio</v>
      </c>
      <c r="I1447" s="6" t="str">
        <f t="shared" si="239"/>
        <v>2024-1</v>
      </c>
      <c r="J1447" s="12">
        <f>29596269870/1000000</f>
        <v>29596.26987</v>
      </c>
      <c r="K1447" s="9">
        <f>28449632913/1000000</f>
        <v>28449.632913000001</v>
      </c>
      <c r="L1447" s="15">
        <f>IFERROR(K1447/J1447,"")</f>
        <v>0.96125738270273453</v>
      </c>
      <c r="M1447" s="15">
        <f t="shared" si="242"/>
        <v>0.96125738270273453</v>
      </c>
      <c r="N1447" s="5" t="s">
        <v>474</v>
      </c>
      <c r="O1447" s="5" t="s">
        <v>474</v>
      </c>
      <c r="P1447" s="16">
        <v>0</v>
      </c>
      <c r="Q1447" s="16">
        <v>0</v>
      </c>
      <c r="R1447" s="5" t="str">
        <f t="shared" si="240"/>
        <v>380-2024-06-30</v>
      </c>
    </row>
    <row r="1448" spans="1:18" x14ac:dyDescent="0.3">
      <c r="A1448" s="26">
        <v>380</v>
      </c>
      <c r="B1448" s="5" t="s">
        <v>268</v>
      </c>
      <c r="C1448" s="5" t="s">
        <v>267</v>
      </c>
      <c r="D1448" s="5" t="s">
        <v>8</v>
      </c>
      <c r="E1448" s="5" t="s">
        <v>9</v>
      </c>
      <c r="F1448" s="6">
        <v>45657</v>
      </c>
      <c r="G1448" s="5">
        <f t="shared" si="233"/>
        <v>2024</v>
      </c>
      <c r="H1448" s="5" t="str">
        <f t="shared" si="234"/>
        <v>Diciembre</v>
      </c>
      <c r="I1448" s="6" t="str">
        <f t="shared" si="239"/>
        <v>2024-2</v>
      </c>
      <c r="J1448" s="5">
        <v>100</v>
      </c>
      <c r="K1448" s="10">
        <v>78.92</v>
      </c>
      <c r="L1448" s="15">
        <f>IFERROR(IF((K1448/J1448)&gt;1.3,1.3,K1448/J1448),"")</f>
        <v>0.78920000000000001</v>
      </c>
      <c r="M1448" s="15">
        <f t="shared" si="242"/>
        <v>0.78920000000000001</v>
      </c>
      <c r="N1448" s="5" t="s">
        <v>474</v>
      </c>
      <c r="O1448" s="5" t="s">
        <v>474</v>
      </c>
      <c r="P1448" s="16">
        <v>0</v>
      </c>
      <c r="Q1448" s="16">
        <v>0</v>
      </c>
      <c r="R1448" s="5" t="str">
        <f t="shared" si="240"/>
        <v>380-2024-12-31</v>
      </c>
    </row>
    <row r="1449" spans="1:18" x14ac:dyDescent="0.3">
      <c r="A1449" s="39">
        <v>381</v>
      </c>
      <c r="B1449" s="5" t="s">
        <v>269</v>
      </c>
      <c r="C1449" s="5" t="s">
        <v>267</v>
      </c>
      <c r="D1449" s="5" t="s">
        <v>8</v>
      </c>
      <c r="E1449" s="5" t="s">
        <v>9</v>
      </c>
      <c r="F1449" s="6">
        <v>44742</v>
      </c>
      <c r="G1449" s="5">
        <f t="shared" si="233"/>
        <v>2022</v>
      </c>
      <c r="H1449" s="5" t="str">
        <f t="shared" si="234"/>
        <v>Junio</v>
      </c>
      <c r="I1449" s="6" t="str">
        <f t="shared" si="239"/>
        <v>2022-1</v>
      </c>
      <c r="J1449" s="5">
        <v>1424</v>
      </c>
      <c r="K1449" s="9">
        <v>1366</v>
      </c>
      <c r="L1449" s="8">
        <f>IFERROR(K1449/J1449,"")</f>
        <v>0.9592696629213483</v>
      </c>
      <c r="M1449" s="15">
        <f t="shared" ref="M1449:M1454" si="243">IFERROR(IF((K1449/J1449)&gt;K1449/J1449,1.3,K1449/J1449),"")</f>
        <v>0.9592696629213483</v>
      </c>
      <c r="N1449" s="5" t="s">
        <v>490</v>
      </c>
      <c r="O1449" s="5" t="s">
        <v>490</v>
      </c>
      <c r="P1449" s="5">
        <v>0</v>
      </c>
      <c r="Q1449" s="5">
        <v>0</v>
      </c>
      <c r="R1449" s="5" t="str">
        <f t="shared" si="240"/>
        <v>381-2022-06-30</v>
      </c>
    </row>
    <row r="1450" spans="1:18" x14ac:dyDescent="0.3">
      <c r="A1450" s="39">
        <v>381</v>
      </c>
      <c r="B1450" s="5" t="s">
        <v>269</v>
      </c>
      <c r="C1450" s="5" t="s">
        <v>267</v>
      </c>
      <c r="D1450" s="5" t="s">
        <v>8</v>
      </c>
      <c r="E1450" s="5" t="s">
        <v>9</v>
      </c>
      <c r="F1450" s="6">
        <v>44926</v>
      </c>
      <c r="G1450" s="5">
        <f t="shared" si="233"/>
        <v>2022</v>
      </c>
      <c r="H1450" s="5" t="str">
        <f t="shared" si="234"/>
        <v>Diciembre</v>
      </c>
      <c r="I1450" s="6" t="str">
        <f t="shared" si="239"/>
        <v>2022-2</v>
      </c>
      <c r="J1450" s="5">
        <v>988</v>
      </c>
      <c r="K1450" s="9">
        <v>1086</v>
      </c>
      <c r="L1450" s="8">
        <f>IFERROR(K1450/J1450,"")</f>
        <v>1.0991902834008098</v>
      </c>
      <c r="M1450" s="15">
        <f t="shared" si="243"/>
        <v>1.0991902834008098</v>
      </c>
      <c r="N1450" s="5" t="s">
        <v>490</v>
      </c>
      <c r="O1450" s="5" t="s">
        <v>490</v>
      </c>
      <c r="P1450" s="5">
        <v>0</v>
      </c>
      <c r="Q1450" s="5">
        <v>0</v>
      </c>
      <c r="R1450" s="5" t="str">
        <f t="shared" si="240"/>
        <v>381-2022-12-31</v>
      </c>
    </row>
    <row r="1451" spans="1:18" x14ac:dyDescent="0.3">
      <c r="A1451" s="43">
        <v>381</v>
      </c>
      <c r="B1451" s="5" t="s">
        <v>269</v>
      </c>
      <c r="C1451" s="5" t="s">
        <v>267</v>
      </c>
      <c r="D1451" s="5" t="s">
        <v>8</v>
      </c>
      <c r="E1451" s="5" t="s">
        <v>9</v>
      </c>
      <c r="F1451" s="6">
        <v>45107</v>
      </c>
      <c r="G1451" s="5">
        <f t="shared" si="233"/>
        <v>2023</v>
      </c>
      <c r="H1451" s="5" t="str">
        <f t="shared" si="234"/>
        <v>Junio</v>
      </c>
      <c r="I1451" s="6" t="str">
        <f t="shared" si="239"/>
        <v>2023-1</v>
      </c>
      <c r="J1451" s="5">
        <v>1428</v>
      </c>
      <c r="K1451" s="9">
        <v>1489</v>
      </c>
      <c r="L1451" s="8">
        <f>IFERROR(K1451/J1451,"")</f>
        <v>1.042717086834734</v>
      </c>
      <c r="M1451" s="15">
        <f t="shared" si="243"/>
        <v>1.042717086834734</v>
      </c>
      <c r="N1451" s="5" t="s">
        <v>490</v>
      </c>
      <c r="O1451" s="5" t="s">
        <v>490</v>
      </c>
      <c r="P1451" s="16">
        <v>0</v>
      </c>
      <c r="Q1451" s="16">
        <v>0</v>
      </c>
      <c r="R1451" s="5" t="str">
        <f t="shared" si="240"/>
        <v>381-2023-06-30</v>
      </c>
    </row>
    <row r="1452" spans="1:18" x14ac:dyDescent="0.3">
      <c r="A1452" s="39">
        <v>381</v>
      </c>
      <c r="B1452" s="5" t="s">
        <v>269</v>
      </c>
      <c r="C1452" s="5" t="s">
        <v>267</v>
      </c>
      <c r="D1452" s="5" t="s">
        <v>8</v>
      </c>
      <c r="E1452" s="5" t="s">
        <v>9</v>
      </c>
      <c r="F1452" s="6">
        <v>45291</v>
      </c>
      <c r="G1452" s="5">
        <f t="shared" si="233"/>
        <v>2023</v>
      </c>
      <c r="H1452" s="5" t="str">
        <f t="shared" si="234"/>
        <v>Diciembre</v>
      </c>
      <c r="I1452" s="6" t="str">
        <f t="shared" si="239"/>
        <v>2023-2</v>
      </c>
      <c r="J1452" s="5">
        <v>1168</v>
      </c>
      <c r="K1452" s="9">
        <v>1328</v>
      </c>
      <c r="L1452" s="8">
        <f>IFERROR(K1452/J1452,"")</f>
        <v>1.1369863013698631</v>
      </c>
      <c r="M1452" s="15">
        <f t="shared" si="243"/>
        <v>1.1369863013698631</v>
      </c>
      <c r="N1452" s="5" t="s">
        <v>490</v>
      </c>
      <c r="O1452" s="5" t="s">
        <v>490</v>
      </c>
      <c r="P1452" s="16">
        <v>0</v>
      </c>
      <c r="Q1452" s="16">
        <v>0</v>
      </c>
      <c r="R1452" s="5" t="str">
        <f t="shared" si="240"/>
        <v>381-2023-12-31</v>
      </c>
    </row>
    <row r="1453" spans="1:18" x14ac:dyDescent="0.3">
      <c r="A1453" s="43">
        <v>381</v>
      </c>
      <c r="B1453" s="5" t="s">
        <v>269</v>
      </c>
      <c r="C1453" s="5" t="s">
        <v>267</v>
      </c>
      <c r="D1453" s="5" t="s">
        <v>8</v>
      </c>
      <c r="E1453" s="5" t="s">
        <v>9</v>
      </c>
      <c r="F1453" s="17">
        <v>45473</v>
      </c>
      <c r="G1453" s="5">
        <f t="shared" si="233"/>
        <v>2024</v>
      </c>
      <c r="H1453" s="5" t="str">
        <f t="shared" si="234"/>
        <v>Junio</v>
      </c>
      <c r="I1453" s="6" t="str">
        <f t="shared" si="239"/>
        <v>2024-1</v>
      </c>
      <c r="J1453" s="5">
        <v>1482</v>
      </c>
      <c r="K1453" s="9">
        <v>1560</v>
      </c>
      <c r="L1453" s="15">
        <f>IFERROR(IF((K1453/J1453)&gt;1.3,1.3,K1453/J1453),"")</f>
        <v>1.0526315789473684</v>
      </c>
      <c r="M1453" s="15">
        <f t="shared" si="243"/>
        <v>1.0526315789473684</v>
      </c>
      <c r="N1453" s="5" t="s">
        <v>490</v>
      </c>
      <c r="O1453" s="5" t="s">
        <v>490</v>
      </c>
      <c r="P1453" s="16">
        <v>0</v>
      </c>
      <c r="Q1453" s="16">
        <v>0</v>
      </c>
      <c r="R1453" s="5" t="str">
        <f t="shared" si="240"/>
        <v>381-2024-06-30</v>
      </c>
    </row>
    <row r="1454" spans="1:18" x14ac:dyDescent="0.3">
      <c r="A1454" s="26">
        <v>381</v>
      </c>
      <c r="B1454" s="5" t="s">
        <v>269</v>
      </c>
      <c r="C1454" s="5" t="s">
        <v>267</v>
      </c>
      <c r="D1454" s="5" t="s">
        <v>8</v>
      </c>
      <c r="E1454" s="5" t="s">
        <v>9</v>
      </c>
      <c r="F1454" s="6">
        <v>45657</v>
      </c>
      <c r="G1454" s="5">
        <f t="shared" si="233"/>
        <v>2024</v>
      </c>
      <c r="H1454" s="5" t="str">
        <f t="shared" si="234"/>
        <v>Diciembre</v>
      </c>
      <c r="I1454" s="6" t="str">
        <f t="shared" si="239"/>
        <v>2024-2</v>
      </c>
      <c r="J1454" s="5">
        <v>1101</v>
      </c>
      <c r="K1454" s="5">
        <v>982</v>
      </c>
      <c r="L1454" s="15">
        <f>IFERROR(IF((K1454/J1454)&gt;1.3,1.3,K1454/J1454),"")</f>
        <v>0.89191643960036326</v>
      </c>
      <c r="M1454" s="15">
        <f t="shared" si="243"/>
        <v>0.89191643960036326</v>
      </c>
      <c r="N1454" s="5" t="s">
        <v>490</v>
      </c>
      <c r="O1454" s="5" t="s">
        <v>490</v>
      </c>
      <c r="P1454" s="16">
        <v>0</v>
      </c>
      <c r="Q1454" s="16">
        <v>0</v>
      </c>
      <c r="R1454" s="5" t="str">
        <f t="shared" si="240"/>
        <v>381-2024-12-31</v>
      </c>
    </row>
    <row r="1455" spans="1:18" x14ac:dyDescent="0.3">
      <c r="A1455" s="5">
        <v>382</v>
      </c>
      <c r="B1455" s="5" t="s">
        <v>270</v>
      </c>
      <c r="C1455" s="5" t="s">
        <v>267</v>
      </c>
      <c r="D1455" s="5" t="s">
        <v>8</v>
      </c>
      <c r="E1455" s="5" t="s">
        <v>9</v>
      </c>
      <c r="F1455" s="6">
        <v>44742</v>
      </c>
      <c r="G1455" s="5">
        <f t="shared" si="233"/>
        <v>2022</v>
      </c>
      <c r="H1455" s="5" t="str">
        <f t="shared" si="234"/>
        <v>Junio</v>
      </c>
      <c r="I1455" s="6" t="str">
        <f t="shared" si="239"/>
        <v>2022-1</v>
      </c>
      <c r="J1455" s="5">
        <v>8041</v>
      </c>
      <c r="K1455" s="9">
        <v>8156</v>
      </c>
      <c r="L1455" s="21">
        <v>1.0143017037681881</v>
      </c>
      <c r="M1455" s="15">
        <v>1.0143017037681881</v>
      </c>
      <c r="N1455" s="5" t="s">
        <v>490</v>
      </c>
      <c r="O1455" s="5" t="s">
        <v>490</v>
      </c>
      <c r="P1455" s="5">
        <v>0</v>
      </c>
      <c r="Q1455" s="5">
        <v>0</v>
      </c>
      <c r="R1455" s="5" t="str">
        <f t="shared" si="240"/>
        <v>382-2022-06-30</v>
      </c>
    </row>
    <row r="1456" spans="1:18" x14ac:dyDescent="0.3">
      <c r="A1456" s="5">
        <v>382</v>
      </c>
      <c r="B1456" s="5" t="s">
        <v>270</v>
      </c>
      <c r="C1456" s="5" t="s">
        <v>267</v>
      </c>
      <c r="D1456" s="5" t="s">
        <v>8</v>
      </c>
      <c r="E1456" s="5" t="s">
        <v>9</v>
      </c>
      <c r="F1456" s="6">
        <v>44926</v>
      </c>
      <c r="G1456" s="5">
        <f t="shared" si="233"/>
        <v>2022</v>
      </c>
      <c r="H1456" s="5" t="str">
        <f t="shared" si="234"/>
        <v>Diciembre</v>
      </c>
      <c r="I1456" s="6" t="str">
        <f t="shared" si="239"/>
        <v>2022-2</v>
      </c>
      <c r="J1456" s="5">
        <v>7245</v>
      </c>
      <c r="K1456" s="9">
        <v>7311</v>
      </c>
      <c r="L1456" s="21">
        <v>1.0091097308488612</v>
      </c>
      <c r="M1456" s="15">
        <v>1.0091097308488612</v>
      </c>
      <c r="N1456" s="5" t="s">
        <v>490</v>
      </c>
      <c r="O1456" s="5" t="s">
        <v>490</v>
      </c>
      <c r="P1456" s="5">
        <v>0</v>
      </c>
      <c r="Q1456" s="5">
        <v>0</v>
      </c>
      <c r="R1456" s="5" t="str">
        <f t="shared" si="240"/>
        <v>382-2022-12-31</v>
      </c>
    </row>
    <row r="1457" spans="1:18" x14ac:dyDescent="0.3">
      <c r="A1457" s="5">
        <v>382</v>
      </c>
      <c r="B1457" s="5" t="s">
        <v>270</v>
      </c>
      <c r="C1457" s="5" t="s">
        <v>267</v>
      </c>
      <c r="D1457" s="5" t="s">
        <v>8</v>
      </c>
      <c r="E1457" s="5" t="s">
        <v>9</v>
      </c>
      <c r="F1457" s="6">
        <v>45107</v>
      </c>
      <c r="G1457" s="5">
        <f t="shared" si="233"/>
        <v>2023</v>
      </c>
      <c r="H1457" s="5" t="str">
        <f t="shared" si="234"/>
        <v>Junio</v>
      </c>
      <c r="I1457" s="6" t="str">
        <f t="shared" si="239"/>
        <v>2023-1</v>
      </c>
      <c r="J1457" s="5">
        <v>9117</v>
      </c>
      <c r="K1457" s="9">
        <v>9231</v>
      </c>
      <c r="L1457" s="8">
        <f>IFERROR(K1457/J1457,"")</f>
        <v>1.01250411319513</v>
      </c>
      <c r="M1457" s="15">
        <f>IFERROR(IF((K1457/J1457)&gt;K1457/J1457,1.3,K1457/J1457),"")</f>
        <v>1.01250411319513</v>
      </c>
      <c r="N1457" s="5" t="s">
        <v>490</v>
      </c>
      <c r="O1457" s="5" t="s">
        <v>490</v>
      </c>
      <c r="P1457" s="16">
        <v>0</v>
      </c>
      <c r="Q1457" s="16">
        <v>0</v>
      </c>
      <c r="R1457" s="5" t="str">
        <f t="shared" si="240"/>
        <v>382-2023-06-30</v>
      </c>
    </row>
    <row r="1458" spans="1:18" x14ac:dyDescent="0.3">
      <c r="A1458" s="5">
        <v>382</v>
      </c>
      <c r="B1458" s="5" t="s">
        <v>270</v>
      </c>
      <c r="C1458" s="5" t="s">
        <v>267</v>
      </c>
      <c r="D1458" s="5" t="s">
        <v>8</v>
      </c>
      <c r="E1458" s="5" t="s">
        <v>9</v>
      </c>
      <c r="F1458" s="6">
        <v>45291</v>
      </c>
      <c r="G1458" s="5">
        <f t="shared" si="233"/>
        <v>2023</v>
      </c>
      <c r="H1458" s="5" t="str">
        <f t="shared" si="234"/>
        <v>Diciembre</v>
      </c>
      <c r="I1458" s="6" t="str">
        <f t="shared" si="239"/>
        <v>2023-2</v>
      </c>
      <c r="J1458" s="5">
        <v>7616</v>
      </c>
      <c r="K1458" s="9">
        <v>7845</v>
      </c>
      <c r="L1458" s="8">
        <f>IFERROR(K1458/J1458,"")</f>
        <v>1.0300682773109244</v>
      </c>
      <c r="M1458" s="15">
        <f>IFERROR(IF((K1458/J1458)&gt;K1458/J1458,1.3,K1458/J1458),"")</f>
        <v>1.0300682773109244</v>
      </c>
      <c r="N1458" s="5" t="s">
        <v>490</v>
      </c>
      <c r="O1458" s="5" t="s">
        <v>490</v>
      </c>
      <c r="P1458" s="16">
        <v>0</v>
      </c>
      <c r="Q1458" s="16">
        <v>0</v>
      </c>
      <c r="R1458" s="5" t="str">
        <f t="shared" si="240"/>
        <v>382-2023-12-31</v>
      </c>
    </row>
    <row r="1459" spans="1:18" x14ac:dyDescent="0.3">
      <c r="A1459" s="5">
        <v>382</v>
      </c>
      <c r="B1459" s="5" t="s">
        <v>270</v>
      </c>
      <c r="C1459" s="5" t="s">
        <v>267</v>
      </c>
      <c r="D1459" s="5" t="s">
        <v>8</v>
      </c>
      <c r="E1459" s="5" t="s">
        <v>9</v>
      </c>
      <c r="F1459" s="17">
        <v>45473</v>
      </c>
      <c r="G1459" s="5">
        <f t="shared" si="233"/>
        <v>2024</v>
      </c>
      <c r="H1459" s="5" t="str">
        <f t="shared" si="234"/>
        <v>Junio</v>
      </c>
      <c r="I1459" s="6" t="str">
        <f t="shared" si="239"/>
        <v>2024-1</v>
      </c>
      <c r="J1459" s="5">
        <v>10220</v>
      </c>
      <c r="K1459" s="9">
        <v>9576</v>
      </c>
      <c r="L1459" s="15">
        <f>IFERROR(IF((K1459/J1459)&gt;1.3,1.3,K1459/J1459),"")</f>
        <v>0.93698630136986305</v>
      </c>
      <c r="M1459" s="15">
        <f>IFERROR(IF((K1459/J1459)&gt;K1459/J1459,1.3,K1459/J1459),"")</f>
        <v>0.93698630136986305</v>
      </c>
      <c r="N1459" s="5" t="s">
        <v>490</v>
      </c>
      <c r="O1459" s="5" t="s">
        <v>490</v>
      </c>
      <c r="P1459" s="16">
        <v>0</v>
      </c>
      <c r="Q1459" s="16">
        <v>0</v>
      </c>
      <c r="R1459" s="5" t="str">
        <f t="shared" si="240"/>
        <v>382-2024-06-30</v>
      </c>
    </row>
    <row r="1460" spans="1:18" x14ac:dyDescent="0.3">
      <c r="A1460" s="26">
        <v>382</v>
      </c>
      <c r="B1460" s="5" t="s">
        <v>270</v>
      </c>
      <c r="C1460" s="5" t="s">
        <v>267</v>
      </c>
      <c r="D1460" s="5" t="s">
        <v>8</v>
      </c>
      <c r="E1460" s="5" t="s">
        <v>9</v>
      </c>
      <c r="F1460" s="6">
        <v>45657</v>
      </c>
      <c r="G1460" s="5">
        <f t="shared" si="233"/>
        <v>2024</v>
      </c>
      <c r="H1460" s="5" t="str">
        <f t="shared" si="234"/>
        <v>Diciembre</v>
      </c>
      <c r="I1460" s="6" t="str">
        <f t="shared" si="239"/>
        <v>2024-2</v>
      </c>
      <c r="J1460" s="5">
        <v>8220</v>
      </c>
      <c r="K1460" s="16">
        <v>8066</v>
      </c>
      <c r="L1460" s="15">
        <f>IFERROR(IF((K1460/J1460)&gt;1.3,1.3,K1460/J1460),"")</f>
        <v>0.98126520681265206</v>
      </c>
      <c r="M1460" s="15">
        <f>IFERROR(IF((K1460/J1460)&gt;K1460/J1460,1.3,K1460/J1460),"")</f>
        <v>0.98126520681265206</v>
      </c>
      <c r="N1460" s="5" t="s">
        <v>490</v>
      </c>
      <c r="O1460" s="5" t="s">
        <v>490</v>
      </c>
      <c r="P1460" s="16">
        <v>0</v>
      </c>
      <c r="Q1460" s="16">
        <v>0</v>
      </c>
      <c r="R1460" s="5" t="str">
        <f t="shared" si="240"/>
        <v>382-2024-12-31</v>
      </c>
    </row>
    <row r="1461" spans="1:18" x14ac:dyDescent="0.3">
      <c r="A1461" s="39">
        <v>383</v>
      </c>
      <c r="B1461" s="5" t="s">
        <v>271</v>
      </c>
      <c r="C1461" s="5" t="s">
        <v>267</v>
      </c>
      <c r="D1461" s="5" t="s">
        <v>8</v>
      </c>
      <c r="E1461" s="5" t="s">
        <v>9</v>
      </c>
      <c r="F1461" s="6">
        <v>44742</v>
      </c>
      <c r="G1461" s="5">
        <f t="shared" si="233"/>
        <v>2022</v>
      </c>
      <c r="H1461" s="5" t="str">
        <f t="shared" si="234"/>
        <v>Junio</v>
      </c>
      <c r="I1461" s="6" t="str">
        <f t="shared" si="239"/>
        <v>2022-1</v>
      </c>
      <c r="J1461" s="5">
        <v>1004</v>
      </c>
      <c r="K1461" s="9">
        <v>1191</v>
      </c>
      <c r="L1461" s="21">
        <v>1.1862549800796813</v>
      </c>
      <c r="M1461" s="15">
        <v>1.1862549800796813</v>
      </c>
      <c r="N1461" s="5" t="s">
        <v>490</v>
      </c>
      <c r="O1461" s="5" t="s">
        <v>490</v>
      </c>
      <c r="P1461" s="5">
        <v>0</v>
      </c>
      <c r="Q1461" s="5">
        <v>0</v>
      </c>
      <c r="R1461" s="5" t="str">
        <f t="shared" si="240"/>
        <v>383-2022-06-30</v>
      </c>
    </row>
    <row r="1462" spans="1:18" x14ac:dyDescent="0.3">
      <c r="A1462" s="39">
        <v>383</v>
      </c>
      <c r="B1462" s="5" t="s">
        <v>271</v>
      </c>
      <c r="C1462" s="5" t="s">
        <v>267</v>
      </c>
      <c r="D1462" s="5" t="s">
        <v>8</v>
      </c>
      <c r="E1462" s="5" t="s">
        <v>9</v>
      </c>
      <c r="F1462" s="6">
        <v>44926</v>
      </c>
      <c r="G1462" s="5">
        <f t="shared" si="233"/>
        <v>2022</v>
      </c>
      <c r="H1462" s="5" t="str">
        <f t="shared" si="234"/>
        <v>Diciembre</v>
      </c>
      <c r="I1462" s="6" t="str">
        <f t="shared" si="239"/>
        <v>2022-2</v>
      </c>
      <c r="J1462" s="5">
        <v>764</v>
      </c>
      <c r="K1462" s="9">
        <v>993</v>
      </c>
      <c r="L1462" s="21">
        <v>1.299738219895288</v>
      </c>
      <c r="M1462" s="15">
        <v>1.299738219895288</v>
      </c>
      <c r="N1462" s="5" t="s">
        <v>490</v>
      </c>
      <c r="O1462" s="5" t="s">
        <v>490</v>
      </c>
      <c r="P1462" s="5">
        <v>0</v>
      </c>
      <c r="Q1462" s="5">
        <v>0</v>
      </c>
      <c r="R1462" s="5" t="str">
        <f t="shared" si="240"/>
        <v>383-2022-12-31</v>
      </c>
    </row>
    <row r="1463" spans="1:18" x14ac:dyDescent="0.3">
      <c r="A1463" s="43">
        <v>383</v>
      </c>
      <c r="B1463" s="5" t="s">
        <v>271</v>
      </c>
      <c r="C1463" s="5" t="s">
        <v>267</v>
      </c>
      <c r="D1463" s="5" t="s">
        <v>8</v>
      </c>
      <c r="E1463" s="5" t="s">
        <v>9</v>
      </c>
      <c r="F1463" s="6">
        <v>45107</v>
      </c>
      <c r="G1463" s="5">
        <f t="shared" si="233"/>
        <v>2023</v>
      </c>
      <c r="H1463" s="5" t="str">
        <f t="shared" si="234"/>
        <v>Junio</v>
      </c>
      <c r="I1463" s="6" t="str">
        <f t="shared" si="239"/>
        <v>2023-1</v>
      </c>
      <c r="J1463" s="3">
        <v>1279</v>
      </c>
      <c r="K1463" s="9">
        <v>1399</v>
      </c>
      <c r="L1463" s="8">
        <f>IFERROR(K1463/J1463,"")</f>
        <v>1.0938232994526975</v>
      </c>
      <c r="M1463" s="15">
        <f>IFERROR(IF((K1463/J1463)&gt;K1463/J1463,1.3,K1463/J1463),"")</f>
        <v>1.0938232994526975</v>
      </c>
      <c r="N1463" s="5" t="s">
        <v>490</v>
      </c>
      <c r="O1463" s="5" t="s">
        <v>490</v>
      </c>
      <c r="P1463" s="16">
        <v>0</v>
      </c>
      <c r="Q1463" s="16">
        <v>0</v>
      </c>
      <c r="R1463" s="5" t="str">
        <f t="shared" si="240"/>
        <v>383-2023-06-30</v>
      </c>
    </row>
    <row r="1464" spans="1:18" x14ac:dyDescent="0.3">
      <c r="A1464" s="39">
        <v>383</v>
      </c>
      <c r="B1464" s="5" t="s">
        <v>271</v>
      </c>
      <c r="C1464" s="5" t="s">
        <v>267</v>
      </c>
      <c r="D1464" s="5" t="s">
        <v>8</v>
      </c>
      <c r="E1464" s="5" t="s">
        <v>9</v>
      </c>
      <c r="F1464" s="6">
        <v>45291</v>
      </c>
      <c r="G1464" s="5">
        <f t="shared" si="233"/>
        <v>2023</v>
      </c>
      <c r="H1464" s="5" t="str">
        <f t="shared" si="234"/>
        <v>Diciembre</v>
      </c>
      <c r="I1464" s="6" t="str">
        <f t="shared" si="239"/>
        <v>2023-2</v>
      </c>
      <c r="J1464" s="3">
        <v>896</v>
      </c>
      <c r="K1464" s="9">
        <v>1305</v>
      </c>
      <c r="L1464" s="8">
        <f>IFERROR(K1464/J1464,"")</f>
        <v>1.4564732142857142</v>
      </c>
      <c r="M1464" s="15">
        <f>IFERROR(IF((K1464/J1464)&gt;K1464/J1464,1.3,K1464/J1464),"")</f>
        <v>1.4564732142857142</v>
      </c>
      <c r="N1464" s="5" t="s">
        <v>490</v>
      </c>
      <c r="O1464" s="5" t="s">
        <v>490</v>
      </c>
      <c r="P1464" s="16">
        <v>0</v>
      </c>
      <c r="Q1464" s="16">
        <v>0</v>
      </c>
      <c r="R1464" s="5" t="str">
        <f t="shared" si="240"/>
        <v>383-2023-12-31</v>
      </c>
    </row>
    <row r="1465" spans="1:18" x14ac:dyDescent="0.3">
      <c r="A1465" s="43">
        <v>383</v>
      </c>
      <c r="B1465" s="5" t="s">
        <v>271</v>
      </c>
      <c r="C1465" s="5" t="s">
        <v>267</v>
      </c>
      <c r="D1465" s="5" t="s">
        <v>8</v>
      </c>
      <c r="E1465" s="5" t="s">
        <v>9</v>
      </c>
      <c r="F1465" s="17">
        <v>45473</v>
      </c>
      <c r="G1465" s="5">
        <f t="shared" si="233"/>
        <v>2024</v>
      </c>
      <c r="H1465" s="5" t="str">
        <f t="shared" si="234"/>
        <v>Junio</v>
      </c>
      <c r="I1465" s="6" t="str">
        <f t="shared" si="239"/>
        <v>2024-1</v>
      </c>
      <c r="J1465" s="3">
        <v>1525</v>
      </c>
      <c r="K1465" s="9">
        <v>1506</v>
      </c>
      <c r="L1465" s="15">
        <f>IFERROR(IF((K1465/J1465)&gt;1.3,1.3,K1465/J1465),"")</f>
        <v>0.9875409836065574</v>
      </c>
      <c r="M1465" s="15">
        <f>IFERROR(IF((K1465/J1465)&gt;K1465/J1465,1.3,K1465/J1465),"")</f>
        <v>0.9875409836065574</v>
      </c>
      <c r="N1465" s="5" t="s">
        <v>490</v>
      </c>
      <c r="O1465" s="5" t="s">
        <v>490</v>
      </c>
      <c r="P1465" s="16">
        <v>0</v>
      </c>
      <c r="Q1465" s="16">
        <v>0</v>
      </c>
      <c r="R1465" s="5" t="str">
        <f t="shared" si="240"/>
        <v>383-2024-06-30</v>
      </c>
    </row>
    <row r="1466" spans="1:18" x14ac:dyDescent="0.3">
      <c r="A1466" s="26">
        <v>383</v>
      </c>
      <c r="B1466" s="5" t="s">
        <v>271</v>
      </c>
      <c r="C1466" s="5" t="s">
        <v>267</v>
      </c>
      <c r="D1466" s="5" t="s">
        <v>8</v>
      </c>
      <c r="E1466" s="5" t="s">
        <v>9</v>
      </c>
      <c r="F1466" s="6">
        <v>45657</v>
      </c>
      <c r="G1466" s="5">
        <f t="shared" si="233"/>
        <v>2024</v>
      </c>
      <c r="H1466" s="5" t="str">
        <f t="shared" si="234"/>
        <v>Diciembre</v>
      </c>
      <c r="I1466" s="6" t="str">
        <f t="shared" si="239"/>
        <v>2024-2</v>
      </c>
      <c r="J1466" s="3">
        <v>1106</v>
      </c>
      <c r="K1466" s="10">
        <v>1317</v>
      </c>
      <c r="L1466" s="15">
        <f>IFERROR(IF((K1466/J1466)&gt;1.3,1.3,K1466/J1466),"")</f>
        <v>1.1907775768535263</v>
      </c>
      <c r="M1466" s="15">
        <f>IFERROR(IF((K1466/J1466)&gt;K1466/J1466,1.3,K1466/J1466),"")</f>
        <v>1.1907775768535263</v>
      </c>
      <c r="N1466" s="5" t="s">
        <v>490</v>
      </c>
      <c r="O1466" s="5" t="s">
        <v>490</v>
      </c>
      <c r="P1466" s="16">
        <v>0</v>
      </c>
      <c r="Q1466" s="16">
        <v>0</v>
      </c>
      <c r="R1466" s="5" t="str">
        <f t="shared" si="240"/>
        <v>383-2024-12-31</v>
      </c>
    </row>
    <row r="1467" spans="1:18" x14ac:dyDescent="0.3">
      <c r="A1467" s="39">
        <v>384</v>
      </c>
      <c r="B1467" s="5" t="s">
        <v>272</v>
      </c>
      <c r="C1467" s="5" t="s">
        <v>267</v>
      </c>
      <c r="D1467" s="5" t="s">
        <v>8</v>
      </c>
      <c r="E1467" s="5" t="s">
        <v>9</v>
      </c>
      <c r="F1467" s="6">
        <v>44742</v>
      </c>
      <c r="G1467" s="5">
        <f t="shared" si="233"/>
        <v>2022</v>
      </c>
      <c r="H1467" s="5" t="str">
        <f t="shared" si="234"/>
        <v>Junio</v>
      </c>
      <c r="I1467" s="6" t="str">
        <f t="shared" si="239"/>
        <v>2022-1</v>
      </c>
      <c r="J1467" s="5">
        <v>339</v>
      </c>
      <c r="K1467" s="9">
        <v>299</v>
      </c>
      <c r="L1467" s="21">
        <v>0.88200589970501475</v>
      </c>
      <c r="M1467" s="15">
        <v>0.88200589970501475</v>
      </c>
      <c r="N1467" s="5" t="s">
        <v>490</v>
      </c>
      <c r="O1467" s="5" t="s">
        <v>490</v>
      </c>
      <c r="P1467" s="5">
        <v>0</v>
      </c>
      <c r="Q1467" s="5">
        <v>0</v>
      </c>
      <c r="R1467" s="5" t="str">
        <f t="shared" si="240"/>
        <v>384-2022-06-30</v>
      </c>
    </row>
    <row r="1468" spans="1:18" x14ac:dyDescent="0.3">
      <c r="A1468" s="39">
        <v>384</v>
      </c>
      <c r="B1468" s="5" t="s">
        <v>272</v>
      </c>
      <c r="C1468" s="5" t="s">
        <v>267</v>
      </c>
      <c r="D1468" s="5" t="s">
        <v>8</v>
      </c>
      <c r="E1468" s="5" t="s">
        <v>9</v>
      </c>
      <c r="F1468" s="6">
        <v>44926</v>
      </c>
      <c r="G1468" s="5">
        <f t="shared" si="233"/>
        <v>2022</v>
      </c>
      <c r="H1468" s="5" t="str">
        <f t="shared" si="234"/>
        <v>Diciembre</v>
      </c>
      <c r="I1468" s="6" t="str">
        <f t="shared" si="239"/>
        <v>2022-2</v>
      </c>
      <c r="J1468" s="5">
        <v>195</v>
      </c>
      <c r="K1468" s="9">
        <v>188</v>
      </c>
      <c r="L1468" s="21">
        <v>0.96410256410256412</v>
      </c>
      <c r="M1468" s="15">
        <v>0.96410256410256412</v>
      </c>
      <c r="N1468" s="5" t="s">
        <v>490</v>
      </c>
      <c r="O1468" s="5" t="s">
        <v>490</v>
      </c>
      <c r="P1468" s="5">
        <v>0</v>
      </c>
      <c r="Q1468" s="5">
        <v>0</v>
      </c>
      <c r="R1468" s="5" t="str">
        <f t="shared" si="240"/>
        <v>384-2022-12-31</v>
      </c>
    </row>
    <row r="1469" spans="1:18" x14ac:dyDescent="0.3">
      <c r="A1469" s="43">
        <v>384</v>
      </c>
      <c r="B1469" s="5" t="s">
        <v>272</v>
      </c>
      <c r="C1469" s="5" t="s">
        <v>267</v>
      </c>
      <c r="D1469" s="5" t="s">
        <v>8</v>
      </c>
      <c r="E1469" s="5" t="s">
        <v>9</v>
      </c>
      <c r="F1469" s="6">
        <v>45107</v>
      </c>
      <c r="G1469" s="5">
        <f t="shared" si="233"/>
        <v>2023</v>
      </c>
      <c r="H1469" s="5" t="str">
        <f t="shared" si="234"/>
        <v>Junio</v>
      </c>
      <c r="I1469" s="6" t="str">
        <f t="shared" si="239"/>
        <v>2023-1</v>
      </c>
      <c r="J1469" s="5">
        <v>306</v>
      </c>
      <c r="K1469" s="9">
        <v>332</v>
      </c>
      <c r="L1469" s="8">
        <f>IFERROR(K1469/J1469,"")</f>
        <v>1.0849673202614378</v>
      </c>
      <c r="M1469" s="15">
        <f>IFERROR(IF((K1469/J1469)&gt;K1469/J1469,1.3,K1469/J1469),"")</f>
        <v>1.0849673202614378</v>
      </c>
      <c r="N1469" s="5" t="s">
        <v>490</v>
      </c>
      <c r="O1469" s="5" t="s">
        <v>490</v>
      </c>
      <c r="P1469" s="16">
        <v>0</v>
      </c>
      <c r="Q1469" s="16">
        <v>0</v>
      </c>
      <c r="R1469" s="5" t="str">
        <f t="shared" si="240"/>
        <v>384-2023-06-30</v>
      </c>
    </row>
    <row r="1470" spans="1:18" x14ac:dyDescent="0.3">
      <c r="A1470" s="39">
        <v>384</v>
      </c>
      <c r="B1470" s="5" t="s">
        <v>272</v>
      </c>
      <c r="C1470" s="5" t="s">
        <v>267</v>
      </c>
      <c r="D1470" s="5" t="s">
        <v>8</v>
      </c>
      <c r="E1470" s="5" t="s">
        <v>9</v>
      </c>
      <c r="F1470" s="6">
        <v>45291</v>
      </c>
      <c r="G1470" s="5">
        <f t="shared" si="233"/>
        <v>2023</v>
      </c>
      <c r="H1470" s="5" t="str">
        <f t="shared" si="234"/>
        <v>Diciembre</v>
      </c>
      <c r="I1470" s="6" t="str">
        <f t="shared" si="239"/>
        <v>2023-2</v>
      </c>
      <c r="J1470" s="5">
        <v>195</v>
      </c>
      <c r="K1470" s="9">
        <v>224</v>
      </c>
      <c r="L1470" s="8">
        <f>IFERROR(K1470/J1470,"")</f>
        <v>1.1487179487179486</v>
      </c>
      <c r="M1470" s="15">
        <f>IFERROR(IF((K1470/J1470)&gt;K1470/J1470,1.3,K1470/J1470),"")</f>
        <v>1.1487179487179486</v>
      </c>
      <c r="N1470" s="5" t="s">
        <v>490</v>
      </c>
      <c r="O1470" s="5" t="s">
        <v>490</v>
      </c>
      <c r="P1470" s="16">
        <v>0</v>
      </c>
      <c r="Q1470" s="16">
        <v>0</v>
      </c>
      <c r="R1470" s="5" t="str">
        <f t="shared" si="240"/>
        <v>384-2023-12-31</v>
      </c>
    </row>
    <row r="1471" spans="1:18" x14ac:dyDescent="0.3">
      <c r="A1471" s="43">
        <v>384</v>
      </c>
      <c r="B1471" s="5" t="s">
        <v>272</v>
      </c>
      <c r="C1471" s="5" t="s">
        <v>267</v>
      </c>
      <c r="D1471" s="5" t="s">
        <v>8</v>
      </c>
      <c r="E1471" s="5" t="s">
        <v>9</v>
      </c>
      <c r="F1471" s="17">
        <v>45473</v>
      </c>
      <c r="G1471" s="5">
        <f t="shared" si="233"/>
        <v>2024</v>
      </c>
      <c r="H1471" s="5" t="str">
        <f t="shared" si="234"/>
        <v>Junio</v>
      </c>
      <c r="I1471" s="6" t="str">
        <f t="shared" si="239"/>
        <v>2024-1</v>
      </c>
      <c r="J1471" s="5">
        <v>363</v>
      </c>
      <c r="K1471" s="9">
        <v>361</v>
      </c>
      <c r="L1471" s="15">
        <f>IFERROR(IF((K1471/J1471)&gt;1.3,1.3,K1471/J1471),"")</f>
        <v>0.99449035812672182</v>
      </c>
      <c r="M1471" s="15">
        <f>IFERROR(IF((K1471/J1471)&gt;K1471/J1471,1.3,K1471/J1471),"")</f>
        <v>0.99449035812672182</v>
      </c>
      <c r="N1471" s="5" t="s">
        <v>490</v>
      </c>
      <c r="O1471" s="5" t="s">
        <v>490</v>
      </c>
      <c r="P1471" s="16">
        <v>0</v>
      </c>
      <c r="Q1471" s="16">
        <v>0</v>
      </c>
      <c r="R1471" s="5" t="str">
        <f t="shared" si="240"/>
        <v>384-2024-06-30</v>
      </c>
    </row>
    <row r="1472" spans="1:18" x14ac:dyDescent="0.3">
      <c r="A1472" s="26">
        <v>384</v>
      </c>
      <c r="B1472" s="5" t="s">
        <v>272</v>
      </c>
      <c r="C1472" s="5" t="s">
        <v>267</v>
      </c>
      <c r="D1472" s="5" t="s">
        <v>8</v>
      </c>
      <c r="E1472" s="5" t="s">
        <v>9</v>
      </c>
      <c r="F1472" s="6">
        <v>45657</v>
      </c>
      <c r="G1472" s="5">
        <f t="shared" si="233"/>
        <v>2024</v>
      </c>
      <c r="H1472" s="5" t="str">
        <f t="shared" si="234"/>
        <v>Diciembre</v>
      </c>
      <c r="I1472" s="6" t="str">
        <f t="shared" si="239"/>
        <v>2024-2</v>
      </c>
      <c r="J1472" s="5">
        <v>248</v>
      </c>
      <c r="K1472" s="10">
        <v>218</v>
      </c>
      <c r="L1472" s="15">
        <f>IFERROR(IF((K1472/J1472)&gt;1.3,1.3,K1472/J1472),"")</f>
        <v>0.87903225806451613</v>
      </c>
      <c r="M1472" s="15">
        <f>IFERROR(IF((K1472/J1472)&gt;K1472/J1472,1.3,K1472/J1472),"")</f>
        <v>0.87903225806451613</v>
      </c>
      <c r="N1472" s="5" t="s">
        <v>490</v>
      </c>
      <c r="O1472" s="5" t="s">
        <v>490</v>
      </c>
      <c r="P1472" s="16">
        <v>0</v>
      </c>
      <c r="Q1472" s="16">
        <v>0</v>
      </c>
      <c r="R1472" s="5" t="str">
        <f t="shared" si="240"/>
        <v>384-2024-12-31</v>
      </c>
    </row>
    <row r="1473" spans="1:18" x14ac:dyDescent="0.3">
      <c r="A1473" s="5">
        <v>385</v>
      </c>
      <c r="B1473" s="5" t="s">
        <v>273</v>
      </c>
      <c r="C1473" s="5" t="s">
        <v>274</v>
      </c>
      <c r="D1473" s="5" t="s">
        <v>8</v>
      </c>
      <c r="E1473" s="5" t="s">
        <v>9</v>
      </c>
      <c r="F1473" s="17">
        <v>44742</v>
      </c>
      <c r="G1473" s="5">
        <f t="shared" si="233"/>
        <v>2022</v>
      </c>
      <c r="H1473" s="5" t="str">
        <f t="shared" si="234"/>
        <v>Junio</v>
      </c>
      <c r="I1473" s="6" t="str">
        <f t="shared" si="239"/>
        <v>2022-1</v>
      </c>
      <c r="J1473" s="11">
        <v>4345.5951990000003</v>
      </c>
      <c r="K1473" s="9">
        <v>4697.0352290000001</v>
      </c>
      <c r="L1473" s="15">
        <v>1.0808727030260141</v>
      </c>
      <c r="M1473" s="15">
        <v>1.0808727030260141</v>
      </c>
      <c r="N1473" s="5" t="s">
        <v>474</v>
      </c>
      <c r="O1473" s="5" t="s">
        <v>474</v>
      </c>
      <c r="P1473" s="5">
        <v>0</v>
      </c>
      <c r="Q1473" s="5">
        <v>0</v>
      </c>
      <c r="R1473" s="5" t="str">
        <f t="shared" si="240"/>
        <v>385-2022-06-30</v>
      </c>
    </row>
    <row r="1474" spans="1:18" x14ac:dyDescent="0.3">
      <c r="A1474" s="5">
        <v>385</v>
      </c>
      <c r="B1474" s="5" t="s">
        <v>273</v>
      </c>
      <c r="C1474" s="5" t="s">
        <v>274</v>
      </c>
      <c r="D1474" s="5" t="s">
        <v>8</v>
      </c>
      <c r="E1474" s="5" t="s">
        <v>9</v>
      </c>
      <c r="F1474" s="17">
        <v>44926</v>
      </c>
      <c r="G1474" s="5">
        <f t="shared" ref="G1474:G1537" si="244">YEAR(F1474)</f>
        <v>2022</v>
      </c>
      <c r="H1474" s="5" t="str">
        <f t="shared" ref="H1474:H1537" si="245">PROPER(TEXT(F1474,"mmmm"))</f>
        <v>Diciembre</v>
      </c>
      <c r="I1474" s="6" t="str">
        <f t="shared" si="239"/>
        <v>2022-2</v>
      </c>
      <c r="J1474" s="5">
        <v>9015.4048010000006</v>
      </c>
      <c r="K1474" s="9">
        <v>10035.311890999999</v>
      </c>
      <c r="L1474" s="15">
        <v>0.55493512287380198</v>
      </c>
      <c r="M1474" s="15">
        <v>0.55493512287380198</v>
      </c>
      <c r="N1474" s="5" t="s">
        <v>474</v>
      </c>
      <c r="O1474" s="5" t="s">
        <v>474</v>
      </c>
      <c r="P1474" s="5">
        <v>0</v>
      </c>
      <c r="Q1474" s="5">
        <v>0</v>
      </c>
      <c r="R1474" s="5" t="str">
        <f t="shared" si="240"/>
        <v>385-2022-12-31</v>
      </c>
    </row>
    <row r="1475" spans="1:18" x14ac:dyDescent="0.3">
      <c r="A1475" s="43">
        <v>385</v>
      </c>
      <c r="B1475" s="5" t="s">
        <v>273</v>
      </c>
      <c r="C1475" s="5" t="s">
        <v>274</v>
      </c>
      <c r="D1475" s="5" t="s">
        <v>8</v>
      </c>
      <c r="E1475" s="5" t="s">
        <v>9</v>
      </c>
      <c r="F1475" s="6">
        <v>45107</v>
      </c>
      <c r="G1475" s="5">
        <f t="shared" si="244"/>
        <v>2023</v>
      </c>
      <c r="H1475" s="5" t="str">
        <f t="shared" si="245"/>
        <v>Junio</v>
      </c>
      <c r="I1475" s="6" t="str">
        <f t="shared" si="239"/>
        <v>2023-1</v>
      </c>
      <c r="J1475" s="5">
        <f>5315206000/1000000</f>
        <v>5315.2060000000001</v>
      </c>
      <c r="K1475" s="9">
        <f>5473857759/1000000</f>
        <v>5473.8577590000004</v>
      </c>
      <c r="L1475" s="15">
        <f t="shared" ref="L1475:L1481" si="246">IFERROR(IF((K1475/J1475)&gt;1.3,1.3,K1475/J1475),"")</f>
        <v>1.0298486566654237</v>
      </c>
      <c r="M1475" s="15">
        <f t="shared" ref="M1475:M1487" si="247">IFERROR(IF((K1475/J1475)&gt;K1475/J1475,1.3,K1475/J1475),"")</f>
        <v>1.0298486566654237</v>
      </c>
      <c r="N1475" s="5" t="s">
        <v>474</v>
      </c>
      <c r="O1475" s="5" t="s">
        <v>474</v>
      </c>
      <c r="P1475" s="16">
        <v>0</v>
      </c>
      <c r="Q1475" s="16">
        <v>0</v>
      </c>
      <c r="R1475" s="5" t="str">
        <f t="shared" si="240"/>
        <v>385-2023-06-30</v>
      </c>
    </row>
    <row r="1476" spans="1:18" x14ac:dyDescent="0.3">
      <c r="A1476" s="39">
        <v>385</v>
      </c>
      <c r="B1476" s="5" t="s">
        <v>273</v>
      </c>
      <c r="C1476" s="5" t="s">
        <v>274</v>
      </c>
      <c r="D1476" s="5" t="s">
        <v>8</v>
      </c>
      <c r="E1476" s="5" t="s">
        <v>9</v>
      </c>
      <c r="F1476" s="6">
        <v>45291</v>
      </c>
      <c r="G1476" s="5">
        <f t="shared" si="244"/>
        <v>2023</v>
      </c>
      <c r="H1476" s="5" t="str">
        <f t="shared" si="245"/>
        <v>Diciembre</v>
      </c>
      <c r="I1476" s="6" t="str">
        <f t="shared" si="239"/>
        <v>2023-2</v>
      </c>
      <c r="J1476" s="5">
        <v>14097.721</v>
      </c>
      <c r="K1476" s="9">
        <v>17697.080526999998</v>
      </c>
      <c r="L1476" s="15">
        <f t="shared" si="246"/>
        <v>1.2553149921891629</v>
      </c>
      <c r="M1476" s="15">
        <f t="shared" si="247"/>
        <v>1.2553149921891629</v>
      </c>
      <c r="N1476" s="5" t="s">
        <v>474</v>
      </c>
      <c r="O1476" s="5" t="s">
        <v>474</v>
      </c>
      <c r="P1476" s="16">
        <v>0</v>
      </c>
      <c r="Q1476" s="16">
        <v>0</v>
      </c>
      <c r="R1476" s="5" t="str">
        <f t="shared" si="240"/>
        <v>385-2023-12-31</v>
      </c>
    </row>
    <row r="1477" spans="1:18" x14ac:dyDescent="0.3">
      <c r="A1477" s="43">
        <v>385</v>
      </c>
      <c r="B1477" s="5" t="s">
        <v>273</v>
      </c>
      <c r="C1477" s="5" t="s">
        <v>274</v>
      </c>
      <c r="D1477" s="5" t="s">
        <v>8</v>
      </c>
      <c r="E1477" s="5" t="s">
        <v>9</v>
      </c>
      <c r="F1477" s="6">
        <v>45473</v>
      </c>
      <c r="G1477" s="5">
        <f t="shared" si="244"/>
        <v>2024</v>
      </c>
      <c r="H1477" s="5" t="str">
        <f t="shared" si="245"/>
        <v>Junio</v>
      </c>
      <c r="I1477" s="6" t="str">
        <f t="shared" si="239"/>
        <v>2024-1</v>
      </c>
      <c r="J1477" s="5">
        <f>5441458845/1000000</f>
        <v>5441.4588450000001</v>
      </c>
      <c r="K1477" s="9">
        <f>6182862063/1000000</f>
        <v>6182.8620629999996</v>
      </c>
      <c r="L1477" s="15">
        <f t="shared" si="246"/>
        <v>1.1362508178631643</v>
      </c>
      <c r="M1477" s="15">
        <f t="shared" si="247"/>
        <v>1.1362508178631643</v>
      </c>
      <c r="N1477" s="5" t="s">
        <v>474</v>
      </c>
      <c r="O1477" s="5" t="s">
        <v>474</v>
      </c>
      <c r="P1477" s="16">
        <v>0</v>
      </c>
      <c r="Q1477" s="16">
        <v>0</v>
      </c>
      <c r="R1477" s="5" t="str">
        <f t="shared" si="240"/>
        <v>385-2024-06-30</v>
      </c>
    </row>
    <row r="1478" spans="1:18" x14ac:dyDescent="0.3">
      <c r="A1478" s="26">
        <v>385</v>
      </c>
      <c r="B1478" s="5" t="s">
        <v>273</v>
      </c>
      <c r="C1478" s="5" t="s">
        <v>274</v>
      </c>
      <c r="D1478" s="5" t="s">
        <v>8</v>
      </c>
      <c r="E1478" s="5" t="s">
        <v>9</v>
      </c>
      <c r="F1478" s="6">
        <v>45657</v>
      </c>
      <c r="G1478" s="5">
        <f t="shared" si="244"/>
        <v>2024</v>
      </c>
      <c r="H1478" s="5" t="str">
        <f t="shared" si="245"/>
        <v>Diciembre</v>
      </c>
      <c r="I1478" s="6" t="str">
        <f t="shared" si="239"/>
        <v>2024-2</v>
      </c>
      <c r="J1478" s="5">
        <f>15507493100/1000000</f>
        <v>15507.4931</v>
      </c>
      <c r="K1478" s="12">
        <v>13243.138849000001</v>
      </c>
      <c r="L1478" s="15">
        <f>IFERROR(IF((K1478/J1478)&gt;1.3,1.3,K1478/J1478),"")</f>
        <v>0.85398321724869908</v>
      </c>
      <c r="M1478" s="15">
        <f t="shared" si="247"/>
        <v>0.85398321724869908</v>
      </c>
      <c r="N1478" s="5" t="s">
        <v>474</v>
      </c>
      <c r="O1478" s="5" t="s">
        <v>474</v>
      </c>
      <c r="P1478" s="16">
        <v>0</v>
      </c>
      <c r="Q1478" s="16">
        <v>0</v>
      </c>
      <c r="R1478" s="5" t="str">
        <f t="shared" si="240"/>
        <v>385-2024-12-31</v>
      </c>
    </row>
    <row r="1479" spans="1:18" x14ac:dyDescent="0.3">
      <c r="A1479" s="26">
        <v>386</v>
      </c>
      <c r="B1479" s="5" t="s">
        <v>275</v>
      </c>
      <c r="C1479" s="5" t="s">
        <v>274</v>
      </c>
      <c r="D1479" s="5" t="s">
        <v>8</v>
      </c>
      <c r="E1479" s="5" t="s">
        <v>9</v>
      </c>
      <c r="F1479" s="6">
        <v>45291</v>
      </c>
      <c r="G1479" s="5">
        <f t="shared" si="244"/>
        <v>2023</v>
      </c>
      <c r="H1479" s="5" t="str">
        <f t="shared" si="245"/>
        <v>Diciembre</v>
      </c>
      <c r="I1479" s="6" t="str">
        <f t="shared" si="239"/>
        <v>2023-2</v>
      </c>
      <c r="J1479" s="9">
        <f>8782515000/1000000</f>
        <v>8782.5149999999994</v>
      </c>
      <c r="K1479" s="9">
        <f>12139120171/1000000</f>
        <v>12139.120171</v>
      </c>
      <c r="L1479" s="15">
        <f t="shared" si="246"/>
        <v>1.3</v>
      </c>
      <c r="M1479" s="15">
        <f t="shared" si="247"/>
        <v>1.3821917948332569</v>
      </c>
      <c r="N1479" s="5" t="s">
        <v>474</v>
      </c>
      <c r="O1479" s="5" t="s">
        <v>474</v>
      </c>
      <c r="P1479" s="16">
        <v>0</v>
      </c>
      <c r="Q1479" s="16">
        <v>0</v>
      </c>
      <c r="R1479" s="5" t="str">
        <f t="shared" si="240"/>
        <v>386-2023-12-31</v>
      </c>
    </row>
    <row r="1480" spans="1:18" x14ac:dyDescent="0.3">
      <c r="A1480" s="26">
        <v>386</v>
      </c>
      <c r="B1480" s="5" t="s">
        <v>275</v>
      </c>
      <c r="C1480" s="5" t="s">
        <v>274</v>
      </c>
      <c r="D1480" s="5" t="s">
        <v>8</v>
      </c>
      <c r="E1480" s="5" t="s">
        <v>9</v>
      </c>
      <c r="F1480" s="6">
        <v>45473</v>
      </c>
      <c r="G1480" s="5">
        <f t="shared" si="244"/>
        <v>2024</v>
      </c>
      <c r="H1480" s="5" t="str">
        <f t="shared" si="245"/>
        <v>Junio</v>
      </c>
      <c r="I1480" s="6" t="str">
        <f t="shared" si="239"/>
        <v>2024-1</v>
      </c>
      <c r="J1480" s="9">
        <f>5441458845/1000000</f>
        <v>5441.4588450000001</v>
      </c>
      <c r="K1480" s="9">
        <f>6182862063/1000000</f>
        <v>6182.8620629999996</v>
      </c>
      <c r="L1480" s="15">
        <f t="shared" si="246"/>
        <v>1.1362508178631643</v>
      </c>
      <c r="M1480" s="15">
        <f t="shared" si="247"/>
        <v>1.1362508178631643</v>
      </c>
      <c r="N1480" s="5" t="s">
        <v>474</v>
      </c>
      <c r="O1480" s="5" t="s">
        <v>474</v>
      </c>
      <c r="P1480" s="16">
        <v>0</v>
      </c>
      <c r="Q1480" s="16">
        <v>0</v>
      </c>
      <c r="R1480" s="5" t="str">
        <f t="shared" si="240"/>
        <v>386-2024-06-30</v>
      </c>
    </row>
    <row r="1481" spans="1:18" x14ac:dyDescent="0.3">
      <c r="A1481" s="26">
        <v>386</v>
      </c>
      <c r="B1481" s="5" t="s">
        <v>275</v>
      </c>
      <c r="C1481" s="5" t="s">
        <v>274</v>
      </c>
      <c r="D1481" s="5" t="s">
        <v>8</v>
      </c>
      <c r="E1481" s="5" t="s">
        <v>9</v>
      </c>
      <c r="F1481" s="6">
        <v>45657</v>
      </c>
      <c r="G1481" s="5">
        <f t="shared" si="244"/>
        <v>2024</v>
      </c>
      <c r="H1481" s="5" t="str">
        <f t="shared" si="245"/>
        <v>Diciembre</v>
      </c>
      <c r="I1481" s="6" t="str">
        <f t="shared" si="239"/>
        <v>2024-2</v>
      </c>
      <c r="J1481" s="9">
        <f>10066034255/1000000</f>
        <v>10066.034255</v>
      </c>
      <c r="K1481" s="9">
        <f>7550531691/1000000</f>
        <v>7550.5316910000001</v>
      </c>
      <c r="L1481" s="15">
        <f t="shared" si="246"/>
        <v>0.75009994002846747</v>
      </c>
      <c r="M1481" s="15">
        <f t="shared" si="247"/>
        <v>0.75009994002846747</v>
      </c>
      <c r="N1481" s="5" t="s">
        <v>474</v>
      </c>
      <c r="O1481" s="5" t="s">
        <v>474</v>
      </c>
      <c r="P1481" s="16">
        <v>0</v>
      </c>
      <c r="Q1481" s="16">
        <v>0</v>
      </c>
      <c r="R1481" s="5" t="str">
        <f t="shared" si="240"/>
        <v>386-2024-12-31</v>
      </c>
    </row>
    <row r="1482" spans="1:18" x14ac:dyDescent="0.3">
      <c r="A1482" s="26">
        <v>387</v>
      </c>
      <c r="B1482" s="5" t="s">
        <v>276</v>
      </c>
      <c r="C1482" s="5" t="s">
        <v>129</v>
      </c>
      <c r="D1482" s="5" t="s">
        <v>8</v>
      </c>
      <c r="E1482" s="5" t="s">
        <v>9</v>
      </c>
      <c r="F1482" s="17">
        <v>45107</v>
      </c>
      <c r="G1482" s="5">
        <f t="shared" si="244"/>
        <v>2023</v>
      </c>
      <c r="H1482" s="5" t="str">
        <f t="shared" si="245"/>
        <v>Junio</v>
      </c>
      <c r="I1482" s="6" t="str">
        <f t="shared" si="239"/>
        <v>2023-1</v>
      </c>
      <c r="J1482" s="5">
        <v>38</v>
      </c>
      <c r="K1482" s="9">
        <v>38</v>
      </c>
      <c r="L1482" s="8">
        <f t="shared" ref="L1482:L1487" si="248">IFERROR(K1482/J1482,"")</f>
        <v>1</v>
      </c>
      <c r="M1482" s="15">
        <f t="shared" si="247"/>
        <v>1</v>
      </c>
      <c r="N1482" s="5" t="s">
        <v>474</v>
      </c>
      <c r="O1482" s="5" t="s">
        <v>474</v>
      </c>
      <c r="P1482" s="16">
        <v>0</v>
      </c>
      <c r="Q1482" s="16">
        <v>0</v>
      </c>
      <c r="R1482" s="5" t="str">
        <f t="shared" si="240"/>
        <v>387-2023-06-30</v>
      </c>
    </row>
    <row r="1483" spans="1:18" x14ac:dyDescent="0.3">
      <c r="A1483" s="39">
        <v>387</v>
      </c>
      <c r="B1483" s="5" t="s">
        <v>276</v>
      </c>
      <c r="C1483" s="5" t="s">
        <v>129</v>
      </c>
      <c r="D1483" s="5" t="s">
        <v>8</v>
      </c>
      <c r="E1483" s="5" t="s">
        <v>9</v>
      </c>
      <c r="F1483" s="6">
        <v>45291</v>
      </c>
      <c r="G1483" s="5">
        <f t="shared" si="244"/>
        <v>2023</v>
      </c>
      <c r="H1483" s="5" t="str">
        <f t="shared" si="245"/>
        <v>Diciembre</v>
      </c>
      <c r="I1483" s="6" t="str">
        <f t="shared" si="239"/>
        <v>2023-2</v>
      </c>
      <c r="J1483" s="5">
        <v>0</v>
      </c>
      <c r="K1483" s="9">
        <v>0</v>
      </c>
      <c r="L1483" s="8" t="str">
        <f t="shared" si="248"/>
        <v/>
      </c>
      <c r="M1483" s="15" t="str">
        <f t="shared" si="247"/>
        <v/>
      </c>
      <c r="N1483" s="5" t="s">
        <v>474</v>
      </c>
      <c r="O1483" s="5" t="s">
        <v>474</v>
      </c>
      <c r="P1483" s="16">
        <v>0</v>
      </c>
      <c r="Q1483" s="16">
        <v>0</v>
      </c>
      <c r="R1483" s="5" t="str">
        <f t="shared" si="240"/>
        <v>387-2023-12-31</v>
      </c>
    </row>
    <row r="1484" spans="1:18" x14ac:dyDescent="0.3">
      <c r="A1484" s="26">
        <v>388</v>
      </c>
      <c r="B1484" s="5" t="s">
        <v>277</v>
      </c>
      <c r="C1484" s="5" t="s">
        <v>129</v>
      </c>
      <c r="D1484" s="5" t="s">
        <v>8</v>
      </c>
      <c r="E1484" s="5" t="s">
        <v>9</v>
      </c>
      <c r="F1484" s="17">
        <v>45107</v>
      </c>
      <c r="G1484" s="5">
        <f t="shared" si="244"/>
        <v>2023</v>
      </c>
      <c r="H1484" s="5" t="str">
        <f t="shared" si="245"/>
        <v>Junio</v>
      </c>
      <c r="I1484" s="6" t="str">
        <f t="shared" si="239"/>
        <v>2023-1</v>
      </c>
      <c r="J1484" s="5">
        <v>77</v>
      </c>
      <c r="K1484" s="9">
        <v>77</v>
      </c>
      <c r="L1484" s="8">
        <f t="shared" si="248"/>
        <v>1</v>
      </c>
      <c r="M1484" s="15">
        <f t="shared" si="247"/>
        <v>1</v>
      </c>
      <c r="N1484" s="5" t="s">
        <v>474</v>
      </c>
      <c r="O1484" s="5" t="s">
        <v>474</v>
      </c>
      <c r="P1484" s="16">
        <v>0</v>
      </c>
      <c r="Q1484" s="16">
        <v>0</v>
      </c>
      <c r="R1484" s="5" t="str">
        <f t="shared" si="240"/>
        <v>388-2023-06-30</v>
      </c>
    </row>
    <row r="1485" spans="1:18" x14ac:dyDescent="0.3">
      <c r="A1485" s="39">
        <v>388</v>
      </c>
      <c r="B1485" s="5" t="s">
        <v>277</v>
      </c>
      <c r="C1485" s="5" t="s">
        <v>129</v>
      </c>
      <c r="D1485" s="5" t="s">
        <v>8</v>
      </c>
      <c r="E1485" s="5" t="s">
        <v>9</v>
      </c>
      <c r="F1485" s="6">
        <v>45291</v>
      </c>
      <c r="G1485" s="5">
        <f t="shared" si="244"/>
        <v>2023</v>
      </c>
      <c r="H1485" s="5" t="str">
        <f t="shared" si="245"/>
        <v>Diciembre</v>
      </c>
      <c r="I1485" s="6" t="str">
        <f t="shared" si="239"/>
        <v>2023-2</v>
      </c>
      <c r="J1485" s="5">
        <v>16</v>
      </c>
      <c r="K1485" s="9">
        <v>16</v>
      </c>
      <c r="L1485" s="8">
        <f t="shared" si="248"/>
        <v>1</v>
      </c>
      <c r="M1485" s="15">
        <f t="shared" si="247"/>
        <v>1</v>
      </c>
      <c r="N1485" s="5" t="s">
        <v>474</v>
      </c>
      <c r="O1485" s="5" t="s">
        <v>474</v>
      </c>
      <c r="P1485" s="16">
        <v>0</v>
      </c>
      <c r="Q1485" s="16">
        <v>0</v>
      </c>
      <c r="R1485" s="5" t="str">
        <f t="shared" si="240"/>
        <v>388-2023-12-31</v>
      </c>
    </row>
    <row r="1486" spans="1:18" x14ac:dyDescent="0.3">
      <c r="A1486" s="26">
        <v>389</v>
      </c>
      <c r="B1486" s="5" t="s">
        <v>278</v>
      </c>
      <c r="C1486" s="5" t="s">
        <v>124</v>
      </c>
      <c r="D1486" s="5" t="s">
        <v>8</v>
      </c>
      <c r="E1486" s="5" t="s">
        <v>9</v>
      </c>
      <c r="F1486" s="17">
        <v>45107</v>
      </c>
      <c r="G1486" s="5">
        <f t="shared" si="244"/>
        <v>2023</v>
      </c>
      <c r="H1486" s="5" t="str">
        <f t="shared" si="245"/>
        <v>Junio</v>
      </c>
      <c r="I1486" s="6" t="str">
        <f t="shared" si="239"/>
        <v>2023-1</v>
      </c>
      <c r="J1486" s="5">
        <v>91</v>
      </c>
      <c r="K1486" s="9">
        <v>84.783333333333303</v>
      </c>
      <c r="L1486" s="8">
        <f t="shared" si="248"/>
        <v>0.93168498168498137</v>
      </c>
      <c r="M1486" s="15">
        <f t="shared" si="247"/>
        <v>0.93168498168498137</v>
      </c>
      <c r="N1486" s="5" t="s">
        <v>474</v>
      </c>
      <c r="O1486" s="5" t="s">
        <v>474</v>
      </c>
      <c r="P1486" s="16">
        <v>0</v>
      </c>
      <c r="Q1486" s="16">
        <v>0</v>
      </c>
      <c r="R1486" s="5" t="str">
        <f t="shared" si="240"/>
        <v>389-2023-06-30</v>
      </c>
    </row>
    <row r="1487" spans="1:18" x14ac:dyDescent="0.3">
      <c r="A1487" s="39">
        <v>389</v>
      </c>
      <c r="B1487" s="5" t="s">
        <v>278</v>
      </c>
      <c r="C1487" s="5" t="s">
        <v>124</v>
      </c>
      <c r="D1487" s="5" t="s">
        <v>8</v>
      </c>
      <c r="E1487" s="5" t="s">
        <v>9</v>
      </c>
      <c r="F1487" s="6">
        <v>45291</v>
      </c>
      <c r="G1487" s="5">
        <f t="shared" si="244"/>
        <v>2023</v>
      </c>
      <c r="H1487" s="5" t="str">
        <f t="shared" si="245"/>
        <v>Diciembre</v>
      </c>
      <c r="I1487" s="6" t="str">
        <f t="shared" si="239"/>
        <v>2023-2</v>
      </c>
      <c r="J1487" s="5">
        <v>91</v>
      </c>
      <c r="K1487" s="9">
        <v>85.42</v>
      </c>
      <c r="L1487" s="8">
        <f t="shared" si="248"/>
        <v>0.93868131868131865</v>
      </c>
      <c r="M1487" s="15">
        <f t="shared" si="247"/>
        <v>0.93868131868131865</v>
      </c>
      <c r="N1487" s="5" t="s">
        <v>474</v>
      </c>
      <c r="O1487" s="5" t="s">
        <v>474</v>
      </c>
      <c r="P1487" s="16">
        <v>0</v>
      </c>
      <c r="Q1487" s="16">
        <v>0</v>
      </c>
      <c r="R1487" s="5" t="str">
        <f t="shared" si="240"/>
        <v>389-2023-12-31</v>
      </c>
    </row>
    <row r="1488" spans="1:18" x14ac:dyDescent="0.3">
      <c r="A1488" s="5">
        <v>389</v>
      </c>
      <c r="B1488" s="5" t="s">
        <v>278</v>
      </c>
      <c r="C1488" s="5" t="s">
        <v>124</v>
      </c>
      <c r="D1488" s="5" t="s">
        <v>8</v>
      </c>
      <c r="E1488" s="5" t="s">
        <v>9</v>
      </c>
      <c r="F1488" s="6">
        <v>45473</v>
      </c>
      <c r="G1488" s="5">
        <f t="shared" si="244"/>
        <v>2024</v>
      </c>
      <c r="H1488" s="5" t="str">
        <f t="shared" si="245"/>
        <v>Junio</v>
      </c>
      <c r="I1488" s="6" t="str">
        <f t="shared" si="239"/>
        <v>2024-1</v>
      </c>
      <c r="J1488" s="5">
        <v>85</v>
      </c>
      <c r="K1488" s="5">
        <v>84.433333333333294</v>
      </c>
      <c r="L1488" s="15">
        <v>0.99333333333333285</v>
      </c>
      <c r="M1488" s="15">
        <v>0.99333333333333285</v>
      </c>
      <c r="N1488" s="5" t="s">
        <v>347</v>
      </c>
      <c r="O1488" s="5" t="s">
        <v>347</v>
      </c>
      <c r="P1488" s="5">
        <v>0</v>
      </c>
      <c r="Q1488" s="5">
        <v>0</v>
      </c>
      <c r="R1488" s="5" t="str">
        <f t="shared" si="240"/>
        <v>389-2024-06-30</v>
      </c>
    </row>
    <row r="1489" spans="1:18" x14ac:dyDescent="0.3">
      <c r="A1489" s="26">
        <v>389</v>
      </c>
      <c r="B1489" s="5" t="s">
        <v>278</v>
      </c>
      <c r="C1489" s="5" t="s">
        <v>124</v>
      </c>
      <c r="D1489" s="5" t="s">
        <v>8</v>
      </c>
      <c r="E1489" s="5" t="s">
        <v>9</v>
      </c>
      <c r="F1489" s="6">
        <v>45657</v>
      </c>
      <c r="G1489" s="5">
        <f t="shared" si="244"/>
        <v>2024</v>
      </c>
      <c r="H1489" s="5" t="str">
        <f t="shared" si="245"/>
        <v>Diciembre</v>
      </c>
      <c r="I1489" s="6" t="str">
        <f t="shared" si="239"/>
        <v>2024-2</v>
      </c>
      <c r="J1489" s="5">
        <v>85</v>
      </c>
      <c r="K1489" s="10">
        <v>0</v>
      </c>
      <c r="L1489" s="15">
        <f>IFERROR(IF((K1489/J1489)&gt;1.3,1.3,K1489/J1489),"")</f>
        <v>0</v>
      </c>
      <c r="M1489" s="15">
        <f>IFERROR(IF((K1489/J1489)&gt;K1489/J1489,1.3,K1489/J1489),"")</f>
        <v>0</v>
      </c>
      <c r="N1489" s="5" t="s">
        <v>347</v>
      </c>
      <c r="O1489" s="5" t="s">
        <v>347</v>
      </c>
      <c r="P1489" s="16">
        <v>0</v>
      </c>
      <c r="Q1489" s="16">
        <v>0</v>
      </c>
      <c r="R1489" s="5" t="str">
        <f t="shared" si="240"/>
        <v>389-2024-12-31</v>
      </c>
    </row>
    <row r="1490" spans="1:18" x14ac:dyDescent="0.3">
      <c r="A1490" s="26">
        <v>390</v>
      </c>
      <c r="B1490" s="5" t="s">
        <v>279</v>
      </c>
      <c r="C1490" s="5" t="s">
        <v>131</v>
      </c>
      <c r="D1490" s="5" t="s">
        <v>11</v>
      </c>
      <c r="E1490" s="5" t="s">
        <v>9</v>
      </c>
      <c r="F1490" s="6">
        <v>45107</v>
      </c>
      <c r="G1490" s="5">
        <f t="shared" si="244"/>
        <v>2023</v>
      </c>
      <c r="H1490" s="5" t="str">
        <f t="shared" si="245"/>
        <v>Junio</v>
      </c>
      <c r="I1490" s="6" t="str">
        <f t="shared" si="239"/>
        <v>2023-1</v>
      </c>
      <c r="J1490" s="5">
        <v>100</v>
      </c>
      <c r="K1490" s="9">
        <v>110.38</v>
      </c>
      <c r="L1490" s="8">
        <f>IFERROR(K1490/J1490,"")</f>
        <v>1.1037999999999999</v>
      </c>
      <c r="M1490" s="15">
        <f>IFERROR(IF((K1490/J1490)&gt;K1490/J1490,1.3,K1490/J1490),"")</f>
        <v>1.1037999999999999</v>
      </c>
      <c r="N1490" s="5" t="s">
        <v>347</v>
      </c>
      <c r="O1490" s="5" t="s">
        <v>347</v>
      </c>
      <c r="P1490" s="16">
        <v>0</v>
      </c>
      <c r="Q1490" s="16">
        <v>0</v>
      </c>
      <c r="R1490" s="5" t="str">
        <f t="shared" si="240"/>
        <v>390-2023-06-30</v>
      </c>
    </row>
    <row r="1491" spans="1:18" x14ac:dyDescent="0.3">
      <c r="A1491" s="26">
        <v>390</v>
      </c>
      <c r="B1491" s="5" t="s">
        <v>279</v>
      </c>
      <c r="C1491" s="5" t="s">
        <v>131</v>
      </c>
      <c r="D1491" s="5" t="s">
        <v>11</v>
      </c>
      <c r="E1491" s="5" t="s">
        <v>9</v>
      </c>
      <c r="F1491" s="6">
        <v>45199</v>
      </c>
      <c r="G1491" s="5">
        <f t="shared" si="244"/>
        <v>2023</v>
      </c>
      <c r="H1491" s="5" t="str">
        <f t="shared" si="245"/>
        <v>Septiembre</v>
      </c>
      <c r="I1491" s="6" t="str">
        <f t="shared" si="239"/>
        <v>2023-2</v>
      </c>
      <c r="J1491" s="5">
        <v>100</v>
      </c>
      <c r="K1491" s="9">
        <v>95.34</v>
      </c>
      <c r="L1491" s="8">
        <f>IFERROR(K1491/J1491,"")</f>
        <v>0.95340000000000003</v>
      </c>
      <c r="M1491" s="15">
        <f>IFERROR(IF((K1491/J1491)&gt;K1491/J1491,1.3,K1491/J1491),"")</f>
        <v>0.95340000000000003</v>
      </c>
      <c r="N1491" s="5" t="s">
        <v>347</v>
      </c>
      <c r="O1491" s="5" t="s">
        <v>347</v>
      </c>
      <c r="P1491" s="16">
        <v>0</v>
      </c>
      <c r="Q1491" s="16">
        <v>0</v>
      </c>
      <c r="R1491" s="5" t="str">
        <f t="shared" si="240"/>
        <v>390-2023-09-30</v>
      </c>
    </row>
    <row r="1492" spans="1:18" x14ac:dyDescent="0.3">
      <c r="A1492" s="26">
        <v>390</v>
      </c>
      <c r="B1492" s="5" t="s">
        <v>279</v>
      </c>
      <c r="C1492" s="5" t="s">
        <v>131</v>
      </c>
      <c r="D1492" s="5" t="s">
        <v>11</v>
      </c>
      <c r="E1492" s="5" t="s">
        <v>9</v>
      </c>
      <c r="F1492" s="6">
        <v>45291</v>
      </c>
      <c r="G1492" s="5">
        <f t="shared" si="244"/>
        <v>2023</v>
      </c>
      <c r="H1492" s="5" t="str">
        <f t="shared" si="245"/>
        <v>Diciembre</v>
      </c>
      <c r="I1492" s="6" t="str">
        <f t="shared" si="239"/>
        <v>2023-2</v>
      </c>
      <c r="J1492" s="5">
        <v>100</v>
      </c>
      <c r="K1492" s="9">
        <v>99.25</v>
      </c>
      <c r="L1492" s="8">
        <f>IFERROR(K1492/J1492,"")</f>
        <v>0.99250000000000005</v>
      </c>
      <c r="M1492" s="15">
        <f>IFERROR(IF((K1492/J1492)&gt;K1492/J1492,1.3,K1492/J1492),"")</f>
        <v>0.99250000000000005</v>
      </c>
      <c r="N1492" s="5" t="s">
        <v>347</v>
      </c>
      <c r="O1492" s="5" t="s">
        <v>347</v>
      </c>
      <c r="P1492" s="16">
        <v>0</v>
      </c>
      <c r="Q1492" s="16">
        <v>0</v>
      </c>
      <c r="R1492" s="5" t="str">
        <f t="shared" si="240"/>
        <v>390-2023-12-31</v>
      </c>
    </row>
    <row r="1493" spans="1:18" x14ac:dyDescent="0.3">
      <c r="A1493" s="26">
        <v>390</v>
      </c>
      <c r="B1493" s="5" t="s">
        <v>279</v>
      </c>
      <c r="C1493" s="5" t="s">
        <v>131</v>
      </c>
      <c r="D1493" s="5" t="s">
        <v>11</v>
      </c>
      <c r="E1493" s="5" t="s">
        <v>9</v>
      </c>
      <c r="F1493" s="6">
        <v>45382</v>
      </c>
      <c r="G1493" s="5">
        <f t="shared" si="244"/>
        <v>2024</v>
      </c>
      <c r="H1493" s="5" t="str">
        <f t="shared" si="245"/>
        <v>Marzo</v>
      </c>
      <c r="I1493" s="6" t="str">
        <f t="shared" si="239"/>
        <v>2024-1</v>
      </c>
      <c r="J1493" s="5">
        <v>100</v>
      </c>
      <c r="K1493" s="10">
        <v>168.53</v>
      </c>
      <c r="L1493" s="15">
        <f>IFERROR(IF((K1493/J1493)&gt;1.3,1.3,K1493/J1493),"")</f>
        <v>1.3</v>
      </c>
      <c r="M1493" s="15">
        <f>IFERROR(IF((K1493/J1493)&gt;K1493/J1493,1.3,K1493/J1493),"")</f>
        <v>1.6853</v>
      </c>
      <c r="N1493" s="5"/>
      <c r="O1493" s="5"/>
      <c r="P1493" s="16">
        <v>0</v>
      </c>
      <c r="Q1493" s="16">
        <v>0</v>
      </c>
      <c r="R1493" s="5" t="str">
        <f t="shared" si="240"/>
        <v>390-2024-03-31</v>
      </c>
    </row>
    <row r="1494" spans="1:18" x14ac:dyDescent="0.3">
      <c r="A1494" s="5">
        <v>390</v>
      </c>
      <c r="B1494" s="5" t="s">
        <v>279</v>
      </c>
      <c r="C1494" s="5" t="s">
        <v>131</v>
      </c>
      <c r="D1494" s="5" t="s">
        <v>11</v>
      </c>
      <c r="E1494" s="5" t="s">
        <v>9</v>
      </c>
      <c r="F1494" s="6">
        <v>45473</v>
      </c>
      <c r="G1494" s="5">
        <f t="shared" si="244"/>
        <v>2024</v>
      </c>
      <c r="H1494" s="5" t="str">
        <f t="shared" si="245"/>
        <v>Junio</v>
      </c>
      <c r="I1494" s="6" t="str">
        <f t="shared" si="239"/>
        <v>2024-1</v>
      </c>
      <c r="J1494" s="5">
        <v>100</v>
      </c>
      <c r="K1494" s="5">
        <v>111.61</v>
      </c>
      <c r="L1494" s="15">
        <v>1.1161000000000001</v>
      </c>
      <c r="M1494" s="15">
        <v>1.1161000000000001</v>
      </c>
      <c r="N1494" s="5"/>
      <c r="O1494" s="5"/>
      <c r="P1494" s="5">
        <v>0</v>
      </c>
      <c r="Q1494" s="5">
        <v>0</v>
      </c>
      <c r="R1494" s="5" t="str">
        <f t="shared" si="240"/>
        <v>390-2024-06-30</v>
      </c>
    </row>
    <row r="1495" spans="1:18" x14ac:dyDescent="0.3">
      <c r="A1495" s="26">
        <v>390</v>
      </c>
      <c r="B1495" s="5" t="s">
        <v>279</v>
      </c>
      <c r="C1495" s="5" t="s">
        <v>131</v>
      </c>
      <c r="D1495" s="5" t="s">
        <v>11</v>
      </c>
      <c r="E1495" s="5" t="s">
        <v>9</v>
      </c>
      <c r="F1495" s="6">
        <v>45565</v>
      </c>
      <c r="G1495" s="5">
        <f t="shared" si="244"/>
        <v>2024</v>
      </c>
      <c r="H1495" s="5" t="str">
        <f t="shared" si="245"/>
        <v>Septiembre</v>
      </c>
      <c r="I1495" s="6" t="str">
        <f t="shared" si="239"/>
        <v>2024-2</v>
      </c>
      <c r="J1495" s="5">
        <v>100</v>
      </c>
      <c r="K1495" s="10">
        <v>83.32</v>
      </c>
      <c r="L1495" s="15">
        <f>IFERROR(IF((K1495/J1495)&gt;1.3,1.3,K1495/J1495),"")</f>
        <v>0.83319999999999994</v>
      </c>
      <c r="M1495" s="15">
        <f>IFERROR(IF((K1495/J1495)&gt;K1495/J1495,1.3,K1495/J1495),"")</f>
        <v>0.83319999999999994</v>
      </c>
      <c r="N1495" s="5"/>
      <c r="O1495" s="5"/>
      <c r="P1495" s="16">
        <v>0</v>
      </c>
      <c r="Q1495" s="16">
        <v>0</v>
      </c>
      <c r="R1495" s="5" t="str">
        <f t="shared" si="240"/>
        <v>390-2024-09-30</v>
      </c>
    </row>
    <row r="1496" spans="1:18" x14ac:dyDescent="0.3">
      <c r="A1496" s="26">
        <v>390</v>
      </c>
      <c r="B1496" s="5" t="s">
        <v>279</v>
      </c>
      <c r="C1496" s="5" t="s">
        <v>131</v>
      </c>
      <c r="D1496" s="5" t="s">
        <v>11</v>
      </c>
      <c r="E1496" s="5" t="s">
        <v>9</v>
      </c>
      <c r="F1496" s="6">
        <v>45657</v>
      </c>
      <c r="G1496" s="5">
        <f t="shared" si="244"/>
        <v>2024</v>
      </c>
      <c r="H1496" s="5" t="str">
        <f t="shared" si="245"/>
        <v>Diciembre</v>
      </c>
      <c r="I1496" s="6" t="str">
        <f t="shared" si="239"/>
        <v>2024-2</v>
      </c>
      <c r="J1496" s="5">
        <v>100</v>
      </c>
      <c r="K1496" s="10">
        <v>0</v>
      </c>
      <c r="L1496" s="15">
        <f>IFERROR(IF((K1496/J1496)&gt;1.3,1.3,K1496/J1496),"")</f>
        <v>0</v>
      </c>
      <c r="M1496" s="15">
        <f>IFERROR(IF((K1496/J1496)&gt;K1496/J1496,1.3,K1496/J1496),"")</f>
        <v>0</v>
      </c>
      <c r="N1496" s="5"/>
      <c r="O1496" s="5"/>
      <c r="P1496" s="16">
        <v>0</v>
      </c>
      <c r="Q1496" s="16">
        <v>0</v>
      </c>
      <c r="R1496" s="5" t="str">
        <f t="shared" si="240"/>
        <v>390-2024-12-31</v>
      </c>
    </row>
    <row r="1497" spans="1:18" x14ac:dyDescent="0.3">
      <c r="A1497" s="26">
        <v>391</v>
      </c>
      <c r="B1497" s="5" t="s">
        <v>280</v>
      </c>
      <c r="C1497" s="5" t="s">
        <v>281</v>
      </c>
      <c r="D1497" s="5" t="s">
        <v>8</v>
      </c>
      <c r="E1497" s="5" t="s">
        <v>9</v>
      </c>
      <c r="F1497" s="17">
        <v>45107</v>
      </c>
      <c r="G1497" s="5">
        <f t="shared" si="244"/>
        <v>2023</v>
      </c>
      <c r="H1497" s="5" t="str">
        <f t="shared" si="245"/>
        <v>Junio</v>
      </c>
      <c r="I1497" s="6" t="str">
        <f t="shared" si="239"/>
        <v>2023-1</v>
      </c>
      <c r="J1497" s="5">
        <v>100</v>
      </c>
      <c r="K1497" s="9">
        <v>100</v>
      </c>
      <c r="L1497" s="8">
        <f>IFERROR(K1497/J1497,"")</f>
        <v>1</v>
      </c>
      <c r="M1497" s="15">
        <f>IFERROR(IF((K1497/J1497)&gt;K1497/J1497,1.3,K1497/J1497),"")</f>
        <v>1</v>
      </c>
      <c r="N1497" s="5" t="s">
        <v>347</v>
      </c>
      <c r="O1497" s="5" t="s">
        <v>347</v>
      </c>
      <c r="P1497" s="16">
        <v>0</v>
      </c>
      <c r="Q1497" s="16">
        <v>0</v>
      </c>
      <c r="R1497" s="5" t="str">
        <f t="shared" si="240"/>
        <v>391-2023-06-30</v>
      </c>
    </row>
    <row r="1498" spans="1:18" x14ac:dyDescent="0.3">
      <c r="A1498" s="39">
        <v>391</v>
      </c>
      <c r="B1498" s="5" t="s">
        <v>280</v>
      </c>
      <c r="C1498" s="5" t="s">
        <v>281</v>
      </c>
      <c r="D1498" s="5" t="s">
        <v>8</v>
      </c>
      <c r="E1498" s="5" t="s">
        <v>9</v>
      </c>
      <c r="F1498" s="6">
        <v>45291</v>
      </c>
      <c r="G1498" s="5">
        <f t="shared" si="244"/>
        <v>2023</v>
      </c>
      <c r="H1498" s="5" t="str">
        <f t="shared" si="245"/>
        <v>Diciembre</v>
      </c>
      <c r="I1498" s="6" t="str">
        <f t="shared" si="239"/>
        <v>2023-2</v>
      </c>
      <c r="J1498" s="5">
        <v>100</v>
      </c>
      <c r="K1498" s="9">
        <v>100</v>
      </c>
      <c r="L1498" s="8">
        <f>IFERROR(K1498/J1498,"")</f>
        <v>1</v>
      </c>
      <c r="M1498" s="15">
        <f>IFERROR(IF((K1498/J1498)&gt;K1498/J1498,1.3,K1498/J1498),"")</f>
        <v>1</v>
      </c>
      <c r="N1498" s="5" t="s">
        <v>347</v>
      </c>
      <c r="O1498" s="5" t="s">
        <v>347</v>
      </c>
      <c r="P1498" s="16">
        <v>0</v>
      </c>
      <c r="Q1498" s="16">
        <v>0</v>
      </c>
      <c r="R1498" s="5" t="str">
        <f t="shared" si="240"/>
        <v>391-2023-12-31</v>
      </c>
    </row>
    <row r="1499" spans="1:18" x14ac:dyDescent="0.3">
      <c r="A1499" s="5">
        <v>391</v>
      </c>
      <c r="B1499" s="5" t="s">
        <v>280</v>
      </c>
      <c r="C1499" s="5" t="s">
        <v>281</v>
      </c>
      <c r="D1499" s="5" t="s">
        <v>8</v>
      </c>
      <c r="E1499" s="5" t="s">
        <v>9</v>
      </c>
      <c r="F1499" s="6">
        <v>45473</v>
      </c>
      <c r="G1499" s="5">
        <f t="shared" si="244"/>
        <v>2024</v>
      </c>
      <c r="H1499" s="5" t="str">
        <f t="shared" si="245"/>
        <v>Junio</v>
      </c>
      <c r="I1499" s="6" t="str">
        <f t="shared" ref="I1499:I1558" si="249">IF(OR(H1499="Enero",H1499="Febrero",H1499="Marzo",H1499="Abril",H1499="Mayo",H1499="Junio"),G1499&amp;"-1",IF(OR(H1499="Julio",H1499="Agosto",H1499="Septiembre",H1499="Octubre",H1499="Noviembre",H1499="Diciembre"),G1499&amp;"-2"))</f>
        <v>2024-1</v>
      </c>
      <c r="J1499" s="5">
        <v>96</v>
      </c>
      <c r="K1499" s="5">
        <v>100</v>
      </c>
      <c r="L1499" s="15">
        <v>1.0416666666666667</v>
      </c>
      <c r="M1499" s="15">
        <v>1.0416666666666667</v>
      </c>
      <c r="N1499" s="5" t="s">
        <v>347</v>
      </c>
      <c r="O1499" s="5" t="s">
        <v>347</v>
      </c>
      <c r="P1499" s="5">
        <v>0</v>
      </c>
      <c r="Q1499" s="5">
        <v>0</v>
      </c>
      <c r="R1499" s="5" t="str">
        <f t="shared" ref="R1499:R1558" si="250">A1499&amp;"-"&amp;YEAR(F1499)&amp;"-"&amp;IF(LEN(MONTH(F1499))=1,"0"&amp;MONTH(F1499),MONTH(F1499))&amp;"-"&amp;DAY(F1499)</f>
        <v>391-2024-06-30</v>
      </c>
    </row>
    <row r="1500" spans="1:18" x14ac:dyDescent="0.3">
      <c r="A1500" s="26">
        <v>391</v>
      </c>
      <c r="B1500" s="5" t="s">
        <v>280</v>
      </c>
      <c r="C1500" s="5" t="s">
        <v>281</v>
      </c>
      <c r="D1500" s="5" t="s">
        <v>8</v>
      </c>
      <c r="E1500" s="5" t="s">
        <v>9</v>
      </c>
      <c r="F1500" s="6">
        <v>45657</v>
      </c>
      <c r="G1500" s="5">
        <f t="shared" si="244"/>
        <v>2024</v>
      </c>
      <c r="H1500" s="5" t="str">
        <f t="shared" si="245"/>
        <v>Diciembre</v>
      </c>
      <c r="I1500" s="6" t="str">
        <f t="shared" si="249"/>
        <v>2024-2</v>
      </c>
      <c r="J1500" s="5">
        <v>96</v>
      </c>
      <c r="K1500" s="10">
        <v>100</v>
      </c>
      <c r="L1500" s="15">
        <f>IFERROR(IF((K1500/J1500)&gt;1.3,1.3,K1500/J1500),"")</f>
        <v>1.0416666666666667</v>
      </c>
      <c r="M1500" s="15">
        <f>IFERROR(IF((K1500/J1500)&gt;K1500/J1500,1.3,K1500/J1500),"")</f>
        <v>1.0416666666666667</v>
      </c>
      <c r="N1500" s="5" t="s">
        <v>347</v>
      </c>
      <c r="O1500" s="5" t="s">
        <v>347</v>
      </c>
      <c r="P1500" s="16">
        <v>0</v>
      </c>
      <c r="Q1500" s="16">
        <v>0</v>
      </c>
      <c r="R1500" s="5" t="str">
        <f t="shared" si="250"/>
        <v>391-2024-12-31</v>
      </c>
    </row>
    <row r="1501" spans="1:18" x14ac:dyDescent="0.3">
      <c r="A1501" s="26">
        <v>392</v>
      </c>
      <c r="B1501" s="5" t="s">
        <v>282</v>
      </c>
      <c r="C1501" s="5" t="s">
        <v>281</v>
      </c>
      <c r="D1501" s="5" t="s">
        <v>8</v>
      </c>
      <c r="E1501" s="5" t="s">
        <v>9</v>
      </c>
      <c r="F1501" s="17">
        <v>45107</v>
      </c>
      <c r="G1501" s="5">
        <f t="shared" si="244"/>
        <v>2023</v>
      </c>
      <c r="H1501" s="5" t="str">
        <f t="shared" si="245"/>
        <v>Junio</v>
      </c>
      <c r="I1501" s="6" t="str">
        <f t="shared" si="249"/>
        <v>2023-1</v>
      </c>
      <c r="J1501" s="34">
        <v>310000000</v>
      </c>
      <c r="K1501" s="9">
        <v>341285148</v>
      </c>
      <c r="L1501" s="8">
        <f>IFERROR(K1501/J1501,"")</f>
        <v>1.1009198322580644</v>
      </c>
      <c r="M1501" s="15">
        <f>IFERROR(IF((K1501/J1501)&gt;K1501/J1501,1.3,K1501/J1501),"")</f>
        <v>1.1009198322580644</v>
      </c>
      <c r="N1501" s="11" t="s">
        <v>347</v>
      </c>
      <c r="O1501" s="11" t="s">
        <v>347</v>
      </c>
      <c r="P1501" s="16">
        <v>0</v>
      </c>
      <c r="Q1501" s="16">
        <v>0</v>
      </c>
      <c r="R1501" s="5" t="str">
        <f t="shared" si="250"/>
        <v>392-2023-06-30</v>
      </c>
    </row>
    <row r="1502" spans="1:18" x14ac:dyDescent="0.3">
      <c r="A1502" s="39">
        <v>392</v>
      </c>
      <c r="B1502" s="5" t="s">
        <v>282</v>
      </c>
      <c r="C1502" s="5" t="s">
        <v>281</v>
      </c>
      <c r="D1502" s="5" t="s">
        <v>8</v>
      </c>
      <c r="E1502" s="5" t="s">
        <v>9</v>
      </c>
      <c r="F1502" s="6">
        <v>45291</v>
      </c>
      <c r="G1502" s="5">
        <f t="shared" si="244"/>
        <v>2023</v>
      </c>
      <c r="H1502" s="5" t="str">
        <f t="shared" si="245"/>
        <v>Diciembre</v>
      </c>
      <c r="I1502" s="6" t="str">
        <f t="shared" si="249"/>
        <v>2023-2</v>
      </c>
      <c r="J1502" s="34">
        <v>420000000</v>
      </c>
      <c r="K1502" s="9">
        <v>1075863089</v>
      </c>
      <c r="L1502" s="8">
        <f>IFERROR(K1502/J1502,"")</f>
        <v>2.5615787833333332</v>
      </c>
      <c r="M1502" s="15">
        <f>IFERROR(IF((K1502/J1502)&gt;K1502/J1502,1.3,K1502/J1502),"")</f>
        <v>2.5615787833333332</v>
      </c>
      <c r="N1502" s="5" t="s">
        <v>347</v>
      </c>
      <c r="O1502" s="5" t="s">
        <v>347</v>
      </c>
      <c r="P1502" s="16">
        <v>0</v>
      </c>
      <c r="Q1502" s="16">
        <v>0</v>
      </c>
      <c r="R1502" s="5" t="str">
        <f t="shared" si="250"/>
        <v>392-2023-12-31</v>
      </c>
    </row>
    <row r="1503" spans="1:18" x14ac:dyDescent="0.3">
      <c r="A1503" s="5">
        <v>392</v>
      </c>
      <c r="B1503" s="5" t="s">
        <v>282</v>
      </c>
      <c r="C1503" s="5" t="s">
        <v>281</v>
      </c>
      <c r="D1503" s="5" t="s">
        <v>8</v>
      </c>
      <c r="E1503" s="5" t="s">
        <v>9</v>
      </c>
      <c r="F1503" s="6">
        <v>45473</v>
      </c>
      <c r="G1503" s="5">
        <f t="shared" si="244"/>
        <v>2024</v>
      </c>
      <c r="H1503" s="5" t="str">
        <f t="shared" si="245"/>
        <v>Junio</v>
      </c>
      <c r="I1503" s="6" t="str">
        <f t="shared" si="249"/>
        <v>2024-1</v>
      </c>
      <c r="J1503" s="34">
        <v>341000000</v>
      </c>
      <c r="K1503" s="34">
        <v>334552287</v>
      </c>
      <c r="L1503" s="15">
        <v>0.98109175073313781</v>
      </c>
      <c r="M1503" s="15">
        <v>0.98109175073313781</v>
      </c>
      <c r="N1503" s="5" t="s">
        <v>474</v>
      </c>
      <c r="O1503" s="5" t="s">
        <v>474</v>
      </c>
      <c r="P1503" s="5">
        <v>0</v>
      </c>
      <c r="Q1503" s="5">
        <v>0</v>
      </c>
      <c r="R1503" s="5" t="str">
        <f t="shared" si="250"/>
        <v>392-2024-06-30</v>
      </c>
    </row>
    <row r="1504" spans="1:18" x14ac:dyDescent="0.3">
      <c r="A1504" s="26">
        <v>392</v>
      </c>
      <c r="B1504" s="5" t="s">
        <v>282</v>
      </c>
      <c r="C1504" s="5" t="s">
        <v>281</v>
      </c>
      <c r="D1504" s="5" t="s">
        <v>8</v>
      </c>
      <c r="E1504" s="5" t="s">
        <v>9</v>
      </c>
      <c r="F1504" s="6">
        <v>45657</v>
      </c>
      <c r="G1504" s="5">
        <f t="shared" si="244"/>
        <v>2024</v>
      </c>
      <c r="H1504" s="5" t="str">
        <f t="shared" si="245"/>
        <v>Diciembre</v>
      </c>
      <c r="I1504" s="6" t="str">
        <f t="shared" si="249"/>
        <v>2024-2</v>
      </c>
      <c r="J1504" s="5">
        <v>100</v>
      </c>
      <c r="K1504" s="10">
        <v>252.39</v>
      </c>
      <c r="L1504" s="15">
        <f>IFERROR(IF((K1504/J1504)&gt;1.3,1.3,K1504/J1504),"")</f>
        <v>1.3</v>
      </c>
      <c r="M1504" s="15">
        <f>IFERROR(IF((K1504/J1504)&gt;K1504/J1504,1.3,K1504/J1504),"")</f>
        <v>2.5238999999999998</v>
      </c>
      <c r="N1504" s="5" t="s">
        <v>474</v>
      </c>
      <c r="O1504" s="5" t="s">
        <v>474</v>
      </c>
      <c r="P1504" s="16">
        <v>0</v>
      </c>
      <c r="Q1504" s="16">
        <v>0</v>
      </c>
      <c r="R1504" s="5" t="str">
        <f t="shared" si="250"/>
        <v>392-2024-12-31</v>
      </c>
    </row>
    <row r="1505" spans="1:18" x14ac:dyDescent="0.3">
      <c r="A1505" s="39">
        <v>393</v>
      </c>
      <c r="B1505" s="5" t="s">
        <v>283</v>
      </c>
      <c r="C1505" s="5" t="s">
        <v>281</v>
      </c>
      <c r="D1505" s="5" t="s">
        <v>25</v>
      </c>
      <c r="E1505" s="5" t="s">
        <v>9</v>
      </c>
      <c r="F1505" s="6">
        <v>45291</v>
      </c>
      <c r="G1505" s="5">
        <f t="shared" si="244"/>
        <v>2023</v>
      </c>
      <c r="H1505" s="5" t="str">
        <f t="shared" si="245"/>
        <v>Diciembre</v>
      </c>
      <c r="I1505" s="6" t="str">
        <f t="shared" si="249"/>
        <v>2023-2</v>
      </c>
      <c r="J1505" s="5">
        <v>15</v>
      </c>
      <c r="K1505" s="9">
        <v>15.45</v>
      </c>
      <c r="L1505" s="8">
        <f>IFERROR(J1505/K1505,"")</f>
        <v>0.970873786407767</v>
      </c>
      <c r="M1505" s="15">
        <f>IFERROR(IF((J1505/K1505)&gt;J1505/K1505,1.3,J1505/K1505),"")</f>
        <v>0.970873786407767</v>
      </c>
      <c r="N1505" s="5" t="s">
        <v>474</v>
      </c>
      <c r="O1505" s="5" t="s">
        <v>474</v>
      </c>
      <c r="P1505" s="16">
        <v>0</v>
      </c>
      <c r="Q1505" s="16">
        <v>0</v>
      </c>
      <c r="R1505" s="5" t="str">
        <f t="shared" si="250"/>
        <v>393-2023-12-31</v>
      </c>
    </row>
    <row r="1506" spans="1:18" x14ac:dyDescent="0.3">
      <c r="A1506" s="26">
        <v>393</v>
      </c>
      <c r="B1506" s="5" t="s">
        <v>283</v>
      </c>
      <c r="C1506" s="5" t="s">
        <v>281</v>
      </c>
      <c r="D1506" s="5" t="s">
        <v>25</v>
      </c>
      <c r="E1506" s="5" t="s">
        <v>14</v>
      </c>
      <c r="F1506" s="6">
        <v>45657</v>
      </c>
      <c r="G1506" s="5">
        <f t="shared" si="244"/>
        <v>2024</v>
      </c>
      <c r="H1506" s="5" t="str">
        <f t="shared" si="245"/>
        <v>Diciembre</v>
      </c>
      <c r="I1506" s="6" t="str">
        <f t="shared" si="249"/>
        <v>2024-2</v>
      </c>
      <c r="J1506" s="5">
        <v>15</v>
      </c>
      <c r="K1506" s="10">
        <v>13</v>
      </c>
      <c r="L1506" s="15">
        <f>IFERROR(IF((K1506/J1506)&gt;1.3,1.3,K1506/J1506),"")</f>
        <v>0.8666666666666667</v>
      </c>
      <c r="M1506" s="15">
        <f>IFERROR(IF((K1506/J1506)&gt;K1506/J1506,1.3,K1506/J1506),"")</f>
        <v>0.8666666666666667</v>
      </c>
      <c r="N1506" s="5"/>
      <c r="O1506" s="5"/>
      <c r="P1506" s="16">
        <v>0</v>
      </c>
      <c r="Q1506" s="16">
        <v>0</v>
      </c>
      <c r="R1506" s="5" t="str">
        <f t="shared" si="250"/>
        <v>393-2024-12-31</v>
      </c>
    </row>
    <row r="1507" spans="1:18" x14ac:dyDescent="0.3">
      <c r="A1507" s="26">
        <v>394</v>
      </c>
      <c r="B1507" s="5" t="s">
        <v>284</v>
      </c>
      <c r="C1507" s="5" t="s">
        <v>285</v>
      </c>
      <c r="D1507" s="5" t="s">
        <v>8</v>
      </c>
      <c r="E1507" s="5" t="s">
        <v>9</v>
      </c>
      <c r="F1507" s="17">
        <v>45107</v>
      </c>
      <c r="G1507" s="5">
        <f t="shared" si="244"/>
        <v>2023</v>
      </c>
      <c r="H1507" s="5" t="str">
        <f t="shared" si="245"/>
        <v>Junio</v>
      </c>
      <c r="I1507" s="6" t="str">
        <f t="shared" si="249"/>
        <v>2023-1</v>
      </c>
      <c r="J1507" s="5">
        <v>175</v>
      </c>
      <c r="K1507" s="9">
        <v>482</v>
      </c>
      <c r="L1507" s="8">
        <f>IF(IFERROR(K1507/J1507,"")&gt;130%,130%,K1507/J1507)</f>
        <v>1.3</v>
      </c>
      <c r="M1507" s="15">
        <f>IFERROR(IF((K1507/J1507)&gt;K1507/J1507,1.3,K1507/J1507),"")</f>
        <v>2.7542857142857144</v>
      </c>
      <c r="N1507" s="5" t="s">
        <v>490</v>
      </c>
      <c r="O1507" s="5" t="s">
        <v>490</v>
      </c>
      <c r="P1507" s="16">
        <v>0</v>
      </c>
      <c r="Q1507" s="16">
        <v>0</v>
      </c>
      <c r="R1507" s="5" t="str">
        <f t="shared" si="250"/>
        <v>394-2023-06-30</v>
      </c>
    </row>
    <row r="1508" spans="1:18" x14ac:dyDescent="0.3">
      <c r="A1508" s="39">
        <v>394</v>
      </c>
      <c r="B1508" s="5" t="s">
        <v>284</v>
      </c>
      <c r="C1508" s="5" t="s">
        <v>285</v>
      </c>
      <c r="D1508" s="5" t="s">
        <v>8</v>
      </c>
      <c r="E1508" s="5" t="s">
        <v>9</v>
      </c>
      <c r="F1508" s="6">
        <v>45291</v>
      </c>
      <c r="G1508" s="5">
        <f t="shared" si="244"/>
        <v>2023</v>
      </c>
      <c r="H1508" s="5" t="str">
        <f t="shared" si="245"/>
        <v>Diciembre</v>
      </c>
      <c r="I1508" s="6" t="str">
        <f t="shared" si="249"/>
        <v>2023-2</v>
      </c>
      <c r="J1508" s="5">
        <v>175</v>
      </c>
      <c r="K1508" s="9">
        <v>612</v>
      </c>
      <c r="L1508" s="8">
        <f>IF(IFERROR(K1508/J1508,"")&gt;130%,130%,K1508/J1508)</f>
        <v>1.3</v>
      </c>
      <c r="M1508" s="15">
        <f>IFERROR(IF((K1508/J1508)&gt;K1508/J1508,1.3,K1508/J1508),"")</f>
        <v>3.4971428571428573</v>
      </c>
      <c r="N1508" s="5" t="s">
        <v>490</v>
      </c>
      <c r="O1508" s="5" t="s">
        <v>490</v>
      </c>
      <c r="P1508" s="16">
        <v>0</v>
      </c>
      <c r="Q1508" s="16">
        <v>0</v>
      </c>
      <c r="R1508" s="5" t="str">
        <f t="shared" si="250"/>
        <v>394-2023-12-31</v>
      </c>
    </row>
    <row r="1509" spans="1:18" x14ac:dyDescent="0.3">
      <c r="A1509" s="5">
        <v>394</v>
      </c>
      <c r="B1509" s="5" t="s">
        <v>284</v>
      </c>
      <c r="C1509" s="5" t="s">
        <v>285</v>
      </c>
      <c r="D1509" s="5" t="s">
        <v>8</v>
      </c>
      <c r="E1509" s="5" t="s">
        <v>9</v>
      </c>
      <c r="F1509" s="6">
        <v>45473</v>
      </c>
      <c r="G1509" s="5">
        <f t="shared" si="244"/>
        <v>2024</v>
      </c>
      <c r="H1509" s="5" t="str">
        <f t="shared" si="245"/>
        <v>Junio</v>
      </c>
      <c r="I1509" s="6" t="str">
        <f t="shared" si="249"/>
        <v>2024-1</v>
      </c>
      <c r="J1509" s="5">
        <v>500</v>
      </c>
      <c r="K1509" s="5">
        <v>593</v>
      </c>
      <c r="L1509" s="8">
        <f>IF(IFERROR(K1509/J1509,"")&gt;130%,130%,K1509/J1509)</f>
        <v>1.1859999999999999</v>
      </c>
      <c r="M1509" s="15">
        <v>1.1859999999999999</v>
      </c>
      <c r="N1509" s="5" t="s">
        <v>490</v>
      </c>
      <c r="O1509" s="5" t="s">
        <v>490</v>
      </c>
      <c r="P1509" s="5">
        <v>0</v>
      </c>
      <c r="Q1509" s="5">
        <v>0</v>
      </c>
      <c r="R1509" s="5" t="str">
        <f t="shared" si="250"/>
        <v>394-2024-06-30</v>
      </c>
    </row>
    <row r="1510" spans="1:18" x14ac:dyDescent="0.3">
      <c r="A1510" s="26">
        <v>394</v>
      </c>
      <c r="B1510" s="5" t="s">
        <v>284</v>
      </c>
      <c r="C1510" s="5" t="s">
        <v>285</v>
      </c>
      <c r="D1510" s="5" t="s">
        <v>8</v>
      </c>
      <c r="E1510" s="5" t="s">
        <v>9</v>
      </c>
      <c r="F1510" s="6">
        <v>45657</v>
      </c>
      <c r="G1510" s="5">
        <f t="shared" si="244"/>
        <v>2024</v>
      </c>
      <c r="H1510" s="5" t="str">
        <f t="shared" si="245"/>
        <v>Diciembre</v>
      </c>
      <c r="I1510" s="6" t="str">
        <f t="shared" si="249"/>
        <v>2024-2</v>
      </c>
      <c r="J1510" s="5">
        <v>500</v>
      </c>
      <c r="K1510" s="10">
        <v>960</v>
      </c>
      <c r="L1510" s="15">
        <f>IFERROR(IF((K1510/J1510)&gt;1.3,1.3,K1510/J1510),"")</f>
        <v>1.3</v>
      </c>
      <c r="M1510" s="15">
        <f>IFERROR(IF((K1510/J1510)&gt;K1510/J1510,1.3,K1510/J1510),"")</f>
        <v>1.92</v>
      </c>
      <c r="N1510" s="5" t="s">
        <v>490</v>
      </c>
      <c r="O1510" s="5" t="s">
        <v>490</v>
      </c>
      <c r="P1510" s="16">
        <v>0</v>
      </c>
      <c r="Q1510" s="16">
        <v>0</v>
      </c>
      <c r="R1510" s="5" t="str">
        <f t="shared" si="250"/>
        <v>394-2024-12-31</v>
      </c>
    </row>
    <row r="1511" spans="1:18" x14ac:dyDescent="0.3">
      <c r="A1511" s="26">
        <v>395</v>
      </c>
      <c r="B1511" s="5" t="s">
        <v>286</v>
      </c>
      <c r="C1511" s="5" t="s">
        <v>285</v>
      </c>
      <c r="D1511" s="5" t="s">
        <v>8</v>
      </c>
      <c r="E1511" s="5" t="s">
        <v>9</v>
      </c>
      <c r="F1511" s="17">
        <v>45107</v>
      </c>
      <c r="G1511" s="5">
        <f t="shared" si="244"/>
        <v>2023</v>
      </c>
      <c r="H1511" s="5" t="str">
        <f t="shared" si="245"/>
        <v>Junio</v>
      </c>
      <c r="I1511" s="6" t="str">
        <f t="shared" si="249"/>
        <v>2023-1</v>
      </c>
      <c r="J1511" s="5">
        <v>17</v>
      </c>
      <c r="K1511" s="9">
        <v>50</v>
      </c>
      <c r="L1511" s="8">
        <f>IF(IFERROR(K1511/J1511,"")&gt;130%,130%,K1511/J1511)</f>
        <v>1.3</v>
      </c>
      <c r="M1511" s="15">
        <f>IFERROR(IF((K1511/J1511)&gt;K1511/J1511,1.3,K1511/J1511),"")</f>
        <v>2.9411764705882355</v>
      </c>
      <c r="N1511" s="5" t="s">
        <v>490</v>
      </c>
      <c r="O1511" s="5" t="s">
        <v>490</v>
      </c>
      <c r="P1511" s="16">
        <v>0</v>
      </c>
      <c r="Q1511" s="16">
        <v>0</v>
      </c>
      <c r="R1511" s="5" t="str">
        <f t="shared" si="250"/>
        <v>395-2023-06-30</v>
      </c>
    </row>
    <row r="1512" spans="1:18" x14ac:dyDescent="0.3">
      <c r="A1512" s="39">
        <v>395</v>
      </c>
      <c r="B1512" s="5" t="s">
        <v>286</v>
      </c>
      <c r="C1512" s="5" t="s">
        <v>285</v>
      </c>
      <c r="D1512" s="5" t="s">
        <v>8</v>
      </c>
      <c r="E1512" s="5" t="s">
        <v>9</v>
      </c>
      <c r="F1512" s="6">
        <v>45291</v>
      </c>
      <c r="G1512" s="5">
        <f t="shared" si="244"/>
        <v>2023</v>
      </c>
      <c r="H1512" s="5" t="str">
        <f t="shared" si="245"/>
        <v>Diciembre</v>
      </c>
      <c r="I1512" s="6" t="str">
        <f t="shared" si="249"/>
        <v>2023-2</v>
      </c>
      <c r="J1512" s="5">
        <v>18</v>
      </c>
      <c r="K1512" s="9">
        <v>48</v>
      </c>
      <c r="L1512" s="8">
        <f>IF(IFERROR(K1512/J1512,"")&gt;130%,130%,K1512/J1512)</f>
        <v>1.3</v>
      </c>
      <c r="M1512" s="15">
        <f>IFERROR(IF((K1512/J1512)&gt;K1512/J1512,1.3,K1512/J1512),"")</f>
        <v>2.6666666666666665</v>
      </c>
      <c r="N1512" s="5" t="s">
        <v>490</v>
      </c>
      <c r="O1512" s="5" t="s">
        <v>490</v>
      </c>
      <c r="P1512" s="16">
        <v>0</v>
      </c>
      <c r="Q1512" s="16">
        <v>0</v>
      </c>
      <c r="R1512" s="5" t="str">
        <f t="shared" si="250"/>
        <v>395-2023-12-31</v>
      </c>
    </row>
    <row r="1513" spans="1:18" x14ac:dyDescent="0.3">
      <c r="A1513" s="5">
        <v>395</v>
      </c>
      <c r="B1513" s="5" t="s">
        <v>505</v>
      </c>
      <c r="C1513" s="5" t="s">
        <v>285</v>
      </c>
      <c r="D1513" s="5" t="s">
        <v>8</v>
      </c>
      <c r="E1513" s="5" t="s">
        <v>9</v>
      </c>
      <c r="F1513" s="6">
        <v>45473</v>
      </c>
      <c r="G1513" s="5">
        <f t="shared" si="244"/>
        <v>2024</v>
      </c>
      <c r="H1513" s="5" t="str">
        <f t="shared" si="245"/>
        <v>Junio</v>
      </c>
      <c r="I1513" s="6" t="str">
        <f t="shared" si="249"/>
        <v>2024-1</v>
      </c>
      <c r="J1513" s="5">
        <v>90</v>
      </c>
      <c r="K1513" s="5">
        <v>99</v>
      </c>
      <c r="L1513" s="8">
        <f>IF(IFERROR(K1513/J1513,"")&gt;130%,130%,K1513/J1513)</f>
        <v>1.1000000000000001</v>
      </c>
      <c r="M1513" s="15">
        <v>1.1000000000000001</v>
      </c>
      <c r="N1513" s="5" t="s">
        <v>490</v>
      </c>
      <c r="O1513" s="5" t="s">
        <v>490</v>
      </c>
      <c r="P1513" s="5">
        <v>0</v>
      </c>
      <c r="Q1513" s="5">
        <v>0</v>
      </c>
      <c r="R1513" s="5" t="str">
        <f t="shared" si="250"/>
        <v>395-2024-06-30</v>
      </c>
    </row>
    <row r="1514" spans="1:18" x14ac:dyDescent="0.3">
      <c r="A1514" s="26">
        <v>395</v>
      </c>
      <c r="B1514" s="5" t="s">
        <v>505</v>
      </c>
      <c r="C1514" s="5" t="s">
        <v>285</v>
      </c>
      <c r="D1514" s="5" t="s">
        <v>8</v>
      </c>
      <c r="E1514" s="5" t="s">
        <v>9</v>
      </c>
      <c r="F1514" s="6">
        <v>45657</v>
      </c>
      <c r="G1514" s="5">
        <f t="shared" si="244"/>
        <v>2024</v>
      </c>
      <c r="H1514" s="5" t="str">
        <f t="shared" si="245"/>
        <v>Diciembre</v>
      </c>
      <c r="I1514" s="6" t="str">
        <f t="shared" si="249"/>
        <v>2024-2</v>
      </c>
      <c r="J1514" s="5">
        <v>90</v>
      </c>
      <c r="K1514" s="10">
        <v>134</v>
      </c>
      <c r="L1514" s="8">
        <f>IF(IFERROR(K1514/J1514,"")&gt;130%,130%,K1514/J1514)</f>
        <v>1.3</v>
      </c>
      <c r="M1514" s="15">
        <f>IFERROR(IF((K1514/J1514)&gt;K1514/J1514,1.3,K1514/J1514),"")</f>
        <v>1.4888888888888889</v>
      </c>
      <c r="N1514" s="5" t="s">
        <v>490</v>
      </c>
      <c r="O1514" s="5" t="s">
        <v>490</v>
      </c>
      <c r="P1514" s="16">
        <v>0</v>
      </c>
      <c r="Q1514" s="16">
        <v>0</v>
      </c>
      <c r="R1514" s="5" t="str">
        <f t="shared" si="250"/>
        <v>395-2024-12-31</v>
      </c>
    </row>
    <row r="1515" spans="1:18" x14ac:dyDescent="0.3">
      <c r="A1515" s="39">
        <v>396</v>
      </c>
      <c r="B1515" s="5" t="s">
        <v>287</v>
      </c>
      <c r="C1515" s="5" t="s">
        <v>281</v>
      </c>
      <c r="D1515" s="5" t="s">
        <v>8</v>
      </c>
      <c r="E1515" s="5" t="s">
        <v>9</v>
      </c>
      <c r="F1515" s="6">
        <v>45291</v>
      </c>
      <c r="G1515" s="5">
        <f t="shared" si="244"/>
        <v>2023</v>
      </c>
      <c r="H1515" s="5" t="str">
        <f t="shared" si="245"/>
        <v>Diciembre</v>
      </c>
      <c r="I1515" s="6" t="str">
        <f t="shared" si="249"/>
        <v>2023-2</v>
      </c>
      <c r="J1515" s="5">
        <v>80</v>
      </c>
      <c r="K1515" s="9">
        <v>88.89</v>
      </c>
      <c r="L1515" s="8">
        <f>IFERROR(K1515/J1515,"")</f>
        <v>1.1111249999999999</v>
      </c>
      <c r="M1515" s="15">
        <f>IFERROR(IF((K1515/J1515)&gt;K1515/J1515,1.3,K1515/J1515),"")</f>
        <v>1.1111249999999999</v>
      </c>
      <c r="N1515" s="5" t="s">
        <v>490</v>
      </c>
      <c r="O1515" s="5" t="s">
        <v>490</v>
      </c>
      <c r="P1515" s="16">
        <v>0</v>
      </c>
      <c r="Q1515" s="16">
        <v>0</v>
      </c>
      <c r="R1515" s="5" t="str">
        <f t="shared" si="250"/>
        <v>396-2023-12-31</v>
      </c>
    </row>
    <row r="1516" spans="1:18" x14ac:dyDescent="0.3">
      <c r="A1516" s="5">
        <v>396</v>
      </c>
      <c r="B1516" s="5" t="s">
        <v>287</v>
      </c>
      <c r="C1516" s="5" t="s">
        <v>506</v>
      </c>
      <c r="D1516" s="5" t="s">
        <v>8</v>
      </c>
      <c r="E1516" s="5" t="s">
        <v>9</v>
      </c>
      <c r="F1516" s="6">
        <v>45473</v>
      </c>
      <c r="G1516" s="5">
        <f t="shared" si="244"/>
        <v>2024</v>
      </c>
      <c r="H1516" s="5" t="str">
        <f t="shared" si="245"/>
        <v>Junio</v>
      </c>
      <c r="I1516" s="6" t="str">
        <f t="shared" si="249"/>
        <v>2024-1</v>
      </c>
      <c r="J1516" s="5">
        <v>80</v>
      </c>
      <c r="K1516" s="5">
        <v>88.1</v>
      </c>
      <c r="L1516" s="15">
        <v>1.1012499999999998</v>
      </c>
      <c r="M1516" s="15">
        <v>1.1012499999999998</v>
      </c>
      <c r="N1516" s="5" t="s">
        <v>490</v>
      </c>
      <c r="O1516" s="5" t="s">
        <v>478</v>
      </c>
      <c r="P1516" s="5">
        <v>1</v>
      </c>
      <c r="Q1516" s="5">
        <v>1</v>
      </c>
      <c r="R1516" s="5" t="str">
        <f t="shared" si="250"/>
        <v>396-2024-06-30</v>
      </c>
    </row>
    <row r="1517" spans="1:18" x14ac:dyDescent="0.3">
      <c r="A1517" s="26">
        <v>397</v>
      </c>
      <c r="B1517" s="5" t="s">
        <v>288</v>
      </c>
      <c r="C1517" s="5" t="s">
        <v>281</v>
      </c>
      <c r="D1517" s="5" t="s">
        <v>8</v>
      </c>
      <c r="E1517" s="5" t="s">
        <v>9</v>
      </c>
      <c r="F1517" s="17">
        <v>45107</v>
      </c>
      <c r="G1517" s="5">
        <f t="shared" si="244"/>
        <v>2023</v>
      </c>
      <c r="H1517" s="5" t="str">
        <f t="shared" si="245"/>
        <v>Junio</v>
      </c>
      <c r="I1517" s="6" t="str">
        <f t="shared" si="249"/>
        <v>2023-1</v>
      </c>
      <c r="J1517" s="5">
        <v>80</v>
      </c>
      <c r="K1517" s="9">
        <v>91.07</v>
      </c>
      <c r="L1517" s="15">
        <f>IFERROR(IF((K1517/J1517)&gt;1.3,1.3,K1517/J1517),"")</f>
        <v>1.1383749999999999</v>
      </c>
      <c r="M1517" s="15">
        <f>+K1517/J1517</f>
        <v>1.1383749999999999</v>
      </c>
      <c r="N1517" s="5" t="s">
        <v>347</v>
      </c>
      <c r="O1517" s="5" t="s">
        <v>347</v>
      </c>
      <c r="P1517" s="16">
        <v>0</v>
      </c>
      <c r="Q1517" s="16">
        <v>0</v>
      </c>
      <c r="R1517" s="5" t="str">
        <f t="shared" si="250"/>
        <v>397-2023-06-30</v>
      </c>
    </row>
    <row r="1518" spans="1:18" x14ac:dyDescent="0.3">
      <c r="A1518" s="39">
        <v>397</v>
      </c>
      <c r="B1518" s="5" t="s">
        <v>288</v>
      </c>
      <c r="C1518" s="5" t="s">
        <v>281</v>
      </c>
      <c r="D1518" s="5" t="s">
        <v>8</v>
      </c>
      <c r="E1518" s="5" t="s">
        <v>9</v>
      </c>
      <c r="F1518" s="6">
        <v>45291</v>
      </c>
      <c r="G1518" s="5">
        <f t="shared" si="244"/>
        <v>2023</v>
      </c>
      <c r="H1518" s="5" t="str">
        <f t="shared" si="245"/>
        <v>Diciembre</v>
      </c>
      <c r="I1518" s="6" t="str">
        <f t="shared" si="249"/>
        <v>2023-2</v>
      </c>
      <c r="J1518" s="5">
        <v>80</v>
      </c>
      <c r="K1518" s="9">
        <v>92.96</v>
      </c>
      <c r="L1518" s="15">
        <f>IFERROR(IF((K1518/J1518)&gt;1.3,1.3,K1518/J1518),"")</f>
        <v>1.1619999999999999</v>
      </c>
      <c r="M1518" s="15">
        <f>+K1518/J1518</f>
        <v>1.1619999999999999</v>
      </c>
      <c r="N1518" s="5" t="s">
        <v>347</v>
      </c>
      <c r="O1518" s="5" t="s">
        <v>347</v>
      </c>
      <c r="P1518" s="16">
        <v>0</v>
      </c>
      <c r="Q1518" s="16">
        <v>0</v>
      </c>
      <c r="R1518" s="5" t="str">
        <f t="shared" si="250"/>
        <v>397-2023-12-31</v>
      </c>
    </row>
    <row r="1519" spans="1:18" x14ac:dyDescent="0.3">
      <c r="A1519" s="5">
        <v>397</v>
      </c>
      <c r="B1519" s="5" t="s">
        <v>288</v>
      </c>
      <c r="C1519" s="5" t="s">
        <v>506</v>
      </c>
      <c r="D1519" s="5" t="s">
        <v>8</v>
      </c>
      <c r="E1519" s="5" t="s">
        <v>9</v>
      </c>
      <c r="F1519" s="6">
        <v>45473</v>
      </c>
      <c r="G1519" s="5">
        <f t="shared" si="244"/>
        <v>2024</v>
      </c>
      <c r="H1519" s="5" t="str">
        <f t="shared" si="245"/>
        <v>Junio</v>
      </c>
      <c r="I1519" s="6" t="str">
        <f t="shared" si="249"/>
        <v>2024-1</v>
      </c>
      <c r="J1519" s="5">
        <v>80</v>
      </c>
      <c r="K1519" s="5">
        <v>88.08</v>
      </c>
      <c r="L1519" s="15">
        <f>IFERROR(IF((K1519/J1519)&gt;1.3,1.3,K1519/J1519),"")</f>
        <v>1.101</v>
      </c>
      <c r="M1519" s="15">
        <f>+K1519/J1519</f>
        <v>1.101</v>
      </c>
      <c r="N1519" s="5" t="s">
        <v>347</v>
      </c>
      <c r="O1519" s="5" t="s">
        <v>347</v>
      </c>
      <c r="P1519" s="5">
        <v>1</v>
      </c>
      <c r="Q1519" s="5">
        <v>1</v>
      </c>
      <c r="R1519" s="5" t="str">
        <f t="shared" si="250"/>
        <v>397-2024-06-30</v>
      </c>
    </row>
    <row r="1520" spans="1:18" x14ac:dyDescent="0.3">
      <c r="A1520" s="26">
        <v>397</v>
      </c>
      <c r="B1520" s="5" t="s">
        <v>288</v>
      </c>
      <c r="C1520" s="5" t="s">
        <v>506</v>
      </c>
      <c r="D1520" s="5" t="s">
        <v>8</v>
      </c>
      <c r="E1520" s="5" t="s">
        <v>9</v>
      </c>
      <c r="F1520" s="6">
        <v>45657</v>
      </c>
      <c r="G1520" s="5">
        <f t="shared" si="244"/>
        <v>2024</v>
      </c>
      <c r="H1520" s="5" t="str">
        <f t="shared" si="245"/>
        <v>Diciembre</v>
      </c>
      <c r="I1520" s="6" t="str">
        <f t="shared" si="249"/>
        <v>2024-2</v>
      </c>
      <c r="J1520" s="5">
        <v>80</v>
      </c>
      <c r="K1520" s="10">
        <v>94.88</v>
      </c>
      <c r="L1520" s="15">
        <f>IFERROR(IF((K1520/J1520)&gt;1.3,1.3,K1520/J1520),"")</f>
        <v>1.1859999999999999</v>
      </c>
      <c r="M1520" s="15">
        <f>+K1520/J1520</f>
        <v>1.1859999999999999</v>
      </c>
      <c r="N1520" s="5" t="s">
        <v>347</v>
      </c>
      <c r="O1520" s="5" t="s">
        <v>347</v>
      </c>
      <c r="P1520" s="16">
        <v>1</v>
      </c>
      <c r="Q1520" s="16">
        <v>1</v>
      </c>
      <c r="R1520" s="5" t="str">
        <f t="shared" si="250"/>
        <v>397-2024-12-31</v>
      </c>
    </row>
    <row r="1521" spans="1:18" x14ac:dyDescent="0.3">
      <c r="A1521" s="26">
        <v>398</v>
      </c>
      <c r="B1521" s="5" t="s">
        <v>289</v>
      </c>
      <c r="C1521" s="5" t="s">
        <v>290</v>
      </c>
      <c r="D1521" s="5" t="s">
        <v>8</v>
      </c>
      <c r="E1521" s="5" t="s">
        <v>9</v>
      </c>
      <c r="F1521" s="17">
        <v>45107</v>
      </c>
      <c r="G1521" s="5">
        <f t="shared" si="244"/>
        <v>2023</v>
      </c>
      <c r="H1521" s="5" t="str">
        <f t="shared" si="245"/>
        <v>Junio</v>
      </c>
      <c r="I1521" s="6" t="str">
        <f t="shared" si="249"/>
        <v>2023-1</v>
      </c>
      <c r="J1521" s="11">
        <v>1000</v>
      </c>
      <c r="K1521" s="9">
        <v>2568</v>
      </c>
      <c r="L1521" s="15">
        <v>1.3</v>
      </c>
      <c r="M1521" s="15">
        <f>IFERROR(IF((K1521/J1521)&gt;K1521/J1521,1.3,K1521/J1521),"")</f>
        <v>2.5680000000000001</v>
      </c>
      <c r="N1521" s="11" t="s">
        <v>490</v>
      </c>
      <c r="O1521" s="5" t="s">
        <v>490</v>
      </c>
      <c r="P1521" s="16">
        <v>0</v>
      </c>
      <c r="Q1521" s="16">
        <v>0</v>
      </c>
      <c r="R1521" s="5" t="str">
        <f t="shared" si="250"/>
        <v>398-2023-06-30</v>
      </c>
    </row>
    <row r="1522" spans="1:18" x14ac:dyDescent="0.3">
      <c r="A1522" s="39">
        <v>398</v>
      </c>
      <c r="B1522" s="5" t="s">
        <v>289</v>
      </c>
      <c r="C1522" s="5" t="s">
        <v>290</v>
      </c>
      <c r="D1522" s="5" t="s">
        <v>8</v>
      </c>
      <c r="E1522" s="5" t="s">
        <v>9</v>
      </c>
      <c r="F1522" s="6">
        <v>45291</v>
      </c>
      <c r="G1522" s="5">
        <f t="shared" si="244"/>
        <v>2023</v>
      </c>
      <c r="H1522" s="5" t="str">
        <f t="shared" si="245"/>
        <v>Diciembre</v>
      </c>
      <c r="I1522" s="6" t="str">
        <f t="shared" si="249"/>
        <v>2023-2</v>
      </c>
      <c r="J1522" s="5">
        <v>1000</v>
      </c>
      <c r="K1522" s="9">
        <v>2344</v>
      </c>
      <c r="L1522" s="15">
        <v>1.3</v>
      </c>
      <c r="M1522" s="15">
        <f>IFERROR(IF((K1522/J1522)&gt;K1522/J1522,1.3,K1522/J1522),"")</f>
        <v>2.3439999999999999</v>
      </c>
      <c r="N1522" s="5" t="s">
        <v>490</v>
      </c>
      <c r="O1522" s="5" t="s">
        <v>490</v>
      </c>
      <c r="P1522" s="16">
        <v>0</v>
      </c>
      <c r="Q1522" s="16">
        <v>0</v>
      </c>
      <c r="R1522" s="5" t="str">
        <f t="shared" si="250"/>
        <v>398-2023-12-31</v>
      </c>
    </row>
    <row r="1523" spans="1:18" x14ac:dyDescent="0.3">
      <c r="A1523" s="5">
        <v>398</v>
      </c>
      <c r="B1523" s="5" t="s">
        <v>289</v>
      </c>
      <c r="C1523" s="5" t="s">
        <v>290</v>
      </c>
      <c r="D1523" s="5" t="s">
        <v>8</v>
      </c>
      <c r="E1523" s="5" t="s">
        <v>9</v>
      </c>
      <c r="F1523" s="6">
        <v>45473</v>
      </c>
      <c r="G1523" s="5">
        <f t="shared" si="244"/>
        <v>2024</v>
      </c>
      <c r="H1523" s="5" t="str">
        <f t="shared" si="245"/>
        <v>Junio</v>
      </c>
      <c r="I1523" s="6" t="str">
        <f t="shared" si="249"/>
        <v>2024-1</v>
      </c>
      <c r="J1523" s="5">
        <v>1250</v>
      </c>
      <c r="K1523" s="5">
        <v>3478</v>
      </c>
      <c r="L1523" s="15">
        <v>1.3</v>
      </c>
      <c r="M1523" s="15">
        <f>IFERROR(IF((K1523/J1523)&gt;K1523/J1523,1.3,K1523/J1523),"")</f>
        <v>2.7824</v>
      </c>
      <c r="N1523" s="5" t="s">
        <v>490</v>
      </c>
      <c r="O1523" s="5" t="s">
        <v>490</v>
      </c>
      <c r="P1523" s="5">
        <v>0</v>
      </c>
      <c r="Q1523" s="5">
        <v>0</v>
      </c>
      <c r="R1523" s="5" t="str">
        <f t="shared" si="250"/>
        <v>398-2024-06-30</v>
      </c>
    </row>
    <row r="1524" spans="1:18" x14ac:dyDescent="0.3">
      <c r="A1524" s="26">
        <v>398</v>
      </c>
      <c r="B1524" s="5" t="s">
        <v>289</v>
      </c>
      <c r="C1524" s="5" t="s">
        <v>290</v>
      </c>
      <c r="D1524" s="5" t="s">
        <v>8</v>
      </c>
      <c r="E1524" s="5" t="s">
        <v>9</v>
      </c>
      <c r="F1524" s="6">
        <v>45657</v>
      </c>
      <c r="G1524" s="5">
        <f t="shared" si="244"/>
        <v>2024</v>
      </c>
      <c r="H1524" s="5" t="str">
        <f t="shared" si="245"/>
        <v>Diciembre</v>
      </c>
      <c r="I1524" s="6" t="str">
        <f t="shared" si="249"/>
        <v>2024-2</v>
      </c>
      <c r="J1524" s="5">
        <v>1250</v>
      </c>
      <c r="K1524" s="10">
        <v>2000</v>
      </c>
      <c r="L1524" s="15">
        <f t="shared" ref="L1524:L1536" si="251">IFERROR(IF((K1524/J1524)&gt;1.3,1.3,K1524/J1524),"")</f>
        <v>1.3</v>
      </c>
      <c r="M1524" s="15">
        <f>IFERROR(IF((K1524/J1524)&gt;K1524/J1524,1.3,K1524/J1524),"")</f>
        <v>1.6</v>
      </c>
      <c r="N1524" s="5" t="s">
        <v>490</v>
      </c>
      <c r="O1524" s="5" t="s">
        <v>490</v>
      </c>
      <c r="P1524" s="16">
        <v>0</v>
      </c>
      <c r="Q1524" s="16">
        <v>0</v>
      </c>
      <c r="R1524" s="5" t="str">
        <f t="shared" si="250"/>
        <v>398-2024-12-31</v>
      </c>
    </row>
    <row r="1525" spans="1:18" x14ac:dyDescent="0.3">
      <c r="A1525" s="26">
        <v>399</v>
      </c>
      <c r="B1525" s="5" t="s">
        <v>291</v>
      </c>
      <c r="C1525" s="5" t="s">
        <v>290</v>
      </c>
      <c r="D1525" s="5" t="s">
        <v>8</v>
      </c>
      <c r="E1525" s="5" t="s">
        <v>9</v>
      </c>
      <c r="F1525" s="17">
        <v>45107</v>
      </c>
      <c r="G1525" s="5">
        <f t="shared" si="244"/>
        <v>2023</v>
      </c>
      <c r="H1525" s="5" t="str">
        <f t="shared" si="245"/>
        <v>Junio</v>
      </c>
      <c r="I1525" s="6" t="str">
        <f t="shared" si="249"/>
        <v>2023-1</v>
      </c>
      <c r="J1525" s="5">
        <v>500</v>
      </c>
      <c r="K1525" s="9">
        <v>589</v>
      </c>
      <c r="L1525" s="15">
        <f t="shared" si="251"/>
        <v>1.1779999999999999</v>
      </c>
      <c r="M1525" s="15">
        <f>+K1525/J1525</f>
        <v>1.1779999999999999</v>
      </c>
      <c r="N1525" s="5" t="s">
        <v>490</v>
      </c>
      <c r="O1525" s="5" t="s">
        <v>490</v>
      </c>
      <c r="P1525" s="16">
        <v>0</v>
      </c>
      <c r="Q1525" s="16">
        <v>0</v>
      </c>
      <c r="R1525" s="5" t="str">
        <f t="shared" si="250"/>
        <v>399-2023-06-30</v>
      </c>
    </row>
    <row r="1526" spans="1:18" x14ac:dyDescent="0.3">
      <c r="A1526" s="5">
        <v>399</v>
      </c>
      <c r="B1526" s="5" t="s">
        <v>291</v>
      </c>
      <c r="C1526" s="5" t="s">
        <v>290</v>
      </c>
      <c r="D1526" s="5" t="s">
        <v>8</v>
      </c>
      <c r="E1526" s="5" t="s">
        <v>9</v>
      </c>
      <c r="F1526" s="6">
        <v>45291</v>
      </c>
      <c r="G1526" s="5">
        <f t="shared" si="244"/>
        <v>2023</v>
      </c>
      <c r="H1526" s="5" t="str">
        <f t="shared" si="245"/>
        <v>Diciembre</v>
      </c>
      <c r="I1526" s="6" t="str">
        <f t="shared" si="249"/>
        <v>2023-2</v>
      </c>
      <c r="J1526" s="5">
        <v>500</v>
      </c>
      <c r="K1526" s="9">
        <v>745</v>
      </c>
      <c r="L1526" s="15">
        <f t="shared" si="251"/>
        <v>1.3</v>
      </c>
      <c r="M1526" s="15">
        <f>+K1526/J1526</f>
        <v>1.49</v>
      </c>
      <c r="N1526" s="5" t="s">
        <v>490</v>
      </c>
      <c r="O1526" s="5" t="s">
        <v>490</v>
      </c>
      <c r="P1526" s="16">
        <v>0</v>
      </c>
      <c r="Q1526" s="16">
        <v>0</v>
      </c>
      <c r="R1526" s="5" t="str">
        <f t="shared" si="250"/>
        <v>399-2023-12-31</v>
      </c>
    </row>
    <row r="1527" spans="1:18" x14ac:dyDescent="0.3">
      <c r="A1527" s="5">
        <v>399</v>
      </c>
      <c r="B1527" s="5" t="s">
        <v>507</v>
      </c>
      <c r="C1527" s="5" t="s">
        <v>290</v>
      </c>
      <c r="D1527" s="5" t="s">
        <v>8</v>
      </c>
      <c r="E1527" s="5" t="s">
        <v>9</v>
      </c>
      <c r="F1527" s="6">
        <v>45473</v>
      </c>
      <c r="G1527" s="5">
        <f t="shared" si="244"/>
        <v>2024</v>
      </c>
      <c r="H1527" s="5" t="str">
        <f t="shared" si="245"/>
        <v>Junio</v>
      </c>
      <c r="I1527" s="6" t="str">
        <f t="shared" si="249"/>
        <v>2024-1</v>
      </c>
      <c r="J1527" s="5">
        <v>625</v>
      </c>
      <c r="K1527" s="5">
        <v>696</v>
      </c>
      <c r="L1527" s="15">
        <f t="shared" si="251"/>
        <v>1.1135999999999999</v>
      </c>
      <c r="M1527" s="15">
        <f>+K1527/J1527</f>
        <v>1.1135999999999999</v>
      </c>
      <c r="N1527" s="5" t="s">
        <v>490</v>
      </c>
      <c r="O1527" s="5" t="s">
        <v>490</v>
      </c>
      <c r="P1527" s="5">
        <v>0</v>
      </c>
      <c r="Q1527" s="5">
        <v>0</v>
      </c>
      <c r="R1527" s="5" t="str">
        <f t="shared" si="250"/>
        <v>399-2024-06-30</v>
      </c>
    </row>
    <row r="1528" spans="1:18" x14ac:dyDescent="0.3">
      <c r="A1528" s="26">
        <v>399</v>
      </c>
      <c r="B1528" s="5" t="s">
        <v>507</v>
      </c>
      <c r="C1528" s="5" t="s">
        <v>290</v>
      </c>
      <c r="D1528" s="5" t="s">
        <v>8</v>
      </c>
      <c r="E1528" s="5" t="s">
        <v>9</v>
      </c>
      <c r="F1528" s="6">
        <v>45657</v>
      </c>
      <c r="G1528" s="5">
        <f t="shared" si="244"/>
        <v>2024</v>
      </c>
      <c r="H1528" s="5" t="str">
        <f t="shared" si="245"/>
        <v>Diciembre</v>
      </c>
      <c r="I1528" s="6" t="str">
        <f t="shared" si="249"/>
        <v>2024-2</v>
      </c>
      <c r="J1528" s="5">
        <v>625</v>
      </c>
      <c r="K1528" s="10">
        <v>696</v>
      </c>
      <c r="L1528" s="15">
        <f t="shared" si="251"/>
        <v>1.1135999999999999</v>
      </c>
      <c r="M1528" s="15">
        <f>+K1528/J1528</f>
        <v>1.1135999999999999</v>
      </c>
      <c r="N1528" s="5" t="s">
        <v>490</v>
      </c>
      <c r="O1528" s="5" t="s">
        <v>490</v>
      </c>
      <c r="P1528" s="16">
        <v>0</v>
      </c>
      <c r="Q1528" s="16">
        <v>0</v>
      </c>
      <c r="R1528" s="5" t="str">
        <f t="shared" si="250"/>
        <v>399-2024-12-31</v>
      </c>
    </row>
    <row r="1529" spans="1:18" x14ac:dyDescent="0.3">
      <c r="A1529" s="96">
        <v>400</v>
      </c>
      <c r="B1529" s="57" t="s">
        <v>292</v>
      </c>
      <c r="C1529" s="57" t="s">
        <v>290</v>
      </c>
      <c r="D1529" s="57" t="s">
        <v>8</v>
      </c>
      <c r="E1529" s="57" t="s">
        <v>9</v>
      </c>
      <c r="F1529" s="97">
        <v>45107</v>
      </c>
      <c r="G1529" s="57">
        <f t="shared" si="244"/>
        <v>2023</v>
      </c>
      <c r="H1529" s="57" t="str">
        <f t="shared" si="245"/>
        <v>Junio</v>
      </c>
      <c r="I1529" s="94" t="str">
        <f t="shared" si="249"/>
        <v>2023-1</v>
      </c>
      <c r="J1529" s="57">
        <v>35</v>
      </c>
      <c r="K1529" s="98">
        <v>77</v>
      </c>
      <c r="L1529" s="15">
        <f t="shared" si="251"/>
        <v>1.3</v>
      </c>
      <c r="M1529" s="93">
        <f t="shared" ref="M1529:M1534" si="252">IFERROR(IF((K1529/J1529)&gt;K1529/J1529,1.3,K1529/J1529),"")</f>
        <v>2.2000000000000002</v>
      </c>
      <c r="N1529" s="57" t="s">
        <v>490</v>
      </c>
      <c r="O1529" s="57" t="s">
        <v>490</v>
      </c>
      <c r="P1529" s="95">
        <v>0</v>
      </c>
      <c r="Q1529" s="95">
        <v>0</v>
      </c>
      <c r="R1529" s="57" t="str">
        <f t="shared" si="250"/>
        <v>400-2023-06-30</v>
      </c>
    </row>
    <row r="1530" spans="1:18" x14ac:dyDescent="0.3">
      <c r="A1530" s="5">
        <v>400</v>
      </c>
      <c r="B1530" s="5" t="s">
        <v>292</v>
      </c>
      <c r="C1530" s="5" t="s">
        <v>290</v>
      </c>
      <c r="D1530" s="5" t="s">
        <v>8</v>
      </c>
      <c r="E1530" s="5" t="s">
        <v>9</v>
      </c>
      <c r="F1530" s="6">
        <v>45291</v>
      </c>
      <c r="G1530" s="5">
        <f t="shared" si="244"/>
        <v>2023</v>
      </c>
      <c r="H1530" s="5" t="str">
        <f t="shared" si="245"/>
        <v>Diciembre</v>
      </c>
      <c r="I1530" s="6" t="str">
        <f t="shared" si="249"/>
        <v>2023-2</v>
      </c>
      <c r="J1530" s="5">
        <v>35</v>
      </c>
      <c r="K1530" s="9">
        <v>99</v>
      </c>
      <c r="L1530" s="15">
        <f t="shared" si="251"/>
        <v>1.3</v>
      </c>
      <c r="M1530" s="93">
        <f t="shared" si="252"/>
        <v>2.8285714285714287</v>
      </c>
      <c r="N1530" s="5" t="s">
        <v>490</v>
      </c>
      <c r="O1530" s="5" t="s">
        <v>490</v>
      </c>
      <c r="P1530" s="16">
        <v>0</v>
      </c>
      <c r="Q1530" s="16">
        <v>0</v>
      </c>
      <c r="R1530" s="5" t="str">
        <f t="shared" si="250"/>
        <v>400-2023-12-31</v>
      </c>
    </row>
    <row r="1531" spans="1:18" x14ac:dyDescent="0.3">
      <c r="A1531" s="5">
        <v>400</v>
      </c>
      <c r="B1531" s="5" t="s">
        <v>292</v>
      </c>
      <c r="C1531" s="5" t="s">
        <v>290</v>
      </c>
      <c r="D1531" s="5" t="s">
        <v>8</v>
      </c>
      <c r="E1531" s="5" t="s">
        <v>9</v>
      </c>
      <c r="F1531" s="6">
        <v>45473</v>
      </c>
      <c r="G1531" s="5">
        <f t="shared" si="244"/>
        <v>2024</v>
      </c>
      <c r="H1531" s="5" t="str">
        <f t="shared" si="245"/>
        <v>Junio</v>
      </c>
      <c r="I1531" s="6" t="str">
        <f t="shared" si="249"/>
        <v>2024-1</v>
      </c>
      <c r="J1531" s="5">
        <v>44</v>
      </c>
      <c r="K1531" s="5">
        <v>119</v>
      </c>
      <c r="L1531" s="15">
        <f t="shared" si="251"/>
        <v>1.3</v>
      </c>
      <c r="M1531" s="93">
        <f t="shared" si="252"/>
        <v>2.7045454545454546</v>
      </c>
      <c r="N1531" s="5" t="s">
        <v>490</v>
      </c>
      <c r="O1531" s="5" t="s">
        <v>490</v>
      </c>
      <c r="P1531" s="5">
        <v>0</v>
      </c>
      <c r="Q1531" s="5">
        <v>0</v>
      </c>
      <c r="R1531" s="5" t="str">
        <f t="shared" si="250"/>
        <v>400-2024-06-30</v>
      </c>
    </row>
    <row r="1532" spans="1:18" x14ac:dyDescent="0.3">
      <c r="A1532" s="26">
        <v>400</v>
      </c>
      <c r="B1532" s="5" t="s">
        <v>292</v>
      </c>
      <c r="C1532" s="5" t="s">
        <v>290</v>
      </c>
      <c r="D1532" s="5" t="s">
        <v>8</v>
      </c>
      <c r="E1532" s="5" t="s">
        <v>9</v>
      </c>
      <c r="F1532" s="6">
        <v>45657</v>
      </c>
      <c r="G1532" s="5">
        <f t="shared" si="244"/>
        <v>2024</v>
      </c>
      <c r="H1532" s="5" t="str">
        <f t="shared" si="245"/>
        <v>Diciembre</v>
      </c>
      <c r="I1532" s="6" t="str">
        <f t="shared" si="249"/>
        <v>2024-2</v>
      </c>
      <c r="J1532" s="5">
        <v>44</v>
      </c>
      <c r="K1532" s="10">
        <v>175</v>
      </c>
      <c r="L1532" s="15">
        <f t="shared" si="251"/>
        <v>1.3</v>
      </c>
      <c r="M1532" s="93">
        <f t="shared" si="252"/>
        <v>3.9772727272727271</v>
      </c>
      <c r="N1532" s="5" t="s">
        <v>490</v>
      </c>
      <c r="O1532" s="5" t="s">
        <v>490</v>
      </c>
      <c r="P1532" s="16">
        <v>0</v>
      </c>
      <c r="Q1532" s="16">
        <v>0</v>
      </c>
      <c r="R1532" s="5" t="str">
        <f t="shared" si="250"/>
        <v>400-2024-12-31</v>
      </c>
    </row>
    <row r="1533" spans="1:18" x14ac:dyDescent="0.3">
      <c r="A1533" s="26">
        <v>401</v>
      </c>
      <c r="B1533" s="5" t="s">
        <v>293</v>
      </c>
      <c r="C1533" s="5" t="s">
        <v>294</v>
      </c>
      <c r="D1533" s="5" t="s">
        <v>8</v>
      </c>
      <c r="E1533" s="5" t="s">
        <v>9</v>
      </c>
      <c r="F1533" s="17">
        <v>45107</v>
      </c>
      <c r="G1533" s="5">
        <f t="shared" si="244"/>
        <v>2023</v>
      </c>
      <c r="H1533" s="5" t="str">
        <f t="shared" si="245"/>
        <v>Junio</v>
      </c>
      <c r="I1533" s="6" t="str">
        <f t="shared" si="249"/>
        <v>2023-1</v>
      </c>
      <c r="J1533" s="5">
        <v>8</v>
      </c>
      <c r="K1533" s="9">
        <v>7</v>
      </c>
      <c r="L1533" s="15">
        <f t="shared" si="251"/>
        <v>0.875</v>
      </c>
      <c r="M1533" s="15">
        <f t="shared" si="252"/>
        <v>0.875</v>
      </c>
      <c r="N1533" s="5" t="s">
        <v>490</v>
      </c>
      <c r="O1533" s="5" t="s">
        <v>490</v>
      </c>
      <c r="P1533" s="16">
        <v>0</v>
      </c>
      <c r="Q1533" s="16">
        <v>0</v>
      </c>
      <c r="R1533" s="5" t="str">
        <f t="shared" si="250"/>
        <v>401-2023-06-30</v>
      </c>
    </row>
    <row r="1534" spans="1:18" x14ac:dyDescent="0.3">
      <c r="A1534" s="39">
        <v>401</v>
      </c>
      <c r="B1534" s="5" t="s">
        <v>293</v>
      </c>
      <c r="C1534" s="5" t="s">
        <v>294</v>
      </c>
      <c r="D1534" s="5" t="s">
        <v>8</v>
      </c>
      <c r="E1534" s="5" t="s">
        <v>9</v>
      </c>
      <c r="F1534" s="6">
        <v>45291</v>
      </c>
      <c r="G1534" s="5">
        <f t="shared" si="244"/>
        <v>2023</v>
      </c>
      <c r="H1534" s="5" t="str">
        <f t="shared" si="245"/>
        <v>Diciembre</v>
      </c>
      <c r="I1534" s="6" t="str">
        <f t="shared" si="249"/>
        <v>2023-2</v>
      </c>
      <c r="J1534" s="5">
        <v>8</v>
      </c>
      <c r="K1534" s="9">
        <v>10</v>
      </c>
      <c r="L1534" s="15">
        <f t="shared" si="251"/>
        <v>1.25</v>
      </c>
      <c r="M1534" s="15">
        <f t="shared" si="252"/>
        <v>1.25</v>
      </c>
      <c r="N1534" s="5" t="s">
        <v>490</v>
      </c>
      <c r="O1534" s="5" t="s">
        <v>490</v>
      </c>
      <c r="P1534" s="16">
        <v>0</v>
      </c>
      <c r="Q1534" s="16">
        <v>0</v>
      </c>
      <c r="R1534" s="5" t="str">
        <f t="shared" si="250"/>
        <v>401-2023-12-31</v>
      </c>
    </row>
    <row r="1535" spans="1:18" x14ac:dyDescent="0.3">
      <c r="A1535" s="5">
        <v>401</v>
      </c>
      <c r="B1535" s="5" t="s">
        <v>293</v>
      </c>
      <c r="C1535" s="5" t="s">
        <v>294</v>
      </c>
      <c r="D1535" s="5" t="s">
        <v>8</v>
      </c>
      <c r="E1535" s="5" t="s">
        <v>9</v>
      </c>
      <c r="F1535" s="6">
        <v>45473</v>
      </c>
      <c r="G1535" s="5">
        <f t="shared" si="244"/>
        <v>2024</v>
      </c>
      <c r="H1535" s="5" t="str">
        <f t="shared" si="245"/>
        <v>Junio</v>
      </c>
      <c r="I1535" s="6" t="str">
        <f t="shared" si="249"/>
        <v>2024-1</v>
      </c>
      <c r="J1535" s="5">
        <v>8</v>
      </c>
      <c r="K1535" s="5">
        <v>9</v>
      </c>
      <c r="L1535" s="15">
        <f t="shared" si="251"/>
        <v>1.125</v>
      </c>
      <c r="M1535" s="15">
        <v>1</v>
      </c>
      <c r="N1535" s="5" t="s">
        <v>490</v>
      </c>
      <c r="O1535" s="5" t="s">
        <v>490</v>
      </c>
      <c r="P1535" s="5">
        <v>0</v>
      </c>
      <c r="Q1535" s="5">
        <v>0</v>
      </c>
      <c r="R1535" s="5" t="str">
        <f t="shared" si="250"/>
        <v>401-2024-06-30</v>
      </c>
    </row>
    <row r="1536" spans="1:18" x14ac:dyDescent="0.3">
      <c r="A1536" s="26">
        <v>401</v>
      </c>
      <c r="B1536" s="5" t="s">
        <v>293</v>
      </c>
      <c r="C1536" s="5" t="s">
        <v>294</v>
      </c>
      <c r="D1536" s="5" t="s">
        <v>8</v>
      </c>
      <c r="E1536" s="5" t="s">
        <v>9</v>
      </c>
      <c r="F1536" s="6">
        <v>45657</v>
      </c>
      <c r="G1536" s="5">
        <f t="shared" si="244"/>
        <v>2024</v>
      </c>
      <c r="H1536" s="5" t="str">
        <f t="shared" si="245"/>
        <v>Diciembre</v>
      </c>
      <c r="I1536" s="6" t="str">
        <f t="shared" si="249"/>
        <v>2024-2</v>
      </c>
      <c r="J1536" s="5">
        <v>8</v>
      </c>
      <c r="K1536" s="10">
        <v>8</v>
      </c>
      <c r="L1536" s="15">
        <f t="shared" si="251"/>
        <v>1</v>
      </c>
      <c r="M1536" s="15">
        <f>IFERROR(IF((K1536/J1536)&gt;K1536/J1536,1.3,K1536/J1536),"")</f>
        <v>1</v>
      </c>
      <c r="N1536" s="5" t="s">
        <v>490</v>
      </c>
      <c r="O1536" s="5" t="s">
        <v>490</v>
      </c>
      <c r="P1536" s="16">
        <v>0</v>
      </c>
      <c r="Q1536" s="16">
        <v>0</v>
      </c>
      <c r="R1536" s="5" t="str">
        <f t="shared" si="250"/>
        <v>401-2024-12-31</v>
      </c>
    </row>
    <row r="1537" spans="1:18" x14ac:dyDescent="0.3">
      <c r="A1537" s="39">
        <v>402</v>
      </c>
      <c r="B1537" s="5" t="s">
        <v>295</v>
      </c>
      <c r="C1537" s="5" t="s">
        <v>294</v>
      </c>
      <c r="D1537" s="5" t="s">
        <v>25</v>
      </c>
      <c r="E1537" s="5" t="s">
        <v>9</v>
      </c>
      <c r="F1537" s="6">
        <v>45291</v>
      </c>
      <c r="G1537" s="5">
        <f t="shared" si="244"/>
        <v>2023</v>
      </c>
      <c r="H1537" s="5" t="str">
        <f t="shared" si="245"/>
        <v>Diciembre</v>
      </c>
      <c r="I1537" s="6" t="str">
        <f t="shared" si="249"/>
        <v>2023-2</v>
      </c>
      <c r="J1537" s="5" t="s">
        <v>417</v>
      </c>
      <c r="K1537" s="9">
        <v>21000</v>
      </c>
      <c r="L1537" s="8" t="str">
        <f>IFERROR(K1537/J1537,"")</f>
        <v/>
      </c>
      <c r="M1537" s="15" t="str">
        <f>IFERROR(IF((K1537/J1537)&gt;K1537/J1537,1.3,K1537/J1537),"")</f>
        <v/>
      </c>
      <c r="N1537" s="5" t="s">
        <v>490</v>
      </c>
      <c r="O1537" s="5" t="s">
        <v>490</v>
      </c>
      <c r="P1537" s="16">
        <v>0</v>
      </c>
      <c r="Q1537" s="16">
        <v>0</v>
      </c>
      <c r="R1537" s="5" t="str">
        <f t="shared" si="250"/>
        <v>402-2023-12-31</v>
      </c>
    </row>
    <row r="1538" spans="1:18" x14ac:dyDescent="0.3">
      <c r="A1538" s="26">
        <v>402</v>
      </c>
      <c r="B1538" s="5" t="s">
        <v>295</v>
      </c>
      <c r="C1538" s="5" t="s">
        <v>294</v>
      </c>
      <c r="D1538" s="5" t="s">
        <v>25</v>
      </c>
      <c r="E1538" s="5" t="s">
        <v>9</v>
      </c>
      <c r="F1538" s="6">
        <v>45657</v>
      </c>
      <c r="G1538" s="5">
        <f t="shared" ref="G1538:G1601" si="253">YEAR(F1538)</f>
        <v>2024</v>
      </c>
      <c r="H1538" s="5" t="str">
        <f t="shared" ref="H1538:H1601" si="254">PROPER(TEXT(F1538,"mmmm"))</f>
        <v>Diciembre</v>
      </c>
      <c r="I1538" s="6" t="str">
        <f t="shared" si="249"/>
        <v>2024-2</v>
      </c>
      <c r="J1538" s="5">
        <v>3</v>
      </c>
      <c r="K1538" s="10">
        <v>4.76</v>
      </c>
      <c r="L1538" s="15">
        <f>IFERROR(IF((K1538/J1538)&gt;1.3,1.3,K1538/J1538),"")</f>
        <v>1.3</v>
      </c>
      <c r="M1538" s="15">
        <f>IFERROR(IF((K1538/J1538)&gt;K1538/J1538,1.3,K1538/J1538),"")</f>
        <v>1.5866666666666667</v>
      </c>
      <c r="N1538" s="5"/>
      <c r="O1538" s="5"/>
      <c r="P1538" s="16">
        <v>0</v>
      </c>
      <c r="Q1538" s="16">
        <v>0</v>
      </c>
      <c r="R1538" s="5" t="str">
        <f t="shared" si="250"/>
        <v>402-2024-12-31</v>
      </c>
    </row>
    <row r="1539" spans="1:18" x14ac:dyDescent="0.3">
      <c r="A1539" s="26">
        <v>403</v>
      </c>
      <c r="B1539" s="5" t="s">
        <v>296</v>
      </c>
      <c r="C1539" s="5" t="s">
        <v>294</v>
      </c>
      <c r="D1539" s="5" t="s">
        <v>8</v>
      </c>
      <c r="E1539" s="5" t="s">
        <v>9</v>
      </c>
      <c r="F1539" s="17">
        <v>45107</v>
      </c>
      <c r="G1539" s="5">
        <f t="shared" si="253"/>
        <v>2023</v>
      </c>
      <c r="H1539" s="5" t="str">
        <f t="shared" si="254"/>
        <v>Junio</v>
      </c>
      <c r="I1539" s="6" t="str">
        <f t="shared" si="249"/>
        <v>2023-1</v>
      </c>
      <c r="J1539" s="5"/>
      <c r="K1539" s="9">
        <v>14370</v>
      </c>
      <c r="L1539" s="8" t="str">
        <f>IFERROR(K1539/J1539,"")</f>
        <v/>
      </c>
      <c r="M1539" s="15" t="str">
        <f>IFERROR(IF((K1539/J1539)&gt;K1539/J1539,1.3,K1539/J1539),"")</f>
        <v/>
      </c>
      <c r="N1539" s="5" t="s">
        <v>728</v>
      </c>
      <c r="O1539" s="5" t="s">
        <v>490</v>
      </c>
      <c r="P1539" s="16">
        <v>0</v>
      </c>
      <c r="Q1539" s="16">
        <v>0</v>
      </c>
      <c r="R1539" s="5" t="str">
        <f t="shared" si="250"/>
        <v>403-2023-06-30</v>
      </c>
    </row>
    <row r="1540" spans="1:18" x14ac:dyDescent="0.3">
      <c r="A1540" s="39">
        <v>403</v>
      </c>
      <c r="B1540" s="5" t="s">
        <v>296</v>
      </c>
      <c r="C1540" s="5" t="s">
        <v>294</v>
      </c>
      <c r="D1540" s="5" t="s">
        <v>8</v>
      </c>
      <c r="E1540" s="5" t="s">
        <v>9</v>
      </c>
      <c r="F1540" s="6">
        <v>45291</v>
      </c>
      <c r="G1540" s="5">
        <f t="shared" si="253"/>
        <v>2023</v>
      </c>
      <c r="H1540" s="5" t="str">
        <f t="shared" si="254"/>
        <v>Diciembre</v>
      </c>
      <c r="I1540" s="6" t="str">
        <f t="shared" si="249"/>
        <v>2023-2</v>
      </c>
      <c r="J1540" s="5"/>
      <c r="K1540" s="9">
        <v>14220</v>
      </c>
      <c r="L1540" s="8" t="str">
        <f>IFERROR(K1540/J1540,"")</f>
        <v/>
      </c>
      <c r="M1540" s="15" t="str">
        <f>IFERROR(IF((K1540/J1540)&gt;K1540/J1540,1.3,K1540/J1540),"")</f>
        <v/>
      </c>
      <c r="N1540" s="5" t="s">
        <v>728</v>
      </c>
      <c r="O1540" s="5" t="s">
        <v>490</v>
      </c>
      <c r="P1540" s="16">
        <v>0</v>
      </c>
      <c r="Q1540" s="16">
        <v>0</v>
      </c>
      <c r="R1540" s="5" t="str">
        <f t="shared" si="250"/>
        <v>403-2023-12-31</v>
      </c>
    </row>
    <row r="1541" spans="1:18" x14ac:dyDescent="0.3">
      <c r="A1541" s="5">
        <v>403</v>
      </c>
      <c r="B1541" s="5" t="s">
        <v>296</v>
      </c>
      <c r="C1541" s="5" t="s">
        <v>294</v>
      </c>
      <c r="D1541" s="5" t="s">
        <v>8</v>
      </c>
      <c r="E1541" s="5" t="s">
        <v>9</v>
      </c>
      <c r="F1541" s="6">
        <v>45473</v>
      </c>
      <c r="G1541" s="5">
        <f t="shared" si="253"/>
        <v>2024</v>
      </c>
      <c r="H1541" s="5" t="str">
        <f t="shared" si="254"/>
        <v>Junio</v>
      </c>
      <c r="I1541" s="6" t="str">
        <f t="shared" si="249"/>
        <v>2024-1</v>
      </c>
      <c r="J1541" s="5"/>
      <c r="K1541" s="5">
        <v>14923</v>
      </c>
      <c r="L1541" s="15" t="s">
        <v>417</v>
      </c>
      <c r="M1541" s="15" t="s">
        <v>417</v>
      </c>
      <c r="N1541" s="5" t="s">
        <v>728</v>
      </c>
      <c r="O1541" s="5" t="s">
        <v>490</v>
      </c>
      <c r="P1541" s="5">
        <v>0</v>
      </c>
      <c r="Q1541" s="5">
        <v>0</v>
      </c>
      <c r="R1541" s="5" t="str">
        <f t="shared" si="250"/>
        <v>403-2024-06-30</v>
      </c>
    </row>
    <row r="1542" spans="1:18" x14ac:dyDescent="0.3">
      <c r="A1542" s="26">
        <v>403</v>
      </c>
      <c r="B1542" s="5" t="s">
        <v>296</v>
      </c>
      <c r="C1542" s="5" t="s">
        <v>294</v>
      </c>
      <c r="D1542" s="5" t="s">
        <v>8</v>
      </c>
      <c r="E1542" s="5" t="s">
        <v>9</v>
      </c>
      <c r="F1542" s="6">
        <v>45657</v>
      </c>
      <c r="G1542" s="5">
        <f t="shared" si="253"/>
        <v>2024</v>
      </c>
      <c r="H1542" s="5" t="str">
        <f t="shared" si="254"/>
        <v>Diciembre</v>
      </c>
      <c r="I1542" s="6" t="str">
        <f t="shared" si="249"/>
        <v>2024-2</v>
      </c>
      <c r="J1542" s="5"/>
      <c r="K1542" s="10">
        <v>14495</v>
      </c>
      <c r="L1542" s="15" t="str">
        <f>IFERROR(IF((K1542/J1542)&gt;1.3,1.3,K1542/J1542),"")</f>
        <v/>
      </c>
      <c r="M1542" s="15" t="str">
        <f>IFERROR(IF((K1542/J1542)&gt;K1542/J1542,1.3,K1542/J1542),"")</f>
        <v/>
      </c>
      <c r="N1542" s="5" t="s">
        <v>728</v>
      </c>
      <c r="O1542" s="5" t="s">
        <v>490</v>
      </c>
      <c r="P1542" s="16">
        <v>0</v>
      </c>
      <c r="Q1542" s="16">
        <v>0</v>
      </c>
      <c r="R1542" s="5" t="str">
        <f t="shared" si="250"/>
        <v>403-2024-12-31</v>
      </c>
    </row>
    <row r="1543" spans="1:18" x14ac:dyDescent="0.3">
      <c r="A1543" s="26">
        <v>404</v>
      </c>
      <c r="B1543" s="5" t="s">
        <v>297</v>
      </c>
      <c r="C1543" s="5" t="s">
        <v>294</v>
      </c>
      <c r="D1543" s="5" t="s">
        <v>8</v>
      </c>
      <c r="E1543" s="5" t="s">
        <v>14</v>
      </c>
      <c r="F1543" s="17">
        <v>45107</v>
      </c>
      <c r="G1543" s="5">
        <f t="shared" si="253"/>
        <v>2023</v>
      </c>
      <c r="H1543" s="5" t="str">
        <f t="shared" si="254"/>
        <v>Junio</v>
      </c>
      <c r="I1543" s="6" t="str">
        <f t="shared" si="249"/>
        <v>2023-1</v>
      </c>
      <c r="J1543" s="34">
        <v>20</v>
      </c>
      <c r="K1543" s="9">
        <v>2</v>
      </c>
      <c r="L1543" s="8">
        <v>1</v>
      </c>
      <c r="M1543" s="8">
        <f>IFERROR(J1543/K1543,"")</f>
        <v>10</v>
      </c>
      <c r="N1543" s="11">
        <v>0</v>
      </c>
      <c r="O1543" s="5" t="s">
        <v>490</v>
      </c>
      <c r="P1543" s="16">
        <v>0</v>
      </c>
      <c r="Q1543" s="16">
        <v>0</v>
      </c>
      <c r="R1543" s="5" t="str">
        <f t="shared" si="250"/>
        <v>404-2023-06-30</v>
      </c>
    </row>
    <row r="1544" spans="1:18" x14ac:dyDescent="0.3">
      <c r="A1544" s="39">
        <v>404</v>
      </c>
      <c r="B1544" s="5" t="s">
        <v>297</v>
      </c>
      <c r="C1544" s="5" t="s">
        <v>294</v>
      </c>
      <c r="D1544" s="5" t="s">
        <v>8</v>
      </c>
      <c r="E1544" s="5" t="s">
        <v>14</v>
      </c>
      <c r="F1544" s="6">
        <v>45291</v>
      </c>
      <c r="G1544" s="5">
        <f t="shared" si="253"/>
        <v>2023</v>
      </c>
      <c r="H1544" s="5" t="str">
        <f t="shared" si="254"/>
        <v>Diciembre</v>
      </c>
      <c r="I1544" s="6" t="str">
        <f t="shared" si="249"/>
        <v>2023-2</v>
      </c>
      <c r="J1544" s="5">
        <v>20</v>
      </c>
      <c r="K1544" s="9">
        <v>1.31</v>
      </c>
      <c r="L1544" s="8">
        <v>1</v>
      </c>
      <c r="M1544" s="8">
        <f>IFERROR(J1544/K1544,"")</f>
        <v>15.267175572519083</v>
      </c>
      <c r="N1544" s="5">
        <v>0</v>
      </c>
      <c r="O1544" s="5" t="s">
        <v>490</v>
      </c>
      <c r="P1544" s="16">
        <v>0</v>
      </c>
      <c r="Q1544" s="16">
        <v>0</v>
      </c>
      <c r="R1544" s="5" t="str">
        <f t="shared" si="250"/>
        <v>404-2023-12-31</v>
      </c>
    </row>
    <row r="1545" spans="1:18" x14ac:dyDescent="0.3">
      <c r="A1545" s="5">
        <v>404</v>
      </c>
      <c r="B1545" s="5" t="s">
        <v>297</v>
      </c>
      <c r="C1545" s="5" t="s">
        <v>294</v>
      </c>
      <c r="D1545" s="5" t="s">
        <v>8</v>
      </c>
      <c r="E1545" s="5" t="s">
        <v>14</v>
      </c>
      <c r="F1545" s="65">
        <v>45473</v>
      </c>
      <c r="G1545" s="5">
        <f t="shared" si="253"/>
        <v>2024</v>
      </c>
      <c r="H1545" s="5" t="str">
        <f t="shared" si="254"/>
        <v>Junio</v>
      </c>
      <c r="I1545" s="6" t="str">
        <f t="shared" si="249"/>
        <v>2024-1</v>
      </c>
      <c r="J1545" s="5">
        <v>10</v>
      </c>
      <c r="K1545" s="5">
        <v>5.85</v>
      </c>
      <c r="L1545" s="15">
        <v>1</v>
      </c>
      <c r="M1545" s="15">
        <v>1</v>
      </c>
      <c r="N1545" s="5" t="s">
        <v>347</v>
      </c>
      <c r="O1545" s="5" t="s">
        <v>347</v>
      </c>
      <c r="P1545" s="5">
        <v>0</v>
      </c>
      <c r="Q1545" s="5">
        <v>0</v>
      </c>
      <c r="R1545" s="5" t="str">
        <f t="shared" si="250"/>
        <v>404-2024-06-30</v>
      </c>
    </row>
    <row r="1546" spans="1:18" x14ac:dyDescent="0.3">
      <c r="A1546" s="26">
        <v>404</v>
      </c>
      <c r="B1546" s="5" t="s">
        <v>297</v>
      </c>
      <c r="C1546" s="5" t="s">
        <v>294</v>
      </c>
      <c r="D1546" s="5" t="s">
        <v>8</v>
      </c>
      <c r="E1546" s="5" t="s">
        <v>14</v>
      </c>
      <c r="F1546" s="65">
        <v>45657</v>
      </c>
      <c r="G1546" s="5">
        <f t="shared" si="253"/>
        <v>2024</v>
      </c>
      <c r="H1546" s="5" t="str">
        <f t="shared" si="254"/>
        <v>Diciembre</v>
      </c>
      <c r="I1546" s="6" t="str">
        <f t="shared" si="249"/>
        <v>2024-2</v>
      </c>
      <c r="J1546" s="5">
        <v>10</v>
      </c>
      <c r="K1546" s="10">
        <v>6.02</v>
      </c>
      <c r="L1546" s="15">
        <f>IFERROR(IF((K1546/J1546)&gt;1.3,1.3,K1546/J1546),"")</f>
        <v>0.60199999999999998</v>
      </c>
      <c r="M1546" s="15">
        <f>IFERROR(IF((K1546/J1546)&gt;K1546/J1546,1.3,K1546/J1546),"")</f>
        <v>0.60199999999999998</v>
      </c>
      <c r="N1546" s="5" t="s">
        <v>347</v>
      </c>
      <c r="O1546" s="5" t="s">
        <v>347</v>
      </c>
      <c r="P1546" s="16">
        <v>0</v>
      </c>
      <c r="Q1546" s="16">
        <v>0</v>
      </c>
      <c r="R1546" s="5" t="str">
        <f t="shared" si="250"/>
        <v>404-2024-12-31</v>
      </c>
    </row>
    <row r="1547" spans="1:18" x14ac:dyDescent="0.3">
      <c r="A1547" s="26">
        <v>405</v>
      </c>
      <c r="B1547" s="5" t="s">
        <v>329</v>
      </c>
      <c r="C1547" s="5" t="s">
        <v>294</v>
      </c>
      <c r="D1547" s="5" t="s">
        <v>8</v>
      </c>
      <c r="E1547" s="5" t="s">
        <v>9</v>
      </c>
      <c r="F1547" s="84">
        <v>45107</v>
      </c>
      <c r="G1547" s="5">
        <f t="shared" si="253"/>
        <v>2023</v>
      </c>
      <c r="H1547" s="5" t="str">
        <f t="shared" si="254"/>
        <v>Junio</v>
      </c>
      <c r="I1547" s="6" t="str">
        <f t="shared" si="249"/>
        <v>2023-1</v>
      </c>
      <c r="J1547" s="5">
        <v>25</v>
      </c>
      <c r="K1547" s="9">
        <v>30</v>
      </c>
      <c r="L1547" s="8">
        <f>IFERROR(K1547/J1547,"")</f>
        <v>1.2</v>
      </c>
      <c r="M1547" s="15">
        <f>IFERROR(IF((K1547/J1547)&gt;K1547/J1547,1.3,K1547/J1547),"")</f>
        <v>1.2</v>
      </c>
      <c r="N1547" s="5" t="s">
        <v>347</v>
      </c>
      <c r="O1547" s="5" t="s">
        <v>347</v>
      </c>
      <c r="P1547" s="16">
        <v>0</v>
      </c>
      <c r="Q1547" s="16">
        <v>0</v>
      </c>
      <c r="R1547" s="5" t="str">
        <f t="shared" si="250"/>
        <v>405-2023-06-30</v>
      </c>
    </row>
    <row r="1548" spans="1:18" x14ac:dyDescent="0.3">
      <c r="A1548" s="39">
        <v>405</v>
      </c>
      <c r="B1548" s="5" t="s">
        <v>329</v>
      </c>
      <c r="C1548" s="5" t="s">
        <v>294</v>
      </c>
      <c r="D1548" s="5" t="s">
        <v>8</v>
      </c>
      <c r="E1548" s="5" t="s">
        <v>9</v>
      </c>
      <c r="F1548" s="65">
        <v>45291</v>
      </c>
      <c r="G1548" s="5">
        <f t="shared" si="253"/>
        <v>2023</v>
      </c>
      <c r="H1548" s="5" t="str">
        <f t="shared" si="254"/>
        <v>Diciembre</v>
      </c>
      <c r="I1548" s="6" t="str">
        <f t="shared" si="249"/>
        <v>2023-2</v>
      </c>
      <c r="J1548" s="5">
        <v>50</v>
      </c>
      <c r="K1548" s="9">
        <v>62</v>
      </c>
      <c r="L1548" s="8">
        <f>IFERROR(K1548/J1548,"")</f>
        <v>1.24</v>
      </c>
      <c r="M1548" s="15">
        <f>IFERROR(IF((K1548/J1548)&gt;K1548/J1548,1.3,K1548/J1548),"")</f>
        <v>1.24</v>
      </c>
      <c r="N1548" s="5" t="s">
        <v>347</v>
      </c>
      <c r="O1548" s="5" t="s">
        <v>347</v>
      </c>
      <c r="P1548" s="16">
        <v>0</v>
      </c>
      <c r="Q1548" s="16">
        <v>0</v>
      </c>
      <c r="R1548" s="5" t="str">
        <f t="shared" si="250"/>
        <v>405-2023-12-31</v>
      </c>
    </row>
    <row r="1549" spans="1:18" x14ac:dyDescent="0.3">
      <c r="A1549" s="5">
        <v>405</v>
      </c>
      <c r="B1549" s="5" t="s">
        <v>298</v>
      </c>
      <c r="C1549" s="5" t="s">
        <v>294</v>
      </c>
      <c r="D1549" s="5" t="s">
        <v>8</v>
      </c>
      <c r="E1549" s="5" t="s">
        <v>9</v>
      </c>
      <c r="F1549" s="65">
        <v>45473</v>
      </c>
      <c r="G1549" s="5">
        <f t="shared" si="253"/>
        <v>2024</v>
      </c>
      <c r="H1549" s="5" t="str">
        <f t="shared" si="254"/>
        <v>Junio</v>
      </c>
      <c r="I1549" s="6" t="str">
        <f t="shared" si="249"/>
        <v>2024-1</v>
      </c>
      <c r="J1549" s="5">
        <v>100</v>
      </c>
      <c r="K1549" s="5">
        <v>92</v>
      </c>
      <c r="L1549" s="15">
        <v>0.92</v>
      </c>
      <c r="M1549" s="15">
        <v>0.92</v>
      </c>
      <c r="N1549" s="5" t="s">
        <v>347</v>
      </c>
      <c r="O1549" s="5" t="s">
        <v>347</v>
      </c>
      <c r="P1549" s="5">
        <v>0</v>
      </c>
      <c r="Q1549" s="5">
        <v>0</v>
      </c>
      <c r="R1549" s="5" t="str">
        <f t="shared" si="250"/>
        <v>405-2024-06-30</v>
      </c>
    </row>
    <row r="1550" spans="1:18" x14ac:dyDescent="0.3">
      <c r="A1550" s="26">
        <v>405</v>
      </c>
      <c r="B1550" s="5" t="s">
        <v>298</v>
      </c>
      <c r="C1550" s="5" t="s">
        <v>294</v>
      </c>
      <c r="D1550" s="5" t="s">
        <v>8</v>
      </c>
      <c r="E1550" s="5" t="s">
        <v>9</v>
      </c>
      <c r="F1550" s="65">
        <v>45657</v>
      </c>
      <c r="G1550" s="5">
        <f t="shared" si="253"/>
        <v>2024</v>
      </c>
      <c r="H1550" s="5" t="str">
        <f t="shared" si="254"/>
        <v>Diciembre</v>
      </c>
      <c r="I1550" s="6" t="str">
        <f t="shared" si="249"/>
        <v>2024-2</v>
      </c>
      <c r="J1550" s="5">
        <v>100</v>
      </c>
      <c r="K1550" s="10">
        <v>98</v>
      </c>
      <c r="L1550" s="15">
        <f>IFERROR(IF((K1550/J1550)&gt;1.3,1.3,K1550/J1550),"")</f>
        <v>0.98</v>
      </c>
      <c r="M1550" s="15">
        <f>IFERROR(IF((K1550/J1550)&gt;K1550/J1550,1.3,K1550/J1550),"")</f>
        <v>0.98</v>
      </c>
      <c r="N1550" s="5" t="s">
        <v>347</v>
      </c>
      <c r="O1550" s="5" t="s">
        <v>347</v>
      </c>
      <c r="P1550" s="16">
        <v>0</v>
      </c>
      <c r="Q1550" s="16">
        <v>0</v>
      </c>
      <c r="R1550" s="5" t="str">
        <f t="shared" si="250"/>
        <v>405-2024-12-31</v>
      </c>
    </row>
    <row r="1551" spans="1:18" x14ac:dyDescent="0.3">
      <c r="A1551" s="39">
        <v>406</v>
      </c>
      <c r="B1551" s="5" t="s">
        <v>299</v>
      </c>
      <c r="C1551" s="5" t="s">
        <v>209</v>
      </c>
      <c r="D1551" s="5" t="s">
        <v>8</v>
      </c>
      <c r="E1551" s="5" t="s">
        <v>9</v>
      </c>
      <c r="F1551" s="65">
        <v>45291</v>
      </c>
      <c r="G1551" s="5">
        <f t="shared" si="253"/>
        <v>2023</v>
      </c>
      <c r="H1551" s="5" t="str">
        <f t="shared" si="254"/>
        <v>Diciembre</v>
      </c>
      <c r="I1551" s="6" t="str">
        <f t="shared" si="249"/>
        <v>2023-2</v>
      </c>
      <c r="J1551" s="5">
        <v>5</v>
      </c>
      <c r="K1551" s="9">
        <v>5</v>
      </c>
      <c r="L1551" s="8">
        <f>IFERROR(K1551/J1551,"")</f>
        <v>1</v>
      </c>
      <c r="M1551" s="15">
        <f>IFERROR(IF((K1551/J1551)&gt;K1551/J1551,1.3,K1551/J1551),"")</f>
        <v>1</v>
      </c>
      <c r="N1551" s="5" t="s">
        <v>347</v>
      </c>
      <c r="O1551" s="5" t="s">
        <v>347</v>
      </c>
      <c r="P1551" s="16">
        <v>0</v>
      </c>
      <c r="Q1551" s="16">
        <v>0</v>
      </c>
      <c r="R1551" s="5" t="str">
        <f t="shared" si="250"/>
        <v>406-2023-12-31</v>
      </c>
    </row>
    <row r="1552" spans="1:18" x14ac:dyDescent="0.3">
      <c r="A1552" s="5">
        <v>406</v>
      </c>
      <c r="B1552" s="5" t="s">
        <v>299</v>
      </c>
      <c r="C1552" s="5" t="s">
        <v>209</v>
      </c>
      <c r="D1552" s="5" t="s">
        <v>8</v>
      </c>
      <c r="E1552" s="5" t="s">
        <v>9</v>
      </c>
      <c r="F1552" s="65">
        <v>45473</v>
      </c>
      <c r="G1552" s="5">
        <f t="shared" si="253"/>
        <v>2024</v>
      </c>
      <c r="H1552" s="5" t="str">
        <f t="shared" si="254"/>
        <v>Junio</v>
      </c>
      <c r="I1552" s="6" t="str">
        <f t="shared" si="249"/>
        <v>2024-1</v>
      </c>
      <c r="J1552" s="5">
        <v>0</v>
      </c>
      <c r="K1552" s="5">
        <v>3</v>
      </c>
      <c r="L1552" s="15" t="s">
        <v>417</v>
      </c>
      <c r="M1552" s="15" t="s">
        <v>417</v>
      </c>
      <c r="N1552" s="5" t="s">
        <v>490</v>
      </c>
      <c r="O1552" s="5" t="s">
        <v>490</v>
      </c>
      <c r="P1552" s="5">
        <v>0</v>
      </c>
      <c r="Q1552" s="5">
        <v>0</v>
      </c>
      <c r="R1552" s="5" t="str">
        <f t="shared" si="250"/>
        <v>406-2024-06-30</v>
      </c>
    </row>
    <row r="1553" spans="1:18" x14ac:dyDescent="0.3">
      <c r="A1553" s="39">
        <v>407</v>
      </c>
      <c r="B1553" s="5" t="s">
        <v>300</v>
      </c>
      <c r="C1553" s="5" t="s">
        <v>209</v>
      </c>
      <c r="D1553" s="5" t="s">
        <v>8</v>
      </c>
      <c r="E1553" s="5" t="s">
        <v>9</v>
      </c>
      <c r="F1553" s="65">
        <v>45291</v>
      </c>
      <c r="G1553" s="5">
        <f t="shared" si="253"/>
        <v>2023</v>
      </c>
      <c r="H1553" s="5" t="str">
        <f t="shared" si="254"/>
        <v>Diciembre</v>
      </c>
      <c r="I1553" s="6" t="str">
        <f t="shared" si="249"/>
        <v>2023-2</v>
      </c>
      <c r="J1553" s="5">
        <v>3</v>
      </c>
      <c r="K1553" s="9">
        <v>3</v>
      </c>
      <c r="L1553" s="8">
        <f>IFERROR(K1553/J1553,"")</f>
        <v>1</v>
      </c>
      <c r="M1553" s="15">
        <f t="shared" ref="M1553:M1558" si="255">IFERROR(IF((K1553/J1553)&gt;K1553/J1553,1.3,K1553/J1553),"")</f>
        <v>1</v>
      </c>
      <c r="N1553" s="5" t="s">
        <v>490</v>
      </c>
      <c r="O1553" s="5" t="s">
        <v>490</v>
      </c>
      <c r="P1553" s="16">
        <v>0</v>
      </c>
      <c r="Q1553" s="16">
        <v>0</v>
      </c>
      <c r="R1553" s="5" t="str">
        <f t="shared" si="250"/>
        <v>407-2023-12-31</v>
      </c>
    </row>
    <row r="1554" spans="1:18" x14ac:dyDescent="0.3">
      <c r="A1554" s="39">
        <v>408</v>
      </c>
      <c r="B1554" s="5" t="s">
        <v>301</v>
      </c>
      <c r="C1554" s="5" t="s">
        <v>209</v>
      </c>
      <c r="D1554" s="5" t="s">
        <v>8</v>
      </c>
      <c r="E1554" s="5" t="s">
        <v>9</v>
      </c>
      <c r="F1554" s="6">
        <v>45291</v>
      </c>
      <c r="G1554" s="5">
        <f t="shared" si="253"/>
        <v>2023</v>
      </c>
      <c r="H1554" s="5" t="str">
        <f t="shared" si="254"/>
        <v>Diciembre</v>
      </c>
      <c r="I1554" s="6" t="str">
        <f t="shared" si="249"/>
        <v>2023-2</v>
      </c>
      <c r="J1554" s="5">
        <v>12</v>
      </c>
      <c r="K1554" s="9">
        <v>12</v>
      </c>
      <c r="L1554" s="8">
        <f>IFERROR(K1554/J1554,"")</f>
        <v>1</v>
      </c>
      <c r="M1554" s="15">
        <f t="shared" si="255"/>
        <v>1</v>
      </c>
      <c r="N1554" s="5" t="s">
        <v>490</v>
      </c>
      <c r="O1554" s="5" t="s">
        <v>490</v>
      </c>
      <c r="P1554" s="16">
        <v>0</v>
      </c>
      <c r="Q1554" s="16">
        <v>0</v>
      </c>
      <c r="R1554" s="5" t="str">
        <f t="shared" si="250"/>
        <v>408-2023-12-31</v>
      </c>
    </row>
    <row r="1555" spans="1:18" x14ac:dyDescent="0.3">
      <c r="A1555" s="26">
        <v>408</v>
      </c>
      <c r="B1555" s="5" t="s">
        <v>301</v>
      </c>
      <c r="C1555" s="5" t="s">
        <v>209</v>
      </c>
      <c r="D1555" s="5" t="s">
        <v>8</v>
      </c>
      <c r="E1555" s="5" t="s">
        <v>9</v>
      </c>
      <c r="F1555" s="6">
        <v>45657</v>
      </c>
      <c r="G1555" s="5">
        <f t="shared" si="253"/>
        <v>2024</v>
      </c>
      <c r="H1555" s="5" t="str">
        <f t="shared" si="254"/>
        <v>Diciembre</v>
      </c>
      <c r="I1555" s="6" t="str">
        <f t="shared" si="249"/>
        <v>2024-2</v>
      </c>
      <c r="J1555" s="5">
        <v>100</v>
      </c>
      <c r="K1555" s="10">
        <v>100</v>
      </c>
      <c r="L1555" s="15">
        <f>IFERROR(IF((K1555/J1555)&gt;1.3,1.3,K1555/J1555),"")</f>
        <v>1</v>
      </c>
      <c r="M1555" s="15">
        <f t="shared" si="255"/>
        <v>1</v>
      </c>
      <c r="N1555" s="5" t="s">
        <v>490</v>
      </c>
      <c r="O1555" s="5" t="s">
        <v>490</v>
      </c>
      <c r="P1555" s="16">
        <v>0</v>
      </c>
      <c r="Q1555" s="16">
        <v>0</v>
      </c>
      <c r="R1555" s="5" t="str">
        <f t="shared" si="250"/>
        <v>408-2024-12-31</v>
      </c>
    </row>
    <row r="1556" spans="1:18" x14ac:dyDescent="0.3">
      <c r="A1556" s="43">
        <v>409</v>
      </c>
      <c r="B1556" s="5" t="s">
        <v>302</v>
      </c>
      <c r="C1556" s="5" t="s">
        <v>145</v>
      </c>
      <c r="D1556" s="5" t="s">
        <v>11</v>
      </c>
      <c r="E1556" s="5" t="s">
        <v>9</v>
      </c>
      <c r="F1556" s="6">
        <v>45199</v>
      </c>
      <c r="G1556" s="5">
        <f t="shared" si="253"/>
        <v>2023</v>
      </c>
      <c r="H1556" s="5" t="str">
        <f t="shared" si="254"/>
        <v>Septiembre</v>
      </c>
      <c r="I1556" s="6" t="str">
        <f t="shared" si="249"/>
        <v>2023-2</v>
      </c>
      <c r="J1556" s="5">
        <v>80</v>
      </c>
      <c r="K1556" s="9">
        <v>103.71885459278499</v>
      </c>
      <c r="L1556" s="8">
        <f>IFERROR(K1556/J1556,"")</f>
        <v>1.2964856824098123</v>
      </c>
      <c r="M1556" s="15">
        <f t="shared" si="255"/>
        <v>1.2964856824098123</v>
      </c>
      <c r="N1556" s="5" t="s">
        <v>347</v>
      </c>
      <c r="O1556" s="5" t="s">
        <v>347</v>
      </c>
      <c r="P1556" s="16">
        <v>0</v>
      </c>
      <c r="Q1556" s="16">
        <v>0</v>
      </c>
      <c r="R1556" s="5" t="str">
        <f t="shared" si="250"/>
        <v>409-2023-09-30</v>
      </c>
    </row>
    <row r="1557" spans="1:18" x14ac:dyDescent="0.3">
      <c r="A1557" s="39">
        <v>409</v>
      </c>
      <c r="B1557" s="5" t="s">
        <v>302</v>
      </c>
      <c r="C1557" s="5" t="s">
        <v>145</v>
      </c>
      <c r="D1557" s="5" t="s">
        <v>11</v>
      </c>
      <c r="E1557" s="5" t="s">
        <v>9</v>
      </c>
      <c r="F1557" s="6">
        <v>45291</v>
      </c>
      <c r="G1557" s="5">
        <f t="shared" si="253"/>
        <v>2023</v>
      </c>
      <c r="H1557" s="5" t="str">
        <f t="shared" si="254"/>
        <v>Diciembre</v>
      </c>
      <c r="I1557" s="6" t="str">
        <f t="shared" si="249"/>
        <v>2023-2</v>
      </c>
      <c r="J1557" s="5">
        <v>80</v>
      </c>
      <c r="K1557" s="9">
        <v>100</v>
      </c>
      <c r="L1557" s="8">
        <f>IFERROR(K1557/J1557,"")</f>
        <v>1.25</v>
      </c>
      <c r="M1557" s="15">
        <f t="shared" si="255"/>
        <v>1.25</v>
      </c>
      <c r="N1557" s="5" t="s">
        <v>347</v>
      </c>
      <c r="O1557" s="5" t="s">
        <v>347</v>
      </c>
      <c r="P1557" s="16">
        <v>0</v>
      </c>
      <c r="Q1557" s="16">
        <v>0</v>
      </c>
      <c r="R1557" s="5" t="str">
        <f t="shared" si="250"/>
        <v>409-2023-12-31</v>
      </c>
    </row>
    <row r="1558" spans="1:18" x14ac:dyDescent="0.3">
      <c r="A1558" s="26">
        <v>409</v>
      </c>
      <c r="B1558" s="5" t="s">
        <v>302</v>
      </c>
      <c r="C1558" s="5" t="s">
        <v>145</v>
      </c>
      <c r="D1558" s="5" t="s">
        <v>11</v>
      </c>
      <c r="E1558" s="5" t="s">
        <v>9</v>
      </c>
      <c r="F1558" s="6">
        <v>45382</v>
      </c>
      <c r="G1558" s="5">
        <f t="shared" si="253"/>
        <v>2024</v>
      </c>
      <c r="H1558" s="5" t="str">
        <f t="shared" si="254"/>
        <v>Marzo</v>
      </c>
      <c r="I1558" s="6" t="str">
        <f t="shared" si="249"/>
        <v>2024-1</v>
      </c>
      <c r="J1558" s="5">
        <v>95</v>
      </c>
      <c r="K1558" s="10">
        <v>98.02</v>
      </c>
      <c r="L1558" s="15">
        <f>IFERROR(IF((K1558/J1558)&gt;1.3,1.3,K1558/J1558),"")</f>
        <v>1.0317894736842106</v>
      </c>
      <c r="M1558" s="15">
        <f t="shared" si="255"/>
        <v>1.0317894736842106</v>
      </c>
      <c r="N1558" s="5" t="s">
        <v>347</v>
      </c>
      <c r="O1558" s="5" t="s">
        <v>347</v>
      </c>
      <c r="P1558" s="16">
        <v>0</v>
      </c>
      <c r="Q1558" s="16">
        <v>0</v>
      </c>
      <c r="R1558" s="5" t="str">
        <f t="shared" si="250"/>
        <v>409-2024-03-31</v>
      </c>
    </row>
    <row r="1559" spans="1:18" x14ac:dyDescent="0.3">
      <c r="A1559" s="5">
        <v>409</v>
      </c>
      <c r="B1559" s="5" t="s">
        <v>302</v>
      </c>
      <c r="C1559" s="5" t="s">
        <v>145</v>
      </c>
      <c r="D1559" s="5" t="s">
        <v>11</v>
      </c>
      <c r="E1559" s="5" t="s">
        <v>9</v>
      </c>
      <c r="F1559" s="6">
        <v>45473</v>
      </c>
      <c r="G1559" s="5">
        <f t="shared" si="253"/>
        <v>2024</v>
      </c>
      <c r="H1559" s="5" t="str">
        <f t="shared" si="254"/>
        <v>Junio</v>
      </c>
      <c r="I1559" s="6" t="str">
        <f t="shared" ref="I1559:I1619" si="256">IF(OR(H1559="Enero",H1559="Febrero",H1559="Marzo",H1559="Abril",H1559="Mayo",H1559="Junio"),G1559&amp;"-1",IF(OR(H1559="Julio",H1559="Agosto",H1559="Septiembre",H1559="Octubre",H1559="Noviembre",H1559="Diciembre"),G1559&amp;"-2"))</f>
        <v>2024-1</v>
      </c>
      <c r="J1559" s="5">
        <v>95</v>
      </c>
      <c r="K1559" s="5">
        <v>98.4962406015037</v>
      </c>
      <c r="L1559" s="15">
        <v>1.0368025326474073</v>
      </c>
      <c r="M1559" s="15">
        <v>1.0368025326474073</v>
      </c>
      <c r="N1559" s="5" t="s">
        <v>347</v>
      </c>
      <c r="O1559" s="5" t="s">
        <v>347</v>
      </c>
      <c r="P1559" s="5">
        <v>0</v>
      </c>
      <c r="Q1559" s="5">
        <v>0</v>
      </c>
      <c r="R1559" s="5" t="str">
        <f t="shared" ref="R1559:R1619" si="257">A1559&amp;"-"&amp;YEAR(F1559)&amp;"-"&amp;IF(LEN(MONTH(F1559))=1,"0"&amp;MONTH(F1559),MONTH(F1559))&amp;"-"&amp;DAY(F1559)</f>
        <v>409-2024-06-30</v>
      </c>
    </row>
    <row r="1560" spans="1:18" x14ac:dyDescent="0.3">
      <c r="A1560" s="26">
        <v>409</v>
      </c>
      <c r="B1560" s="5" t="s">
        <v>302</v>
      </c>
      <c r="C1560" s="5" t="s">
        <v>145</v>
      </c>
      <c r="D1560" s="5" t="s">
        <v>11</v>
      </c>
      <c r="E1560" s="5" t="s">
        <v>9</v>
      </c>
      <c r="F1560" s="6">
        <v>45565</v>
      </c>
      <c r="G1560" s="5">
        <f t="shared" si="253"/>
        <v>2024</v>
      </c>
      <c r="H1560" s="5" t="str">
        <f t="shared" si="254"/>
        <v>Septiembre</v>
      </c>
      <c r="I1560" s="6" t="str">
        <f t="shared" si="256"/>
        <v>2024-2</v>
      </c>
      <c r="J1560" s="5">
        <v>95</v>
      </c>
      <c r="K1560" s="10">
        <v>97.122302158273001</v>
      </c>
      <c r="L1560" s="15">
        <f>IFERROR(IF((K1560/J1560)&gt;1.3,1.3,K1560/J1560),"")</f>
        <v>1.0223400227186632</v>
      </c>
      <c r="M1560" s="15">
        <f t="shared" ref="M1560:M1571" si="258">IFERROR(IF((K1560/J1560)&gt;K1560/J1560,1.3,K1560/J1560),"")</f>
        <v>1.0223400227186632</v>
      </c>
      <c r="N1560" s="5" t="s">
        <v>347</v>
      </c>
      <c r="O1560" s="5" t="s">
        <v>347</v>
      </c>
      <c r="P1560" s="16">
        <v>0</v>
      </c>
      <c r="Q1560" s="16">
        <v>0</v>
      </c>
      <c r="R1560" s="5" t="str">
        <f t="shared" si="257"/>
        <v>409-2024-09-30</v>
      </c>
    </row>
    <row r="1561" spans="1:18" x14ac:dyDescent="0.3">
      <c r="A1561" s="26">
        <v>409</v>
      </c>
      <c r="B1561" s="5" t="s">
        <v>302</v>
      </c>
      <c r="C1561" s="5" t="s">
        <v>145</v>
      </c>
      <c r="D1561" s="5" t="s">
        <v>11</v>
      </c>
      <c r="E1561" s="5" t="s">
        <v>9</v>
      </c>
      <c r="F1561" s="6">
        <v>45657</v>
      </c>
      <c r="G1561" s="5">
        <f t="shared" si="253"/>
        <v>2024</v>
      </c>
      <c r="H1561" s="5" t="str">
        <f t="shared" si="254"/>
        <v>Diciembre</v>
      </c>
      <c r="I1561" s="6" t="str">
        <f t="shared" si="256"/>
        <v>2024-2</v>
      </c>
      <c r="J1561" s="5">
        <v>95</v>
      </c>
      <c r="K1561" s="10">
        <v>96.46</v>
      </c>
      <c r="L1561" s="15">
        <f>IFERROR(IF((K1561/J1561)&gt;1.3,1.3,K1561/J1561),"")</f>
        <v>1.0153684210526315</v>
      </c>
      <c r="M1561" s="15">
        <f t="shared" si="258"/>
        <v>1.0153684210526315</v>
      </c>
      <c r="N1561" s="5" t="s">
        <v>347</v>
      </c>
      <c r="O1561" s="5" t="s">
        <v>347</v>
      </c>
      <c r="P1561" s="16">
        <v>0</v>
      </c>
      <c r="Q1561" s="16">
        <v>0</v>
      </c>
      <c r="R1561" s="5" t="str">
        <f t="shared" si="257"/>
        <v>409-2024-12-31</v>
      </c>
    </row>
    <row r="1562" spans="1:18" x14ac:dyDescent="0.3">
      <c r="A1562" s="43">
        <v>410</v>
      </c>
      <c r="B1562" s="5" t="s">
        <v>303</v>
      </c>
      <c r="C1562" s="5" t="s">
        <v>145</v>
      </c>
      <c r="D1562" s="5" t="s">
        <v>11</v>
      </c>
      <c r="E1562" s="5" t="s">
        <v>9</v>
      </c>
      <c r="F1562" s="6">
        <v>45199</v>
      </c>
      <c r="G1562" s="5">
        <f t="shared" si="253"/>
        <v>2023</v>
      </c>
      <c r="H1562" s="5" t="str">
        <f t="shared" si="254"/>
        <v>Septiembre</v>
      </c>
      <c r="I1562" s="6" t="str">
        <f t="shared" si="256"/>
        <v>2023-2</v>
      </c>
      <c r="J1562" s="5">
        <v>90</v>
      </c>
      <c r="K1562" s="9">
        <v>90.31</v>
      </c>
      <c r="L1562" s="22">
        <f>IFERROR(K1562/J1562,"")</f>
        <v>1.0034444444444444</v>
      </c>
      <c r="M1562" s="15">
        <f t="shared" si="258"/>
        <v>1.0034444444444444</v>
      </c>
      <c r="N1562" s="5" t="s">
        <v>347</v>
      </c>
      <c r="O1562" s="5" t="s">
        <v>347</v>
      </c>
      <c r="P1562" s="16">
        <v>0</v>
      </c>
      <c r="Q1562" s="16">
        <v>0</v>
      </c>
      <c r="R1562" s="5" t="str">
        <f t="shared" si="257"/>
        <v>410-2023-09-30</v>
      </c>
    </row>
    <row r="1563" spans="1:18" x14ac:dyDescent="0.3">
      <c r="A1563" s="39">
        <v>411</v>
      </c>
      <c r="B1563" s="5" t="s">
        <v>304</v>
      </c>
      <c r="C1563" s="5" t="s">
        <v>285</v>
      </c>
      <c r="D1563" s="5" t="s">
        <v>8</v>
      </c>
      <c r="E1563" s="5" t="s">
        <v>9</v>
      </c>
      <c r="F1563" s="6">
        <v>45291</v>
      </c>
      <c r="G1563" s="5">
        <f t="shared" si="253"/>
        <v>2023</v>
      </c>
      <c r="H1563" s="5" t="str">
        <f t="shared" si="254"/>
        <v>Diciembre</v>
      </c>
      <c r="I1563" s="6" t="str">
        <f t="shared" si="256"/>
        <v>2023-2</v>
      </c>
      <c r="J1563" s="5">
        <v>100</v>
      </c>
      <c r="K1563" s="9">
        <v>100</v>
      </c>
      <c r="L1563" s="8">
        <f>IFERROR(K1563/J1563,"")</f>
        <v>1</v>
      </c>
      <c r="M1563" s="15">
        <f t="shared" si="258"/>
        <v>1</v>
      </c>
      <c r="N1563" s="5" t="s">
        <v>347</v>
      </c>
      <c r="O1563" s="5" t="s">
        <v>347</v>
      </c>
      <c r="P1563" s="16">
        <v>0</v>
      </c>
      <c r="Q1563" s="16">
        <v>0</v>
      </c>
      <c r="R1563" s="5" t="str">
        <f t="shared" si="257"/>
        <v>411-2023-12-31</v>
      </c>
    </row>
    <row r="1564" spans="1:18" x14ac:dyDescent="0.3">
      <c r="A1564" s="39">
        <v>412</v>
      </c>
      <c r="B1564" s="5" t="s">
        <v>305</v>
      </c>
      <c r="C1564" s="5" t="s">
        <v>285</v>
      </c>
      <c r="D1564" s="5" t="s">
        <v>25</v>
      </c>
      <c r="E1564" s="5" t="s">
        <v>9</v>
      </c>
      <c r="F1564" s="6">
        <v>45291</v>
      </c>
      <c r="G1564" s="5">
        <f t="shared" si="253"/>
        <v>2023</v>
      </c>
      <c r="H1564" s="5" t="str">
        <f t="shared" si="254"/>
        <v>Diciembre</v>
      </c>
      <c r="I1564" s="6" t="str">
        <f t="shared" si="256"/>
        <v>2023-2</v>
      </c>
      <c r="J1564" s="5">
        <v>100</v>
      </c>
      <c r="K1564" s="9">
        <v>100</v>
      </c>
      <c r="L1564" s="8">
        <f>IFERROR(K1564/J1564,"")</f>
        <v>1</v>
      </c>
      <c r="M1564" s="15">
        <f t="shared" si="258"/>
        <v>1</v>
      </c>
      <c r="N1564" s="5" t="s">
        <v>347</v>
      </c>
      <c r="O1564" s="5" t="s">
        <v>347</v>
      </c>
      <c r="P1564" s="16">
        <v>0</v>
      </c>
      <c r="Q1564" s="16">
        <v>0</v>
      </c>
      <c r="R1564" s="5" t="str">
        <f t="shared" si="257"/>
        <v>412-2023-12-31</v>
      </c>
    </row>
    <row r="1565" spans="1:18" x14ac:dyDescent="0.3">
      <c r="A1565" s="26">
        <v>412</v>
      </c>
      <c r="B1565" s="5" t="s">
        <v>733</v>
      </c>
      <c r="C1565" s="5" t="s">
        <v>285</v>
      </c>
      <c r="D1565" s="5" t="s">
        <v>25</v>
      </c>
      <c r="E1565" s="5" t="s">
        <v>9</v>
      </c>
      <c r="F1565" s="6">
        <v>45657</v>
      </c>
      <c r="G1565" s="5">
        <f t="shared" si="253"/>
        <v>2024</v>
      </c>
      <c r="H1565" s="5" t="str">
        <f t="shared" si="254"/>
        <v>Diciembre</v>
      </c>
      <c r="I1565" s="6" t="str">
        <f t="shared" si="256"/>
        <v>2024-2</v>
      </c>
      <c r="J1565" s="5">
        <v>100</v>
      </c>
      <c r="K1565" s="10">
        <v>100</v>
      </c>
      <c r="L1565" s="15">
        <f>IFERROR(IF((K1565/J1565)&gt;1.3,1.3,K1565/J1565),"")</f>
        <v>1</v>
      </c>
      <c r="M1565" s="15">
        <f t="shared" si="258"/>
        <v>1</v>
      </c>
      <c r="N1565" s="5" t="s">
        <v>347</v>
      </c>
      <c r="O1565" s="5" t="s">
        <v>347</v>
      </c>
      <c r="P1565" s="16">
        <v>0</v>
      </c>
      <c r="Q1565" s="16">
        <v>0</v>
      </c>
      <c r="R1565" s="5" t="str">
        <f t="shared" si="257"/>
        <v>412-2024-12-31</v>
      </c>
    </row>
    <row r="1566" spans="1:18" x14ac:dyDescent="0.3">
      <c r="A1566" s="39">
        <v>413</v>
      </c>
      <c r="B1566" s="5" t="s">
        <v>306</v>
      </c>
      <c r="C1566" s="5" t="s">
        <v>285</v>
      </c>
      <c r="D1566" s="5" t="s">
        <v>25</v>
      </c>
      <c r="E1566" s="5" t="s">
        <v>9</v>
      </c>
      <c r="F1566" s="6">
        <v>45291</v>
      </c>
      <c r="G1566" s="5">
        <f t="shared" si="253"/>
        <v>2023</v>
      </c>
      <c r="H1566" s="5" t="str">
        <f t="shared" si="254"/>
        <v>Diciembre</v>
      </c>
      <c r="I1566" s="6" t="str">
        <f t="shared" si="256"/>
        <v>2023-2</v>
      </c>
      <c r="J1566" s="5"/>
      <c r="K1566" s="9">
        <v>2</v>
      </c>
      <c r="L1566" s="8" t="str">
        <f>IFERROR(K1566/J1566,"")</f>
        <v/>
      </c>
      <c r="M1566" s="15" t="str">
        <f t="shared" si="258"/>
        <v/>
      </c>
      <c r="N1566" s="5" t="s">
        <v>477</v>
      </c>
      <c r="O1566" s="5" t="s">
        <v>347</v>
      </c>
      <c r="P1566" s="16">
        <v>0</v>
      </c>
      <c r="Q1566" s="16">
        <v>0</v>
      </c>
      <c r="R1566" s="5" t="str">
        <f t="shared" si="257"/>
        <v>413-2023-12-31</v>
      </c>
    </row>
    <row r="1567" spans="1:18" x14ac:dyDescent="0.3">
      <c r="A1567" s="26">
        <v>413</v>
      </c>
      <c r="B1567" s="5" t="s">
        <v>734</v>
      </c>
      <c r="C1567" s="5" t="s">
        <v>285</v>
      </c>
      <c r="D1567" s="5" t="s">
        <v>25</v>
      </c>
      <c r="E1567" s="5" t="s">
        <v>9</v>
      </c>
      <c r="F1567" s="6">
        <v>45657</v>
      </c>
      <c r="G1567" s="5">
        <f t="shared" si="253"/>
        <v>2024</v>
      </c>
      <c r="H1567" s="5" t="str">
        <f t="shared" si="254"/>
        <v>Diciembre</v>
      </c>
      <c r="I1567" s="6" t="str">
        <f t="shared" si="256"/>
        <v>2024-2</v>
      </c>
      <c r="J1567" s="5">
        <v>100</v>
      </c>
      <c r="K1567" s="10">
        <v>100</v>
      </c>
      <c r="L1567" s="15">
        <f>IFERROR(IF((K1567/J1567)&gt;1.3,1.3,K1567/J1567),"")</f>
        <v>1</v>
      </c>
      <c r="M1567" s="15">
        <f t="shared" si="258"/>
        <v>1</v>
      </c>
      <c r="N1567" s="5"/>
      <c r="O1567" s="5"/>
      <c r="P1567" s="16">
        <v>0</v>
      </c>
      <c r="Q1567" s="16">
        <v>0</v>
      </c>
      <c r="R1567" s="5" t="str">
        <f t="shared" si="257"/>
        <v>413-2024-12-31</v>
      </c>
    </row>
    <row r="1568" spans="1:18" x14ac:dyDescent="0.3">
      <c r="A1568" s="26">
        <v>414</v>
      </c>
      <c r="B1568" s="5" t="s">
        <v>307</v>
      </c>
      <c r="C1568" s="5"/>
      <c r="D1568" s="5" t="s">
        <v>11</v>
      </c>
      <c r="E1568" s="5" t="s">
        <v>9</v>
      </c>
      <c r="F1568" s="6">
        <v>45107</v>
      </c>
      <c r="G1568" s="5">
        <f t="shared" si="253"/>
        <v>2023</v>
      </c>
      <c r="H1568" s="5" t="str">
        <f t="shared" si="254"/>
        <v>Junio</v>
      </c>
      <c r="I1568" s="6" t="str">
        <f t="shared" si="256"/>
        <v>2023-1</v>
      </c>
      <c r="J1568" s="5">
        <v>100</v>
      </c>
      <c r="K1568" s="9">
        <v>110.1</v>
      </c>
      <c r="L1568" s="8">
        <f>IFERROR(K1568/J1568,"")</f>
        <v>1.101</v>
      </c>
      <c r="M1568" s="15">
        <f t="shared" si="258"/>
        <v>1.101</v>
      </c>
      <c r="N1568" s="5"/>
      <c r="O1568" s="5"/>
      <c r="P1568" s="16">
        <v>0</v>
      </c>
      <c r="Q1568" s="16">
        <v>0</v>
      </c>
      <c r="R1568" s="5" t="str">
        <f t="shared" si="257"/>
        <v>414-2023-06-30</v>
      </c>
    </row>
    <row r="1569" spans="1:18" x14ac:dyDescent="0.3">
      <c r="A1569" s="26">
        <v>414</v>
      </c>
      <c r="B1569" s="5" t="s">
        <v>307</v>
      </c>
      <c r="C1569" s="5"/>
      <c r="D1569" s="5" t="s">
        <v>11</v>
      </c>
      <c r="E1569" s="5" t="s">
        <v>9</v>
      </c>
      <c r="F1569" s="6">
        <v>45199</v>
      </c>
      <c r="G1569" s="5">
        <f t="shared" si="253"/>
        <v>2023</v>
      </c>
      <c r="H1569" s="5" t="str">
        <f t="shared" si="254"/>
        <v>Septiembre</v>
      </c>
      <c r="I1569" s="6" t="str">
        <f t="shared" si="256"/>
        <v>2023-2</v>
      </c>
      <c r="J1569" s="5">
        <v>100</v>
      </c>
      <c r="K1569" s="9">
        <v>93.54</v>
      </c>
      <c r="L1569" s="8">
        <v>0</v>
      </c>
      <c r="M1569" s="15">
        <f t="shared" si="258"/>
        <v>0.93540000000000001</v>
      </c>
      <c r="N1569" s="5"/>
      <c r="O1569" s="5"/>
      <c r="P1569" s="16">
        <v>0</v>
      </c>
      <c r="Q1569" s="16">
        <v>0</v>
      </c>
      <c r="R1569" s="5" t="str">
        <f t="shared" si="257"/>
        <v>414-2023-09-30</v>
      </c>
    </row>
    <row r="1570" spans="1:18" x14ac:dyDescent="0.3">
      <c r="A1570" s="26">
        <v>414</v>
      </c>
      <c r="B1570" s="5" t="s">
        <v>307</v>
      </c>
      <c r="C1570" s="5"/>
      <c r="D1570" s="5" t="s">
        <v>11</v>
      </c>
      <c r="E1570" s="5" t="s">
        <v>9</v>
      </c>
      <c r="F1570" s="6">
        <v>45291</v>
      </c>
      <c r="G1570" s="5">
        <f t="shared" si="253"/>
        <v>2023</v>
      </c>
      <c r="H1570" s="5" t="str">
        <f t="shared" si="254"/>
        <v>Diciembre</v>
      </c>
      <c r="I1570" s="6" t="str">
        <f t="shared" si="256"/>
        <v>2023-2</v>
      </c>
      <c r="J1570" s="5">
        <v>100</v>
      </c>
      <c r="K1570" s="9">
        <v>96.28</v>
      </c>
      <c r="L1570" s="8">
        <f>IFERROR(K1570/J1570,"")</f>
        <v>0.96279999999999999</v>
      </c>
      <c r="M1570" s="15">
        <f t="shared" si="258"/>
        <v>0.96279999999999999</v>
      </c>
      <c r="N1570" s="5"/>
      <c r="O1570" s="5"/>
      <c r="P1570" s="16">
        <v>0</v>
      </c>
      <c r="Q1570" s="16">
        <v>0</v>
      </c>
      <c r="R1570" s="5" t="str">
        <f t="shared" si="257"/>
        <v>414-2023-12-31</v>
      </c>
    </row>
    <row r="1571" spans="1:18" x14ac:dyDescent="0.3">
      <c r="A1571" s="26">
        <v>414</v>
      </c>
      <c r="B1571" s="5" t="s">
        <v>307</v>
      </c>
      <c r="C1571" s="5" t="s">
        <v>131</v>
      </c>
      <c r="D1571" s="5" t="s">
        <v>11</v>
      </c>
      <c r="E1571" s="5" t="s">
        <v>9</v>
      </c>
      <c r="F1571" s="6">
        <v>45382</v>
      </c>
      <c r="G1571" s="5">
        <f t="shared" si="253"/>
        <v>2024</v>
      </c>
      <c r="H1571" s="5" t="str">
        <f t="shared" si="254"/>
        <v>Marzo</v>
      </c>
      <c r="I1571" s="6" t="str">
        <f t="shared" si="256"/>
        <v>2024-1</v>
      </c>
      <c r="J1571" s="5">
        <v>100</v>
      </c>
      <c r="K1571" s="10">
        <v>99.3</v>
      </c>
      <c r="L1571" s="15">
        <f>IFERROR(IF((K1571/J1571)&gt;1.3,1.3,K1571/J1571),"")</f>
        <v>0.99299999999999999</v>
      </c>
      <c r="M1571" s="15">
        <f t="shared" si="258"/>
        <v>0.99299999999999999</v>
      </c>
      <c r="N1571" s="5"/>
      <c r="O1571" s="5"/>
      <c r="P1571" s="16">
        <v>0</v>
      </c>
      <c r="Q1571" s="16">
        <v>0</v>
      </c>
      <c r="R1571" s="5" t="str">
        <f t="shared" si="257"/>
        <v>414-2024-03-31</v>
      </c>
    </row>
    <row r="1572" spans="1:18" x14ac:dyDescent="0.3">
      <c r="A1572" s="5">
        <v>414</v>
      </c>
      <c r="B1572" s="5" t="s">
        <v>307</v>
      </c>
      <c r="C1572" s="5" t="s">
        <v>131</v>
      </c>
      <c r="D1572" s="5" t="s">
        <v>11</v>
      </c>
      <c r="E1572" s="5" t="s">
        <v>9</v>
      </c>
      <c r="F1572" s="6">
        <v>45473</v>
      </c>
      <c r="G1572" s="5">
        <f t="shared" si="253"/>
        <v>2024</v>
      </c>
      <c r="H1572" s="5" t="str">
        <f t="shared" si="254"/>
        <v>Junio</v>
      </c>
      <c r="I1572" s="6" t="str">
        <f t="shared" si="256"/>
        <v>2024-1</v>
      </c>
      <c r="J1572" s="5">
        <v>100</v>
      </c>
      <c r="K1572" s="5">
        <v>100.06</v>
      </c>
      <c r="L1572" s="15">
        <v>1.0005999999999999</v>
      </c>
      <c r="M1572" s="15">
        <v>1.0005999999999999</v>
      </c>
      <c r="N1572" s="5"/>
      <c r="O1572" s="5"/>
      <c r="P1572" s="5">
        <v>0</v>
      </c>
      <c r="Q1572" s="5">
        <v>0</v>
      </c>
      <c r="R1572" s="5" t="str">
        <f t="shared" si="257"/>
        <v>414-2024-06-30</v>
      </c>
    </row>
    <row r="1573" spans="1:18" x14ac:dyDescent="0.3">
      <c r="A1573" s="26">
        <v>414</v>
      </c>
      <c r="B1573" s="5" t="s">
        <v>307</v>
      </c>
      <c r="C1573" s="5" t="s">
        <v>131</v>
      </c>
      <c r="D1573" s="5" t="s">
        <v>11</v>
      </c>
      <c r="E1573" s="5" t="s">
        <v>9</v>
      </c>
      <c r="F1573" s="6">
        <v>45565</v>
      </c>
      <c r="G1573" s="5">
        <f t="shared" si="253"/>
        <v>2024</v>
      </c>
      <c r="H1573" s="5" t="str">
        <f t="shared" si="254"/>
        <v>Septiembre</v>
      </c>
      <c r="I1573" s="6" t="str">
        <f t="shared" si="256"/>
        <v>2024-2</v>
      </c>
      <c r="J1573" s="5">
        <v>100</v>
      </c>
      <c r="K1573" s="10">
        <v>99.38</v>
      </c>
      <c r="L1573" s="15">
        <f>IFERROR(IF((K1573/J1573)&gt;1.3,1.3,K1573/J1573),"")</f>
        <v>0.99379999999999991</v>
      </c>
      <c r="M1573" s="15">
        <f t="shared" ref="M1573:M1578" si="259">IFERROR(IF((K1573/J1573)&gt;K1573/J1573,1.3,K1573/J1573),"")</f>
        <v>0.99379999999999991</v>
      </c>
      <c r="N1573" s="5"/>
      <c r="O1573" s="5"/>
      <c r="P1573" s="16">
        <v>0</v>
      </c>
      <c r="Q1573" s="16">
        <v>0</v>
      </c>
      <c r="R1573" s="5" t="str">
        <f t="shared" si="257"/>
        <v>414-2024-09-30</v>
      </c>
    </row>
    <row r="1574" spans="1:18" x14ac:dyDescent="0.3">
      <c r="A1574" s="26">
        <v>414</v>
      </c>
      <c r="B1574" s="5" t="s">
        <v>307</v>
      </c>
      <c r="C1574" s="5" t="s">
        <v>131</v>
      </c>
      <c r="D1574" s="5" t="s">
        <v>11</v>
      </c>
      <c r="E1574" s="5" t="s">
        <v>9</v>
      </c>
      <c r="F1574" s="6">
        <v>45657</v>
      </c>
      <c r="G1574" s="5">
        <f t="shared" si="253"/>
        <v>2024</v>
      </c>
      <c r="H1574" s="5" t="str">
        <f t="shared" si="254"/>
        <v>Diciembre</v>
      </c>
      <c r="I1574" s="6" t="str">
        <f t="shared" si="256"/>
        <v>2024-2</v>
      </c>
      <c r="J1574" s="5">
        <v>100</v>
      </c>
      <c r="K1574" s="10">
        <v>0</v>
      </c>
      <c r="L1574" s="15">
        <f>IFERROR(IF((K1574/J1574)&gt;1.3,1.3,K1574/J1574),"")</f>
        <v>0</v>
      </c>
      <c r="M1574" s="15">
        <f t="shared" si="259"/>
        <v>0</v>
      </c>
      <c r="N1574" s="5"/>
      <c r="O1574" s="5"/>
      <c r="P1574" s="16">
        <v>0</v>
      </c>
      <c r="Q1574" s="16">
        <v>0</v>
      </c>
      <c r="R1574" s="5" t="str">
        <f t="shared" si="257"/>
        <v>414-2024-12-31</v>
      </c>
    </row>
    <row r="1575" spans="1:18" x14ac:dyDescent="0.3">
      <c r="A1575" s="26">
        <v>415</v>
      </c>
      <c r="B1575" s="5" t="s">
        <v>308</v>
      </c>
      <c r="C1575" s="5"/>
      <c r="D1575" s="5" t="s">
        <v>11</v>
      </c>
      <c r="E1575" s="5" t="s">
        <v>9</v>
      </c>
      <c r="F1575" s="6">
        <v>45107</v>
      </c>
      <c r="G1575" s="5">
        <f t="shared" si="253"/>
        <v>2023</v>
      </c>
      <c r="H1575" s="5" t="str">
        <f t="shared" si="254"/>
        <v>Junio</v>
      </c>
      <c r="I1575" s="6" t="str">
        <f t="shared" si="256"/>
        <v>2023-1</v>
      </c>
      <c r="J1575" s="5">
        <v>100</v>
      </c>
      <c r="K1575" s="9">
        <v>94.04</v>
      </c>
      <c r="L1575" s="8">
        <f>IFERROR(K1575/J1575,"")</f>
        <v>0.94040000000000001</v>
      </c>
      <c r="M1575" s="15">
        <f t="shared" si="259"/>
        <v>0.94040000000000001</v>
      </c>
      <c r="N1575" s="5"/>
      <c r="O1575" s="5"/>
      <c r="P1575" s="16">
        <v>0</v>
      </c>
      <c r="Q1575" s="16">
        <v>0</v>
      </c>
      <c r="R1575" s="5" t="str">
        <f t="shared" si="257"/>
        <v>415-2023-06-30</v>
      </c>
    </row>
    <row r="1576" spans="1:18" x14ac:dyDescent="0.3">
      <c r="A1576" s="26">
        <v>415</v>
      </c>
      <c r="B1576" s="5" t="s">
        <v>308</v>
      </c>
      <c r="C1576" s="5"/>
      <c r="D1576" s="5" t="s">
        <v>11</v>
      </c>
      <c r="E1576" s="5" t="s">
        <v>9</v>
      </c>
      <c r="F1576" s="6">
        <v>45199</v>
      </c>
      <c r="G1576" s="5">
        <f t="shared" si="253"/>
        <v>2023</v>
      </c>
      <c r="H1576" s="5" t="str">
        <f t="shared" si="254"/>
        <v>Septiembre</v>
      </c>
      <c r="I1576" s="6" t="str">
        <f t="shared" si="256"/>
        <v>2023-2</v>
      </c>
      <c r="J1576" s="5">
        <v>100</v>
      </c>
      <c r="K1576" s="9">
        <v>93.94</v>
      </c>
      <c r="L1576" s="8">
        <v>0</v>
      </c>
      <c r="M1576" s="15">
        <f t="shared" si="259"/>
        <v>0.93940000000000001</v>
      </c>
      <c r="N1576" s="5"/>
      <c r="O1576" s="5"/>
      <c r="P1576" s="16">
        <v>0</v>
      </c>
      <c r="Q1576" s="16">
        <v>0</v>
      </c>
      <c r="R1576" s="5" t="str">
        <f t="shared" si="257"/>
        <v>415-2023-09-30</v>
      </c>
    </row>
    <row r="1577" spans="1:18" x14ac:dyDescent="0.3">
      <c r="A1577" s="26">
        <v>415</v>
      </c>
      <c r="B1577" s="5" t="s">
        <v>308</v>
      </c>
      <c r="C1577" s="5"/>
      <c r="D1577" s="5" t="s">
        <v>11</v>
      </c>
      <c r="E1577" s="5" t="s">
        <v>9</v>
      </c>
      <c r="F1577" s="6">
        <v>45291</v>
      </c>
      <c r="G1577" s="5">
        <f t="shared" si="253"/>
        <v>2023</v>
      </c>
      <c r="H1577" s="5" t="str">
        <f t="shared" si="254"/>
        <v>Diciembre</v>
      </c>
      <c r="I1577" s="6" t="str">
        <f t="shared" si="256"/>
        <v>2023-2</v>
      </c>
      <c r="J1577" s="5">
        <v>100</v>
      </c>
      <c r="K1577" s="9">
        <v>96.03</v>
      </c>
      <c r="L1577" s="8">
        <f>IFERROR(K1577/J1577,"")</f>
        <v>0.96030000000000004</v>
      </c>
      <c r="M1577" s="15">
        <f t="shared" si="259"/>
        <v>0.96030000000000004</v>
      </c>
      <c r="N1577" s="5"/>
      <c r="O1577" s="5"/>
      <c r="P1577" s="16">
        <v>0</v>
      </c>
      <c r="Q1577" s="16">
        <v>0</v>
      </c>
      <c r="R1577" s="5" t="str">
        <f t="shared" si="257"/>
        <v>415-2023-12-31</v>
      </c>
    </row>
    <row r="1578" spans="1:18" x14ac:dyDescent="0.3">
      <c r="A1578" s="26">
        <v>415</v>
      </c>
      <c r="B1578" s="5" t="s">
        <v>308</v>
      </c>
      <c r="C1578" s="5" t="s">
        <v>131</v>
      </c>
      <c r="D1578" s="5" t="s">
        <v>11</v>
      </c>
      <c r="E1578" s="5" t="s">
        <v>9</v>
      </c>
      <c r="F1578" s="6">
        <v>45382</v>
      </c>
      <c r="G1578" s="5">
        <f t="shared" si="253"/>
        <v>2024</v>
      </c>
      <c r="H1578" s="5" t="str">
        <f t="shared" si="254"/>
        <v>Marzo</v>
      </c>
      <c r="I1578" s="6" t="str">
        <f t="shared" si="256"/>
        <v>2024-1</v>
      </c>
      <c r="J1578" s="5">
        <v>100</v>
      </c>
      <c r="K1578" s="10">
        <v>80.790000000000006</v>
      </c>
      <c r="L1578" s="15">
        <f>IFERROR(IF((K1578/J1578)&gt;1.3,1.3,K1578/J1578),"")</f>
        <v>0.80790000000000006</v>
      </c>
      <c r="M1578" s="15">
        <f t="shared" si="259"/>
        <v>0.80790000000000006</v>
      </c>
      <c r="N1578" s="5"/>
      <c r="O1578" s="5"/>
      <c r="P1578" s="16">
        <v>0</v>
      </c>
      <c r="Q1578" s="16">
        <v>0</v>
      </c>
      <c r="R1578" s="5" t="str">
        <f t="shared" si="257"/>
        <v>415-2024-03-31</v>
      </c>
    </row>
    <row r="1579" spans="1:18" x14ac:dyDescent="0.3">
      <c r="A1579" s="5">
        <v>415</v>
      </c>
      <c r="B1579" s="5" t="s">
        <v>308</v>
      </c>
      <c r="C1579" s="5" t="s">
        <v>131</v>
      </c>
      <c r="D1579" s="5" t="s">
        <v>11</v>
      </c>
      <c r="E1579" s="5" t="s">
        <v>9</v>
      </c>
      <c r="F1579" s="6">
        <v>45473</v>
      </c>
      <c r="G1579" s="5">
        <f t="shared" si="253"/>
        <v>2024</v>
      </c>
      <c r="H1579" s="5" t="str">
        <f t="shared" si="254"/>
        <v>Junio</v>
      </c>
      <c r="I1579" s="6" t="str">
        <f t="shared" si="256"/>
        <v>2024-1</v>
      </c>
      <c r="J1579" s="5">
        <v>100</v>
      </c>
      <c r="K1579" s="5">
        <v>93.04</v>
      </c>
      <c r="L1579" s="15">
        <v>0.93040000000000012</v>
      </c>
      <c r="M1579" s="15">
        <v>0.93040000000000012</v>
      </c>
      <c r="N1579" s="5"/>
      <c r="O1579" s="5"/>
      <c r="P1579" s="5">
        <v>0</v>
      </c>
      <c r="Q1579" s="5">
        <v>0</v>
      </c>
      <c r="R1579" s="5" t="str">
        <f t="shared" si="257"/>
        <v>415-2024-06-30</v>
      </c>
    </row>
    <row r="1580" spans="1:18" x14ac:dyDescent="0.3">
      <c r="A1580" s="26">
        <v>415</v>
      </c>
      <c r="B1580" s="5" t="s">
        <v>308</v>
      </c>
      <c r="C1580" s="5" t="s">
        <v>131</v>
      </c>
      <c r="D1580" s="5" t="s">
        <v>11</v>
      </c>
      <c r="E1580" s="5" t="s">
        <v>9</v>
      </c>
      <c r="F1580" s="6">
        <v>45565</v>
      </c>
      <c r="G1580" s="5">
        <f t="shared" si="253"/>
        <v>2024</v>
      </c>
      <c r="H1580" s="5" t="str">
        <f t="shared" si="254"/>
        <v>Septiembre</v>
      </c>
      <c r="I1580" s="6" t="str">
        <f t="shared" si="256"/>
        <v>2024-2</v>
      </c>
      <c r="J1580" s="5">
        <v>100</v>
      </c>
      <c r="K1580" s="10">
        <v>92.46</v>
      </c>
      <c r="L1580" s="15">
        <f>IFERROR(IF((K1580/J1580)&gt;1.3,1.3,K1580/J1580),"")</f>
        <v>0.92459999999999998</v>
      </c>
      <c r="M1580" s="15">
        <f t="shared" ref="M1580:M1585" si="260">IFERROR(IF((K1580/J1580)&gt;K1580/J1580,1.3,K1580/J1580),"")</f>
        <v>0.92459999999999998</v>
      </c>
      <c r="N1580" s="5"/>
      <c r="O1580" s="5"/>
      <c r="P1580" s="16">
        <v>0</v>
      </c>
      <c r="Q1580" s="16">
        <v>0</v>
      </c>
      <c r="R1580" s="5" t="str">
        <f t="shared" si="257"/>
        <v>415-2024-09-30</v>
      </c>
    </row>
    <row r="1581" spans="1:18" x14ac:dyDescent="0.3">
      <c r="A1581" s="26">
        <v>415</v>
      </c>
      <c r="B1581" s="5" t="s">
        <v>308</v>
      </c>
      <c r="C1581" s="5" t="s">
        <v>131</v>
      </c>
      <c r="D1581" s="5" t="s">
        <v>11</v>
      </c>
      <c r="E1581" s="5" t="s">
        <v>9</v>
      </c>
      <c r="F1581" s="6">
        <v>45657</v>
      </c>
      <c r="G1581" s="5">
        <f t="shared" si="253"/>
        <v>2024</v>
      </c>
      <c r="H1581" s="5" t="str">
        <f t="shared" si="254"/>
        <v>Diciembre</v>
      </c>
      <c r="I1581" s="6" t="str">
        <f t="shared" si="256"/>
        <v>2024-2</v>
      </c>
      <c r="J1581" s="5">
        <v>100</v>
      </c>
      <c r="K1581" s="10">
        <v>0</v>
      </c>
      <c r="L1581" s="15">
        <f>IFERROR(IF((K1581/J1581)&gt;1.3,1.3,K1581/J1581),"")</f>
        <v>0</v>
      </c>
      <c r="M1581" s="15">
        <f t="shared" si="260"/>
        <v>0</v>
      </c>
      <c r="N1581" s="5"/>
      <c r="O1581" s="5"/>
      <c r="P1581" s="16">
        <v>0</v>
      </c>
      <c r="Q1581" s="16">
        <v>0</v>
      </c>
      <c r="R1581" s="5" t="str">
        <f t="shared" si="257"/>
        <v>415-2024-12-31</v>
      </c>
    </row>
    <row r="1582" spans="1:18" x14ac:dyDescent="0.3">
      <c r="A1582" s="26">
        <v>416</v>
      </c>
      <c r="B1582" s="5" t="s">
        <v>309</v>
      </c>
      <c r="C1582" s="5"/>
      <c r="D1582" s="5" t="s">
        <v>11</v>
      </c>
      <c r="E1582" s="5" t="s">
        <v>9</v>
      </c>
      <c r="F1582" s="6">
        <v>45107</v>
      </c>
      <c r="G1582" s="5">
        <f t="shared" si="253"/>
        <v>2023</v>
      </c>
      <c r="H1582" s="5" t="str">
        <f t="shared" si="254"/>
        <v>Junio</v>
      </c>
      <c r="I1582" s="6" t="str">
        <f t="shared" si="256"/>
        <v>2023-1</v>
      </c>
      <c r="J1582" s="5">
        <v>100</v>
      </c>
      <c r="K1582" s="9">
        <v>96</v>
      </c>
      <c r="L1582" s="8">
        <f>IFERROR(K1582/J1582,"")</f>
        <v>0.96</v>
      </c>
      <c r="M1582" s="15">
        <f t="shared" si="260"/>
        <v>0.96</v>
      </c>
      <c r="N1582" s="5"/>
      <c r="O1582" s="5"/>
      <c r="P1582" s="16">
        <v>0</v>
      </c>
      <c r="Q1582" s="16">
        <v>0</v>
      </c>
      <c r="R1582" s="5" t="str">
        <f t="shared" si="257"/>
        <v>416-2023-06-30</v>
      </c>
    </row>
    <row r="1583" spans="1:18" x14ac:dyDescent="0.3">
      <c r="A1583" s="26">
        <v>416</v>
      </c>
      <c r="B1583" s="5" t="s">
        <v>309</v>
      </c>
      <c r="C1583" s="5"/>
      <c r="D1583" s="5" t="s">
        <v>11</v>
      </c>
      <c r="E1583" s="5" t="s">
        <v>9</v>
      </c>
      <c r="F1583" s="6">
        <v>45199</v>
      </c>
      <c r="G1583" s="5">
        <f t="shared" si="253"/>
        <v>2023</v>
      </c>
      <c r="H1583" s="5" t="str">
        <f t="shared" si="254"/>
        <v>Septiembre</v>
      </c>
      <c r="I1583" s="6" t="str">
        <f t="shared" si="256"/>
        <v>2023-2</v>
      </c>
      <c r="J1583" s="5">
        <v>100</v>
      </c>
      <c r="K1583" s="9">
        <v>87.92</v>
      </c>
      <c r="L1583" s="8">
        <v>0</v>
      </c>
      <c r="M1583" s="15">
        <f t="shared" si="260"/>
        <v>0.87919999999999998</v>
      </c>
      <c r="N1583" s="5"/>
      <c r="O1583" s="5"/>
      <c r="P1583" s="16">
        <v>0</v>
      </c>
      <c r="Q1583" s="16">
        <v>0</v>
      </c>
      <c r="R1583" s="5" t="str">
        <f t="shared" si="257"/>
        <v>416-2023-09-30</v>
      </c>
    </row>
    <row r="1584" spans="1:18" x14ac:dyDescent="0.3">
      <c r="A1584" s="26">
        <v>416</v>
      </c>
      <c r="B1584" s="5" t="s">
        <v>309</v>
      </c>
      <c r="C1584" s="5"/>
      <c r="D1584" s="5" t="s">
        <v>11</v>
      </c>
      <c r="E1584" s="5" t="s">
        <v>9</v>
      </c>
      <c r="F1584" s="6">
        <v>45291</v>
      </c>
      <c r="G1584" s="5">
        <f t="shared" si="253"/>
        <v>2023</v>
      </c>
      <c r="H1584" s="5" t="str">
        <f t="shared" si="254"/>
        <v>Diciembre</v>
      </c>
      <c r="I1584" s="6" t="str">
        <f t="shared" si="256"/>
        <v>2023-2</v>
      </c>
      <c r="J1584" s="5">
        <v>100</v>
      </c>
      <c r="K1584" s="9">
        <v>98</v>
      </c>
      <c r="L1584" s="8">
        <f>IFERROR(K1584/J1584,"")</f>
        <v>0.98</v>
      </c>
      <c r="M1584" s="15">
        <f t="shared" si="260"/>
        <v>0.98</v>
      </c>
      <c r="N1584" s="5"/>
      <c r="O1584" s="5"/>
      <c r="P1584" s="16">
        <v>0</v>
      </c>
      <c r="Q1584" s="16">
        <v>0</v>
      </c>
      <c r="R1584" s="5" t="str">
        <f t="shared" si="257"/>
        <v>416-2023-12-31</v>
      </c>
    </row>
    <row r="1585" spans="1:18" x14ac:dyDescent="0.3">
      <c r="A1585" s="26">
        <v>416</v>
      </c>
      <c r="B1585" s="5" t="s">
        <v>309</v>
      </c>
      <c r="C1585" s="5" t="s">
        <v>131</v>
      </c>
      <c r="D1585" s="5" t="s">
        <v>11</v>
      </c>
      <c r="E1585" s="5" t="s">
        <v>9</v>
      </c>
      <c r="F1585" s="6">
        <v>45382</v>
      </c>
      <c r="G1585" s="5">
        <f t="shared" si="253"/>
        <v>2024</v>
      </c>
      <c r="H1585" s="5" t="str">
        <f t="shared" si="254"/>
        <v>Marzo</v>
      </c>
      <c r="I1585" s="6" t="str">
        <f t="shared" si="256"/>
        <v>2024-1</v>
      </c>
      <c r="J1585" s="5">
        <v>100</v>
      </c>
      <c r="K1585" s="10">
        <v>120.07</v>
      </c>
      <c r="L1585" s="15">
        <f>IFERROR(IF((K1585/J1585)&gt;1.3,1.3,K1585/J1585),"")</f>
        <v>1.2006999999999999</v>
      </c>
      <c r="M1585" s="15">
        <f t="shared" si="260"/>
        <v>1.2006999999999999</v>
      </c>
      <c r="N1585" s="5"/>
      <c r="O1585" s="5"/>
      <c r="P1585" s="16">
        <v>0</v>
      </c>
      <c r="Q1585" s="16">
        <v>0</v>
      </c>
      <c r="R1585" s="5" t="str">
        <f t="shared" si="257"/>
        <v>416-2024-03-31</v>
      </c>
    </row>
    <row r="1586" spans="1:18" x14ac:dyDescent="0.3">
      <c r="A1586" s="5">
        <v>416</v>
      </c>
      <c r="B1586" s="5" t="s">
        <v>309</v>
      </c>
      <c r="C1586" s="5" t="s">
        <v>131</v>
      </c>
      <c r="D1586" s="5" t="s">
        <v>11</v>
      </c>
      <c r="E1586" s="5" t="s">
        <v>9</v>
      </c>
      <c r="F1586" s="6">
        <v>45473</v>
      </c>
      <c r="G1586" s="5">
        <f t="shared" si="253"/>
        <v>2024</v>
      </c>
      <c r="H1586" s="5" t="str">
        <f t="shared" si="254"/>
        <v>Junio</v>
      </c>
      <c r="I1586" s="6" t="str">
        <f t="shared" si="256"/>
        <v>2024-1</v>
      </c>
      <c r="J1586" s="5">
        <v>100</v>
      </c>
      <c r="K1586" s="5">
        <v>119.51</v>
      </c>
      <c r="L1586" s="15">
        <v>1.1951000000000001</v>
      </c>
      <c r="M1586" s="15">
        <v>1.1951000000000001</v>
      </c>
      <c r="N1586" s="5"/>
      <c r="O1586" s="5"/>
      <c r="P1586" s="5">
        <v>0</v>
      </c>
      <c r="Q1586" s="5">
        <v>0</v>
      </c>
      <c r="R1586" s="5" t="str">
        <f t="shared" si="257"/>
        <v>416-2024-06-30</v>
      </c>
    </row>
    <row r="1587" spans="1:18" x14ac:dyDescent="0.3">
      <c r="A1587" s="26">
        <v>416</v>
      </c>
      <c r="B1587" s="5" t="s">
        <v>309</v>
      </c>
      <c r="C1587" s="5" t="s">
        <v>131</v>
      </c>
      <c r="D1587" s="5" t="s">
        <v>11</v>
      </c>
      <c r="E1587" s="5" t="s">
        <v>9</v>
      </c>
      <c r="F1587" s="6">
        <v>45565</v>
      </c>
      <c r="G1587" s="5">
        <f t="shared" si="253"/>
        <v>2024</v>
      </c>
      <c r="H1587" s="5" t="str">
        <f t="shared" si="254"/>
        <v>Septiembre</v>
      </c>
      <c r="I1587" s="6" t="str">
        <f t="shared" si="256"/>
        <v>2024-2</v>
      </c>
      <c r="J1587" s="5">
        <v>100</v>
      </c>
      <c r="K1587" s="10">
        <v>99.81</v>
      </c>
      <c r="L1587" s="15">
        <f>IFERROR(IF((K1587/J1587)&gt;1.3,1.3,K1587/J1587),"")</f>
        <v>0.99809999999999999</v>
      </c>
      <c r="M1587" s="15">
        <f t="shared" ref="M1587:M1592" si="261">IFERROR(IF((K1587/J1587)&gt;K1587/J1587,1.3,K1587/J1587),"")</f>
        <v>0.99809999999999999</v>
      </c>
      <c r="N1587" s="5"/>
      <c r="O1587" s="5"/>
      <c r="P1587" s="16">
        <v>0</v>
      </c>
      <c r="Q1587" s="16">
        <v>0</v>
      </c>
      <c r="R1587" s="5" t="str">
        <f t="shared" si="257"/>
        <v>416-2024-09-30</v>
      </c>
    </row>
    <row r="1588" spans="1:18" x14ac:dyDescent="0.3">
      <c r="A1588" s="26">
        <v>416</v>
      </c>
      <c r="B1588" s="5" t="s">
        <v>309</v>
      </c>
      <c r="C1588" s="5" t="s">
        <v>131</v>
      </c>
      <c r="D1588" s="5" t="s">
        <v>11</v>
      </c>
      <c r="E1588" s="5" t="s">
        <v>9</v>
      </c>
      <c r="F1588" s="6">
        <v>45657</v>
      </c>
      <c r="G1588" s="5">
        <f t="shared" si="253"/>
        <v>2024</v>
      </c>
      <c r="H1588" s="5" t="str">
        <f t="shared" si="254"/>
        <v>Diciembre</v>
      </c>
      <c r="I1588" s="6" t="str">
        <f t="shared" si="256"/>
        <v>2024-2</v>
      </c>
      <c r="J1588" s="5">
        <v>100</v>
      </c>
      <c r="K1588" s="10">
        <v>0</v>
      </c>
      <c r="L1588" s="15">
        <f>IFERROR(IF((K1588/J1588)&gt;1.3,1.3,K1588/J1588),"")</f>
        <v>0</v>
      </c>
      <c r="M1588" s="15">
        <f t="shared" si="261"/>
        <v>0</v>
      </c>
      <c r="N1588" s="5"/>
      <c r="O1588" s="5"/>
      <c r="P1588" s="16">
        <v>0</v>
      </c>
      <c r="Q1588" s="16">
        <v>0</v>
      </c>
      <c r="R1588" s="5" t="str">
        <f t="shared" si="257"/>
        <v>416-2024-12-31</v>
      </c>
    </row>
    <row r="1589" spans="1:18" x14ac:dyDescent="0.3">
      <c r="A1589" s="26">
        <v>417</v>
      </c>
      <c r="B1589" s="5" t="s">
        <v>310</v>
      </c>
      <c r="C1589" s="5"/>
      <c r="D1589" s="5" t="s">
        <v>11</v>
      </c>
      <c r="E1589" s="5" t="s">
        <v>9</v>
      </c>
      <c r="F1589" s="6">
        <v>45107</v>
      </c>
      <c r="G1589" s="5">
        <f t="shared" si="253"/>
        <v>2023</v>
      </c>
      <c r="H1589" s="5" t="str">
        <f t="shared" si="254"/>
        <v>Junio</v>
      </c>
      <c r="I1589" s="6" t="str">
        <f t="shared" si="256"/>
        <v>2023-1</v>
      </c>
      <c r="J1589" s="5">
        <v>100</v>
      </c>
      <c r="K1589" s="9">
        <v>110.67</v>
      </c>
      <c r="L1589" s="8">
        <f>IFERROR(K1589/J1589,"")</f>
        <v>1.1067</v>
      </c>
      <c r="M1589" s="15">
        <f t="shared" si="261"/>
        <v>1.1067</v>
      </c>
      <c r="N1589" s="5"/>
      <c r="O1589" s="5"/>
      <c r="P1589" s="16">
        <v>0</v>
      </c>
      <c r="Q1589" s="16">
        <v>0</v>
      </c>
      <c r="R1589" s="5" t="str">
        <f t="shared" si="257"/>
        <v>417-2023-06-30</v>
      </c>
    </row>
    <row r="1590" spans="1:18" x14ac:dyDescent="0.3">
      <c r="A1590" s="26">
        <v>417</v>
      </c>
      <c r="B1590" s="5" t="s">
        <v>310</v>
      </c>
      <c r="C1590" s="5"/>
      <c r="D1590" s="5" t="s">
        <v>11</v>
      </c>
      <c r="E1590" s="5" t="s">
        <v>9</v>
      </c>
      <c r="F1590" s="6">
        <v>45199</v>
      </c>
      <c r="G1590" s="5">
        <f t="shared" si="253"/>
        <v>2023</v>
      </c>
      <c r="H1590" s="5" t="str">
        <f t="shared" si="254"/>
        <v>Septiembre</v>
      </c>
      <c r="I1590" s="6" t="str">
        <f t="shared" si="256"/>
        <v>2023-2</v>
      </c>
      <c r="J1590" s="5">
        <v>100</v>
      </c>
      <c r="K1590" s="9">
        <v>93.76</v>
      </c>
      <c r="L1590" s="8">
        <v>0</v>
      </c>
      <c r="M1590" s="15">
        <f t="shared" si="261"/>
        <v>0.9376000000000001</v>
      </c>
      <c r="N1590" s="5"/>
      <c r="O1590" s="5"/>
      <c r="P1590" s="16">
        <v>0</v>
      </c>
      <c r="Q1590" s="16">
        <v>0</v>
      </c>
      <c r="R1590" s="5" t="str">
        <f t="shared" si="257"/>
        <v>417-2023-09-30</v>
      </c>
    </row>
    <row r="1591" spans="1:18" x14ac:dyDescent="0.3">
      <c r="A1591" s="26">
        <v>417</v>
      </c>
      <c r="B1591" s="5" t="s">
        <v>310</v>
      </c>
      <c r="C1591" s="5"/>
      <c r="D1591" s="5" t="s">
        <v>11</v>
      </c>
      <c r="E1591" s="5" t="s">
        <v>9</v>
      </c>
      <c r="F1591" s="6">
        <v>45291</v>
      </c>
      <c r="G1591" s="5">
        <f t="shared" si="253"/>
        <v>2023</v>
      </c>
      <c r="H1591" s="5" t="str">
        <f t="shared" si="254"/>
        <v>Diciembre</v>
      </c>
      <c r="I1591" s="6" t="str">
        <f t="shared" si="256"/>
        <v>2023-2</v>
      </c>
      <c r="J1591" s="5">
        <v>100</v>
      </c>
      <c r="K1591" s="9">
        <v>94.39</v>
      </c>
      <c r="L1591" s="8">
        <f>IFERROR(K1591/J1591,"")</f>
        <v>0.94389999999999996</v>
      </c>
      <c r="M1591" s="15">
        <f t="shared" si="261"/>
        <v>0.94389999999999996</v>
      </c>
      <c r="N1591" s="5"/>
      <c r="O1591" s="5"/>
      <c r="P1591" s="16">
        <v>0</v>
      </c>
      <c r="Q1591" s="16">
        <v>0</v>
      </c>
      <c r="R1591" s="5" t="str">
        <f t="shared" si="257"/>
        <v>417-2023-12-31</v>
      </c>
    </row>
    <row r="1592" spans="1:18" x14ac:dyDescent="0.3">
      <c r="A1592" s="26">
        <v>417</v>
      </c>
      <c r="B1592" s="5" t="s">
        <v>310</v>
      </c>
      <c r="C1592" s="5" t="s">
        <v>131</v>
      </c>
      <c r="D1592" s="5" t="s">
        <v>11</v>
      </c>
      <c r="E1592" s="5" t="s">
        <v>9</v>
      </c>
      <c r="F1592" s="6">
        <v>45382</v>
      </c>
      <c r="G1592" s="5">
        <f t="shared" si="253"/>
        <v>2024</v>
      </c>
      <c r="H1592" s="5" t="str">
        <f t="shared" si="254"/>
        <v>Marzo</v>
      </c>
      <c r="I1592" s="6" t="str">
        <f t="shared" si="256"/>
        <v>2024-1</v>
      </c>
      <c r="J1592" s="5">
        <v>100</v>
      </c>
      <c r="K1592" s="10">
        <v>99.01</v>
      </c>
      <c r="L1592" s="15">
        <f>IFERROR(IF((K1592/J1592)&gt;1.3,1.3,K1592/J1592),"")</f>
        <v>0.99010000000000009</v>
      </c>
      <c r="M1592" s="15">
        <f t="shared" si="261"/>
        <v>0.99010000000000009</v>
      </c>
      <c r="N1592" s="5"/>
      <c r="O1592" s="5"/>
      <c r="P1592" s="16">
        <v>0</v>
      </c>
      <c r="Q1592" s="16">
        <v>0</v>
      </c>
      <c r="R1592" s="5" t="str">
        <f t="shared" si="257"/>
        <v>417-2024-03-31</v>
      </c>
    </row>
    <row r="1593" spans="1:18" x14ac:dyDescent="0.3">
      <c r="A1593" s="5">
        <v>417</v>
      </c>
      <c r="B1593" s="5" t="s">
        <v>310</v>
      </c>
      <c r="C1593" s="5" t="s">
        <v>131</v>
      </c>
      <c r="D1593" s="5" t="s">
        <v>11</v>
      </c>
      <c r="E1593" s="5" t="s">
        <v>9</v>
      </c>
      <c r="F1593" s="6">
        <v>45473</v>
      </c>
      <c r="G1593" s="5">
        <f t="shared" si="253"/>
        <v>2024</v>
      </c>
      <c r="H1593" s="5" t="str">
        <f t="shared" si="254"/>
        <v>Junio</v>
      </c>
      <c r="I1593" s="6" t="str">
        <f t="shared" si="256"/>
        <v>2024-1</v>
      </c>
      <c r="J1593" s="5">
        <v>100</v>
      </c>
      <c r="K1593" s="5">
        <v>112.12</v>
      </c>
      <c r="L1593" s="15">
        <v>1.1212</v>
      </c>
      <c r="M1593" s="15">
        <v>1.1212</v>
      </c>
      <c r="N1593" s="5"/>
      <c r="O1593" s="5"/>
      <c r="P1593" s="5">
        <v>0</v>
      </c>
      <c r="Q1593" s="5">
        <v>0</v>
      </c>
      <c r="R1593" s="5" t="str">
        <f t="shared" si="257"/>
        <v>417-2024-06-30</v>
      </c>
    </row>
    <row r="1594" spans="1:18" x14ac:dyDescent="0.3">
      <c r="A1594" s="26">
        <v>417</v>
      </c>
      <c r="B1594" s="5" t="s">
        <v>310</v>
      </c>
      <c r="C1594" s="5" t="s">
        <v>131</v>
      </c>
      <c r="D1594" s="5" t="s">
        <v>11</v>
      </c>
      <c r="E1594" s="5" t="s">
        <v>9</v>
      </c>
      <c r="F1594" s="6">
        <v>45565</v>
      </c>
      <c r="G1594" s="5">
        <f t="shared" si="253"/>
        <v>2024</v>
      </c>
      <c r="H1594" s="5" t="str">
        <f t="shared" si="254"/>
        <v>Septiembre</v>
      </c>
      <c r="I1594" s="6" t="str">
        <f t="shared" si="256"/>
        <v>2024-2</v>
      </c>
      <c r="J1594" s="5">
        <v>100</v>
      </c>
      <c r="K1594" s="10">
        <v>100.19</v>
      </c>
      <c r="L1594" s="15">
        <f>IFERROR(IF((K1594/J1594)&gt;1.3,1.3,K1594/J1594),"")</f>
        <v>1.0019</v>
      </c>
      <c r="M1594" s="15">
        <f t="shared" ref="M1594:M1599" si="262">IFERROR(IF((K1594/J1594)&gt;K1594/J1594,1.3,K1594/J1594),"")</f>
        <v>1.0019</v>
      </c>
      <c r="N1594" s="5"/>
      <c r="O1594" s="5"/>
      <c r="P1594" s="16">
        <v>0</v>
      </c>
      <c r="Q1594" s="16">
        <v>0</v>
      </c>
      <c r="R1594" s="5" t="str">
        <f t="shared" si="257"/>
        <v>417-2024-09-30</v>
      </c>
    </row>
    <row r="1595" spans="1:18" x14ac:dyDescent="0.3">
      <c r="A1595" s="26">
        <v>417</v>
      </c>
      <c r="B1595" s="5" t="s">
        <v>310</v>
      </c>
      <c r="C1595" s="5" t="s">
        <v>131</v>
      </c>
      <c r="D1595" s="5" t="s">
        <v>11</v>
      </c>
      <c r="E1595" s="5" t="s">
        <v>9</v>
      </c>
      <c r="F1595" s="6">
        <v>45657</v>
      </c>
      <c r="G1595" s="5">
        <f t="shared" si="253"/>
        <v>2024</v>
      </c>
      <c r="H1595" s="5" t="str">
        <f t="shared" si="254"/>
        <v>Diciembre</v>
      </c>
      <c r="I1595" s="6" t="str">
        <f t="shared" si="256"/>
        <v>2024-2</v>
      </c>
      <c r="J1595" s="5">
        <v>100</v>
      </c>
      <c r="K1595" s="10">
        <v>0</v>
      </c>
      <c r="L1595" s="15">
        <f>IFERROR(IF((K1595/J1595)&gt;1.3,1.3,K1595/J1595),"")</f>
        <v>0</v>
      </c>
      <c r="M1595" s="15">
        <f t="shared" si="262"/>
        <v>0</v>
      </c>
      <c r="N1595" s="5"/>
      <c r="O1595" s="5"/>
      <c r="P1595" s="16">
        <v>0</v>
      </c>
      <c r="Q1595" s="16">
        <v>0</v>
      </c>
      <c r="R1595" s="5" t="str">
        <f t="shared" si="257"/>
        <v>417-2024-12-31</v>
      </c>
    </row>
    <row r="1596" spans="1:18" x14ac:dyDescent="0.3">
      <c r="A1596" s="26">
        <v>418</v>
      </c>
      <c r="B1596" s="5" t="s">
        <v>311</v>
      </c>
      <c r="C1596" s="5"/>
      <c r="D1596" s="5" t="s">
        <v>11</v>
      </c>
      <c r="E1596" s="5" t="s">
        <v>9</v>
      </c>
      <c r="F1596" s="6">
        <v>45107</v>
      </c>
      <c r="G1596" s="5">
        <f t="shared" si="253"/>
        <v>2023</v>
      </c>
      <c r="H1596" s="5" t="str">
        <f t="shared" si="254"/>
        <v>Junio</v>
      </c>
      <c r="I1596" s="6" t="str">
        <f t="shared" si="256"/>
        <v>2023-1</v>
      </c>
      <c r="J1596" s="5">
        <v>100</v>
      </c>
      <c r="K1596" s="9">
        <v>104.36</v>
      </c>
      <c r="L1596" s="8">
        <f>IFERROR(K1596/J1596,"")</f>
        <v>1.0436000000000001</v>
      </c>
      <c r="M1596" s="15">
        <f t="shared" si="262"/>
        <v>1.0436000000000001</v>
      </c>
      <c r="N1596" s="5"/>
      <c r="O1596" s="5"/>
      <c r="P1596" s="16">
        <v>0</v>
      </c>
      <c r="Q1596" s="16">
        <v>0</v>
      </c>
      <c r="R1596" s="5" t="str">
        <f t="shared" si="257"/>
        <v>418-2023-06-30</v>
      </c>
    </row>
    <row r="1597" spans="1:18" x14ac:dyDescent="0.3">
      <c r="A1597" s="26">
        <v>418</v>
      </c>
      <c r="B1597" s="5" t="s">
        <v>311</v>
      </c>
      <c r="C1597" s="5"/>
      <c r="D1597" s="5" t="s">
        <v>11</v>
      </c>
      <c r="E1597" s="5" t="s">
        <v>9</v>
      </c>
      <c r="F1597" s="6">
        <v>45199</v>
      </c>
      <c r="G1597" s="5">
        <f t="shared" si="253"/>
        <v>2023</v>
      </c>
      <c r="H1597" s="5" t="str">
        <f t="shared" si="254"/>
        <v>Septiembre</v>
      </c>
      <c r="I1597" s="6" t="str">
        <f t="shared" si="256"/>
        <v>2023-2</v>
      </c>
      <c r="J1597" s="5">
        <v>100</v>
      </c>
      <c r="K1597" s="9">
        <v>85.61</v>
      </c>
      <c r="L1597" s="8">
        <v>0</v>
      </c>
      <c r="M1597" s="15">
        <f t="shared" si="262"/>
        <v>0.85609999999999997</v>
      </c>
      <c r="N1597" s="5"/>
      <c r="O1597" s="5"/>
      <c r="P1597" s="16">
        <v>0</v>
      </c>
      <c r="Q1597" s="16">
        <v>0</v>
      </c>
      <c r="R1597" s="5" t="str">
        <f t="shared" si="257"/>
        <v>418-2023-09-30</v>
      </c>
    </row>
    <row r="1598" spans="1:18" x14ac:dyDescent="0.3">
      <c r="A1598" s="26">
        <v>418</v>
      </c>
      <c r="B1598" s="5" t="s">
        <v>311</v>
      </c>
      <c r="C1598" s="5"/>
      <c r="D1598" s="5" t="s">
        <v>11</v>
      </c>
      <c r="E1598" s="5" t="s">
        <v>9</v>
      </c>
      <c r="F1598" s="6">
        <v>45291</v>
      </c>
      <c r="G1598" s="5">
        <f t="shared" si="253"/>
        <v>2023</v>
      </c>
      <c r="H1598" s="5" t="str">
        <f t="shared" si="254"/>
        <v>Diciembre</v>
      </c>
      <c r="I1598" s="6" t="str">
        <f t="shared" si="256"/>
        <v>2023-2</v>
      </c>
      <c r="J1598" s="5">
        <v>100</v>
      </c>
      <c r="K1598" s="9">
        <v>95.8</v>
      </c>
      <c r="L1598" s="8">
        <f>IFERROR(K1598/J1598,"")</f>
        <v>0.95799999999999996</v>
      </c>
      <c r="M1598" s="15">
        <f t="shared" si="262"/>
        <v>0.95799999999999996</v>
      </c>
      <c r="N1598" s="5"/>
      <c r="O1598" s="5"/>
      <c r="P1598" s="16">
        <v>0</v>
      </c>
      <c r="Q1598" s="16">
        <v>0</v>
      </c>
      <c r="R1598" s="5" t="str">
        <f t="shared" si="257"/>
        <v>418-2023-12-31</v>
      </c>
    </row>
    <row r="1599" spans="1:18" x14ac:dyDescent="0.3">
      <c r="A1599" s="26">
        <v>418</v>
      </c>
      <c r="B1599" s="5" t="s">
        <v>311</v>
      </c>
      <c r="C1599" s="5" t="s">
        <v>131</v>
      </c>
      <c r="D1599" s="5" t="s">
        <v>11</v>
      </c>
      <c r="E1599" s="5" t="s">
        <v>9</v>
      </c>
      <c r="F1599" s="6">
        <v>45382</v>
      </c>
      <c r="G1599" s="5">
        <f t="shared" si="253"/>
        <v>2024</v>
      </c>
      <c r="H1599" s="5" t="str">
        <f t="shared" si="254"/>
        <v>Marzo</v>
      </c>
      <c r="I1599" s="6" t="str">
        <f t="shared" si="256"/>
        <v>2024-1</v>
      </c>
      <c r="J1599" s="5">
        <v>100</v>
      </c>
      <c r="K1599" s="10">
        <v>105.5</v>
      </c>
      <c r="L1599" s="15">
        <f>IFERROR(IF((K1599/J1599)&gt;1.3,1.3,K1599/J1599),"")</f>
        <v>1.0549999999999999</v>
      </c>
      <c r="M1599" s="15">
        <f t="shared" si="262"/>
        <v>1.0549999999999999</v>
      </c>
      <c r="N1599" s="5"/>
      <c r="O1599" s="5"/>
      <c r="P1599" s="16">
        <v>0</v>
      </c>
      <c r="Q1599" s="16">
        <v>0</v>
      </c>
      <c r="R1599" s="5" t="str">
        <f t="shared" si="257"/>
        <v>418-2024-03-31</v>
      </c>
    </row>
    <row r="1600" spans="1:18" x14ac:dyDescent="0.3">
      <c r="A1600" s="5">
        <v>418</v>
      </c>
      <c r="B1600" s="5" t="s">
        <v>311</v>
      </c>
      <c r="C1600" s="5" t="s">
        <v>131</v>
      </c>
      <c r="D1600" s="5" t="s">
        <v>11</v>
      </c>
      <c r="E1600" s="5" t="s">
        <v>9</v>
      </c>
      <c r="F1600" s="6">
        <v>45473</v>
      </c>
      <c r="G1600" s="5">
        <f t="shared" si="253"/>
        <v>2024</v>
      </c>
      <c r="H1600" s="5" t="str">
        <f t="shared" si="254"/>
        <v>Junio</v>
      </c>
      <c r="I1600" s="6" t="str">
        <f t="shared" si="256"/>
        <v>2024-1</v>
      </c>
      <c r="J1600" s="5">
        <v>100</v>
      </c>
      <c r="K1600" s="5">
        <v>100.79</v>
      </c>
      <c r="L1600" s="15">
        <v>1.0079</v>
      </c>
      <c r="M1600" s="15">
        <v>1.0079</v>
      </c>
      <c r="N1600" s="5"/>
      <c r="O1600" s="5"/>
      <c r="P1600" s="5">
        <v>0</v>
      </c>
      <c r="Q1600" s="5">
        <v>0</v>
      </c>
      <c r="R1600" s="5" t="str">
        <f t="shared" si="257"/>
        <v>418-2024-06-30</v>
      </c>
    </row>
    <row r="1601" spans="1:18" x14ac:dyDescent="0.3">
      <c r="A1601" s="26">
        <v>418</v>
      </c>
      <c r="B1601" s="5" t="s">
        <v>311</v>
      </c>
      <c r="C1601" s="5" t="s">
        <v>131</v>
      </c>
      <c r="D1601" s="5" t="s">
        <v>11</v>
      </c>
      <c r="E1601" s="5" t="s">
        <v>9</v>
      </c>
      <c r="F1601" s="6">
        <v>45565</v>
      </c>
      <c r="G1601" s="5">
        <f t="shared" si="253"/>
        <v>2024</v>
      </c>
      <c r="H1601" s="5" t="str">
        <f t="shared" si="254"/>
        <v>Septiembre</v>
      </c>
      <c r="I1601" s="6" t="str">
        <f t="shared" si="256"/>
        <v>2024-2</v>
      </c>
      <c r="J1601" s="5">
        <v>100</v>
      </c>
      <c r="K1601" s="10">
        <v>97.2</v>
      </c>
      <c r="L1601" s="15">
        <f>IFERROR(IF((K1601/J1601)&gt;1.3,1.3,K1601/J1601),"")</f>
        <v>0.97199999999999998</v>
      </c>
      <c r="M1601" s="15">
        <f t="shared" ref="M1601:M1608" si="263">IFERROR(IF((K1601/J1601)&gt;K1601/J1601,1.3,K1601/J1601),"")</f>
        <v>0.97199999999999998</v>
      </c>
      <c r="N1601" s="5"/>
      <c r="O1601" s="5"/>
      <c r="P1601" s="16">
        <v>0</v>
      </c>
      <c r="Q1601" s="16">
        <v>0</v>
      </c>
      <c r="R1601" s="5" t="str">
        <f t="shared" si="257"/>
        <v>418-2024-09-30</v>
      </c>
    </row>
    <row r="1602" spans="1:18" x14ac:dyDescent="0.3">
      <c r="A1602" s="26">
        <v>418</v>
      </c>
      <c r="B1602" s="5" t="s">
        <v>311</v>
      </c>
      <c r="C1602" s="5" t="s">
        <v>131</v>
      </c>
      <c r="D1602" s="5" t="s">
        <v>11</v>
      </c>
      <c r="E1602" s="5" t="s">
        <v>9</v>
      </c>
      <c r="F1602" s="6">
        <v>45657</v>
      </c>
      <c r="G1602" s="5">
        <f t="shared" ref="G1602:G1665" si="264">YEAR(F1602)</f>
        <v>2024</v>
      </c>
      <c r="H1602" s="5" t="str">
        <f t="shared" ref="H1602:H1665" si="265">PROPER(TEXT(F1602,"mmmm"))</f>
        <v>Diciembre</v>
      </c>
      <c r="I1602" s="6" t="str">
        <f t="shared" si="256"/>
        <v>2024-2</v>
      </c>
      <c r="J1602" s="5">
        <v>100</v>
      </c>
      <c r="K1602" s="10">
        <v>0</v>
      </c>
      <c r="L1602" s="15">
        <f>IFERROR(IF((K1602/J1602)&gt;1.3,1.3,K1602/J1602),"")</f>
        <v>0</v>
      </c>
      <c r="M1602" s="15">
        <f t="shared" si="263"/>
        <v>0</v>
      </c>
      <c r="N1602" s="5"/>
      <c r="O1602" s="5"/>
      <c r="P1602" s="16">
        <v>0</v>
      </c>
      <c r="Q1602" s="16">
        <v>0</v>
      </c>
      <c r="R1602" s="5" t="str">
        <f t="shared" si="257"/>
        <v>418-2024-12-31</v>
      </c>
    </row>
    <row r="1603" spans="1:18" x14ac:dyDescent="0.3">
      <c r="A1603" s="26">
        <v>419</v>
      </c>
      <c r="B1603" s="5" t="s">
        <v>312</v>
      </c>
      <c r="C1603" s="5"/>
      <c r="D1603" s="5" t="s">
        <v>11</v>
      </c>
      <c r="E1603" s="5" t="s">
        <v>9</v>
      </c>
      <c r="F1603" s="6">
        <v>45107</v>
      </c>
      <c r="G1603" s="5">
        <f t="shared" si="264"/>
        <v>2023</v>
      </c>
      <c r="H1603" s="5" t="str">
        <f t="shared" si="265"/>
        <v>Junio</v>
      </c>
      <c r="I1603" s="6" t="str">
        <f t="shared" si="256"/>
        <v>2023-1</v>
      </c>
      <c r="J1603" s="5">
        <v>100</v>
      </c>
      <c r="K1603" s="9">
        <v>108.3</v>
      </c>
      <c r="L1603" s="8">
        <f t="shared" ref="L1603:L1608" si="266">IFERROR(K1603/J1603,"")</f>
        <v>1.083</v>
      </c>
      <c r="M1603" s="15">
        <f t="shared" si="263"/>
        <v>1.083</v>
      </c>
      <c r="N1603" s="5" t="s">
        <v>347</v>
      </c>
      <c r="O1603" s="5" t="s">
        <v>347</v>
      </c>
      <c r="P1603" s="16">
        <v>0</v>
      </c>
      <c r="Q1603" s="16">
        <v>0</v>
      </c>
      <c r="R1603" s="5" t="str">
        <f t="shared" si="257"/>
        <v>419-2023-06-30</v>
      </c>
    </row>
    <row r="1604" spans="1:18" x14ac:dyDescent="0.3">
      <c r="A1604" s="26">
        <v>419</v>
      </c>
      <c r="B1604" s="5" t="s">
        <v>312</v>
      </c>
      <c r="C1604" s="5"/>
      <c r="D1604" s="5" t="s">
        <v>11</v>
      </c>
      <c r="E1604" s="5" t="s">
        <v>9</v>
      </c>
      <c r="F1604" s="6">
        <v>45199</v>
      </c>
      <c r="G1604" s="5">
        <f t="shared" si="264"/>
        <v>2023</v>
      </c>
      <c r="H1604" s="5" t="str">
        <f t="shared" si="265"/>
        <v>Septiembre</v>
      </c>
      <c r="I1604" s="6" t="str">
        <f t="shared" si="256"/>
        <v>2023-2</v>
      </c>
      <c r="J1604" s="5">
        <v>100</v>
      </c>
      <c r="K1604" s="9">
        <v>88.35</v>
      </c>
      <c r="L1604" s="8">
        <f t="shared" si="266"/>
        <v>0.88349999999999995</v>
      </c>
      <c r="M1604" s="15">
        <f t="shared" si="263"/>
        <v>0.88349999999999995</v>
      </c>
      <c r="N1604" s="5" t="s">
        <v>347</v>
      </c>
      <c r="O1604" s="5" t="s">
        <v>347</v>
      </c>
      <c r="P1604" s="16">
        <v>0</v>
      </c>
      <c r="Q1604" s="16">
        <v>0</v>
      </c>
      <c r="R1604" s="5" t="str">
        <f t="shared" si="257"/>
        <v>419-2023-09-30</v>
      </c>
    </row>
    <row r="1605" spans="1:18" x14ac:dyDescent="0.3">
      <c r="A1605" s="26">
        <v>419</v>
      </c>
      <c r="B1605" s="5" t="s">
        <v>312</v>
      </c>
      <c r="C1605" s="5"/>
      <c r="D1605" s="5" t="s">
        <v>11</v>
      </c>
      <c r="E1605" s="5" t="s">
        <v>9</v>
      </c>
      <c r="F1605" s="6">
        <v>45291</v>
      </c>
      <c r="G1605" s="5">
        <f t="shared" si="264"/>
        <v>2023</v>
      </c>
      <c r="H1605" s="5" t="str">
        <f t="shared" si="265"/>
        <v>Diciembre</v>
      </c>
      <c r="I1605" s="6" t="str">
        <f t="shared" si="256"/>
        <v>2023-2</v>
      </c>
      <c r="J1605" s="5">
        <v>100</v>
      </c>
      <c r="K1605" s="9">
        <v>93.56</v>
      </c>
      <c r="L1605" s="8">
        <f t="shared" si="266"/>
        <v>0.93559999999999999</v>
      </c>
      <c r="M1605" s="15">
        <f t="shared" si="263"/>
        <v>0.93559999999999999</v>
      </c>
      <c r="N1605" s="5" t="s">
        <v>347</v>
      </c>
      <c r="O1605" s="5" t="s">
        <v>347</v>
      </c>
      <c r="P1605" s="16">
        <v>0</v>
      </c>
      <c r="Q1605" s="16">
        <v>0</v>
      </c>
      <c r="R1605" s="5" t="str">
        <f t="shared" si="257"/>
        <v>419-2023-12-31</v>
      </c>
    </row>
    <row r="1606" spans="1:18" x14ac:dyDescent="0.3">
      <c r="A1606" s="26">
        <v>420</v>
      </c>
      <c r="B1606" s="5" t="s">
        <v>313</v>
      </c>
      <c r="C1606" s="5"/>
      <c r="D1606" s="5" t="s">
        <v>11</v>
      </c>
      <c r="E1606" s="5" t="s">
        <v>9</v>
      </c>
      <c r="F1606" s="6">
        <v>45107</v>
      </c>
      <c r="G1606" s="5">
        <f t="shared" si="264"/>
        <v>2023</v>
      </c>
      <c r="H1606" s="5" t="str">
        <f t="shared" si="265"/>
        <v>Junio</v>
      </c>
      <c r="I1606" s="6" t="str">
        <f t="shared" si="256"/>
        <v>2023-1</v>
      </c>
      <c r="J1606" s="5">
        <v>100</v>
      </c>
      <c r="K1606" s="9">
        <v>112.97</v>
      </c>
      <c r="L1606" s="8">
        <f t="shared" si="266"/>
        <v>1.1296999999999999</v>
      </c>
      <c r="M1606" s="15">
        <f t="shared" si="263"/>
        <v>1.1296999999999999</v>
      </c>
      <c r="N1606" s="5" t="s">
        <v>347</v>
      </c>
      <c r="O1606" s="5" t="s">
        <v>347</v>
      </c>
      <c r="P1606" s="16">
        <v>0</v>
      </c>
      <c r="Q1606" s="16">
        <v>0</v>
      </c>
      <c r="R1606" s="5" t="str">
        <f t="shared" si="257"/>
        <v>420-2023-06-30</v>
      </c>
    </row>
    <row r="1607" spans="1:18" x14ac:dyDescent="0.3">
      <c r="A1607" s="26">
        <v>420</v>
      </c>
      <c r="B1607" s="5" t="s">
        <v>313</v>
      </c>
      <c r="C1607" s="5"/>
      <c r="D1607" s="5" t="s">
        <v>11</v>
      </c>
      <c r="E1607" s="5" t="s">
        <v>9</v>
      </c>
      <c r="F1607" s="6">
        <v>45199</v>
      </c>
      <c r="G1607" s="5">
        <f t="shared" si="264"/>
        <v>2023</v>
      </c>
      <c r="H1607" s="5" t="str">
        <f t="shared" si="265"/>
        <v>Septiembre</v>
      </c>
      <c r="I1607" s="6" t="str">
        <f t="shared" si="256"/>
        <v>2023-2</v>
      </c>
      <c r="J1607" s="5">
        <v>100</v>
      </c>
      <c r="K1607" s="9">
        <v>94.59</v>
      </c>
      <c r="L1607" s="8">
        <f t="shared" si="266"/>
        <v>0.94590000000000007</v>
      </c>
      <c r="M1607" s="15">
        <f t="shared" si="263"/>
        <v>0.94590000000000007</v>
      </c>
      <c r="N1607" s="5" t="s">
        <v>347</v>
      </c>
      <c r="O1607" s="5" t="s">
        <v>347</v>
      </c>
      <c r="P1607" s="16">
        <v>0</v>
      </c>
      <c r="Q1607" s="16">
        <v>0</v>
      </c>
      <c r="R1607" s="5" t="str">
        <f t="shared" si="257"/>
        <v>420-2023-09-30</v>
      </c>
    </row>
    <row r="1608" spans="1:18" x14ac:dyDescent="0.3">
      <c r="A1608" s="26">
        <v>420</v>
      </c>
      <c r="B1608" s="5" t="s">
        <v>313</v>
      </c>
      <c r="C1608" s="5"/>
      <c r="D1608" s="5" t="s">
        <v>11</v>
      </c>
      <c r="E1608" s="5" t="s">
        <v>9</v>
      </c>
      <c r="F1608" s="6">
        <v>45291</v>
      </c>
      <c r="G1608" s="5">
        <f t="shared" si="264"/>
        <v>2023</v>
      </c>
      <c r="H1608" s="5" t="str">
        <f t="shared" si="265"/>
        <v>Diciembre</v>
      </c>
      <c r="I1608" s="6" t="str">
        <f t="shared" si="256"/>
        <v>2023-2</v>
      </c>
      <c r="J1608" s="5">
        <v>100</v>
      </c>
      <c r="K1608" s="9">
        <v>100</v>
      </c>
      <c r="L1608" s="8">
        <f t="shared" si="266"/>
        <v>1</v>
      </c>
      <c r="M1608" s="15">
        <f t="shared" si="263"/>
        <v>1</v>
      </c>
      <c r="N1608" s="5" t="s">
        <v>347</v>
      </c>
      <c r="O1608" s="5" t="s">
        <v>347</v>
      </c>
      <c r="P1608" s="16">
        <v>0</v>
      </c>
      <c r="Q1608" s="16">
        <v>0</v>
      </c>
      <c r="R1608" s="5" t="str">
        <f t="shared" si="257"/>
        <v>420-2023-12-31</v>
      </c>
    </row>
    <row r="1609" spans="1:18" x14ac:dyDescent="0.3">
      <c r="A1609" s="5">
        <v>420</v>
      </c>
      <c r="B1609" s="5" t="s">
        <v>313</v>
      </c>
      <c r="C1609" s="5" t="s">
        <v>131</v>
      </c>
      <c r="D1609" s="5" t="s">
        <v>11</v>
      </c>
      <c r="E1609" s="5" t="s">
        <v>9</v>
      </c>
      <c r="F1609" s="6">
        <v>45473</v>
      </c>
      <c r="G1609" s="5">
        <f t="shared" si="264"/>
        <v>2024</v>
      </c>
      <c r="H1609" s="5" t="str">
        <f t="shared" si="265"/>
        <v>Junio</v>
      </c>
      <c r="I1609" s="6" t="str">
        <f t="shared" si="256"/>
        <v>2024-1</v>
      </c>
      <c r="J1609" s="5">
        <v>100</v>
      </c>
      <c r="K1609" s="5">
        <v>89.71</v>
      </c>
      <c r="L1609" s="15">
        <v>0.8970999999999999</v>
      </c>
      <c r="M1609" s="15">
        <v>0.8970999999999999</v>
      </c>
      <c r="N1609" s="5" t="s">
        <v>347</v>
      </c>
      <c r="O1609" s="5" t="s">
        <v>347</v>
      </c>
      <c r="P1609" s="5">
        <v>0</v>
      </c>
      <c r="Q1609" s="5">
        <v>0</v>
      </c>
      <c r="R1609" s="5" t="str">
        <f t="shared" si="257"/>
        <v>420-2024-06-30</v>
      </c>
    </row>
    <row r="1610" spans="1:18" x14ac:dyDescent="0.3">
      <c r="A1610" s="26">
        <v>420</v>
      </c>
      <c r="B1610" s="5" t="s">
        <v>313</v>
      </c>
      <c r="C1610" s="5" t="s">
        <v>131</v>
      </c>
      <c r="D1610" s="5" t="s">
        <v>11</v>
      </c>
      <c r="E1610" s="5" t="s">
        <v>9</v>
      </c>
      <c r="F1610" s="6">
        <v>45565</v>
      </c>
      <c r="G1610" s="5">
        <f t="shared" si="264"/>
        <v>2024</v>
      </c>
      <c r="H1610" s="5" t="str">
        <f t="shared" si="265"/>
        <v>Septiembre</v>
      </c>
      <c r="I1610" s="6" t="str">
        <f t="shared" si="256"/>
        <v>2024-2</v>
      </c>
      <c r="J1610" s="5">
        <v>100</v>
      </c>
      <c r="K1610" s="10">
        <v>102.36</v>
      </c>
      <c r="L1610" s="15">
        <f>IFERROR(IF((K1610/J1610)&gt;1.3,1.3,K1610/J1610),"")</f>
        <v>1.0236000000000001</v>
      </c>
      <c r="M1610" s="15">
        <f t="shared" ref="M1610:M1619" si="267">IFERROR(IF((K1610/J1610)&gt;K1610/J1610,1.3,K1610/J1610),"")</f>
        <v>1.0236000000000001</v>
      </c>
      <c r="N1610" s="5" t="s">
        <v>347</v>
      </c>
      <c r="O1610" s="5" t="s">
        <v>347</v>
      </c>
      <c r="P1610" s="16">
        <v>0</v>
      </c>
      <c r="Q1610" s="16">
        <v>0</v>
      </c>
      <c r="R1610" s="5" t="str">
        <f t="shared" si="257"/>
        <v>420-2024-09-30</v>
      </c>
    </row>
    <row r="1611" spans="1:18" x14ac:dyDescent="0.3">
      <c r="A1611" s="26">
        <v>420</v>
      </c>
      <c r="B1611" s="5" t="s">
        <v>313</v>
      </c>
      <c r="C1611" s="5" t="s">
        <v>131</v>
      </c>
      <c r="D1611" s="5" t="s">
        <v>11</v>
      </c>
      <c r="E1611" s="5" t="s">
        <v>9</v>
      </c>
      <c r="F1611" s="6">
        <v>45657</v>
      </c>
      <c r="G1611" s="5">
        <f t="shared" si="264"/>
        <v>2024</v>
      </c>
      <c r="H1611" s="5" t="str">
        <f t="shared" si="265"/>
        <v>Diciembre</v>
      </c>
      <c r="I1611" s="6" t="str">
        <f t="shared" si="256"/>
        <v>2024-2</v>
      </c>
      <c r="J1611" s="5">
        <v>100</v>
      </c>
      <c r="K1611" s="10">
        <v>0</v>
      </c>
      <c r="L1611" s="15">
        <f>IFERROR(IF((K1611/J1611)&gt;1.3,1.3,K1611/J1611),"")</f>
        <v>0</v>
      </c>
      <c r="M1611" s="15">
        <f t="shared" si="267"/>
        <v>0</v>
      </c>
      <c r="N1611" s="5" t="s">
        <v>347</v>
      </c>
      <c r="O1611" s="5" t="s">
        <v>347</v>
      </c>
      <c r="P1611" s="16">
        <v>0</v>
      </c>
      <c r="Q1611" s="16">
        <v>0</v>
      </c>
      <c r="R1611" s="5" t="str">
        <f t="shared" si="257"/>
        <v>420-2024-12-31</v>
      </c>
    </row>
    <row r="1612" spans="1:18" x14ac:dyDescent="0.3">
      <c r="A1612" s="26">
        <v>421</v>
      </c>
      <c r="B1612" s="5" t="s">
        <v>314</v>
      </c>
      <c r="C1612" s="5" t="s">
        <v>315</v>
      </c>
      <c r="D1612" s="5" t="s">
        <v>8</v>
      </c>
      <c r="E1612" s="5" t="s">
        <v>9</v>
      </c>
      <c r="F1612" s="17">
        <v>45107</v>
      </c>
      <c r="G1612" s="5">
        <f t="shared" si="264"/>
        <v>2023</v>
      </c>
      <c r="H1612" s="5" t="str">
        <f t="shared" si="265"/>
        <v>Junio</v>
      </c>
      <c r="I1612" s="6" t="str">
        <f t="shared" si="256"/>
        <v>2023-1</v>
      </c>
      <c r="J1612" s="5">
        <v>104072</v>
      </c>
      <c r="K1612" s="9">
        <v>140002</v>
      </c>
      <c r="L1612" s="24">
        <f>IF(IFERROR(K1612/J1612,"")&gt;130%,130%,K1612/J1612)</f>
        <v>1.3</v>
      </c>
      <c r="M1612" s="15">
        <f t="shared" si="267"/>
        <v>1.3452417557075871</v>
      </c>
      <c r="N1612" s="5" t="s">
        <v>347</v>
      </c>
      <c r="O1612" s="5" t="s">
        <v>347</v>
      </c>
      <c r="P1612" s="16">
        <v>0</v>
      </c>
      <c r="Q1612" s="16">
        <v>0</v>
      </c>
      <c r="R1612" s="5" t="str">
        <f t="shared" si="257"/>
        <v>421-2023-06-30</v>
      </c>
    </row>
    <row r="1613" spans="1:18" x14ac:dyDescent="0.3">
      <c r="A1613" s="39">
        <v>421</v>
      </c>
      <c r="B1613" s="5" t="s">
        <v>314</v>
      </c>
      <c r="C1613" s="5" t="s">
        <v>315</v>
      </c>
      <c r="D1613" s="5" t="s">
        <v>8</v>
      </c>
      <c r="E1613" s="5" t="s">
        <v>9</v>
      </c>
      <c r="F1613" s="6">
        <v>45291</v>
      </c>
      <c r="G1613" s="5">
        <f t="shared" si="264"/>
        <v>2023</v>
      </c>
      <c r="H1613" s="5" t="str">
        <f t="shared" si="265"/>
        <v>Diciembre</v>
      </c>
      <c r="I1613" s="6" t="str">
        <f t="shared" si="256"/>
        <v>2023-2</v>
      </c>
      <c r="J1613" s="5">
        <v>97200</v>
      </c>
      <c r="K1613" s="9">
        <v>136199</v>
      </c>
      <c r="L1613" s="24">
        <f>IF(IFERROR(K1613/J1613,"")&gt;130%,130%,K1613/J1613)</f>
        <v>1.3</v>
      </c>
      <c r="M1613" s="15">
        <f t="shared" si="267"/>
        <v>1.4012242798353909</v>
      </c>
      <c r="N1613" s="5" t="s">
        <v>347</v>
      </c>
      <c r="O1613" s="5" t="s">
        <v>347</v>
      </c>
      <c r="P1613" s="16">
        <v>0</v>
      </c>
      <c r="Q1613" s="16">
        <v>0</v>
      </c>
      <c r="R1613" s="5" t="str">
        <f t="shared" si="257"/>
        <v>421-2023-12-31</v>
      </c>
    </row>
    <row r="1614" spans="1:18" x14ac:dyDescent="0.3">
      <c r="A1614" s="26">
        <v>421</v>
      </c>
      <c r="B1614" s="5" t="s">
        <v>314</v>
      </c>
      <c r="C1614" s="5" t="s">
        <v>315</v>
      </c>
      <c r="D1614" s="5" t="s">
        <v>8</v>
      </c>
      <c r="E1614" s="5" t="s">
        <v>9</v>
      </c>
      <c r="F1614" s="17">
        <v>45473</v>
      </c>
      <c r="G1614" s="5">
        <f t="shared" si="264"/>
        <v>2024</v>
      </c>
      <c r="H1614" s="5" t="str">
        <f t="shared" si="265"/>
        <v>Junio</v>
      </c>
      <c r="I1614" s="6" t="str">
        <f t="shared" si="256"/>
        <v>2024-1</v>
      </c>
      <c r="J1614" s="5">
        <v>147043</v>
      </c>
      <c r="K1614" s="9">
        <v>177740</v>
      </c>
      <c r="L1614" s="24">
        <f>IF(IFERROR(K1614/J1614,"")&gt;130%,130%,K1614/J1614)</f>
        <v>1.2087620627979572</v>
      </c>
      <c r="M1614" s="15">
        <f t="shared" si="267"/>
        <v>1.2087620627979572</v>
      </c>
      <c r="N1614" s="5" t="s">
        <v>347</v>
      </c>
      <c r="O1614" s="5" t="s">
        <v>347</v>
      </c>
      <c r="P1614" s="16">
        <v>0</v>
      </c>
      <c r="Q1614" s="16">
        <v>0</v>
      </c>
      <c r="R1614" s="5" t="str">
        <f t="shared" si="257"/>
        <v>421-2024-06-30</v>
      </c>
    </row>
    <row r="1615" spans="1:18" x14ac:dyDescent="0.3">
      <c r="A1615" s="26">
        <v>421</v>
      </c>
      <c r="B1615" s="5" t="s">
        <v>314</v>
      </c>
      <c r="C1615" s="5" t="s">
        <v>315</v>
      </c>
      <c r="D1615" s="5" t="s">
        <v>8</v>
      </c>
      <c r="E1615" s="5" t="s">
        <v>9</v>
      </c>
      <c r="F1615" s="6">
        <v>45657</v>
      </c>
      <c r="G1615" s="5">
        <f t="shared" si="264"/>
        <v>2024</v>
      </c>
      <c r="H1615" s="5" t="str">
        <f t="shared" si="265"/>
        <v>Diciembre</v>
      </c>
      <c r="I1615" s="6" t="str">
        <f t="shared" si="256"/>
        <v>2024-2</v>
      </c>
      <c r="J1615" s="5">
        <v>100</v>
      </c>
      <c r="K1615" s="10">
        <v>121.44</v>
      </c>
      <c r="L1615" s="15">
        <f>IFERROR(IF((K1615/J1615)&gt;1.3,1.3,K1615/J1615),"")</f>
        <v>1.2143999999999999</v>
      </c>
      <c r="M1615" s="15">
        <f t="shared" si="267"/>
        <v>1.2143999999999999</v>
      </c>
      <c r="N1615" s="5"/>
      <c r="O1615" s="5"/>
      <c r="P1615" s="16">
        <v>0</v>
      </c>
      <c r="Q1615" s="16">
        <v>0</v>
      </c>
      <c r="R1615" s="5" t="str">
        <f t="shared" si="257"/>
        <v>421-2024-12-31</v>
      </c>
    </row>
    <row r="1616" spans="1:18" x14ac:dyDescent="0.3">
      <c r="A1616" s="26">
        <v>422</v>
      </c>
      <c r="B1616" s="5" t="s">
        <v>316</v>
      </c>
      <c r="C1616" s="5" t="s">
        <v>315</v>
      </c>
      <c r="D1616" s="5" t="s">
        <v>8</v>
      </c>
      <c r="E1616" s="5" t="s">
        <v>9</v>
      </c>
      <c r="F1616" s="17">
        <v>45107</v>
      </c>
      <c r="G1616" s="5">
        <f t="shared" si="264"/>
        <v>2023</v>
      </c>
      <c r="H1616" s="5" t="str">
        <f t="shared" si="265"/>
        <v>Junio</v>
      </c>
      <c r="I1616" s="6" t="str">
        <f t="shared" si="256"/>
        <v>2023-1</v>
      </c>
      <c r="J1616" s="11">
        <v>11.7</v>
      </c>
      <c r="K1616" s="9">
        <v>11.97</v>
      </c>
      <c r="L1616" s="8">
        <f>IFERROR(K1616/J1616,"")</f>
        <v>1.0230769230769232</v>
      </c>
      <c r="M1616" s="15">
        <f t="shared" si="267"/>
        <v>1.0230769230769232</v>
      </c>
      <c r="N1616" s="11" t="s">
        <v>347</v>
      </c>
      <c r="O1616" s="11" t="s">
        <v>347</v>
      </c>
      <c r="P1616" s="16">
        <v>2</v>
      </c>
      <c r="Q1616" s="16">
        <v>2</v>
      </c>
      <c r="R1616" s="5" t="str">
        <f t="shared" si="257"/>
        <v>422-2023-06-30</v>
      </c>
    </row>
    <row r="1617" spans="1:18" x14ac:dyDescent="0.3">
      <c r="A1617" s="39">
        <v>422</v>
      </c>
      <c r="B1617" s="5" t="s">
        <v>316</v>
      </c>
      <c r="C1617" s="5" t="s">
        <v>315</v>
      </c>
      <c r="D1617" s="5" t="s">
        <v>8</v>
      </c>
      <c r="E1617" s="5" t="s">
        <v>9</v>
      </c>
      <c r="F1617" s="6">
        <v>45291</v>
      </c>
      <c r="G1617" s="5">
        <f t="shared" si="264"/>
        <v>2023</v>
      </c>
      <c r="H1617" s="5" t="str">
        <f t="shared" si="265"/>
        <v>Diciembre</v>
      </c>
      <c r="I1617" s="6" t="str">
        <f t="shared" si="256"/>
        <v>2023-2</v>
      </c>
      <c r="J1617" s="5">
        <v>10.5</v>
      </c>
      <c r="K1617" s="9">
        <v>11.04</v>
      </c>
      <c r="L1617" s="8">
        <f>IFERROR(K1617/J1617,"")</f>
        <v>1.0514285714285714</v>
      </c>
      <c r="M1617" s="15">
        <f t="shared" si="267"/>
        <v>1.0514285714285714</v>
      </c>
      <c r="N1617" s="11" t="s">
        <v>347</v>
      </c>
      <c r="O1617" s="11" t="s">
        <v>347</v>
      </c>
      <c r="P1617" s="16">
        <v>2</v>
      </c>
      <c r="Q1617" s="16">
        <v>2</v>
      </c>
      <c r="R1617" s="5" t="str">
        <f t="shared" si="257"/>
        <v>422-2023-12-31</v>
      </c>
    </row>
    <row r="1618" spans="1:18" x14ac:dyDescent="0.3">
      <c r="A1618" s="39">
        <v>422</v>
      </c>
      <c r="B1618" s="5" t="s">
        <v>316</v>
      </c>
      <c r="C1618" s="5" t="s">
        <v>315</v>
      </c>
      <c r="D1618" s="5" t="s">
        <v>8</v>
      </c>
      <c r="E1618" s="5" t="s">
        <v>9</v>
      </c>
      <c r="F1618" s="6">
        <v>45473</v>
      </c>
      <c r="G1618" s="5">
        <f t="shared" si="264"/>
        <v>2024</v>
      </c>
      <c r="H1618" s="5" t="str">
        <f t="shared" si="265"/>
        <v>Junio</v>
      </c>
      <c r="I1618" s="6" t="str">
        <f t="shared" si="256"/>
        <v>2024-1</v>
      </c>
      <c r="J1618" s="5">
        <v>9.25</v>
      </c>
      <c r="K1618" s="9">
        <v>8.86</v>
      </c>
      <c r="L1618" s="8">
        <f>IFERROR(K1618/J1618,"")</f>
        <v>0.95783783783783782</v>
      </c>
      <c r="M1618" s="15">
        <f t="shared" si="267"/>
        <v>0.95783783783783782</v>
      </c>
      <c r="N1618" s="11" t="s">
        <v>347</v>
      </c>
      <c r="O1618" s="11" t="s">
        <v>347</v>
      </c>
      <c r="P1618" s="16">
        <v>2</v>
      </c>
      <c r="Q1618" s="16">
        <v>2</v>
      </c>
      <c r="R1618" s="5" t="str">
        <f t="shared" si="257"/>
        <v>422-2024-06-30</v>
      </c>
    </row>
    <row r="1619" spans="1:18" x14ac:dyDescent="0.3">
      <c r="A1619" s="26">
        <v>422</v>
      </c>
      <c r="B1619" s="5" t="s">
        <v>316</v>
      </c>
      <c r="C1619" s="5" t="s">
        <v>315</v>
      </c>
      <c r="D1619" s="5" t="s">
        <v>8</v>
      </c>
      <c r="E1619" s="5" t="s">
        <v>9</v>
      </c>
      <c r="F1619" s="6">
        <v>45657</v>
      </c>
      <c r="G1619" s="5">
        <f t="shared" si="264"/>
        <v>2024</v>
      </c>
      <c r="H1619" s="5" t="str">
        <f t="shared" si="265"/>
        <v>Diciembre</v>
      </c>
      <c r="I1619" s="6" t="str">
        <f t="shared" si="256"/>
        <v>2024-2</v>
      </c>
      <c r="J1619" s="5">
        <v>8.01</v>
      </c>
      <c r="K1619" s="10">
        <v>7.95</v>
      </c>
      <c r="L1619" s="15">
        <f>IFERROR(IF((K1619/J1619)&gt;1.3,1.3,K1619/J1619),"")</f>
        <v>0.99250936329588024</v>
      </c>
      <c r="M1619" s="15">
        <f t="shared" si="267"/>
        <v>0.99250936329588024</v>
      </c>
      <c r="N1619" s="5" t="s">
        <v>347</v>
      </c>
      <c r="O1619" s="5" t="s">
        <v>347</v>
      </c>
      <c r="P1619" s="16">
        <v>2</v>
      </c>
      <c r="Q1619" s="16">
        <v>2</v>
      </c>
      <c r="R1619" s="5" t="str">
        <f t="shared" si="257"/>
        <v>422-2024-12-31</v>
      </c>
    </row>
    <row r="1620" spans="1:18" x14ac:dyDescent="0.3">
      <c r="A1620" s="5">
        <v>423</v>
      </c>
      <c r="B1620" s="5" t="s">
        <v>317</v>
      </c>
      <c r="C1620" s="5" t="s">
        <v>315</v>
      </c>
      <c r="D1620" s="5" t="s">
        <v>25</v>
      </c>
      <c r="E1620" s="5" t="s">
        <v>9</v>
      </c>
      <c r="F1620" s="17">
        <v>44926</v>
      </c>
      <c r="G1620" s="5">
        <f t="shared" si="264"/>
        <v>2022</v>
      </c>
      <c r="H1620" s="5" t="str">
        <f t="shared" si="265"/>
        <v>Diciembre</v>
      </c>
      <c r="I1620" s="6" t="str">
        <f t="shared" ref="I1620:I1681" si="268">IF(OR(H1620="Enero",H1620="Febrero",H1620="Marzo",H1620="Abril",H1620="Mayo",H1620="Junio"),G1620&amp;"-1",IF(OR(H1620="Julio",H1620="Agosto",H1620="Septiembre",H1620="Octubre",H1620="Noviembre",H1620="Diciembre"),G1620&amp;"-2"))</f>
        <v>2022-2</v>
      </c>
      <c r="J1620" s="5">
        <v>8.8000000000000007</v>
      </c>
      <c r="K1620" s="9">
        <v>7.8</v>
      </c>
      <c r="L1620" s="15">
        <v>0.88636363636363624</v>
      </c>
      <c r="M1620" s="15">
        <v>0.88636363636363624</v>
      </c>
      <c r="N1620" s="5" t="s">
        <v>347</v>
      </c>
      <c r="O1620" s="5" t="s">
        <v>347</v>
      </c>
      <c r="P1620" s="5">
        <v>1</v>
      </c>
      <c r="Q1620" s="5">
        <v>1</v>
      </c>
      <c r="R1620" s="5" t="str">
        <f t="shared" ref="R1620:R1681" si="269">A1620&amp;"-"&amp;YEAR(F1620)&amp;"-"&amp;IF(LEN(MONTH(F1620))=1,"0"&amp;MONTH(F1620),MONTH(F1620))&amp;"-"&amp;DAY(F1620)</f>
        <v>423-2022-12-31</v>
      </c>
    </row>
    <row r="1621" spans="1:18" x14ac:dyDescent="0.3">
      <c r="A1621" s="39">
        <v>423</v>
      </c>
      <c r="B1621" s="5" t="s">
        <v>317</v>
      </c>
      <c r="C1621" s="5" t="s">
        <v>315</v>
      </c>
      <c r="D1621" s="5" t="s">
        <v>25</v>
      </c>
      <c r="E1621" s="5" t="s">
        <v>9</v>
      </c>
      <c r="F1621" s="6">
        <v>45291</v>
      </c>
      <c r="G1621" s="5">
        <f t="shared" si="264"/>
        <v>2023</v>
      </c>
      <c r="H1621" s="5" t="str">
        <f t="shared" si="265"/>
        <v>Diciembre</v>
      </c>
      <c r="I1621" s="6" t="str">
        <f t="shared" si="268"/>
        <v>2023-2</v>
      </c>
      <c r="J1621" s="5">
        <v>8.4</v>
      </c>
      <c r="K1621" s="9">
        <v>7.9</v>
      </c>
      <c r="L1621" s="15">
        <f>IFERROR(IF((K1621/J1621)&gt;1.3,1.3,K1621/J1621),"")</f>
        <v>0.94047619047619047</v>
      </c>
      <c r="M1621" s="15">
        <f>IFERROR(IF((K1621/J1621)&gt;K1621/J1621,1.3,K1621/J1621),"")</f>
        <v>0.94047619047619047</v>
      </c>
      <c r="N1621" s="5" t="s">
        <v>347</v>
      </c>
      <c r="O1621" s="5" t="s">
        <v>347</v>
      </c>
      <c r="P1621" s="16">
        <v>1</v>
      </c>
      <c r="Q1621" s="16">
        <v>1</v>
      </c>
      <c r="R1621" s="5" t="str">
        <f t="shared" si="269"/>
        <v>423-2023-12-31</v>
      </c>
    </row>
    <row r="1622" spans="1:18" x14ac:dyDescent="0.3">
      <c r="A1622" s="26">
        <v>423</v>
      </c>
      <c r="B1622" s="5" t="s">
        <v>317</v>
      </c>
      <c r="C1622" s="5" t="s">
        <v>315</v>
      </c>
      <c r="D1622" s="5" t="s">
        <v>25</v>
      </c>
      <c r="E1622" s="5" t="s">
        <v>9</v>
      </c>
      <c r="F1622" s="6">
        <v>45657</v>
      </c>
      <c r="G1622" s="5">
        <f t="shared" si="264"/>
        <v>2024</v>
      </c>
      <c r="H1622" s="5" t="str">
        <f t="shared" si="265"/>
        <v>Diciembre</v>
      </c>
      <c r="I1622" s="6" t="str">
        <f t="shared" si="268"/>
        <v>2024-2</v>
      </c>
      <c r="J1622" s="5">
        <v>8.3000000000000007</v>
      </c>
      <c r="K1622" s="10">
        <v>12.3</v>
      </c>
      <c r="L1622" s="15">
        <f>IFERROR(IF((K1622/J1622)&gt;1.3,1.3,K1622/J1622),"")</f>
        <v>1.3</v>
      </c>
      <c r="M1622" s="15">
        <f>IFERROR(IF((K1622/J1622)&gt;K1622/J1622,1.3,K1622/J1622),"")</f>
        <v>1.4819277108433735</v>
      </c>
      <c r="N1622" s="5"/>
      <c r="O1622" s="5"/>
      <c r="P1622" s="16">
        <v>1</v>
      </c>
      <c r="Q1622" s="16">
        <v>1</v>
      </c>
      <c r="R1622" s="5" t="str">
        <f t="shared" si="269"/>
        <v>423-2024-12-31</v>
      </c>
    </row>
    <row r="1623" spans="1:18" x14ac:dyDescent="0.3">
      <c r="A1623" s="5">
        <v>424</v>
      </c>
      <c r="B1623" s="5" t="s">
        <v>433</v>
      </c>
      <c r="C1623" s="5" t="s">
        <v>315</v>
      </c>
      <c r="D1623" s="5" t="s">
        <v>25</v>
      </c>
      <c r="E1623" s="5" t="s">
        <v>9</v>
      </c>
      <c r="F1623" s="17">
        <v>44926</v>
      </c>
      <c r="G1623" s="5">
        <f t="shared" si="264"/>
        <v>2022</v>
      </c>
      <c r="H1623" s="5" t="str">
        <f t="shared" si="265"/>
        <v>Diciembre</v>
      </c>
      <c r="I1623" s="6" t="str">
        <f t="shared" si="268"/>
        <v>2022-2</v>
      </c>
      <c r="J1623" s="5">
        <v>6.5</v>
      </c>
      <c r="K1623" s="9">
        <v>5</v>
      </c>
      <c r="L1623" s="15">
        <v>0.76923076923076927</v>
      </c>
      <c r="M1623" s="15">
        <v>0.76923076923076927</v>
      </c>
      <c r="N1623" s="5"/>
      <c r="O1623" s="5"/>
      <c r="P1623" s="5">
        <v>0</v>
      </c>
      <c r="Q1623" s="5">
        <v>0</v>
      </c>
      <c r="R1623" s="5" t="str">
        <f t="shared" si="269"/>
        <v>424-2022-12-31</v>
      </c>
    </row>
    <row r="1624" spans="1:18" x14ac:dyDescent="0.3">
      <c r="A1624" s="39">
        <v>424</v>
      </c>
      <c r="B1624" s="5" t="s">
        <v>433</v>
      </c>
      <c r="C1624" s="5" t="s">
        <v>315</v>
      </c>
      <c r="D1624" s="5" t="s">
        <v>25</v>
      </c>
      <c r="E1624" s="5" t="s">
        <v>9</v>
      </c>
      <c r="F1624" s="6">
        <v>45291</v>
      </c>
      <c r="G1624" s="5">
        <f t="shared" si="264"/>
        <v>2023</v>
      </c>
      <c r="H1624" s="5" t="str">
        <f t="shared" si="265"/>
        <v>Diciembre</v>
      </c>
      <c r="I1624" s="6" t="str">
        <f t="shared" si="268"/>
        <v>2023-2</v>
      </c>
      <c r="J1624" s="5">
        <v>6</v>
      </c>
      <c r="K1624" s="9">
        <v>6</v>
      </c>
      <c r="L1624" s="15">
        <f>IFERROR(IF((K1624/J1624)&gt;1.3,1.3,K1624/J1624),"")</f>
        <v>1</v>
      </c>
      <c r="M1624" s="15">
        <f>IFERROR(IF((K1624/J1624)&gt;K1624/J1624,1.3,K1624/J1624),"")</f>
        <v>1</v>
      </c>
      <c r="N1624" s="5"/>
      <c r="O1624" s="5"/>
      <c r="P1624" s="16">
        <v>0</v>
      </c>
      <c r="Q1624" s="16">
        <v>0</v>
      </c>
      <c r="R1624" s="5" t="str">
        <f t="shared" si="269"/>
        <v>424-2023-12-31</v>
      </c>
    </row>
    <row r="1625" spans="1:18" x14ac:dyDescent="0.3">
      <c r="A1625" s="26">
        <v>424</v>
      </c>
      <c r="B1625" s="5" t="s">
        <v>433</v>
      </c>
      <c r="C1625" s="5" t="s">
        <v>315</v>
      </c>
      <c r="D1625" s="5" t="s">
        <v>25</v>
      </c>
      <c r="E1625" s="5" t="s">
        <v>9</v>
      </c>
      <c r="F1625" s="6">
        <v>45657</v>
      </c>
      <c r="G1625" s="5">
        <f t="shared" si="264"/>
        <v>2024</v>
      </c>
      <c r="H1625" s="5" t="str">
        <f t="shared" si="265"/>
        <v>Diciembre</v>
      </c>
      <c r="I1625" s="6" t="str">
        <f t="shared" si="268"/>
        <v>2024-2</v>
      </c>
      <c r="J1625" s="5">
        <v>7</v>
      </c>
      <c r="K1625" s="10">
        <v>9</v>
      </c>
      <c r="L1625" s="15">
        <f>IFERROR(IF((K1625/J1625)&gt;1.3,1.3,K1625/J1625),"")</f>
        <v>1.2857142857142858</v>
      </c>
      <c r="M1625" s="15">
        <f>IFERROR(IF((K1625/J1625)&gt;K1625/J1625,1.3,K1625/J1625),"")</f>
        <v>1.2857142857142858</v>
      </c>
      <c r="N1625" s="5"/>
      <c r="O1625" s="5"/>
      <c r="P1625" s="16">
        <v>0</v>
      </c>
      <c r="Q1625" s="16">
        <v>0</v>
      </c>
      <c r="R1625" s="5" t="str">
        <f t="shared" si="269"/>
        <v>424-2024-12-31</v>
      </c>
    </row>
    <row r="1626" spans="1:18" x14ac:dyDescent="0.3">
      <c r="A1626" s="39">
        <v>425</v>
      </c>
      <c r="B1626" s="5" t="s">
        <v>318</v>
      </c>
      <c r="C1626" s="5" t="s">
        <v>274</v>
      </c>
      <c r="D1626" s="5" t="s">
        <v>25</v>
      </c>
      <c r="E1626" s="5" t="s">
        <v>9</v>
      </c>
      <c r="F1626" s="6">
        <v>45291</v>
      </c>
      <c r="G1626" s="5">
        <f t="shared" si="264"/>
        <v>2023</v>
      </c>
      <c r="H1626" s="5" t="str">
        <f t="shared" si="265"/>
        <v>Diciembre</v>
      </c>
      <c r="I1626" s="6" t="str">
        <f t="shared" si="268"/>
        <v>2023-2</v>
      </c>
      <c r="J1626" s="5">
        <v>5500</v>
      </c>
      <c r="K1626" s="9">
        <v>5785</v>
      </c>
      <c r="L1626" s="8">
        <f>IFERROR(K1626/J1626,"")</f>
        <v>1.0518181818181818</v>
      </c>
      <c r="M1626" s="15">
        <f>IFERROR(IF((K1626/J1626)&gt;K1626/J1626,1.3,K1626/J1626),"")</f>
        <v>1.0518181818181818</v>
      </c>
      <c r="N1626" s="5" t="s">
        <v>474</v>
      </c>
      <c r="O1626" s="5" t="s">
        <v>474</v>
      </c>
      <c r="P1626" s="16">
        <v>0</v>
      </c>
      <c r="Q1626" s="16">
        <v>0</v>
      </c>
      <c r="R1626" s="5" t="str">
        <f t="shared" si="269"/>
        <v>425-2023-12-31</v>
      </c>
    </row>
    <row r="1627" spans="1:18" x14ac:dyDescent="0.3">
      <c r="A1627" s="5">
        <v>425</v>
      </c>
      <c r="B1627" s="5" t="s">
        <v>318</v>
      </c>
      <c r="C1627" s="5" t="s">
        <v>274</v>
      </c>
      <c r="D1627" s="5" t="s">
        <v>8</v>
      </c>
      <c r="E1627" s="5" t="s">
        <v>9</v>
      </c>
      <c r="F1627" s="6">
        <v>45473</v>
      </c>
      <c r="G1627" s="5">
        <f t="shared" si="264"/>
        <v>2024</v>
      </c>
      <c r="H1627" s="5" t="str">
        <f t="shared" si="265"/>
        <v>Junio</v>
      </c>
      <c r="I1627" s="6" t="str">
        <f t="shared" si="268"/>
        <v>2024-1</v>
      </c>
      <c r="J1627" s="5">
        <v>100</v>
      </c>
      <c r="K1627" s="5">
        <v>60.69</v>
      </c>
      <c r="L1627" s="15">
        <v>0.6069</v>
      </c>
      <c r="M1627" s="15">
        <v>0.6069</v>
      </c>
      <c r="N1627" s="5" t="s">
        <v>490</v>
      </c>
      <c r="O1627" s="5" t="s">
        <v>490</v>
      </c>
      <c r="P1627" s="5">
        <v>0</v>
      </c>
      <c r="Q1627" s="5">
        <v>0</v>
      </c>
      <c r="R1627" s="5" t="str">
        <f t="shared" si="269"/>
        <v>425-2024-06-30</v>
      </c>
    </row>
    <row r="1628" spans="1:18" x14ac:dyDescent="0.3">
      <c r="A1628" s="26">
        <v>425</v>
      </c>
      <c r="B1628" s="5" t="s">
        <v>318</v>
      </c>
      <c r="C1628" s="5" t="s">
        <v>274</v>
      </c>
      <c r="D1628" s="5" t="s">
        <v>8</v>
      </c>
      <c r="E1628" s="5" t="s">
        <v>9</v>
      </c>
      <c r="F1628" s="6">
        <v>45657</v>
      </c>
      <c r="G1628" s="5">
        <f t="shared" si="264"/>
        <v>2024</v>
      </c>
      <c r="H1628" s="5" t="str">
        <f t="shared" si="265"/>
        <v>Diciembre</v>
      </c>
      <c r="I1628" s="6" t="str">
        <f t="shared" si="268"/>
        <v>2024-2</v>
      </c>
      <c r="J1628" s="5">
        <v>100</v>
      </c>
      <c r="K1628" s="10">
        <v>164.69</v>
      </c>
      <c r="L1628" s="15">
        <f>IFERROR(IF((K1628/J1628)&gt;1.3,1.3,K1628/J1628),"")</f>
        <v>1.3</v>
      </c>
      <c r="M1628" s="15">
        <f>IFERROR(IF((K1628/J1628)&gt;K1628/J1628,1.3,K1628/J1628),"")</f>
        <v>1.6469</v>
      </c>
      <c r="N1628" s="5" t="s">
        <v>490</v>
      </c>
      <c r="O1628" s="5" t="s">
        <v>490</v>
      </c>
      <c r="P1628" s="16">
        <v>0</v>
      </c>
      <c r="Q1628" s="16">
        <v>0</v>
      </c>
      <c r="R1628" s="5" t="str">
        <f t="shared" si="269"/>
        <v>425-2024-12-31</v>
      </c>
    </row>
    <row r="1629" spans="1:18" x14ac:dyDescent="0.3">
      <c r="A1629" s="26">
        <v>426</v>
      </c>
      <c r="B1629" s="5" t="s">
        <v>319</v>
      </c>
      <c r="C1629" s="5" t="s">
        <v>320</v>
      </c>
      <c r="D1629" s="5" t="s">
        <v>8</v>
      </c>
      <c r="E1629" s="5" t="s">
        <v>9</v>
      </c>
      <c r="F1629" s="17">
        <v>45107</v>
      </c>
      <c r="G1629" s="5">
        <f t="shared" si="264"/>
        <v>2023</v>
      </c>
      <c r="H1629" s="5" t="str">
        <f t="shared" si="265"/>
        <v>Junio</v>
      </c>
      <c r="I1629" s="6" t="str">
        <f t="shared" si="268"/>
        <v>2023-1</v>
      </c>
      <c r="J1629" s="5"/>
      <c r="K1629" s="9">
        <v>86.98</v>
      </c>
      <c r="L1629" s="8" t="str">
        <f>IFERROR(K1629/J1629,"")</f>
        <v/>
      </c>
      <c r="M1629" s="15" t="str">
        <f>IFERROR(IF((K1629/J1629)&gt;K1629/J1629,1.3,K1629/J1629),"")</f>
        <v/>
      </c>
      <c r="N1629" s="5" t="s">
        <v>477</v>
      </c>
      <c r="O1629" s="5" t="s">
        <v>347</v>
      </c>
      <c r="P1629" s="16">
        <v>0</v>
      </c>
      <c r="Q1629" s="16">
        <v>0</v>
      </c>
      <c r="R1629" s="5" t="str">
        <f t="shared" si="269"/>
        <v>426-2023-06-30</v>
      </c>
    </row>
    <row r="1630" spans="1:18" x14ac:dyDescent="0.3">
      <c r="A1630" s="39">
        <v>426</v>
      </c>
      <c r="B1630" s="5" t="s">
        <v>319</v>
      </c>
      <c r="C1630" s="5" t="s">
        <v>320</v>
      </c>
      <c r="D1630" s="5" t="s">
        <v>8</v>
      </c>
      <c r="E1630" s="5" t="s">
        <v>9</v>
      </c>
      <c r="F1630" s="6">
        <v>45291</v>
      </c>
      <c r="G1630" s="5">
        <f t="shared" si="264"/>
        <v>2023</v>
      </c>
      <c r="H1630" s="5" t="str">
        <f t="shared" si="265"/>
        <v>Diciembre</v>
      </c>
      <c r="I1630" s="6" t="str">
        <f t="shared" si="268"/>
        <v>2023-2</v>
      </c>
      <c r="J1630" s="5"/>
      <c r="K1630" s="9">
        <v>92.31</v>
      </c>
      <c r="L1630" s="8" t="str">
        <f>IFERROR(K1630/J1630,"")</f>
        <v/>
      </c>
      <c r="M1630" s="15" t="str">
        <f>IFERROR(IF((K1630/J1630)&gt;K1630/J1630,1.3,K1630/J1630),"")</f>
        <v/>
      </c>
      <c r="N1630" s="5" t="s">
        <v>477</v>
      </c>
      <c r="O1630" s="5" t="s">
        <v>347</v>
      </c>
      <c r="P1630" s="16">
        <v>0</v>
      </c>
      <c r="Q1630" s="16">
        <v>0</v>
      </c>
      <c r="R1630" s="5" t="str">
        <f t="shared" si="269"/>
        <v>426-2023-12-31</v>
      </c>
    </row>
    <row r="1631" spans="1:18" x14ac:dyDescent="0.3">
      <c r="A1631" s="5">
        <v>426</v>
      </c>
      <c r="B1631" s="5" t="s">
        <v>319</v>
      </c>
      <c r="C1631" s="5" t="s">
        <v>320</v>
      </c>
      <c r="D1631" s="5" t="s">
        <v>8</v>
      </c>
      <c r="E1631" s="5" t="s">
        <v>9</v>
      </c>
      <c r="F1631" s="6">
        <v>45473</v>
      </c>
      <c r="G1631" s="5">
        <f t="shared" si="264"/>
        <v>2024</v>
      </c>
      <c r="H1631" s="5" t="str">
        <f t="shared" si="265"/>
        <v>Junio</v>
      </c>
      <c r="I1631" s="6" t="str">
        <f t="shared" si="268"/>
        <v>2024-1</v>
      </c>
      <c r="J1631" s="5">
        <v>90</v>
      </c>
      <c r="K1631" s="5">
        <v>67.39</v>
      </c>
      <c r="L1631" s="15">
        <v>0.74877777777777776</v>
      </c>
      <c r="M1631" s="15">
        <v>0.74877777777777776</v>
      </c>
      <c r="N1631" s="5" t="s">
        <v>477</v>
      </c>
      <c r="O1631" s="5" t="s">
        <v>347</v>
      </c>
      <c r="P1631" s="5">
        <v>0</v>
      </c>
      <c r="Q1631" s="5">
        <v>0</v>
      </c>
      <c r="R1631" s="5" t="str">
        <f t="shared" si="269"/>
        <v>426-2024-06-30</v>
      </c>
    </row>
    <row r="1632" spans="1:18" x14ac:dyDescent="0.3">
      <c r="A1632" s="26">
        <v>426</v>
      </c>
      <c r="B1632" s="5" t="s">
        <v>319</v>
      </c>
      <c r="C1632" s="5" t="s">
        <v>320</v>
      </c>
      <c r="D1632" s="5" t="s">
        <v>8</v>
      </c>
      <c r="E1632" s="5" t="s">
        <v>9</v>
      </c>
      <c r="F1632" s="6">
        <v>45657</v>
      </c>
      <c r="G1632" s="5">
        <f t="shared" si="264"/>
        <v>2024</v>
      </c>
      <c r="H1632" s="5" t="str">
        <f t="shared" si="265"/>
        <v>Diciembre</v>
      </c>
      <c r="I1632" s="6" t="str">
        <f t="shared" si="268"/>
        <v>2024-2</v>
      </c>
      <c r="J1632" s="5">
        <v>80</v>
      </c>
      <c r="K1632" s="10">
        <v>86.72</v>
      </c>
      <c r="L1632" s="15">
        <f>IFERROR(IF((K1632/J1632)&gt;1.3,1.3,K1632/J1632),"")</f>
        <v>1.0840000000000001</v>
      </c>
      <c r="M1632" s="15">
        <f>IFERROR(IF((K1632/J1632)&gt;K1632/J1632,1.3,K1632/J1632),"")</f>
        <v>1.0840000000000001</v>
      </c>
      <c r="N1632" s="5" t="s">
        <v>477</v>
      </c>
      <c r="O1632" s="5" t="s">
        <v>347</v>
      </c>
      <c r="P1632" s="16">
        <v>0</v>
      </c>
      <c r="Q1632" s="16">
        <v>0</v>
      </c>
      <c r="R1632" s="5" t="str">
        <f t="shared" si="269"/>
        <v>426-2024-12-31</v>
      </c>
    </row>
    <row r="1633" spans="1:18" x14ac:dyDescent="0.3">
      <c r="A1633" s="26">
        <v>427</v>
      </c>
      <c r="B1633" s="5" t="s">
        <v>321</v>
      </c>
      <c r="C1633" s="5" t="s">
        <v>90</v>
      </c>
      <c r="D1633" s="5" t="s">
        <v>8</v>
      </c>
      <c r="E1633" s="5" t="s">
        <v>14</v>
      </c>
      <c r="F1633" s="17">
        <v>45107</v>
      </c>
      <c r="G1633" s="5">
        <f t="shared" si="264"/>
        <v>2023</v>
      </c>
      <c r="H1633" s="5" t="str">
        <f t="shared" si="265"/>
        <v>Junio</v>
      </c>
      <c r="I1633" s="6" t="str">
        <f t="shared" si="268"/>
        <v>2023-1</v>
      </c>
      <c r="J1633" s="5">
        <v>0.2</v>
      </c>
      <c r="K1633" s="12">
        <v>0.14000000000000001</v>
      </c>
      <c r="L1633" s="8">
        <f>IF(K1633&lt;=J1633,1,IF(K1633&gt;J1633,0,J1633/K1633))</f>
        <v>1</v>
      </c>
      <c r="M1633" s="8">
        <f>IF(K1633&lt;=J1633,1,IF(K1633&gt;J1633,0,J1633/K1633))</f>
        <v>1</v>
      </c>
      <c r="N1633" s="5" t="s">
        <v>478</v>
      </c>
      <c r="O1633" s="5" t="s">
        <v>478</v>
      </c>
      <c r="P1633" s="16">
        <v>1</v>
      </c>
      <c r="Q1633" s="16">
        <v>2</v>
      </c>
      <c r="R1633" s="5" t="str">
        <f t="shared" si="269"/>
        <v>427-2023-06-30</v>
      </c>
    </row>
    <row r="1634" spans="1:18" x14ac:dyDescent="0.3">
      <c r="A1634" s="39">
        <v>427</v>
      </c>
      <c r="B1634" s="5" t="s">
        <v>321</v>
      </c>
      <c r="C1634" s="5" t="s">
        <v>90</v>
      </c>
      <c r="D1634" s="5" t="s">
        <v>8</v>
      </c>
      <c r="E1634" s="5" t="s">
        <v>14</v>
      </c>
      <c r="F1634" s="6">
        <v>45291</v>
      </c>
      <c r="G1634" s="5">
        <f t="shared" si="264"/>
        <v>2023</v>
      </c>
      <c r="H1634" s="5" t="str">
        <f t="shared" si="265"/>
        <v>Diciembre</v>
      </c>
      <c r="I1634" s="6" t="str">
        <f t="shared" si="268"/>
        <v>2023-2</v>
      </c>
      <c r="J1634" s="5">
        <v>0.2</v>
      </c>
      <c r="K1634" s="9">
        <v>0.2</v>
      </c>
      <c r="L1634" s="8">
        <f t="shared" ref="L1634:L1636" si="270">IF(K1634&lt;=J1634,1,IF(K1634&gt;J1634,0,J1634/K1634))</f>
        <v>1</v>
      </c>
      <c r="M1634" s="8">
        <f t="shared" ref="M1634:M1636" si="271">IF(K1634&lt;=J1634,1,IF(K1634&gt;J1634,0,J1634/K1634))</f>
        <v>1</v>
      </c>
      <c r="N1634" s="5" t="s">
        <v>478</v>
      </c>
      <c r="O1634" s="5" t="s">
        <v>478</v>
      </c>
      <c r="P1634" s="16">
        <v>1</v>
      </c>
      <c r="Q1634" s="16">
        <v>2</v>
      </c>
      <c r="R1634" s="5" t="str">
        <f t="shared" si="269"/>
        <v>427-2023-12-31</v>
      </c>
    </row>
    <row r="1635" spans="1:18" x14ac:dyDescent="0.3">
      <c r="A1635" s="5">
        <v>427</v>
      </c>
      <c r="B1635" s="5" t="s">
        <v>321</v>
      </c>
      <c r="C1635" s="5" t="s">
        <v>90</v>
      </c>
      <c r="D1635" s="5" t="s">
        <v>8</v>
      </c>
      <c r="E1635" s="5" t="s">
        <v>14</v>
      </c>
      <c r="F1635" s="6">
        <v>45473</v>
      </c>
      <c r="G1635" s="5">
        <f t="shared" si="264"/>
        <v>2024</v>
      </c>
      <c r="H1635" s="5" t="str">
        <f t="shared" si="265"/>
        <v>Junio</v>
      </c>
      <c r="I1635" s="6" t="str">
        <f t="shared" si="268"/>
        <v>2024-1</v>
      </c>
      <c r="J1635" s="5">
        <v>0.2</v>
      </c>
      <c r="K1635" s="5">
        <v>0.17</v>
      </c>
      <c r="L1635" s="8">
        <f t="shared" si="270"/>
        <v>1</v>
      </c>
      <c r="M1635" s="8">
        <f t="shared" si="271"/>
        <v>1</v>
      </c>
      <c r="N1635" s="5" t="s">
        <v>478</v>
      </c>
      <c r="O1635" s="5" t="s">
        <v>478</v>
      </c>
      <c r="P1635" s="5">
        <v>1</v>
      </c>
      <c r="Q1635" s="5">
        <v>2</v>
      </c>
      <c r="R1635" s="5" t="str">
        <f t="shared" si="269"/>
        <v>427-2024-06-30</v>
      </c>
    </row>
    <row r="1636" spans="1:18" x14ac:dyDescent="0.3">
      <c r="A1636" s="26">
        <v>427</v>
      </c>
      <c r="B1636" s="5" t="s">
        <v>321</v>
      </c>
      <c r="C1636" s="5" t="s">
        <v>90</v>
      </c>
      <c r="D1636" s="5" t="s">
        <v>8</v>
      </c>
      <c r="E1636" s="5" t="s">
        <v>14</v>
      </c>
      <c r="F1636" s="6">
        <v>45657</v>
      </c>
      <c r="G1636" s="5">
        <f t="shared" si="264"/>
        <v>2024</v>
      </c>
      <c r="H1636" s="5" t="str">
        <f t="shared" si="265"/>
        <v>Diciembre</v>
      </c>
      <c r="I1636" s="6" t="str">
        <f t="shared" si="268"/>
        <v>2024-2</v>
      </c>
      <c r="J1636" s="5">
        <v>0.2</v>
      </c>
      <c r="K1636" s="10">
        <v>0.2</v>
      </c>
      <c r="L1636" s="8">
        <f t="shared" si="270"/>
        <v>1</v>
      </c>
      <c r="M1636" s="8">
        <f t="shared" si="271"/>
        <v>1</v>
      </c>
      <c r="N1636" s="5" t="s">
        <v>478</v>
      </c>
      <c r="O1636" s="5" t="s">
        <v>478</v>
      </c>
      <c r="P1636" s="16">
        <v>1</v>
      </c>
      <c r="Q1636" s="16">
        <v>2</v>
      </c>
      <c r="R1636" s="5" t="str">
        <f t="shared" si="269"/>
        <v>427-2024-12-31</v>
      </c>
    </row>
    <row r="1637" spans="1:18" x14ac:dyDescent="0.3">
      <c r="A1637" s="26">
        <v>428</v>
      </c>
      <c r="B1637" s="5" t="s">
        <v>322</v>
      </c>
      <c r="C1637" s="5" t="s">
        <v>90</v>
      </c>
      <c r="D1637" s="5" t="s">
        <v>8</v>
      </c>
      <c r="E1637" s="5" t="s">
        <v>14</v>
      </c>
      <c r="F1637" s="17">
        <v>45107</v>
      </c>
      <c r="G1637" s="5">
        <f t="shared" si="264"/>
        <v>2023</v>
      </c>
      <c r="H1637" s="5" t="str">
        <f t="shared" si="265"/>
        <v>Junio</v>
      </c>
      <c r="I1637" s="6" t="str">
        <f t="shared" si="268"/>
        <v>2023-1</v>
      </c>
      <c r="J1637" s="5">
        <v>20</v>
      </c>
      <c r="K1637" s="9">
        <v>17.59</v>
      </c>
      <c r="L1637" s="8">
        <f>IF(K1637&lt;=J1637,1,IF(K1637&gt;J1637,0,J1637/K1637))</f>
        <v>1</v>
      </c>
      <c r="M1637" s="8">
        <f>IF(K1637&lt;=J1637,1,IF(K1637&gt;J1637,0,J1637/K1637))</f>
        <v>1</v>
      </c>
      <c r="N1637" s="5" t="s">
        <v>362</v>
      </c>
      <c r="O1637" s="5" t="s">
        <v>362</v>
      </c>
      <c r="P1637" s="16">
        <v>0</v>
      </c>
      <c r="Q1637" s="16">
        <v>1</v>
      </c>
      <c r="R1637" s="5" t="str">
        <f t="shared" si="269"/>
        <v>428-2023-06-30</v>
      </c>
    </row>
    <row r="1638" spans="1:18" x14ac:dyDescent="0.3">
      <c r="A1638" s="39">
        <v>428</v>
      </c>
      <c r="B1638" s="5" t="s">
        <v>322</v>
      </c>
      <c r="C1638" s="5" t="s">
        <v>90</v>
      </c>
      <c r="D1638" s="5" t="s">
        <v>8</v>
      </c>
      <c r="E1638" s="5" t="s">
        <v>14</v>
      </c>
      <c r="F1638" s="6">
        <v>45291</v>
      </c>
      <c r="G1638" s="5">
        <f t="shared" si="264"/>
        <v>2023</v>
      </c>
      <c r="H1638" s="5" t="str">
        <f t="shared" si="265"/>
        <v>Diciembre</v>
      </c>
      <c r="I1638" s="6" t="str">
        <f t="shared" si="268"/>
        <v>2023-2</v>
      </c>
      <c r="J1638" s="5">
        <v>20</v>
      </c>
      <c r="K1638" s="9">
        <v>18.63</v>
      </c>
      <c r="L1638" s="8">
        <f>IF(K1638&lt;=J1638,1,IF(K1638&gt;J1638,0,J1638/K1638))</f>
        <v>1</v>
      </c>
      <c r="M1638" s="8">
        <f t="shared" ref="M1638:M1640" si="272">IF(K1638&lt;=J1638,1,IF(K1638&gt;J1638,0,J1638/K1638))</f>
        <v>1</v>
      </c>
      <c r="N1638" s="5" t="s">
        <v>362</v>
      </c>
      <c r="O1638" s="5" t="s">
        <v>362</v>
      </c>
      <c r="P1638" s="16">
        <v>0</v>
      </c>
      <c r="Q1638" s="16">
        <v>1</v>
      </c>
      <c r="R1638" s="5" t="str">
        <f t="shared" si="269"/>
        <v>428-2023-12-31</v>
      </c>
    </row>
    <row r="1639" spans="1:18" x14ac:dyDescent="0.3">
      <c r="A1639" s="5">
        <v>428</v>
      </c>
      <c r="B1639" s="5" t="s">
        <v>322</v>
      </c>
      <c r="C1639" s="5" t="s">
        <v>90</v>
      </c>
      <c r="D1639" s="5" t="s">
        <v>8</v>
      </c>
      <c r="E1639" s="5" t="s">
        <v>14</v>
      </c>
      <c r="F1639" s="6">
        <v>45473</v>
      </c>
      <c r="G1639" s="5">
        <f t="shared" si="264"/>
        <v>2024</v>
      </c>
      <c r="H1639" s="5" t="str">
        <f t="shared" si="265"/>
        <v>Junio</v>
      </c>
      <c r="I1639" s="6" t="str">
        <f t="shared" si="268"/>
        <v>2024-1</v>
      </c>
      <c r="J1639" s="5">
        <v>20</v>
      </c>
      <c r="K1639" s="5">
        <v>16.579999999999998</v>
      </c>
      <c r="L1639" s="8">
        <f>IF(K1639&lt;=J1639,1,IF(K1639&gt;J1639,0,J1639/K1639))</f>
        <v>1</v>
      </c>
      <c r="M1639" s="8">
        <f t="shared" si="272"/>
        <v>1</v>
      </c>
      <c r="N1639" s="5" t="s">
        <v>362</v>
      </c>
      <c r="O1639" s="5" t="s">
        <v>362</v>
      </c>
      <c r="P1639" s="5">
        <v>0</v>
      </c>
      <c r="Q1639" s="5">
        <v>1</v>
      </c>
      <c r="R1639" s="5" t="str">
        <f t="shared" si="269"/>
        <v>428-2024-06-30</v>
      </c>
    </row>
    <row r="1640" spans="1:18" x14ac:dyDescent="0.3">
      <c r="A1640" s="26">
        <v>428</v>
      </c>
      <c r="B1640" s="5" t="s">
        <v>322</v>
      </c>
      <c r="C1640" s="5" t="s">
        <v>90</v>
      </c>
      <c r="D1640" s="5" t="s">
        <v>8</v>
      </c>
      <c r="E1640" s="5" t="s">
        <v>14</v>
      </c>
      <c r="F1640" s="6">
        <v>45657</v>
      </c>
      <c r="G1640" s="5">
        <f t="shared" si="264"/>
        <v>2024</v>
      </c>
      <c r="H1640" s="5" t="str">
        <f t="shared" si="265"/>
        <v>Diciembre</v>
      </c>
      <c r="I1640" s="6" t="str">
        <f t="shared" si="268"/>
        <v>2024-2</v>
      </c>
      <c r="J1640" s="5">
        <v>20</v>
      </c>
      <c r="K1640" s="10">
        <v>18.53</v>
      </c>
      <c r="L1640" s="8">
        <f>IF(K1640&lt;=J1640,1,IF(K1640&gt;J1640,0,J1640/K1640))</f>
        <v>1</v>
      </c>
      <c r="M1640" s="8">
        <f t="shared" si="272"/>
        <v>1</v>
      </c>
      <c r="N1640" s="5" t="s">
        <v>362</v>
      </c>
      <c r="O1640" s="5" t="s">
        <v>362</v>
      </c>
      <c r="P1640" s="16">
        <v>0</v>
      </c>
      <c r="Q1640" s="16">
        <v>1</v>
      </c>
      <c r="R1640" s="5" t="str">
        <f t="shared" si="269"/>
        <v>428-2024-12-31</v>
      </c>
    </row>
    <row r="1641" spans="1:18" x14ac:dyDescent="0.3">
      <c r="A1641" s="26">
        <v>429</v>
      </c>
      <c r="B1641" s="5" t="s">
        <v>323</v>
      </c>
      <c r="C1641" s="5" t="s">
        <v>90</v>
      </c>
      <c r="D1641" s="5" t="s">
        <v>8</v>
      </c>
      <c r="E1641" s="5" t="s">
        <v>14</v>
      </c>
      <c r="F1641" s="17">
        <v>45107</v>
      </c>
      <c r="G1641" s="5">
        <f t="shared" si="264"/>
        <v>2023</v>
      </c>
      <c r="H1641" s="5" t="str">
        <f t="shared" si="265"/>
        <v>Junio</v>
      </c>
      <c r="I1641" s="6" t="str">
        <f t="shared" si="268"/>
        <v>2023-1</v>
      </c>
      <c r="J1641" s="5">
        <v>0.76</v>
      </c>
      <c r="K1641" s="12">
        <v>0.3</v>
      </c>
      <c r="L1641" s="8">
        <f>IF(K1641&lt;J1641,1,IF(K1641&gt;J1641,0,J1641/K1641))</f>
        <v>1</v>
      </c>
      <c r="M1641" s="8">
        <f>IF(K1641&lt;J1641,1,IF(K1641&gt;J1641,0,J1641/K1641))</f>
        <v>1</v>
      </c>
      <c r="N1641" s="5" t="s">
        <v>478</v>
      </c>
      <c r="O1641" s="5" t="s">
        <v>478</v>
      </c>
      <c r="P1641" s="16">
        <v>1</v>
      </c>
      <c r="Q1641" s="16">
        <v>1</v>
      </c>
      <c r="R1641" s="5" t="str">
        <f t="shared" si="269"/>
        <v>429-2023-06-30</v>
      </c>
    </row>
    <row r="1642" spans="1:18" x14ac:dyDescent="0.3">
      <c r="A1642" s="39">
        <v>429</v>
      </c>
      <c r="B1642" s="5" t="s">
        <v>323</v>
      </c>
      <c r="C1642" s="5" t="s">
        <v>90</v>
      </c>
      <c r="D1642" s="5" t="s">
        <v>8</v>
      </c>
      <c r="E1642" s="5" t="s">
        <v>14</v>
      </c>
      <c r="F1642" s="6">
        <v>45291</v>
      </c>
      <c r="G1642" s="5">
        <f t="shared" si="264"/>
        <v>2023</v>
      </c>
      <c r="H1642" s="5" t="str">
        <f t="shared" si="265"/>
        <v>Diciembre</v>
      </c>
      <c r="I1642" s="6" t="str">
        <f t="shared" si="268"/>
        <v>2023-2</v>
      </c>
      <c r="J1642" s="5">
        <v>0.76</v>
      </c>
      <c r="K1642" s="12">
        <v>0.76</v>
      </c>
      <c r="L1642" s="8">
        <f>IF(K1642&lt;J1642,1,IF(K1642&gt;J1642,0,J1642/K1642))</f>
        <v>1</v>
      </c>
      <c r="M1642" s="8">
        <f>IF(K1642&lt;J1642,1,IF(K1642&gt;J1642,0,J1642/K1642))</f>
        <v>1</v>
      </c>
      <c r="N1642" s="5" t="s">
        <v>478</v>
      </c>
      <c r="O1642" s="5" t="s">
        <v>478</v>
      </c>
      <c r="P1642" s="16">
        <v>0</v>
      </c>
      <c r="Q1642" s="16">
        <v>0</v>
      </c>
      <c r="R1642" s="5" t="str">
        <f t="shared" si="269"/>
        <v>429-2023-12-31</v>
      </c>
    </row>
    <row r="1643" spans="1:18" x14ac:dyDescent="0.3">
      <c r="A1643" s="5">
        <v>429</v>
      </c>
      <c r="B1643" s="5" t="s">
        <v>323</v>
      </c>
      <c r="C1643" s="5" t="s">
        <v>90</v>
      </c>
      <c r="D1643" s="5" t="s">
        <v>8</v>
      </c>
      <c r="E1643" s="5" t="s">
        <v>14</v>
      </c>
      <c r="F1643" s="6">
        <v>45473</v>
      </c>
      <c r="G1643" s="5">
        <f t="shared" si="264"/>
        <v>2024</v>
      </c>
      <c r="H1643" s="5" t="str">
        <f t="shared" si="265"/>
        <v>Junio</v>
      </c>
      <c r="I1643" s="6" t="str">
        <f t="shared" si="268"/>
        <v>2024-1</v>
      </c>
      <c r="J1643" s="5">
        <v>0.76</v>
      </c>
      <c r="K1643" s="5">
        <v>0.66</v>
      </c>
      <c r="L1643" s="8">
        <f>IF(K1643&lt;J1643,1,IF(K1643&gt;J1643,0,J1643/K1643))</f>
        <v>1</v>
      </c>
      <c r="M1643" s="8">
        <f>IF(K1643&lt;J1643,1,IF(K1643&gt;J1643,0,J1643/K1643))</f>
        <v>1</v>
      </c>
      <c r="N1643" s="5" t="s">
        <v>478</v>
      </c>
      <c r="O1643" s="5" t="s">
        <v>478</v>
      </c>
      <c r="P1643" s="5">
        <v>1</v>
      </c>
      <c r="Q1643" s="5">
        <v>1</v>
      </c>
      <c r="R1643" s="5" t="str">
        <f t="shared" si="269"/>
        <v>429-2024-06-30</v>
      </c>
    </row>
    <row r="1644" spans="1:18" x14ac:dyDescent="0.3">
      <c r="A1644" s="26">
        <v>429</v>
      </c>
      <c r="B1644" s="5" t="s">
        <v>323</v>
      </c>
      <c r="C1644" s="5" t="s">
        <v>90</v>
      </c>
      <c r="D1644" s="5" t="s">
        <v>8</v>
      </c>
      <c r="E1644" s="5" t="s">
        <v>14</v>
      </c>
      <c r="F1644" s="6">
        <v>45657</v>
      </c>
      <c r="G1644" s="5">
        <f t="shared" si="264"/>
        <v>2024</v>
      </c>
      <c r="H1644" s="5" t="str">
        <f t="shared" si="265"/>
        <v>Diciembre</v>
      </c>
      <c r="I1644" s="6" t="str">
        <f t="shared" si="268"/>
        <v>2024-2</v>
      </c>
      <c r="J1644" s="5">
        <v>0.76</v>
      </c>
      <c r="K1644" s="10">
        <v>0.67</v>
      </c>
      <c r="L1644" s="8">
        <f>IF(K1644&lt;J1644,1,IF(K1644&gt;J1644,0,J1644/K1644))</f>
        <v>1</v>
      </c>
      <c r="M1644" s="8">
        <f>IF(K1644&lt;J1644,1,IF(K1644&gt;J1644,0,J1644/K1644))</f>
        <v>1</v>
      </c>
      <c r="N1644" s="5" t="s">
        <v>478</v>
      </c>
      <c r="O1644" s="5" t="s">
        <v>478</v>
      </c>
      <c r="P1644" s="16">
        <v>1</v>
      </c>
      <c r="Q1644" s="16">
        <v>1</v>
      </c>
      <c r="R1644" s="5" t="str">
        <f t="shared" si="269"/>
        <v>429-2024-12-31</v>
      </c>
    </row>
    <row r="1645" spans="1:18" x14ac:dyDescent="0.3">
      <c r="A1645" s="26">
        <v>430</v>
      </c>
      <c r="B1645" s="5" t="s">
        <v>324</v>
      </c>
      <c r="C1645" s="5" t="s">
        <v>84</v>
      </c>
      <c r="D1645" s="5" t="s">
        <v>8</v>
      </c>
      <c r="E1645" s="5" t="s">
        <v>9</v>
      </c>
      <c r="F1645" s="17">
        <v>45107</v>
      </c>
      <c r="G1645" s="5">
        <f t="shared" si="264"/>
        <v>2023</v>
      </c>
      <c r="H1645" s="5" t="str">
        <f t="shared" si="265"/>
        <v>Junio</v>
      </c>
      <c r="I1645" s="6" t="str">
        <f t="shared" si="268"/>
        <v>2023-1</v>
      </c>
      <c r="J1645" s="9">
        <v>95</v>
      </c>
      <c r="K1645" s="9">
        <v>104.6</v>
      </c>
      <c r="L1645" s="15">
        <f t="shared" ref="L1645:L1651" si="273">IFERROR(IF((K1645/J1645)&gt;1.3,1.3,K1645/J1645),"")</f>
        <v>1.1010526315789473</v>
      </c>
      <c r="M1645" s="15">
        <f t="shared" ref="M1645:M1651" si="274">IFERROR(IF((K1645/J1645)&gt;K1645/J1645,1.3,K1645/J1645),"")</f>
        <v>1.1010526315789473</v>
      </c>
      <c r="N1645" s="5" t="s">
        <v>347</v>
      </c>
      <c r="O1645" s="5" t="s">
        <v>347</v>
      </c>
      <c r="P1645" s="16">
        <v>0</v>
      </c>
      <c r="Q1645" s="16">
        <v>0</v>
      </c>
      <c r="R1645" s="5" t="str">
        <f t="shared" si="269"/>
        <v>430-2023-06-30</v>
      </c>
    </row>
    <row r="1646" spans="1:18" x14ac:dyDescent="0.3">
      <c r="A1646" s="39">
        <v>430</v>
      </c>
      <c r="B1646" s="5" t="s">
        <v>324</v>
      </c>
      <c r="C1646" s="5" t="s">
        <v>84</v>
      </c>
      <c r="D1646" s="5" t="s">
        <v>8</v>
      </c>
      <c r="E1646" s="5" t="s">
        <v>9</v>
      </c>
      <c r="F1646" s="6">
        <v>45291</v>
      </c>
      <c r="G1646" s="5">
        <f t="shared" si="264"/>
        <v>2023</v>
      </c>
      <c r="H1646" s="5" t="str">
        <f t="shared" si="265"/>
        <v>Diciembre</v>
      </c>
      <c r="I1646" s="6" t="str">
        <f t="shared" si="268"/>
        <v>2023-2</v>
      </c>
      <c r="J1646" s="9">
        <v>95</v>
      </c>
      <c r="K1646" s="9">
        <v>101.4</v>
      </c>
      <c r="L1646" s="15">
        <f t="shared" si="273"/>
        <v>1.0673684210526317</v>
      </c>
      <c r="M1646" s="15">
        <f t="shared" si="274"/>
        <v>1.0673684210526317</v>
      </c>
      <c r="N1646" s="5" t="s">
        <v>347</v>
      </c>
      <c r="O1646" s="5" t="s">
        <v>347</v>
      </c>
      <c r="P1646" s="16">
        <v>0</v>
      </c>
      <c r="Q1646" s="16">
        <v>0</v>
      </c>
      <c r="R1646" s="5" t="str">
        <f t="shared" si="269"/>
        <v>430-2023-12-31</v>
      </c>
    </row>
    <row r="1647" spans="1:18" x14ac:dyDescent="0.3">
      <c r="A1647" s="39">
        <v>430</v>
      </c>
      <c r="B1647" s="5" t="s">
        <v>324</v>
      </c>
      <c r="C1647" s="5" t="s">
        <v>84</v>
      </c>
      <c r="D1647" s="5" t="s">
        <v>8</v>
      </c>
      <c r="E1647" s="5" t="s">
        <v>9</v>
      </c>
      <c r="F1647" s="6">
        <v>45473</v>
      </c>
      <c r="G1647" s="5">
        <f t="shared" si="264"/>
        <v>2024</v>
      </c>
      <c r="H1647" s="5" t="str">
        <f t="shared" si="265"/>
        <v>Junio</v>
      </c>
      <c r="I1647" s="6" t="str">
        <f t="shared" si="268"/>
        <v>2024-1</v>
      </c>
      <c r="J1647" s="9">
        <v>95</v>
      </c>
      <c r="K1647" s="12">
        <v>101.88</v>
      </c>
      <c r="L1647" s="15">
        <f t="shared" si="273"/>
        <v>1.0724210526315789</v>
      </c>
      <c r="M1647" s="15">
        <f t="shared" si="274"/>
        <v>1.0724210526315789</v>
      </c>
      <c r="N1647" s="5" t="s">
        <v>347</v>
      </c>
      <c r="O1647" s="5" t="s">
        <v>347</v>
      </c>
      <c r="P1647" s="16">
        <v>0</v>
      </c>
      <c r="Q1647" s="16">
        <v>0</v>
      </c>
      <c r="R1647" s="5" t="str">
        <f t="shared" si="269"/>
        <v>430-2024-06-30</v>
      </c>
    </row>
    <row r="1648" spans="1:18" x14ac:dyDescent="0.3">
      <c r="A1648" s="26">
        <v>430</v>
      </c>
      <c r="B1648" s="5" t="s">
        <v>324</v>
      </c>
      <c r="C1648" s="5" t="s">
        <v>84</v>
      </c>
      <c r="D1648" s="5" t="s">
        <v>8</v>
      </c>
      <c r="E1648" s="5" t="s">
        <v>9</v>
      </c>
      <c r="F1648" s="6">
        <v>45657</v>
      </c>
      <c r="G1648" s="5">
        <f t="shared" si="264"/>
        <v>2024</v>
      </c>
      <c r="H1648" s="5" t="str">
        <f t="shared" si="265"/>
        <v>Diciembre</v>
      </c>
      <c r="I1648" s="6" t="str">
        <f t="shared" si="268"/>
        <v>2024-2</v>
      </c>
      <c r="J1648" s="5">
        <v>95</v>
      </c>
      <c r="K1648" s="10">
        <v>102.93749197103701</v>
      </c>
      <c r="L1648" s="15">
        <f t="shared" si="273"/>
        <v>1.0835525470635474</v>
      </c>
      <c r="M1648" s="15">
        <f t="shared" si="274"/>
        <v>1.0835525470635474</v>
      </c>
      <c r="N1648" s="5" t="s">
        <v>347</v>
      </c>
      <c r="O1648" s="5" t="s">
        <v>347</v>
      </c>
      <c r="P1648" s="16">
        <v>0</v>
      </c>
      <c r="Q1648" s="16">
        <v>0</v>
      </c>
      <c r="R1648" s="5" t="str">
        <f t="shared" si="269"/>
        <v>430-2024-12-31</v>
      </c>
    </row>
    <row r="1649" spans="1:18" x14ac:dyDescent="0.3">
      <c r="A1649" s="26">
        <v>431</v>
      </c>
      <c r="B1649" s="5" t="s">
        <v>325</v>
      </c>
      <c r="C1649" s="5" t="s">
        <v>24</v>
      </c>
      <c r="D1649" s="5" t="s">
        <v>11</v>
      </c>
      <c r="E1649" s="5" t="s">
        <v>9</v>
      </c>
      <c r="F1649" s="6">
        <v>45199</v>
      </c>
      <c r="G1649" s="5">
        <f t="shared" si="264"/>
        <v>2023</v>
      </c>
      <c r="H1649" s="5" t="str">
        <f t="shared" si="265"/>
        <v>Septiembre</v>
      </c>
      <c r="I1649" s="6" t="str">
        <f t="shared" si="268"/>
        <v>2023-2</v>
      </c>
      <c r="J1649" s="5">
        <v>100</v>
      </c>
      <c r="K1649" s="9">
        <v>100</v>
      </c>
      <c r="L1649" s="15">
        <f t="shared" si="273"/>
        <v>1</v>
      </c>
      <c r="M1649" s="15">
        <f t="shared" si="274"/>
        <v>1</v>
      </c>
      <c r="N1649" s="5" t="s">
        <v>347</v>
      </c>
      <c r="O1649" s="5" t="s">
        <v>347</v>
      </c>
      <c r="P1649" s="16">
        <v>0</v>
      </c>
      <c r="Q1649" s="16">
        <v>0</v>
      </c>
      <c r="R1649" s="5" t="str">
        <f t="shared" si="269"/>
        <v>431-2023-09-30</v>
      </c>
    </row>
    <row r="1650" spans="1:18" x14ac:dyDescent="0.3">
      <c r="A1650" s="39">
        <v>431</v>
      </c>
      <c r="B1650" s="5" t="s">
        <v>325</v>
      </c>
      <c r="C1650" s="5" t="s">
        <v>24</v>
      </c>
      <c r="D1650" s="5" t="s">
        <v>11</v>
      </c>
      <c r="E1650" s="5" t="s">
        <v>9</v>
      </c>
      <c r="F1650" s="6">
        <v>45291</v>
      </c>
      <c r="G1650" s="5">
        <f t="shared" si="264"/>
        <v>2023</v>
      </c>
      <c r="H1650" s="5" t="str">
        <f t="shared" si="265"/>
        <v>Diciembre</v>
      </c>
      <c r="I1650" s="6" t="str">
        <f t="shared" si="268"/>
        <v>2023-2</v>
      </c>
      <c r="J1650" s="5">
        <v>100</v>
      </c>
      <c r="K1650" s="9">
        <v>100</v>
      </c>
      <c r="L1650" s="15">
        <f t="shared" si="273"/>
        <v>1</v>
      </c>
      <c r="M1650" s="15">
        <f t="shared" si="274"/>
        <v>1</v>
      </c>
      <c r="N1650" s="5" t="s">
        <v>347</v>
      </c>
      <c r="O1650" s="5" t="s">
        <v>347</v>
      </c>
      <c r="P1650" s="16">
        <v>0</v>
      </c>
      <c r="Q1650" s="16">
        <v>0</v>
      </c>
      <c r="R1650" s="5" t="str">
        <f t="shared" si="269"/>
        <v>431-2023-12-31</v>
      </c>
    </row>
    <row r="1651" spans="1:18" x14ac:dyDescent="0.3">
      <c r="A1651" s="26">
        <v>431</v>
      </c>
      <c r="B1651" s="5" t="s">
        <v>325</v>
      </c>
      <c r="C1651" s="5" t="s">
        <v>24</v>
      </c>
      <c r="D1651" s="5" t="s">
        <v>11</v>
      </c>
      <c r="E1651" s="5" t="s">
        <v>9</v>
      </c>
      <c r="F1651" s="6">
        <v>45382</v>
      </c>
      <c r="G1651" s="5">
        <f t="shared" si="264"/>
        <v>2024</v>
      </c>
      <c r="H1651" s="5" t="str">
        <f t="shared" si="265"/>
        <v>Marzo</v>
      </c>
      <c r="I1651" s="6" t="str">
        <f t="shared" si="268"/>
        <v>2024-1</v>
      </c>
      <c r="J1651" s="5">
        <v>100</v>
      </c>
      <c r="K1651" s="10">
        <v>100</v>
      </c>
      <c r="L1651" s="15">
        <f t="shared" si="273"/>
        <v>1</v>
      </c>
      <c r="M1651" s="15">
        <f t="shared" si="274"/>
        <v>1</v>
      </c>
      <c r="N1651" s="5" t="s">
        <v>347</v>
      </c>
      <c r="O1651" s="5" t="s">
        <v>347</v>
      </c>
      <c r="P1651" s="16">
        <v>0</v>
      </c>
      <c r="Q1651" s="16">
        <v>0</v>
      </c>
      <c r="R1651" s="5" t="str">
        <f t="shared" si="269"/>
        <v>431-2024-03-31</v>
      </c>
    </row>
    <row r="1652" spans="1:18" x14ac:dyDescent="0.3">
      <c r="A1652" s="5">
        <v>431</v>
      </c>
      <c r="B1652" s="5" t="s">
        <v>325</v>
      </c>
      <c r="C1652" s="5" t="s">
        <v>24</v>
      </c>
      <c r="D1652" s="5" t="s">
        <v>11</v>
      </c>
      <c r="E1652" s="5" t="s">
        <v>9</v>
      </c>
      <c r="F1652" s="6">
        <v>45473</v>
      </c>
      <c r="G1652" s="5">
        <f t="shared" si="264"/>
        <v>2024</v>
      </c>
      <c r="H1652" s="5" t="str">
        <f t="shared" si="265"/>
        <v>Junio</v>
      </c>
      <c r="I1652" s="6" t="str">
        <f t="shared" si="268"/>
        <v>2024-1</v>
      </c>
      <c r="J1652" s="5">
        <v>100</v>
      </c>
      <c r="K1652" s="5">
        <v>100</v>
      </c>
      <c r="L1652" s="15">
        <v>1</v>
      </c>
      <c r="M1652" s="15">
        <v>1</v>
      </c>
      <c r="N1652" s="5" t="s">
        <v>347</v>
      </c>
      <c r="O1652" s="5" t="s">
        <v>347</v>
      </c>
      <c r="P1652" s="5">
        <v>0</v>
      </c>
      <c r="Q1652" s="5">
        <v>0</v>
      </c>
      <c r="R1652" s="5" t="str">
        <f t="shared" si="269"/>
        <v>431-2024-06-30</v>
      </c>
    </row>
    <row r="1653" spans="1:18" x14ac:dyDescent="0.3">
      <c r="A1653" s="26">
        <v>431</v>
      </c>
      <c r="B1653" s="5" t="s">
        <v>325</v>
      </c>
      <c r="C1653" s="5" t="s">
        <v>24</v>
      </c>
      <c r="D1653" s="5" t="s">
        <v>11</v>
      </c>
      <c r="E1653" s="5" t="s">
        <v>9</v>
      </c>
      <c r="F1653" s="6">
        <v>45565</v>
      </c>
      <c r="G1653" s="5">
        <f t="shared" si="264"/>
        <v>2024</v>
      </c>
      <c r="H1653" s="5" t="str">
        <f t="shared" si="265"/>
        <v>Septiembre</v>
      </c>
      <c r="I1653" s="6" t="str">
        <f t="shared" si="268"/>
        <v>2024-2</v>
      </c>
      <c r="J1653" s="5">
        <v>100</v>
      </c>
      <c r="K1653" s="10">
        <v>100</v>
      </c>
      <c r="L1653" s="15">
        <f>IFERROR(IF((K1653/J1653)&gt;1.3,1.3,K1653/J1653),"")</f>
        <v>1</v>
      </c>
      <c r="M1653" s="15">
        <f>IFERROR(IF((K1653/J1653)&gt;K1653/J1653,1.3,K1653/J1653),"")</f>
        <v>1</v>
      </c>
      <c r="N1653" s="5" t="s">
        <v>347</v>
      </c>
      <c r="O1653" s="5" t="s">
        <v>347</v>
      </c>
      <c r="P1653" s="16">
        <v>0</v>
      </c>
      <c r="Q1653" s="16">
        <v>0</v>
      </c>
      <c r="R1653" s="5" t="str">
        <f t="shared" si="269"/>
        <v>431-2024-09-30</v>
      </c>
    </row>
    <row r="1654" spans="1:18" x14ac:dyDescent="0.3">
      <c r="A1654" s="26">
        <v>431</v>
      </c>
      <c r="B1654" s="5" t="s">
        <v>325</v>
      </c>
      <c r="C1654" s="5" t="s">
        <v>24</v>
      </c>
      <c r="D1654" s="5" t="s">
        <v>11</v>
      </c>
      <c r="E1654" s="5" t="s">
        <v>9</v>
      </c>
      <c r="F1654" s="6">
        <v>45657</v>
      </c>
      <c r="G1654" s="5">
        <f t="shared" si="264"/>
        <v>2024</v>
      </c>
      <c r="H1654" s="5" t="str">
        <f t="shared" si="265"/>
        <v>Diciembre</v>
      </c>
      <c r="I1654" s="6" t="str">
        <f t="shared" si="268"/>
        <v>2024-2</v>
      </c>
      <c r="J1654" s="5">
        <v>100</v>
      </c>
      <c r="K1654" s="10">
        <v>100</v>
      </c>
      <c r="L1654" s="15">
        <f>IFERROR(IF((K1654/J1654)&gt;1.3,1.3,K1654/J1654),"")</f>
        <v>1</v>
      </c>
      <c r="M1654" s="15">
        <f>IFERROR(IF((K1654/J1654)&gt;K1654/J1654,1.3,K1654/J1654),"")</f>
        <v>1</v>
      </c>
      <c r="N1654" s="5" t="s">
        <v>347</v>
      </c>
      <c r="O1654" s="5" t="s">
        <v>347</v>
      </c>
      <c r="P1654" s="16">
        <v>0</v>
      </c>
      <c r="Q1654" s="16">
        <v>0</v>
      </c>
      <c r="R1654" s="5" t="str">
        <f t="shared" si="269"/>
        <v>431-2024-12-31</v>
      </c>
    </row>
    <row r="1655" spans="1:18" x14ac:dyDescent="0.3">
      <c r="A1655" s="43">
        <v>432</v>
      </c>
      <c r="B1655" s="5" t="s">
        <v>326</v>
      </c>
      <c r="C1655" s="5" t="s">
        <v>24</v>
      </c>
      <c r="D1655" s="5" t="s">
        <v>11</v>
      </c>
      <c r="E1655" s="5" t="s">
        <v>9</v>
      </c>
      <c r="F1655" s="6">
        <v>45199</v>
      </c>
      <c r="G1655" s="5">
        <f t="shared" si="264"/>
        <v>2023</v>
      </c>
      <c r="H1655" s="5" t="str">
        <f t="shared" si="265"/>
        <v>Septiembre</v>
      </c>
      <c r="I1655" s="6" t="str">
        <f t="shared" si="268"/>
        <v>2023-2</v>
      </c>
      <c r="J1655" s="5">
        <v>90</v>
      </c>
      <c r="K1655" s="9">
        <v>100</v>
      </c>
      <c r="L1655" s="15">
        <f>IFERROR(IF((K1655/J1655)&gt;1.3,1.3,K1655/J1655),"")</f>
        <v>1.1111111111111112</v>
      </c>
      <c r="M1655" s="15">
        <f>IFERROR(IF((K1655/J1655)&gt;K1655/J1655,1.3,K1655/J1655),"")</f>
        <v>1.1111111111111112</v>
      </c>
      <c r="N1655" s="5" t="s">
        <v>347</v>
      </c>
      <c r="O1655" s="5" t="s">
        <v>347</v>
      </c>
      <c r="P1655" s="16">
        <v>0</v>
      </c>
      <c r="Q1655" s="16">
        <v>0</v>
      </c>
      <c r="R1655" s="5" t="str">
        <f t="shared" si="269"/>
        <v>432-2023-09-30</v>
      </c>
    </row>
    <row r="1656" spans="1:18" x14ac:dyDescent="0.3">
      <c r="A1656" s="39">
        <v>432</v>
      </c>
      <c r="B1656" s="5" t="s">
        <v>326</v>
      </c>
      <c r="C1656" s="5" t="s">
        <v>24</v>
      </c>
      <c r="D1656" s="5" t="s">
        <v>11</v>
      </c>
      <c r="E1656" s="5" t="s">
        <v>9</v>
      </c>
      <c r="F1656" s="6">
        <v>45291</v>
      </c>
      <c r="G1656" s="5">
        <f t="shared" si="264"/>
        <v>2023</v>
      </c>
      <c r="H1656" s="5" t="str">
        <f t="shared" si="265"/>
        <v>Diciembre</v>
      </c>
      <c r="I1656" s="6" t="str">
        <f t="shared" si="268"/>
        <v>2023-2</v>
      </c>
      <c r="J1656" s="5">
        <v>90</v>
      </c>
      <c r="K1656" s="9">
        <v>98.77</v>
      </c>
      <c r="L1656" s="15">
        <f>IFERROR(IF((K1656/J1656)&gt;1.3,1.3,K1656/J1656),"")</f>
        <v>1.0974444444444444</v>
      </c>
      <c r="M1656" s="15">
        <f>IFERROR(IF((K1656/J1656)&gt;K1656/J1656,1.3,K1656/J1656),"")</f>
        <v>1.0974444444444444</v>
      </c>
      <c r="N1656" s="5" t="s">
        <v>347</v>
      </c>
      <c r="O1656" s="5" t="s">
        <v>347</v>
      </c>
      <c r="P1656" s="16">
        <v>0</v>
      </c>
      <c r="Q1656" s="16">
        <v>0</v>
      </c>
      <c r="R1656" s="5" t="str">
        <f t="shared" si="269"/>
        <v>432-2023-12-31</v>
      </c>
    </row>
    <row r="1657" spans="1:18" x14ac:dyDescent="0.3">
      <c r="A1657" s="26">
        <v>432</v>
      </c>
      <c r="B1657" s="5" t="s">
        <v>326</v>
      </c>
      <c r="C1657" s="5" t="s">
        <v>24</v>
      </c>
      <c r="D1657" s="5" t="s">
        <v>11</v>
      </c>
      <c r="E1657" s="5" t="s">
        <v>9</v>
      </c>
      <c r="F1657" s="6">
        <v>45382</v>
      </c>
      <c r="G1657" s="5">
        <f t="shared" si="264"/>
        <v>2024</v>
      </c>
      <c r="H1657" s="5" t="str">
        <f t="shared" si="265"/>
        <v>Marzo</v>
      </c>
      <c r="I1657" s="6" t="str">
        <f t="shared" si="268"/>
        <v>2024-1</v>
      </c>
      <c r="J1657" s="5">
        <v>90</v>
      </c>
      <c r="K1657" s="10">
        <v>100</v>
      </c>
      <c r="L1657" s="15">
        <f>IFERROR(IF((K1657/J1657)&gt;1.3,1.3,K1657/J1657),"")</f>
        <v>1.1111111111111112</v>
      </c>
      <c r="M1657" s="15">
        <f>IFERROR(IF((K1657/J1657)&gt;K1657/J1657,1.3,K1657/J1657),"")</f>
        <v>1.1111111111111112</v>
      </c>
      <c r="N1657" s="5" t="s">
        <v>347</v>
      </c>
      <c r="O1657" s="5" t="s">
        <v>347</v>
      </c>
      <c r="P1657" s="16">
        <v>0</v>
      </c>
      <c r="Q1657" s="16">
        <v>0</v>
      </c>
      <c r="R1657" s="5" t="str">
        <f t="shared" si="269"/>
        <v>432-2024-03-31</v>
      </c>
    </row>
    <row r="1658" spans="1:18" x14ac:dyDescent="0.3">
      <c r="A1658" s="5">
        <v>432</v>
      </c>
      <c r="B1658" s="5" t="s">
        <v>326</v>
      </c>
      <c r="C1658" s="5" t="s">
        <v>24</v>
      </c>
      <c r="D1658" s="5" t="s">
        <v>11</v>
      </c>
      <c r="E1658" s="5" t="s">
        <v>9</v>
      </c>
      <c r="F1658" s="6">
        <v>45473</v>
      </c>
      <c r="G1658" s="5">
        <f t="shared" si="264"/>
        <v>2024</v>
      </c>
      <c r="H1658" s="5" t="str">
        <f t="shared" si="265"/>
        <v>Junio</v>
      </c>
      <c r="I1658" s="6" t="str">
        <f t="shared" si="268"/>
        <v>2024-1</v>
      </c>
      <c r="J1658" s="5">
        <v>90</v>
      </c>
      <c r="K1658" s="5">
        <v>100</v>
      </c>
      <c r="L1658" s="15">
        <v>1</v>
      </c>
      <c r="M1658" s="15">
        <v>1.1111111111111112</v>
      </c>
      <c r="N1658" s="5" t="s">
        <v>347</v>
      </c>
      <c r="O1658" s="5" t="s">
        <v>347</v>
      </c>
      <c r="P1658" s="5">
        <v>0</v>
      </c>
      <c r="Q1658" s="5">
        <v>0</v>
      </c>
      <c r="R1658" s="5" t="str">
        <f t="shared" si="269"/>
        <v>432-2024-06-30</v>
      </c>
    </row>
    <row r="1659" spans="1:18" x14ac:dyDescent="0.3">
      <c r="A1659" s="26">
        <v>432</v>
      </c>
      <c r="B1659" s="5" t="s">
        <v>326</v>
      </c>
      <c r="C1659" s="5" t="s">
        <v>24</v>
      </c>
      <c r="D1659" s="5" t="s">
        <v>11</v>
      </c>
      <c r="E1659" s="5" t="s">
        <v>9</v>
      </c>
      <c r="F1659" s="6">
        <v>45565</v>
      </c>
      <c r="G1659" s="5">
        <f t="shared" si="264"/>
        <v>2024</v>
      </c>
      <c r="H1659" s="5" t="str">
        <f t="shared" si="265"/>
        <v>Septiembre</v>
      </c>
      <c r="I1659" s="6" t="str">
        <f t="shared" si="268"/>
        <v>2024-2</v>
      </c>
      <c r="J1659" s="5">
        <v>90</v>
      </c>
      <c r="K1659" s="10">
        <v>100</v>
      </c>
      <c r="L1659" s="15">
        <f>IFERROR(IF((K1659/J1659)&gt;1.3,1.3,K1659/J1659),"")</f>
        <v>1.1111111111111112</v>
      </c>
      <c r="M1659" s="15">
        <f>IFERROR(IF((K1659/J1659)&gt;K1659/J1659,1.3,K1659/J1659),"")</f>
        <v>1.1111111111111112</v>
      </c>
      <c r="N1659" s="5" t="s">
        <v>347</v>
      </c>
      <c r="O1659" s="5" t="s">
        <v>347</v>
      </c>
      <c r="P1659" s="16">
        <v>0</v>
      </c>
      <c r="Q1659" s="16">
        <v>0</v>
      </c>
      <c r="R1659" s="5" t="str">
        <f t="shared" si="269"/>
        <v>432-2024-09-30</v>
      </c>
    </row>
    <row r="1660" spans="1:18" x14ac:dyDescent="0.3">
      <c r="A1660" s="26">
        <v>432</v>
      </c>
      <c r="B1660" s="5" t="s">
        <v>326</v>
      </c>
      <c r="C1660" s="5" t="s">
        <v>24</v>
      </c>
      <c r="D1660" s="5" t="s">
        <v>11</v>
      </c>
      <c r="E1660" s="5" t="s">
        <v>9</v>
      </c>
      <c r="F1660" s="6">
        <v>45657</v>
      </c>
      <c r="G1660" s="5">
        <f t="shared" si="264"/>
        <v>2024</v>
      </c>
      <c r="H1660" s="5" t="str">
        <f t="shared" si="265"/>
        <v>Diciembre</v>
      </c>
      <c r="I1660" s="6" t="str">
        <f t="shared" si="268"/>
        <v>2024-2</v>
      </c>
      <c r="J1660" s="5">
        <v>90</v>
      </c>
      <c r="K1660" s="10">
        <v>100</v>
      </c>
      <c r="L1660" s="15">
        <f>IFERROR(IF((K1660/J1660)&gt;1.3,1.3,K1660/J1660),"")</f>
        <v>1.1111111111111112</v>
      </c>
      <c r="M1660" s="15">
        <f>IFERROR(IF((K1660/J1660)&gt;K1660/J1660,1.3,K1660/J1660),"")</f>
        <v>1.1111111111111112</v>
      </c>
      <c r="N1660" s="5" t="s">
        <v>347</v>
      </c>
      <c r="O1660" s="5" t="s">
        <v>347</v>
      </c>
      <c r="P1660" s="16">
        <v>0</v>
      </c>
      <c r="Q1660" s="16">
        <v>0</v>
      </c>
      <c r="R1660" s="5" t="str">
        <f t="shared" si="269"/>
        <v>432-2024-12-31</v>
      </c>
    </row>
    <row r="1661" spans="1:18" x14ac:dyDescent="0.3">
      <c r="A1661" s="26">
        <v>433</v>
      </c>
      <c r="B1661" s="5" t="s">
        <v>416</v>
      </c>
      <c r="C1661" s="5" t="s">
        <v>90</v>
      </c>
      <c r="D1661" s="5" t="s">
        <v>8</v>
      </c>
      <c r="E1661" s="5" t="s">
        <v>14</v>
      </c>
      <c r="F1661" s="6">
        <v>45107</v>
      </c>
      <c r="G1661" s="5">
        <f t="shared" si="264"/>
        <v>2023</v>
      </c>
      <c r="H1661" s="5" t="str">
        <f t="shared" si="265"/>
        <v>Junio</v>
      </c>
      <c r="I1661" s="6" t="str">
        <f t="shared" si="268"/>
        <v>2023-1</v>
      </c>
      <c r="J1661" s="5">
        <v>0.05</v>
      </c>
      <c r="K1661" s="12">
        <v>0.02</v>
      </c>
      <c r="L1661" s="8">
        <f>IF(K1661&lt;J1661,1,IF(K1661&gt;J1661,0,J1661/K1661))</f>
        <v>1</v>
      </c>
      <c r="M1661" s="8">
        <f>IF(K1661&lt;J1661,1,IF(K1661&gt;J1661,0,J1661/K1661))</f>
        <v>1</v>
      </c>
      <c r="N1661" s="5" t="s">
        <v>478</v>
      </c>
      <c r="O1661" s="5" t="s">
        <v>478</v>
      </c>
      <c r="P1661" s="16">
        <v>1</v>
      </c>
      <c r="Q1661" s="16">
        <v>2</v>
      </c>
      <c r="R1661" s="5" t="str">
        <f t="shared" si="269"/>
        <v>433-2023-06-30</v>
      </c>
    </row>
    <row r="1662" spans="1:18" x14ac:dyDescent="0.3">
      <c r="A1662" s="39">
        <v>433</v>
      </c>
      <c r="B1662" s="5" t="s">
        <v>416</v>
      </c>
      <c r="C1662" s="5" t="s">
        <v>90</v>
      </c>
      <c r="D1662" s="5" t="s">
        <v>8</v>
      </c>
      <c r="E1662" s="5" t="s">
        <v>14</v>
      </c>
      <c r="F1662" s="6">
        <v>45291</v>
      </c>
      <c r="G1662" s="5">
        <f t="shared" si="264"/>
        <v>2023</v>
      </c>
      <c r="H1662" s="5" t="str">
        <f t="shared" si="265"/>
        <v>Diciembre</v>
      </c>
      <c r="I1662" s="6" t="str">
        <f t="shared" si="268"/>
        <v>2023-2</v>
      </c>
      <c r="J1662" s="5">
        <v>0.05</v>
      </c>
      <c r="K1662" s="12">
        <v>0.06</v>
      </c>
      <c r="L1662" s="8">
        <f>J1662/K1662</f>
        <v>0.83333333333333337</v>
      </c>
      <c r="M1662" s="8">
        <f>J1662/K1662</f>
        <v>0.83333333333333337</v>
      </c>
      <c r="N1662" s="5" t="s">
        <v>478</v>
      </c>
      <c r="O1662" s="5" t="s">
        <v>478</v>
      </c>
      <c r="P1662" s="16">
        <v>0</v>
      </c>
      <c r="Q1662" s="16">
        <v>0</v>
      </c>
      <c r="R1662" s="5" t="str">
        <f t="shared" si="269"/>
        <v>433-2023-12-31</v>
      </c>
    </row>
    <row r="1663" spans="1:18" x14ac:dyDescent="0.3">
      <c r="A1663" s="5">
        <v>433</v>
      </c>
      <c r="B1663" s="5" t="s">
        <v>416</v>
      </c>
      <c r="C1663" s="5" t="s">
        <v>90</v>
      </c>
      <c r="D1663" s="5" t="s">
        <v>8</v>
      </c>
      <c r="E1663" s="5" t="s">
        <v>14</v>
      </c>
      <c r="F1663" s="6">
        <v>45473</v>
      </c>
      <c r="G1663" s="5">
        <f t="shared" si="264"/>
        <v>2024</v>
      </c>
      <c r="H1663" s="5" t="str">
        <f t="shared" si="265"/>
        <v>Junio</v>
      </c>
      <c r="I1663" s="6" t="str">
        <f t="shared" si="268"/>
        <v>2024-1</v>
      </c>
      <c r="J1663" s="5">
        <v>0.05</v>
      </c>
      <c r="K1663" s="5">
        <v>7.0000000000000007E-2</v>
      </c>
      <c r="L1663" s="8">
        <f>J1663/K1663</f>
        <v>0.7142857142857143</v>
      </c>
      <c r="M1663" s="8">
        <f>J1663/K1663</f>
        <v>0.7142857142857143</v>
      </c>
      <c r="N1663" s="5" t="s">
        <v>478</v>
      </c>
      <c r="O1663" s="5" t="s">
        <v>478</v>
      </c>
      <c r="P1663" s="5">
        <v>2</v>
      </c>
      <c r="Q1663" s="5">
        <v>2</v>
      </c>
      <c r="R1663" s="5" t="str">
        <f t="shared" si="269"/>
        <v>433-2024-06-30</v>
      </c>
    </row>
    <row r="1664" spans="1:18" x14ac:dyDescent="0.3">
      <c r="A1664" s="26">
        <v>433</v>
      </c>
      <c r="B1664" s="5" t="s">
        <v>416</v>
      </c>
      <c r="C1664" s="5" t="s">
        <v>90</v>
      </c>
      <c r="D1664" s="5" t="s">
        <v>8</v>
      </c>
      <c r="E1664" s="5" t="s">
        <v>14</v>
      </c>
      <c r="F1664" s="6">
        <v>45657</v>
      </c>
      <c r="G1664" s="5">
        <f t="shared" si="264"/>
        <v>2024</v>
      </c>
      <c r="H1664" s="5" t="str">
        <f t="shared" si="265"/>
        <v>Diciembre</v>
      </c>
      <c r="I1664" s="6" t="str">
        <f t="shared" si="268"/>
        <v>2024-2</v>
      </c>
      <c r="J1664" s="5">
        <v>0.05</v>
      </c>
      <c r="K1664" s="10">
        <v>0.14000000000000001</v>
      </c>
      <c r="L1664" s="8">
        <f>IF(K1664&lt;J1664,1,IF(K1664&gt;J1664,0,J1664/K1664))</f>
        <v>0</v>
      </c>
      <c r="M1664" s="8">
        <f>IF(K1664&lt;J1664,1,IF(K1664&gt;J1664,0,J1664/K1664))</f>
        <v>0</v>
      </c>
      <c r="N1664" s="5" t="s">
        <v>478</v>
      </c>
      <c r="O1664" s="5" t="s">
        <v>478</v>
      </c>
      <c r="P1664" s="16">
        <v>2</v>
      </c>
      <c r="Q1664" s="16">
        <v>2</v>
      </c>
      <c r="R1664" s="5" t="str">
        <f t="shared" si="269"/>
        <v>433-2024-12-31</v>
      </c>
    </row>
    <row r="1665" spans="1:18" x14ac:dyDescent="0.3">
      <c r="A1665" s="39">
        <v>434</v>
      </c>
      <c r="B1665" s="5" t="s">
        <v>735</v>
      </c>
      <c r="C1665" s="5" t="s">
        <v>90</v>
      </c>
      <c r="D1665" s="5" t="s">
        <v>18</v>
      </c>
      <c r="E1665" s="5" t="s">
        <v>14</v>
      </c>
      <c r="F1665" s="6">
        <v>45199</v>
      </c>
      <c r="G1665" s="5">
        <f t="shared" si="264"/>
        <v>2023</v>
      </c>
      <c r="H1665" s="5" t="str">
        <f t="shared" si="265"/>
        <v>Septiembre</v>
      </c>
      <c r="I1665" s="6" t="str">
        <f t="shared" si="268"/>
        <v>2023-2</v>
      </c>
      <c r="J1665" s="5">
        <v>200</v>
      </c>
      <c r="K1665" s="9">
        <v>90.7</v>
      </c>
      <c r="L1665" s="15">
        <f>IF(K1665&lt;J1665,1,IF(K1665&gt;J1665,0,J1665/K1665))</f>
        <v>1</v>
      </c>
      <c r="M1665" s="8">
        <f>IF(K1665&lt;J1665,1,IF(K1665&gt;J1665,0,J1665/K1665))</f>
        <v>1</v>
      </c>
      <c r="N1665" s="5" t="s">
        <v>492</v>
      </c>
      <c r="O1665" s="5" t="s">
        <v>492</v>
      </c>
      <c r="P1665" s="16">
        <v>0</v>
      </c>
      <c r="Q1665" s="16">
        <v>1</v>
      </c>
      <c r="R1665" s="5" t="str">
        <f t="shared" si="269"/>
        <v>434-2023-09-30</v>
      </c>
    </row>
    <row r="1666" spans="1:18" x14ac:dyDescent="0.3">
      <c r="A1666" s="39">
        <v>434</v>
      </c>
      <c r="B1666" s="5" t="s">
        <v>735</v>
      </c>
      <c r="C1666" s="5" t="s">
        <v>90</v>
      </c>
      <c r="D1666" s="5" t="s">
        <v>18</v>
      </c>
      <c r="E1666" s="5" t="s">
        <v>14</v>
      </c>
      <c r="F1666" s="6">
        <v>45230</v>
      </c>
      <c r="G1666" s="5">
        <f t="shared" ref="G1666:G1729" si="275">YEAR(F1666)</f>
        <v>2023</v>
      </c>
      <c r="H1666" s="5" t="str">
        <f t="shared" ref="H1666:H1729" si="276">PROPER(TEXT(F1666,"mmmm"))</f>
        <v>Octubre</v>
      </c>
      <c r="I1666" s="6" t="str">
        <f t="shared" si="268"/>
        <v>2023-2</v>
      </c>
      <c r="J1666" s="5">
        <v>200</v>
      </c>
      <c r="K1666" s="9">
        <v>182.9</v>
      </c>
      <c r="L1666" s="15">
        <f t="shared" ref="L1666:L1680" si="277">IF(K1666&lt;J1666,1,IF(K1666&gt;J1666,0,J1666/K1666))</f>
        <v>1</v>
      </c>
      <c r="M1666" s="8">
        <f t="shared" ref="M1666:M1680" si="278">IF(K1666&lt;J1666,1,IF(K1666&gt;J1666,0,J1666/K1666))</f>
        <v>1</v>
      </c>
      <c r="N1666" s="5" t="s">
        <v>492</v>
      </c>
      <c r="O1666" s="5" t="s">
        <v>492</v>
      </c>
      <c r="P1666" s="16">
        <v>0</v>
      </c>
      <c r="Q1666" s="16">
        <v>0</v>
      </c>
      <c r="R1666" s="5" t="str">
        <f t="shared" si="269"/>
        <v>434-2023-10-31</v>
      </c>
    </row>
    <row r="1667" spans="1:18" x14ac:dyDescent="0.3">
      <c r="A1667" s="39">
        <v>434</v>
      </c>
      <c r="B1667" s="5" t="s">
        <v>735</v>
      </c>
      <c r="C1667" s="5" t="s">
        <v>90</v>
      </c>
      <c r="D1667" s="5" t="s">
        <v>18</v>
      </c>
      <c r="E1667" s="5" t="s">
        <v>14</v>
      </c>
      <c r="F1667" s="6">
        <v>45260</v>
      </c>
      <c r="G1667" s="5">
        <f t="shared" si="275"/>
        <v>2023</v>
      </c>
      <c r="H1667" s="5" t="str">
        <f t="shared" si="276"/>
        <v>Noviembre</v>
      </c>
      <c r="I1667" s="6" t="str">
        <f t="shared" si="268"/>
        <v>2023-2</v>
      </c>
      <c r="J1667" s="5">
        <v>200</v>
      </c>
      <c r="K1667" s="9">
        <v>141.19999999999999</v>
      </c>
      <c r="L1667" s="15">
        <f>IF(K1667&lt;J1667,1,IF(K1667&gt;J1667,0,J1667/K1667))</f>
        <v>1</v>
      </c>
      <c r="M1667" s="8">
        <f t="shared" si="278"/>
        <v>1</v>
      </c>
      <c r="N1667" s="5" t="s">
        <v>492</v>
      </c>
      <c r="O1667" s="5" t="s">
        <v>492</v>
      </c>
      <c r="P1667" s="16">
        <v>0</v>
      </c>
      <c r="Q1667" s="16">
        <v>0</v>
      </c>
      <c r="R1667" s="5" t="str">
        <f t="shared" si="269"/>
        <v>434-2023-11-30</v>
      </c>
    </row>
    <row r="1668" spans="1:18" x14ac:dyDescent="0.3">
      <c r="A1668" s="39">
        <v>434</v>
      </c>
      <c r="B1668" s="5" t="s">
        <v>735</v>
      </c>
      <c r="C1668" s="5" t="s">
        <v>90</v>
      </c>
      <c r="D1668" s="5" t="s">
        <v>18</v>
      </c>
      <c r="E1668" s="5" t="s">
        <v>14</v>
      </c>
      <c r="F1668" s="6">
        <v>45291</v>
      </c>
      <c r="G1668" s="5">
        <f t="shared" si="275"/>
        <v>2023</v>
      </c>
      <c r="H1668" s="5" t="str">
        <f t="shared" si="276"/>
        <v>Diciembre</v>
      </c>
      <c r="I1668" s="6" t="str">
        <f t="shared" si="268"/>
        <v>2023-2</v>
      </c>
      <c r="J1668" s="5">
        <v>200</v>
      </c>
      <c r="K1668" s="9">
        <v>415.7</v>
      </c>
      <c r="L1668" s="15">
        <f t="shared" si="277"/>
        <v>0</v>
      </c>
      <c r="M1668" s="8">
        <f t="shared" si="278"/>
        <v>0</v>
      </c>
      <c r="N1668" s="5" t="s">
        <v>492</v>
      </c>
      <c r="O1668" s="5" t="s">
        <v>492</v>
      </c>
      <c r="P1668" s="16">
        <v>0</v>
      </c>
      <c r="Q1668" s="16">
        <v>0</v>
      </c>
      <c r="R1668" s="5" t="str">
        <f t="shared" si="269"/>
        <v>434-2023-12-31</v>
      </c>
    </row>
    <row r="1669" spans="1:18" x14ac:dyDescent="0.3">
      <c r="A1669" s="26">
        <v>434</v>
      </c>
      <c r="B1669" s="5" t="s">
        <v>735</v>
      </c>
      <c r="C1669" s="5" t="s">
        <v>90</v>
      </c>
      <c r="D1669" s="5" t="s">
        <v>18</v>
      </c>
      <c r="E1669" s="5" t="s">
        <v>14</v>
      </c>
      <c r="F1669" s="6">
        <v>45322</v>
      </c>
      <c r="G1669" s="5">
        <f t="shared" si="275"/>
        <v>2024</v>
      </c>
      <c r="H1669" s="5" t="str">
        <f t="shared" si="276"/>
        <v>Enero</v>
      </c>
      <c r="I1669" s="6" t="str">
        <f t="shared" si="268"/>
        <v>2024-1</v>
      </c>
      <c r="J1669" s="5">
        <v>200</v>
      </c>
      <c r="K1669" s="10">
        <v>9.65</v>
      </c>
      <c r="L1669" s="15">
        <f t="shared" si="277"/>
        <v>1</v>
      </c>
      <c r="M1669" s="8">
        <f t="shared" si="278"/>
        <v>1</v>
      </c>
      <c r="N1669" s="5" t="s">
        <v>492</v>
      </c>
      <c r="O1669" s="5" t="s">
        <v>492</v>
      </c>
      <c r="P1669" s="16">
        <v>0</v>
      </c>
      <c r="Q1669" s="16">
        <v>1</v>
      </c>
      <c r="R1669" s="5" t="str">
        <f t="shared" si="269"/>
        <v>434-2024-01-31</v>
      </c>
    </row>
    <row r="1670" spans="1:18" x14ac:dyDescent="0.3">
      <c r="A1670" s="26">
        <v>434</v>
      </c>
      <c r="B1670" s="5" t="s">
        <v>735</v>
      </c>
      <c r="C1670" s="5" t="s">
        <v>90</v>
      </c>
      <c r="D1670" s="5" t="s">
        <v>18</v>
      </c>
      <c r="E1670" s="5" t="s">
        <v>14</v>
      </c>
      <c r="F1670" s="6">
        <v>45351</v>
      </c>
      <c r="G1670" s="5">
        <f t="shared" si="275"/>
        <v>2024</v>
      </c>
      <c r="H1670" s="5" t="str">
        <f t="shared" si="276"/>
        <v>Febrero</v>
      </c>
      <c r="I1670" s="6" t="str">
        <f t="shared" si="268"/>
        <v>2024-1</v>
      </c>
      <c r="J1670" s="5">
        <v>200</v>
      </c>
      <c r="K1670" s="10">
        <v>107.7</v>
      </c>
      <c r="L1670" s="15">
        <f t="shared" si="277"/>
        <v>1</v>
      </c>
      <c r="M1670" s="8">
        <f t="shared" si="278"/>
        <v>1</v>
      </c>
      <c r="N1670" s="5" t="s">
        <v>492</v>
      </c>
      <c r="O1670" s="5" t="s">
        <v>492</v>
      </c>
      <c r="P1670" s="16">
        <v>0</v>
      </c>
      <c r="Q1670" s="16">
        <v>1</v>
      </c>
      <c r="R1670" s="5" t="str">
        <f t="shared" si="269"/>
        <v>434-2024-02-29</v>
      </c>
    </row>
    <row r="1671" spans="1:18" x14ac:dyDescent="0.3">
      <c r="A1671" s="26">
        <v>434</v>
      </c>
      <c r="B1671" s="5" t="s">
        <v>735</v>
      </c>
      <c r="C1671" s="5" t="s">
        <v>90</v>
      </c>
      <c r="D1671" s="5" t="s">
        <v>18</v>
      </c>
      <c r="E1671" s="5" t="s">
        <v>14</v>
      </c>
      <c r="F1671" s="6">
        <v>45382</v>
      </c>
      <c r="G1671" s="5">
        <f t="shared" si="275"/>
        <v>2024</v>
      </c>
      <c r="H1671" s="5" t="str">
        <f t="shared" si="276"/>
        <v>Marzo</v>
      </c>
      <c r="I1671" s="6" t="str">
        <f t="shared" si="268"/>
        <v>2024-1</v>
      </c>
      <c r="J1671" s="5">
        <v>200</v>
      </c>
      <c r="K1671" s="10">
        <v>22.02</v>
      </c>
      <c r="L1671" s="15">
        <f t="shared" si="277"/>
        <v>1</v>
      </c>
      <c r="M1671" s="8">
        <f t="shared" si="278"/>
        <v>1</v>
      </c>
      <c r="N1671" s="5" t="s">
        <v>492</v>
      </c>
      <c r="O1671" s="5" t="s">
        <v>492</v>
      </c>
      <c r="P1671" s="16">
        <v>0</v>
      </c>
      <c r="Q1671" s="16">
        <v>1</v>
      </c>
      <c r="R1671" s="5" t="str">
        <f t="shared" si="269"/>
        <v>434-2024-03-31</v>
      </c>
    </row>
    <row r="1672" spans="1:18" x14ac:dyDescent="0.3">
      <c r="A1672" s="26">
        <v>434</v>
      </c>
      <c r="B1672" s="5" t="s">
        <v>735</v>
      </c>
      <c r="C1672" s="5" t="s">
        <v>90</v>
      </c>
      <c r="D1672" s="5" t="s">
        <v>18</v>
      </c>
      <c r="E1672" s="5" t="s">
        <v>14</v>
      </c>
      <c r="F1672" s="6">
        <v>45412</v>
      </c>
      <c r="G1672" s="5">
        <f t="shared" si="275"/>
        <v>2024</v>
      </c>
      <c r="H1672" s="5" t="str">
        <f t="shared" si="276"/>
        <v>Abril</v>
      </c>
      <c r="I1672" s="6" t="str">
        <f t="shared" si="268"/>
        <v>2024-1</v>
      </c>
      <c r="J1672" s="5">
        <v>200</v>
      </c>
      <c r="K1672" s="10">
        <v>89.04</v>
      </c>
      <c r="L1672" s="15">
        <f t="shared" si="277"/>
        <v>1</v>
      </c>
      <c r="M1672" s="8">
        <f t="shared" si="278"/>
        <v>1</v>
      </c>
      <c r="N1672" s="5" t="s">
        <v>492</v>
      </c>
      <c r="O1672" s="5" t="s">
        <v>492</v>
      </c>
      <c r="P1672" s="16">
        <v>0</v>
      </c>
      <c r="Q1672" s="16">
        <v>1</v>
      </c>
      <c r="R1672" s="5" t="str">
        <f t="shared" si="269"/>
        <v>434-2024-04-30</v>
      </c>
    </row>
    <row r="1673" spans="1:18" x14ac:dyDescent="0.3">
      <c r="A1673" s="26">
        <v>434</v>
      </c>
      <c r="B1673" s="5" t="s">
        <v>735</v>
      </c>
      <c r="C1673" s="5" t="s">
        <v>90</v>
      </c>
      <c r="D1673" s="5" t="s">
        <v>18</v>
      </c>
      <c r="E1673" s="5" t="s">
        <v>14</v>
      </c>
      <c r="F1673" s="6">
        <v>45443</v>
      </c>
      <c r="G1673" s="5">
        <f t="shared" si="275"/>
        <v>2024</v>
      </c>
      <c r="H1673" s="5" t="str">
        <f t="shared" si="276"/>
        <v>Mayo</v>
      </c>
      <c r="I1673" s="6" t="str">
        <f t="shared" si="268"/>
        <v>2024-1</v>
      </c>
      <c r="J1673" s="5">
        <v>200</v>
      </c>
      <c r="K1673" s="10">
        <v>42</v>
      </c>
      <c r="L1673" s="15">
        <f t="shared" si="277"/>
        <v>1</v>
      </c>
      <c r="M1673" s="8">
        <f t="shared" si="278"/>
        <v>1</v>
      </c>
      <c r="N1673" s="5" t="s">
        <v>492</v>
      </c>
      <c r="O1673" s="5" t="s">
        <v>492</v>
      </c>
      <c r="P1673" s="16">
        <v>0</v>
      </c>
      <c r="Q1673" s="16">
        <v>0</v>
      </c>
      <c r="R1673" s="5" t="str">
        <f t="shared" si="269"/>
        <v>434-2024-05-31</v>
      </c>
    </row>
    <row r="1674" spans="1:18" x14ac:dyDescent="0.3">
      <c r="A1674" s="5">
        <v>434</v>
      </c>
      <c r="B1674" s="5" t="s">
        <v>735</v>
      </c>
      <c r="C1674" s="5" t="s">
        <v>90</v>
      </c>
      <c r="D1674" s="5" t="s">
        <v>18</v>
      </c>
      <c r="E1674" s="5" t="s">
        <v>14</v>
      </c>
      <c r="F1674" s="6">
        <v>45473</v>
      </c>
      <c r="G1674" s="5">
        <f t="shared" si="275"/>
        <v>2024</v>
      </c>
      <c r="H1674" s="5" t="str">
        <f t="shared" si="276"/>
        <v>Junio</v>
      </c>
      <c r="I1674" s="6" t="str">
        <f t="shared" si="268"/>
        <v>2024-1</v>
      </c>
      <c r="J1674" s="5">
        <v>200</v>
      </c>
      <c r="K1674" s="5">
        <v>3534.6</v>
      </c>
      <c r="L1674" s="15">
        <f t="shared" si="277"/>
        <v>0</v>
      </c>
      <c r="M1674" s="8">
        <f t="shared" si="278"/>
        <v>0</v>
      </c>
      <c r="N1674" s="5" t="s">
        <v>492</v>
      </c>
      <c r="O1674" s="5" t="s">
        <v>492</v>
      </c>
      <c r="P1674" s="16">
        <v>0</v>
      </c>
      <c r="Q1674" s="16">
        <v>1</v>
      </c>
      <c r="R1674" s="5" t="str">
        <f t="shared" si="269"/>
        <v>434-2024-06-30</v>
      </c>
    </row>
    <row r="1675" spans="1:18" x14ac:dyDescent="0.3">
      <c r="A1675" s="26">
        <v>434</v>
      </c>
      <c r="B1675" s="5" t="s">
        <v>735</v>
      </c>
      <c r="C1675" s="5" t="s">
        <v>90</v>
      </c>
      <c r="D1675" s="5" t="s">
        <v>18</v>
      </c>
      <c r="E1675" s="5" t="s">
        <v>14</v>
      </c>
      <c r="F1675" s="6">
        <v>45504</v>
      </c>
      <c r="G1675" s="5">
        <f t="shared" si="275"/>
        <v>2024</v>
      </c>
      <c r="H1675" s="5" t="str">
        <f t="shared" si="276"/>
        <v>Julio</v>
      </c>
      <c r="I1675" s="6" t="str">
        <f t="shared" si="268"/>
        <v>2024-2</v>
      </c>
      <c r="J1675" s="5">
        <v>200</v>
      </c>
      <c r="K1675" s="10">
        <v>1690.86</v>
      </c>
      <c r="L1675" s="15">
        <f t="shared" si="277"/>
        <v>0</v>
      </c>
      <c r="M1675" s="8">
        <f t="shared" si="278"/>
        <v>0</v>
      </c>
      <c r="N1675" s="5" t="s">
        <v>492</v>
      </c>
      <c r="O1675" s="5" t="s">
        <v>492</v>
      </c>
      <c r="P1675" s="16">
        <v>0</v>
      </c>
      <c r="Q1675" s="16">
        <v>1</v>
      </c>
      <c r="R1675" s="5" t="str">
        <f t="shared" si="269"/>
        <v>434-2024-07-31</v>
      </c>
    </row>
    <row r="1676" spans="1:18" x14ac:dyDescent="0.3">
      <c r="A1676" s="26">
        <v>434</v>
      </c>
      <c r="B1676" s="5" t="s">
        <v>735</v>
      </c>
      <c r="C1676" s="5" t="s">
        <v>90</v>
      </c>
      <c r="D1676" s="5" t="s">
        <v>18</v>
      </c>
      <c r="E1676" s="5" t="s">
        <v>14</v>
      </c>
      <c r="F1676" s="6">
        <v>45535</v>
      </c>
      <c r="G1676" s="5">
        <f t="shared" si="275"/>
        <v>2024</v>
      </c>
      <c r="H1676" s="5" t="str">
        <f t="shared" si="276"/>
        <v>Agosto</v>
      </c>
      <c r="I1676" s="6" t="str">
        <f t="shared" si="268"/>
        <v>2024-2</v>
      </c>
      <c r="J1676" s="5">
        <v>200</v>
      </c>
      <c r="K1676" s="10">
        <v>855.1</v>
      </c>
      <c r="L1676" s="15">
        <f t="shared" si="277"/>
        <v>0</v>
      </c>
      <c r="M1676" s="8">
        <f t="shared" si="278"/>
        <v>0</v>
      </c>
      <c r="N1676" s="5" t="s">
        <v>492</v>
      </c>
      <c r="O1676" s="5" t="s">
        <v>492</v>
      </c>
      <c r="P1676" s="16">
        <v>0</v>
      </c>
      <c r="Q1676" s="16">
        <v>1</v>
      </c>
      <c r="R1676" s="5" t="str">
        <f t="shared" si="269"/>
        <v>434-2024-08-31</v>
      </c>
    </row>
    <row r="1677" spans="1:18" x14ac:dyDescent="0.3">
      <c r="A1677" s="26">
        <v>434</v>
      </c>
      <c r="B1677" s="5" t="s">
        <v>735</v>
      </c>
      <c r="C1677" s="5" t="s">
        <v>90</v>
      </c>
      <c r="D1677" s="5" t="s">
        <v>18</v>
      </c>
      <c r="E1677" s="5" t="s">
        <v>14</v>
      </c>
      <c r="F1677" s="6">
        <v>45565</v>
      </c>
      <c r="G1677" s="5">
        <f t="shared" si="275"/>
        <v>2024</v>
      </c>
      <c r="H1677" s="5" t="str">
        <f t="shared" si="276"/>
        <v>Septiembre</v>
      </c>
      <c r="I1677" s="6" t="str">
        <f t="shared" si="268"/>
        <v>2024-2</v>
      </c>
      <c r="J1677" s="5">
        <v>200</v>
      </c>
      <c r="K1677" s="10">
        <v>16.37</v>
      </c>
      <c r="L1677" s="15">
        <f t="shared" si="277"/>
        <v>1</v>
      </c>
      <c r="M1677" s="8">
        <f t="shared" si="278"/>
        <v>1</v>
      </c>
      <c r="N1677" s="5" t="s">
        <v>492</v>
      </c>
      <c r="O1677" s="5" t="s">
        <v>492</v>
      </c>
      <c r="P1677" s="16">
        <v>0</v>
      </c>
      <c r="Q1677" s="16">
        <v>1</v>
      </c>
      <c r="R1677" s="5" t="str">
        <f t="shared" si="269"/>
        <v>434-2024-09-30</v>
      </c>
    </row>
    <row r="1678" spans="1:18" x14ac:dyDescent="0.3">
      <c r="A1678" s="26">
        <v>434</v>
      </c>
      <c r="B1678" s="5" t="s">
        <v>735</v>
      </c>
      <c r="C1678" s="5" t="s">
        <v>90</v>
      </c>
      <c r="D1678" s="5" t="s">
        <v>18</v>
      </c>
      <c r="E1678" s="5" t="s">
        <v>14</v>
      </c>
      <c r="F1678" s="6">
        <v>45596</v>
      </c>
      <c r="G1678" s="5">
        <f t="shared" si="275"/>
        <v>2024</v>
      </c>
      <c r="H1678" s="5" t="str">
        <f t="shared" si="276"/>
        <v>Octubre</v>
      </c>
      <c r="I1678" s="6" t="str">
        <f t="shared" si="268"/>
        <v>2024-2</v>
      </c>
      <c r="J1678" s="5">
        <v>200</v>
      </c>
      <c r="K1678" s="10">
        <v>992.38</v>
      </c>
      <c r="L1678" s="15">
        <f t="shared" si="277"/>
        <v>0</v>
      </c>
      <c r="M1678" s="8">
        <f t="shared" si="278"/>
        <v>0</v>
      </c>
      <c r="N1678" s="5" t="s">
        <v>492</v>
      </c>
      <c r="O1678" s="5" t="s">
        <v>492</v>
      </c>
      <c r="P1678" s="16">
        <v>0</v>
      </c>
      <c r="Q1678" s="16">
        <v>1</v>
      </c>
      <c r="R1678" s="5" t="str">
        <f t="shared" si="269"/>
        <v>434-2024-10-31</v>
      </c>
    </row>
    <row r="1679" spans="1:18" x14ac:dyDescent="0.3">
      <c r="A1679" s="26">
        <v>434</v>
      </c>
      <c r="B1679" s="5" t="s">
        <v>735</v>
      </c>
      <c r="C1679" s="5" t="s">
        <v>90</v>
      </c>
      <c r="D1679" s="5" t="s">
        <v>18</v>
      </c>
      <c r="E1679" s="5" t="s">
        <v>14</v>
      </c>
      <c r="F1679" s="6">
        <v>45626</v>
      </c>
      <c r="G1679" s="5">
        <f t="shared" si="275"/>
        <v>2024</v>
      </c>
      <c r="H1679" s="5" t="str">
        <f t="shared" si="276"/>
        <v>Noviembre</v>
      </c>
      <c r="I1679" s="6" t="str">
        <f t="shared" si="268"/>
        <v>2024-2</v>
      </c>
      <c r="J1679" s="5">
        <v>200</v>
      </c>
      <c r="K1679" s="10">
        <v>73.88</v>
      </c>
      <c r="L1679" s="15">
        <f t="shared" si="277"/>
        <v>1</v>
      </c>
      <c r="M1679" s="8">
        <f t="shared" si="278"/>
        <v>1</v>
      </c>
      <c r="N1679" s="5" t="s">
        <v>492</v>
      </c>
      <c r="O1679" s="5" t="s">
        <v>492</v>
      </c>
      <c r="P1679" s="16">
        <v>0</v>
      </c>
      <c r="Q1679" s="16">
        <v>1</v>
      </c>
      <c r="R1679" s="5" t="str">
        <f t="shared" si="269"/>
        <v>434-2024-11-30</v>
      </c>
    </row>
    <row r="1680" spans="1:18" x14ac:dyDescent="0.3">
      <c r="A1680" s="26">
        <v>434</v>
      </c>
      <c r="B1680" s="5" t="s">
        <v>735</v>
      </c>
      <c r="C1680" s="5" t="s">
        <v>90</v>
      </c>
      <c r="D1680" s="5" t="s">
        <v>18</v>
      </c>
      <c r="E1680" s="5" t="s">
        <v>14</v>
      </c>
      <c r="F1680" s="6">
        <v>45657</v>
      </c>
      <c r="G1680" s="5">
        <f t="shared" si="275"/>
        <v>2024</v>
      </c>
      <c r="H1680" s="5" t="str">
        <f t="shared" si="276"/>
        <v>Diciembre</v>
      </c>
      <c r="I1680" s="6" t="str">
        <f t="shared" si="268"/>
        <v>2024-2</v>
      </c>
      <c r="J1680" s="5">
        <v>200</v>
      </c>
      <c r="K1680" s="10">
        <v>2364.4899999999998</v>
      </c>
      <c r="L1680" s="15">
        <f t="shared" si="277"/>
        <v>0</v>
      </c>
      <c r="M1680" s="8">
        <f t="shared" si="278"/>
        <v>0</v>
      </c>
      <c r="N1680" s="5" t="s">
        <v>492</v>
      </c>
      <c r="O1680" s="5" t="s">
        <v>492</v>
      </c>
      <c r="P1680" s="16">
        <v>0</v>
      </c>
      <c r="Q1680" s="16">
        <v>1</v>
      </c>
      <c r="R1680" s="5" t="str">
        <f t="shared" si="269"/>
        <v>434-2024-12-31</v>
      </c>
    </row>
    <row r="1681" spans="1:18" x14ac:dyDescent="0.3">
      <c r="A1681" s="5">
        <v>435</v>
      </c>
      <c r="B1681" s="5" t="s">
        <v>464</v>
      </c>
      <c r="C1681" s="5" t="s">
        <v>90</v>
      </c>
      <c r="D1681" s="5" t="s">
        <v>8</v>
      </c>
      <c r="E1681" s="5" t="s">
        <v>9</v>
      </c>
      <c r="F1681" s="6">
        <v>45473</v>
      </c>
      <c r="G1681" s="5">
        <f t="shared" si="275"/>
        <v>2024</v>
      </c>
      <c r="H1681" s="5" t="str">
        <f t="shared" si="276"/>
        <v>Junio</v>
      </c>
      <c r="I1681" s="6" t="str">
        <f t="shared" si="268"/>
        <v>2024-1</v>
      </c>
      <c r="J1681" s="5">
        <v>100</v>
      </c>
      <c r="K1681" s="5">
        <v>-53.341421494287999</v>
      </c>
      <c r="L1681" s="15">
        <v>0</v>
      </c>
      <c r="M1681" s="15">
        <v>0</v>
      </c>
      <c r="N1681" s="5" t="s">
        <v>347</v>
      </c>
      <c r="O1681" s="5" t="s">
        <v>347</v>
      </c>
      <c r="P1681" s="5">
        <v>2</v>
      </c>
      <c r="Q1681" s="5">
        <v>2</v>
      </c>
      <c r="R1681" s="5" t="str">
        <f t="shared" si="269"/>
        <v>435-2024-06-30</v>
      </c>
    </row>
    <row r="1682" spans="1:18" x14ac:dyDescent="0.3">
      <c r="A1682" s="26">
        <v>435</v>
      </c>
      <c r="B1682" s="5" t="s">
        <v>464</v>
      </c>
      <c r="C1682" s="5" t="s">
        <v>90</v>
      </c>
      <c r="D1682" s="5" t="s">
        <v>8</v>
      </c>
      <c r="E1682" s="5" t="s">
        <v>9</v>
      </c>
      <c r="F1682" s="6">
        <v>45657</v>
      </c>
      <c r="G1682" s="5">
        <f t="shared" si="275"/>
        <v>2024</v>
      </c>
      <c r="H1682" s="5" t="str">
        <f t="shared" si="276"/>
        <v>Diciembre</v>
      </c>
      <c r="I1682" s="6" t="str">
        <f t="shared" ref="I1682:I1741" si="279">IF(OR(H1682="Enero",H1682="Febrero",H1682="Marzo",H1682="Abril",H1682="Mayo",H1682="Junio"),G1682&amp;"-1",IF(OR(H1682="Julio",H1682="Agosto",H1682="Septiembre",H1682="Octubre",H1682="Noviembre",H1682="Diciembre"),G1682&amp;"-2"))</f>
        <v>2024-2</v>
      </c>
      <c r="J1682" s="5">
        <v>100</v>
      </c>
      <c r="K1682" s="10">
        <v>71.09</v>
      </c>
      <c r="L1682" s="15">
        <f>IFERROR(IF((K1682/J1682)&gt;1.3,1.3,K1682/J1682),"")</f>
        <v>0.71090000000000009</v>
      </c>
      <c r="M1682" s="15">
        <f>IFERROR(IF((K1682/J1682)&gt;K1682/J1682,1.3,K1682/J1682),"")</f>
        <v>0.71090000000000009</v>
      </c>
      <c r="N1682" s="5" t="s">
        <v>347</v>
      </c>
      <c r="O1682" s="5" t="s">
        <v>347</v>
      </c>
      <c r="P1682" s="16">
        <v>2</v>
      </c>
      <c r="Q1682" s="16">
        <v>2</v>
      </c>
      <c r="R1682" s="5" t="str">
        <f t="shared" ref="R1682:R1741" si="280">A1682&amp;"-"&amp;YEAR(F1682)&amp;"-"&amp;IF(LEN(MONTH(F1682))=1,"0"&amp;MONTH(F1682),MONTH(F1682))&amp;"-"&amp;DAY(F1682)</f>
        <v>435-2024-12-31</v>
      </c>
    </row>
    <row r="1683" spans="1:18" x14ac:dyDescent="0.3">
      <c r="A1683" s="39">
        <v>436</v>
      </c>
      <c r="B1683" s="5" t="s">
        <v>69</v>
      </c>
      <c r="C1683" s="5" t="s">
        <v>45</v>
      </c>
      <c r="D1683" s="5" t="s">
        <v>18</v>
      </c>
      <c r="E1683" s="5" t="s">
        <v>14</v>
      </c>
      <c r="F1683" s="6">
        <v>45138</v>
      </c>
      <c r="G1683" s="5">
        <f t="shared" si="275"/>
        <v>2023</v>
      </c>
      <c r="H1683" s="5" t="str">
        <f t="shared" si="276"/>
        <v>Julio</v>
      </c>
      <c r="I1683" s="6" t="str">
        <f t="shared" si="279"/>
        <v>2023-2</v>
      </c>
      <c r="J1683" s="5">
        <v>21</v>
      </c>
      <c r="K1683" s="12">
        <v>11.7</v>
      </c>
      <c r="L1683" s="15">
        <f t="shared" ref="L1683:L1700" si="281">IFERROR(IF((J1683/K1683)&gt;1.3,1.3,J1683/K1683),"")</f>
        <v>1.3</v>
      </c>
      <c r="M1683" s="8">
        <f t="shared" ref="M1683:M1700" si="282">IFERROR(J1683/K1683,"")</f>
        <v>1.7948717948717949</v>
      </c>
      <c r="N1683" s="5" t="s">
        <v>479</v>
      </c>
      <c r="O1683" s="5" t="s">
        <v>479</v>
      </c>
      <c r="P1683" s="16">
        <v>0</v>
      </c>
      <c r="Q1683" s="16">
        <v>0</v>
      </c>
      <c r="R1683" s="5" t="str">
        <f t="shared" si="280"/>
        <v>436-2023-07-31</v>
      </c>
    </row>
    <row r="1684" spans="1:18" x14ac:dyDescent="0.3">
      <c r="A1684" s="39">
        <v>436</v>
      </c>
      <c r="B1684" s="5" t="s">
        <v>69</v>
      </c>
      <c r="C1684" s="5" t="s">
        <v>45</v>
      </c>
      <c r="D1684" s="5" t="s">
        <v>18</v>
      </c>
      <c r="E1684" s="5" t="s">
        <v>14</v>
      </c>
      <c r="F1684" s="6">
        <v>45169</v>
      </c>
      <c r="G1684" s="5">
        <f t="shared" si="275"/>
        <v>2023</v>
      </c>
      <c r="H1684" s="5" t="str">
        <f t="shared" si="276"/>
        <v>Agosto</v>
      </c>
      <c r="I1684" s="6" t="str">
        <f t="shared" si="279"/>
        <v>2023-2</v>
      </c>
      <c r="J1684" s="5">
        <v>21</v>
      </c>
      <c r="K1684" s="12">
        <v>8.6999999999999993</v>
      </c>
      <c r="L1684" s="15">
        <f t="shared" si="281"/>
        <v>1.3</v>
      </c>
      <c r="M1684" s="8">
        <f t="shared" si="282"/>
        <v>2.4137931034482762</v>
      </c>
      <c r="N1684" s="5" t="s">
        <v>479</v>
      </c>
      <c r="O1684" s="5" t="s">
        <v>479</v>
      </c>
      <c r="P1684" s="16">
        <v>0</v>
      </c>
      <c r="Q1684" s="16">
        <v>0</v>
      </c>
      <c r="R1684" s="5" t="str">
        <f t="shared" si="280"/>
        <v>436-2023-08-31</v>
      </c>
    </row>
    <row r="1685" spans="1:18" x14ac:dyDescent="0.3">
      <c r="A1685" s="39">
        <v>436</v>
      </c>
      <c r="B1685" s="5" t="s">
        <v>69</v>
      </c>
      <c r="C1685" s="5" t="s">
        <v>45</v>
      </c>
      <c r="D1685" s="5" t="s">
        <v>18</v>
      </c>
      <c r="E1685" s="5" t="s">
        <v>14</v>
      </c>
      <c r="F1685" s="6">
        <v>45199</v>
      </c>
      <c r="G1685" s="5">
        <f t="shared" si="275"/>
        <v>2023</v>
      </c>
      <c r="H1685" s="5" t="str">
        <f t="shared" si="276"/>
        <v>Septiembre</v>
      </c>
      <c r="I1685" s="6" t="str">
        <f t="shared" si="279"/>
        <v>2023-2</v>
      </c>
      <c r="J1685" s="5">
        <v>21</v>
      </c>
      <c r="K1685" s="12">
        <v>17.3</v>
      </c>
      <c r="L1685" s="15">
        <f t="shared" si="281"/>
        <v>1.2138728323699421</v>
      </c>
      <c r="M1685" s="8">
        <f t="shared" si="282"/>
        <v>1.2138728323699421</v>
      </c>
      <c r="N1685" s="5" t="s">
        <v>479</v>
      </c>
      <c r="O1685" s="5" t="s">
        <v>479</v>
      </c>
      <c r="P1685" s="16">
        <v>0</v>
      </c>
      <c r="Q1685" s="16">
        <v>0</v>
      </c>
      <c r="R1685" s="5" t="str">
        <f t="shared" si="280"/>
        <v>436-2023-09-30</v>
      </c>
    </row>
    <row r="1686" spans="1:18" x14ac:dyDescent="0.3">
      <c r="A1686" s="39">
        <v>436</v>
      </c>
      <c r="B1686" s="5" t="s">
        <v>69</v>
      </c>
      <c r="C1686" s="5" t="s">
        <v>45</v>
      </c>
      <c r="D1686" s="5" t="s">
        <v>18</v>
      </c>
      <c r="E1686" s="5" t="s">
        <v>14</v>
      </c>
      <c r="F1686" s="6">
        <v>45230</v>
      </c>
      <c r="G1686" s="5">
        <f t="shared" si="275"/>
        <v>2023</v>
      </c>
      <c r="H1686" s="5" t="str">
        <f t="shared" si="276"/>
        <v>Octubre</v>
      </c>
      <c r="I1686" s="6" t="str">
        <f t="shared" si="279"/>
        <v>2023-2</v>
      </c>
      <c r="J1686" s="5">
        <v>21</v>
      </c>
      <c r="K1686" s="12">
        <v>5.0999999999999996</v>
      </c>
      <c r="L1686" s="15">
        <f t="shared" si="281"/>
        <v>1.3</v>
      </c>
      <c r="M1686" s="8">
        <f t="shared" si="282"/>
        <v>4.1176470588235299</v>
      </c>
      <c r="N1686" s="5" t="s">
        <v>479</v>
      </c>
      <c r="O1686" s="5" t="s">
        <v>479</v>
      </c>
      <c r="P1686" s="16">
        <v>0</v>
      </c>
      <c r="Q1686" s="16">
        <v>0</v>
      </c>
      <c r="R1686" s="5" t="str">
        <f t="shared" si="280"/>
        <v>436-2023-10-31</v>
      </c>
    </row>
    <row r="1687" spans="1:18" x14ac:dyDescent="0.3">
      <c r="A1687" s="39">
        <v>436</v>
      </c>
      <c r="B1687" s="5" t="s">
        <v>69</v>
      </c>
      <c r="C1687" s="5" t="s">
        <v>45</v>
      </c>
      <c r="D1687" s="5" t="s">
        <v>18</v>
      </c>
      <c r="E1687" s="5" t="s">
        <v>14</v>
      </c>
      <c r="F1687" s="6">
        <v>45260</v>
      </c>
      <c r="G1687" s="5">
        <f t="shared" si="275"/>
        <v>2023</v>
      </c>
      <c r="H1687" s="5" t="str">
        <f t="shared" si="276"/>
        <v>Noviembre</v>
      </c>
      <c r="I1687" s="6" t="str">
        <f t="shared" si="279"/>
        <v>2023-2</v>
      </c>
      <c r="J1687" s="5">
        <v>21</v>
      </c>
      <c r="K1687" s="12">
        <v>10.91</v>
      </c>
      <c r="L1687" s="15">
        <f t="shared" si="281"/>
        <v>1.3</v>
      </c>
      <c r="M1687" s="8">
        <f t="shared" si="282"/>
        <v>1.9248395967002749</v>
      </c>
      <c r="N1687" s="5" t="s">
        <v>479</v>
      </c>
      <c r="O1687" s="5" t="s">
        <v>479</v>
      </c>
      <c r="P1687" s="16">
        <v>0</v>
      </c>
      <c r="Q1687" s="16">
        <v>0</v>
      </c>
      <c r="R1687" s="5" t="str">
        <f t="shared" si="280"/>
        <v>436-2023-11-30</v>
      </c>
    </row>
    <row r="1688" spans="1:18" x14ac:dyDescent="0.3">
      <c r="A1688" s="39">
        <v>436</v>
      </c>
      <c r="B1688" s="5" t="s">
        <v>69</v>
      </c>
      <c r="C1688" s="5" t="s">
        <v>45</v>
      </c>
      <c r="D1688" s="5" t="s">
        <v>18</v>
      </c>
      <c r="E1688" s="5" t="s">
        <v>14</v>
      </c>
      <c r="F1688" s="6">
        <v>45291</v>
      </c>
      <c r="G1688" s="5">
        <f t="shared" si="275"/>
        <v>2023</v>
      </c>
      <c r="H1688" s="5" t="str">
        <f t="shared" si="276"/>
        <v>Diciembre</v>
      </c>
      <c r="I1688" s="6" t="str">
        <f t="shared" si="279"/>
        <v>2023-2</v>
      </c>
      <c r="J1688" s="5">
        <v>21</v>
      </c>
      <c r="K1688" s="12">
        <v>12.7</v>
      </c>
      <c r="L1688" s="15">
        <f t="shared" si="281"/>
        <v>1.3</v>
      </c>
      <c r="M1688" s="8">
        <f t="shared" si="282"/>
        <v>1.6535433070866143</v>
      </c>
      <c r="N1688" s="5" t="s">
        <v>479</v>
      </c>
      <c r="O1688" s="5" t="s">
        <v>479</v>
      </c>
      <c r="P1688" s="16">
        <v>0</v>
      </c>
      <c r="Q1688" s="16">
        <v>0</v>
      </c>
      <c r="R1688" s="5" t="str">
        <f t="shared" si="280"/>
        <v>436-2023-12-31</v>
      </c>
    </row>
    <row r="1689" spans="1:18" x14ac:dyDescent="0.3">
      <c r="A1689" s="26">
        <v>436</v>
      </c>
      <c r="B1689" s="5" t="s">
        <v>69</v>
      </c>
      <c r="C1689" s="5" t="s">
        <v>45</v>
      </c>
      <c r="D1689" s="5" t="s">
        <v>18</v>
      </c>
      <c r="E1689" s="5" t="s">
        <v>14</v>
      </c>
      <c r="F1689" s="6">
        <v>45322</v>
      </c>
      <c r="G1689" s="5">
        <f t="shared" si="275"/>
        <v>2024</v>
      </c>
      <c r="H1689" s="5" t="str">
        <f t="shared" si="276"/>
        <v>Enero</v>
      </c>
      <c r="I1689" s="6" t="str">
        <f t="shared" si="279"/>
        <v>2024-1</v>
      </c>
      <c r="J1689" s="5">
        <v>14</v>
      </c>
      <c r="K1689" s="10">
        <v>9.6999999999999993</v>
      </c>
      <c r="L1689" s="15">
        <f t="shared" si="281"/>
        <v>1.3</v>
      </c>
      <c r="M1689" s="8">
        <f t="shared" si="282"/>
        <v>1.4432989690721651</v>
      </c>
      <c r="N1689" s="5" t="s">
        <v>479</v>
      </c>
      <c r="O1689" s="5" t="s">
        <v>479</v>
      </c>
      <c r="P1689" s="16">
        <v>0</v>
      </c>
      <c r="Q1689" s="16">
        <v>0</v>
      </c>
      <c r="R1689" s="5" t="str">
        <f t="shared" si="280"/>
        <v>436-2024-01-31</v>
      </c>
    </row>
    <row r="1690" spans="1:18" x14ac:dyDescent="0.3">
      <c r="A1690" s="26">
        <v>436</v>
      </c>
      <c r="B1690" s="5" t="s">
        <v>69</v>
      </c>
      <c r="C1690" s="5" t="s">
        <v>45</v>
      </c>
      <c r="D1690" s="5" t="s">
        <v>18</v>
      </c>
      <c r="E1690" s="5" t="s">
        <v>14</v>
      </c>
      <c r="F1690" s="6">
        <v>45351</v>
      </c>
      <c r="G1690" s="5">
        <f t="shared" si="275"/>
        <v>2024</v>
      </c>
      <c r="H1690" s="5" t="str">
        <f t="shared" si="276"/>
        <v>Febrero</v>
      </c>
      <c r="I1690" s="6" t="str">
        <f t="shared" si="279"/>
        <v>2024-1</v>
      </c>
      <c r="J1690" s="5">
        <v>14</v>
      </c>
      <c r="K1690" s="10">
        <v>13.5</v>
      </c>
      <c r="L1690" s="15">
        <f t="shared" si="281"/>
        <v>1.037037037037037</v>
      </c>
      <c r="M1690" s="8">
        <f t="shared" si="282"/>
        <v>1.037037037037037</v>
      </c>
      <c r="N1690" s="5" t="s">
        <v>479</v>
      </c>
      <c r="O1690" s="5" t="s">
        <v>479</v>
      </c>
      <c r="P1690" s="16">
        <v>0</v>
      </c>
      <c r="Q1690" s="16">
        <v>0</v>
      </c>
      <c r="R1690" s="5" t="str">
        <f t="shared" si="280"/>
        <v>436-2024-02-29</v>
      </c>
    </row>
    <row r="1691" spans="1:18" x14ac:dyDescent="0.3">
      <c r="A1691" s="26">
        <v>436</v>
      </c>
      <c r="B1691" s="5" t="s">
        <v>69</v>
      </c>
      <c r="C1691" s="5" t="s">
        <v>45</v>
      </c>
      <c r="D1691" s="5" t="s">
        <v>18</v>
      </c>
      <c r="E1691" s="5" t="s">
        <v>14</v>
      </c>
      <c r="F1691" s="6">
        <v>45382</v>
      </c>
      <c r="G1691" s="5">
        <f t="shared" si="275"/>
        <v>2024</v>
      </c>
      <c r="H1691" s="5" t="str">
        <f t="shared" si="276"/>
        <v>Marzo</v>
      </c>
      <c r="I1691" s="6" t="str">
        <f t="shared" si="279"/>
        <v>2024-1</v>
      </c>
      <c r="J1691" s="5">
        <v>14</v>
      </c>
      <c r="K1691" s="10">
        <v>15.7</v>
      </c>
      <c r="L1691" s="15">
        <f t="shared" si="281"/>
        <v>0.89171974522292996</v>
      </c>
      <c r="M1691" s="8">
        <f t="shared" si="282"/>
        <v>0.89171974522292996</v>
      </c>
      <c r="N1691" s="5" t="s">
        <v>479</v>
      </c>
      <c r="O1691" s="5" t="s">
        <v>479</v>
      </c>
      <c r="P1691" s="16">
        <v>0</v>
      </c>
      <c r="Q1691" s="16">
        <v>0</v>
      </c>
      <c r="R1691" s="5" t="str">
        <f t="shared" si="280"/>
        <v>436-2024-03-31</v>
      </c>
    </row>
    <row r="1692" spans="1:18" x14ac:dyDescent="0.3">
      <c r="A1692" s="26">
        <v>436</v>
      </c>
      <c r="B1692" s="5" t="s">
        <v>69</v>
      </c>
      <c r="C1692" s="5" t="s">
        <v>45</v>
      </c>
      <c r="D1692" s="5" t="s">
        <v>18</v>
      </c>
      <c r="E1692" s="5" t="s">
        <v>14</v>
      </c>
      <c r="F1692" s="6">
        <v>45412</v>
      </c>
      <c r="G1692" s="5">
        <f t="shared" si="275"/>
        <v>2024</v>
      </c>
      <c r="H1692" s="5" t="str">
        <f t="shared" si="276"/>
        <v>Abril</v>
      </c>
      <c r="I1692" s="6" t="str">
        <f t="shared" si="279"/>
        <v>2024-1</v>
      </c>
      <c r="J1692" s="5">
        <v>14</v>
      </c>
      <c r="K1692" s="10">
        <v>11.1</v>
      </c>
      <c r="L1692" s="15">
        <f t="shared" si="281"/>
        <v>1.2612612612612613</v>
      </c>
      <c r="M1692" s="8">
        <f t="shared" si="282"/>
        <v>1.2612612612612613</v>
      </c>
      <c r="N1692" s="5" t="s">
        <v>479</v>
      </c>
      <c r="O1692" s="5" t="s">
        <v>479</v>
      </c>
      <c r="P1692" s="16">
        <v>0</v>
      </c>
      <c r="Q1692" s="16">
        <v>0</v>
      </c>
      <c r="R1692" s="5" t="str">
        <f t="shared" si="280"/>
        <v>436-2024-04-30</v>
      </c>
    </row>
    <row r="1693" spans="1:18" x14ac:dyDescent="0.3">
      <c r="A1693" s="26">
        <v>436</v>
      </c>
      <c r="B1693" s="5" t="s">
        <v>69</v>
      </c>
      <c r="C1693" s="5" t="s">
        <v>45</v>
      </c>
      <c r="D1693" s="5" t="s">
        <v>18</v>
      </c>
      <c r="E1693" s="5" t="s">
        <v>14</v>
      </c>
      <c r="F1693" s="6">
        <v>45443</v>
      </c>
      <c r="G1693" s="5">
        <f t="shared" si="275"/>
        <v>2024</v>
      </c>
      <c r="H1693" s="5" t="str">
        <f t="shared" si="276"/>
        <v>Mayo</v>
      </c>
      <c r="I1693" s="6" t="str">
        <f t="shared" si="279"/>
        <v>2024-1</v>
      </c>
      <c r="J1693" s="5">
        <v>14</v>
      </c>
      <c r="K1693" s="10">
        <v>10.6</v>
      </c>
      <c r="L1693" s="15">
        <f t="shared" si="281"/>
        <v>1.3</v>
      </c>
      <c r="M1693" s="8">
        <f t="shared" si="282"/>
        <v>1.3207547169811322</v>
      </c>
      <c r="N1693" s="5" t="s">
        <v>479</v>
      </c>
      <c r="O1693" s="5" t="s">
        <v>479</v>
      </c>
      <c r="P1693" s="16">
        <v>0</v>
      </c>
      <c r="Q1693" s="16">
        <v>0</v>
      </c>
      <c r="R1693" s="5" t="str">
        <f t="shared" si="280"/>
        <v>436-2024-05-31</v>
      </c>
    </row>
    <row r="1694" spans="1:18" x14ac:dyDescent="0.3">
      <c r="A1694" s="5">
        <v>436</v>
      </c>
      <c r="B1694" s="5" t="s">
        <v>69</v>
      </c>
      <c r="C1694" s="5" t="s">
        <v>45</v>
      </c>
      <c r="D1694" s="5" t="s">
        <v>18</v>
      </c>
      <c r="E1694" s="5" t="s">
        <v>14</v>
      </c>
      <c r="F1694" s="6">
        <v>45473</v>
      </c>
      <c r="G1694" s="5">
        <f t="shared" si="275"/>
        <v>2024</v>
      </c>
      <c r="H1694" s="5" t="str">
        <f t="shared" si="276"/>
        <v>Junio</v>
      </c>
      <c r="I1694" s="6" t="str">
        <f t="shared" si="279"/>
        <v>2024-1</v>
      </c>
      <c r="J1694" s="5">
        <v>14</v>
      </c>
      <c r="K1694" s="5">
        <v>8.8000000000000007</v>
      </c>
      <c r="L1694" s="15">
        <f t="shared" si="281"/>
        <v>1.3</v>
      </c>
      <c r="M1694" s="8">
        <f t="shared" si="282"/>
        <v>1.5909090909090908</v>
      </c>
      <c r="N1694" s="5" t="s">
        <v>479</v>
      </c>
      <c r="O1694" s="5" t="s">
        <v>479</v>
      </c>
      <c r="P1694" s="16">
        <v>0</v>
      </c>
      <c r="Q1694" s="16">
        <v>0</v>
      </c>
      <c r="R1694" s="5" t="str">
        <f t="shared" si="280"/>
        <v>436-2024-06-30</v>
      </c>
    </row>
    <row r="1695" spans="1:18" x14ac:dyDescent="0.3">
      <c r="A1695" s="26">
        <v>436</v>
      </c>
      <c r="B1695" s="5" t="s">
        <v>69</v>
      </c>
      <c r="C1695" s="5" t="s">
        <v>45</v>
      </c>
      <c r="D1695" s="5" t="s">
        <v>18</v>
      </c>
      <c r="E1695" s="5" t="s">
        <v>14</v>
      </c>
      <c r="F1695" s="6">
        <v>45504</v>
      </c>
      <c r="G1695" s="5">
        <f t="shared" si="275"/>
        <v>2024</v>
      </c>
      <c r="H1695" s="5" t="str">
        <f t="shared" si="276"/>
        <v>Julio</v>
      </c>
      <c r="I1695" s="6" t="str">
        <f t="shared" si="279"/>
        <v>2024-2</v>
      </c>
      <c r="J1695" s="5">
        <v>14</v>
      </c>
      <c r="K1695" s="10">
        <v>9.4</v>
      </c>
      <c r="L1695" s="15">
        <f t="shared" si="281"/>
        <v>1.3</v>
      </c>
      <c r="M1695" s="8">
        <f t="shared" si="282"/>
        <v>1.4893617021276595</v>
      </c>
      <c r="N1695" s="5" t="s">
        <v>479</v>
      </c>
      <c r="O1695" s="5" t="s">
        <v>479</v>
      </c>
      <c r="P1695" s="16">
        <v>0</v>
      </c>
      <c r="Q1695" s="16">
        <v>0</v>
      </c>
      <c r="R1695" s="5" t="str">
        <f t="shared" si="280"/>
        <v>436-2024-07-31</v>
      </c>
    </row>
    <row r="1696" spans="1:18" x14ac:dyDescent="0.3">
      <c r="A1696" s="26">
        <v>436</v>
      </c>
      <c r="B1696" s="5" t="s">
        <v>69</v>
      </c>
      <c r="C1696" s="5" t="s">
        <v>45</v>
      </c>
      <c r="D1696" s="5" t="s">
        <v>18</v>
      </c>
      <c r="E1696" s="5" t="s">
        <v>14</v>
      </c>
      <c r="F1696" s="6">
        <v>45535</v>
      </c>
      <c r="G1696" s="5">
        <f t="shared" si="275"/>
        <v>2024</v>
      </c>
      <c r="H1696" s="5" t="str">
        <f t="shared" si="276"/>
        <v>Agosto</v>
      </c>
      <c r="I1696" s="6" t="str">
        <f t="shared" si="279"/>
        <v>2024-2</v>
      </c>
      <c r="J1696" s="5">
        <v>14</v>
      </c>
      <c r="K1696" s="10">
        <v>8.5</v>
      </c>
      <c r="L1696" s="15">
        <f t="shared" si="281"/>
        <v>1.3</v>
      </c>
      <c r="M1696" s="8">
        <f t="shared" si="282"/>
        <v>1.6470588235294117</v>
      </c>
      <c r="N1696" s="5" t="s">
        <v>479</v>
      </c>
      <c r="O1696" s="5" t="s">
        <v>479</v>
      </c>
      <c r="P1696" s="16">
        <v>0</v>
      </c>
      <c r="Q1696" s="16">
        <v>0</v>
      </c>
      <c r="R1696" s="5" t="str">
        <f t="shared" si="280"/>
        <v>436-2024-08-31</v>
      </c>
    </row>
    <row r="1697" spans="1:18" x14ac:dyDescent="0.3">
      <c r="A1697" s="26">
        <v>436</v>
      </c>
      <c r="B1697" s="5" t="s">
        <v>69</v>
      </c>
      <c r="C1697" s="5" t="s">
        <v>45</v>
      </c>
      <c r="D1697" s="5" t="s">
        <v>18</v>
      </c>
      <c r="E1697" s="5" t="s">
        <v>14</v>
      </c>
      <c r="F1697" s="6">
        <v>45565</v>
      </c>
      <c r="G1697" s="5">
        <f t="shared" si="275"/>
        <v>2024</v>
      </c>
      <c r="H1697" s="5" t="str">
        <f t="shared" si="276"/>
        <v>Septiembre</v>
      </c>
      <c r="I1697" s="6" t="str">
        <f t="shared" si="279"/>
        <v>2024-2</v>
      </c>
      <c r="J1697" s="5">
        <v>14</v>
      </c>
      <c r="K1697" s="10">
        <v>10.5</v>
      </c>
      <c r="L1697" s="15">
        <f t="shared" si="281"/>
        <v>1.3</v>
      </c>
      <c r="M1697" s="8">
        <f t="shared" si="282"/>
        <v>1.3333333333333333</v>
      </c>
      <c r="N1697" s="5" t="s">
        <v>479</v>
      </c>
      <c r="O1697" s="5" t="s">
        <v>479</v>
      </c>
      <c r="P1697" s="16">
        <v>0</v>
      </c>
      <c r="Q1697" s="16">
        <v>0</v>
      </c>
      <c r="R1697" s="5" t="str">
        <f t="shared" si="280"/>
        <v>436-2024-09-30</v>
      </c>
    </row>
    <row r="1698" spans="1:18" x14ac:dyDescent="0.3">
      <c r="A1698" s="26">
        <v>436</v>
      </c>
      <c r="B1698" s="5" t="s">
        <v>69</v>
      </c>
      <c r="C1698" s="5" t="s">
        <v>45</v>
      </c>
      <c r="D1698" s="5" t="s">
        <v>18</v>
      </c>
      <c r="E1698" s="5" t="s">
        <v>14</v>
      </c>
      <c r="F1698" s="6">
        <v>45596</v>
      </c>
      <c r="G1698" s="5">
        <f t="shared" si="275"/>
        <v>2024</v>
      </c>
      <c r="H1698" s="5" t="str">
        <f t="shared" si="276"/>
        <v>Octubre</v>
      </c>
      <c r="I1698" s="6" t="str">
        <f t="shared" si="279"/>
        <v>2024-2</v>
      </c>
      <c r="J1698" s="5">
        <v>14</v>
      </c>
      <c r="K1698" s="10">
        <v>8</v>
      </c>
      <c r="L1698" s="15">
        <f t="shared" si="281"/>
        <v>1.3</v>
      </c>
      <c r="M1698" s="8">
        <f t="shared" si="282"/>
        <v>1.75</v>
      </c>
      <c r="N1698" s="5" t="s">
        <v>479</v>
      </c>
      <c r="O1698" s="5" t="s">
        <v>479</v>
      </c>
      <c r="P1698" s="16">
        <v>0</v>
      </c>
      <c r="Q1698" s="16">
        <v>0</v>
      </c>
      <c r="R1698" s="5" t="str">
        <f t="shared" si="280"/>
        <v>436-2024-10-31</v>
      </c>
    </row>
    <row r="1699" spans="1:18" x14ac:dyDescent="0.3">
      <c r="A1699" s="26">
        <v>436</v>
      </c>
      <c r="B1699" s="5" t="s">
        <v>69</v>
      </c>
      <c r="C1699" s="5" t="s">
        <v>45</v>
      </c>
      <c r="D1699" s="5" t="s">
        <v>18</v>
      </c>
      <c r="E1699" s="5" t="s">
        <v>14</v>
      </c>
      <c r="F1699" s="6">
        <v>45626</v>
      </c>
      <c r="G1699" s="5">
        <f t="shared" si="275"/>
        <v>2024</v>
      </c>
      <c r="H1699" s="5" t="str">
        <f t="shared" si="276"/>
        <v>Noviembre</v>
      </c>
      <c r="I1699" s="6" t="str">
        <f t="shared" si="279"/>
        <v>2024-2</v>
      </c>
      <c r="J1699" s="5">
        <v>14</v>
      </c>
      <c r="K1699" s="10">
        <v>10</v>
      </c>
      <c r="L1699" s="15">
        <f t="shared" si="281"/>
        <v>1.3</v>
      </c>
      <c r="M1699" s="8">
        <f t="shared" si="282"/>
        <v>1.4</v>
      </c>
      <c r="N1699" s="5" t="s">
        <v>479</v>
      </c>
      <c r="O1699" s="5" t="s">
        <v>479</v>
      </c>
      <c r="P1699" s="16">
        <v>0</v>
      </c>
      <c r="Q1699" s="16">
        <v>0</v>
      </c>
      <c r="R1699" s="5" t="str">
        <f t="shared" si="280"/>
        <v>436-2024-11-30</v>
      </c>
    </row>
    <row r="1700" spans="1:18" x14ac:dyDescent="0.3">
      <c r="A1700" s="26">
        <v>436</v>
      </c>
      <c r="B1700" s="5" t="s">
        <v>69</v>
      </c>
      <c r="C1700" s="5" t="s">
        <v>45</v>
      </c>
      <c r="D1700" s="5" t="s">
        <v>18</v>
      </c>
      <c r="E1700" s="5" t="s">
        <v>14</v>
      </c>
      <c r="F1700" s="6">
        <v>45657</v>
      </c>
      <c r="G1700" s="5">
        <f t="shared" si="275"/>
        <v>2024</v>
      </c>
      <c r="H1700" s="5" t="str">
        <f t="shared" si="276"/>
        <v>Diciembre</v>
      </c>
      <c r="I1700" s="6" t="str">
        <f t="shared" si="279"/>
        <v>2024-2</v>
      </c>
      <c r="J1700" s="5">
        <v>14</v>
      </c>
      <c r="K1700" s="10">
        <v>16.97</v>
      </c>
      <c r="L1700" s="15">
        <f t="shared" si="281"/>
        <v>0.82498526812021222</v>
      </c>
      <c r="M1700" s="8">
        <f t="shared" si="282"/>
        <v>0.82498526812021222</v>
      </c>
      <c r="N1700" s="5" t="s">
        <v>479</v>
      </c>
      <c r="O1700" s="5" t="s">
        <v>479</v>
      </c>
      <c r="P1700" s="16">
        <v>0</v>
      </c>
      <c r="Q1700" s="16">
        <v>0</v>
      </c>
      <c r="R1700" s="5" t="str">
        <f t="shared" si="280"/>
        <v>436-2024-12-31</v>
      </c>
    </row>
    <row r="1701" spans="1:18" x14ac:dyDescent="0.3">
      <c r="A1701" s="26">
        <v>437</v>
      </c>
      <c r="B1701" s="5" t="s">
        <v>39</v>
      </c>
      <c r="C1701" s="5" t="s">
        <v>182</v>
      </c>
      <c r="D1701" s="5" t="s">
        <v>25</v>
      </c>
      <c r="E1701" s="5" t="s">
        <v>9</v>
      </c>
      <c r="F1701" s="6">
        <v>45230</v>
      </c>
      <c r="G1701" s="5">
        <f t="shared" si="275"/>
        <v>2023</v>
      </c>
      <c r="H1701" s="5" t="str">
        <f t="shared" si="276"/>
        <v>Octubre</v>
      </c>
      <c r="I1701" s="6" t="str">
        <f t="shared" si="279"/>
        <v>2023-2</v>
      </c>
      <c r="J1701" s="5">
        <v>80</v>
      </c>
      <c r="K1701" s="9">
        <v>96.239806704922998</v>
      </c>
      <c r="L1701" s="15">
        <f t="shared" ref="L1701" si="283">IFERROR(IF((K1701/J1701)&gt;1.3,1.3,K1701/J1701),"")</f>
        <v>1.2029975838115374</v>
      </c>
      <c r="M1701" s="15">
        <f t="shared" ref="M1701" si="284">IFERROR(IF((K1701/J1701)&gt;K1701/J1701,1.3,K1701/J1701),"")</f>
        <v>1.2029975838115374</v>
      </c>
      <c r="N1701" s="5" t="s">
        <v>347</v>
      </c>
      <c r="O1701" s="5" t="s">
        <v>347</v>
      </c>
      <c r="P1701" s="16">
        <v>0</v>
      </c>
      <c r="Q1701" s="16">
        <v>0</v>
      </c>
      <c r="R1701" s="5" t="str">
        <f t="shared" si="280"/>
        <v>437-2023-10-31</v>
      </c>
    </row>
    <row r="1702" spans="1:18" x14ac:dyDescent="0.3">
      <c r="A1702" s="5">
        <v>437</v>
      </c>
      <c r="B1702" s="5" t="s">
        <v>465</v>
      </c>
      <c r="C1702" s="5" t="s">
        <v>182</v>
      </c>
      <c r="D1702" s="5" t="s">
        <v>25</v>
      </c>
      <c r="E1702" s="5" t="s">
        <v>9</v>
      </c>
      <c r="F1702" s="6">
        <v>45291</v>
      </c>
      <c r="G1702" s="5">
        <f t="shared" si="275"/>
        <v>2023</v>
      </c>
      <c r="H1702" s="5" t="str">
        <f t="shared" si="276"/>
        <v>Diciembre</v>
      </c>
      <c r="I1702" s="6" t="str">
        <f t="shared" si="279"/>
        <v>2023-2</v>
      </c>
      <c r="J1702" s="5">
        <v>80</v>
      </c>
      <c r="K1702" s="5">
        <v>96.239806704922998</v>
      </c>
      <c r="L1702" s="15">
        <v>1.2029975838115374</v>
      </c>
      <c r="M1702" s="15">
        <v>1.2029975838115374</v>
      </c>
      <c r="N1702" s="5" t="s">
        <v>347</v>
      </c>
      <c r="O1702" s="5" t="s">
        <v>347</v>
      </c>
      <c r="P1702" s="5">
        <v>0</v>
      </c>
      <c r="Q1702" s="5">
        <v>0</v>
      </c>
      <c r="R1702" s="5" t="str">
        <f t="shared" si="280"/>
        <v>437-2023-12-31</v>
      </c>
    </row>
    <row r="1703" spans="1:18" x14ac:dyDescent="0.3">
      <c r="A1703" s="26">
        <v>437</v>
      </c>
      <c r="B1703" s="5" t="s">
        <v>465</v>
      </c>
      <c r="C1703" s="5" t="s">
        <v>182</v>
      </c>
      <c r="D1703" s="5" t="s">
        <v>25</v>
      </c>
      <c r="E1703" s="5" t="s">
        <v>9</v>
      </c>
      <c r="F1703" s="6">
        <v>45657</v>
      </c>
      <c r="G1703" s="5">
        <f t="shared" si="275"/>
        <v>2024</v>
      </c>
      <c r="H1703" s="5" t="str">
        <f t="shared" si="276"/>
        <v>Diciembre</v>
      </c>
      <c r="I1703" s="6" t="str">
        <f t="shared" si="279"/>
        <v>2024-2</v>
      </c>
      <c r="J1703" s="5">
        <v>80</v>
      </c>
      <c r="K1703" s="10">
        <v>84</v>
      </c>
      <c r="L1703" s="15">
        <f>IFERROR(IF((K1703/J1703)&gt;1.3,1.3,K1703/J1703),"")</f>
        <v>1.05</v>
      </c>
      <c r="M1703" s="15">
        <f>IFERROR(IF((K1703/J1703)&gt;K1703/J1703,1.3,K1703/J1703),"")</f>
        <v>1.05</v>
      </c>
      <c r="N1703" s="5" t="s">
        <v>347</v>
      </c>
      <c r="O1703" s="5" t="s">
        <v>347</v>
      </c>
      <c r="P1703" s="16">
        <v>0</v>
      </c>
      <c r="Q1703" s="16">
        <v>0</v>
      </c>
      <c r="R1703" s="5" t="str">
        <f t="shared" si="280"/>
        <v>437-2024-12-31</v>
      </c>
    </row>
    <row r="1704" spans="1:18" x14ac:dyDescent="0.3">
      <c r="A1704" s="39">
        <v>438</v>
      </c>
      <c r="B1704" s="5" t="s">
        <v>466</v>
      </c>
      <c r="C1704" s="5" t="s">
        <v>762</v>
      </c>
      <c r="D1704" s="5" t="s">
        <v>8</v>
      </c>
      <c r="E1704" s="5" t="s">
        <v>9</v>
      </c>
      <c r="F1704" s="6">
        <v>45291</v>
      </c>
      <c r="G1704" s="5">
        <f t="shared" si="275"/>
        <v>2023</v>
      </c>
      <c r="H1704" s="5" t="str">
        <f t="shared" si="276"/>
        <v>Diciembre</v>
      </c>
      <c r="I1704" s="6" t="str">
        <f t="shared" si="279"/>
        <v>2023-2</v>
      </c>
      <c r="J1704" s="5">
        <v>100</v>
      </c>
      <c r="K1704" s="9">
        <v>100</v>
      </c>
      <c r="L1704" s="15">
        <f>IFERROR(IF((K1704/J1704)&gt;1.3,1.3,K1704/J1704),"")</f>
        <v>1</v>
      </c>
      <c r="M1704" s="15">
        <f>IFERROR(IF((K1704/J1704)&gt;K1704/J1704,1.3,K1704/J1704),"")</f>
        <v>1</v>
      </c>
      <c r="N1704" s="5" t="s">
        <v>347</v>
      </c>
      <c r="O1704" s="5" t="s">
        <v>347</v>
      </c>
      <c r="P1704" s="16">
        <v>0</v>
      </c>
      <c r="Q1704" s="16">
        <v>0</v>
      </c>
      <c r="R1704" s="5" t="str">
        <f t="shared" si="280"/>
        <v>438-2023-12-31</v>
      </c>
    </row>
    <row r="1705" spans="1:18" x14ac:dyDescent="0.3">
      <c r="A1705" s="39">
        <v>439</v>
      </c>
      <c r="B1705" s="5" t="s">
        <v>467</v>
      </c>
      <c r="C1705" s="5" t="s">
        <v>762</v>
      </c>
      <c r="D1705" s="5" t="s">
        <v>8</v>
      </c>
      <c r="E1705" s="5" t="s">
        <v>9</v>
      </c>
      <c r="F1705" s="6">
        <v>45291</v>
      </c>
      <c r="G1705" s="5">
        <f t="shared" si="275"/>
        <v>2023</v>
      </c>
      <c r="H1705" s="5" t="str">
        <f t="shared" si="276"/>
        <v>Diciembre</v>
      </c>
      <c r="I1705" s="6" t="str">
        <f t="shared" si="279"/>
        <v>2023-2</v>
      </c>
      <c r="J1705" s="5">
        <v>100</v>
      </c>
      <c r="K1705" s="9">
        <v>100</v>
      </c>
      <c r="L1705" s="15">
        <f>IFERROR(IF((K1705/J1705)&gt;1.3,1.3,K1705/J1705),"")</f>
        <v>1</v>
      </c>
      <c r="M1705" s="15">
        <f>IFERROR(IF((K1705/J1705)&gt;K1705/J1705,1.3,K1705/J1705),"")</f>
        <v>1</v>
      </c>
      <c r="N1705" s="5" t="s">
        <v>347</v>
      </c>
      <c r="O1705" s="5" t="s">
        <v>347</v>
      </c>
      <c r="P1705" s="16">
        <v>0</v>
      </c>
      <c r="Q1705" s="16">
        <v>0</v>
      </c>
      <c r="R1705" s="5" t="str">
        <f t="shared" si="280"/>
        <v>439-2023-12-31</v>
      </c>
    </row>
    <row r="1706" spans="1:18" x14ac:dyDescent="0.3">
      <c r="A1706" s="5">
        <v>439</v>
      </c>
      <c r="B1706" s="5" t="s">
        <v>467</v>
      </c>
      <c r="C1706" s="5" t="s">
        <v>762</v>
      </c>
      <c r="D1706" s="5" t="s">
        <v>8</v>
      </c>
      <c r="E1706" s="5" t="s">
        <v>9</v>
      </c>
      <c r="F1706" s="6">
        <v>45473</v>
      </c>
      <c r="G1706" s="5">
        <f t="shared" si="275"/>
        <v>2024</v>
      </c>
      <c r="H1706" s="5" t="str">
        <f t="shared" si="276"/>
        <v>Junio</v>
      </c>
      <c r="I1706" s="6" t="str">
        <f t="shared" si="279"/>
        <v>2024-1</v>
      </c>
      <c r="J1706" s="5">
        <v>100</v>
      </c>
      <c r="K1706" s="5">
        <v>100</v>
      </c>
      <c r="L1706" s="15">
        <v>1</v>
      </c>
      <c r="M1706" s="15">
        <v>1</v>
      </c>
      <c r="N1706" s="5" t="s">
        <v>347</v>
      </c>
      <c r="O1706" s="5" t="s">
        <v>347</v>
      </c>
      <c r="P1706" s="16">
        <v>0</v>
      </c>
      <c r="Q1706" s="5">
        <v>0</v>
      </c>
      <c r="R1706" s="5" t="str">
        <f t="shared" si="280"/>
        <v>439-2024-06-30</v>
      </c>
    </row>
    <row r="1707" spans="1:18" x14ac:dyDescent="0.3">
      <c r="A1707" s="26">
        <v>439</v>
      </c>
      <c r="B1707" s="5" t="s">
        <v>467</v>
      </c>
      <c r="C1707" s="5" t="s">
        <v>762</v>
      </c>
      <c r="D1707" s="5" t="s">
        <v>8</v>
      </c>
      <c r="E1707" s="5" t="s">
        <v>9</v>
      </c>
      <c r="F1707" s="6">
        <v>45657</v>
      </c>
      <c r="G1707" s="5">
        <f t="shared" si="275"/>
        <v>2024</v>
      </c>
      <c r="H1707" s="5" t="str">
        <f t="shared" si="276"/>
        <v>Diciembre</v>
      </c>
      <c r="I1707" s="6" t="str">
        <f t="shared" si="279"/>
        <v>2024-2</v>
      </c>
      <c r="J1707" s="5">
        <v>100</v>
      </c>
      <c r="K1707" s="10">
        <v>100</v>
      </c>
      <c r="L1707" s="15">
        <f>IFERROR(IF((K1707/J1707)&gt;1.3,1.3,K1707/J1707),"")</f>
        <v>1</v>
      </c>
      <c r="M1707" s="15">
        <f>IFERROR(IF((K1707/J1707)&gt;K1707/J1707,1.3,K1707/J1707),"")</f>
        <v>1</v>
      </c>
      <c r="N1707" s="5" t="s">
        <v>347</v>
      </c>
      <c r="O1707" s="5" t="s">
        <v>347</v>
      </c>
      <c r="P1707" s="16">
        <v>0</v>
      </c>
      <c r="Q1707" s="16">
        <v>0</v>
      </c>
      <c r="R1707" s="5" t="str">
        <f t="shared" si="280"/>
        <v>439-2024-12-31</v>
      </c>
    </row>
    <row r="1708" spans="1:18" x14ac:dyDescent="0.3">
      <c r="A1708" s="39">
        <v>440</v>
      </c>
      <c r="B1708" s="5" t="s">
        <v>468</v>
      </c>
      <c r="C1708" s="5" t="s">
        <v>762</v>
      </c>
      <c r="D1708" s="5" t="s">
        <v>8</v>
      </c>
      <c r="E1708" s="5" t="s">
        <v>9</v>
      </c>
      <c r="F1708" s="6">
        <v>45291</v>
      </c>
      <c r="G1708" s="5">
        <f t="shared" si="275"/>
        <v>2023</v>
      </c>
      <c r="H1708" s="5" t="str">
        <f t="shared" si="276"/>
        <v>Diciembre</v>
      </c>
      <c r="I1708" s="6" t="str">
        <f t="shared" si="279"/>
        <v>2023-2</v>
      </c>
      <c r="J1708" s="5">
        <v>98</v>
      </c>
      <c r="K1708" s="9">
        <v>97.75</v>
      </c>
      <c r="L1708" s="15">
        <f t="shared" ref="L1708:L1715" si="285">IFERROR(IF((K1708/J1708)&gt;1.3,1.3,K1708/J1708),"")</f>
        <v>0.99744897959183676</v>
      </c>
      <c r="M1708" s="15">
        <f t="shared" ref="M1708" si="286">IFERROR(IF((K1708/J1708)&gt;K1708/J1708,1.3,K1708/J1708),"")</f>
        <v>0.99744897959183676</v>
      </c>
      <c r="N1708" s="5" t="s">
        <v>347</v>
      </c>
      <c r="O1708" s="5" t="s">
        <v>347</v>
      </c>
      <c r="P1708" s="16">
        <v>0</v>
      </c>
      <c r="Q1708" s="16">
        <v>1</v>
      </c>
      <c r="R1708" s="5" t="str">
        <f t="shared" si="280"/>
        <v>440-2023-12-31</v>
      </c>
    </row>
    <row r="1709" spans="1:18" x14ac:dyDescent="0.3">
      <c r="A1709" s="5">
        <v>440</v>
      </c>
      <c r="B1709" s="5" t="s">
        <v>468</v>
      </c>
      <c r="C1709" s="5" t="s">
        <v>762</v>
      </c>
      <c r="D1709" s="5" t="s">
        <v>8</v>
      </c>
      <c r="E1709" s="5" t="s">
        <v>9</v>
      </c>
      <c r="F1709" s="6">
        <v>45473</v>
      </c>
      <c r="G1709" s="5">
        <f t="shared" si="275"/>
        <v>2024</v>
      </c>
      <c r="H1709" s="5" t="str">
        <f t="shared" si="276"/>
        <v>Junio</v>
      </c>
      <c r="I1709" s="6" t="str">
        <f t="shared" si="279"/>
        <v>2024-1</v>
      </c>
      <c r="J1709" s="5">
        <v>98</v>
      </c>
      <c r="K1709" s="5">
        <v>99.73</v>
      </c>
      <c r="L1709" s="15">
        <f t="shared" si="285"/>
        <v>1.0176530612244898</v>
      </c>
      <c r="M1709" s="15">
        <f t="shared" ref="M1709" si="287">IFERROR(IF((K1709/J1709)&gt;K1709/J1709,1.3,K1709/J1709),"")</f>
        <v>1.0176530612244898</v>
      </c>
      <c r="N1709" s="5" t="s">
        <v>347</v>
      </c>
      <c r="O1709" s="5" t="s">
        <v>347</v>
      </c>
      <c r="P1709" s="16">
        <v>0</v>
      </c>
      <c r="Q1709" s="5">
        <v>1</v>
      </c>
      <c r="R1709" s="5" t="str">
        <f t="shared" si="280"/>
        <v>440-2024-06-30</v>
      </c>
    </row>
    <row r="1710" spans="1:18" x14ac:dyDescent="0.3">
      <c r="A1710" s="26">
        <v>440</v>
      </c>
      <c r="B1710" s="5" t="s">
        <v>468</v>
      </c>
      <c r="C1710" s="5" t="s">
        <v>762</v>
      </c>
      <c r="D1710" s="5" t="s">
        <v>8</v>
      </c>
      <c r="E1710" s="5" t="s">
        <v>9</v>
      </c>
      <c r="F1710" s="6">
        <v>45657</v>
      </c>
      <c r="G1710" s="5">
        <f t="shared" si="275"/>
        <v>2024</v>
      </c>
      <c r="H1710" s="5" t="str">
        <f t="shared" si="276"/>
        <v>Diciembre</v>
      </c>
      <c r="I1710" s="6" t="str">
        <f t="shared" si="279"/>
        <v>2024-2</v>
      </c>
      <c r="J1710" s="5">
        <v>98</v>
      </c>
      <c r="K1710" s="10">
        <v>99.24</v>
      </c>
      <c r="L1710" s="15">
        <f t="shared" si="285"/>
        <v>1.0126530612244897</v>
      </c>
      <c r="M1710" s="15">
        <f t="shared" ref="M1710" si="288">IFERROR(IF((K1710/J1710)&gt;K1710/J1710,1.3,K1710/J1710),"")</f>
        <v>1.0126530612244897</v>
      </c>
      <c r="N1710" s="5" t="s">
        <v>347</v>
      </c>
      <c r="O1710" s="5" t="s">
        <v>347</v>
      </c>
      <c r="P1710" s="16">
        <v>0</v>
      </c>
      <c r="Q1710" s="16">
        <v>1</v>
      </c>
      <c r="R1710" s="5" t="str">
        <f t="shared" si="280"/>
        <v>440-2024-12-31</v>
      </c>
    </row>
    <row r="1711" spans="1:18" x14ac:dyDescent="0.3">
      <c r="A1711" s="26">
        <v>441</v>
      </c>
      <c r="B1711" s="5" t="s">
        <v>508</v>
      </c>
      <c r="C1711" s="5" t="s">
        <v>117</v>
      </c>
      <c r="D1711" s="5" t="s">
        <v>18</v>
      </c>
      <c r="E1711" s="5" t="s">
        <v>9</v>
      </c>
      <c r="F1711" s="6">
        <v>45322</v>
      </c>
      <c r="G1711" s="5">
        <f t="shared" si="275"/>
        <v>2024</v>
      </c>
      <c r="H1711" s="5" t="str">
        <f t="shared" si="276"/>
        <v>Enero</v>
      </c>
      <c r="I1711" s="6" t="str">
        <f t="shared" si="279"/>
        <v>2024-1</v>
      </c>
      <c r="J1711" s="5">
        <v>90</v>
      </c>
      <c r="K1711" s="10">
        <v>87.82</v>
      </c>
      <c r="L1711" s="15">
        <f t="shared" si="285"/>
        <v>0.97577777777777774</v>
      </c>
      <c r="M1711" s="15">
        <f t="shared" ref="M1711:M1715" si="289">IFERROR(IF((K1711/J1711)&gt;K1711/J1711,1.3,K1711/J1711),"")</f>
        <v>0.97577777777777774</v>
      </c>
      <c r="N1711" s="5" t="s">
        <v>347</v>
      </c>
      <c r="O1711" s="11" t="s">
        <v>347</v>
      </c>
      <c r="P1711" s="16">
        <v>0</v>
      </c>
      <c r="Q1711" s="16">
        <v>1</v>
      </c>
      <c r="R1711" s="5" t="str">
        <f t="shared" si="280"/>
        <v>441-2024-01-31</v>
      </c>
    </row>
    <row r="1712" spans="1:18" x14ac:dyDescent="0.3">
      <c r="A1712" s="26">
        <v>441</v>
      </c>
      <c r="B1712" s="5" t="s">
        <v>508</v>
      </c>
      <c r="C1712" s="5" t="s">
        <v>117</v>
      </c>
      <c r="D1712" s="5" t="s">
        <v>18</v>
      </c>
      <c r="E1712" s="5" t="s">
        <v>9</v>
      </c>
      <c r="F1712" s="6">
        <v>45351</v>
      </c>
      <c r="G1712" s="5">
        <f t="shared" si="275"/>
        <v>2024</v>
      </c>
      <c r="H1712" s="5" t="str">
        <f t="shared" si="276"/>
        <v>Febrero</v>
      </c>
      <c r="I1712" s="6" t="str">
        <f t="shared" si="279"/>
        <v>2024-1</v>
      </c>
      <c r="J1712" s="5">
        <v>90</v>
      </c>
      <c r="K1712" s="10">
        <v>90.88</v>
      </c>
      <c r="L1712" s="15">
        <f t="shared" si="285"/>
        <v>1.0097777777777777</v>
      </c>
      <c r="M1712" s="15">
        <f t="shared" si="289"/>
        <v>1.0097777777777777</v>
      </c>
      <c r="N1712" s="5" t="s">
        <v>347</v>
      </c>
      <c r="O1712" s="11" t="s">
        <v>347</v>
      </c>
      <c r="P1712" s="16">
        <v>0</v>
      </c>
      <c r="Q1712" s="16">
        <v>1</v>
      </c>
      <c r="R1712" s="5" t="str">
        <f t="shared" si="280"/>
        <v>441-2024-02-29</v>
      </c>
    </row>
    <row r="1713" spans="1:18" x14ac:dyDescent="0.3">
      <c r="A1713" s="26">
        <v>441</v>
      </c>
      <c r="B1713" s="5" t="s">
        <v>508</v>
      </c>
      <c r="C1713" s="5" t="s">
        <v>117</v>
      </c>
      <c r="D1713" s="5" t="s">
        <v>18</v>
      </c>
      <c r="E1713" s="5" t="s">
        <v>9</v>
      </c>
      <c r="F1713" s="6">
        <v>45382</v>
      </c>
      <c r="G1713" s="5">
        <f t="shared" si="275"/>
        <v>2024</v>
      </c>
      <c r="H1713" s="5" t="str">
        <f t="shared" si="276"/>
        <v>Marzo</v>
      </c>
      <c r="I1713" s="6" t="str">
        <f t="shared" si="279"/>
        <v>2024-1</v>
      </c>
      <c r="J1713" s="5">
        <v>90</v>
      </c>
      <c r="K1713" s="10">
        <v>91.52</v>
      </c>
      <c r="L1713" s="15">
        <f t="shared" si="285"/>
        <v>1.016888888888889</v>
      </c>
      <c r="M1713" s="15">
        <f t="shared" si="289"/>
        <v>1.016888888888889</v>
      </c>
      <c r="N1713" s="5" t="s">
        <v>347</v>
      </c>
      <c r="O1713" s="11" t="s">
        <v>347</v>
      </c>
      <c r="P1713" s="16">
        <v>0</v>
      </c>
      <c r="Q1713" s="16">
        <v>1</v>
      </c>
      <c r="R1713" s="5" t="str">
        <f t="shared" si="280"/>
        <v>441-2024-03-31</v>
      </c>
    </row>
    <row r="1714" spans="1:18" x14ac:dyDescent="0.3">
      <c r="A1714" s="26">
        <v>441</v>
      </c>
      <c r="B1714" s="5" t="s">
        <v>508</v>
      </c>
      <c r="C1714" s="5" t="s">
        <v>117</v>
      </c>
      <c r="D1714" s="5" t="s">
        <v>18</v>
      </c>
      <c r="E1714" s="5" t="s">
        <v>9</v>
      </c>
      <c r="F1714" s="6">
        <v>45412</v>
      </c>
      <c r="G1714" s="5">
        <f t="shared" si="275"/>
        <v>2024</v>
      </c>
      <c r="H1714" s="5" t="str">
        <f t="shared" si="276"/>
        <v>Abril</v>
      </c>
      <c r="I1714" s="6" t="str">
        <f t="shared" si="279"/>
        <v>2024-1</v>
      </c>
      <c r="J1714" s="5">
        <v>90</v>
      </c>
      <c r="K1714" s="10">
        <v>95.82</v>
      </c>
      <c r="L1714" s="15">
        <f t="shared" si="285"/>
        <v>1.0646666666666667</v>
      </c>
      <c r="M1714" s="15">
        <f t="shared" si="289"/>
        <v>1.0646666666666667</v>
      </c>
      <c r="N1714" s="5" t="s">
        <v>347</v>
      </c>
      <c r="O1714" s="11" t="s">
        <v>347</v>
      </c>
      <c r="P1714" s="16">
        <v>0</v>
      </c>
      <c r="Q1714" s="16">
        <v>1</v>
      </c>
      <c r="R1714" s="5" t="str">
        <f t="shared" si="280"/>
        <v>441-2024-04-30</v>
      </c>
    </row>
    <row r="1715" spans="1:18" x14ac:dyDescent="0.3">
      <c r="A1715" s="26">
        <v>441</v>
      </c>
      <c r="B1715" s="5" t="s">
        <v>508</v>
      </c>
      <c r="C1715" s="5" t="s">
        <v>117</v>
      </c>
      <c r="D1715" s="5" t="s">
        <v>18</v>
      </c>
      <c r="E1715" s="5" t="s">
        <v>9</v>
      </c>
      <c r="F1715" s="6">
        <v>45443</v>
      </c>
      <c r="G1715" s="5">
        <f t="shared" si="275"/>
        <v>2024</v>
      </c>
      <c r="H1715" s="5" t="str">
        <f t="shared" si="276"/>
        <v>Mayo</v>
      </c>
      <c r="I1715" s="6" t="str">
        <f t="shared" si="279"/>
        <v>2024-1</v>
      </c>
      <c r="J1715" s="5">
        <v>90</v>
      </c>
      <c r="K1715" s="10">
        <v>96.89</v>
      </c>
      <c r="L1715" s="15">
        <f t="shared" si="285"/>
        <v>1.0765555555555555</v>
      </c>
      <c r="M1715" s="15">
        <f t="shared" si="289"/>
        <v>1.0765555555555555</v>
      </c>
      <c r="N1715" s="5" t="s">
        <v>347</v>
      </c>
      <c r="O1715" s="11" t="s">
        <v>347</v>
      </c>
      <c r="P1715" s="16">
        <v>0</v>
      </c>
      <c r="Q1715" s="16">
        <v>1</v>
      </c>
      <c r="R1715" s="5" t="str">
        <f t="shared" si="280"/>
        <v>441-2024-05-31</v>
      </c>
    </row>
    <row r="1716" spans="1:18" x14ac:dyDescent="0.3">
      <c r="A1716" s="5">
        <v>441</v>
      </c>
      <c r="B1716" s="5" t="s">
        <v>508</v>
      </c>
      <c r="C1716" s="5" t="s">
        <v>117</v>
      </c>
      <c r="D1716" s="5" t="s">
        <v>18</v>
      </c>
      <c r="E1716" s="5" t="s">
        <v>9</v>
      </c>
      <c r="F1716" s="6">
        <v>45473</v>
      </c>
      <c r="G1716" s="5">
        <f t="shared" si="275"/>
        <v>2024</v>
      </c>
      <c r="H1716" s="5" t="str">
        <f t="shared" si="276"/>
        <v>Junio</v>
      </c>
      <c r="I1716" s="6" t="str">
        <f t="shared" si="279"/>
        <v>2024-1</v>
      </c>
      <c r="J1716" s="5">
        <v>90</v>
      </c>
      <c r="K1716" s="5">
        <v>101.44927536231801</v>
      </c>
      <c r="L1716" s="15">
        <v>1.1272141706924224</v>
      </c>
      <c r="M1716" s="15">
        <v>1.1272141706924224</v>
      </c>
      <c r="N1716" s="5" t="s">
        <v>347</v>
      </c>
      <c r="O1716" s="11" t="s">
        <v>347</v>
      </c>
      <c r="P1716" s="5">
        <v>0</v>
      </c>
      <c r="Q1716" s="5">
        <v>0</v>
      </c>
      <c r="R1716" s="5" t="str">
        <f t="shared" si="280"/>
        <v>441-2024-06-30</v>
      </c>
    </row>
    <row r="1717" spans="1:18" x14ac:dyDescent="0.3">
      <c r="A1717" s="26">
        <v>441</v>
      </c>
      <c r="B1717" s="5" t="s">
        <v>508</v>
      </c>
      <c r="C1717" s="5" t="s">
        <v>117</v>
      </c>
      <c r="D1717" s="5" t="s">
        <v>18</v>
      </c>
      <c r="E1717" s="5" t="s">
        <v>9</v>
      </c>
      <c r="F1717" s="6">
        <v>45504</v>
      </c>
      <c r="G1717" s="5">
        <f t="shared" si="275"/>
        <v>2024</v>
      </c>
      <c r="H1717" s="5" t="str">
        <f t="shared" si="276"/>
        <v>Julio</v>
      </c>
      <c r="I1717" s="6" t="str">
        <f t="shared" si="279"/>
        <v>2024-2</v>
      </c>
      <c r="J1717" s="5">
        <v>90</v>
      </c>
      <c r="K1717" s="10">
        <v>91.2</v>
      </c>
      <c r="L1717" s="15">
        <f t="shared" ref="L1717:L1722" si="290">IFERROR(IF((K1717/J1717)&gt;1.3,1.3,K1717/J1717),"")</f>
        <v>1.0133333333333334</v>
      </c>
      <c r="M1717" s="15">
        <f t="shared" ref="M1717:M1722" si="291">IFERROR(IF((K1717/J1717)&gt;K1717/J1717,1.3,K1717/J1717),"")</f>
        <v>1.0133333333333334</v>
      </c>
      <c r="N1717" s="5" t="s">
        <v>347</v>
      </c>
      <c r="O1717" s="11" t="s">
        <v>347</v>
      </c>
      <c r="P1717" s="16">
        <v>0</v>
      </c>
      <c r="Q1717" s="16">
        <v>0</v>
      </c>
      <c r="R1717" s="5" t="str">
        <f t="shared" si="280"/>
        <v>441-2024-07-31</v>
      </c>
    </row>
    <row r="1718" spans="1:18" x14ac:dyDescent="0.3">
      <c r="A1718" s="26">
        <v>441</v>
      </c>
      <c r="B1718" s="5" t="s">
        <v>508</v>
      </c>
      <c r="C1718" s="5" t="s">
        <v>117</v>
      </c>
      <c r="D1718" s="5" t="s">
        <v>18</v>
      </c>
      <c r="E1718" s="5" t="s">
        <v>9</v>
      </c>
      <c r="F1718" s="6">
        <v>45535</v>
      </c>
      <c r="G1718" s="5">
        <f t="shared" si="275"/>
        <v>2024</v>
      </c>
      <c r="H1718" s="5" t="str">
        <f t="shared" si="276"/>
        <v>Agosto</v>
      </c>
      <c r="I1718" s="6" t="str">
        <f t="shared" si="279"/>
        <v>2024-2</v>
      </c>
      <c r="J1718" s="5">
        <v>90</v>
      </c>
      <c r="K1718" s="10">
        <v>98.160535117056796</v>
      </c>
      <c r="L1718" s="15">
        <f t="shared" si="290"/>
        <v>1.0906726124117421</v>
      </c>
      <c r="M1718" s="15">
        <f t="shared" si="291"/>
        <v>1.0906726124117421</v>
      </c>
      <c r="N1718" s="5" t="s">
        <v>347</v>
      </c>
      <c r="O1718" s="11" t="s">
        <v>347</v>
      </c>
      <c r="P1718" s="16">
        <v>0</v>
      </c>
      <c r="Q1718" s="16">
        <v>0</v>
      </c>
      <c r="R1718" s="5" t="str">
        <f t="shared" si="280"/>
        <v>441-2024-08-31</v>
      </c>
    </row>
    <row r="1719" spans="1:18" x14ac:dyDescent="0.3">
      <c r="A1719" s="26">
        <v>441</v>
      </c>
      <c r="B1719" s="5" t="s">
        <v>508</v>
      </c>
      <c r="C1719" s="5" t="s">
        <v>117</v>
      </c>
      <c r="D1719" s="5" t="s">
        <v>18</v>
      </c>
      <c r="E1719" s="5" t="s">
        <v>9</v>
      </c>
      <c r="F1719" s="6">
        <v>45565</v>
      </c>
      <c r="G1719" s="5">
        <f t="shared" si="275"/>
        <v>2024</v>
      </c>
      <c r="H1719" s="5" t="str">
        <f t="shared" si="276"/>
        <v>Septiembre</v>
      </c>
      <c r="I1719" s="6" t="str">
        <f t="shared" si="279"/>
        <v>2024-2</v>
      </c>
      <c r="J1719" s="5">
        <v>90</v>
      </c>
      <c r="K1719" s="10">
        <v>97.789566755083996</v>
      </c>
      <c r="L1719" s="15">
        <f t="shared" si="290"/>
        <v>1.0865507417231555</v>
      </c>
      <c r="M1719" s="15">
        <f t="shared" si="291"/>
        <v>1.0865507417231555</v>
      </c>
      <c r="N1719" s="5" t="s">
        <v>347</v>
      </c>
      <c r="O1719" s="11" t="s">
        <v>347</v>
      </c>
      <c r="P1719" s="16">
        <v>0</v>
      </c>
      <c r="Q1719" s="16">
        <v>0</v>
      </c>
      <c r="R1719" s="5" t="str">
        <f t="shared" si="280"/>
        <v>441-2024-09-30</v>
      </c>
    </row>
    <row r="1720" spans="1:18" x14ac:dyDescent="0.3">
      <c r="A1720" s="26">
        <v>441</v>
      </c>
      <c r="B1720" s="5" t="s">
        <v>508</v>
      </c>
      <c r="C1720" s="5" t="s">
        <v>117</v>
      </c>
      <c r="D1720" s="5" t="s">
        <v>18</v>
      </c>
      <c r="E1720" s="5" t="s">
        <v>9</v>
      </c>
      <c r="F1720" s="6">
        <v>45596</v>
      </c>
      <c r="G1720" s="5">
        <f t="shared" si="275"/>
        <v>2024</v>
      </c>
      <c r="H1720" s="5" t="str">
        <f t="shared" si="276"/>
        <v>Octubre</v>
      </c>
      <c r="I1720" s="6" t="str">
        <f t="shared" si="279"/>
        <v>2024-2</v>
      </c>
      <c r="J1720" s="5">
        <v>90</v>
      </c>
      <c r="K1720" s="10">
        <v>96.619083395942894</v>
      </c>
      <c r="L1720" s="15">
        <f t="shared" si="290"/>
        <v>1.0735453710660321</v>
      </c>
      <c r="M1720" s="15">
        <f t="shared" si="291"/>
        <v>1.0735453710660321</v>
      </c>
      <c r="N1720" s="5" t="s">
        <v>347</v>
      </c>
      <c r="O1720" s="11" t="s">
        <v>347</v>
      </c>
      <c r="P1720" s="16">
        <v>0</v>
      </c>
      <c r="Q1720" s="16">
        <v>0</v>
      </c>
      <c r="R1720" s="5" t="str">
        <f t="shared" si="280"/>
        <v>441-2024-10-31</v>
      </c>
    </row>
    <row r="1721" spans="1:18" x14ac:dyDescent="0.3">
      <c r="A1721" s="26">
        <v>441</v>
      </c>
      <c r="B1721" s="5" t="s">
        <v>508</v>
      </c>
      <c r="C1721" s="5" t="s">
        <v>117</v>
      </c>
      <c r="D1721" s="5" t="s">
        <v>18</v>
      </c>
      <c r="E1721" s="5" t="s">
        <v>9</v>
      </c>
      <c r="F1721" s="6">
        <v>45626</v>
      </c>
      <c r="G1721" s="5">
        <f t="shared" si="275"/>
        <v>2024</v>
      </c>
      <c r="H1721" s="5" t="str">
        <f t="shared" si="276"/>
        <v>Noviembre</v>
      </c>
      <c r="I1721" s="6" t="str">
        <f t="shared" si="279"/>
        <v>2024-2</v>
      </c>
      <c r="J1721" s="5">
        <v>90</v>
      </c>
      <c r="K1721" s="10">
        <v>97.5359342915811</v>
      </c>
      <c r="L1721" s="15">
        <f t="shared" si="290"/>
        <v>1.08373260323979</v>
      </c>
      <c r="M1721" s="15">
        <f t="shared" si="291"/>
        <v>1.08373260323979</v>
      </c>
      <c r="N1721" s="5" t="s">
        <v>347</v>
      </c>
      <c r="O1721" s="11" t="s">
        <v>347</v>
      </c>
      <c r="P1721" s="16">
        <v>0</v>
      </c>
      <c r="Q1721" s="16">
        <v>0</v>
      </c>
      <c r="R1721" s="5" t="str">
        <f t="shared" si="280"/>
        <v>441-2024-11-30</v>
      </c>
    </row>
    <row r="1722" spans="1:18" x14ac:dyDescent="0.3">
      <c r="A1722" s="26">
        <v>441</v>
      </c>
      <c r="B1722" s="5" t="s">
        <v>508</v>
      </c>
      <c r="C1722" s="5" t="s">
        <v>117</v>
      </c>
      <c r="D1722" s="5" t="s">
        <v>18</v>
      </c>
      <c r="E1722" s="5" t="s">
        <v>9</v>
      </c>
      <c r="F1722" s="6">
        <v>45657</v>
      </c>
      <c r="G1722" s="5">
        <f t="shared" si="275"/>
        <v>2024</v>
      </c>
      <c r="H1722" s="5" t="str">
        <f t="shared" si="276"/>
        <v>Diciembre</v>
      </c>
      <c r="I1722" s="6" t="str">
        <f t="shared" si="279"/>
        <v>2024-2</v>
      </c>
      <c r="J1722" s="5">
        <v>90</v>
      </c>
      <c r="K1722" s="10">
        <v>99.919935948759004</v>
      </c>
      <c r="L1722" s="15">
        <f t="shared" si="290"/>
        <v>1.1102215105417668</v>
      </c>
      <c r="M1722" s="15">
        <f t="shared" si="291"/>
        <v>1.1102215105417668</v>
      </c>
      <c r="N1722" s="5" t="s">
        <v>347</v>
      </c>
      <c r="O1722" s="11" t="s">
        <v>347</v>
      </c>
      <c r="P1722" s="16">
        <v>0</v>
      </c>
      <c r="Q1722" s="16">
        <v>0</v>
      </c>
      <c r="R1722" s="5" t="str">
        <f t="shared" si="280"/>
        <v>441-2024-12-31</v>
      </c>
    </row>
    <row r="1723" spans="1:18" x14ac:dyDescent="0.3">
      <c r="A1723" s="5">
        <v>442</v>
      </c>
      <c r="B1723" s="5" t="s">
        <v>509</v>
      </c>
      <c r="C1723" s="5" t="s">
        <v>53</v>
      </c>
      <c r="D1723" s="5" t="s">
        <v>8</v>
      </c>
      <c r="E1723" s="5" t="s">
        <v>9</v>
      </c>
      <c r="F1723" s="6">
        <v>45473</v>
      </c>
      <c r="G1723" s="5">
        <f t="shared" si="275"/>
        <v>2024</v>
      </c>
      <c r="H1723" s="5" t="str">
        <f t="shared" si="276"/>
        <v>Junio</v>
      </c>
      <c r="I1723" s="6" t="str">
        <f t="shared" si="279"/>
        <v>2024-1</v>
      </c>
      <c r="J1723" s="5">
        <v>100</v>
      </c>
      <c r="K1723" s="5">
        <v>80</v>
      </c>
      <c r="L1723" s="15">
        <v>0.8</v>
      </c>
      <c r="M1723" s="15">
        <v>0.8</v>
      </c>
      <c r="N1723" s="5" t="s">
        <v>417</v>
      </c>
      <c r="O1723" s="5" t="s">
        <v>417</v>
      </c>
      <c r="P1723" s="5">
        <v>0</v>
      </c>
      <c r="Q1723" s="5">
        <v>0</v>
      </c>
      <c r="R1723" s="5" t="str">
        <f t="shared" si="280"/>
        <v>442-2024-06-30</v>
      </c>
    </row>
    <row r="1724" spans="1:18" x14ac:dyDescent="0.3">
      <c r="A1724" s="26">
        <v>442</v>
      </c>
      <c r="B1724" s="5" t="s">
        <v>509</v>
      </c>
      <c r="C1724" s="5" t="s">
        <v>53</v>
      </c>
      <c r="D1724" s="5" t="s">
        <v>8</v>
      </c>
      <c r="E1724" s="5" t="s">
        <v>9</v>
      </c>
      <c r="F1724" s="6">
        <v>45657</v>
      </c>
      <c r="G1724" s="5">
        <f t="shared" si="275"/>
        <v>2024</v>
      </c>
      <c r="H1724" s="5" t="str">
        <f t="shared" si="276"/>
        <v>Diciembre</v>
      </c>
      <c r="I1724" s="6" t="str">
        <f t="shared" si="279"/>
        <v>2024-2</v>
      </c>
      <c r="J1724" s="5">
        <v>100</v>
      </c>
      <c r="K1724" s="10">
        <v>145</v>
      </c>
      <c r="L1724" s="15">
        <f>IFERROR(IF((K1724/J1724)&gt;1.3,1.3,K1724/J1724),"")</f>
        <v>1.3</v>
      </c>
      <c r="M1724" s="15">
        <f>IFERROR(IF((K1724/J1724)&gt;K1724/J1724,1.3,K1724/J1724),"")</f>
        <v>1.45</v>
      </c>
      <c r="N1724" s="5" t="s">
        <v>417</v>
      </c>
      <c r="O1724" s="5" t="s">
        <v>417</v>
      </c>
      <c r="P1724" s="16">
        <v>0</v>
      </c>
      <c r="Q1724" s="16">
        <v>0</v>
      </c>
      <c r="R1724" s="5" t="str">
        <f t="shared" si="280"/>
        <v>442-2024-12-31</v>
      </c>
    </row>
    <row r="1725" spans="1:18" x14ac:dyDescent="0.3">
      <c r="A1725" s="5">
        <v>443</v>
      </c>
      <c r="B1725" s="5" t="s">
        <v>510</v>
      </c>
      <c r="C1725" s="5" t="s">
        <v>53</v>
      </c>
      <c r="D1725" s="5" t="s">
        <v>8</v>
      </c>
      <c r="E1725" s="5" t="s">
        <v>9</v>
      </c>
      <c r="F1725" s="6">
        <v>45473</v>
      </c>
      <c r="G1725" s="5">
        <f t="shared" si="275"/>
        <v>2024</v>
      </c>
      <c r="H1725" s="5" t="str">
        <f t="shared" si="276"/>
        <v>Junio</v>
      </c>
      <c r="I1725" s="6" t="str">
        <f t="shared" si="279"/>
        <v>2024-1</v>
      </c>
      <c r="J1725" s="5">
        <v>100</v>
      </c>
      <c r="K1725" s="5">
        <v>114.33</v>
      </c>
      <c r="L1725" s="15">
        <v>1.1433</v>
      </c>
      <c r="M1725" s="15">
        <v>1.1433</v>
      </c>
      <c r="N1725" s="5" t="s">
        <v>417</v>
      </c>
      <c r="O1725" s="5" t="s">
        <v>417</v>
      </c>
      <c r="P1725" s="5">
        <v>0</v>
      </c>
      <c r="Q1725" s="5">
        <v>0</v>
      </c>
      <c r="R1725" s="5" t="str">
        <f t="shared" si="280"/>
        <v>443-2024-06-30</v>
      </c>
    </row>
    <row r="1726" spans="1:18" x14ac:dyDescent="0.3">
      <c r="A1726" s="26">
        <v>443</v>
      </c>
      <c r="B1726" s="5" t="s">
        <v>510</v>
      </c>
      <c r="C1726" s="5" t="s">
        <v>53</v>
      </c>
      <c r="D1726" s="5" t="s">
        <v>8</v>
      </c>
      <c r="E1726" s="5" t="s">
        <v>9</v>
      </c>
      <c r="F1726" s="6">
        <v>45657</v>
      </c>
      <c r="G1726" s="5">
        <f t="shared" si="275"/>
        <v>2024</v>
      </c>
      <c r="H1726" s="5" t="str">
        <f t="shared" si="276"/>
        <v>Diciembre</v>
      </c>
      <c r="I1726" s="6" t="str">
        <f t="shared" si="279"/>
        <v>2024-2</v>
      </c>
      <c r="J1726" s="5">
        <v>100</v>
      </c>
      <c r="K1726" s="10">
        <v>209</v>
      </c>
      <c r="L1726" s="15">
        <f t="shared" ref="L1726:L1731" si="292">IFERROR(IF((K1726/J1726)&gt;1.3,1.3,K1726/J1726),"")</f>
        <v>1.3</v>
      </c>
      <c r="M1726" s="15">
        <f t="shared" ref="M1726:M1731" si="293">IFERROR(IF((K1726/J1726)&gt;K1726/J1726,1.3,K1726/J1726),"")</f>
        <v>2.09</v>
      </c>
      <c r="N1726" s="5" t="s">
        <v>417</v>
      </c>
      <c r="O1726" s="5" t="s">
        <v>417</v>
      </c>
      <c r="P1726" s="16">
        <v>0</v>
      </c>
      <c r="Q1726" s="16">
        <v>0</v>
      </c>
      <c r="R1726" s="5" t="str">
        <f t="shared" si="280"/>
        <v>443-2024-12-31</v>
      </c>
    </row>
    <row r="1727" spans="1:18" x14ac:dyDescent="0.3">
      <c r="A1727" s="26">
        <v>444</v>
      </c>
      <c r="B1727" s="5" t="s">
        <v>511</v>
      </c>
      <c r="C1727" s="5" t="s">
        <v>126</v>
      </c>
      <c r="D1727" s="5" t="s">
        <v>8</v>
      </c>
      <c r="E1727" s="5" t="s">
        <v>9</v>
      </c>
      <c r="F1727" s="6">
        <v>45657</v>
      </c>
      <c r="G1727" s="5">
        <f t="shared" si="275"/>
        <v>2024</v>
      </c>
      <c r="H1727" s="5" t="str">
        <f t="shared" si="276"/>
        <v>Diciembre</v>
      </c>
      <c r="I1727" s="6" t="str">
        <f t="shared" si="279"/>
        <v>2024-2</v>
      </c>
      <c r="J1727" s="5"/>
      <c r="K1727" s="10">
        <v>2.1</v>
      </c>
      <c r="L1727" s="15" t="str">
        <f t="shared" si="292"/>
        <v/>
      </c>
      <c r="M1727" s="15" t="str">
        <f t="shared" si="293"/>
        <v/>
      </c>
      <c r="N1727" s="5" t="s">
        <v>477</v>
      </c>
      <c r="O1727" s="5"/>
      <c r="P1727" s="16">
        <v>0</v>
      </c>
      <c r="Q1727" s="16">
        <v>1</v>
      </c>
      <c r="R1727" s="5" t="str">
        <f t="shared" si="280"/>
        <v>444-2024-12-31</v>
      </c>
    </row>
    <row r="1728" spans="1:18" x14ac:dyDescent="0.3">
      <c r="A1728" s="5">
        <v>445</v>
      </c>
      <c r="B1728" s="5" t="s">
        <v>722</v>
      </c>
      <c r="C1728" s="5" t="s">
        <v>126</v>
      </c>
      <c r="D1728" s="5" t="s">
        <v>8</v>
      </c>
      <c r="E1728" s="5" t="s">
        <v>9</v>
      </c>
      <c r="F1728" s="6">
        <v>45473</v>
      </c>
      <c r="G1728" s="5">
        <f t="shared" si="275"/>
        <v>2024</v>
      </c>
      <c r="H1728" s="5" t="str">
        <f t="shared" si="276"/>
        <v>Junio</v>
      </c>
      <c r="I1728" s="6" t="str">
        <f t="shared" si="279"/>
        <v>2024-1</v>
      </c>
      <c r="J1728" s="5">
        <v>67.5</v>
      </c>
      <c r="K1728" s="5">
        <v>55.2</v>
      </c>
      <c r="L1728" s="15">
        <f t="shared" si="292"/>
        <v>0.81777777777777783</v>
      </c>
      <c r="M1728" s="15">
        <f t="shared" si="293"/>
        <v>0.81777777777777783</v>
      </c>
      <c r="N1728" s="5" t="s">
        <v>347</v>
      </c>
      <c r="O1728" s="5" t="s">
        <v>347</v>
      </c>
      <c r="P1728" s="5">
        <v>0</v>
      </c>
      <c r="Q1728" s="5">
        <v>0</v>
      </c>
      <c r="R1728" s="5" t="str">
        <f t="shared" si="280"/>
        <v>445-2024-06-30</v>
      </c>
    </row>
    <row r="1729" spans="1:18" x14ac:dyDescent="0.3">
      <c r="A1729" s="26">
        <v>445</v>
      </c>
      <c r="B1729" s="5" t="s">
        <v>722</v>
      </c>
      <c r="C1729" s="5" t="s">
        <v>126</v>
      </c>
      <c r="D1729" s="5" t="s">
        <v>8</v>
      </c>
      <c r="E1729" s="5" t="s">
        <v>9</v>
      </c>
      <c r="F1729" s="6">
        <v>45657</v>
      </c>
      <c r="G1729" s="5">
        <f t="shared" si="275"/>
        <v>2024</v>
      </c>
      <c r="H1729" s="5" t="str">
        <f t="shared" si="276"/>
        <v>Diciembre</v>
      </c>
      <c r="I1729" s="6" t="str">
        <f t="shared" si="279"/>
        <v>2024-2</v>
      </c>
      <c r="J1729" s="5">
        <v>67.5</v>
      </c>
      <c r="K1729" s="10">
        <v>86.5</v>
      </c>
      <c r="L1729" s="15">
        <f t="shared" si="292"/>
        <v>1.2814814814814814</v>
      </c>
      <c r="M1729" s="15">
        <f t="shared" si="293"/>
        <v>1.2814814814814814</v>
      </c>
      <c r="N1729" s="5" t="s">
        <v>347</v>
      </c>
      <c r="O1729" s="5" t="s">
        <v>347</v>
      </c>
      <c r="P1729" s="16">
        <v>0</v>
      </c>
      <c r="Q1729" s="16">
        <v>0</v>
      </c>
      <c r="R1729" s="5" t="str">
        <f t="shared" si="280"/>
        <v>445-2024-12-31</v>
      </c>
    </row>
    <row r="1730" spans="1:18" x14ac:dyDescent="0.3">
      <c r="A1730" s="5">
        <v>447</v>
      </c>
      <c r="B1730" s="5" t="s">
        <v>512</v>
      </c>
      <c r="C1730" s="5" t="s">
        <v>55</v>
      </c>
      <c r="D1730" s="5" t="s">
        <v>8</v>
      </c>
      <c r="E1730" s="5" t="s">
        <v>9</v>
      </c>
      <c r="F1730" s="6">
        <v>45473</v>
      </c>
      <c r="G1730" s="5">
        <f t="shared" ref="G1730:G1793" si="294">YEAR(F1730)</f>
        <v>2024</v>
      </c>
      <c r="H1730" s="5" t="str">
        <f t="shared" ref="H1730:H1793" si="295">PROPER(TEXT(F1730,"mmmm"))</f>
        <v>Junio</v>
      </c>
      <c r="I1730" s="6" t="str">
        <f t="shared" si="279"/>
        <v>2024-1</v>
      </c>
      <c r="J1730" s="5">
        <v>15</v>
      </c>
      <c r="K1730" s="5">
        <v>31.04</v>
      </c>
      <c r="L1730" s="15">
        <f t="shared" si="292"/>
        <v>1.3</v>
      </c>
      <c r="M1730" s="15">
        <f t="shared" si="293"/>
        <v>2.0693333333333332</v>
      </c>
      <c r="N1730" s="5" t="s">
        <v>347</v>
      </c>
      <c r="O1730" s="5" t="s">
        <v>347</v>
      </c>
      <c r="P1730" s="5">
        <v>0</v>
      </c>
      <c r="Q1730" s="5">
        <v>0</v>
      </c>
      <c r="R1730" s="5" t="str">
        <f t="shared" si="280"/>
        <v>447-2024-06-30</v>
      </c>
    </row>
    <row r="1731" spans="1:18" x14ac:dyDescent="0.3">
      <c r="A1731" s="26">
        <v>447</v>
      </c>
      <c r="B1731" s="5" t="s">
        <v>512</v>
      </c>
      <c r="C1731" s="5" t="s">
        <v>55</v>
      </c>
      <c r="D1731" s="5" t="s">
        <v>8</v>
      </c>
      <c r="E1731" s="5" t="s">
        <v>9</v>
      </c>
      <c r="F1731" s="6">
        <v>45657</v>
      </c>
      <c r="G1731" s="5">
        <f t="shared" si="294"/>
        <v>2024</v>
      </c>
      <c r="H1731" s="5" t="str">
        <f t="shared" si="295"/>
        <v>Diciembre</v>
      </c>
      <c r="I1731" s="6" t="str">
        <f t="shared" si="279"/>
        <v>2024-2</v>
      </c>
      <c r="J1731" s="5">
        <v>15</v>
      </c>
      <c r="K1731" s="10">
        <v>16.16</v>
      </c>
      <c r="L1731" s="15">
        <f t="shared" si="292"/>
        <v>1.0773333333333333</v>
      </c>
      <c r="M1731" s="15">
        <f t="shared" si="293"/>
        <v>1.0773333333333333</v>
      </c>
      <c r="N1731" s="5" t="s">
        <v>347</v>
      </c>
      <c r="O1731" s="5" t="s">
        <v>347</v>
      </c>
      <c r="P1731" s="16">
        <v>0</v>
      </c>
      <c r="Q1731" s="16">
        <v>0</v>
      </c>
      <c r="R1731" s="5" t="str">
        <f t="shared" si="280"/>
        <v>447-2024-12-31</v>
      </c>
    </row>
    <row r="1732" spans="1:18" x14ac:dyDescent="0.3">
      <c r="A1732" s="5">
        <v>448</v>
      </c>
      <c r="B1732" s="5" t="s">
        <v>513</v>
      </c>
      <c r="C1732" s="5" t="s">
        <v>55</v>
      </c>
      <c r="D1732" s="5" t="s">
        <v>8</v>
      </c>
      <c r="E1732" s="5" t="s">
        <v>9</v>
      </c>
      <c r="F1732" s="6">
        <v>45473</v>
      </c>
      <c r="G1732" s="5">
        <f t="shared" si="294"/>
        <v>2024</v>
      </c>
      <c r="H1732" s="5" t="str">
        <f t="shared" si="295"/>
        <v>Junio</v>
      </c>
      <c r="I1732" s="6" t="str">
        <f t="shared" si="279"/>
        <v>2024-1</v>
      </c>
      <c r="J1732" s="5">
        <v>9</v>
      </c>
      <c r="K1732" s="5">
        <v>18.93</v>
      </c>
      <c r="L1732" s="15">
        <v>1.1135294117647059</v>
      </c>
      <c r="M1732" s="15">
        <v>1.1135294117647059</v>
      </c>
      <c r="N1732" s="5" t="s">
        <v>347</v>
      </c>
      <c r="O1732" s="5" t="s">
        <v>347</v>
      </c>
      <c r="P1732" s="5">
        <v>0</v>
      </c>
      <c r="Q1732" s="5">
        <v>0</v>
      </c>
      <c r="R1732" s="5" t="str">
        <f t="shared" si="280"/>
        <v>448-2024-06-30</v>
      </c>
    </row>
    <row r="1733" spans="1:18" x14ac:dyDescent="0.3">
      <c r="A1733" s="26">
        <v>448</v>
      </c>
      <c r="B1733" s="5" t="s">
        <v>513</v>
      </c>
      <c r="C1733" s="5" t="s">
        <v>55</v>
      </c>
      <c r="D1733" s="5" t="s">
        <v>8</v>
      </c>
      <c r="E1733" s="5" t="s">
        <v>9</v>
      </c>
      <c r="F1733" s="6">
        <v>45657</v>
      </c>
      <c r="G1733" s="5">
        <f t="shared" si="294"/>
        <v>2024</v>
      </c>
      <c r="H1733" s="5" t="str">
        <f t="shared" si="295"/>
        <v>Diciembre</v>
      </c>
      <c r="I1733" s="6" t="str">
        <f t="shared" si="279"/>
        <v>2024-2</v>
      </c>
      <c r="J1733" s="5">
        <v>9</v>
      </c>
      <c r="K1733" s="10">
        <v>9.32</v>
      </c>
      <c r="L1733" s="15">
        <f>IFERROR(IF((K1733/J1733)&gt;1.3,1.3,K1733/J1733),"")</f>
        <v>1.0355555555555556</v>
      </c>
      <c r="M1733" s="15">
        <f>IFERROR(IF((K1733/J1733)&gt;K1733/J1733,1.3,K1733/J1733),"")</f>
        <v>1.0355555555555556</v>
      </c>
      <c r="N1733" s="5" t="s">
        <v>347</v>
      </c>
      <c r="O1733" s="5" t="s">
        <v>347</v>
      </c>
      <c r="P1733" s="16">
        <v>0</v>
      </c>
      <c r="Q1733" s="16">
        <v>0</v>
      </c>
      <c r="R1733" s="5" t="str">
        <f t="shared" si="280"/>
        <v>448-2024-12-31</v>
      </c>
    </row>
    <row r="1734" spans="1:18" x14ac:dyDescent="0.3">
      <c r="A1734" s="26">
        <v>449</v>
      </c>
      <c r="B1734" s="5" t="s">
        <v>736</v>
      </c>
      <c r="C1734" s="5" t="s">
        <v>182</v>
      </c>
      <c r="D1734" s="5" t="s">
        <v>11</v>
      </c>
      <c r="E1734" s="5" t="s">
        <v>9</v>
      </c>
      <c r="F1734" s="6">
        <v>45382</v>
      </c>
      <c r="G1734" s="5">
        <f t="shared" si="294"/>
        <v>2024</v>
      </c>
      <c r="H1734" s="5" t="str">
        <f t="shared" si="295"/>
        <v>Marzo</v>
      </c>
      <c r="I1734" s="6" t="str">
        <f t="shared" si="279"/>
        <v>2024-1</v>
      </c>
      <c r="J1734" s="5">
        <v>20</v>
      </c>
      <c r="K1734" s="10">
        <v>51.28</v>
      </c>
      <c r="L1734" s="15">
        <f>IFERROR(IF((K1734/J1734)&gt;1.3,1.3,K1734/J1734),"")</f>
        <v>1.3</v>
      </c>
      <c r="M1734" s="15">
        <f>IFERROR(IF((K1734/J1734)&gt;K1734/J1734,1.3,K1734/J1734),"")</f>
        <v>2.5640000000000001</v>
      </c>
      <c r="N1734" s="5"/>
      <c r="O1734" s="5"/>
      <c r="P1734" s="16">
        <v>0</v>
      </c>
      <c r="Q1734" s="16">
        <v>0</v>
      </c>
      <c r="R1734" s="5" t="str">
        <f t="shared" si="280"/>
        <v>449-2024-03-31</v>
      </c>
    </row>
    <row r="1735" spans="1:18" x14ac:dyDescent="0.3">
      <c r="A1735" s="26">
        <v>449</v>
      </c>
      <c r="B1735" s="5" t="s">
        <v>736</v>
      </c>
      <c r="C1735" s="5" t="s">
        <v>182</v>
      </c>
      <c r="D1735" s="5" t="s">
        <v>11</v>
      </c>
      <c r="E1735" s="5" t="s">
        <v>9</v>
      </c>
      <c r="F1735" s="6">
        <v>45565</v>
      </c>
      <c r="G1735" s="5">
        <f t="shared" si="294"/>
        <v>2024</v>
      </c>
      <c r="H1735" s="5" t="str">
        <f t="shared" si="295"/>
        <v>Septiembre</v>
      </c>
      <c r="I1735" s="6" t="str">
        <f t="shared" si="279"/>
        <v>2024-2</v>
      </c>
      <c r="J1735" s="5">
        <v>70</v>
      </c>
      <c r="K1735" s="10">
        <v>84.615384615384599</v>
      </c>
      <c r="L1735" s="15">
        <f>IFERROR(IF((K1735/J1735)&gt;1.3,1.3,K1735/J1735),"")</f>
        <v>1.2087912087912085</v>
      </c>
      <c r="M1735" s="15">
        <f>IFERROR(IF((K1735/J1735)&gt;K1735/J1735,1.3,K1735/J1735),"")</f>
        <v>1.2087912087912085</v>
      </c>
      <c r="N1735" s="5"/>
      <c r="O1735" s="5"/>
      <c r="P1735" s="16">
        <v>0</v>
      </c>
      <c r="Q1735" s="16">
        <v>0</v>
      </c>
      <c r="R1735" s="5" t="str">
        <f t="shared" si="280"/>
        <v>449-2024-09-30</v>
      </c>
    </row>
    <row r="1736" spans="1:18" x14ac:dyDescent="0.3">
      <c r="A1736" s="26">
        <v>449</v>
      </c>
      <c r="B1736" s="5" t="s">
        <v>736</v>
      </c>
      <c r="C1736" s="5" t="s">
        <v>182</v>
      </c>
      <c r="D1736" s="5" t="s">
        <v>11</v>
      </c>
      <c r="E1736" s="5" t="s">
        <v>9</v>
      </c>
      <c r="F1736" s="6">
        <v>45657</v>
      </c>
      <c r="G1736" s="5">
        <f t="shared" si="294"/>
        <v>2024</v>
      </c>
      <c r="H1736" s="5" t="str">
        <f t="shared" si="295"/>
        <v>Diciembre</v>
      </c>
      <c r="I1736" s="6" t="str">
        <f t="shared" si="279"/>
        <v>2024-2</v>
      </c>
      <c r="J1736" s="5">
        <v>100</v>
      </c>
      <c r="K1736" s="10">
        <v>100</v>
      </c>
      <c r="L1736" s="15">
        <f>IFERROR(IF((K1736/J1736)&gt;1.3,1.3,K1736/J1736),"")</f>
        <v>1</v>
      </c>
      <c r="M1736" s="15">
        <f>IFERROR(IF((K1736/J1736)&gt;K1736/J1736,1.3,K1736/J1736),"")</f>
        <v>1</v>
      </c>
      <c r="N1736" s="5"/>
      <c r="O1736" s="5"/>
      <c r="P1736" s="16">
        <v>0</v>
      </c>
      <c r="Q1736" s="16">
        <v>0</v>
      </c>
      <c r="R1736" s="5" t="str">
        <f t="shared" si="280"/>
        <v>449-2024-12-31</v>
      </c>
    </row>
    <row r="1737" spans="1:18" x14ac:dyDescent="0.3">
      <c r="A1737" s="5">
        <v>451</v>
      </c>
      <c r="B1737" s="5" t="s">
        <v>515</v>
      </c>
      <c r="C1737" s="5" t="s">
        <v>285</v>
      </c>
      <c r="D1737" s="5" t="s">
        <v>8</v>
      </c>
      <c r="E1737" s="5" t="s">
        <v>9</v>
      </c>
      <c r="F1737" s="6">
        <v>45473</v>
      </c>
      <c r="G1737" s="5">
        <f t="shared" si="294"/>
        <v>2024</v>
      </c>
      <c r="H1737" s="5" t="str">
        <f t="shared" si="295"/>
        <v>Junio</v>
      </c>
      <c r="I1737" s="6" t="str">
        <f t="shared" si="279"/>
        <v>2024-1</v>
      </c>
      <c r="J1737" s="5">
        <v>0</v>
      </c>
      <c r="K1737" s="5">
        <v>34.9</v>
      </c>
      <c r="L1737" s="15" t="s">
        <v>417</v>
      </c>
      <c r="M1737" s="15" t="s">
        <v>417</v>
      </c>
      <c r="N1737" s="5"/>
      <c r="O1737" s="5"/>
      <c r="P1737" s="5">
        <v>0</v>
      </c>
      <c r="Q1737" s="5">
        <v>0</v>
      </c>
      <c r="R1737" s="5" t="str">
        <f t="shared" si="280"/>
        <v>451-2024-06-30</v>
      </c>
    </row>
    <row r="1738" spans="1:18" x14ac:dyDescent="0.3">
      <c r="A1738" s="26">
        <v>451</v>
      </c>
      <c r="B1738" s="5" t="s">
        <v>515</v>
      </c>
      <c r="C1738" s="5" t="s">
        <v>285</v>
      </c>
      <c r="D1738" s="5" t="s">
        <v>8</v>
      </c>
      <c r="E1738" s="5" t="s">
        <v>9</v>
      </c>
      <c r="F1738" s="6">
        <v>45657</v>
      </c>
      <c r="G1738" s="5">
        <f t="shared" si="294"/>
        <v>2024</v>
      </c>
      <c r="H1738" s="5" t="str">
        <f t="shared" si="295"/>
        <v>Diciembre</v>
      </c>
      <c r="I1738" s="6" t="str">
        <f t="shared" si="279"/>
        <v>2024-2</v>
      </c>
      <c r="J1738" s="5">
        <v>0</v>
      </c>
      <c r="K1738" s="10">
        <v>42.7</v>
      </c>
      <c r="L1738" s="15" t="str">
        <f>IFERROR(IF((K1738/J1738)&gt;1.3,1.3,K1738/J1738),"")</f>
        <v/>
      </c>
      <c r="M1738" s="15" t="str">
        <f>IFERROR(IF((K1738/J1738)&gt;K1738/J1738,1.3,K1738/J1738),"")</f>
        <v/>
      </c>
      <c r="N1738" s="5"/>
      <c r="O1738" s="5"/>
      <c r="P1738" s="16">
        <v>0</v>
      </c>
      <c r="Q1738" s="16">
        <v>0</v>
      </c>
      <c r="R1738" s="5" t="str">
        <f t="shared" si="280"/>
        <v>451-2024-12-31</v>
      </c>
    </row>
    <row r="1739" spans="1:18" x14ac:dyDescent="0.3">
      <c r="A1739" s="26">
        <v>452</v>
      </c>
      <c r="B1739" s="5" t="s">
        <v>516</v>
      </c>
      <c r="C1739" s="5" t="s">
        <v>285</v>
      </c>
      <c r="D1739" s="5" t="s">
        <v>8</v>
      </c>
      <c r="E1739" s="5" t="s">
        <v>9</v>
      </c>
      <c r="F1739" s="6">
        <v>45657</v>
      </c>
      <c r="G1739" s="5">
        <f t="shared" si="294"/>
        <v>2024</v>
      </c>
      <c r="H1739" s="5" t="str">
        <f t="shared" si="295"/>
        <v>Diciembre</v>
      </c>
      <c r="I1739" s="6" t="str">
        <f t="shared" si="279"/>
        <v>2024-2</v>
      </c>
      <c r="J1739" s="5">
        <v>100</v>
      </c>
      <c r="K1739" s="10">
        <v>160</v>
      </c>
      <c r="L1739" s="15">
        <f t="shared" ref="L1739:L1743" si="296">IFERROR(IF((K1739/J1739)&gt;1.3,1.3,K1739/J1739),"")</f>
        <v>1.3</v>
      </c>
      <c r="M1739" s="15">
        <f t="shared" ref="M1739:M1743" si="297">IFERROR(IF((K1739/J1739)&gt;K1739/J1739,1.3,K1739/J1739),"")</f>
        <v>1.6</v>
      </c>
      <c r="N1739" s="5"/>
      <c r="O1739" s="5"/>
      <c r="P1739" s="16">
        <v>0</v>
      </c>
      <c r="Q1739" s="16">
        <v>0</v>
      </c>
      <c r="R1739" s="5" t="str">
        <f t="shared" si="280"/>
        <v>452-2024-12-31</v>
      </c>
    </row>
    <row r="1740" spans="1:18" x14ac:dyDescent="0.3">
      <c r="A1740" s="26">
        <v>453</v>
      </c>
      <c r="B1740" s="5" t="s">
        <v>517</v>
      </c>
      <c r="C1740" s="5" t="s">
        <v>506</v>
      </c>
      <c r="D1740" s="5" t="s">
        <v>11</v>
      </c>
      <c r="E1740" s="5" t="s">
        <v>9</v>
      </c>
      <c r="F1740" s="6">
        <v>45382</v>
      </c>
      <c r="G1740" s="5">
        <f t="shared" si="294"/>
        <v>2024</v>
      </c>
      <c r="H1740" s="5" t="str">
        <f t="shared" si="295"/>
        <v>Marzo</v>
      </c>
      <c r="I1740" s="6" t="str">
        <f t="shared" si="279"/>
        <v>2024-1</v>
      </c>
      <c r="J1740" s="5">
        <v>0</v>
      </c>
      <c r="K1740" s="10">
        <v>52</v>
      </c>
      <c r="L1740" s="15" t="str">
        <f t="shared" si="296"/>
        <v/>
      </c>
      <c r="M1740" s="15" t="str">
        <f t="shared" si="297"/>
        <v/>
      </c>
      <c r="N1740" s="5"/>
      <c r="O1740" s="5"/>
      <c r="P1740" s="16">
        <v>0</v>
      </c>
      <c r="Q1740" s="16">
        <v>0</v>
      </c>
      <c r="R1740" s="5" t="str">
        <f t="shared" si="280"/>
        <v>453-2024-03-31</v>
      </c>
    </row>
    <row r="1741" spans="1:18" x14ac:dyDescent="0.3">
      <c r="A1741" s="5">
        <v>453</v>
      </c>
      <c r="B1741" s="5" t="s">
        <v>517</v>
      </c>
      <c r="C1741" s="5" t="s">
        <v>506</v>
      </c>
      <c r="D1741" s="5" t="s">
        <v>11</v>
      </c>
      <c r="E1741" s="5" t="s">
        <v>9</v>
      </c>
      <c r="F1741" s="6">
        <v>45473</v>
      </c>
      <c r="G1741" s="5">
        <f t="shared" si="294"/>
        <v>2024</v>
      </c>
      <c r="H1741" s="5" t="str">
        <f t="shared" si="295"/>
        <v>Junio</v>
      </c>
      <c r="I1741" s="6" t="str">
        <f t="shared" si="279"/>
        <v>2024-1</v>
      </c>
      <c r="J1741" s="5">
        <v>25</v>
      </c>
      <c r="K1741" s="5">
        <v>35</v>
      </c>
      <c r="L1741" s="15">
        <f t="shared" si="296"/>
        <v>1.3</v>
      </c>
      <c r="M1741" s="15">
        <f t="shared" si="297"/>
        <v>1.4</v>
      </c>
      <c r="N1741" s="5"/>
      <c r="O1741" s="5"/>
      <c r="P1741" s="5">
        <v>0</v>
      </c>
      <c r="Q1741" s="5">
        <v>0</v>
      </c>
      <c r="R1741" s="5" t="str">
        <f t="shared" si="280"/>
        <v>453-2024-06-30</v>
      </c>
    </row>
    <row r="1742" spans="1:18" x14ac:dyDescent="0.3">
      <c r="A1742" s="26">
        <v>453</v>
      </c>
      <c r="B1742" s="5" t="s">
        <v>517</v>
      </c>
      <c r="C1742" s="5" t="s">
        <v>506</v>
      </c>
      <c r="D1742" s="5" t="s">
        <v>11</v>
      </c>
      <c r="E1742" s="5" t="s">
        <v>9</v>
      </c>
      <c r="F1742" s="6">
        <v>45565</v>
      </c>
      <c r="G1742" s="5">
        <f t="shared" si="294"/>
        <v>2024</v>
      </c>
      <c r="H1742" s="5" t="str">
        <f t="shared" si="295"/>
        <v>Septiembre</v>
      </c>
      <c r="I1742" s="6" t="str">
        <f t="shared" ref="I1742:I1796" si="298">IF(OR(H1742="Enero",H1742="Febrero",H1742="Marzo",H1742="Abril",H1742="Mayo",H1742="Junio"),G1742&amp;"-1",IF(OR(H1742="Julio",H1742="Agosto",H1742="Septiembre",H1742="Octubre",H1742="Noviembre",H1742="Diciembre"),G1742&amp;"-2"))</f>
        <v>2024-2</v>
      </c>
      <c r="J1742" s="5">
        <v>25</v>
      </c>
      <c r="K1742" s="10">
        <v>75</v>
      </c>
      <c r="L1742" s="15">
        <f t="shared" si="296"/>
        <v>1.3</v>
      </c>
      <c r="M1742" s="15">
        <f t="shared" si="297"/>
        <v>3</v>
      </c>
      <c r="N1742" s="5"/>
      <c r="O1742" s="5"/>
      <c r="P1742" s="16">
        <v>0</v>
      </c>
      <c r="Q1742" s="16">
        <v>0</v>
      </c>
      <c r="R1742" s="5" t="str">
        <f t="shared" ref="R1742:R1796" si="299">A1742&amp;"-"&amp;YEAR(F1742)&amp;"-"&amp;IF(LEN(MONTH(F1742))=1,"0"&amp;MONTH(F1742),MONTH(F1742))&amp;"-"&amp;DAY(F1742)</f>
        <v>453-2024-09-30</v>
      </c>
    </row>
    <row r="1743" spans="1:18" x14ac:dyDescent="0.3">
      <c r="A1743" s="26">
        <v>453</v>
      </c>
      <c r="B1743" s="5" t="s">
        <v>517</v>
      </c>
      <c r="C1743" s="5" t="s">
        <v>506</v>
      </c>
      <c r="D1743" s="5" t="s">
        <v>11</v>
      </c>
      <c r="E1743" s="5" t="s">
        <v>9</v>
      </c>
      <c r="F1743" s="6">
        <v>45657</v>
      </c>
      <c r="G1743" s="5">
        <f t="shared" si="294"/>
        <v>2024</v>
      </c>
      <c r="H1743" s="5" t="str">
        <f t="shared" si="295"/>
        <v>Diciembre</v>
      </c>
      <c r="I1743" s="6" t="str">
        <f t="shared" si="298"/>
        <v>2024-2</v>
      </c>
      <c r="J1743" s="5">
        <v>25</v>
      </c>
      <c r="K1743" s="10">
        <v>37</v>
      </c>
      <c r="L1743" s="15">
        <f t="shared" si="296"/>
        <v>1.3</v>
      </c>
      <c r="M1743" s="15">
        <f t="shared" si="297"/>
        <v>1.48</v>
      </c>
      <c r="N1743" s="5"/>
      <c r="O1743" s="5"/>
      <c r="P1743" s="16">
        <v>0</v>
      </c>
      <c r="Q1743" s="16">
        <v>0</v>
      </c>
      <c r="R1743" s="5" t="str">
        <f t="shared" si="299"/>
        <v>453-2024-12-31</v>
      </c>
    </row>
    <row r="1744" spans="1:18" x14ac:dyDescent="0.3">
      <c r="A1744" s="26">
        <v>454</v>
      </c>
      <c r="B1744" s="5" t="s">
        <v>518</v>
      </c>
      <c r="C1744" s="5" t="s">
        <v>506</v>
      </c>
      <c r="D1744" s="5" t="s">
        <v>11</v>
      </c>
      <c r="E1744" s="5" t="s">
        <v>9</v>
      </c>
      <c r="F1744" s="6">
        <v>45565</v>
      </c>
      <c r="G1744" s="5">
        <f t="shared" si="294"/>
        <v>2024</v>
      </c>
      <c r="H1744" s="5" t="str">
        <f t="shared" si="295"/>
        <v>Septiembre</v>
      </c>
      <c r="I1744" s="6" t="str">
        <f t="shared" si="298"/>
        <v>2024-2</v>
      </c>
      <c r="J1744" s="5">
        <v>0</v>
      </c>
      <c r="K1744" s="10">
        <v>88</v>
      </c>
      <c r="L1744" s="15" t="str">
        <f>IFERROR(IF((K1744/J1744)&gt;1.3,1.3,K1744/J1744),"")</f>
        <v/>
      </c>
      <c r="M1744" s="15" t="str">
        <f>IFERROR(IF((K1744/J1744)&gt;K1744/J1744,1.3,K1744/J1744),"")</f>
        <v/>
      </c>
      <c r="N1744" s="5"/>
      <c r="O1744" s="5"/>
      <c r="P1744" s="16">
        <v>0</v>
      </c>
      <c r="Q1744" s="16">
        <v>0</v>
      </c>
      <c r="R1744" s="5" t="str">
        <f t="shared" si="299"/>
        <v>454-2024-09-30</v>
      </c>
    </row>
    <row r="1745" spans="1:18" x14ac:dyDescent="0.3">
      <c r="A1745" s="26">
        <v>454</v>
      </c>
      <c r="B1745" s="5" t="s">
        <v>518</v>
      </c>
      <c r="C1745" s="5" t="s">
        <v>506</v>
      </c>
      <c r="D1745" s="5" t="s">
        <v>11</v>
      </c>
      <c r="E1745" s="5" t="s">
        <v>9</v>
      </c>
      <c r="F1745" s="6">
        <v>45657</v>
      </c>
      <c r="G1745" s="5">
        <f t="shared" si="294"/>
        <v>2024</v>
      </c>
      <c r="H1745" s="5" t="str">
        <f t="shared" si="295"/>
        <v>Diciembre</v>
      </c>
      <c r="I1745" s="6" t="str">
        <f t="shared" si="298"/>
        <v>2024-2</v>
      </c>
      <c r="J1745" s="5">
        <v>0</v>
      </c>
      <c r="K1745" s="10">
        <v>88</v>
      </c>
      <c r="L1745" s="15" t="str">
        <f>IFERROR(IF((K1745/J1745)&gt;1.3,1.3,K1745/J1745),"")</f>
        <v/>
      </c>
      <c r="M1745" s="15" t="str">
        <f>IFERROR(IF((K1745/J1745)&gt;K1745/J1745,1.3,K1745/J1745),"")</f>
        <v/>
      </c>
      <c r="N1745" s="5"/>
      <c r="O1745" s="5"/>
      <c r="P1745" s="16">
        <v>0</v>
      </c>
      <c r="Q1745" s="16">
        <v>0</v>
      </c>
      <c r="R1745" s="5" t="str">
        <f t="shared" si="299"/>
        <v>454-2024-12-31</v>
      </c>
    </row>
    <row r="1746" spans="1:18" x14ac:dyDescent="0.3">
      <c r="A1746" s="26">
        <v>455</v>
      </c>
      <c r="B1746" s="5" t="s">
        <v>519</v>
      </c>
      <c r="C1746" s="5" t="s">
        <v>506</v>
      </c>
      <c r="D1746" s="5" t="s">
        <v>11</v>
      </c>
      <c r="E1746" s="5" t="s">
        <v>9</v>
      </c>
      <c r="F1746" s="6">
        <v>45565</v>
      </c>
      <c r="G1746" s="5">
        <f t="shared" si="294"/>
        <v>2024</v>
      </c>
      <c r="H1746" s="5" t="str">
        <f t="shared" si="295"/>
        <v>Septiembre</v>
      </c>
      <c r="I1746" s="6" t="str">
        <f t="shared" si="298"/>
        <v>2024-2</v>
      </c>
      <c r="J1746" s="5">
        <v>90</v>
      </c>
      <c r="K1746" s="10">
        <v>100</v>
      </c>
      <c r="L1746" s="15">
        <f>IFERROR(IF((K1746/J1746)&gt;1.3,1.3,K1746/J1746),"")</f>
        <v>1.1111111111111112</v>
      </c>
      <c r="M1746" s="15">
        <f>IFERROR(IF((K1746/J1746)&gt;K1746/J1746,1.3,K1746/J1746),"")</f>
        <v>1.1111111111111112</v>
      </c>
      <c r="N1746" s="5" t="s">
        <v>347</v>
      </c>
      <c r="O1746" s="5" t="s">
        <v>347</v>
      </c>
      <c r="P1746" s="16">
        <v>0</v>
      </c>
      <c r="Q1746" s="16">
        <v>0</v>
      </c>
      <c r="R1746" s="5" t="str">
        <f t="shared" si="299"/>
        <v>455-2024-09-30</v>
      </c>
    </row>
    <row r="1747" spans="1:18" x14ac:dyDescent="0.3">
      <c r="A1747" s="26">
        <v>455</v>
      </c>
      <c r="B1747" s="5" t="s">
        <v>519</v>
      </c>
      <c r="C1747" s="5" t="s">
        <v>506</v>
      </c>
      <c r="D1747" s="5" t="s">
        <v>11</v>
      </c>
      <c r="E1747" s="5" t="s">
        <v>9</v>
      </c>
      <c r="F1747" s="6">
        <v>45657</v>
      </c>
      <c r="G1747" s="5">
        <f t="shared" si="294"/>
        <v>2024</v>
      </c>
      <c r="H1747" s="5" t="str">
        <f t="shared" si="295"/>
        <v>Diciembre</v>
      </c>
      <c r="I1747" s="6" t="str">
        <f t="shared" si="298"/>
        <v>2024-2</v>
      </c>
      <c r="J1747" s="5">
        <v>90</v>
      </c>
      <c r="K1747" s="10">
        <v>100</v>
      </c>
      <c r="L1747" s="15">
        <f>IFERROR(IF((K1747/J1747)&gt;1.3,1.3,K1747/J1747),"")</f>
        <v>1.1111111111111112</v>
      </c>
      <c r="M1747" s="15">
        <f>IFERROR(IF((K1747/J1747)&gt;K1747/J1747,1.3,K1747/J1747),"")</f>
        <v>1.1111111111111112</v>
      </c>
      <c r="N1747" s="5" t="s">
        <v>347</v>
      </c>
      <c r="O1747" s="5" t="s">
        <v>347</v>
      </c>
      <c r="P1747" s="16">
        <v>0</v>
      </c>
      <c r="Q1747" s="16">
        <v>0</v>
      </c>
      <c r="R1747" s="5" t="str">
        <f t="shared" si="299"/>
        <v>455-2024-12-31</v>
      </c>
    </row>
    <row r="1748" spans="1:18" x14ac:dyDescent="0.3">
      <c r="A1748" s="5">
        <v>456</v>
      </c>
      <c r="B1748" s="5" t="s">
        <v>520</v>
      </c>
      <c r="C1748" s="5" t="s">
        <v>320</v>
      </c>
      <c r="D1748" s="5" t="s">
        <v>8</v>
      </c>
      <c r="E1748" s="5" t="s">
        <v>9</v>
      </c>
      <c r="F1748" s="6">
        <v>45473</v>
      </c>
      <c r="G1748" s="5">
        <f t="shared" si="294"/>
        <v>2024</v>
      </c>
      <c r="H1748" s="5" t="str">
        <f t="shared" si="295"/>
        <v>Junio</v>
      </c>
      <c r="I1748" s="6" t="str">
        <f t="shared" si="298"/>
        <v>2024-1</v>
      </c>
      <c r="J1748" s="5">
        <v>100</v>
      </c>
      <c r="K1748" s="5">
        <v>100</v>
      </c>
      <c r="L1748" s="15">
        <v>1</v>
      </c>
      <c r="M1748" s="15">
        <v>1</v>
      </c>
      <c r="N1748" s="5" t="s">
        <v>347</v>
      </c>
      <c r="O1748" s="5" t="s">
        <v>347</v>
      </c>
      <c r="P1748" s="5">
        <v>0</v>
      </c>
      <c r="Q1748" s="5">
        <v>0</v>
      </c>
      <c r="R1748" s="5" t="str">
        <f t="shared" si="299"/>
        <v>456-2024-06-30</v>
      </c>
    </row>
    <row r="1749" spans="1:18" x14ac:dyDescent="0.3">
      <c r="A1749" s="26">
        <v>456</v>
      </c>
      <c r="B1749" s="5" t="s">
        <v>520</v>
      </c>
      <c r="C1749" s="5" t="s">
        <v>320</v>
      </c>
      <c r="D1749" s="5" t="s">
        <v>8</v>
      </c>
      <c r="E1749" s="5" t="s">
        <v>9</v>
      </c>
      <c r="F1749" s="6">
        <v>45657</v>
      </c>
      <c r="G1749" s="5">
        <f t="shared" si="294"/>
        <v>2024</v>
      </c>
      <c r="H1749" s="5" t="str">
        <f t="shared" si="295"/>
        <v>Diciembre</v>
      </c>
      <c r="I1749" s="6" t="str">
        <f t="shared" si="298"/>
        <v>2024-2</v>
      </c>
      <c r="J1749" s="5">
        <v>100</v>
      </c>
      <c r="K1749" s="10">
        <v>94.69</v>
      </c>
      <c r="L1749" s="15">
        <f>IFERROR(IF((K1749/J1749)&gt;1.3,1.3,K1749/J1749),"")</f>
        <v>0.94689999999999996</v>
      </c>
      <c r="M1749" s="15">
        <f>IFERROR(IF((K1749/J1749)&gt;K1749/J1749,1.3,K1749/J1749),"")</f>
        <v>0.94689999999999996</v>
      </c>
      <c r="N1749" s="5" t="s">
        <v>347</v>
      </c>
      <c r="O1749" s="5" t="s">
        <v>347</v>
      </c>
      <c r="P1749" s="16">
        <v>0</v>
      </c>
      <c r="Q1749" s="16">
        <v>0</v>
      </c>
      <c r="R1749" s="5" t="str">
        <f t="shared" si="299"/>
        <v>456-2024-12-31</v>
      </c>
    </row>
    <row r="1750" spans="1:18" x14ac:dyDescent="0.3">
      <c r="A1750" s="5">
        <v>457</v>
      </c>
      <c r="B1750" s="5" t="s">
        <v>521</v>
      </c>
      <c r="C1750" s="5" t="s">
        <v>320</v>
      </c>
      <c r="D1750" s="5" t="s">
        <v>8</v>
      </c>
      <c r="E1750" s="5" t="s">
        <v>9</v>
      </c>
      <c r="F1750" s="6">
        <v>45473</v>
      </c>
      <c r="G1750" s="5">
        <f t="shared" si="294"/>
        <v>2024</v>
      </c>
      <c r="H1750" s="5" t="str">
        <f t="shared" si="295"/>
        <v>Junio</v>
      </c>
      <c r="I1750" s="6" t="str">
        <f t="shared" si="298"/>
        <v>2024-1</v>
      </c>
      <c r="J1750" s="5">
        <v>100</v>
      </c>
      <c r="K1750" s="5">
        <v>90</v>
      </c>
      <c r="L1750" s="15">
        <v>0.9</v>
      </c>
      <c r="M1750" s="15">
        <v>0.9</v>
      </c>
      <c r="N1750" s="5" t="s">
        <v>347</v>
      </c>
      <c r="O1750" s="5" t="s">
        <v>347</v>
      </c>
      <c r="P1750" s="5">
        <v>0</v>
      </c>
      <c r="Q1750" s="5">
        <v>0</v>
      </c>
      <c r="R1750" s="5" t="str">
        <f t="shared" si="299"/>
        <v>457-2024-06-30</v>
      </c>
    </row>
    <row r="1751" spans="1:18" x14ac:dyDescent="0.3">
      <c r="A1751" s="26">
        <v>457</v>
      </c>
      <c r="B1751" s="5" t="s">
        <v>521</v>
      </c>
      <c r="C1751" s="5" t="s">
        <v>320</v>
      </c>
      <c r="D1751" s="5" t="s">
        <v>8</v>
      </c>
      <c r="E1751" s="5" t="s">
        <v>9</v>
      </c>
      <c r="F1751" s="6">
        <v>45657</v>
      </c>
      <c r="G1751" s="5">
        <f t="shared" si="294"/>
        <v>2024</v>
      </c>
      <c r="H1751" s="5" t="str">
        <f t="shared" si="295"/>
        <v>Diciembre</v>
      </c>
      <c r="I1751" s="6" t="str">
        <f t="shared" si="298"/>
        <v>2024-2</v>
      </c>
      <c r="J1751" s="5">
        <v>100</v>
      </c>
      <c r="K1751" s="10">
        <v>70</v>
      </c>
      <c r="L1751" s="15">
        <f>IFERROR(IF((K1751/J1751)&gt;1.3,1.3,K1751/J1751),"")</f>
        <v>0.7</v>
      </c>
      <c r="M1751" s="15">
        <f>IFERROR(IF((K1751/J1751)&gt;K1751/J1751,1.3,K1751/J1751),"")</f>
        <v>0.7</v>
      </c>
      <c r="N1751" s="5" t="s">
        <v>347</v>
      </c>
      <c r="O1751" s="5" t="s">
        <v>347</v>
      </c>
      <c r="P1751" s="16">
        <v>0</v>
      </c>
      <c r="Q1751" s="16">
        <v>0</v>
      </c>
      <c r="R1751" s="5" t="str">
        <f t="shared" si="299"/>
        <v>457-2024-12-31</v>
      </c>
    </row>
    <row r="1752" spans="1:18" x14ac:dyDescent="0.3">
      <c r="A1752" s="5">
        <v>458</v>
      </c>
      <c r="B1752" s="5" t="s">
        <v>718</v>
      </c>
      <c r="C1752" s="5" t="s">
        <v>320</v>
      </c>
      <c r="D1752" s="5" t="s">
        <v>8</v>
      </c>
      <c r="E1752" s="5" t="s">
        <v>9</v>
      </c>
      <c r="F1752" s="6">
        <v>45473</v>
      </c>
      <c r="G1752" s="5">
        <f t="shared" si="294"/>
        <v>2024</v>
      </c>
      <c r="H1752" s="5" t="str">
        <f t="shared" si="295"/>
        <v>Junio</v>
      </c>
      <c r="I1752" s="6" t="str">
        <f t="shared" si="298"/>
        <v>2024-1</v>
      </c>
      <c r="J1752" s="5"/>
      <c r="K1752" s="5">
        <v>4900000</v>
      </c>
      <c r="L1752" s="15" t="s">
        <v>417</v>
      </c>
      <c r="M1752" s="15" t="s">
        <v>417</v>
      </c>
      <c r="N1752" s="5"/>
      <c r="O1752" s="5"/>
      <c r="P1752" s="5">
        <v>0</v>
      </c>
      <c r="Q1752" s="5">
        <v>0</v>
      </c>
      <c r="R1752" s="5" t="str">
        <f t="shared" si="299"/>
        <v>458-2024-06-30</v>
      </c>
    </row>
    <row r="1753" spans="1:18" x14ac:dyDescent="0.3">
      <c r="A1753" s="5">
        <v>459</v>
      </c>
      <c r="B1753" s="5" t="s">
        <v>522</v>
      </c>
      <c r="C1753" s="5" t="s">
        <v>285</v>
      </c>
      <c r="D1753" s="5" t="s">
        <v>11</v>
      </c>
      <c r="E1753" s="5" t="s">
        <v>9</v>
      </c>
      <c r="F1753" s="6">
        <v>45473</v>
      </c>
      <c r="G1753" s="5">
        <f t="shared" si="294"/>
        <v>2024</v>
      </c>
      <c r="H1753" s="5" t="str">
        <f t="shared" si="295"/>
        <v>Junio</v>
      </c>
      <c r="I1753" s="6" t="str">
        <f t="shared" si="298"/>
        <v>2024-1</v>
      </c>
      <c r="J1753" s="5">
        <v>100</v>
      </c>
      <c r="K1753" s="5">
        <v>130.43</v>
      </c>
      <c r="L1753" s="15">
        <v>1.3</v>
      </c>
      <c r="M1753" s="15">
        <v>1.3043</v>
      </c>
      <c r="N1753" s="5"/>
      <c r="O1753" s="5"/>
      <c r="P1753" s="5">
        <v>0</v>
      </c>
      <c r="Q1753" s="5">
        <v>0</v>
      </c>
      <c r="R1753" s="5" t="str">
        <f t="shared" si="299"/>
        <v>459-2024-06-30</v>
      </c>
    </row>
    <row r="1754" spans="1:18" x14ac:dyDescent="0.3">
      <c r="A1754" s="26">
        <v>459</v>
      </c>
      <c r="B1754" s="5" t="s">
        <v>522</v>
      </c>
      <c r="C1754" s="5" t="s">
        <v>285</v>
      </c>
      <c r="D1754" s="5" t="s">
        <v>11</v>
      </c>
      <c r="E1754" s="5" t="s">
        <v>9</v>
      </c>
      <c r="F1754" s="6">
        <v>45565</v>
      </c>
      <c r="G1754" s="5">
        <f t="shared" si="294"/>
        <v>2024</v>
      </c>
      <c r="H1754" s="5" t="str">
        <f t="shared" si="295"/>
        <v>Septiembre</v>
      </c>
      <c r="I1754" s="6" t="str">
        <f t="shared" si="298"/>
        <v>2024-2</v>
      </c>
      <c r="J1754" s="5">
        <v>100</v>
      </c>
      <c r="K1754" s="10">
        <v>147.83000000000001</v>
      </c>
      <c r="L1754" s="15">
        <f>IFERROR(IF((K1754/J1754)&gt;1.3,1.3,K1754/J1754),"")</f>
        <v>1.3</v>
      </c>
      <c r="M1754" s="15">
        <f>IFERROR(IF((K1754/J1754)&gt;K1754/J1754,1.3,K1754/J1754),"")</f>
        <v>1.4783000000000002</v>
      </c>
      <c r="N1754" s="5"/>
      <c r="O1754" s="5"/>
      <c r="P1754" s="16">
        <v>0</v>
      </c>
      <c r="Q1754" s="16">
        <v>0</v>
      </c>
      <c r="R1754" s="5" t="str">
        <f t="shared" si="299"/>
        <v>459-2024-09-30</v>
      </c>
    </row>
    <row r="1755" spans="1:18" x14ac:dyDescent="0.3">
      <c r="A1755" s="26">
        <v>460</v>
      </c>
      <c r="B1755" s="5" t="s">
        <v>727</v>
      </c>
      <c r="C1755" s="5" t="s">
        <v>13</v>
      </c>
      <c r="D1755" s="5" t="s">
        <v>25</v>
      </c>
      <c r="E1755" s="5" t="s">
        <v>9</v>
      </c>
      <c r="F1755" s="6">
        <v>45657</v>
      </c>
      <c r="G1755" s="5">
        <f t="shared" si="294"/>
        <v>2024</v>
      </c>
      <c r="H1755" s="5" t="str">
        <f t="shared" si="295"/>
        <v>Diciembre</v>
      </c>
      <c r="I1755" s="6" t="str">
        <f t="shared" si="298"/>
        <v>2024-2</v>
      </c>
      <c r="J1755" s="5">
        <v>80</v>
      </c>
      <c r="K1755" s="10">
        <v>91.44</v>
      </c>
      <c r="L1755" s="15">
        <f>IFERROR(IF((K1755/J1755)&gt;1.3,1.3,K1755/J1755),"")</f>
        <v>1.143</v>
      </c>
      <c r="M1755" s="15">
        <f>IFERROR(IF((K1755/J1755)&gt;K1755/J1755,1.3,K1755/J1755),"")</f>
        <v>1.143</v>
      </c>
      <c r="N1755" s="5" t="s">
        <v>417</v>
      </c>
      <c r="O1755" s="5" t="s">
        <v>417</v>
      </c>
      <c r="P1755" s="16">
        <v>0</v>
      </c>
      <c r="Q1755" s="16">
        <v>0</v>
      </c>
      <c r="R1755" s="5" t="str">
        <f t="shared" si="299"/>
        <v>460-2024-12-31</v>
      </c>
    </row>
    <row r="1756" spans="1:18" x14ac:dyDescent="0.3">
      <c r="A1756" s="5">
        <v>462</v>
      </c>
      <c r="B1756" s="5" t="s">
        <v>489</v>
      </c>
      <c r="C1756" s="5" t="s">
        <v>67</v>
      </c>
      <c r="D1756" s="5" t="s">
        <v>8</v>
      </c>
      <c r="E1756" s="5" t="s">
        <v>9</v>
      </c>
      <c r="F1756" s="6">
        <v>45473</v>
      </c>
      <c r="G1756" s="5">
        <f t="shared" si="294"/>
        <v>2024</v>
      </c>
      <c r="H1756" s="5" t="str">
        <f t="shared" si="295"/>
        <v>Junio</v>
      </c>
      <c r="I1756" s="6" t="str">
        <f t="shared" si="298"/>
        <v>2024-1</v>
      </c>
      <c r="J1756" s="5">
        <v>85</v>
      </c>
      <c r="K1756" s="5">
        <v>100</v>
      </c>
      <c r="L1756" s="15">
        <v>1.1764705882352942</v>
      </c>
      <c r="M1756" s="15">
        <v>1.1764705882352942</v>
      </c>
      <c r="N1756" s="5" t="s">
        <v>417</v>
      </c>
      <c r="O1756" s="5" t="s">
        <v>417</v>
      </c>
      <c r="P1756" s="5">
        <v>0</v>
      </c>
      <c r="Q1756" s="5">
        <v>0</v>
      </c>
      <c r="R1756" s="5" t="str">
        <f t="shared" si="299"/>
        <v>462-2024-06-30</v>
      </c>
    </row>
    <row r="1757" spans="1:18" x14ac:dyDescent="0.3">
      <c r="A1757" s="26">
        <v>462</v>
      </c>
      <c r="B1757" s="5" t="s">
        <v>489</v>
      </c>
      <c r="C1757" s="5" t="s">
        <v>67</v>
      </c>
      <c r="D1757" s="5" t="s">
        <v>8</v>
      </c>
      <c r="E1757" s="5" t="s">
        <v>9</v>
      </c>
      <c r="F1757" s="6">
        <v>45657</v>
      </c>
      <c r="G1757" s="5">
        <f t="shared" si="294"/>
        <v>2024</v>
      </c>
      <c r="H1757" s="5" t="str">
        <f t="shared" si="295"/>
        <v>Diciembre</v>
      </c>
      <c r="I1757" s="6" t="str">
        <f t="shared" si="298"/>
        <v>2024-2</v>
      </c>
      <c r="J1757" s="5">
        <v>85</v>
      </c>
      <c r="K1757" s="10">
        <v>100</v>
      </c>
      <c r="L1757" s="15">
        <f>IFERROR(IF((K1757/J1757)&gt;1.3,1.3,K1757/J1757),"")</f>
        <v>1.1764705882352942</v>
      </c>
      <c r="M1757" s="15">
        <f>IFERROR(IF((K1757/J1757)&gt;K1757/J1757,1.3,K1757/J1757),"")</f>
        <v>1.1764705882352942</v>
      </c>
      <c r="N1757" s="5"/>
      <c r="O1757" s="5"/>
      <c r="P1757" s="16">
        <v>0</v>
      </c>
      <c r="Q1757" s="16">
        <v>0</v>
      </c>
      <c r="R1757" s="5" t="str">
        <f t="shared" si="299"/>
        <v>462-2024-12-31</v>
      </c>
    </row>
    <row r="1758" spans="1:18" x14ac:dyDescent="0.3">
      <c r="A1758" s="5">
        <v>463</v>
      </c>
      <c r="B1758" s="5" t="s">
        <v>523</v>
      </c>
      <c r="C1758" s="5" t="s">
        <v>13</v>
      </c>
      <c r="D1758" s="5" t="s">
        <v>8</v>
      </c>
      <c r="E1758" s="5" t="s">
        <v>9</v>
      </c>
      <c r="F1758" s="6">
        <v>45473</v>
      </c>
      <c r="G1758" s="5">
        <f t="shared" si="294"/>
        <v>2024</v>
      </c>
      <c r="H1758" s="5" t="str">
        <f t="shared" si="295"/>
        <v>Junio</v>
      </c>
      <c r="I1758" s="6" t="str">
        <f t="shared" si="298"/>
        <v>2024-1</v>
      </c>
      <c r="J1758" s="5">
        <v>100</v>
      </c>
      <c r="K1758" s="5">
        <v>95</v>
      </c>
      <c r="L1758" s="15">
        <v>0.95</v>
      </c>
      <c r="M1758" s="15">
        <v>0.95</v>
      </c>
      <c r="N1758" s="5" t="s">
        <v>347</v>
      </c>
      <c r="O1758" s="5" t="s">
        <v>347</v>
      </c>
      <c r="P1758" s="5">
        <v>0</v>
      </c>
      <c r="Q1758" s="5">
        <v>0</v>
      </c>
      <c r="R1758" s="5" t="str">
        <f t="shared" si="299"/>
        <v>463-2024-06-30</v>
      </c>
    </row>
    <row r="1759" spans="1:18" x14ac:dyDescent="0.3">
      <c r="A1759" s="26">
        <v>463</v>
      </c>
      <c r="B1759" s="5" t="s">
        <v>523</v>
      </c>
      <c r="C1759" s="5" t="s">
        <v>13</v>
      </c>
      <c r="D1759" s="5" t="s">
        <v>8</v>
      </c>
      <c r="E1759" s="5" t="s">
        <v>9</v>
      </c>
      <c r="F1759" s="6">
        <v>45657</v>
      </c>
      <c r="G1759" s="5">
        <f t="shared" si="294"/>
        <v>2024</v>
      </c>
      <c r="H1759" s="5" t="str">
        <f t="shared" si="295"/>
        <v>Diciembre</v>
      </c>
      <c r="I1759" s="6" t="str">
        <f t="shared" si="298"/>
        <v>2024-2</v>
      </c>
      <c r="J1759" s="5">
        <v>100</v>
      </c>
      <c r="K1759" s="10">
        <v>100</v>
      </c>
      <c r="L1759" s="15">
        <f>IFERROR(IF((K1759/J1759)&gt;1.3,1.3,K1759/J1759),"")</f>
        <v>1</v>
      </c>
      <c r="M1759" s="15">
        <f>IFERROR(IF((K1759/J1759)&gt;K1759/J1759,1.3,K1759/J1759),"")</f>
        <v>1</v>
      </c>
      <c r="N1759" s="5" t="s">
        <v>347</v>
      </c>
      <c r="O1759" s="5" t="s">
        <v>347</v>
      </c>
      <c r="P1759" s="16">
        <v>0</v>
      </c>
      <c r="Q1759" s="16">
        <v>0</v>
      </c>
      <c r="R1759" s="5" t="str">
        <f t="shared" si="299"/>
        <v>463-2024-12-31</v>
      </c>
    </row>
    <row r="1760" spans="1:18" x14ac:dyDescent="0.3">
      <c r="A1760" s="5">
        <v>465</v>
      </c>
      <c r="B1760" s="5" t="s">
        <v>524</v>
      </c>
      <c r="C1760" s="5" t="s">
        <v>237</v>
      </c>
      <c r="D1760" s="5" t="s">
        <v>8</v>
      </c>
      <c r="E1760" s="5" t="s">
        <v>9</v>
      </c>
      <c r="F1760" s="6">
        <v>45473</v>
      </c>
      <c r="G1760" s="5">
        <f t="shared" si="294"/>
        <v>2024</v>
      </c>
      <c r="H1760" s="5" t="str">
        <f t="shared" si="295"/>
        <v>Junio</v>
      </c>
      <c r="I1760" s="6" t="str">
        <f t="shared" si="298"/>
        <v>2024-1</v>
      </c>
      <c r="J1760" s="5">
        <v>75</v>
      </c>
      <c r="K1760" s="5">
        <v>57.86</v>
      </c>
      <c r="L1760" s="15">
        <v>0.77146666666666663</v>
      </c>
      <c r="M1760" s="15">
        <v>0.77146666666666663</v>
      </c>
      <c r="N1760" s="5" t="s">
        <v>347</v>
      </c>
      <c r="O1760" s="5" t="s">
        <v>347</v>
      </c>
      <c r="P1760" s="5">
        <v>0</v>
      </c>
      <c r="Q1760" s="5">
        <v>0</v>
      </c>
      <c r="R1760" s="5" t="str">
        <f t="shared" si="299"/>
        <v>465-2024-06-30</v>
      </c>
    </row>
    <row r="1761" spans="1:18" x14ac:dyDescent="0.3">
      <c r="A1761" s="26">
        <v>465</v>
      </c>
      <c r="B1761" s="5" t="s">
        <v>524</v>
      </c>
      <c r="C1761" s="5" t="s">
        <v>237</v>
      </c>
      <c r="D1761" s="5" t="s">
        <v>8</v>
      </c>
      <c r="E1761" s="5" t="s">
        <v>9</v>
      </c>
      <c r="F1761" s="6">
        <v>45657</v>
      </c>
      <c r="G1761" s="5">
        <f t="shared" si="294"/>
        <v>2024</v>
      </c>
      <c r="H1761" s="5" t="str">
        <f t="shared" si="295"/>
        <v>Diciembre</v>
      </c>
      <c r="I1761" s="6" t="str">
        <f t="shared" si="298"/>
        <v>2024-2</v>
      </c>
      <c r="J1761" s="5">
        <v>100</v>
      </c>
      <c r="K1761" s="10">
        <v>56.83</v>
      </c>
      <c r="L1761" s="15">
        <f>IFERROR(IF((K1761/J1761)&gt;1.3,1.3,K1761/J1761),"")</f>
        <v>0.56830000000000003</v>
      </c>
      <c r="M1761" s="15">
        <f>IFERROR(IF((K1761/J1761)&gt;K1761/J1761,1.3,K1761/J1761),"")</f>
        <v>0.56830000000000003</v>
      </c>
      <c r="N1761" s="5"/>
      <c r="O1761" s="5"/>
      <c r="P1761" s="16">
        <v>0</v>
      </c>
      <c r="Q1761" s="16">
        <v>0</v>
      </c>
      <c r="R1761" s="5" t="str">
        <f t="shared" si="299"/>
        <v>465-2024-12-31</v>
      </c>
    </row>
    <row r="1762" spans="1:18" x14ac:dyDescent="0.3">
      <c r="A1762" s="5">
        <v>466</v>
      </c>
      <c r="B1762" s="5" t="s">
        <v>525</v>
      </c>
      <c r="C1762" s="5" t="s">
        <v>160</v>
      </c>
      <c r="D1762" s="5" t="s">
        <v>8</v>
      </c>
      <c r="E1762" s="5" t="s">
        <v>9</v>
      </c>
      <c r="F1762" s="6">
        <v>45473</v>
      </c>
      <c r="G1762" s="5">
        <f t="shared" si="294"/>
        <v>2024</v>
      </c>
      <c r="H1762" s="5" t="str">
        <f t="shared" si="295"/>
        <v>Junio</v>
      </c>
      <c r="I1762" s="6" t="str">
        <f t="shared" si="298"/>
        <v>2024-1</v>
      </c>
      <c r="J1762" s="5">
        <v>50</v>
      </c>
      <c r="K1762" s="5">
        <v>59.6</v>
      </c>
      <c r="L1762" s="15">
        <f>K1762/J1762</f>
        <v>1.1919999999999999</v>
      </c>
      <c r="M1762" s="15">
        <v>1.1919999999999999</v>
      </c>
      <c r="N1762" s="5" t="s">
        <v>490</v>
      </c>
      <c r="O1762" s="5" t="s">
        <v>490</v>
      </c>
      <c r="P1762" s="5">
        <v>0</v>
      </c>
      <c r="Q1762" s="5">
        <v>1</v>
      </c>
      <c r="R1762" s="5" t="str">
        <f t="shared" si="299"/>
        <v>466-2024-06-30</v>
      </c>
    </row>
    <row r="1763" spans="1:18" x14ac:dyDescent="0.3">
      <c r="A1763" s="26">
        <v>466</v>
      </c>
      <c r="B1763" s="5" t="s">
        <v>525</v>
      </c>
      <c r="C1763" s="5" t="s">
        <v>160</v>
      </c>
      <c r="D1763" s="5" t="s">
        <v>8</v>
      </c>
      <c r="E1763" s="5" t="s">
        <v>9</v>
      </c>
      <c r="F1763" s="6">
        <v>45657</v>
      </c>
      <c r="G1763" s="5">
        <f t="shared" si="294"/>
        <v>2024</v>
      </c>
      <c r="H1763" s="5" t="str">
        <f t="shared" si="295"/>
        <v>Diciembre</v>
      </c>
      <c r="I1763" s="6" t="str">
        <f t="shared" si="298"/>
        <v>2024-2</v>
      </c>
      <c r="J1763" s="5">
        <v>50</v>
      </c>
      <c r="K1763" s="10">
        <v>53.8</v>
      </c>
      <c r="L1763" s="15">
        <f>IFERROR(IF((K1763/J1763)&gt;1.3,1.3,K1763/J1763),"")</f>
        <v>1.0759999999999998</v>
      </c>
      <c r="M1763" s="15">
        <f>IFERROR(IF((K1763/J1763)&gt;K1763/J1763,1.3,K1763/J1763),"")</f>
        <v>1.0759999999999998</v>
      </c>
      <c r="N1763" s="5" t="s">
        <v>490</v>
      </c>
      <c r="O1763" s="5" t="s">
        <v>478</v>
      </c>
      <c r="P1763" s="16">
        <v>0</v>
      </c>
      <c r="Q1763" s="16">
        <v>1</v>
      </c>
      <c r="R1763" s="5" t="str">
        <f t="shared" si="299"/>
        <v>466-2024-12-31</v>
      </c>
    </row>
    <row r="1764" spans="1:18" x14ac:dyDescent="0.3">
      <c r="A1764" s="5">
        <v>467</v>
      </c>
      <c r="B1764" s="5" t="s">
        <v>526</v>
      </c>
      <c r="C1764" s="5" t="s">
        <v>160</v>
      </c>
      <c r="D1764" s="5" t="s">
        <v>8</v>
      </c>
      <c r="E1764" s="5" t="s">
        <v>9</v>
      </c>
      <c r="F1764" s="6">
        <v>45473</v>
      </c>
      <c r="G1764" s="5">
        <f t="shared" si="294"/>
        <v>2024</v>
      </c>
      <c r="H1764" s="5" t="str">
        <f t="shared" si="295"/>
        <v>Junio</v>
      </c>
      <c r="I1764" s="6" t="str">
        <f t="shared" si="298"/>
        <v>2024-1</v>
      </c>
      <c r="J1764" s="5">
        <v>60</v>
      </c>
      <c r="K1764" s="5">
        <v>72.75</v>
      </c>
      <c r="L1764" s="15">
        <f>IFERROR(IF((K1764/J1764)&gt;1.3,1.3,K1764/J1764),"")</f>
        <v>1.2124999999999999</v>
      </c>
      <c r="M1764" s="15">
        <f>IFERROR(IF((K1764/J1764)&gt;K1764/J1764,1.3,K1764/J1764),"")</f>
        <v>1.2124999999999999</v>
      </c>
      <c r="N1764" s="5" t="s">
        <v>490</v>
      </c>
      <c r="O1764" s="5" t="s">
        <v>478</v>
      </c>
      <c r="P1764" s="5">
        <v>0</v>
      </c>
      <c r="Q1764" s="5">
        <v>1</v>
      </c>
      <c r="R1764" s="5" t="str">
        <f t="shared" si="299"/>
        <v>467-2024-06-30</v>
      </c>
    </row>
    <row r="1765" spans="1:18" x14ac:dyDescent="0.3">
      <c r="A1765" s="26">
        <v>467</v>
      </c>
      <c r="B1765" s="5" t="s">
        <v>526</v>
      </c>
      <c r="C1765" s="5" t="s">
        <v>160</v>
      </c>
      <c r="D1765" s="5" t="s">
        <v>8</v>
      </c>
      <c r="E1765" s="5" t="s">
        <v>9</v>
      </c>
      <c r="F1765" s="6">
        <v>45657</v>
      </c>
      <c r="G1765" s="5">
        <f t="shared" si="294"/>
        <v>2024</v>
      </c>
      <c r="H1765" s="5" t="str">
        <f t="shared" si="295"/>
        <v>Diciembre</v>
      </c>
      <c r="I1765" s="6" t="str">
        <f t="shared" si="298"/>
        <v>2024-2</v>
      </c>
      <c r="J1765" s="5">
        <v>60</v>
      </c>
      <c r="K1765" s="10">
        <v>73.099999999999994</v>
      </c>
      <c r="L1765" s="15">
        <f>IFERROR(IF((K1765/J1765)&gt;1.3,1.3,K1765/J1765),"")</f>
        <v>1.2183333333333333</v>
      </c>
      <c r="M1765" s="15">
        <f>IFERROR(IF((K1765/J1765)&gt;K1765/J1765,1.3,K1765/J1765),"")</f>
        <v>1.2183333333333333</v>
      </c>
      <c r="N1765" s="5" t="s">
        <v>490</v>
      </c>
      <c r="O1765" s="5" t="s">
        <v>478</v>
      </c>
      <c r="P1765" s="16">
        <v>0</v>
      </c>
      <c r="Q1765" s="16">
        <v>1</v>
      </c>
      <c r="R1765" s="5" t="str">
        <f t="shared" si="299"/>
        <v>467-2024-12-31</v>
      </c>
    </row>
    <row r="1766" spans="1:18" x14ac:dyDescent="0.3">
      <c r="A1766" s="5">
        <v>468</v>
      </c>
      <c r="B1766" s="5" t="s">
        <v>527</v>
      </c>
      <c r="C1766" s="5" t="s">
        <v>160</v>
      </c>
      <c r="D1766" s="5" t="s">
        <v>8</v>
      </c>
      <c r="E1766" s="5" t="s">
        <v>14</v>
      </c>
      <c r="F1766" s="6">
        <v>45473</v>
      </c>
      <c r="G1766" s="5">
        <f t="shared" si="294"/>
        <v>2024</v>
      </c>
      <c r="H1766" s="5" t="str">
        <f t="shared" si="295"/>
        <v>Junio</v>
      </c>
      <c r="I1766" s="6" t="str">
        <f t="shared" si="298"/>
        <v>2024-1</v>
      </c>
      <c r="J1766" s="5">
        <v>3</v>
      </c>
      <c r="K1766" s="5">
        <v>2.85</v>
      </c>
      <c r="L1766" s="15">
        <f>J1766/K1766</f>
        <v>1.0526315789473684</v>
      </c>
      <c r="M1766" s="15">
        <f>+J1766/K1766</f>
        <v>1.0526315789473684</v>
      </c>
      <c r="N1766" s="5" t="s">
        <v>490</v>
      </c>
      <c r="O1766" s="5" t="s">
        <v>478</v>
      </c>
      <c r="P1766" s="5">
        <v>0</v>
      </c>
      <c r="Q1766" s="5">
        <v>1</v>
      </c>
      <c r="R1766" s="5" t="str">
        <f t="shared" si="299"/>
        <v>468-2024-06-30</v>
      </c>
    </row>
    <row r="1767" spans="1:18" x14ac:dyDescent="0.3">
      <c r="A1767" s="26">
        <v>468</v>
      </c>
      <c r="B1767" s="5" t="s">
        <v>527</v>
      </c>
      <c r="C1767" s="5" t="s">
        <v>160</v>
      </c>
      <c r="D1767" s="5" t="s">
        <v>8</v>
      </c>
      <c r="E1767" s="5" t="s">
        <v>14</v>
      </c>
      <c r="F1767" s="6">
        <v>45657</v>
      </c>
      <c r="G1767" s="5">
        <f t="shared" si="294"/>
        <v>2024</v>
      </c>
      <c r="H1767" s="5" t="str">
        <f t="shared" si="295"/>
        <v>Diciembre</v>
      </c>
      <c r="I1767" s="6" t="str">
        <f t="shared" si="298"/>
        <v>2024-2</v>
      </c>
      <c r="J1767" s="5">
        <v>3</v>
      </c>
      <c r="K1767" s="10">
        <v>2.6</v>
      </c>
      <c r="L1767" s="15">
        <f>J1767/K1767</f>
        <v>1.1538461538461537</v>
      </c>
      <c r="M1767" s="15">
        <f>+J1767/K1767</f>
        <v>1.1538461538461537</v>
      </c>
      <c r="N1767" s="5" t="s">
        <v>490</v>
      </c>
      <c r="O1767" s="5" t="s">
        <v>478</v>
      </c>
      <c r="P1767" s="16">
        <v>0</v>
      </c>
      <c r="Q1767" s="16">
        <v>1</v>
      </c>
      <c r="R1767" s="5" t="str">
        <f t="shared" si="299"/>
        <v>468-2024-12-31</v>
      </c>
    </row>
    <row r="1768" spans="1:18" x14ac:dyDescent="0.3">
      <c r="A1768" s="26">
        <v>469</v>
      </c>
      <c r="B1768" s="5" t="s">
        <v>312</v>
      </c>
      <c r="C1768" s="5" t="s">
        <v>131</v>
      </c>
      <c r="D1768" s="5" t="s">
        <v>11</v>
      </c>
      <c r="E1768" s="5" t="s">
        <v>9</v>
      </c>
      <c r="F1768" s="6">
        <v>45382</v>
      </c>
      <c r="G1768" s="5">
        <f t="shared" si="294"/>
        <v>2024</v>
      </c>
      <c r="H1768" s="5" t="str">
        <f t="shared" si="295"/>
        <v>Marzo</v>
      </c>
      <c r="I1768" s="6" t="str">
        <f t="shared" si="298"/>
        <v>2024-1</v>
      </c>
      <c r="J1768" s="5">
        <v>100</v>
      </c>
      <c r="K1768" s="10">
        <v>195.07</v>
      </c>
      <c r="L1768" s="15">
        <f>IFERROR(IF((K1768/J1768)&gt;1.3,1.3,K1768/J1768),"")</f>
        <v>1.3</v>
      </c>
      <c r="M1768" s="15">
        <f>IFERROR(IF((K1768/J1768)&gt;K1768/J1768,1.3,K1768/J1768),"")</f>
        <v>1.9506999999999999</v>
      </c>
      <c r="N1768" s="5" t="s">
        <v>347</v>
      </c>
      <c r="O1768" s="5" t="s">
        <v>347</v>
      </c>
      <c r="P1768" s="16">
        <v>1</v>
      </c>
      <c r="Q1768" s="16">
        <v>1</v>
      </c>
      <c r="R1768" s="5" t="str">
        <f t="shared" si="299"/>
        <v>469-2024-03-31</v>
      </c>
    </row>
    <row r="1769" spans="1:18" x14ac:dyDescent="0.3">
      <c r="A1769" s="5">
        <v>469</v>
      </c>
      <c r="B1769" s="5" t="s">
        <v>312</v>
      </c>
      <c r="C1769" s="5" t="s">
        <v>410</v>
      </c>
      <c r="D1769" s="5" t="s">
        <v>11</v>
      </c>
      <c r="E1769" s="5" t="s">
        <v>9</v>
      </c>
      <c r="F1769" s="6">
        <v>45473</v>
      </c>
      <c r="G1769" s="5">
        <f t="shared" si="294"/>
        <v>2024</v>
      </c>
      <c r="H1769" s="5" t="str">
        <f t="shared" si="295"/>
        <v>Junio</v>
      </c>
      <c r="I1769" s="6" t="str">
        <f t="shared" si="298"/>
        <v>2024-1</v>
      </c>
      <c r="J1769" s="5">
        <v>100</v>
      </c>
      <c r="K1769" s="5">
        <v>114.33</v>
      </c>
      <c r="L1769" s="15">
        <v>1.1433</v>
      </c>
      <c r="M1769" s="15">
        <v>1.1433</v>
      </c>
      <c r="N1769" s="5" t="s">
        <v>347</v>
      </c>
      <c r="O1769" s="5" t="s">
        <v>347</v>
      </c>
      <c r="P1769" s="5">
        <v>0</v>
      </c>
      <c r="Q1769" s="5">
        <v>0</v>
      </c>
      <c r="R1769" s="5" t="str">
        <f t="shared" si="299"/>
        <v>469-2024-06-30</v>
      </c>
    </row>
    <row r="1770" spans="1:18" x14ac:dyDescent="0.3">
      <c r="A1770" s="26">
        <v>469</v>
      </c>
      <c r="B1770" s="5" t="s">
        <v>312</v>
      </c>
      <c r="C1770" s="5" t="s">
        <v>131</v>
      </c>
      <c r="D1770" s="5" t="s">
        <v>11</v>
      </c>
      <c r="E1770" s="5" t="s">
        <v>9</v>
      </c>
      <c r="F1770" s="6">
        <v>45565</v>
      </c>
      <c r="G1770" s="5">
        <f t="shared" si="294"/>
        <v>2024</v>
      </c>
      <c r="H1770" s="5" t="str">
        <f t="shared" si="295"/>
        <v>Septiembre</v>
      </c>
      <c r="I1770" s="6" t="str">
        <f t="shared" si="298"/>
        <v>2024-2</v>
      </c>
      <c r="J1770" s="5">
        <v>100</v>
      </c>
      <c r="K1770" s="10">
        <v>94.86</v>
      </c>
      <c r="L1770" s="15">
        <f>IFERROR(IF((K1770/J1770)&gt;1.3,1.3,K1770/J1770),"")</f>
        <v>0.9486</v>
      </c>
      <c r="M1770" s="15">
        <f>IFERROR(IF((K1770/J1770)&gt;K1770/J1770,1.3,K1770/J1770),"")</f>
        <v>0.9486</v>
      </c>
      <c r="N1770" s="5" t="s">
        <v>347</v>
      </c>
      <c r="O1770" s="5" t="s">
        <v>347</v>
      </c>
      <c r="P1770" s="16">
        <v>0</v>
      </c>
      <c r="Q1770" s="16">
        <v>0</v>
      </c>
      <c r="R1770" s="5" t="str">
        <f t="shared" si="299"/>
        <v>469-2024-09-30</v>
      </c>
    </row>
    <row r="1771" spans="1:18" x14ac:dyDescent="0.3">
      <c r="A1771" s="26">
        <v>469</v>
      </c>
      <c r="B1771" s="5" t="s">
        <v>312</v>
      </c>
      <c r="C1771" s="5" t="s">
        <v>131</v>
      </c>
      <c r="D1771" s="5" t="s">
        <v>11</v>
      </c>
      <c r="E1771" s="5" t="s">
        <v>9</v>
      </c>
      <c r="F1771" s="6">
        <v>45657</v>
      </c>
      <c r="G1771" s="5">
        <f t="shared" si="294"/>
        <v>2024</v>
      </c>
      <c r="H1771" s="5" t="str">
        <f t="shared" si="295"/>
        <v>Diciembre</v>
      </c>
      <c r="I1771" s="6" t="str">
        <f t="shared" si="298"/>
        <v>2024-2</v>
      </c>
      <c r="J1771" s="5">
        <v>100</v>
      </c>
      <c r="K1771" s="10">
        <v>0</v>
      </c>
      <c r="L1771" s="15">
        <f>IFERROR(IF((K1771/J1771)&gt;1.3,1.3,K1771/J1771),"")</f>
        <v>0</v>
      </c>
      <c r="M1771" s="15">
        <f>IFERROR(IF((K1771/J1771)&gt;K1771/J1771,1.3,K1771/J1771),"")</f>
        <v>0</v>
      </c>
      <c r="N1771" s="5" t="s">
        <v>347</v>
      </c>
      <c r="O1771" s="5" t="s">
        <v>347</v>
      </c>
      <c r="P1771" s="16">
        <v>0</v>
      </c>
      <c r="Q1771" s="16">
        <v>0</v>
      </c>
      <c r="R1771" s="5" t="str">
        <f t="shared" si="299"/>
        <v>469-2024-12-31</v>
      </c>
    </row>
    <row r="1772" spans="1:18" x14ac:dyDescent="0.3">
      <c r="A1772" s="26">
        <v>470</v>
      </c>
      <c r="B1772" s="5" t="s">
        <v>528</v>
      </c>
      <c r="C1772" s="5" t="s">
        <v>131</v>
      </c>
      <c r="D1772" s="5" t="s">
        <v>11</v>
      </c>
      <c r="E1772" s="5" t="s">
        <v>9</v>
      </c>
      <c r="F1772" s="6">
        <v>45382</v>
      </c>
      <c r="G1772" s="5">
        <f t="shared" si="294"/>
        <v>2024</v>
      </c>
      <c r="H1772" s="5" t="str">
        <f t="shared" si="295"/>
        <v>Marzo</v>
      </c>
      <c r="I1772" s="6" t="str">
        <f t="shared" si="298"/>
        <v>2024-1</v>
      </c>
      <c r="J1772" s="5">
        <v>100</v>
      </c>
      <c r="K1772" s="10">
        <v>79.599999999999994</v>
      </c>
      <c r="L1772" s="15">
        <f>IFERROR(IF((K1772/J1772)&gt;1.3,1.3,K1772/J1772),"")</f>
        <v>0.79599999999999993</v>
      </c>
      <c r="M1772" s="15">
        <f>IFERROR(IF((K1772/J1772)&gt;K1772/J1772,1.3,K1772/J1772),"")</f>
        <v>0.79599999999999993</v>
      </c>
      <c r="N1772" s="5" t="s">
        <v>347</v>
      </c>
      <c r="O1772" s="5" t="s">
        <v>347</v>
      </c>
      <c r="P1772" s="16">
        <v>0</v>
      </c>
      <c r="Q1772" s="16">
        <v>0</v>
      </c>
      <c r="R1772" s="5" t="str">
        <f t="shared" si="299"/>
        <v>470-2024-03-31</v>
      </c>
    </row>
    <row r="1773" spans="1:18" x14ac:dyDescent="0.3">
      <c r="A1773" s="5">
        <v>470</v>
      </c>
      <c r="B1773" s="5" t="s">
        <v>528</v>
      </c>
      <c r="C1773" s="5" t="s">
        <v>131</v>
      </c>
      <c r="D1773" s="5" t="s">
        <v>11</v>
      </c>
      <c r="E1773" s="5" t="s">
        <v>9</v>
      </c>
      <c r="F1773" s="6">
        <v>45473</v>
      </c>
      <c r="G1773" s="5">
        <f t="shared" si="294"/>
        <v>2024</v>
      </c>
      <c r="H1773" s="5" t="str">
        <f t="shared" si="295"/>
        <v>Junio</v>
      </c>
      <c r="I1773" s="6" t="str">
        <f t="shared" si="298"/>
        <v>2024-1</v>
      </c>
      <c r="J1773" s="5">
        <v>100</v>
      </c>
      <c r="K1773" s="5">
        <v>118.1</v>
      </c>
      <c r="L1773" s="15">
        <v>1.181</v>
      </c>
      <c r="M1773" s="15">
        <v>1.181</v>
      </c>
      <c r="N1773" s="5" t="s">
        <v>347</v>
      </c>
      <c r="O1773" s="5" t="s">
        <v>347</v>
      </c>
      <c r="P1773" s="5">
        <v>0</v>
      </c>
      <c r="Q1773" s="5">
        <v>0</v>
      </c>
      <c r="R1773" s="5" t="str">
        <f t="shared" si="299"/>
        <v>470-2024-06-30</v>
      </c>
    </row>
    <row r="1774" spans="1:18" x14ac:dyDescent="0.3">
      <c r="A1774" s="26">
        <v>470</v>
      </c>
      <c r="B1774" s="5" t="s">
        <v>528</v>
      </c>
      <c r="C1774" s="5" t="s">
        <v>131</v>
      </c>
      <c r="D1774" s="5" t="s">
        <v>11</v>
      </c>
      <c r="E1774" s="5" t="s">
        <v>9</v>
      </c>
      <c r="F1774" s="6">
        <v>45565</v>
      </c>
      <c r="G1774" s="5">
        <f t="shared" si="294"/>
        <v>2024</v>
      </c>
      <c r="H1774" s="5" t="str">
        <f t="shared" si="295"/>
        <v>Septiembre</v>
      </c>
      <c r="I1774" s="6" t="str">
        <f t="shared" si="298"/>
        <v>2024-2</v>
      </c>
      <c r="J1774" s="5">
        <v>100</v>
      </c>
      <c r="K1774" s="10">
        <v>104.86</v>
      </c>
      <c r="L1774" s="15">
        <f>IFERROR(IF((K1774/J1774)&gt;1.3,1.3,K1774/J1774),"")</f>
        <v>1.0486</v>
      </c>
      <c r="M1774" s="15">
        <f>IFERROR(IF((K1774/J1774)&gt;K1774/J1774,1.3,K1774/J1774),"")</f>
        <v>1.0486</v>
      </c>
      <c r="N1774" s="5" t="s">
        <v>347</v>
      </c>
      <c r="O1774" s="5" t="s">
        <v>347</v>
      </c>
      <c r="P1774" s="16">
        <v>0</v>
      </c>
      <c r="Q1774" s="16">
        <v>0</v>
      </c>
      <c r="R1774" s="5" t="str">
        <f t="shared" si="299"/>
        <v>470-2024-09-30</v>
      </c>
    </row>
    <row r="1775" spans="1:18" x14ac:dyDescent="0.3">
      <c r="A1775" s="26">
        <v>470</v>
      </c>
      <c r="B1775" s="5" t="s">
        <v>528</v>
      </c>
      <c r="C1775" s="5" t="s">
        <v>131</v>
      </c>
      <c r="D1775" s="5" t="s">
        <v>11</v>
      </c>
      <c r="E1775" s="5" t="s">
        <v>9</v>
      </c>
      <c r="F1775" s="6">
        <v>45657</v>
      </c>
      <c r="G1775" s="5">
        <f t="shared" si="294"/>
        <v>2024</v>
      </c>
      <c r="H1775" s="5" t="str">
        <f t="shared" si="295"/>
        <v>Diciembre</v>
      </c>
      <c r="I1775" s="6" t="str">
        <f t="shared" si="298"/>
        <v>2024-2</v>
      </c>
      <c r="J1775" s="5">
        <v>100</v>
      </c>
      <c r="K1775" s="10">
        <v>0</v>
      </c>
      <c r="L1775" s="15">
        <f>IFERROR(IF((K1775/J1775)&gt;1.3,1.3,K1775/J1775),"")</f>
        <v>0</v>
      </c>
      <c r="M1775" s="15">
        <f>IFERROR(IF((K1775/J1775)&gt;K1775/J1775,1.3,K1775/J1775),"")</f>
        <v>0</v>
      </c>
      <c r="N1775" s="5" t="s">
        <v>347</v>
      </c>
      <c r="O1775" s="5" t="s">
        <v>347</v>
      </c>
      <c r="P1775" s="16">
        <v>0</v>
      </c>
      <c r="Q1775" s="16">
        <v>0</v>
      </c>
      <c r="R1775" s="5" t="str">
        <f t="shared" si="299"/>
        <v>470-2024-12-31</v>
      </c>
    </row>
    <row r="1776" spans="1:18" x14ac:dyDescent="0.3">
      <c r="A1776" s="26">
        <v>471</v>
      </c>
      <c r="B1776" s="5" t="s">
        <v>529</v>
      </c>
      <c r="C1776" s="5" t="s">
        <v>131</v>
      </c>
      <c r="D1776" s="5" t="s">
        <v>11</v>
      </c>
      <c r="E1776" s="5" t="s">
        <v>9</v>
      </c>
      <c r="F1776" s="6">
        <v>45382</v>
      </c>
      <c r="G1776" s="5">
        <f t="shared" si="294"/>
        <v>2024</v>
      </c>
      <c r="H1776" s="5" t="str">
        <f t="shared" si="295"/>
        <v>Marzo</v>
      </c>
      <c r="I1776" s="6" t="str">
        <f t="shared" si="298"/>
        <v>2024-1</v>
      </c>
      <c r="J1776" s="5">
        <v>100</v>
      </c>
      <c r="K1776" s="10">
        <v>108.48</v>
      </c>
      <c r="L1776" s="15">
        <f>IFERROR(IF((K1776/J1776)&gt;1.3,1.3,K1776/J1776),"")</f>
        <v>1.0848</v>
      </c>
      <c r="M1776" s="15">
        <f>IFERROR(IF((K1776/J1776)&gt;K1776/J1776,1.3,K1776/J1776),"")</f>
        <v>1.0848</v>
      </c>
      <c r="N1776" s="5" t="s">
        <v>347</v>
      </c>
      <c r="O1776" s="5" t="s">
        <v>347</v>
      </c>
      <c r="P1776" s="16">
        <v>0</v>
      </c>
      <c r="Q1776" s="16">
        <v>0</v>
      </c>
      <c r="R1776" s="5" t="str">
        <f t="shared" si="299"/>
        <v>471-2024-03-31</v>
      </c>
    </row>
    <row r="1777" spans="1:18" x14ac:dyDescent="0.3">
      <c r="A1777" s="5">
        <v>471</v>
      </c>
      <c r="B1777" s="5" t="s">
        <v>529</v>
      </c>
      <c r="C1777" s="5" t="s">
        <v>13</v>
      </c>
      <c r="D1777" s="5" t="s">
        <v>11</v>
      </c>
      <c r="E1777" s="5" t="s">
        <v>9</v>
      </c>
      <c r="F1777" s="6">
        <v>45473</v>
      </c>
      <c r="G1777" s="5">
        <f t="shared" si="294"/>
        <v>2024</v>
      </c>
      <c r="H1777" s="5" t="str">
        <f t="shared" si="295"/>
        <v>Junio</v>
      </c>
      <c r="I1777" s="6" t="str">
        <f t="shared" si="298"/>
        <v>2024-1</v>
      </c>
      <c r="J1777" s="5">
        <v>100</v>
      </c>
      <c r="K1777" s="5">
        <v>105.56</v>
      </c>
      <c r="L1777" s="15">
        <v>1</v>
      </c>
      <c r="M1777" s="15">
        <v>1</v>
      </c>
      <c r="N1777" s="5" t="s">
        <v>347</v>
      </c>
      <c r="O1777" s="5" t="s">
        <v>347</v>
      </c>
      <c r="P1777" s="5">
        <v>0</v>
      </c>
      <c r="Q1777" s="5">
        <v>0</v>
      </c>
      <c r="R1777" s="5" t="str">
        <f t="shared" si="299"/>
        <v>471-2024-06-30</v>
      </c>
    </row>
    <row r="1778" spans="1:18" x14ac:dyDescent="0.3">
      <c r="A1778" s="26">
        <v>471</v>
      </c>
      <c r="B1778" s="5" t="s">
        <v>529</v>
      </c>
      <c r="C1778" s="5" t="s">
        <v>131</v>
      </c>
      <c r="D1778" s="5" t="s">
        <v>11</v>
      </c>
      <c r="E1778" s="5" t="s">
        <v>9</v>
      </c>
      <c r="F1778" s="6">
        <v>45565</v>
      </c>
      <c r="G1778" s="5">
        <f t="shared" si="294"/>
        <v>2024</v>
      </c>
      <c r="H1778" s="5" t="str">
        <f t="shared" si="295"/>
        <v>Septiembre</v>
      </c>
      <c r="I1778" s="6" t="str">
        <f t="shared" si="298"/>
        <v>2024-2</v>
      </c>
      <c r="J1778" s="5">
        <v>100</v>
      </c>
      <c r="K1778" s="10">
        <v>91.07</v>
      </c>
      <c r="L1778" s="15">
        <f>IFERROR(IF((K1778/J1778)&gt;1.3,1.3,K1778/J1778),"")</f>
        <v>0.91069999999999995</v>
      </c>
      <c r="M1778" s="15">
        <f>IFERROR(IF((K1778/J1778)&gt;K1778/J1778,1.3,K1778/J1778),"")</f>
        <v>0.91069999999999995</v>
      </c>
      <c r="N1778" s="5" t="s">
        <v>347</v>
      </c>
      <c r="O1778" s="5" t="s">
        <v>347</v>
      </c>
      <c r="P1778" s="16">
        <v>0</v>
      </c>
      <c r="Q1778" s="16">
        <v>0</v>
      </c>
      <c r="R1778" s="5" t="str">
        <f t="shared" si="299"/>
        <v>471-2024-09-30</v>
      </c>
    </row>
    <row r="1779" spans="1:18" x14ac:dyDescent="0.3">
      <c r="A1779" s="26">
        <v>471</v>
      </c>
      <c r="B1779" s="5" t="s">
        <v>529</v>
      </c>
      <c r="C1779" s="5" t="s">
        <v>131</v>
      </c>
      <c r="D1779" s="5" t="s">
        <v>11</v>
      </c>
      <c r="E1779" s="5" t="s">
        <v>9</v>
      </c>
      <c r="F1779" s="6">
        <v>45657</v>
      </c>
      <c r="G1779" s="5">
        <f t="shared" si="294"/>
        <v>2024</v>
      </c>
      <c r="H1779" s="5" t="str">
        <f t="shared" si="295"/>
        <v>Diciembre</v>
      </c>
      <c r="I1779" s="6" t="str">
        <f t="shared" si="298"/>
        <v>2024-2</v>
      </c>
      <c r="J1779" s="5">
        <v>100</v>
      </c>
      <c r="K1779" s="10">
        <v>0</v>
      </c>
      <c r="L1779" s="15">
        <f>IFERROR(IF((K1779/J1779)&gt;1.3,1.3,K1779/J1779),"")</f>
        <v>0</v>
      </c>
      <c r="M1779" s="15">
        <f>IFERROR(IF((K1779/J1779)&gt;K1779/J1779,1.3,K1779/J1779),"")</f>
        <v>0</v>
      </c>
      <c r="N1779" s="5" t="s">
        <v>347</v>
      </c>
      <c r="O1779" s="5" t="s">
        <v>347</v>
      </c>
      <c r="P1779" s="16">
        <v>0</v>
      </c>
      <c r="Q1779" s="16">
        <v>0</v>
      </c>
      <c r="R1779" s="5" t="str">
        <f t="shared" si="299"/>
        <v>471-2024-12-31</v>
      </c>
    </row>
    <row r="1780" spans="1:18" x14ac:dyDescent="0.3">
      <c r="A1780" s="5">
        <v>472</v>
      </c>
      <c r="B1780" s="5" t="s">
        <v>530</v>
      </c>
      <c r="C1780" s="5" t="s">
        <v>237</v>
      </c>
      <c r="D1780" s="5" t="s">
        <v>8</v>
      </c>
      <c r="E1780" s="5" t="s">
        <v>9</v>
      </c>
      <c r="F1780" s="6">
        <v>45473</v>
      </c>
      <c r="G1780" s="5">
        <f t="shared" si="294"/>
        <v>2024</v>
      </c>
      <c r="H1780" s="5" t="str">
        <f t="shared" si="295"/>
        <v>Junio</v>
      </c>
      <c r="I1780" s="6" t="str">
        <f t="shared" si="298"/>
        <v>2024-1</v>
      </c>
      <c r="J1780" s="5">
        <v>100</v>
      </c>
      <c r="K1780" s="5">
        <v>82.1</v>
      </c>
      <c r="L1780" s="15">
        <v>0.82099999999999995</v>
      </c>
      <c r="M1780" s="15">
        <v>0.82099999999999995</v>
      </c>
      <c r="N1780" s="5" t="s">
        <v>347</v>
      </c>
      <c r="O1780" s="5" t="s">
        <v>347</v>
      </c>
      <c r="P1780" s="5">
        <v>0</v>
      </c>
      <c r="Q1780" s="5">
        <v>0</v>
      </c>
      <c r="R1780" s="5" t="str">
        <f t="shared" si="299"/>
        <v>472-2024-06-30</v>
      </c>
    </row>
    <row r="1781" spans="1:18" x14ac:dyDescent="0.3">
      <c r="A1781" s="26">
        <v>472</v>
      </c>
      <c r="B1781" s="5" t="s">
        <v>530</v>
      </c>
      <c r="C1781" s="5" t="s">
        <v>237</v>
      </c>
      <c r="D1781" s="5" t="s">
        <v>8</v>
      </c>
      <c r="E1781" s="5" t="s">
        <v>9</v>
      </c>
      <c r="F1781" s="6">
        <v>45657</v>
      </c>
      <c r="G1781" s="5">
        <f t="shared" si="294"/>
        <v>2024</v>
      </c>
      <c r="H1781" s="5" t="str">
        <f t="shared" si="295"/>
        <v>Diciembre</v>
      </c>
      <c r="I1781" s="6" t="str">
        <f t="shared" si="298"/>
        <v>2024-2</v>
      </c>
      <c r="J1781" s="5">
        <v>100</v>
      </c>
      <c r="K1781" s="10">
        <v>100</v>
      </c>
      <c r="L1781" s="15">
        <f>IFERROR(IF((K1781/J1781)&gt;1.3,1.3,K1781/J1781),"")</f>
        <v>1</v>
      </c>
      <c r="M1781" s="15">
        <f>IFERROR(IF((K1781/J1781)&gt;K1781/J1781,1.3,K1781/J1781),"")</f>
        <v>1</v>
      </c>
      <c r="N1781" s="5" t="s">
        <v>347</v>
      </c>
      <c r="O1781" s="5" t="s">
        <v>347</v>
      </c>
      <c r="P1781" s="16">
        <v>0</v>
      </c>
      <c r="Q1781" s="16">
        <v>0</v>
      </c>
      <c r="R1781" s="5" t="str">
        <f t="shared" si="299"/>
        <v>472-2024-12-31</v>
      </c>
    </row>
    <row r="1782" spans="1:18" x14ac:dyDescent="0.3">
      <c r="A1782" s="26">
        <v>473</v>
      </c>
      <c r="B1782" s="23" t="s">
        <v>493</v>
      </c>
      <c r="C1782" s="5" t="s">
        <v>129</v>
      </c>
      <c r="D1782" s="5" t="s">
        <v>8</v>
      </c>
      <c r="E1782" s="5" t="s">
        <v>9</v>
      </c>
      <c r="F1782" s="6">
        <v>45473</v>
      </c>
      <c r="G1782" s="5">
        <f t="shared" si="294"/>
        <v>2024</v>
      </c>
      <c r="H1782" s="5" t="str">
        <f t="shared" si="295"/>
        <v>Junio</v>
      </c>
      <c r="I1782" s="6" t="str">
        <f t="shared" si="298"/>
        <v>2024-1</v>
      </c>
      <c r="J1782" s="34">
        <v>16</v>
      </c>
      <c r="K1782" s="86">
        <v>16</v>
      </c>
      <c r="L1782" s="15">
        <f>IFERROR(IF((K1782/J1782)&gt;1.3,1.3,K1782/J1782),"")</f>
        <v>1</v>
      </c>
      <c r="M1782" s="15">
        <f>IFERROR(IF((K1782/J1782)&gt;K1782/J1782,1.3,K1782/J1782),"")</f>
        <v>1</v>
      </c>
      <c r="N1782" s="5" t="s">
        <v>490</v>
      </c>
      <c r="O1782" s="5" t="s">
        <v>490</v>
      </c>
      <c r="P1782" s="16">
        <v>0</v>
      </c>
      <c r="Q1782" s="16">
        <v>0</v>
      </c>
      <c r="R1782" s="5" t="str">
        <f t="shared" si="299"/>
        <v>473-2024-06-30</v>
      </c>
    </row>
    <row r="1783" spans="1:18" x14ac:dyDescent="0.3">
      <c r="A1783" s="26">
        <v>473</v>
      </c>
      <c r="B1783" s="5" t="s">
        <v>724</v>
      </c>
      <c r="C1783" s="5" t="s">
        <v>129</v>
      </c>
      <c r="D1783" s="5" t="s">
        <v>8</v>
      </c>
      <c r="E1783" s="5" t="s">
        <v>9</v>
      </c>
      <c r="F1783" s="6">
        <v>45657</v>
      </c>
      <c r="G1783" s="5">
        <f t="shared" si="294"/>
        <v>2024</v>
      </c>
      <c r="H1783" s="5" t="str">
        <f t="shared" si="295"/>
        <v>Diciembre</v>
      </c>
      <c r="I1783" s="6" t="str">
        <f t="shared" si="298"/>
        <v>2024-2</v>
      </c>
      <c r="J1783" s="5">
        <v>17</v>
      </c>
      <c r="K1783" s="16">
        <v>17</v>
      </c>
      <c r="L1783" s="15">
        <f>IFERROR(IF((K1783/J1783)&gt;1.3,1.3,K1783/J1783),"")</f>
        <v>1</v>
      </c>
      <c r="M1783" s="15">
        <f>IFERROR(IF((K1783/J1783)&gt;K1783/J1783,1.3,K1783/J1783),"")</f>
        <v>1</v>
      </c>
      <c r="N1783" s="5" t="s">
        <v>490</v>
      </c>
      <c r="O1783" s="5" t="s">
        <v>490</v>
      </c>
      <c r="P1783" s="16">
        <v>0</v>
      </c>
      <c r="Q1783" s="16">
        <v>0</v>
      </c>
      <c r="R1783" s="5" t="str">
        <f t="shared" si="299"/>
        <v>473-2024-12-31</v>
      </c>
    </row>
    <row r="1784" spans="1:18" x14ac:dyDescent="0.3">
      <c r="A1784" s="26">
        <v>474</v>
      </c>
      <c r="B1784" s="23" t="s">
        <v>503</v>
      </c>
      <c r="C1784" s="5" t="s">
        <v>504</v>
      </c>
      <c r="D1784" s="5" t="s">
        <v>8</v>
      </c>
      <c r="E1784" s="5" t="s">
        <v>9</v>
      </c>
      <c r="F1784" s="6">
        <v>45473</v>
      </c>
      <c r="G1784" s="5">
        <f t="shared" si="294"/>
        <v>2024</v>
      </c>
      <c r="H1784" s="5" t="str">
        <f t="shared" si="295"/>
        <v>Junio</v>
      </c>
      <c r="I1784" s="6" t="str">
        <f t="shared" si="298"/>
        <v>2024-1</v>
      </c>
      <c r="J1784" s="5">
        <v>100</v>
      </c>
      <c r="K1784" s="5">
        <v>100</v>
      </c>
      <c r="L1784" s="15">
        <v>1</v>
      </c>
      <c r="M1784" s="15">
        <v>1</v>
      </c>
      <c r="N1784" s="5" t="s">
        <v>490</v>
      </c>
      <c r="O1784" s="5" t="s">
        <v>490</v>
      </c>
      <c r="P1784" s="5">
        <v>0</v>
      </c>
      <c r="Q1784" s="5">
        <v>0</v>
      </c>
      <c r="R1784" s="5" t="str">
        <f t="shared" si="299"/>
        <v>474-2024-06-30</v>
      </c>
    </row>
    <row r="1785" spans="1:18" x14ac:dyDescent="0.3">
      <c r="A1785" s="26">
        <v>474</v>
      </c>
      <c r="B1785" s="5" t="s">
        <v>737</v>
      </c>
      <c r="C1785" s="5" t="s">
        <v>504</v>
      </c>
      <c r="D1785" s="5" t="s">
        <v>8</v>
      </c>
      <c r="E1785" s="5" t="s">
        <v>9</v>
      </c>
      <c r="F1785" s="6">
        <v>45657</v>
      </c>
      <c r="G1785" s="5">
        <f t="shared" si="294"/>
        <v>2024</v>
      </c>
      <c r="H1785" s="5" t="str">
        <f t="shared" si="295"/>
        <v>Diciembre</v>
      </c>
      <c r="I1785" s="6" t="str">
        <f t="shared" si="298"/>
        <v>2024-2</v>
      </c>
      <c r="J1785" s="5">
        <v>100</v>
      </c>
      <c r="K1785" s="10">
        <v>100</v>
      </c>
      <c r="L1785" s="15">
        <f t="shared" ref="L1785:L1797" si="300">IFERROR(IF((K1785/J1785)&gt;1.3,1.3,K1785/J1785),"")</f>
        <v>1</v>
      </c>
      <c r="M1785" s="15">
        <f t="shared" ref="M1785:M1797" si="301">IFERROR(IF((K1785/J1785)&gt;K1785/J1785,1.3,K1785/J1785),"")</f>
        <v>1</v>
      </c>
      <c r="N1785" s="5" t="s">
        <v>490</v>
      </c>
      <c r="O1785" s="5" t="s">
        <v>490</v>
      </c>
      <c r="P1785" s="16">
        <v>0</v>
      </c>
      <c r="Q1785" s="16">
        <v>0</v>
      </c>
      <c r="R1785" s="5" t="str">
        <f t="shared" si="299"/>
        <v>474-2024-12-31</v>
      </c>
    </row>
    <row r="1786" spans="1:18" x14ac:dyDescent="0.3">
      <c r="A1786" s="26">
        <v>475</v>
      </c>
      <c r="B1786" s="5" t="s">
        <v>738</v>
      </c>
      <c r="C1786" s="5" t="s">
        <v>209</v>
      </c>
      <c r="D1786" s="5" t="s">
        <v>8</v>
      </c>
      <c r="E1786" s="5" t="s">
        <v>9</v>
      </c>
      <c r="F1786" s="6">
        <v>45657</v>
      </c>
      <c r="G1786" s="5">
        <f t="shared" si="294"/>
        <v>2024</v>
      </c>
      <c r="H1786" s="5" t="str">
        <f t="shared" si="295"/>
        <v>Diciembre</v>
      </c>
      <c r="I1786" s="6" t="str">
        <f t="shared" si="298"/>
        <v>2024-2</v>
      </c>
      <c r="J1786" s="5">
        <v>100</v>
      </c>
      <c r="K1786" s="10">
        <v>100</v>
      </c>
      <c r="L1786" s="15">
        <f t="shared" si="300"/>
        <v>1</v>
      </c>
      <c r="M1786" s="15">
        <f t="shared" si="301"/>
        <v>1</v>
      </c>
      <c r="N1786" s="5" t="s">
        <v>417</v>
      </c>
      <c r="O1786" s="5" t="s">
        <v>417</v>
      </c>
      <c r="P1786" s="16">
        <v>0</v>
      </c>
      <c r="Q1786" s="16">
        <v>0</v>
      </c>
      <c r="R1786" s="5" t="str">
        <f t="shared" si="299"/>
        <v>475-2024-12-31</v>
      </c>
    </row>
    <row r="1787" spans="1:18" x14ac:dyDescent="0.3">
      <c r="A1787" s="26">
        <v>476</v>
      </c>
      <c r="B1787" s="5" t="s">
        <v>725</v>
      </c>
      <c r="C1787" s="5" t="s">
        <v>129</v>
      </c>
      <c r="D1787" s="5" t="s">
        <v>8</v>
      </c>
      <c r="E1787" s="5" t="s">
        <v>9</v>
      </c>
      <c r="F1787" s="6">
        <v>45473</v>
      </c>
      <c r="G1787" s="5">
        <f t="shared" si="294"/>
        <v>2024</v>
      </c>
      <c r="H1787" s="5" t="str">
        <f t="shared" si="295"/>
        <v>Junio</v>
      </c>
      <c r="I1787" s="6" t="str">
        <f t="shared" si="298"/>
        <v>2024-1</v>
      </c>
      <c r="J1787" s="5">
        <v>15</v>
      </c>
      <c r="K1787" s="10">
        <v>15</v>
      </c>
      <c r="L1787" s="15">
        <f t="shared" si="300"/>
        <v>1</v>
      </c>
      <c r="M1787" s="15">
        <f t="shared" si="301"/>
        <v>1</v>
      </c>
      <c r="N1787" s="5" t="s">
        <v>417</v>
      </c>
      <c r="O1787" s="5" t="s">
        <v>417</v>
      </c>
      <c r="P1787" s="16">
        <v>0</v>
      </c>
      <c r="Q1787" s="16">
        <v>0</v>
      </c>
      <c r="R1787" s="5" t="str">
        <f t="shared" si="299"/>
        <v>476-2024-06-30</v>
      </c>
    </row>
    <row r="1788" spans="1:18" x14ac:dyDescent="0.3">
      <c r="A1788" s="26">
        <v>476</v>
      </c>
      <c r="B1788" s="5" t="s">
        <v>725</v>
      </c>
      <c r="C1788" s="5" t="s">
        <v>129</v>
      </c>
      <c r="D1788" s="5" t="s">
        <v>8</v>
      </c>
      <c r="E1788" s="5" t="s">
        <v>9</v>
      </c>
      <c r="F1788" s="6">
        <v>45657</v>
      </c>
      <c r="G1788" s="5">
        <f t="shared" si="294"/>
        <v>2024</v>
      </c>
      <c r="H1788" s="5" t="str">
        <f t="shared" si="295"/>
        <v>Diciembre</v>
      </c>
      <c r="I1788" s="6" t="str">
        <f t="shared" si="298"/>
        <v>2024-2</v>
      </c>
      <c r="J1788" s="5">
        <v>15</v>
      </c>
      <c r="K1788" s="10">
        <v>15</v>
      </c>
      <c r="L1788" s="15">
        <f t="shared" si="300"/>
        <v>1</v>
      </c>
      <c r="M1788" s="15">
        <f t="shared" si="301"/>
        <v>1</v>
      </c>
      <c r="N1788" s="5" t="s">
        <v>417</v>
      </c>
      <c r="O1788" s="5" t="s">
        <v>417</v>
      </c>
      <c r="P1788" s="16">
        <v>0</v>
      </c>
      <c r="Q1788" s="16">
        <v>0</v>
      </c>
      <c r="R1788" s="5" t="str">
        <f t="shared" si="299"/>
        <v>476-2024-12-31</v>
      </c>
    </row>
    <row r="1789" spans="1:18" x14ac:dyDescent="0.3">
      <c r="A1789" s="26">
        <v>477</v>
      </c>
      <c r="B1789" s="5" t="s">
        <v>739</v>
      </c>
      <c r="C1789" s="5" t="s">
        <v>504</v>
      </c>
      <c r="D1789" s="5" t="s">
        <v>8</v>
      </c>
      <c r="E1789" s="5" t="s">
        <v>9</v>
      </c>
      <c r="F1789" s="6">
        <v>45473</v>
      </c>
      <c r="G1789" s="5">
        <f t="shared" si="294"/>
        <v>2024</v>
      </c>
      <c r="H1789" s="5" t="str">
        <f t="shared" si="295"/>
        <v>Junio</v>
      </c>
      <c r="I1789" s="6" t="str">
        <f t="shared" si="298"/>
        <v>2024-1</v>
      </c>
      <c r="J1789" s="5">
        <v>100</v>
      </c>
      <c r="K1789" s="10">
        <v>100</v>
      </c>
      <c r="L1789" s="15">
        <f t="shared" si="300"/>
        <v>1</v>
      </c>
      <c r="M1789" s="15">
        <f t="shared" si="301"/>
        <v>1</v>
      </c>
      <c r="N1789" s="5" t="s">
        <v>417</v>
      </c>
      <c r="O1789" s="5" t="s">
        <v>417</v>
      </c>
      <c r="P1789" s="16">
        <v>0</v>
      </c>
      <c r="Q1789" s="16">
        <v>0</v>
      </c>
      <c r="R1789" s="5" t="str">
        <f t="shared" si="299"/>
        <v>477-2024-06-30</v>
      </c>
    </row>
    <row r="1790" spans="1:18" x14ac:dyDescent="0.3">
      <c r="A1790" s="26">
        <v>477</v>
      </c>
      <c r="B1790" s="5" t="s">
        <v>739</v>
      </c>
      <c r="C1790" s="5" t="s">
        <v>504</v>
      </c>
      <c r="D1790" s="5" t="s">
        <v>8</v>
      </c>
      <c r="E1790" s="5" t="s">
        <v>9</v>
      </c>
      <c r="F1790" s="6">
        <v>45657</v>
      </c>
      <c r="G1790" s="5">
        <f t="shared" si="294"/>
        <v>2024</v>
      </c>
      <c r="H1790" s="5" t="str">
        <f t="shared" si="295"/>
        <v>Diciembre</v>
      </c>
      <c r="I1790" s="6" t="str">
        <f t="shared" si="298"/>
        <v>2024-2</v>
      </c>
      <c r="J1790" s="5">
        <v>100</v>
      </c>
      <c r="K1790" s="10">
        <v>100</v>
      </c>
      <c r="L1790" s="15">
        <f t="shared" si="300"/>
        <v>1</v>
      </c>
      <c r="M1790" s="15">
        <f t="shared" si="301"/>
        <v>1</v>
      </c>
      <c r="N1790" s="5" t="s">
        <v>417</v>
      </c>
      <c r="O1790" s="5" t="s">
        <v>417</v>
      </c>
      <c r="P1790" s="16">
        <v>0</v>
      </c>
      <c r="Q1790" s="16">
        <v>0</v>
      </c>
      <c r="R1790" s="5" t="str">
        <f t="shared" si="299"/>
        <v>477-2024-12-31</v>
      </c>
    </row>
    <row r="1791" spans="1:18" x14ac:dyDescent="0.3">
      <c r="A1791" s="26">
        <v>478</v>
      </c>
      <c r="B1791" s="5" t="s">
        <v>740</v>
      </c>
      <c r="C1791" s="5" t="s">
        <v>504</v>
      </c>
      <c r="D1791" s="5" t="s">
        <v>8</v>
      </c>
      <c r="E1791" s="5" t="s">
        <v>9</v>
      </c>
      <c r="F1791" s="6">
        <v>45657</v>
      </c>
      <c r="G1791" s="5">
        <f t="shared" si="294"/>
        <v>2024</v>
      </c>
      <c r="H1791" s="5" t="str">
        <f t="shared" si="295"/>
        <v>Diciembre</v>
      </c>
      <c r="I1791" s="6" t="str">
        <f t="shared" si="298"/>
        <v>2024-2</v>
      </c>
      <c r="J1791" s="5">
        <v>100</v>
      </c>
      <c r="K1791" s="10">
        <v>100</v>
      </c>
      <c r="L1791" s="15">
        <f t="shared" si="300"/>
        <v>1</v>
      </c>
      <c r="M1791" s="15">
        <f t="shared" si="301"/>
        <v>1</v>
      </c>
      <c r="N1791" s="5" t="s">
        <v>417</v>
      </c>
      <c r="O1791" s="5" t="s">
        <v>417</v>
      </c>
      <c r="P1791" s="16">
        <v>0</v>
      </c>
      <c r="Q1791" s="16">
        <v>0</v>
      </c>
      <c r="R1791" s="5" t="str">
        <f t="shared" si="299"/>
        <v>478-2024-12-31</v>
      </c>
    </row>
    <row r="1792" spans="1:18" x14ac:dyDescent="0.3">
      <c r="A1792" s="26">
        <v>479</v>
      </c>
      <c r="B1792" s="5" t="s">
        <v>741</v>
      </c>
      <c r="C1792" s="5" t="s">
        <v>504</v>
      </c>
      <c r="D1792" s="5" t="s">
        <v>8</v>
      </c>
      <c r="E1792" s="5" t="s">
        <v>9</v>
      </c>
      <c r="F1792" s="6">
        <v>45473</v>
      </c>
      <c r="G1792" s="5">
        <f t="shared" si="294"/>
        <v>2024</v>
      </c>
      <c r="H1792" s="5" t="str">
        <f t="shared" si="295"/>
        <v>Junio</v>
      </c>
      <c r="I1792" s="6" t="str">
        <f t="shared" si="298"/>
        <v>2024-1</v>
      </c>
      <c r="J1792" s="5">
        <v>100</v>
      </c>
      <c r="K1792" s="10">
        <v>100</v>
      </c>
      <c r="L1792" s="15">
        <f t="shared" si="300"/>
        <v>1</v>
      </c>
      <c r="M1792" s="15">
        <f t="shared" si="301"/>
        <v>1</v>
      </c>
      <c r="N1792" s="5" t="s">
        <v>417</v>
      </c>
      <c r="O1792" s="5" t="s">
        <v>417</v>
      </c>
      <c r="P1792" s="16">
        <v>0</v>
      </c>
      <c r="Q1792" s="16">
        <v>0</v>
      </c>
      <c r="R1792" s="5" t="str">
        <f t="shared" si="299"/>
        <v>479-2024-06-30</v>
      </c>
    </row>
    <row r="1793" spans="1:18" x14ac:dyDescent="0.3">
      <c r="A1793" s="26">
        <v>479</v>
      </c>
      <c r="B1793" s="5" t="s">
        <v>741</v>
      </c>
      <c r="C1793" s="5" t="s">
        <v>504</v>
      </c>
      <c r="D1793" s="5" t="s">
        <v>8</v>
      </c>
      <c r="E1793" s="5" t="s">
        <v>9</v>
      </c>
      <c r="F1793" s="6">
        <v>45657</v>
      </c>
      <c r="G1793" s="5">
        <f t="shared" si="294"/>
        <v>2024</v>
      </c>
      <c r="H1793" s="5" t="str">
        <f t="shared" si="295"/>
        <v>Diciembre</v>
      </c>
      <c r="I1793" s="6" t="str">
        <f t="shared" si="298"/>
        <v>2024-2</v>
      </c>
      <c r="J1793" s="5">
        <v>100</v>
      </c>
      <c r="K1793" s="10">
        <v>100</v>
      </c>
      <c r="L1793" s="15">
        <f t="shared" si="300"/>
        <v>1</v>
      </c>
      <c r="M1793" s="15">
        <f t="shared" si="301"/>
        <v>1</v>
      </c>
      <c r="N1793" s="5" t="s">
        <v>417</v>
      </c>
      <c r="O1793" s="5" t="s">
        <v>417</v>
      </c>
      <c r="P1793" s="16">
        <v>0</v>
      </c>
      <c r="Q1793" s="16">
        <v>0</v>
      </c>
      <c r="R1793" s="5" t="str">
        <f t="shared" si="299"/>
        <v>479-2024-12-31</v>
      </c>
    </row>
    <row r="1794" spans="1:18" x14ac:dyDescent="0.3">
      <c r="A1794" s="26">
        <v>480</v>
      </c>
      <c r="B1794" s="5" t="s">
        <v>742</v>
      </c>
      <c r="C1794" s="5" t="s">
        <v>504</v>
      </c>
      <c r="D1794" s="5" t="s">
        <v>8</v>
      </c>
      <c r="E1794" s="5" t="s">
        <v>9</v>
      </c>
      <c r="F1794" s="6">
        <v>45473</v>
      </c>
      <c r="G1794" s="5">
        <f t="shared" ref="G1794:G1857" si="302">YEAR(F1794)</f>
        <v>2024</v>
      </c>
      <c r="H1794" s="5" t="str">
        <f t="shared" ref="H1794:H1857" si="303">PROPER(TEXT(F1794,"mmmm"))</f>
        <v>Junio</v>
      </c>
      <c r="I1794" s="6" t="str">
        <f t="shared" si="298"/>
        <v>2024-1</v>
      </c>
      <c r="J1794" s="5">
        <v>100</v>
      </c>
      <c r="K1794" s="10">
        <v>100</v>
      </c>
      <c r="L1794" s="15">
        <f t="shared" si="300"/>
        <v>1</v>
      </c>
      <c r="M1794" s="15">
        <f t="shared" si="301"/>
        <v>1</v>
      </c>
      <c r="N1794" s="5" t="s">
        <v>417</v>
      </c>
      <c r="O1794" s="5" t="s">
        <v>417</v>
      </c>
      <c r="P1794" s="16">
        <v>0</v>
      </c>
      <c r="Q1794" s="16">
        <v>0</v>
      </c>
      <c r="R1794" s="5" t="str">
        <f t="shared" si="299"/>
        <v>480-2024-06-30</v>
      </c>
    </row>
    <row r="1795" spans="1:18" x14ac:dyDescent="0.3">
      <c r="A1795" s="26">
        <v>480</v>
      </c>
      <c r="B1795" s="5" t="s">
        <v>742</v>
      </c>
      <c r="C1795" s="5" t="s">
        <v>504</v>
      </c>
      <c r="D1795" s="5" t="s">
        <v>8</v>
      </c>
      <c r="E1795" s="5" t="s">
        <v>9</v>
      </c>
      <c r="F1795" s="6">
        <v>45657</v>
      </c>
      <c r="G1795" s="5">
        <f t="shared" si="302"/>
        <v>2024</v>
      </c>
      <c r="H1795" s="5" t="str">
        <f t="shared" si="303"/>
        <v>Diciembre</v>
      </c>
      <c r="I1795" s="6" t="str">
        <f t="shared" si="298"/>
        <v>2024-2</v>
      </c>
      <c r="J1795" s="5">
        <v>100</v>
      </c>
      <c r="K1795" s="10">
        <v>100</v>
      </c>
      <c r="L1795" s="15">
        <f t="shared" si="300"/>
        <v>1</v>
      </c>
      <c r="M1795" s="15">
        <f t="shared" si="301"/>
        <v>1</v>
      </c>
      <c r="N1795" s="5" t="s">
        <v>417</v>
      </c>
      <c r="O1795" s="5" t="s">
        <v>417</v>
      </c>
      <c r="P1795" s="16">
        <v>0</v>
      </c>
      <c r="Q1795" s="16">
        <v>0</v>
      </c>
      <c r="R1795" s="5" t="str">
        <f t="shared" si="299"/>
        <v>480-2024-12-31</v>
      </c>
    </row>
    <row r="1796" spans="1:18" x14ac:dyDescent="0.3">
      <c r="A1796" s="26">
        <v>481</v>
      </c>
      <c r="B1796" s="5" t="s">
        <v>726</v>
      </c>
      <c r="C1796" s="5" t="s">
        <v>129</v>
      </c>
      <c r="D1796" s="5" t="s">
        <v>8</v>
      </c>
      <c r="E1796" s="5" t="s">
        <v>9</v>
      </c>
      <c r="F1796" s="6">
        <v>45473</v>
      </c>
      <c r="G1796" s="5">
        <f t="shared" si="302"/>
        <v>2024</v>
      </c>
      <c r="H1796" s="5" t="str">
        <f t="shared" si="303"/>
        <v>Junio</v>
      </c>
      <c r="I1796" s="6" t="str">
        <f t="shared" si="298"/>
        <v>2024-1</v>
      </c>
      <c r="J1796" s="5">
        <v>100</v>
      </c>
      <c r="K1796" s="10">
        <v>100</v>
      </c>
      <c r="L1796" s="15">
        <f t="shared" si="300"/>
        <v>1</v>
      </c>
      <c r="M1796" s="15">
        <f t="shared" si="301"/>
        <v>1</v>
      </c>
      <c r="N1796" s="5" t="s">
        <v>417</v>
      </c>
      <c r="O1796" s="5" t="s">
        <v>417</v>
      </c>
      <c r="P1796" s="16">
        <v>0</v>
      </c>
      <c r="Q1796" s="16">
        <v>0</v>
      </c>
      <c r="R1796" s="5" t="str">
        <f t="shared" si="299"/>
        <v>481-2024-06-30</v>
      </c>
    </row>
    <row r="1797" spans="1:18" x14ac:dyDescent="0.3">
      <c r="A1797" s="26">
        <v>483</v>
      </c>
      <c r="B1797" s="5" t="s">
        <v>743</v>
      </c>
      <c r="C1797" s="5" t="s">
        <v>281</v>
      </c>
      <c r="D1797" s="5" t="s">
        <v>25</v>
      </c>
      <c r="E1797" s="5" t="s">
        <v>9</v>
      </c>
      <c r="F1797" s="6">
        <v>45657</v>
      </c>
      <c r="G1797" s="5">
        <f t="shared" si="302"/>
        <v>2024</v>
      </c>
      <c r="H1797" s="5" t="str">
        <f t="shared" si="303"/>
        <v>Diciembre</v>
      </c>
      <c r="I1797" s="6" t="str">
        <f t="shared" ref="I1797:I1859" si="304">IF(OR(H1797="Enero",H1797="Febrero",H1797="Marzo",H1797="Abril",H1797="Mayo",H1797="Junio"),G1797&amp;"-1",IF(OR(H1797="Julio",H1797="Agosto",H1797="Septiembre",H1797="Octubre",H1797="Noviembre",H1797="Diciembre"),G1797&amp;"-2"))</f>
        <v>2024-2</v>
      </c>
      <c r="J1797" s="5">
        <v>10</v>
      </c>
      <c r="K1797" s="10">
        <v>91.65</v>
      </c>
      <c r="L1797" s="15">
        <f t="shared" si="300"/>
        <v>1.3</v>
      </c>
      <c r="M1797" s="15">
        <f t="shared" si="301"/>
        <v>9.1650000000000009</v>
      </c>
      <c r="N1797" s="5" t="s">
        <v>417</v>
      </c>
      <c r="O1797" s="5" t="s">
        <v>417</v>
      </c>
      <c r="P1797" s="16">
        <v>0</v>
      </c>
      <c r="Q1797" s="16">
        <v>0</v>
      </c>
      <c r="R1797" s="5" t="str">
        <f t="shared" ref="R1797:R1859" si="305">A1797&amp;"-"&amp;YEAR(F1797)&amp;"-"&amp;IF(LEN(MONTH(F1797))=1,"0"&amp;MONTH(F1797),MONTH(F1797))&amp;"-"&amp;DAY(F1797)</f>
        <v>483-2024-12-31</v>
      </c>
    </row>
    <row r="1798" spans="1:18" x14ac:dyDescent="0.3">
      <c r="A1798" s="5">
        <v>484</v>
      </c>
      <c r="B1798" s="5" t="s">
        <v>720</v>
      </c>
      <c r="C1798" s="5" t="s">
        <v>24</v>
      </c>
      <c r="D1798" s="5" t="s">
        <v>11</v>
      </c>
      <c r="E1798" s="5" t="s">
        <v>9</v>
      </c>
      <c r="F1798" s="6">
        <v>45473</v>
      </c>
      <c r="G1798" s="5">
        <f t="shared" si="302"/>
        <v>2024</v>
      </c>
      <c r="H1798" s="5" t="str">
        <f t="shared" si="303"/>
        <v>Junio</v>
      </c>
      <c r="I1798" s="6" t="str">
        <f t="shared" si="304"/>
        <v>2024-1</v>
      </c>
      <c r="J1798" s="5">
        <v>90</v>
      </c>
      <c r="K1798" s="5">
        <v>100</v>
      </c>
      <c r="L1798" s="15">
        <v>1</v>
      </c>
      <c r="M1798" s="15">
        <v>1.1111111111111112</v>
      </c>
      <c r="N1798" s="5" t="s">
        <v>347</v>
      </c>
      <c r="O1798" s="5" t="s">
        <v>347</v>
      </c>
      <c r="P1798" s="5">
        <v>0</v>
      </c>
      <c r="Q1798" s="5">
        <v>0</v>
      </c>
      <c r="R1798" s="5" t="str">
        <f t="shared" si="305"/>
        <v>484-2024-06-30</v>
      </c>
    </row>
    <row r="1799" spans="1:18" x14ac:dyDescent="0.3">
      <c r="A1799" s="26">
        <v>484</v>
      </c>
      <c r="B1799" s="5" t="s">
        <v>720</v>
      </c>
      <c r="C1799" s="5" t="s">
        <v>24</v>
      </c>
      <c r="D1799" s="5" t="s">
        <v>11</v>
      </c>
      <c r="E1799" s="5" t="s">
        <v>9</v>
      </c>
      <c r="F1799" s="6">
        <v>45565</v>
      </c>
      <c r="G1799" s="5">
        <f t="shared" si="302"/>
        <v>2024</v>
      </c>
      <c r="H1799" s="5" t="str">
        <f t="shared" si="303"/>
        <v>Septiembre</v>
      </c>
      <c r="I1799" s="6" t="str">
        <f t="shared" si="304"/>
        <v>2024-2</v>
      </c>
      <c r="J1799" s="5">
        <v>90</v>
      </c>
      <c r="K1799" s="10">
        <v>100</v>
      </c>
      <c r="L1799" s="15">
        <f t="shared" ref="L1799:L1830" si="306">IFERROR(IF((K1799/J1799)&gt;1.3,1.3,K1799/J1799),"")</f>
        <v>1.1111111111111112</v>
      </c>
      <c r="M1799" s="15">
        <f t="shared" ref="M1799:M1830" si="307">IFERROR(IF((K1799/J1799)&gt;K1799/J1799,1.3,K1799/J1799),"")</f>
        <v>1.1111111111111112</v>
      </c>
      <c r="N1799" s="5" t="s">
        <v>347</v>
      </c>
      <c r="O1799" s="5" t="s">
        <v>347</v>
      </c>
      <c r="P1799" s="16">
        <v>0</v>
      </c>
      <c r="Q1799" s="16">
        <v>0</v>
      </c>
      <c r="R1799" s="5" t="str">
        <f t="shared" si="305"/>
        <v>484-2024-09-30</v>
      </c>
    </row>
    <row r="1800" spans="1:18" x14ac:dyDescent="0.3">
      <c r="A1800" s="26">
        <v>484</v>
      </c>
      <c r="B1800" s="5" t="s">
        <v>720</v>
      </c>
      <c r="C1800" s="5" t="s">
        <v>24</v>
      </c>
      <c r="D1800" s="5" t="s">
        <v>11</v>
      </c>
      <c r="E1800" s="5" t="s">
        <v>9</v>
      </c>
      <c r="F1800" s="6">
        <v>45657</v>
      </c>
      <c r="G1800" s="5">
        <f t="shared" si="302"/>
        <v>2024</v>
      </c>
      <c r="H1800" s="5" t="str">
        <f t="shared" si="303"/>
        <v>Diciembre</v>
      </c>
      <c r="I1800" s="6" t="str">
        <f t="shared" si="304"/>
        <v>2024-2</v>
      </c>
      <c r="J1800" s="5">
        <v>90</v>
      </c>
      <c r="K1800" s="10">
        <v>100</v>
      </c>
      <c r="L1800" s="15">
        <f t="shared" si="306"/>
        <v>1.1111111111111112</v>
      </c>
      <c r="M1800" s="15">
        <f t="shared" si="307"/>
        <v>1.1111111111111112</v>
      </c>
      <c r="N1800" s="5" t="s">
        <v>347</v>
      </c>
      <c r="O1800" s="5" t="s">
        <v>347</v>
      </c>
      <c r="P1800" s="16">
        <v>0</v>
      </c>
      <c r="Q1800" s="16">
        <v>0</v>
      </c>
      <c r="R1800" s="5" t="str">
        <f t="shared" si="305"/>
        <v>484-2024-12-31</v>
      </c>
    </row>
    <row r="1801" spans="1:18" x14ac:dyDescent="0.3">
      <c r="A1801" s="26">
        <v>485</v>
      </c>
      <c r="B1801" s="5" t="s">
        <v>744</v>
      </c>
      <c r="C1801" s="5" t="s">
        <v>45</v>
      </c>
      <c r="D1801" s="5" t="s">
        <v>18</v>
      </c>
      <c r="E1801" s="5" t="s">
        <v>9</v>
      </c>
      <c r="F1801" s="6">
        <v>45565</v>
      </c>
      <c r="G1801" s="5">
        <f t="shared" si="302"/>
        <v>2024</v>
      </c>
      <c r="H1801" s="5" t="str">
        <f t="shared" si="303"/>
        <v>Septiembre</v>
      </c>
      <c r="I1801" s="6" t="str">
        <f t="shared" si="304"/>
        <v>2024-2</v>
      </c>
      <c r="J1801" s="5">
        <v>80</v>
      </c>
      <c r="K1801" s="10">
        <v>100</v>
      </c>
      <c r="L1801" s="15">
        <f t="shared" si="306"/>
        <v>1.25</v>
      </c>
      <c r="M1801" s="15">
        <f t="shared" si="307"/>
        <v>1.25</v>
      </c>
      <c r="N1801" s="5" t="s">
        <v>417</v>
      </c>
      <c r="O1801" s="5" t="s">
        <v>417</v>
      </c>
      <c r="P1801" s="16">
        <v>0</v>
      </c>
      <c r="Q1801" s="16">
        <v>0</v>
      </c>
      <c r="R1801" s="5" t="str">
        <f t="shared" si="305"/>
        <v>485-2024-09-30</v>
      </c>
    </row>
    <row r="1802" spans="1:18" x14ac:dyDescent="0.3">
      <c r="A1802" s="26">
        <v>485</v>
      </c>
      <c r="B1802" s="5" t="s">
        <v>744</v>
      </c>
      <c r="C1802" s="5" t="s">
        <v>45</v>
      </c>
      <c r="D1802" s="5" t="s">
        <v>18</v>
      </c>
      <c r="E1802" s="5" t="s">
        <v>9</v>
      </c>
      <c r="F1802" s="6">
        <v>45596</v>
      </c>
      <c r="G1802" s="5">
        <f t="shared" si="302"/>
        <v>2024</v>
      </c>
      <c r="H1802" s="5" t="str">
        <f t="shared" si="303"/>
        <v>Octubre</v>
      </c>
      <c r="I1802" s="6" t="str">
        <f t="shared" si="304"/>
        <v>2024-2</v>
      </c>
      <c r="J1802" s="5">
        <v>80</v>
      </c>
      <c r="K1802" s="10">
        <v>100</v>
      </c>
      <c r="L1802" s="15">
        <f t="shared" si="306"/>
        <v>1.25</v>
      </c>
      <c r="M1802" s="15">
        <f t="shared" si="307"/>
        <v>1.25</v>
      </c>
      <c r="N1802" s="5" t="s">
        <v>417</v>
      </c>
      <c r="O1802" s="5" t="s">
        <v>417</v>
      </c>
      <c r="P1802" s="16">
        <v>0</v>
      </c>
      <c r="Q1802" s="16">
        <v>0</v>
      </c>
      <c r="R1802" s="5" t="str">
        <f t="shared" si="305"/>
        <v>485-2024-10-31</v>
      </c>
    </row>
    <row r="1803" spans="1:18" x14ac:dyDescent="0.3">
      <c r="A1803" s="26">
        <v>485</v>
      </c>
      <c r="B1803" s="5" t="s">
        <v>744</v>
      </c>
      <c r="C1803" s="5" t="s">
        <v>45</v>
      </c>
      <c r="D1803" s="5" t="s">
        <v>18</v>
      </c>
      <c r="E1803" s="5" t="s">
        <v>9</v>
      </c>
      <c r="F1803" s="6">
        <v>45626</v>
      </c>
      <c r="G1803" s="5">
        <f t="shared" si="302"/>
        <v>2024</v>
      </c>
      <c r="H1803" s="5" t="str">
        <f t="shared" si="303"/>
        <v>Noviembre</v>
      </c>
      <c r="I1803" s="6" t="str">
        <f t="shared" si="304"/>
        <v>2024-2</v>
      </c>
      <c r="J1803" s="5">
        <v>80</v>
      </c>
      <c r="K1803" s="10">
        <v>100</v>
      </c>
      <c r="L1803" s="15">
        <f t="shared" si="306"/>
        <v>1.25</v>
      </c>
      <c r="M1803" s="15">
        <f t="shared" si="307"/>
        <v>1.25</v>
      </c>
      <c r="N1803" s="5" t="s">
        <v>417</v>
      </c>
      <c r="O1803" s="5" t="s">
        <v>417</v>
      </c>
      <c r="P1803" s="16">
        <v>0</v>
      </c>
      <c r="Q1803" s="16">
        <v>0</v>
      </c>
      <c r="R1803" s="5" t="str">
        <f t="shared" si="305"/>
        <v>485-2024-11-30</v>
      </c>
    </row>
    <row r="1804" spans="1:18" x14ac:dyDescent="0.3">
      <c r="A1804" s="26">
        <v>485</v>
      </c>
      <c r="B1804" s="5" t="s">
        <v>744</v>
      </c>
      <c r="C1804" s="5" t="s">
        <v>45</v>
      </c>
      <c r="D1804" s="5" t="s">
        <v>18</v>
      </c>
      <c r="E1804" s="5" t="s">
        <v>9</v>
      </c>
      <c r="F1804" s="6">
        <v>45657</v>
      </c>
      <c r="G1804" s="5">
        <f t="shared" si="302"/>
        <v>2024</v>
      </c>
      <c r="H1804" s="5" t="str">
        <f t="shared" si="303"/>
        <v>Diciembre</v>
      </c>
      <c r="I1804" s="6" t="str">
        <f t="shared" si="304"/>
        <v>2024-2</v>
      </c>
      <c r="J1804" s="5">
        <v>80</v>
      </c>
      <c r="K1804" s="10">
        <v>66.67</v>
      </c>
      <c r="L1804" s="15">
        <f t="shared" si="306"/>
        <v>0.83337499999999998</v>
      </c>
      <c r="M1804" s="15">
        <f t="shared" si="307"/>
        <v>0.83337499999999998</v>
      </c>
      <c r="N1804" s="5" t="s">
        <v>417</v>
      </c>
      <c r="O1804" s="5" t="s">
        <v>417</v>
      </c>
      <c r="P1804" s="16">
        <v>0</v>
      </c>
      <c r="Q1804" s="16">
        <v>0</v>
      </c>
      <c r="R1804" s="5" t="str">
        <f t="shared" si="305"/>
        <v>485-2024-12-31</v>
      </c>
    </row>
    <row r="1805" spans="1:18" x14ac:dyDescent="0.3">
      <c r="A1805" s="26">
        <v>486</v>
      </c>
      <c r="B1805" s="5" t="s">
        <v>745</v>
      </c>
      <c r="C1805" s="5" t="s">
        <v>320</v>
      </c>
      <c r="D1805" s="5" t="s">
        <v>8</v>
      </c>
      <c r="E1805" s="5" t="s">
        <v>9</v>
      </c>
      <c r="F1805" s="6">
        <v>45473</v>
      </c>
      <c r="G1805" s="5">
        <f t="shared" si="302"/>
        <v>2024</v>
      </c>
      <c r="H1805" s="5" t="str">
        <f t="shared" si="303"/>
        <v>Junio</v>
      </c>
      <c r="I1805" s="6" t="str">
        <f t="shared" si="304"/>
        <v>2024-1</v>
      </c>
      <c r="J1805" s="5"/>
      <c r="K1805" s="10">
        <v>4900000</v>
      </c>
      <c r="L1805" s="15" t="str">
        <f t="shared" si="306"/>
        <v/>
      </c>
      <c r="M1805" s="15" t="str">
        <f t="shared" si="307"/>
        <v/>
      </c>
      <c r="N1805" s="5" t="s">
        <v>488</v>
      </c>
      <c r="O1805" s="5" t="s">
        <v>488</v>
      </c>
      <c r="P1805" s="16">
        <v>0</v>
      </c>
      <c r="Q1805" s="16">
        <v>0</v>
      </c>
      <c r="R1805" s="5" t="str">
        <f t="shared" si="305"/>
        <v>486-2024-06-30</v>
      </c>
    </row>
    <row r="1806" spans="1:18" x14ac:dyDescent="0.3">
      <c r="A1806" s="26">
        <v>486</v>
      </c>
      <c r="B1806" s="5" t="s">
        <v>745</v>
      </c>
      <c r="C1806" s="5" t="s">
        <v>320</v>
      </c>
      <c r="D1806" s="5" t="s">
        <v>8</v>
      </c>
      <c r="E1806" s="5" t="s">
        <v>9</v>
      </c>
      <c r="F1806" s="6">
        <v>45657</v>
      </c>
      <c r="G1806" s="5">
        <f t="shared" si="302"/>
        <v>2024</v>
      </c>
      <c r="H1806" s="5" t="str">
        <f t="shared" si="303"/>
        <v>Diciembre</v>
      </c>
      <c r="I1806" s="6" t="str">
        <f t="shared" si="304"/>
        <v>2024-2</v>
      </c>
      <c r="J1806" s="5"/>
      <c r="K1806" s="10">
        <v>2700000</v>
      </c>
      <c r="L1806" s="15" t="str">
        <f t="shared" si="306"/>
        <v/>
      </c>
      <c r="M1806" s="15" t="str">
        <f t="shared" si="307"/>
        <v/>
      </c>
      <c r="N1806" s="5" t="s">
        <v>488</v>
      </c>
      <c r="O1806" s="5" t="s">
        <v>488</v>
      </c>
      <c r="P1806" s="16">
        <v>0</v>
      </c>
      <c r="Q1806" s="16">
        <v>0</v>
      </c>
      <c r="R1806" s="5" t="str">
        <f t="shared" si="305"/>
        <v>486-2024-12-31</v>
      </c>
    </row>
    <row r="1807" spans="1:18" x14ac:dyDescent="0.3">
      <c r="A1807" s="26">
        <v>487</v>
      </c>
      <c r="B1807" s="5" t="s">
        <v>746</v>
      </c>
      <c r="C1807" s="5" t="s">
        <v>152</v>
      </c>
      <c r="D1807" s="5" t="s">
        <v>25</v>
      </c>
      <c r="E1807" s="5" t="s">
        <v>9</v>
      </c>
      <c r="F1807" s="6">
        <v>45657</v>
      </c>
      <c r="G1807" s="5">
        <f t="shared" si="302"/>
        <v>2024</v>
      </c>
      <c r="H1807" s="5" t="str">
        <f t="shared" si="303"/>
        <v>Diciembre</v>
      </c>
      <c r="I1807" s="6" t="str">
        <f t="shared" si="304"/>
        <v>2024-2</v>
      </c>
      <c r="J1807" s="5">
        <v>20</v>
      </c>
      <c r="K1807" s="10">
        <v>164.17</v>
      </c>
      <c r="L1807" s="15">
        <f t="shared" si="306"/>
        <v>1.3</v>
      </c>
      <c r="M1807" s="15">
        <f t="shared" si="307"/>
        <v>8.208499999999999</v>
      </c>
      <c r="N1807" s="5" t="s">
        <v>417</v>
      </c>
      <c r="O1807" s="5" t="s">
        <v>417</v>
      </c>
      <c r="P1807" s="16">
        <v>0</v>
      </c>
      <c r="Q1807" s="16">
        <v>0</v>
      </c>
      <c r="R1807" s="5" t="str">
        <f t="shared" si="305"/>
        <v>487-2024-12-31</v>
      </c>
    </row>
    <row r="1808" spans="1:18" x14ac:dyDescent="0.3">
      <c r="A1808" s="26">
        <v>488</v>
      </c>
      <c r="B1808" s="5" t="s">
        <v>747</v>
      </c>
      <c r="C1808" s="5" t="s">
        <v>45</v>
      </c>
      <c r="D1808" s="5" t="s">
        <v>18</v>
      </c>
      <c r="E1808" s="5" t="s">
        <v>9</v>
      </c>
      <c r="F1808" s="6">
        <v>45596</v>
      </c>
      <c r="G1808" s="5">
        <f t="shared" si="302"/>
        <v>2024</v>
      </c>
      <c r="H1808" s="5" t="str">
        <f t="shared" si="303"/>
        <v>Octubre</v>
      </c>
      <c r="I1808" s="6" t="str">
        <f t="shared" si="304"/>
        <v>2024-2</v>
      </c>
      <c r="J1808" s="5">
        <v>85</v>
      </c>
      <c r="K1808" s="10">
        <v>91.78</v>
      </c>
      <c r="L1808" s="15">
        <f t="shared" si="306"/>
        <v>1.079764705882353</v>
      </c>
      <c r="M1808" s="15">
        <f t="shared" si="307"/>
        <v>1.079764705882353</v>
      </c>
      <c r="N1808" s="5" t="s">
        <v>347</v>
      </c>
      <c r="O1808" s="5" t="s">
        <v>347</v>
      </c>
      <c r="P1808" s="16">
        <v>0</v>
      </c>
      <c r="Q1808" s="16">
        <v>0</v>
      </c>
      <c r="R1808" s="5" t="str">
        <f t="shared" si="305"/>
        <v>488-2024-10-31</v>
      </c>
    </row>
    <row r="1809" spans="1:18" x14ac:dyDescent="0.3">
      <c r="A1809" s="26">
        <v>488</v>
      </c>
      <c r="B1809" s="5" t="s">
        <v>747</v>
      </c>
      <c r="C1809" s="5" t="s">
        <v>45</v>
      </c>
      <c r="D1809" s="5" t="s">
        <v>18</v>
      </c>
      <c r="E1809" s="5" t="s">
        <v>9</v>
      </c>
      <c r="F1809" s="6">
        <v>45626</v>
      </c>
      <c r="G1809" s="5">
        <f t="shared" si="302"/>
        <v>2024</v>
      </c>
      <c r="H1809" s="5" t="str">
        <f t="shared" si="303"/>
        <v>Noviembre</v>
      </c>
      <c r="I1809" s="6" t="str">
        <f t="shared" si="304"/>
        <v>2024-2</v>
      </c>
      <c r="J1809" s="5">
        <v>85</v>
      </c>
      <c r="K1809" s="10">
        <v>95.79</v>
      </c>
      <c r="L1809" s="15">
        <f t="shared" si="306"/>
        <v>1.1269411764705883</v>
      </c>
      <c r="M1809" s="15">
        <f t="shared" si="307"/>
        <v>1.1269411764705883</v>
      </c>
      <c r="N1809" s="5" t="s">
        <v>347</v>
      </c>
      <c r="O1809" s="5" t="s">
        <v>347</v>
      </c>
      <c r="P1809" s="16">
        <v>0</v>
      </c>
      <c r="Q1809" s="16">
        <v>0</v>
      </c>
      <c r="R1809" s="5" t="str">
        <f t="shared" si="305"/>
        <v>488-2024-11-30</v>
      </c>
    </row>
    <row r="1810" spans="1:18" x14ac:dyDescent="0.3">
      <c r="A1810" s="26">
        <v>488</v>
      </c>
      <c r="B1810" s="5" t="s">
        <v>747</v>
      </c>
      <c r="C1810" s="5" t="s">
        <v>45</v>
      </c>
      <c r="D1810" s="5" t="s">
        <v>18</v>
      </c>
      <c r="E1810" s="5" t="s">
        <v>9</v>
      </c>
      <c r="F1810" s="6">
        <v>45657</v>
      </c>
      <c r="G1810" s="5">
        <f t="shared" si="302"/>
        <v>2024</v>
      </c>
      <c r="H1810" s="5" t="str">
        <f t="shared" si="303"/>
        <v>Diciembre</v>
      </c>
      <c r="I1810" s="6" t="str">
        <f t="shared" si="304"/>
        <v>2024-2</v>
      </c>
      <c r="J1810" s="5">
        <v>85</v>
      </c>
      <c r="K1810" s="10">
        <v>91.32</v>
      </c>
      <c r="L1810" s="15">
        <f t="shared" si="306"/>
        <v>1.0743529411764705</v>
      </c>
      <c r="M1810" s="15">
        <f t="shared" si="307"/>
        <v>1.0743529411764705</v>
      </c>
      <c r="N1810" s="5" t="s">
        <v>347</v>
      </c>
      <c r="O1810" s="5" t="s">
        <v>347</v>
      </c>
      <c r="P1810" s="16">
        <v>0</v>
      </c>
      <c r="Q1810" s="16">
        <v>0</v>
      </c>
      <c r="R1810" s="5" t="str">
        <f t="shared" si="305"/>
        <v>488-2024-12-31</v>
      </c>
    </row>
    <row r="1811" spans="1:18" x14ac:dyDescent="0.3">
      <c r="A1811" s="26">
        <v>489</v>
      </c>
      <c r="B1811" s="5" t="s">
        <v>748</v>
      </c>
      <c r="C1811" s="5" t="s">
        <v>45</v>
      </c>
      <c r="D1811" s="5" t="s">
        <v>18</v>
      </c>
      <c r="E1811" s="5" t="s">
        <v>9</v>
      </c>
      <c r="F1811" s="6">
        <v>45596</v>
      </c>
      <c r="G1811" s="5">
        <f t="shared" si="302"/>
        <v>2024</v>
      </c>
      <c r="H1811" s="5" t="str">
        <f t="shared" si="303"/>
        <v>Octubre</v>
      </c>
      <c r="I1811" s="6" t="str">
        <f t="shared" si="304"/>
        <v>2024-2</v>
      </c>
      <c r="J1811" s="5">
        <v>80</v>
      </c>
      <c r="K1811" s="10">
        <v>80</v>
      </c>
      <c r="L1811" s="15">
        <f t="shared" si="306"/>
        <v>1</v>
      </c>
      <c r="M1811" s="15">
        <f t="shared" si="307"/>
        <v>1</v>
      </c>
      <c r="N1811" s="5" t="s">
        <v>347</v>
      </c>
      <c r="O1811" s="5" t="s">
        <v>347</v>
      </c>
      <c r="P1811" s="16">
        <v>0</v>
      </c>
      <c r="Q1811" s="16">
        <v>0</v>
      </c>
      <c r="R1811" s="5" t="str">
        <f t="shared" si="305"/>
        <v>489-2024-10-31</v>
      </c>
    </row>
    <row r="1812" spans="1:18" x14ac:dyDescent="0.3">
      <c r="A1812" s="26">
        <v>489</v>
      </c>
      <c r="B1812" s="5" t="s">
        <v>748</v>
      </c>
      <c r="C1812" s="5" t="s">
        <v>45</v>
      </c>
      <c r="D1812" s="5" t="s">
        <v>18</v>
      </c>
      <c r="E1812" s="5" t="s">
        <v>9</v>
      </c>
      <c r="F1812" s="6">
        <v>45626</v>
      </c>
      <c r="G1812" s="5">
        <f t="shared" si="302"/>
        <v>2024</v>
      </c>
      <c r="H1812" s="5" t="str">
        <f t="shared" si="303"/>
        <v>Noviembre</v>
      </c>
      <c r="I1812" s="6" t="str">
        <f t="shared" si="304"/>
        <v>2024-2</v>
      </c>
      <c r="J1812" s="5">
        <v>80</v>
      </c>
      <c r="K1812" s="10">
        <v>100</v>
      </c>
      <c r="L1812" s="15">
        <f t="shared" si="306"/>
        <v>1.25</v>
      </c>
      <c r="M1812" s="15">
        <f t="shared" si="307"/>
        <v>1.25</v>
      </c>
      <c r="N1812" s="5" t="s">
        <v>347</v>
      </c>
      <c r="O1812" s="5" t="s">
        <v>347</v>
      </c>
      <c r="P1812" s="16">
        <v>0</v>
      </c>
      <c r="Q1812" s="16">
        <v>0</v>
      </c>
      <c r="R1812" s="5" t="str">
        <f t="shared" si="305"/>
        <v>489-2024-11-30</v>
      </c>
    </row>
    <row r="1813" spans="1:18" x14ac:dyDescent="0.3">
      <c r="A1813" s="26">
        <v>489</v>
      </c>
      <c r="B1813" s="5" t="s">
        <v>748</v>
      </c>
      <c r="C1813" s="5" t="s">
        <v>45</v>
      </c>
      <c r="D1813" s="5" t="s">
        <v>18</v>
      </c>
      <c r="E1813" s="5" t="s">
        <v>9</v>
      </c>
      <c r="F1813" s="6">
        <v>45657</v>
      </c>
      <c r="G1813" s="5">
        <f t="shared" si="302"/>
        <v>2024</v>
      </c>
      <c r="H1813" s="5" t="str">
        <f t="shared" si="303"/>
        <v>Diciembre</v>
      </c>
      <c r="I1813" s="6" t="str">
        <f t="shared" si="304"/>
        <v>2024-2</v>
      </c>
      <c r="J1813" s="5">
        <v>80</v>
      </c>
      <c r="K1813" s="10">
        <v>100</v>
      </c>
      <c r="L1813" s="15">
        <f t="shared" si="306"/>
        <v>1.25</v>
      </c>
      <c r="M1813" s="15">
        <f t="shared" si="307"/>
        <v>1.25</v>
      </c>
      <c r="N1813" s="5" t="s">
        <v>347</v>
      </c>
      <c r="O1813" s="5" t="s">
        <v>347</v>
      </c>
      <c r="P1813" s="16">
        <v>0</v>
      </c>
      <c r="Q1813" s="16">
        <v>0</v>
      </c>
      <c r="R1813" s="5" t="str">
        <f t="shared" si="305"/>
        <v>489-2024-12-31</v>
      </c>
    </row>
    <row r="1814" spans="1:18" x14ac:dyDescent="0.3">
      <c r="A1814" s="26">
        <v>490</v>
      </c>
      <c r="B1814" s="5" t="s">
        <v>481</v>
      </c>
      <c r="C1814" s="5" t="s">
        <v>131</v>
      </c>
      <c r="D1814" s="5" t="s">
        <v>25</v>
      </c>
      <c r="E1814" s="5" t="s">
        <v>9</v>
      </c>
      <c r="F1814" s="6">
        <v>45657</v>
      </c>
      <c r="G1814" s="5">
        <f t="shared" si="302"/>
        <v>2024</v>
      </c>
      <c r="H1814" s="5" t="str">
        <f t="shared" si="303"/>
        <v>Diciembre</v>
      </c>
      <c r="I1814" s="6" t="str">
        <f t="shared" si="304"/>
        <v>2024-2</v>
      </c>
      <c r="J1814" s="5">
        <v>80</v>
      </c>
      <c r="K1814" s="10">
        <v>88</v>
      </c>
      <c r="L1814" s="15">
        <f t="shared" si="306"/>
        <v>1.1000000000000001</v>
      </c>
      <c r="M1814" s="15">
        <f t="shared" si="307"/>
        <v>1.1000000000000001</v>
      </c>
      <c r="N1814" s="5" t="s">
        <v>347</v>
      </c>
      <c r="O1814" s="5" t="s">
        <v>347</v>
      </c>
      <c r="P1814" s="16">
        <v>0</v>
      </c>
      <c r="Q1814" s="16">
        <v>0</v>
      </c>
      <c r="R1814" s="5" t="str">
        <f t="shared" si="305"/>
        <v>490-2024-12-31</v>
      </c>
    </row>
    <row r="1815" spans="1:18" x14ac:dyDescent="0.3">
      <c r="A1815" s="26">
        <v>491</v>
      </c>
      <c r="B1815" s="5" t="s">
        <v>749</v>
      </c>
      <c r="C1815" s="5" t="s">
        <v>117</v>
      </c>
      <c r="D1815" s="5" t="s">
        <v>25</v>
      </c>
      <c r="E1815" s="5" t="s">
        <v>9</v>
      </c>
      <c r="F1815" s="6">
        <v>45657</v>
      </c>
      <c r="G1815" s="5">
        <f t="shared" si="302"/>
        <v>2024</v>
      </c>
      <c r="H1815" s="5" t="str">
        <f t="shared" si="303"/>
        <v>Diciembre</v>
      </c>
      <c r="I1815" s="6" t="str">
        <f t="shared" si="304"/>
        <v>2024-2</v>
      </c>
      <c r="J1815" s="5">
        <v>80</v>
      </c>
      <c r="K1815" s="10">
        <v>88</v>
      </c>
      <c r="L1815" s="15">
        <f t="shared" si="306"/>
        <v>1.1000000000000001</v>
      </c>
      <c r="M1815" s="15">
        <f t="shared" si="307"/>
        <v>1.1000000000000001</v>
      </c>
      <c r="N1815" s="5" t="s">
        <v>347</v>
      </c>
      <c r="O1815" s="5" t="s">
        <v>347</v>
      </c>
      <c r="P1815" s="16">
        <v>0</v>
      </c>
      <c r="Q1815" s="16">
        <v>0</v>
      </c>
      <c r="R1815" s="5" t="str">
        <f t="shared" si="305"/>
        <v>491-2024-12-31</v>
      </c>
    </row>
    <row r="1816" spans="1:18" x14ac:dyDescent="0.3">
      <c r="A1816" s="26">
        <v>492</v>
      </c>
      <c r="B1816" s="5" t="s">
        <v>485</v>
      </c>
      <c r="C1816" s="5" t="s">
        <v>134</v>
      </c>
      <c r="D1816" s="5" t="s">
        <v>25</v>
      </c>
      <c r="E1816" s="5" t="s">
        <v>9</v>
      </c>
      <c r="F1816" s="6">
        <v>45657</v>
      </c>
      <c r="G1816" s="5">
        <f t="shared" si="302"/>
        <v>2024</v>
      </c>
      <c r="H1816" s="5" t="str">
        <f t="shared" si="303"/>
        <v>Diciembre</v>
      </c>
      <c r="I1816" s="6" t="str">
        <f t="shared" si="304"/>
        <v>2024-2</v>
      </c>
      <c r="J1816" s="5">
        <v>80</v>
      </c>
      <c r="K1816" s="10">
        <v>83</v>
      </c>
      <c r="L1816" s="15">
        <f t="shared" si="306"/>
        <v>1.0375000000000001</v>
      </c>
      <c r="M1816" s="15">
        <f t="shared" si="307"/>
        <v>1.0375000000000001</v>
      </c>
      <c r="N1816" s="5" t="s">
        <v>347</v>
      </c>
      <c r="O1816" s="5" t="s">
        <v>347</v>
      </c>
      <c r="P1816" s="16">
        <v>0</v>
      </c>
      <c r="Q1816" s="16">
        <v>0</v>
      </c>
      <c r="R1816" s="5" t="str">
        <f t="shared" si="305"/>
        <v>492-2024-12-31</v>
      </c>
    </row>
    <row r="1817" spans="1:18" x14ac:dyDescent="0.3">
      <c r="A1817" s="26">
        <v>493</v>
      </c>
      <c r="B1817" s="5" t="s">
        <v>750</v>
      </c>
      <c r="C1817" s="5" t="s">
        <v>145</v>
      </c>
      <c r="D1817" s="5" t="s">
        <v>25</v>
      </c>
      <c r="E1817" s="5" t="s">
        <v>9</v>
      </c>
      <c r="F1817" s="6">
        <v>45657</v>
      </c>
      <c r="G1817" s="5">
        <f t="shared" si="302"/>
        <v>2024</v>
      </c>
      <c r="H1817" s="5" t="str">
        <f t="shared" si="303"/>
        <v>Diciembre</v>
      </c>
      <c r="I1817" s="6" t="str">
        <f t="shared" si="304"/>
        <v>2024-2</v>
      </c>
      <c r="J1817" s="5">
        <v>80</v>
      </c>
      <c r="K1817" s="10">
        <v>81</v>
      </c>
      <c r="L1817" s="15">
        <f t="shared" si="306"/>
        <v>1.0125</v>
      </c>
      <c r="M1817" s="15">
        <f t="shared" si="307"/>
        <v>1.0125</v>
      </c>
      <c r="N1817" s="5" t="s">
        <v>347</v>
      </c>
      <c r="O1817" s="5" t="s">
        <v>347</v>
      </c>
      <c r="P1817" s="16">
        <v>0</v>
      </c>
      <c r="Q1817" s="16">
        <v>0</v>
      </c>
      <c r="R1817" s="5" t="str">
        <f t="shared" si="305"/>
        <v>493-2024-12-31</v>
      </c>
    </row>
    <row r="1818" spans="1:18" x14ac:dyDescent="0.3">
      <c r="A1818" s="26">
        <v>494</v>
      </c>
      <c r="B1818" s="5" t="s">
        <v>751</v>
      </c>
      <c r="C1818" s="5" t="s">
        <v>185</v>
      </c>
      <c r="D1818" s="5" t="s">
        <v>25</v>
      </c>
      <c r="E1818" s="5" t="s">
        <v>9</v>
      </c>
      <c r="F1818" s="6">
        <v>45657</v>
      </c>
      <c r="G1818" s="5">
        <f t="shared" si="302"/>
        <v>2024</v>
      </c>
      <c r="H1818" s="5" t="str">
        <f t="shared" si="303"/>
        <v>Diciembre</v>
      </c>
      <c r="I1818" s="6" t="str">
        <f t="shared" si="304"/>
        <v>2024-2</v>
      </c>
      <c r="J1818" s="5">
        <v>80</v>
      </c>
      <c r="K1818" s="10">
        <v>89</v>
      </c>
      <c r="L1818" s="15">
        <f t="shared" si="306"/>
        <v>1.1125</v>
      </c>
      <c r="M1818" s="15">
        <f t="shared" si="307"/>
        <v>1.1125</v>
      </c>
      <c r="N1818" s="5" t="s">
        <v>347</v>
      </c>
      <c r="O1818" s="5" t="s">
        <v>347</v>
      </c>
      <c r="P1818" s="16">
        <v>0</v>
      </c>
      <c r="Q1818" s="16">
        <v>0</v>
      </c>
      <c r="R1818" s="5" t="str">
        <f t="shared" si="305"/>
        <v>494-2024-12-31</v>
      </c>
    </row>
    <row r="1819" spans="1:18" x14ac:dyDescent="0.3">
      <c r="A1819" s="26">
        <v>495</v>
      </c>
      <c r="B1819" s="5" t="s">
        <v>482</v>
      </c>
      <c r="C1819" s="5" t="s">
        <v>231</v>
      </c>
      <c r="D1819" s="5" t="s">
        <v>25</v>
      </c>
      <c r="E1819" s="5" t="s">
        <v>9</v>
      </c>
      <c r="F1819" s="6">
        <v>45657</v>
      </c>
      <c r="G1819" s="5">
        <f t="shared" si="302"/>
        <v>2024</v>
      </c>
      <c r="H1819" s="5" t="str">
        <f t="shared" si="303"/>
        <v>Diciembre</v>
      </c>
      <c r="I1819" s="6" t="str">
        <f t="shared" si="304"/>
        <v>2024-2</v>
      </c>
      <c r="J1819" s="5">
        <v>80</v>
      </c>
      <c r="K1819" s="10">
        <v>92</v>
      </c>
      <c r="L1819" s="15">
        <f t="shared" si="306"/>
        <v>1.1499999999999999</v>
      </c>
      <c r="M1819" s="15">
        <f t="shared" si="307"/>
        <v>1.1499999999999999</v>
      </c>
      <c r="N1819" s="5" t="s">
        <v>347</v>
      </c>
      <c r="O1819" s="5" t="s">
        <v>347</v>
      </c>
      <c r="P1819" s="16">
        <v>0</v>
      </c>
      <c r="Q1819" s="16">
        <v>0</v>
      </c>
      <c r="R1819" s="5" t="str">
        <f t="shared" si="305"/>
        <v>495-2024-12-31</v>
      </c>
    </row>
    <row r="1820" spans="1:18" x14ac:dyDescent="0.3">
      <c r="A1820" s="26">
        <v>496</v>
      </c>
      <c r="B1820" s="5" t="s">
        <v>752</v>
      </c>
      <c r="C1820" s="5" t="s">
        <v>84</v>
      </c>
      <c r="D1820" s="5" t="s">
        <v>25</v>
      </c>
      <c r="E1820" s="5" t="s">
        <v>9</v>
      </c>
      <c r="F1820" s="6">
        <v>45657</v>
      </c>
      <c r="G1820" s="5">
        <f t="shared" si="302"/>
        <v>2024</v>
      </c>
      <c r="H1820" s="5" t="str">
        <f t="shared" si="303"/>
        <v>Diciembre</v>
      </c>
      <c r="I1820" s="6" t="str">
        <f t="shared" si="304"/>
        <v>2024-2</v>
      </c>
      <c r="J1820" s="5">
        <v>80</v>
      </c>
      <c r="K1820" s="10">
        <v>88</v>
      </c>
      <c r="L1820" s="15">
        <f t="shared" si="306"/>
        <v>1.1000000000000001</v>
      </c>
      <c r="M1820" s="15">
        <f t="shared" si="307"/>
        <v>1.1000000000000001</v>
      </c>
      <c r="N1820" s="5" t="s">
        <v>347</v>
      </c>
      <c r="O1820" s="5" t="s">
        <v>347</v>
      </c>
      <c r="P1820" s="16">
        <v>0</v>
      </c>
      <c r="Q1820" s="16">
        <v>0</v>
      </c>
      <c r="R1820" s="5" t="str">
        <f t="shared" si="305"/>
        <v>496-2024-12-31</v>
      </c>
    </row>
    <row r="1821" spans="1:18" x14ac:dyDescent="0.3">
      <c r="A1821" s="26">
        <v>497</v>
      </c>
      <c r="B1821" s="5" t="s">
        <v>483</v>
      </c>
      <c r="C1821" s="5" t="s">
        <v>240</v>
      </c>
      <c r="D1821" s="5" t="s">
        <v>25</v>
      </c>
      <c r="E1821" s="5" t="s">
        <v>9</v>
      </c>
      <c r="F1821" s="6">
        <v>45657</v>
      </c>
      <c r="G1821" s="5">
        <f t="shared" si="302"/>
        <v>2024</v>
      </c>
      <c r="H1821" s="5" t="str">
        <f t="shared" si="303"/>
        <v>Diciembre</v>
      </c>
      <c r="I1821" s="6" t="str">
        <f t="shared" si="304"/>
        <v>2024-2</v>
      </c>
      <c r="J1821" s="5">
        <v>80</v>
      </c>
      <c r="K1821" s="10">
        <v>83</v>
      </c>
      <c r="L1821" s="15">
        <f t="shared" si="306"/>
        <v>1.0375000000000001</v>
      </c>
      <c r="M1821" s="15">
        <f t="shared" si="307"/>
        <v>1.0375000000000001</v>
      </c>
      <c r="N1821" s="5" t="s">
        <v>347</v>
      </c>
      <c r="O1821" s="5" t="s">
        <v>347</v>
      </c>
      <c r="P1821" s="16">
        <v>0</v>
      </c>
      <c r="Q1821" s="16">
        <v>0</v>
      </c>
      <c r="R1821" s="5" t="str">
        <f t="shared" si="305"/>
        <v>497-2024-12-31</v>
      </c>
    </row>
    <row r="1822" spans="1:18" x14ac:dyDescent="0.3">
      <c r="A1822" s="26">
        <v>498</v>
      </c>
      <c r="B1822" s="5" t="s">
        <v>484</v>
      </c>
      <c r="C1822" s="5" t="s">
        <v>152</v>
      </c>
      <c r="D1822" s="5" t="s">
        <v>25</v>
      </c>
      <c r="E1822" s="5" t="s">
        <v>9</v>
      </c>
      <c r="F1822" s="6">
        <v>45657</v>
      </c>
      <c r="G1822" s="5">
        <f t="shared" si="302"/>
        <v>2024</v>
      </c>
      <c r="H1822" s="5" t="str">
        <f t="shared" si="303"/>
        <v>Diciembre</v>
      </c>
      <c r="I1822" s="6" t="str">
        <f t="shared" si="304"/>
        <v>2024-2</v>
      </c>
      <c r="J1822" s="5">
        <v>80</v>
      </c>
      <c r="K1822" s="10">
        <v>92</v>
      </c>
      <c r="L1822" s="15">
        <f t="shared" si="306"/>
        <v>1.1499999999999999</v>
      </c>
      <c r="M1822" s="15">
        <f t="shared" si="307"/>
        <v>1.1499999999999999</v>
      </c>
      <c r="N1822" s="5" t="s">
        <v>347</v>
      </c>
      <c r="O1822" s="5" t="s">
        <v>347</v>
      </c>
      <c r="P1822" s="16">
        <v>0</v>
      </c>
      <c r="Q1822" s="16">
        <v>0</v>
      </c>
      <c r="R1822" s="5" t="str">
        <f t="shared" si="305"/>
        <v>498-2024-12-31</v>
      </c>
    </row>
    <row r="1823" spans="1:18" x14ac:dyDescent="0.3">
      <c r="A1823" s="26">
        <v>499</v>
      </c>
      <c r="B1823" s="5" t="s">
        <v>753</v>
      </c>
      <c r="C1823" s="5" t="s">
        <v>237</v>
      </c>
      <c r="D1823" s="5" t="s">
        <v>25</v>
      </c>
      <c r="E1823" s="5" t="s">
        <v>9</v>
      </c>
      <c r="F1823" s="6">
        <v>45657</v>
      </c>
      <c r="G1823" s="5">
        <f t="shared" si="302"/>
        <v>2024</v>
      </c>
      <c r="H1823" s="5" t="str">
        <f t="shared" si="303"/>
        <v>Diciembre</v>
      </c>
      <c r="I1823" s="6" t="str">
        <f t="shared" si="304"/>
        <v>2024-2</v>
      </c>
      <c r="J1823" s="5">
        <v>80</v>
      </c>
      <c r="K1823" s="10">
        <v>87</v>
      </c>
      <c r="L1823" s="15">
        <f t="shared" si="306"/>
        <v>1.0874999999999999</v>
      </c>
      <c r="M1823" s="15">
        <f t="shared" si="307"/>
        <v>1.0874999999999999</v>
      </c>
      <c r="N1823" s="5" t="s">
        <v>347</v>
      </c>
      <c r="O1823" s="5" t="s">
        <v>347</v>
      </c>
      <c r="P1823" s="16">
        <v>0</v>
      </c>
      <c r="Q1823" s="16">
        <v>0</v>
      </c>
      <c r="R1823" s="5" t="str">
        <f t="shared" si="305"/>
        <v>499-2024-12-31</v>
      </c>
    </row>
    <row r="1824" spans="1:18" x14ac:dyDescent="0.3">
      <c r="A1824" s="26">
        <v>500</v>
      </c>
      <c r="B1824" s="5" t="s">
        <v>754</v>
      </c>
      <c r="C1824" s="5" t="s">
        <v>189</v>
      </c>
      <c r="D1824" s="5" t="s">
        <v>25</v>
      </c>
      <c r="E1824" s="5" t="s">
        <v>9</v>
      </c>
      <c r="F1824" s="6">
        <v>45657</v>
      </c>
      <c r="G1824" s="5">
        <f t="shared" si="302"/>
        <v>2024</v>
      </c>
      <c r="H1824" s="5" t="str">
        <f t="shared" si="303"/>
        <v>Diciembre</v>
      </c>
      <c r="I1824" s="6" t="str">
        <f t="shared" si="304"/>
        <v>2024-2</v>
      </c>
      <c r="J1824" s="5">
        <v>80</v>
      </c>
      <c r="K1824" s="10">
        <v>89</v>
      </c>
      <c r="L1824" s="15">
        <f t="shared" si="306"/>
        <v>1.1125</v>
      </c>
      <c r="M1824" s="15">
        <f t="shared" si="307"/>
        <v>1.1125</v>
      </c>
      <c r="N1824" s="5" t="s">
        <v>347</v>
      </c>
      <c r="O1824" s="5" t="s">
        <v>347</v>
      </c>
      <c r="P1824" s="16">
        <v>0</v>
      </c>
      <c r="Q1824" s="16">
        <v>0</v>
      </c>
      <c r="R1824" s="5" t="str">
        <f t="shared" si="305"/>
        <v>500-2024-12-31</v>
      </c>
    </row>
    <row r="1825" spans="1:18" x14ac:dyDescent="0.3">
      <c r="A1825" s="26">
        <v>501</v>
      </c>
      <c r="B1825" s="5" t="s">
        <v>755</v>
      </c>
      <c r="C1825" s="5" t="s">
        <v>129</v>
      </c>
      <c r="D1825" s="5" t="s">
        <v>25</v>
      </c>
      <c r="E1825" s="5" t="s">
        <v>9</v>
      </c>
      <c r="F1825" s="6">
        <v>45657</v>
      </c>
      <c r="G1825" s="5">
        <f t="shared" si="302"/>
        <v>2024</v>
      </c>
      <c r="H1825" s="5" t="str">
        <f t="shared" si="303"/>
        <v>Diciembre</v>
      </c>
      <c r="I1825" s="6" t="str">
        <f t="shared" si="304"/>
        <v>2024-2</v>
      </c>
      <c r="J1825" s="5">
        <v>80</v>
      </c>
      <c r="K1825" s="10">
        <v>88</v>
      </c>
      <c r="L1825" s="15">
        <f t="shared" si="306"/>
        <v>1.1000000000000001</v>
      </c>
      <c r="M1825" s="15">
        <f t="shared" si="307"/>
        <v>1.1000000000000001</v>
      </c>
      <c r="N1825" s="5" t="s">
        <v>347</v>
      </c>
      <c r="O1825" s="5" t="s">
        <v>347</v>
      </c>
      <c r="P1825" s="16">
        <v>0</v>
      </c>
      <c r="Q1825" s="16">
        <v>0</v>
      </c>
      <c r="R1825" s="5" t="str">
        <f t="shared" si="305"/>
        <v>501-2024-12-31</v>
      </c>
    </row>
    <row r="1826" spans="1:18" x14ac:dyDescent="0.3">
      <c r="A1826" s="26">
        <v>502</v>
      </c>
      <c r="B1826" s="5" t="s">
        <v>756</v>
      </c>
      <c r="C1826" s="5" t="s">
        <v>62</v>
      </c>
      <c r="D1826" s="5" t="s">
        <v>25</v>
      </c>
      <c r="E1826" s="5" t="s">
        <v>9</v>
      </c>
      <c r="F1826" s="6">
        <v>45657</v>
      </c>
      <c r="G1826" s="5">
        <f t="shared" si="302"/>
        <v>2024</v>
      </c>
      <c r="H1826" s="5" t="str">
        <f t="shared" si="303"/>
        <v>Diciembre</v>
      </c>
      <c r="I1826" s="6" t="str">
        <f t="shared" si="304"/>
        <v>2024-2</v>
      </c>
      <c r="J1826" s="5">
        <v>80</v>
      </c>
      <c r="K1826" s="10">
        <v>90</v>
      </c>
      <c r="L1826" s="15">
        <f t="shared" si="306"/>
        <v>1.125</v>
      </c>
      <c r="M1826" s="15">
        <f t="shared" si="307"/>
        <v>1.125</v>
      </c>
      <c r="N1826" s="5" t="s">
        <v>347</v>
      </c>
      <c r="O1826" s="5" t="s">
        <v>347</v>
      </c>
      <c r="P1826" s="16">
        <v>0</v>
      </c>
      <c r="Q1826" s="16">
        <v>0</v>
      </c>
      <c r="R1826" s="5" t="str">
        <f t="shared" si="305"/>
        <v>502-2024-12-31</v>
      </c>
    </row>
    <row r="1827" spans="1:18" x14ac:dyDescent="0.3">
      <c r="A1827" s="26">
        <v>503</v>
      </c>
      <c r="B1827" s="5" t="s">
        <v>757</v>
      </c>
      <c r="C1827" s="5" t="s">
        <v>504</v>
      </c>
      <c r="D1827" s="5" t="s">
        <v>25</v>
      </c>
      <c r="E1827" s="5" t="s">
        <v>9</v>
      </c>
      <c r="F1827" s="6">
        <v>45657</v>
      </c>
      <c r="G1827" s="5">
        <f t="shared" si="302"/>
        <v>2024</v>
      </c>
      <c r="H1827" s="5" t="str">
        <f t="shared" si="303"/>
        <v>Diciembre</v>
      </c>
      <c r="I1827" s="6" t="str">
        <f t="shared" si="304"/>
        <v>2024-2</v>
      </c>
      <c r="J1827" s="5">
        <v>80</v>
      </c>
      <c r="K1827" s="10">
        <v>86</v>
      </c>
      <c r="L1827" s="15">
        <f t="shared" si="306"/>
        <v>1.075</v>
      </c>
      <c r="M1827" s="15">
        <f t="shared" si="307"/>
        <v>1.075</v>
      </c>
      <c r="N1827" s="5" t="s">
        <v>347</v>
      </c>
      <c r="O1827" s="5" t="s">
        <v>347</v>
      </c>
      <c r="P1827" s="16">
        <v>0</v>
      </c>
      <c r="Q1827" s="16">
        <v>0</v>
      </c>
      <c r="R1827" s="5" t="str">
        <f t="shared" si="305"/>
        <v>503-2024-12-31</v>
      </c>
    </row>
    <row r="1828" spans="1:18" x14ac:dyDescent="0.3">
      <c r="A1828" s="26">
        <v>504</v>
      </c>
      <c r="B1828" s="5" t="s">
        <v>758</v>
      </c>
      <c r="C1828" s="5" t="s">
        <v>294</v>
      </c>
      <c r="D1828" s="5" t="s">
        <v>25</v>
      </c>
      <c r="E1828" s="5" t="s">
        <v>9</v>
      </c>
      <c r="F1828" s="6">
        <v>45657</v>
      </c>
      <c r="G1828" s="5">
        <f t="shared" si="302"/>
        <v>2024</v>
      </c>
      <c r="H1828" s="5" t="str">
        <f t="shared" si="303"/>
        <v>Diciembre</v>
      </c>
      <c r="I1828" s="6" t="str">
        <f t="shared" si="304"/>
        <v>2024-2</v>
      </c>
      <c r="J1828" s="5">
        <v>80</v>
      </c>
      <c r="K1828" s="10">
        <v>88</v>
      </c>
      <c r="L1828" s="15">
        <f t="shared" si="306"/>
        <v>1.1000000000000001</v>
      </c>
      <c r="M1828" s="15">
        <f t="shared" si="307"/>
        <v>1.1000000000000001</v>
      </c>
      <c r="N1828" s="5" t="s">
        <v>347</v>
      </c>
      <c r="O1828" s="5" t="s">
        <v>347</v>
      </c>
      <c r="P1828" s="16">
        <v>0</v>
      </c>
      <c r="Q1828" s="16">
        <v>0</v>
      </c>
      <c r="R1828" s="5" t="str">
        <f t="shared" si="305"/>
        <v>504-2024-12-31</v>
      </c>
    </row>
    <row r="1829" spans="1:18" x14ac:dyDescent="0.3">
      <c r="A1829" s="26">
        <v>505</v>
      </c>
      <c r="B1829" s="5" t="s">
        <v>759</v>
      </c>
      <c r="C1829" s="5" t="s">
        <v>315</v>
      </c>
      <c r="D1829" s="5" t="s">
        <v>25</v>
      </c>
      <c r="E1829" s="5" t="s">
        <v>9</v>
      </c>
      <c r="F1829" s="6">
        <v>45657</v>
      </c>
      <c r="G1829" s="5">
        <f t="shared" si="302"/>
        <v>2024</v>
      </c>
      <c r="H1829" s="5" t="str">
        <f t="shared" si="303"/>
        <v>Diciembre</v>
      </c>
      <c r="I1829" s="6" t="str">
        <f t="shared" si="304"/>
        <v>2024-2</v>
      </c>
      <c r="J1829" s="5">
        <v>80</v>
      </c>
      <c r="K1829" s="10">
        <v>85</v>
      </c>
      <c r="L1829" s="15">
        <f t="shared" si="306"/>
        <v>1.0625</v>
      </c>
      <c r="M1829" s="15">
        <f t="shared" si="307"/>
        <v>1.0625</v>
      </c>
      <c r="N1829" s="5" t="s">
        <v>347</v>
      </c>
      <c r="O1829" s="5" t="s">
        <v>347</v>
      </c>
      <c r="P1829" s="16">
        <v>0</v>
      </c>
      <c r="Q1829" s="16">
        <v>0</v>
      </c>
      <c r="R1829" s="5" t="str">
        <f t="shared" si="305"/>
        <v>505-2024-12-31</v>
      </c>
    </row>
    <row r="1830" spans="1:18" x14ac:dyDescent="0.3">
      <c r="A1830" s="26">
        <v>506</v>
      </c>
      <c r="B1830" s="5" t="s">
        <v>486</v>
      </c>
      <c r="C1830" s="5" t="s">
        <v>244</v>
      </c>
      <c r="D1830" s="5" t="s">
        <v>25</v>
      </c>
      <c r="E1830" s="5" t="s">
        <v>9</v>
      </c>
      <c r="F1830" s="6">
        <v>45657</v>
      </c>
      <c r="G1830" s="5">
        <f t="shared" si="302"/>
        <v>2024</v>
      </c>
      <c r="H1830" s="5" t="str">
        <f t="shared" si="303"/>
        <v>Diciembre</v>
      </c>
      <c r="I1830" s="6" t="str">
        <f t="shared" si="304"/>
        <v>2024-2</v>
      </c>
      <c r="J1830" s="5">
        <v>80</v>
      </c>
      <c r="K1830" s="10">
        <v>67</v>
      </c>
      <c r="L1830" s="15">
        <f t="shared" si="306"/>
        <v>0.83750000000000002</v>
      </c>
      <c r="M1830" s="15">
        <f t="shared" si="307"/>
        <v>0.83750000000000002</v>
      </c>
      <c r="N1830" s="5" t="s">
        <v>347</v>
      </c>
      <c r="O1830" s="5" t="s">
        <v>347</v>
      </c>
      <c r="P1830" s="16">
        <v>0</v>
      </c>
      <c r="Q1830" s="16">
        <v>0</v>
      </c>
      <c r="R1830" s="5" t="str">
        <f t="shared" si="305"/>
        <v>506-2024-12-31</v>
      </c>
    </row>
    <row r="1831" spans="1:18" x14ac:dyDescent="0.3">
      <c r="A1831" s="26">
        <v>507</v>
      </c>
      <c r="B1831" s="5" t="s">
        <v>760</v>
      </c>
      <c r="C1831" s="5" t="s">
        <v>177</v>
      </c>
      <c r="D1831" s="5" t="s">
        <v>25</v>
      </c>
      <c r="E1831" s="5" t="s">
        <v>9</v>
      </c>
      <c r="F1831" s="6">
        <v>45657</v>
      </c>
      <c r="G1831" s="5">
        <f t="shared" si="302"/>
        <v>2024</v>
      </c>
      <c r="H1831" s="5" t="str">
        <f t="shared" si="303"/>
        <v>Diciembre</v>
      </c>
      <c r="I1831" s="6" t="str">
        <f t="shared" si="304"/>
        <v>2024-2</v>
      </c>
      <c r="J1831" s="5">
        <v>80</v>
      </c>
      <c r="K1831" s="10">
        <v>77</v>
      </c>
      <c r="L1831" s="15">
        <f t="shared" ref="L1831:L1861" si="308">IFERROR(IF((K1831/J1831)&gt;1.3,1.3,K1831/J1831),"")</f>
        <v>0.96250000000000002</v>
      </c>
      <c r="M1831" s="15">
        <f t="shared" ref="M1831:M1861" si="309">IFERROR(IF((K1831/J1831)&gt;K1831/J1831,1.3,K1831/J1831),"")</f>
        <v>0.96250000000000002</v>
      </c>
      <c r="N1831" s="5" t="s">
        <v>347</v>
      </c>
      <c r="O1831" s="5" t="s">
        <v>347</v>
      </c>
      <c r="P1831" s="16">
        <v>0</v>
      </c>
      <c r="Q1831" s="16">
        <v>0</v>
      </c>
      <c r="R1831" s="5" t="str">
        <f t="shared" si="305"/>
        <v>507-2024-12-31</v>
      </c>
    </row>
    <row r="1832" spans="1:18" x14ac:dyDescent="0.3">
      <c r="A1832" s="26">
        <v>508</v>
      </c>
      <c r="B1832" s="5" t="s">
        <v>761</v>
      </c>
      <c r="C1832" s="5" t="s">
        <v>506</v>
      </c>
      <c r="D1832" s="5" t="s">
        <v>25</v>
      </c>
      <c r="E1832" s="5" t="s">
        <v>9</v>
      </c>
      <c r="F1832" s="6">
        <v>45657</v>
      </c>
      <c r="G1832" s="5">
        <f t="shared" si="302"/>
        <v>2024</v>
      </c>
      <c r="H1832" s="5" t="str">
        <f t="shared" si="303"/>
        <v>Diciembre</v>
      </c>
      <c r="I1832" s="6" t="str">
        <f t="shared" si="304"/>
        <v>2024-2</v>
      </c>
      <c r="J1832" s="5">
        <v>80</v>
      </c>
      <c r="K1832" s="10">
        <v>88</v>
      </c>
      <c r="L1832" s="15">
        <f t="shared" si="308"/>
        <v>1.1000000000000001</v>
      </c>
      <c r="M1832" s="15">
        <f t="shared" si="309"/>
        <v>1.1000000000000001</v>
      </c>
      <c r="N1832" s="5" t="s">
        <v>347</v>
      </c>
      <c r="O1832" s="5" t="s">
        <v>347</v>
      </c>
      <c r="P1832" s="16">
        <v>0</v>
      </c>
      <c r="Q1832" s="16">
        <v>0</v>
      </c>
      <c r="R1832" s="5" t="str">
        <f t="shared" si="305"/>
        <v>508-2024-12-31</v>
      </c>
    </row>
    <row r="1833" spans="1:18" x14ac:dyDescent="0.3">
      <c r="A1833" s="26">
        <v>900</v>
      </c>
      <c r="B1833" s="23" t="s">
        <v>531</v>
      </c>
      <c r="C1833" s="5" t="s">
        <v>160</v>
      </c>
      <c r="D1833" s="5" t="s">
        <v>18</v>
      </c>
      <c r="E1833" s="5" t="s">
        <v>9</v>
      </c>
      <c r="F1833" s="6">
        <v>45322</v>
      </c>
      <c r="G1833" s="5">
        <f t="shared" si="302"/>
        <v>2024</v>
      </c>
      <c r="H1833" s="5" t="str">
        <f t="shared" si="303"/>
        <v>Enero</v>
      </c>
      <c r="I1833" s="6" t="str">
        <f t="shared" si="304"/>
        <v>2024-1</v>
      </c>
      <c r="J1833" s="11">
        <v>78</v>
      </c>
      <c r="K1833" s="9">
        <v>52</v>
      </c>
      <c r="L1833" s="15">
        <f t="shared" si="308"/>
        <v>0.66666666666666663</v>
      </c>
      <c r="M1833" s="15">
        <f t="shared" si="309"/>
        <v>0.66666666666666663</v>
      </c>
      <c r="N1833" s="5" t="s">
        <v>347</v>
      </c>
      <c r="O1833" s="5" t="s">
        <v>347</v>
      </c>
      <c r="P1833" s="16">
        <v>0</v>
      </c>
      <c r="Q1833" s="16">
        <v>0</v>
      </c>
      <c r="R1833" s="5" t="str">
        <f t="shared" si="305"/>
        <v>900-2024-01-31</v>
      </c>
    </row>
    <row r="1834" spans="1:18" x14ac:dyDescent="0.3">
      <c r="A1834" s="26">
        <v>900</v>
      </c>
      <c r="B1834" s="23" t="s">
        <v>531</v>
      </c>
      <c r="C1834" s="5" t="s">
        <v>160</v>
      </c>
      <c r="D1834" s="5" t="s">
        <v>18</v>
      </c>
      <c r="E1834" s="5" t="s">
        <v>9</v>
      </c>
      <c r="F1834" s="6">
        <v>45351</v>
      </c>
      <c r="G1834" s="5">
        <f t="shared" si="302"/>
        <v>2024</v>
      </c>
      <c r="H1834" s="5" t="str">
        <f t="shared" si="303"/>
        <v>Febrero</v>
      </c>
      <c r="I1834" s="6" t="str">
        <f t="shared" si="304"/>
        <v>2024-1</v>
      </c>
      <c r="J1834" s="11">
        <v>52</v>
      </c>
      <c r="K1834" s="9">
        <v>52</v>
      </c>
      <c r="L1834" s="15">
        <f t="shared" si="308"/>
        <v>1</v>
      </c>
      <c r="M1834" s="15">
        <f t="shared" si="309"/>
        <v>1</v>
      </c>
      <c r="N1834" s="5" t="s">
        <v>347</v>
      </c>
      <c r="O1834" s="5" t="s">
        <v>347</v>
      </c>
      <c r="P1834" s="16">
        <v>0</v>
      </c>
      <c r="Q1834" s="16">
        <v>0</v>
      </c>
      <c r="R1834" s="5" t="str">
        <f t="shared" si="305"/>
        <v>900-2024-02-29</v>
      </c>
    </row>
    <row r="1835" spans="1:18" x14ac:dyDescent="0.3">
      <c r="A1835" s="26">
        <v>900</v>
      </c>
      <c r="B1835" s="23" t="s">
        <v>531</v>
      </c>
      <c r="C1835" s="5" t="s">
        <v>160</v>
      </c>
      <c r="D1835" s="5" t="s">
        <v>18</v>
      </c>
      <c r="E1835" s="5" t="s">
        <v>9</v>
      </c>
      <c r="F1835" s="6">
        <v>45382</v>
      </c>
      <c r="G1835" s="5">
        <f t="shared" si="302"/>
        <v>2024</v>
      </c>
      <c r="H1835" s="5" t="str">
        <f t="shared" si="303"/>
        <v>Marzo</v>
      </c>
      <c r="I1835" s="6" t="str">
        <f t="shared" si="304"/>
        <v>2024-1</v>
      </c>
      <c r="J1835" s="11">
        <v>79</v>
      </c>
      <c r="K1835" s="9">
        <v>75</v>
      </c>
      <c r="L1835" s="15">
        <f t="shared" si="308"/>
        <v>0.94936708860759489</v>
      </c>
      <c r="M1835" s="15">
        <f t="shared" si="309"/>
        <v>0.94936708860759489</v>
      </c>
      <c r="N1835" s="5" t="s">
        <v>347</v>
      </c>
      <c r="O1835" s="5" t="s">
        <v>347</v>
      </c>
      <c r="P1835" s="16">
        <v>0</v>
      </c>
      <c r="Q1835" s="16">
        <v>0</v>
      </c>
      <c r="R1835" s="5" t="str">
        <f t="shared" si="305"/>
        <v>900-2024-03-31</v>
      </c>
    </row>
    <row r="1836" spans="1:18" x14ac:dyDescent="0.3">
      <c r="A1836" s="26">
        <v>900</v>
      </c>
      <c r="B1836" s="23" t="s">
        <v>531</v>
      </c>
      <c r="C1836" s="5" t="s">
        <v>160</v>
      </c>
      <c r="D1836" s="5" t="s">
        <v>18</v>
      </c>
      <c r="E1836" s="5" t="s">
        <v>9</v>
      </c>
      <c r="F1836" s="6">
        <v>45412</v>
      </c>
      <c r="G1836" s="5">
        <f t="shared" si="302"/>
        <v>2024</v>
      </c>
      <c r="H1836" s="5" t="str">
        <f t="shared" si="303"/>
        <v>Abril</v>
      </c>
      <c r="I1836" s="6" t="str">
        <f t="shared" si="304"/>
        <v>2024-1</v>
      </c>
      <c r="J1836" s="11">
        <v>95</v>
      </c>
      <c r="K1836" s="9">
        <v>95</v>
      </c>
      <c r="L1836" s="15">
        <f t="shared" si="308"/>
        <v>1</v>
      </c>
      <c r="M1836" s="15">
        <f t="shared" si="309"/>
        <v>1</v>
      </c>
      <c r="N1836" s="5" t="s">
        <v>347</v>
      </c>
      <c r="O1836" s="5" t="s">
        <v>347</v>
      </c>
      <c r="P1836" s="16">
        <v>0</v>
      </c>
      <c r="Q1836" s="16">
        <v>0</v>
      </c>
      <c r="R1836" s="5" t="str">
        <f t="shared" si="305"/>
        <v>900-2024-04-30</v>
      </c>
    </row>
    <row r="1837" spans="1:18" x14ac:dyDescent="0.3">
      <c r="A1837" s="26">
        <v>900</v>
      </c>
      <c r="B1837" s="23" t="s">
        <v>531</v>
      </c>
      <c r="C1837" s="5" t="s">
        <v>160</v>
      </c>
      <c r="D1837" s="5" t="s">
        <v>18</v>
      </c>
      <c r="E1837" s="5" t="s">
        <v>9</v>
      </c>
      <c r="F1837" s="6">
        <v>45443</v>
      </c>
      <c r="G1837" s="5">
        <f t="shared" si="302"/>
        <v>2024</v>
      </c>
      <c r="H1837" s="5" t="str">
        <f t="shared" si="303"/>
        <v>Mayo</v>
      </c>
      <c r="I1837" s="6" t="str">
        <f t="shared" si="304"/>
        <v>2024-1</v>
      </c>
      <c r="J1837" s="11">
        <v>98</v>
      </c>
      <c r="K1837" s="9">
        <v>98</v>
      </c>
      <c r="L1837" s="15">
        <f t="shared" si="308"/>
        <v>1</v>
      </c>
      <c r="M1837" s="15">
        <f t="shared" si="309"/>
        <v>1</v>
      </c>
      <c r="N1837" s="5" t="s">
        <v>347</v>
      </c>
      <c r="O1837" s="5" t="s">
        <v>347</v>
      </c>
      <c r="P1837" s="16">
        <v>0</v>
      </c>
      <c r="Q1837" s="16">
        <v>0</v>
      </c>
      <c r="R1837" s="5" t="str">
        <f t="shared" si="305"/>
        <v>900-2024-05-31</v>
      </c>
    </row>
    <row r="1838" spans="1:18" x14ac:dyDescent="0.3">
      <c r="A1838" s="26">
        <v>900</v>
      </c>
      <c r="B1838" s="23" t="s">
        <v>531</v>
      </c>
      <c r="C1838" s="5" t="s">
        <v>160</v>
      </c>
      <c r="D1838" s="5" t="s">
        <v>18</v>
      </c>
      <c r="E1838" s="5" t="s">
        <v>9</v>
      </c>
      <c r="F1838" s="6">
        <v>45473</v>
      </c>
      <c r="G1838" s="5">
        <f t="shared" si="302"/>
        <v>2024</v>
      </c>
      <c r="H1838" s="5" t="str">
        <f t="shared" si="303"/>
        <v>Junio</v>
      </c>
      <c r="I1838" s="6" t="str">
        <f t="shared" si="304"/>
        <v>2024-1</v>
      </c>
      <c r="J1838" s="11">
        <v>100</v>
      </c>
      <c r="K1838" s="9">
        <v>99</v>
      </c>
      <c r="L1838" s="15">
        <f t="shared" si="308"/>
        <v>0.99</v>
      </c>
      <c r="M1838" s="15">
        <f t="shared" si="309"/>
        <v>0.99</v>
      </c>
      <c r="N1838" s="5" t="s">
        <v>347</v>
      </c>
      <c r="O1838" s="5" t="s">
        <v>347</v>
      </c>
      <c r="P1838" s="16">
        <v>0</v>
      </c>
      <c r="Q1838" s="16">
        <v>0</v>
      </c>
      <c r="R1838" s="5" t="str">
        <f t="shared" si="305"/>
        <v>900-2024-06-30</v>
      </c>
    </row>
    <row r="1839" spans="1:18" x14ac:dyDescent="0.3">
      <c r="A1839" s="26">
        <v>900</v>
      </c>
      <c r="B1839" s="23" t="s">
        <v>531</v>
      </c>
      <c r="C1839" s="5" t="s">
        <v>160</v>
      </c>
      <c r="D1839" s="5" t="s">
        <v>18</v>
      </c>
      <c r="E1839" s="5" t="s">
        <v>9</v>
      </c>
      <c r="F1839" s="6">
        <v>45504</v>
      </c>
      <c r="G1839" s="5">
        <f t="shared" si="302"/>
        <v>2024</v>
      </c>
      <c r="H1839" s="5" t="str">
        <f t="shared" si="303"/>
        <v>Julio</v>
      </c>
      <c r="I1839" s="6" t="str">
        <f t="shared" si="304"/>
        <v>2024-2</v>
      </c>
      <c r="J1839" s="11">
        <v>100</v>
      </c>
      <c r="K1839" s="9">
        <v>99</v>
      </c>
      <c r="L1839" s="15">
        <f t="shared" si="308"/>
        <v>0.99</v>
      </c>
      <c r="M1839" s="15">
        <f t="shared" si="309"/>
        <v>0.99</v>
      </c>
      <c r="N1839" s="5" t="s">
        <v>347</v>
      </c>
      <c r="O1839" s="5" t="s">
        <v>347</v>
      </c>
      <c r="P1839" s="16">
        <v>0</v>
      </c>
      <c r="Q1839" s="16">
        <v>0</v>
      </c>
      <c r="R1839" s="5" t="str">
        <f t="shared" si="305"/>
        <v>900-2024-07-31</v>
      </c>
    </row>
    <row r="1840" spans="1:18" x14ac:dyDescent="0.3">
      <c r="A1840" s="26">
        <v>900</v>
      </c>
      <c r="B1840" s="23" t="s">
        <v>531</v>
      </c>
      <c r="C1840" s="5" t="s">
        <v>160</v>
      </c>
      <c r="D1840" s="5" t="s">
        <v>18</v>
      </c>
      <c r="E1840" s="5" t="s">
        <v>9</v>
      </c>
      <c r="F1840" s="6">
        <v>45535</v>
      </c>
      <c r="G1840" s="5">
        <f t="shared" si="302"/>
        <v>2024</v>
      </c>
      <c r="H1840" s="5" t="str">
        <f t="shared" si="303"/>
        <v>Agosto</v>
      </c>
      <c r="I1840" s="6" t="str">
        <f t="shared" si="304"/>
        <v>2024-2</v>
      </c>
      <c r="J1840" s="11">
        <v>100</v>
      </c>
      <c r="K1840" s="9">
        <v>99</v>
      </c>
      <c r="L1840" s="15">
        <f t="shared" si="308"/>
        <v>0.99</v>
      </c>
      <c r="M1840" s="15">
        <f t="shared" si="309"/>
        <v>0.99</v>
      </c>
      <c r="N1840" s="5" t="s">
        <v>347</v>
      </c>
      <c r="O1840" s="5" t="s">
        <v>347</v>
      </c>
      <c r="P1840" s="16">
        <v>0</v>
      </c>
      <c r="Q1840" s="16">
        <v>0</v>
      </c>
      <c r="R1840" s="5" t="str">
        <f t="shared" si="305"/>
        <v>900-2024-08-31</v>
      </c>
    </row>
    <row r="1841" spans="1:18" x14ac:dyDescent="0.3">
      <c r="A1841" s="26">
        <v>900</v>
      </c>
      <c r="B1841" s="23" t="s">
        <v>531</v>
      </c>
      <c r="C1841" s="5" t="s">
        <v>160</v>
      </c>
      <c r="D1841" s="5" t="s">
        <v>18</v>
      </c>
      <c r="E1841" s="5" t="s">
        <v>9</v>
      </c>
      <c r="F1841" s="6">
        <v>45565</v>
      </c>
      <c r="G1841" s="5">
        <f t="shared" si="302"/>
        <v>2024</v>
      </c>
      <c r="H1841" s="5" t="str">
        <f t="shared" si="303"/>
        <v>Septiembre</v>
      </c>
      <c r="I1841" s="6" t="str">
        <f t="shared" si="304"/>
        <v>2024-2</v>
      </c>
      <c r="J1841" s="11">
        <v>100</v>
      </c>
      <c r="K1841" s="9">
        <v>99</v>
      </c>
      <c r="L1841" s="15">
        <f t="shared" si="308"/>
        <v>0.99</v>
      </c>
      <c r="M1841" s="15">
        <f t="shared" si="309"/>
        <v>0.99</v>
      </c>
      <c r="N1841" s="5" t="s">
        <v>347</v>
      </c>
      <c r="O1841" s="5" t="s">
        <v>347</v>
      </c>
      <c r="P1841" s="16">
        <v>0</v>
      </c>
      <c r="Q1841" s="16">
        <v>0</v>
      </c>
      <c r="R1841" s="5" t="str">
        <f t="shared" si="305"/>
        <v>900-2024-09-30</v>
      </c>
    </row>
    <row r="1842" spans="1:18" x14ac:dyDescent="0.3">
      <c r="A1842" s="26">
        <v>900</v>
      </c>
      <c r="B1842" s="23" t="s">
        <v>531</v>
      </c>
      <c r="C1842" s="5" t="s">
        <v>160</v>
      </c>
      <c r="D1842" s="5" t="s">
        <v>18</v>
      </c>
      <c r="E1842" s="5" t="s">
        <v>9</v>
      </c>
      <c r="F1842" s="6">
        <v>45596</v>
      </c>
      <c r="G1842" s="5">
        <f t="shared" si="302"/>
        <v>2024</v>
      </c>
      <c r="H1842" s="5" t="str">
        <f t="shared" si="303"/>
        <v>Octubre</v>
      </c>
      <c r="I1842" s="6" t="str">
        <f t="shared" si="304"/>
        <v>2024-2</v>
      </c>
      <c r="J1842" s="11">
        <v>100</v>
      </c>
      <c r="K1842" s="9">
        <v>99</v>
      </c>
      <c r="L1842" s="15">
        <f t="shared" si="308"/>
        <v>0.99</v>
      </c>
      <c r="M1842" s="15">
        <f t="shared" si="309"/>
        <v>0.99</v>
      </c>
      <c r="N1842" s="5" t="s">
        <v>347</v>
      </c>
      <c r="O1842" s="5" t="s">
        <v>347</v>
      </c>
      <c r="P1842" s="16">
        <v>0</v>
      </c>
      <c r="Q1842" s="16">
        <v>0</v>
      </c>
      <c r="R1842" s="5" t="str">
        <f t="shared" si="305"/>
        <v>900-2024-10-31</v>
      </c>
    </row>
    <row r="1843" spans="1:18" x14ac:dyDescent="0.3">
      <c r="A1843" s="26">
        <v>900</v>
      </c>
      <c r="B1843" s="23" t="s">
        <v>531</v>
      </c>
      <c r="C1843" s="5" t="s">
        <v>160</v>
      </c>
      <c r="D1843" s="5" t="s">
        <v>18</v>
      </c>
      <c r="E1843" s="5" t="s">
        <v>9</v>
      </c>
      <c r="F1843" s="6">
        <v>45626</v>
      </c>
      <c r="G1843" s="5">
        <f t="shared" si="302"/>
        <v>2024</v>
      </c>
      <c r="H1843" s="5" t="str">
        <f t="shared" si="303"/>
        <v>Noviembre</v>
      </c>
      <c r="I1843" s="6" t="str">
        <f t="shared" si="304"/>
        <v>2024-2</v>
      </c>
      <c r="J1843" s="11">
        <v>100</v>
      </c>
      <c r="K1843" s="9">
        <v>99</v>
      </c>
      <c r="L1843" s="15">
        <f t="shared" si="308"/>
        <v>0.99</v>
      </c>
      <c r="M1843" s="15">
        <f t="shared" si="309"/>
        <v>0.99</v>
      </c>
      <c r="N1843" s="5" t="s">
        <v>347</v>
      </c>
      <c r="O1843" s="5" t="s">
        <v>347</v>
      </c>
      <c r="P1843" s="16">
        <v>0</v>
      </c>
      <c r="Q1843" s="16">
        <v>0</v>
      </c>
      <c r="R1843" s="5" t="str">
        <f t="shared" si="305"/>
        <v>900-2024-11-30</v>
      </c>
    </row>
    <row r="1844" spans="1:18" x14ac:dyDescent="0.3">
      <c r="A1844" s="26">
        <v>900</v>
      </c>
      <c r="B1844" s="23" t="s">
        <v>531</v>
      </c>
      <c r="C1844" s="5" t="s">
        <v>160</v>
      </c>
      <c r="D1844" s="5" t="s">
        <v>18</v>
      </c>
      <c r="E1844" s="5" t="s">
        <v>9</v>
      </c>
      <c r="F1844" s="6">
        <v>45657</v>
      </c>
      <c r="G1844" s="5">
        <f t="shared" si="302"/>
        <v>2024</v>
      </c>
      <c r="H1844" s="5" t="str">
        <f t="shared" si="303"/>
        <v>Diciembre</v>
      </c>
      <c r="I1844" s="6" t="str">
        <f t="shared" si="304"/>
        <v>2024-2</v>
      </c>
      <c r="J1844" s="11">
        <v>100</v>
      </c>
      <c r="K1844" s="9">
        <v>100</v>
      </c>
      <c r="L1844" s="15">
        <f t="shared" si="308"/>
        <v>1</v>
      </c>
      <c r="M1844" s="15">
        <f t="shared" si="309"/>
        <v>1</v>
      </c>
      <c r="N1844" s="5" t="s">
        <v>347</v>
      </c>
      <c r="O1844" s="5" t="s">
        <v>347</v>
      </c>
      <c r="P1844" s="16">
        <v>0</v>
      </c>
      <c r="Q1844" s="16">
        <v>0</v>
      </c>
      <c r="R1844" s="5" t="str">
        <f t="shared" si="305"/>
        <v>900-2024-12-31</v>
      </c>
    </row>
    <row r="1845" spans="1:18" x14ac:dyDescent="0.3">
      <c r="A1845" s="26">
        <v>901</v>
      </c>
      <c r="B1845" s="23" t="s">
        <v>532</v>
      </c>
      <c r="C1845" s="5" t="s">
        <v>345</v>
      </c>
      <c r="D1845" s="5" t="s">
        <v>18</v>
      </c>
      <c r="E1845" s="5" t="s">
        <v>9</v>
      </c>
      <c r="F1845" s="6">
        <v>45322</v>
      </c>
      <c r="G1845" s="5">
        <f t="shared" si="302"/>
        <v>2024</v>
      </c>
      <c r="H1845" s="5" t="str">
        <f t="shared" si="303"/>
        <v>Enero</v>
      </c>
      <c r="I1845" s="6" t="str">
        <f t="shared" si="304"/>
        <v>2024-1</v>
      </c>
      <c r="J1845" s="34">
        <v>14</v>
      </c>
      <c r="K1845" s="9">
        <v>10</v>
      </c>
      <c r="L1845" s="15">
        <f t="shared" si="308"/>
        <v>0.7142857142857143</v>
      </c>
      <c r="M1845" s="15">
        <f t="shared" si="309"/>
        <v>0.7142857142857143</v>
      </c>
      <c r="N1845" s="5" t="s">
        <v>347</v>
      </c>
      <c r="O1845" s="5" t="s">
        <v>347</v>
      </c>
      <c r="P1845" s="16">
        <v>0</v>
      </c>
      <c r="Q1845" s="16">
        <v>0</v>
      </c>
      <c r="R1845" s="5" t="str">
        <f t="shared" si="305"/>
        <v>901-2024-01-31</v>
      </c>
    </row>
    <row r="1846" spans="1:18" x14ac:dyDescent="0.3">
      <c r="A1846" s="26">
        <v>901</v>
      </c>
      <c r="B1846" s="23" t="s">
        <v>532</v>
      </c>
      <c r="C1846" s="5" t="s">
        <v>345</v>
      </c>
      <c r="D1846" s="5" t="s">
        <v>18</v>
      </c>
      <c r="E1846" s="5" t="s">
        <v>9</v>
      </c>
      <c r="F1846" s="6">
        <v>45351</v>
      </c>
      <c r="G1846" s="5">
        <f t="shared" si="302"/>
        <v>2024</v>
      </c>
      <c r="H1846" s="5" t="str">
        <f t="shared" si="303"/>
        <v>Febrero</v>
      </c>
      <c r="I1846" s="6" t="str">
        <f t="shared" si="304"/>
        <v>2024-1</v>
      </c>
      <c r="J1846" s="11">
        <v>14</v>
      </c>
      <c r="K1846" s="9">
        <v>9</v>
      </c>
      <c r="L1846" s="15">
        <f t="shared" si="308"/>
        <v>0.6428571428571429</v>
      </c>
      <c r="M1846" s="15">
        <f t="shared" si="309"/>
        <v>0.6428571428571429</v>
      </c>
      <c r="N1846" s="5" t="s">
        <v>347</v>
      </c>
      <c r="O1846" s="5" t="s">
        <v>347</v>
      </c>
      <c r="P1846" s="16">
        <v>0</v>
      </c>
      <c r="Q1846" s="16">
        <v>0</v>
      </c>
      <c r="R1846" s="5" t="str">
        <f t="shared" si="305"/>
        <v>901-2024-02-29</v>
      </c>
    </row>
    <row r="1847" spans="1:18" x14ac:dyDescent="0.3">
      <c r="A1847" s="26">
        <v>901</v>
      </c>
      <c r="B1847" s="23" t="s">
        <v>532</v>
      </c>
      <c r="C1847" s="5" t="s">
        <v>345</v>
      </c>
      <c r="D1847" s="5" t="s">
        <v>18</v>
      </c>
      <c r="E1847" s="5" t="s">
        <v>9</v>
      </c>
      <c r="F1847" s="6">
        <v>45382</v>
      </c>
      <c r="G1847" s="5">
        <f t="shared" si="302"/>
        <v>2024</v>
      </c>
      <c r="H1847" s="5" t="str">
        <f t="shared" si="303"/>
        <v>Marzo</v>
      </c>
      <c r="I1847" s="6" t="str">
        <f t="shared" si="304"/>
        <v>2024-1</v>
      </c>
      <c r="J1847" s="11">
        <v>21</v>
      </c>
      <c r="K1847" s="9">
        <v>18</v>
      </c>
      <c r="L1847" s="15">
        <f t="shared" si="308"/>
        <v>0.8571428571428571</v>
      </c>
      <c r="M1847" s="15">
        <f t="shared" si="309"/>
        <v>0.8571428571428571</v>
      </c>
      <c r="N1847" s="5" t="s">
        <v>347</v>
      </c>
      <c r="O1847" s="5" t="s">
        <v>347</v>
      </c>
      <c r="P1847" s="16">
        <v>0</v>
      </c>
      <c r="Q1847" s="16">
        <v>0</v>
      </c>
      <c r="R1847" s="5" t="str">
        <f t="shared" si="305"/>
        <v>901-2024-03-31</v>
      </c>
    </row>
    <row r="1848" spans="1:18" x14ac:dyDescent="0.3">
      <c r="A1848" s="26">
        <v>901</v>
      </c>
      <c r="B1848" s="23" t="s">
        <v>532</v>
      </c>
      <c r="C1848" s="5" t="s">
        <v>345</v>
      </c>
      <c r="D1848" s="5" t="s">
        <v>18</v>
      </c>
      <c r="E1848" s="5" t="s">
        <v>9</v>
      </c>
      <c r="F1848" s="6">
        <v>45412</v>
      </c>
      <c r="G1848" s="5">
        <f t="shared" si="302"/>
        <v>2024</v>
      </c>
      <c r="H1848" s="5" t="str">
        <f t="shared" si="303"/>
        <v>Abril</v>
      </c>
      <c r="I1848" s="6" t="str">
        <f t="shared" si="304"/>
        <v>2024-1</v>
      </c>
      <c r="J1848" s="11">
        <v>43</v>
      </c>
      <c r="K1848" s="9">
        <v>46</v>
      </c>
      <c r="L1848" s="15">
        <f t="shared" si="308"/>
        <v>1.069767441860465</v>
      </c>
      <c r="M1848" s="15">
        <f t="shared" si="309"/>
        <v>1.069767441860465</v>
      </c>
      <c r="N1848" s="5" t="s">
        <v>347</v>
      </c>
      <c r="O1848" s="5" t="s">
        <v>347</v>
      </c>
      <c r="P1848" s="16">
        <v>0</v>
      </c>
      <c r="Q1848" s="16">
        <v>0</v>
      </c>
      <c r="R1848" s="5" t="str">
        <f t="shared" si="305"/>
        <v>901-2024-04-30</v>
      </c>
    </row>
    <row r="1849" spans="1:18" x14ac:dyDescent="0.3">
      <c r="A1849" s="26">
        <v>901</v>
      </c>
      <c r="B1849" s="23" t="s">
        <v>532</v>
      </c>
      <c r="C1849" s="5" t="s">
        <v>345</v>
      </c>
      <c r="D1849" s="5" t="s">
        <v>18</v>
      </c>
      <c r="E1849" s="5" t="s">
        <v>9</v>
      </c>
      <c r="F1849" s="6">
        <v>45443</v>
      </c>
      <c r="G1849" s="5">
        <f t="shared" si="302"/>
        <v>2024</v>
      </c>
      <c r="H1849" s="5" t="str">
        <f t="shared" si="303"/>
        <v>Mayo</v>
      </c>
      <c r="I1849" s="6" t="str">
        <f t="shared" si="304"/>
        <v>2024-1</v>
      </c>
      <c r="J1849" s="11">
        <v>53</v>
      </c>
      <c r="K1849" s="9">
        <v>48</v>
      </c>
      <c r="L1849" s="15">
        <f t="shared" si="308"/>
        <v>0.90566037735849059</v>
      </c>
      <c r="M1849" s="15">
        <f t="shared" si="309"/>
        <v>0.90566037735849059</v>
      </c>
      <c r="N1849" s="5" t="s">
        <v>347</v>
      </c>
      <c r="O1849" s="5" t="s">
        <v>347</v>
      </c>
      <c r="P1849" s="16">
        <v>0</v>
      </c>
      <c r="Q1849" s="16">
        <v>0</v>
      </c>
      <c r="R1849" s="5" t="str">
        <f t="shared" si="305"/>
        <v>901-2024-05-31</v>
      </c>
    </row>
    <row r="1850" spans="1:18" x14ac:dyDescent="0.3">
      <c r="A1850" s="26">
        <v>901</v>
      </c>
      <c r="B1850" s="23" t="s">
        <v>532</v>
      </c>
      <c r="C1850" s="5" t="s">
        <v>345</v>
      </c>
      <c r="D1850" s="5" t="s">
        <v>18</v>
      </c>
      <c r="E1850" s="5" t="s">
        <v>9</v>
      </c>
      <c r="F1850" s="6">
        <v>45473</v>
      </c>
      <c r="G1850" s="5">
        <f t="shared" si="302"/>
        <v>2024</v>
      </c>
      <c r="H1850" s="5" t="str">
        <f t="shared" si="303"/>
        <v>Junio</v>
      </c>
      <c r="I1850" s="6" t="str">
        <f t="shared" si="304"/>
        <v>2024-1</v>
      </c>
      <c r="J1850" s="11">
        <v>63</v>
      </c>
      <c r="K1850" s="9">
        <v>64</v>
      </c>
      <c r="L1850" s="15">
        <f t="shared" si="308"/>
        <v>1.0158730158730158</v>
      </c>
      <c r="M1850" s="15">
        <f t="shared" si="309"/>
        <v>1.0158730158730158</v>
      </c>
      <c r="N1850" s="5" t="s">
        <v>347</v>
      </c>
      <c r="O1850" s="5" t="s">
        <v>347</v>
      </c>
      <c r="P1850" s="16">
        <v>0</v>
      </c>
      <c r="Q1850" s="16">
        <v>0</v>
      </c>
      <c r="R1850" s="5" t="str">
        <f t="shared" si="305"/>
        <v>901-2024-06-30</v>
      </c>
    </row>
    <row r="1851" spans="1:18" x14ac:dyDescent="0.3">
      <c r="A1851" s="26">
        <v>901</v>
      </c>
      <c r="B1851" s="23" t="s">
        <v>532</v>
      </c>
      <c r="C1851" s="5" t="s">
        <v>345</v>
      </c>
      <c r="D1851" s="5" t="s">
        <v>18</v>
      </c>
      <c r="E1851" s="5" t="s">
        <v>9</v>
      </c>
      <c r="F1851" s="6">
        <v>45504</v>
      </c>
      <c r="G1851" s="5">
        <f t="shared" si="302"/>
        <v>2024</v>
      </c>
      <c r="H1851" s="5" t="str">
        <f t="shared" si="303"/>
        <v>Julio</v>
      </c>
      <c r="I1851" s="6" t="str">
        <f t="shared" si="304"/>
        <v>2024-2</v>
      </c>
      <c r="J1851" s="11">
        <v>69</v>
      </c>
      <c r="K1851" s="9">
        <v>68</v>
      </c>
      <c r="L1851" s="15">
        <f t="shared" si="308"/>
        <v>0.98550724637681164</v>
      </c>
      <c r="M1851" s="15">
        <f t="shared" si="309"/>
        <v>0.98550724637681164</v>
      </c>
      <c r="N1851" s="5" t="s">
        <v>347</v>
      </c>
      <c r="O1851" s="5" t="s">
        <v>347</v>
      </c>
      <c r="P1851" s="16">
        <v>0</v>
      </c>
      <c r="Q1851" s="16">
        <v>0</v>
      </c>
      <c r="R1851" s="5" t="str">
        <f t="shared" si="305"/>
        <v>901-2024-07-31</v>
      </c>
    </row>
    <row r="1852" spans="1:18" x14ac:dyDescent="0.3">
      <c r="A1852" s="26">
        <v>901</v>
      </c>
      <c r="B1852" s="23" t="s">
        <v>532</v>
      </c>
      <c r="C1852" s="5" t="s">
        <v>345</v>
      </c>
      <c r="D1852" s="5" t="s">
        <v>18</v>
      </c>
      <c r="E1852" s="5" t="s">
        <v>9</v>
      </c>
      <c r="F1852" s="6">
        <v>45535</v>
      </c>
      <c r="G1852" s="5">
        <f t="shared" si="302"/>
        <v>2024</v>
      </c>
      <c r="H1852" s="5" t="str">
        <f t="shared" si="303"/>
        <v>Agosto</v>
      </c>
      <c r="I1852" s="6" t="str">
        <f t="shared" si="304"/>
        <v>2024-2</v>
      </c>
      <c r="J1852" s="11">
        <v>75</v>
      </c>
      <c r="K1852" s="9">
        <v>74</v>
      </c>
      <c r="L1852" s="15">
        <f t="shared" si="308"/>
        <v>0.98666666666666669</v>
      </c>
      <c r="M1852" s="15">
        <f t="shared" si="309"/>
        <v>0.98666666666666669</v>
      </c>
      <c r="N1852" s="5" t="s">
        <v>347</v>
      </c>
      <c r="O1852" s="5" t="s">
        <v>347</v>
      </c>
      <c r="P1852" s="16">
        <v>0</v>
      </c>
      <c r="Q1852" s="16">
        <v>0</v>
      </c>
      <c r="R1852" s="5" t="str">
        <f t="shared" si="305"/>
        <v>901-2024-08-31</v>
      </c>
    </row>
    <row r="1853" spans="1:18" x14ac:dyDescent="0.3">
      <c r="A1853" s="26">
        <v>901</v>
      </c>
      <c r="B1853" s="23" t="s">
        <v>532</v>
      </c>
      <c r="C1853" s="5" t="s">
        <v>345</v>
      </c>
      <c r="D1853" s="5" t="s">
        <v>18</v>
      </c>
      <c r="E1853" s="5" t="s">
        <v>9</v>
      </c>
      <c r="F1853" s="6">
        <v>45565</v>
      </c>
      <c r="G1853" s="5">
        <f t="shared" si="302"/>
        <v>2024</v>
      </c>
      <c r="H1853" s="5" t="str">
        <f t="shared" si="303"/>
        <v>Septiembre</v>
      </c>
      <c r="I1853" s="6" t="str">
        <f t="shared" si="304"/>
        <v>2024-2</v>
      </c>
      <c r="J1853" s="11">
        <v>78</v>
      </c>
      <c r="K1853" s="9">
        <v>78</v>
      </c>
      <c r="L1853" s="15">
        <f t="shared" si="308"/>
        <v>1</v>
      </c>
      <c r="M1853" s="15">
        <f t="shared" si="309"/>
        <v>1</v>
      </c>
      <c r="N1853" s="5" t="s">
        <v>347</v>
      </c>
      <c r="O1853" s="5" t="s">
        <v>347</v>
      </c>
      <c r="P1853" s="16">
        <v>0</v>
      </c>
      <c r="Q1853" s="16">
        <v>0</v>
      </c>
      <c r="R1853" s="5" t="str">
        <f t="shared" si="305"/>
        <v>901-2024-09-30</v>
      </c>
    </row>
    <row r="1854" spans="1:18" x14ac:dyDescent="0.3">
      <c r="A1854" s="26">
        <v>901</v>
      </c>
      <c r="B1854" s="23" t="s">
        <v>532</v>
      </c>
      <c r="C1854" s="5" t="s">
        <v>345</v>
      </c>
      <c r="D1854" s="5" t="s">
        <v>18</v>
      </c>
      <c r="E1854" s="5" t="s">
        <v>9</v>
      </c>
      <c r="F1854" s="6">
        <v>45596</v>
      </c>
      <c r="G1854" s="5">
        <f t="shared" si="302"/>
        <v>2024</v>
      </c>
      <c r="H1854" s="5" t="str">
        <f t="shared" si="303"/>
        <v>Octubre</v>
      </c>
      <c r="I1854" s="6" t="str">
        <f t="shared" si="304"/>
        <v>2024-2</v>
      </c>
      <c r="J1854" s="11">
        <v>82</v>
      </c>
      <c r="K1854" s="9">
        <v>74</v>
      </c>
      <c r="L1854" s="15">
        <f t="shared" si="308"/>
        <v>0.90243902439024393</v>
      </c>
      <c r="M1854" s="15">
        <f t="shared" si="309"/>
        <v>0.90243902439024393</v>
      </c>
      <c r="N1854" s="5" t="s">
        <v>347</v>
      </c>
      <c r="O1854" s="5" t="s">
        <v>347</v>
      </c>
      <c r="P1854" s="16">
        <v>0</v>
      </c>
      <c r="Q1854" s="16">
        <v>0</v>
      </c>
      <c r="R1854" s="5" t="str">
        <f t="shared" si="305"/>
        <v>901-2024-10-31</v>
      </c>
    </row>
    <row r="1855" spans="1:18" x14ac:dyDescent="0.3">
      <c r="A1855" s="26">
        <v>901</v>
      </c>
      <c r="B1855" s="23" t="s">
        <v>532</v>
      </c>
      <c r="C1855" s="5" t="s">
        <v>345</v>
      </c>
      <c r="D1855" s="5" t="s">
        <v>18</v>
      </c>
      <c r="E1855" s="5" t="s">
        <v>9</v>
      </c>
      <c r="F1855" s="6">
        <v>45626</v>
      </c>
      <c r="G1855" s="5">
        <f t="shared" si="302"/>
        <v>2024</v>
      </c>
      <c r="H1855" s="5" t="str">
        <f t="shared" si="303"/>
        <v>Noviembre</v>
      </c>
      <c r="I1855" s="6" t="str">
        <f t="shared" si="304"/>
        <v>2024-2</v>
      </c>
      <c r="J1855" s="11">
        <v>82</v>
      </c>
      <c r="K1855" s="9">
        <v>72</v>
      </c>
      <c r="L1855" s="15">
        <f t="shared" si="308"/>
        <v>0.87804878048780488</v>
      </c>
      <c r="M1855" s="15">
        <f t="shared" si="309"/>
        <v>0.87804878048780488</v>
      </c>
      <c r="N1855" s="5" t="s">
        <v>347</v>
      </c>
      <c r="O1855" s="5" t="s">
        <v>347</v>
      </c>
      <c r="P1855" s="16">
        <v>0</v>
      </c>
      <c r="Q1855" s="16">
        <v>0</v>
      </c>
      <c r="R1855" s="5" t="str">
        <f t="shared" si="305"/>
        <v>901-2024-11-30</v>
      </c>
    </row>
    <row r="1856" spans="1:18" x14ac:dyDescent="0.3">
      <c r="A1856" s="26">
        <v>902</v>
      </c>
      <c r="B1856" s="23" t="s">
        <v>533</v>
      </c>
      <c r="C1856" s="5" t="s">
        <v>55</v>
      </c>
      <c r="D1856" s="5" t="s">
        <v>18</v>
      </c>
      <c r="E1856" s="5" t="s">
        <v>9</v>
      </c>
      <c r="F1856" s="6">
        <v>45322</v>
      </c>
      <c r="G1856" s="5">
        <f t="shared" si="302"/>
        <v>2024</v>
      </c>
      <c r="H1856" s="5" t="str">
        <f t="shared" si="303"/>
        <v>Enero</v>
      </c>
      <c r="I1856" s="6" t="str">
        <f t="shared" si="304"/>
        <v>2024-1</v>
      </c>
      <c r="J1856" s="11">
        <v>45</v>
      </c>
      <c r="K1856" s="9">
        <v>42</v>
      </c>
      <c r="L1856" s="15">
        <f t="shared" si="308"/>
        <v>0.93333333333333335</v>
      </c>
      <c r="M1856" s="15">
        <f t="shared" si="309"/>
        <v>0.93333333333333335</v>
      </c>
      <c r="N1856" s="5" t="s">
        <v>347</v>
      </c>
      <c r="O1856" s="5" t="s">
        <v>347</v>
      </c>
      <c r="P1856" s="16">
        <v>0</v>
      </c>
      <c r="Q1856" s="16">
        <v>0</v>
      </c>
      <c r="R1856" s="5" t="str">
        <f t="shared" si="305"/>
        <v>902-2024-01-31</v>
      </c>
    </row>
    <row r="1857" spans="1:18" x14ac:dyDescent="0.3">
      <c r="A1857" s="26">
        <v>902</v>
      </c>
      <c r="B1857" s="23" t="s">
        <v>533</v>
      </c>
      <c r="C1857" s="5" t="s">
        <v>55</v>
      </c>
      <c r="D1857" s="5" t="s">
        <v>18</v>
      </c>
      <c r="E1857" s="5" t="s">
        <v>9</v>
      </c>
      <c r="F1857" s="6">
        <v>45351</v>
      </c>
      <c r="G1857" s="5">
        <f t="shared" si="302"/>
        <v>2024</v>
      </c>
      <c r="H1857" s="5" t="str">
        <f t="shared" si="303"/>
        <v>Febrero</v>
      </c>
      <c r="I1857" s="6" t="str">
        <f t="shared" si="304"/>
        <v>2024-1</v>
      </c>
      <c r="J1857" s="11">
        <v>52</v>
      </c>
      <c r="K1857" s="9">
        <v>52</v>
      </c>
      <c r="L1857" s="15">
        <f t="shared" si="308"/>
        <v>1</v>
      </c>
      <c r="M1857" s="15">
        <f t="shared" si="309"/>
        <v>1</v>
      </c>
      <c r="N1857" s="5" t="s">
        <v>347</v>
      </c>
      <c r="O1857" s="5" t="s">
        <v>347</v>
      </c>
      <c r="P1857" s="16">
        <v>0</v>
      </c>
      <c r="Q1857" s="16">
        <v>0</v>
      </c>
      <c r="R1857" s="5" t="str">
        <f t="shared" si="305"/>
        <v>902-2024-02-29</v>
      </c>
    </row>
    <row r="1858" spans="1:18" x14ac:dyDescent="0.3">
      <c r="A1858" s="26">
        <v>902</v>
      </c>
      <c r="B1858" s="23" t="s">
        <v>533</v>
      </c>
      <c r="C1858" s="5" t="s">
        <v>55</v>
      </c>
      <c r="D1858" s="5" t="s">
        <v>18</v>
      </c>
      <c r="E1858" s="5" t="s">
        <v>9</v>
      </c>
      <c r="F1858" s="6">
        <v>45382</v>
      </c>
      <c r="G1858" s="5">
        <f t="shared" ref="G1858:G1921" si="310">YEAR(F1858)</f>
        <v>2024</v>
      </c>
      <c r="H1858" s="5" t="str">
        <f t="shared" ref="H1858:H1921" si="311">PROPER(TEXT(F1858,"mmmm"))</f>
        <v>Marzo</v>
      </c>
      <c r="I1858" s="6" t="str">
        <f t="shared" si="304"/>
        <v>2024-1</v>
      </c>
      <c r="J1858" s="11">
        <v>58</v>
      </c>
      <c r="K1858" s="9">
        <v>60</v>
      </c>
      <c r="L1858" s="15">
        <f t="shared" si="308"/>
        <v>1.0344827586206897</v>
      </c>
      <c r="M1858" s="15">
        <f t="shared" si="309"/>
        <v>1.0344827586206897</v>
      </c>
      <c r="N1858" s="5" t="s">
        <v>347</v>
      </c>
      <c r="O1858" s="5" t="s">
        <v>347</v>
      </c>
      <c r="P1858" s="16">
        <v>0</v>
      </c>
      <c r="Q1858" s="16">
        <v>0</v>
      </c>
      <c r="R1858" s="5" t="str">
        <f t="shared" si="305"/>
        <v>902-2024-03-31</v>
      </c>
    </row>
    <row r="1859" spans="1:18" x14ac:dyDescent="0.3">
      <c r="A1859" s="26">
        <v>902</v>
      </c>
      <c r="B1859" s="23" t="s">
        <v>533</v>
      </c>
      <c r="C1859" s="5" t="s">
        <v>55</v>
      </c>
      <c r="D1859" s="5" t="s">
        <v>18</v>
      </c>
      <c r="E1859" s="5" t="s">
        <v>9</v>
      </c>
      <c r="F1859" s="6">
        <v>45412</v>
      </c>
      <c r="G1859" s="5">
        <f t="shared" si="310"/>
        <v>2024</v>
      </c>
      <c r="H1859" s="5" t="str">
        <f t="shared" si="311"/>
        <v>Abril</v>
      </c>
      <c r="I1859" s="6" t="str">
        <f t="shared" si="304"/>
        <v>2024-1</v>
      </c>
      <c r="J1859" s="11">
        <v>45</v>
      </c>
      <c r="K1859" s="9">
        <v>42</v>
      </c>
      <c r="L1859" s="15">
        <f t="shared" si="308"/>
        <v>0.93333333333333335</v>
      </c>
      <c r="M1859" s="15">
        <f t="shared" si="309"/>
        <v>0.93333333333333335</v>
      </c>
      <c r="N1859" s="5" t="s">
        <v>347</v>
      </c>
      <c r="O1859" s="5" t="s">
        <v>347</v>
      </c>
      <c r="P1859" s="16">
        <v>0</v>
      </c>
      <c r="Q1859" s="16">
        <v>0</v>
      </c>
      <c r="R1859" s="5" t="str">
        <f t="shared" si="305"/>
        <v>902-2024-04-30</v>
      </c>
    </row>
    <row r="1860" spans="1:18" x14ac:dyDescent="0.3">
      <c r="A1860" s="26">
        <v>902</v>
      </c>
      <c r="B1860" s="23" t="s">
        <v>533</v>
      </c>
      <c r="C1860" s="5" t="s">
        <v>55</v>
      </c>
      <c r="D1860" s="5" t="s">
        <v>18</v>
      </c>
      <c r="E1860" s="5" t="s">
        <v>9</v>
      </c>
      <c r="F1860" s="6">
        <v>45443</v>
      </c>
      <c r="G1860" s="5">
        <f t="shared" si="310"/>
        <v>2024</v>
      </c>
      <c r="H1860" s="5" t="str">
        <f t="shared" si="311"/>
        <v>Mayo</v>
      </c>
      <c r="I1860" s="6" t="str">
        <f t="shared" ref="I1860:I1923" si="312">IF(OR(H1860="Enero",H1860="Febrero",H1860="Marzo",H1860="Abril",H1860="Mayo",H1860="Junio"),G1860&amp;"-1",IF(OR(H1860="Julio",H1860="Agosto",H1860="Septiembre",H1860="Octubre",H1860="Noviembre",H1860="Diciembre"),G1860&amp;"-2"))</f>
        <v>2024-1</v>
      </c>
      <c r="J1860" s="11">
        <v>52</v>
      </c>
      <c r="K1860" s="9">
        <v>52</v>
      </c>
      <c r="L1860" s="15">
        <f t="shared" si="308"/>
        <v>1</v>
      </c>
      <c r="M1860" s="15">
        <f t="shared" si="309"/>
        <v>1</v>
      </c>
      <c r="N1860" s="5" t="s">
        <v>347</v>
      </c>
      <c r="O1860" s="5" t="s">
        <v>347</v>
      </c>
      <c r="P1860" s="16">
        <v>0</v>
      </c>
      <c r="Q1860" s="16">
        <v>0</v>
      </c>
      <c r="R1860" s="5" t="str">
        <f t="shared" ref="R1860:R1923" si="313">A1860&amp;"-"&amp;YEAR(F1860)&amp;"-"&amp;IF(LEN(MONTH(F1860))=1,"0"&amp;MONTH(F1860),MONTH(F1860))&amp;"-"&amp;DAY(F1860)</f>
        <v>902-2024-05-31</v>
      </c>
    </row>
    <row r="1861" spans="1:18" x14ac:dyDescent="0.3">
      <c r="A1861" s="26">
        <v>902</v>
      </c>
      <c r="B1861" s="23" t="s">
        <v>533</v>
      </c>
      <c r="C1861" s="5" t="s">
        <v>55</v>
      </c>
      <c r="D1861" s="5" t="s">
        <v>18</v>
      </c>
      <c r="E1861" s="5" t="s">
        <v>9</v>
      </c>
      <c r="F1861" s="6">
        <v>45473</v>
      </c>
      <c r="G1861" s="5">
        <f t="shared" si="310"/>
        <v>2024</v>
      </c>
      <c r="H1861" s="5" t="str">
        <f t="shared" si="311"/>
        <v>Junio</v>
      </c>
      <c r="I1861" s="6" t="str">
        <f t="shared" si="312"/>
        <v>2024-1</v>
      </c>
      <c r="J1861" s="11">
        <v>58</v>
      </c>
      <c r="K1861" s="9">
        <v>60</v>
      </c>
      <c r="L1861" s="15">
        <f t="shared" si="308"/>
        <v>1.0344827586206897</v>
      </c>
      <c r="M1861" s="15">
        <f t="shared" si="309"/>
        <v>1.0344827586206897</v>
      </c>
      <c r="N1861" s="5" t="s">
        <v>347</v>
      </c>
      <c r="O1861" s="5" t="s">
        <v>347</v>
      </c>
      <c r="P1861" s="16">
        <v>0</v>
      </c>
      <c r="Q1861" s="16">
        <v>0</v>
      </c>
      <c r="R1861" s="5" t="str">
        <f t="shared" si="313"/>
        <v>902-2024-06-30</v>
      </c>
    </row>
    <row r="1862" spans="1:18" x14ac:dyDescent="0.3">
      <c r="A1862" s="26">
        <v>902</v>
      </c>
      <c r="B1862" s="23" t="s">
        <v>533</v>
      </c>
      <c r="C1862" s="5" t="s">
        <v>55</v>
      </c>
      <c r="D1862" s="5" t="s">
        <v>18</v>
      </c>
      <c r="E1862" s="5" t="s">
        <v>9</v>
      </c>
      <c r="F1862" s="6">
        <v>45504</v>
      </c>
      <c r="G1862" s="5">
        <f t="shared" si="310"/>
        <v>2024</v>
      </c>
      <c r="H1862" s="5" t="str">
        <f t="shared" si="311"/>
        <v>Julio</v>
      </c>
      <c r="I1862" s="6" t="str">
        <f t="shared" si="312"/>
        <v>2024-2</v>
      </c>
      <c r="J1862" s="11">
        <v>72</v>
      </c>
      <c r="K1862" s="9">
        <v>72</v>
      </c>
      <c r="L1862" s="15">
        <f t="shared" ref="L1862:L1893" si="314">IFERROR(IF((K1862/J1862)&gt;1.3,1.3,K1862/J1862),"")</f>
        <v>1</v>
      </c>
      <c r="M1862" s="15">
        <f t="shared" ref="M1862:M1893" si="315">IFERROR(IF((K1862/J1862)&gt;K1862/J1862,1.3,K1862/J1862),"")</f>
        <v>1</v>
      </c>
      <c r="N1862" s="5" t="s">
        <v>347</v>
      </c>
      <c r="O1862" s="5" t="s">
        <v>347</v>
      </c>
      <c r="P1862" s="16">
        <v>0</v>
      </c>
      <c r="Q1862" s="16">
        <v>0</v>
      </c>
      <c r="R1862" s="5" t="str">
        <f t="shared" si="313"/>
        <v>902-2024-07-31</v>
      </c>
    </row>
    <row r="1863" spans="1:18" x14ac:dyDescent="0.3">
      <c r="A1863" s="26">
        <v>902</v>
      </c>
      <c r="B1863" s="23" t="s">
        <v>533</v>
      </c>
      <c r="C1863" s="5" t="s">
        <v>55</v>
      </c>
      <c r="D1863" s="5" t="s">
        <v>18</v>
      </c>
      <c r="E1863" s="5" t="s">
        <v>9</v>
      </c>
      <c r="F1863" s="6">
        <v>45535</v>
      </c>
      <c r="G1863" s="5">
        <f t="shared" si="310"/>
        <v>2024</v>
      </c>
      <c r="H1863" s="5" t="str">
        <f t="shared" si="311"/>
        <v>Agosto</v>
      </c>
      <c r="I1863" s="6" t="str">
        <f t="shared" si="312"/>
        <v>2024-2</v>
      </c>
      <c r="J1863" s="11">
        <v>80</v>
      </c>
      <c r="K1863" s="9">
        <v>89</v>
      </c>
      <c r="L1863" s="15">
        <f t="shared" si="314"/>
        <v>1.1125</v>
      </c>
      <c r="M1863" s="15">
        <f t="shared" si="315"/>
        <v>1.1125</v>
      </c>
      <c r="N1863" s="5" t="s">
        <v>347</v>
      </c>
      <c r="O1863" s="5" t="s">
        <v>347</v>
      </c>
      <c r="P1863" s="16">
        <v>0</v>
      </c>
      <c r="Q1863" s="16">
        <v>0</v>
      </c>
      <c r="R1863" s="5" t="str">
        <f t="shared" si="313"/>
        <v>902-2024-08-31</v>
      </c>
    </row>
    <row r="1864" spans="1:18" x14ac:dyDescent="0.3">
      <c r="A1864" s="26">
        <v>902</v>
      </c>
      <c r="B1864" s="23" t="s">
        <v>533</v>
      </c>
      <c r="C1864" s="5" t="s">
        <v>55</v>
      </c>
      <c r="D1864" s="5" t="s">
        <v>18</v>
      </c>
      <c r="E1864" s="5" t="s">
        <v>9</v>
      </c>
      <c r="F1864" s="6">
        <v>45565</v>
      </c>
      <c r="G1864" s="5">
        <f t="shared" si="310"/>
        <v>2024</v>
      </c>
      <c r="H1864" s="5" t="str">
        <f t="shared" si="311"/>
        <v>Septiembre</v>
      </c>
      <c r="I1864" s="6" t="str">
        <f t="shared" si="312"/>
        <v>2024-2</v>
      </c>
      <c r="J1864" s="11">
        <v>91</v>
      </c>
      <c r="K1864" s="9">
        <v>93</v>
      </c>
      <c r="L1864" s="15">
        <f t="shared" si="314"/>
        <v>1.0219780219780219</v>
      </c>
      <c r="M1864" s="15">
        <f t="shared" si="315"/>
        <v>1.0219780219780219</v>
      </c>
      <c r="N1864" s="5" t="s">
        <v>347</v>
      </c>
      <c r="O1864" s="5" t="s">
        <v>347</v>
      </c>
      <c r="P1864" s="16">
        <v>0</v>
      </c>
      <c r="Q1864" s="16">
        <v>0</v>
      </c>
      <c r="R1864" s="5" t="str">
        <f t="shared" si="313"/>
        <v>902-2024-09-30</v>
      </c>
    </row>
    <row r="1865" spans="1:18" x14ac:dyDescent="0.3">
      <c r="A1865" s="26">
        <v>902</v>
      </c>
      <c r="B1865" s="23" t="s">
        <v>533</v>
      </c>
      <c r="C1865" s="5" t="s">
        <v>55</v>
      </c>
      <c r="D1865" s="5" t="s">
        <v>18</v>
      </c>
      <c r="E1865" s="5" t="s">
        <v>9</v>
      </c>
      <c r="F1865" s="6">
        <v>45596</v>
      </c>
      <c r="G1865" s="5">
        <f t="shared" si="310"/>
        <v>2024</v>
      </c>
      <c r="H1865" s="5" t="str">
        <f t="shared" si="311"/>
        <v>Octubre</v>
      </c>
      <c r="I1865" s="6" t="str">
        <f t="shared" si="312"/>
        <v>2024-2</v>
      </c>
      <c r="J1865" s="11">
        <v>91</v>
      </c>
      <c r="K1865" s="9">
        <v>93</v>
      </c>
      <c r="L1865" s="15">
        <f t="shared" si="314"/>
        <v>1.0219780219780219</v>
      </c>
      <c r="M1865" s="15">
        <f t="shared" si="315"/>
        <v>1.0219780219780219</v>
      </c>
      <c r="N1865" s="5" t="s">
        <v>347</v>
      </c>
      <c r="O1865" s="5" t="s">
        <v>347</v>
      </c>
      <c r="P1865" s="16">
        <v>0</v>
      </c>
      <c r="Q1865" s="16">
        <v>0</v>
      </c>
      <c r="R1865" s="5" t="str">
        <f t="shared" si="313"/>
        <v>902-2024-10-31</v>
      </c>
    </row>
    <row r="1866" spans="1:18" x14ac:dyDescent="0.3">
      <c r="A1866" s="26">
        <v>902</v>
      </c>
      <c r="B1866" s="23" t="s">
        <v>533</v>
      </c>
      <c r="C1866" s="5" t="s">
        <v>55</v>
      </c>
      <c r="D1866" s="5" t="s">
        <v>18</v>
      </c>
      <c r="E1866" s="5" t="s">
        <v>9</v>
      </c>
      <c r="F1866" s="6">
        <v>45626</v>
      </c>
      <c r="G1866" s="5">
        <f t="shared" si="310"/>
        <v>2024</v>
      </c>
      <c r="H1866" s="5" t="str">
        <f t="shared" si="311"/>
        <v>Noviembre</v>
      </c>
      <c r="I1866" s="6" t="str">
        <f t="shared" si="312"/>
        <v>2024-2</v>
      </c>
      <c r="J1866" s="11">
        <v>99</v>
      </c>
      <c r="K1866" s="9">
        <v>99</v>
      </c>
      <c r="L1866" s="15">
        <f t="shared" si="314"/>
        <v>1</v>
      </c>
      <c r="M1866" s="15">
        <f t="shared" si="315"/>
        <v>1</v>
      </c>
      <c r="N1866" s="5" t="s">
        <v>347</v>
      </c>
      <c r="O1866" s="5" t="s">
        <v>347</v>
      </c>
      <c r="P1866" s="16">
        <v>0</v>
      </c>
      <c r="Q1866" s="16">
        <v>0</v>
      </c>
      <c r="R1866" s="5" t="str">
        <f t="shared" si="313"/>
        <v>902-2024-11-30</v>
      </c>
    </row>
    <row r="1867" spans="1:18" x14ac:dyDescent="0.3">
      <c r="A1867" s="26">
        <v>902</v>
      </c>
      <c r="B1867" s="23" t="s">
        <v>533</v>
      </c>
      <c r="C1867" s="5" t="s">
        <v>55</v>
      </c>
      <c r="D1867" s="5" t="s">
        <v>18</v>
      </c>
      <c r="E1867" s="5" t="s">
        <v>9</v>
      </c>
      <c r="F1867" s="6">
        <v>45657</v>
      </c>
      <c r="G1867" s="5">
        <f t="shared" si="310"/>
        <v>2024</v>
      </c>
      <c r="H1867" s="5" t="str">
        <f t="shared" si="311"/>
        <v>Diciembre</v>
      </c>
      <c r="I1867" s="6" t="str">
        <f t="shared" si="312"/>
        <v>2024-2</v>
      </c>
      <c r="J1867" s="11">
        <v>100</v>
      </c>
      <c r="K1867" s="9">
        <v>100</v>
      </c>
      <c r="L1867" s="15">
        <f t="shared" si="314"/>
        <v>1</v>
      </c>
      <c r="M1867" s="15">
        <f t="shared" si="315"/>
        <v>1</v>
      </c>
      <c r="N1867" s="5" t="s">
        <v>347</v>
      </c>
      <c r="O1867" s="5" t="s">
        <v>347</v>
      </c>
      <c r="P1867" s="16">
        <v>0</v>
      </c>
      <c r="Q1867" s="16">
        <v>0</v>
      </c>
      <c r="R1867" s="5" t="str">
        <f t="shared" si="313"/>
        <v>902-2024-12-31</v>
      </c>
    </row>
    <row r="1868" spans="1:18" x14ac:dyDescent="0.3">
      <c r="A1868" s="26">
        <v>903</v>
      </c>
      <c r="B1868" s="23" t="s">
        <v>534</v>
      </c>
      <c r="C1868" s="5" t="s">
        <v>43</v>
      </c>
      <c r="D1868" s="5" t="s">
        <v>18</v>
      </c>
      <c r="E1868" s="5" t="s">
        <v>9</v>
      </c>
      <c r="F1868" s="6">
        <v>45322</v>
      </c>
      <c r="G1868" s="5">
        <f t="shared" si="310"/>
        <v>2024</v>
      </c>
      <c r="H1868" s="5" t="str">
        <f t="shared" si="311"/>
        <v>Enero</v>
      </c>
      <c r="I1868" s="6" t="str">
        <f t="shared" si="312"/>
        <v>2024-1</v>
      </c>
      <c r="J1868" s="11">
        <v>24</v>
      </c>
      <c r="K1868" s="9">
        <v>31</v>
      </c>
      <c r="L1868" s="15">
        <f t="shared" si="314"/>
        <v>1.2916666666666667</v>
      </c>
      <c r="M1868" s="15">
        <f t="shared" si="315"/>
        <v>1.2916666666666667</v>
      </c>
      <c r="N1868" s="5" t="s">
        <v>347</v>
      </c>
      <c r="O1868" s="5" t="s">
        <v>347</v>
      </c>
      <c r="P1868" s="16">
        <v>0</v>
      </c>
      <c r="Q1868" s="16">
        <v>0</v>
      </c>
      <c r="R1868" s="5" t="str">
        <f t="shared" si="313"/>
        <v>903-2024-01-31</v>
      </c>
    </row>
    <row r="1869" spans="1:18" x14ac:dyDescent="0.3">
      <c r="A1869" s="26">
        <v>903</v>
      </c>
      <c r="B1869" s="23" t="s">
        <v>534</v>
      </c>
      <c r="C1869" s="5" t="s">
        <v>43</v>
      </c>
      <c r="D1869" s="5" t="s">
        <v>18</v>
      </c>
      <c r="E1869" s="5" t="s">
        <v>9</v>
      </c>
      <c r="F1869" s="6">
        <v>45351</v>
      </c>
      <c r="G1869" s="5">
        <f t="shared" si="310"/>
        <v>2024</v>
      </c>
      <c r="H1869" s="5" t="str">
        <f t="shared" si="311"/>
        <v>Febrero</v>
      </c>
      <c r="I1869" s="6" t="str">
        <f t="shared" si="312"/>
        <v>2024-1</v>
      </c>
      <c r="J1869" s="11">
        <v>24</v>
      </c>
      <c r="K1869" s="9">
        <v>31</v>
      </c>
      <c r="L1869" s="15">
        <f t="shared" si="314"/>
        <v>1.2916666666666667</v>
      </c>
      <c r="M1869" s="15">
        <f t="shared" si="315"/>
        <v>1.2916666666666667</v>
      </c>
      <c r="N1869" s="5" t="s">
        <v>347</v>
      </c>
      <c r="O1869" s="5" t="s">
        <v>347</v>
      </c>
      <c r="P1869" s="16">
        <v>0</v>
      </c>
      <c r="Q1869" s="16">
        <v>0</v>
      </c>
      <c r="R1869" s="5" t="str">
        <f t="shared" si="313"/>
        <v>903-2024-02-29</v>
      </c>
    </row>
    <row r="1870" spans="1:18" x14ac:dyDescent="0.3">
      <c r="A1870" s="26">
        <v>903</v>
      </c>
      <c r="B1870" s="23" t="s">
        <v>534</v>
      </c>
      <c r="C1870" s="5" t="s">
        <v>43</v>
      </c>
      <c r="D1870" s="5" t="s">
        <v>18</v>
      </c>
      <c r="E1870" s="5" t="s">
        <v>9</v>
      </c>
      <c r="F1870" s="6">
        <v>45382</v>
      </c>
      <c r="G1870" s="5">
        <f t="shared" si="310"/>
        <v>2024</v>
      </c>
      <c r="H1870" s="5" t="str">
        <f t="shared" si="311"/>
        <v>Marzo</v>
      </c>
      <c r="I1870" s="6" t="str">
        <f t="shared" si="312"/>
        <v>2024-1</v>
      </c>
      <c r="J1870" s="11">
        <v>31</v>
      </c>
      <c r="K1870" s="9">
        <v>24</v>
      </c>
      <c r="L1870" s="15">
        <f t="shared" si="314"/>
        <v>0.77419354838709675</v>
      </c>
      <c r="M1870" s="15">
        <f t="shared" si="315"/>
        <v>0.77419354838709675</v>
      </c>
      <c r="N1870" s="5" t="s">
        <v>347</v>
      </c>
      <c r="O1870" s="5" t="s">
        <v>347</v>
      </c>
      <c r="P1870" s="16">
        <v>0</v>
      </c>
      <c r="Q1870" s="16">
        <v>0</v>
      </c>
      <c r="R1870" s="5" t="str">
        <f t="shared" si="313"/>
        <v>903-2024-03-31</v>
      </c>
    </row>
    <row r="1871" spans="1:18" x14ac:dyDescent="0.3">
      <c r="A1871" s="26">
        <v>903</v>
      </c>
      <c r="B1871" s="23" t="s">
        <v>534</v>
      </c>
      <c r="C1871" s="5" t="s">
        <v>43</v>
      </c>
      <c r="D1871" s="5" t="s">
        <v>18</v>
      </c>
      <c r="E1871" s="5" t="s">
        <v>9</v>
      </c>
      <c r="F1871" s="6">
        <v>45412</v>
      </c>
      <c r="G1871" s="5">
        <f t="shared" si="310"/>
        <v>2024</v>
      </c>
      <c r="H1871" s="5" t="str">
        <f t="shared" si="311"/>
        <v>Abril</v>
      </c>
      <c r="I1871" s="6" t="str">
        <f t="shared" si="312"/>
        <v>2024-1</v>
      </c>
      <c r="J1871" s="11">
        <v>36</v>
      </c>
      <c r="K1871" s="9">
        <v>34</v>
      </c>
      <c r="L1871" s="15">
        <f t="shared" si="314"/>
        <v>0.94444444444444442</v>
      </c>
      <c r="M1871" s="15">
        <f t="shared" si="315"/>
        <v>0.94444444444444442</v>
      </c>
      <c r="N1871" s="5" t="s">
        <v>347</v>
      </c>
      <c r="O1871" s="5" t="s">
        <v>347</v>
      </c>
      <c r="P1871" s="16">
        <v>0</v>
      </c>
      <c r="Q1871" s="16">
        <v>0</v>
      </c>
      <c r="R1871" s="5" t="str">
        <f t="shared" si="313"/>
        <v>903-2024-04-30</v>
      </c>
    </row>
    <row r="1872" spans="1:18" x14ac:dyDescent="0.3">
      <c r="A1872" s="26">
        <v>903</v>
      </c>
      <c r="B1872" s="23" t="s">
        <v>534</v>
      </c>
      <c r="C1872" s="5" t="s">
        <v>43</v>
      </c>
      <c r="D1872" s="5" t="s">
        <v>18</v>
      </c>
      <c r="E1872" s="5" t="s">
        <v>9</v>
      </c>
      <c r="F1872" s="6">
        <v>45443</v>
      </c>
      <c r="G1872" s="5">
        <f t="shared" si="310"/>
        <v>2024</v>
      </c>
      <c r="H1872" s="5" t="str">
        <f t="shared" si="311"/>
        <v>Mayo</v>
      </c>
      <c r="I1872" s="6" t="str">
        <f t="shared" si="312"/>
        <v>2024-1</v>
      </c>
      <c r="J1872" s="11">
        <v>37</v>
      </c>
      <c r="K1872" s="9">
        <v>37</v>
      </c>
      <c r="L1872" s="15">
        <f t="shared" si="314"/>
        <v>1</v>
      </c>
      <c r="M1872" s="15">
        <f t="shared" si="315"/>
        <v>1</v>
      </c>
      <c r="N1872" s="5" t="s">
        <v>347</v>
      </c>
      <c r="O1872" s="5" t="s">
        <v>347</v>
      </c>
      <c r="P1872" s="16">
        <v>0</v>
      </c>
      <c r="Q1872" s="16">
        <v>0</v>
      </c>
      <c r="R1872" s="5" t="str">
        <f t="shared" si="313"/>
        <v>903-2024-05-31</v>
      </c>
    </row>
    <row r="1873" spans="1:18" x14ac:dyDescent="0.3">
      <c r="A1873" s="26">
        <v>903</v>
      </c>
      <c r="B1873" s="23" t="s">
        <v>534</v>
      </c>
      <c r="C1873" s="5" t="s">
        <v>43</v>
      </c>
      <c r="D1873" s="5" t="s">
        <v>18</v>
      </c>
      <c r="E1873" s="5" t="s">
        <v>9</v>
      </c>
      <c r="F1873" s="6">
        <v>45473</v>
      </c>
      <c r="G1873" s="5">
        <f t="shared" si="310"/>
        <v>2024</v>
      </c>
      <c r="H1873" s="5" t="str">
        <f t="shared" si="311"/>
        <v>Junio</v>
      </c>
      <c r="I1873" s="6" t="str">
        <f t="shared" si="312"/>
        <v>2024-1</v>
      </c>
      <c r="J1873" s="11">
        <v>37</v>
      </c>
      <c r="K1873" s="9">
        <v>37</v>
      </c>
      <c r="L1873" s="15">
        <f t="shared" si="314"/>
        <v>1</v>
      </c>
      <c r="M1873" s="15">
        <f t="shared" si="315"/>
        <v>1</v>
      </c>
      <c r="N1873" s="5" t="s">
        <v>347</v>
      </c>
      <c r="O1873" s="5" t="s">
        <v>347</v>
      </c>
      <c r="P1873" s="16">
        <v>0</v>
      </c>
      <c r="Q1873" s="16">
        <v>0</v>
      </c>
      <c r="R1873" s="5" t="str">
        <f t="shared" si="313"/>
        <v>903-2024-06-30</v>
      </c>
    </row>
    <row r="1874" spans="1:18" x14ac:dyDescent="0.3">
      <c r="A1874" s="26">
        <v>903</v>
      </c>
      <c r="B1874" s="23" t="s">
        <v>534</v>
      </c>
      <c r="C1874" s="5" t="s">
        <v>43</v>
      </c>
      <c r="D1874" s="5" t="s">
        <v>18</v>
      </c>
      <c r="E1874" s="5" t="s">
        <v>9</v>
      </c>
      <c r="F1874" s="6">
        <v>45504</v>
      </c>
      <c r="G1874" s="5">
        <f t="shared" si="310"/>
        <v>2024</v>
      </c>
      <c r="H1874" s="5" t="str">
        <f t="shared" si="311"/>
        <v>Julio</v>
      </c>
      <c r="I1874" s="6" t="str">
        <f t="shared" si="312"/>
        <v>2024-2</v>
      </c>
      <c r="J1874" s="11">
        <v>40</v>
      </c>
      <c r="K1874" s="9">
        <v>40</v>
      </c>
      <c r="L1874" s="15">
        <f t="shared" si="314"/>
        <v>1</v>
      </c>
      <c r="M1874" s="15">
        <f t="shared" si="315"/>
        <v>1</v>
      </c>
      <c r="N1874" s="5" t="s">
        <v>347</v>
      </c>
      <c r="O1874" s="5" t="s">
        <v>347</v>
      </c>
      <c r="P1874" s="16">
        <v>0</v>
      </c>
      <c r="Q1874" s="16">
        <v>0</v>
      </c>
      <c r="R1874" s="5" t="str">
        <f t="shared" si="313"/>
        <v>903-2024-07-31</v>
      </c>
    </row>
    <row r="1875" spans="1:18" x14ac:dyDescent="0.3">
      <c r="A1875" s="26">
        <v>903</v>
      </c>
      <c r="B1875" s="23" t="s">
        <v>534</v>
      </c>
      <c r="C1875" s="5" t="s">
        <v>43</v>
      </c>
      <c r="D1875" s="5" t="s">
        <v>18</v>
      </c>
      <c r="E1875" s="5" t="s">
        <v>9</v>
      </c>
      <c r="F1875" s="6">
        <v>45535</v>
      </c>
      <c r="G1875" s="5">
        <f t="shared" si="310"/>
        <v>2024</v>
      </c>
      <c r="H1875" s="5" t="str">
        <f t="shared" si="311"/>
        <v>Agosto</v>
      </c>
      <c r="I1875" s="6" t="str">
        <f t="shared" si="312"/>
        <v>2024-2</v>
      </c>
      <c r="J1875" s="11">
        <v>40</v>
      </c>
      <c r="K1875" s="9">
        <v>40</v>
      </c>
      <c r="L1875" s="15">
        <f t="shared" si="314"/>
        <v>1</v>
      </c>
      <c r="M1875" s="15">
        <f t="shared" si="315"/>
        <v>1</v>
      </c>
      <c r="N1875" s="5" t="s">
        <v>347</v>
      </c>
      <c r="O1875" s="5" t="s">
        <v>347</v>
      </c>
      <c r="P1875" s="16">
        <v>0</v>
      </c>
      <c r="Q1875" s="16">
        <v>0</v>
      </c>
      <c r="R1875" s="5" t="str">
        <f t="shared" si="313"/>
        <v>903-2024-08-31</v>
      </c>
    </row>
    <row r="1876" spans="1:18" x14ac:dyDescent="0.3">
      <c r="A1876" s="26">
        <v>903</v>
      </c>
      <c r="B1876" s="23" t="s">
        <v>534</v>
      </c>
      <c r="C1876" s="5" t="s">
        <v>43</v>
      </c>
      <c r="D1876" s="5" t="s">
        <v>18</v>
      </c>
      <c r="E1876" s="5" t="s">
        <v>9</v>
      </c>
      <c r="F1876" s="6">
        <v>45565</v>
      </c>
      <c r="G1876" s="5">
        <f t="shared" si="310"/>
        <v>2024</v>
      </c>
      <c r="H1876" s="5" t="str">
        <f t="shared" si="311"/>
        <v>Septiembre</v>
      </c>
      <c r="I1876" s="6" t="str">
        <f t="shared" si="312"/>
        <v>2024-2</v>
      </c>
      <c r="J1876" s="11">
        <v>49</v>
      </c>
      <c r="K1876" s="9">
        <v>49</v>
      </c>
      <c r="L1876" s="15">
        <f t="shared" si="314"/>
        <v>1</v>
      </c>
      <c r="M1876" s="15">
        <f t="shared" si="315"/>
        <v>1</v>
      </c>
      <c r="N1876" s="5" t="s">
        <v>347</v>
      </c>
      <c r="O1876" s="5" t="s">
        <v>347</v>
      </c>
      <c r="P1876" s="16">
        <v>0</v>
      </c>
      <c r="Q1876" s="16">
        <v>0</v>
      </c>
      <c r="R1876" s="5" t="str">
        <f t="shared" si="313"/>
        <v>903-2024-09-30</v>
      </c>
    </row>
    <row r="1877" spans="1:18" x14ac:dyDescent="0.3">
      <c r="A1877" s="26">
        <v>903</v>
      </c>
      <c r="B1877" s="23" t="s">
        <v>534</v>
      </c>
      <c r="C1877" s="5" t="s">
        <v>43</v>
      </c>
      <c r="D1877" s="5" t="s">
        <v>18</v>
      </c>
      <c r="E1877" s="5" t="s">
        <v>9</v>
      </c>
      <c r="F1877" s="6">
        <v>45596</v>
      </c>
      <c r="G1877" s="5">
        <f t="shared" si="310"/>
        <v>2024</v>
      </c>
      <c r="H1877" s="5" t="str">
        <f t="shared" si="311"/>
        <v>Octubre</v>
      </c>
      <c r="I1877" s="6" t="str">
        <f t="shared" si="312"/>
        <v>2024-2</v>
      </c>
      <c r="J1877" s="11">
        <v>49</v>
      </c>
      <c r="K1877" s="9">
        <v>49</v>
      </c>
      <c r="L1877" s="15">
        <f t="shared" si="314"/>
        <v>1</v>
      </c>
      <c r="M1877" s="15">
        <f t="shared" si="315"/>
        <v>1</v>
      </c>
      <c r="N1877" s="5" t="s">
        <v>347</v>
      </c>
      <c r="O1877" s="5" t="s">
        <v>347</v>
      </c>
      <c r="P1877" s="16">
        <v>0</v>
      </c>
      <c r="Q1877" s="16">
        <v>0</v>
      </c>
      <c r="R1877" s="5" t="str">
        <f t="shared" si="313"/>
        <v>903-2024-10-31</v>
      </c>
    </row>
    <row r="1878" spans="1:18" x14ac:dyDescent="0.3">
      <c r="A1878" s="26">
        <v>903</v>
      </c>
      <c r="B1878" s="23" t="s">
        <v>534</v>
      </c>
      <c r="C1878" s="5" t="s">
        <v>43</v>
      </c>
      <c r="D1878" s="5" t="s">
        <v>18</v>
      </c>
      <c r="E1878" s="5" t="s">
        <v>9</v>
      </c>
      <c r="F1878" s="6">
        <v>45626</v>
      </c>
      <c r="G1878" s="5">
        <f t="shared" si="310"/>
        <v>2024</v>
      </c>
      <c r="H1878" s="5" t="str">
        <f t="shared" si="311"/>
        <v>Noviembre</v>
      </c>
      <c r="I1878" s="6" t="str">
        <f t="shared" si="312"/>
        <v>2024-2</v>
      </c>
      <c r="J1878" s="11">
        <v>49</v>
      </c>
      <c r="K1878" s="9">
        <v>49</v>
      </c>
      <c r="L1878" s="15">
        <f t="shared" si="314"/>
        <v>1</v>
      </c>
      <c r="M1878" s="15">
        <f t="shared" si="315"/>
        <v>1</v>
      </c>
      <c r="N1878" s="5" t="s">
        <v>347</v>
      </c>
      <c r="O1878" s="5" t="s">
        <v>347</v>
      </c>
      <c r="P1878" s="16">
        <v>0</v>
      </c>
      <c r="Q1878" s="16">
        <v>0</v>
      </c>
      <c r="R1878" s="5" t="str">
        <f t="shared" si="313"/>
        <v>903-2024-11-30</v>
      </c>
    </row>
    <row r="1879" spans="1:18" x14ac:dyDescent="0.3">
      <c r="A1879" s="26">
        <v>903</v>
      </c>
      <c r="B1879" s="23" t="s">
        <v>534</v>
      </c>
      <c r="C1879" s="5" t="s">
        <v>43</v>
      </c>
      <c r="D1879" s="5" t="s">
        <v>18</v>
      </c>
      <c r="E1879" s="5" t="s">
        <v>9</v>
      </c>
      <c r="F1879" s="6">
        <v>45657</v>
      </c>
      <c r="G1879" s="5">
        <f t="shared" si="310"/>
        <v>2024</v>
      </c>
      <c r="H1879" s="5" t="str">
        <f t="shared" si="311"/>
        <v>Diciembre</v>
      </c>
      <c r="I1879" s="6" t="str">
        <f t="shared" si="312"/>
        <v>2024-2</v>
      </c>
      <c r="J1879" s="11">
        <v>49</v>
      </c>
      <c r="K1879" s="9">
        <v>49</v>
      </c>
      <c r="L1879" s="15">
        <f t="shared" si="314"/>
        <v>1</v>
      </c>
      <c r="M1879" s="15">
        <f t="shared" si="315"/>
        <v>1</v>
      </c>
      <c r="N1879" s="5" t="s">
        <v>347</v>
      </c>
      <c r="O1879" s="5" t="s">
        <v>347</v>
      </c>
      <c r="P1879" s="16">
        <v>0</v>
      </c>
      <c r="Q1879" s="16">
        <v>0</v>
      </c>
      <c r="R1879" s="5" t="str">
        <f t="shared" si="313"/>
        <v>903-2024-12-31</v>
      </c>
    </row>
    <row r="1880" spans="1:18" x14ac:dyDescent="0.3">
      <c r="A1880" s="26">
        <v>904</v>
      </c>
      <c r="B1880" s="23" t="s">
        <v>535</v>
      </c>
      <c r="C1880" s="5" t="s">
        <v>214</v>
      </c>
      <c r="D1880" s="5" t="s">
        <v>18</v>
      </c>
      <c r="E1880" s="5" t="s">
        <v>9</v>
      </c>
      <c r="F1880" s="6">
        <v>45322</v>
      </c>
      <c r="G1880" s="5">
        <f t="shared" si="310"/>
        <v>2024</v>
      </c>
      <c r="H1880" s="5" t="str">
        <f t="shared" si="311"/>
        <v>Enero</v>
      </c>
      <c r="I1880" s="6" t="str">
        <f t="shared" si="312"/>
        <v>2024-1</v>
      </c>
      <c r="J1880" s="11">
        <v>42</v>
      </c>
      <c r="K1880" s="9">
        <v>42</v>
      </c>
      <c r="L1880" s="15">
        <f t="shared" si="314"/>
        <v>1</v>
      </c>
      <c r="M1880" s="15">
        <f t="shared" si="315"/>
        <v>1</v>
      </c>
      <c r="N1880" s="5" t="s">
        <v>347</v>
      </c>
      <c r="O1880" s="5" t="s">
        <v>347</v>
      </c>
      <c r="P1880" s="16">
        <v>0</v>
      </c>
      <c r="Q1880" s="16">
        <v>0</v>
      </c>
      <c r="R1880" s="5" t="str">
        <f t="shared" si="313"/>
        <v>904-2024-01-31</v>
      </c>
    </row>
    <row r="1881" spans="1:18" x14ac:dyDescent="0.3">
      <c r="A1881" s="26">
        <v>904</v>
      </c>
      <c r="B1881" s="23" t="s">
        <v>535</v>
      </c>
      <c r="C1881" s="5" t="s">
        <v>214</v>
      </c>
      <c r="D1881" s="5" t="s">
        <v>18</v>
      </c>
      <c r="E1881" s="5" t="s">
        <v>9</v>
      </c>
      <c r="F1881" s="6">
        <v>45351</v>
      </c>
      <c r="G1881" s="5">
        <f t="shared" si="310"/>
        <v>2024</v>
      </c>
      <c r="H1881" s="5" t="str">
        <f t="shared" si="311"/>
        <v>Febrero</v>
      </c>
      <c r="I1881" s="6" t="str">
        <f t="shared" si="312"/>
        <v>2024-1</v>
      </c>
      <c r="J1881" s="11">
        <v>42</v>
      </c>
      <c r="K1881" s="9">
        <v>41</v>
      </c>
      <c r="L1881" s="15">
        <f t="shared" si="314"/>
        <v>0.97619047619047616</v>
      </c>
      <c r="M1881" s="15">
        <f t="shared" si="315"/>
        <v>0.97619047619047616</v>
      </c>
      <c r="N1881" s="5" t="s">
        <v>347</v>
      </c>
      <c r="O1881" s="5" t="s">
        <v>347</v>
      </c>
      <c r="P1881" s="16">
        <v>0</v>
      </c>
      <c r="Q1881" s="16">
        <v>0</v>
      </c>
      <c r="R1881" s="5" t="str">
        <f t="shared" si="313"/>
        <v>904-2024-02-29</v>
      </c>
    </row>
    <row r="1882" spans="1:18" x14ac:dyDescent="0.3">
      <c r="A1882" s="26">
        <v>904</v>
      </c>
      <c r="B1882" s="23" t="s">
        <v>535</v>
      </c>
      <c r="C1882" s="5" t="s">
        <v>214</v>
      </c>
      <c r="D1882" s="5" t="s">
        <v>18</v>
      </c>
      <c r="E1882" s="5" t="s">
        <v>9</v>
      </c>
      <c r="F1882" s="6">
        <v>45382</v>
      </c>
      <c r="G1882" s="5">
        <f t="shared" si="310"/>
        <v>2024</v>
      </c>
      <c r="H1882" s="5" t="str">
        <f t="shared" si="311"/>
        <v>Marzo</v>
      </c>
      <c r="I1882" s="6" t="str">
        <f t="shared" si="312"/>
        <v>2024-1</v>
      </c>
      <c r="J1882" s="11">
        <v>40</v>
      </c>
      <c r="K1882" s="9">
        <v>44</v>
      </c>
      <c r="L1882" s="15">
        <f t="shared" si="314"/>
        <v>1.1000000000000001</v>
      </c>
      <c r="M1882" s="15">
        <f t="shared" si="315"/>
        <v>1.1000000000000001</v>
      </c>
      <c r="N1882" s="5" t="s">
        <v>347</v>
      </c>
      <c r="O1882" s="5" t="s">
        <v>347</v>
      </c>
      <c r="P1882" s="16">
        <v>0</v>
      </c>
      <c r="Q1882" s="16">
        <v>0</v>
      </c>
      <c r="R1882" s="5" t="str">
        <f t="shared" si="313"/>
        <v>904-2024-03-31</v>
      </c>
    </row>
    <row r="1883" spans="1:18" x14ac:dyDescent="0.3">
      <c r="A1883" s="26">
        <v>904</v>
      </c>
      <c r="B1883" s="23" t="s">
        <v>535</v>
      </c>
      <c r="C1883" s="5" t="s">
        <v>214</v>
      </c>
      <c r="D1883" s="5" t="s">
        <v>18</v>
      </c>
      <c r="E1883" s="5" t="s">
        <v>9</v>
      </c>
      <c r="F1883" s="6">
        <v>45412</v>
      </c>
      <c r="G1883" s="5">
        <f t="shared" si="310"/>
        <v>2024</v>
      </c>
      <c r="H1883" s="5" t="str">
        <f t="shared" si="311"/>
        <v>Abril</v>
      </c>
      <c r="I1883" s="6" t="str">
        <f t="shared" si="312"/>
        <v>2024-1</v>
      </c>
      <c r="J1883" s="11">
        <v>31</v>
      </c>
      <c r="K1883" s="9">
        <v>44</v>
      </c>
      <c r="L1883" s="15">
        <f t="shared" si="314"/>
        <v>1.3</v>
      </c>
      <c r="M1883" s="15">
        <f t="shared" si="315"/>
        <v>1.4193548387096775</v>
      </c>
      <c r="N1883" s="5" t="s">
        <v>347</v>
      </c>
      <c r="O1883" s="5" t="s">
        <v>347</v>
      </c>
      <c r="P1883" s="16">
        <v>0</v>
      </c>
      <c r="Q1883" s="16">
        <v>0</v>
      </c>
      <c r="R1883" s="5" t="str">
        <f t="shared" si="313"/>
        <v>904-2024-04-30</v>
      </c>
    </row>
    <row r="1884" spans="1:18" x14ac:dyDescent="0.3">
      <c r="A1884" s="26">
        <v>904</v>
      </c>
      <c r="B1884" s="23" t="s">
        <v>535</v>
      </c>
      <c r="C1884" s="5" t="s">
        <v>214</v>
      </c>
      <c r="D1884" s="5" t="s">
        <v>18</v>
      </c>
      <c r="E1884" s="5" t="s">
        <v>9</v>
      </c>
      <c r="F1884" s="6">
        <v>45443</v>
      </c>
      <c r="G1884" s="5">
        <f t="shared" si="310"/>
        <v>2024</v>
      </c>
      <c r="H1884" s="5" t="str">
        <f t="shared" si="311"/>
        <v>Mayo</v>
      </c>
      <c r="I1884" s="6" t="str">
        <f t="shared" si="312"/>
        <v>2024-1</v>
      </c>
      <c r="J1884" s="11">
        <v>40</v>
      </c>
      <c r="K1884" s="9">
        <v>44</v>
      </c>
      <c r="L1884" s="15">
        <f t="shared" si="314"/>
        <v>1.1000000000000001</v>
      </c>
      <c r="M1884" s="15">
        <f t="shared" si="315"/>
        <v>1.1000000000000001</v>
      </c>
      <c r="N1884" s="5" t="s">
        <v>347</v>
      </c>
      <c r="O1884" s="5" t="s">
        <v>347</v>
      </c>
      <c r="P1884" s="16">
        <v>0</v>
      </c>
      <c r="Q1884" s="16">
        <v>0</v>
      </c>
      <c r="R1884" s="5" t="str">
        <f t="shared" si="313"/>
        <v>904-2024-05-31</v>
      </c>
    </row>
    <row r="1885" spans="1:18" x14ac:dyDescent="0.3">
      <c r="A1885" s="26">
        <v>904</v>
      </c>
      <c r="B1885" s="23" t="s">
        <v>535</v>
      </c>
      <c r="C1885" s="5" t="s">
        <v>214</v>
      </c>
      <c r="D1885" s="5" t="s">
        <v>18</v>
      </c>
      <c r="E1885" s="5" t="s">
        <v>9</v>
      </c>
      <c r="F1885" s="6">
        <v>45473</v>
      </c>
      <c r="G1885" s="5">
        <f t="shared" si="310"/>
        <v>2024</v>
      </c>
      <c r="H1885" s="5" t="str">
        <f t="shared" si="311"/>
        <v>Junio</v>
      </c>
      <c r="I1885" s="6" t="str">
        <f t="shared" si="312"/>
        <v>2024-1</v>
      </c>
      <c r="J1885" s="11">
        <v>40</v>
      </c>
      <c r="K1885" s="9">
        <v>44</v>
      </c>
      <c r="L1885" s="15">
        <f t="shared" si="314"/>
        <v>1.1000000000000001</v>
      </c>
      <c r="M1885" s="15">
        <f t="shared" si="315"/>
        <v>1.1000000000000001</v>
      </c>
      <c r="N1885" s="5" t="s">
        <v>347</v>
      </c>
      <c r="O1885" s="5" t="s">
        <v>347</v>
      </c>
      <c r="P1885" s="16">
        <v>0</v>
      </c>
      <c r="Q1885" s="16">
        <v>0</v>
      </c>
      <c r="R1885" s="5" t="str">
        <f t="shared" si="313"/>
        <v>904-2024-06-30</v>
      </c>
    </row>
    <row r="1886" spans="1:18" x14ac:dyDescent="0.3">
      <c r="A1886" s="26">
        <v>904</v>
      </c>
      <c r="B1886" s="23" t="s">
        <v>535</v>
      </c>
      <c r="C1886" s="5" t="s">
        <v>214</v>
      </c>
      <c r="D1886" s="5" t="s">
        <v>18</v>
      </c>
      <c r="E1886" s="5" t="s">
        <v>9</v>
      </c>
      <c r="F1886" s="6">
        <v>45504</v>
      </c>
      <c r="G1886" s="5">
        <f t="shared" si="310"/>
        <v>2024</v>
      </c>
      <c r="H1886" s="5" t="str">
        <f t="shared" si="311"/>
        <v>Julio</v>
      </c>
      <c r="I1886" s="6" t="str">
        <f t="shared" si="312"/>
        <v>2024-2</v>
      </c>
      <c r="J1886" s="11">
        <v>77</v>
      </c>
      <c r="K1886" s="9">
        <v>80</v>
      </c>
      <c r="L1886" s="15">
        <f t="shared" si="314"/>
        <v>1.0389610389610389</v>
      </c>
      <c r="M1886" s="15">
        <f t="shared" si="315"/>
        <v>1.0389610389610389</v>
      </c>
      <c r="N1886" s="5" t="s">
        <v>347</v>
      </c>
      <c r="O1886" s="5" t="s">
        <v>347</v>
      </c>
      <c r="P1886" s="16">
        <v>0</v>
      </c>
      <c r="Q1886" s="16">
        <v>0</v>
      </c>
      <c r="R1886" s="5" t="str">
        <f t="shared" si="313"/>
        <v>904-2024-07-31</v>
      </c>
    </row>
    <row r="1887" spans="1:18" x14ac:dyDescent="0.3">
      <c r="A1887" s="26">
        <v>904</v>
      </c>
      <c r="B1887" s="23" t="s">
        <v>535</v>
      </c>
      <c r="C1887" s="5" t="s">
        <v>214</v>
      </c>
      <c r="D1887" s="5" t="s">
        <v>18</v>
      </c>
      <c r="E1887" s="5" t="s">
        <v>9</v>
      </c>
      <c r="F1887" s="6">
        <v>45535</v>
      </c>
      <c r="G1887" s="5">
        <f t="shared" si="310"/>
        <v>2024</v>
      </c>
      <c r="H1887" s="5" t="str">
        <f t="shared" si="311"/>
        <v>Agosto</v>
      </c>
      <c r="I1887" s="6" t="str">
        <f t="shared" si="312"/>
        <v>2024-2</v>
      </c>
      <c r="J1887" s="11">
        <v>74</v>
      </c>
      <c r="K1887" s="9">
        <v>77</v>
      </c>
      <c r="L1887" s="15">
        <f t="shared" si="314"/>
        <v>1.0405405405405406</v>
      </c>
      <c r="M1887" s="15">
        <f t="shared" si="315"/>
        <v>1.0405405405405406</v>
      </c>
      <c r="N1887" s="5" t="s">
        <v>347</v>
      </c>
      <c r="O1887" s="5" t="s">
        <v>347</v>
      </c>
      <c r="P1887" s="16">
        <v>0</v>
      </c>
      <c r="Q1887" s="16">
        <v>0</v>
      </c>
      <c r="R1887" s="5" t="str">
        <f t="shared" si="313"/>
        <v>904-2024-08-31</v>
      </c>
    </row>
    <row r="1888" spans="1:18" x14ac:dyDescent="0.3">
      <c r="A1888" s="26">
        <v>904</v>
      </c>
      <c r="B1888" s="23" t="s">
        <v>535</v>
      </c>
      <c r="C1888" s="5" t="s">
        <v>214</v>
      </c>
      <c r="D1888" s="5" t="s">
        <v>18</v>
      </c>
      <c r="E1888" s="5" t="s">
        <v>9</v>
      </c>
      <c r="F1888" s="6">
        <v>45565</v>
      </c>
      <c r="G1888" s="5">
        <f t="shared" si="310"/>
        <v>2024</v>
      </c>
      <c r="H1888" s="5" t="str">
        <f t="shared" si="311"/>
        <v>Septiembre</v>
      </c>
      <c r="I1888" s="6" t="str">
        <f t="shared" si="312"/>
        <v>2024-2</v>
      </c>
      <c r="J1888" s="11">
        <v>83</v>
      </c>
      <c r="K1888" s="9">
        <v>85</v>
      </c>
      <c r="L1888" s="15">
        <f t="shared" si="314"/>
        <v>1.0240963855421688</v>
      </c>
      <c r="M1888" s="15">
        <f t="shared" si="315"/>
        <v>1.0240963855421688</v>
      </c>
      <c r="N1888" s="5" t="s">
        <v>347</v>
      </c>
      <c r="O1888" s="5" t="s">
        <v>347</v>
      </c>
      <c r="P1888" s="16">
        <v>0</v>
      </c>
      <c r="Q1888" s="16">
        <v>0</v>
      </c>
      <c r="R1888" s="5" t="str">
        <f t="shared" si="313"/>
        <v>904-2024-09-30</v>
      </c>
    </row>
    <row r="1889" spans="1:18" x14ac:dyDescent="0.3">
      <c r="A1889" s="26">
        <v>904</v>
      </c>
      <c r="B1889" s="23" t="s">
        <v>535</v>
      </c>
      <c r="C1889" s="5" t="s">
        <v>214</v>
      </c>
      <c r="D1889" s="5" t="s">
        <v>18</v>
      </c>
      <c r="E1889" s="5" t="s">
        <v>9</v>
      </c>
      <c r="F1889" s="6">
        <v>45596</v>
      </c>
      <c r="G1889" s="5">
        <f t="shared" si="310"/>
        <v>2024</v>
      </c>
      <c r="H1889" s="5" t="str">
        <f t="shared" si="311"/>
        <v>Octubre</v>
      </c>
      <c r="I1889" s="6" t="str">
        <f t="shared" si="312"/>
        <v>2024-2</v>
      </c>
      <c r="J1889" s="11">
        <v>92</v>
      </c>
      <c r="K1889" s="9">
        <v>94</v>
      </c>
      <c r="L1889" s="15">
        <f t="shared" si="314"/>
        <v>1.0217391304347827</v>
      </c>
      <c r="M1889" s="15">
        <f t="shared" si="315"/>
        <v>1.0217391304347827</v>
      </c>
      <c r="N1889" s="5" t="s">
        <v>347</v>
      </c>
      <c r="O1889" s="5" t="s">
        <v>347</v>
      </c>
      <c r="P1889" s="16">
        <v>0</v>
      </c>
      <c r="Q1889" s="16">
        <v>0</v>
      </c>
      <c r="R1889" s="5" t="str">
        <f t="shared" si="313"/>
        <v>904-2024-10-31</v>
      </c>
    </row>
    <row r="1890" spans="1:18" x14ac:dyDescent="0.3">
      <c r="A1890" s="26">
        <v>904</v>
      </c>
      <c r="B1890" s="23" t="s">
        <v>535</v>
      </c>
      <c r="C1890" s="5" t="s">
        <v>214</v>
      </c>
      <c r="D1890" s="5" t="s">
        <v>18</v>
      </c>
      <c r="E1890" s="5" t="s">
        <v>9</v>
      </c>
      <c r="F1890" s="6">
        <v>45626</v>
      </c>
      <c r="G1890" s="5">
        <f t="shared" si="310"/>
        <v>2024</v>
      </c>
      <c r="H1890" s="5" t="str">
        <f t="shared" si="311"/>
        <v>Noviembre</v>
      </c>
      <c r="I1890" s="6" t="str">
        <f t="shared" si="312"/>
        <v>2024-2</v>
      </c>
      <c r="J1890" s="11">
        <v>99</v>
      </c>
      <c r="K1890" s="9">
        <v>99</v>
      </c>
      <c r="L1890" s="15">
        <f t="shared" si="314"/>
        <v>1</v>
      </c>
      <c r="M1890" s="15">
        <f t="shared" si="315"/>
        <v>1</v>
      </c>
      <c r="N1890" s="5" t="s">
        <v>347</v>
      </c>
      <c r="O1890" s="5" t="s">
        <v>347</v>
      </c>
      <c r="P1890" s="16">
        <v>0</v>
      </c>
      <c r="Q1890" s="16">
        <v>0</v>
      </c>
      <c r="R1890" s="5" t="str">
        <f t="shared" si="313"/>
        <v>904-2024-11-30</v>
      </c>
    </row>
    <row r="1891" spans="1:18" x14ac:dyDescent="0.3">
      <c r="A1891" s="26">
        <v>904</v>
      </c>
      <c r="B1891" s="23" t="s">
        <v>535</v>
      </c>
      <c r="C1891" s="5" t="s">
        <v>214</v>
      </c>
      <c r="D1891" s="5" t="s">
        <v>18</v>
      </c>
      <c r="E1891" s="5" t="s">
        <v>9</v>
      </c>
      <c r="F1891" s="6">
        <v>45657</v>
      </c>
      <c r="G1891" s="5">
        <f t="shared" si="310"/>
        <v>2024</v>
      </c>
      <c r="H1891" s="5" t="str">
        <f t="shared" si="311"/>
        <v>Diciembre</v>
      </c>
      <c r="I1891" s="6" t="str">
        <f t="shared" si="312"/>
        <v>2024-2</v>
      </c>
      <c r="J1891" s="11">
        <v>100</v>
      </c>
      <c r="K1891" s="9">
        <v>100</v>
      </c>
      <c r="L1891" s="15">
        <f t="shared" si="314"/>
        <v>1</v>
      </c>
      <c r="M1891" s="15">
        <f t="shared" si="315"/>
        <v>1</v>
      </c>
      <c r="N1891" s="5" t="s">
        <v>347</v>
      </c>
      <c r="O1891" s="5" t="s">
        <v>347</v>
      </c>
      <c r="P1891" s="16">
        <v>0</v>
      </c>
      <c r="Q1891" s="16">
        <v>0</v>
      </c>
      <c r="R1891" s="5" t="str">
        <f t="shared" si="313"/>
        <v>904-2024-12-31</v>
      </c>
    </row>
    <row r="1892" spans="1:18" x14ac:dyDescent="0.3">
      <c r="A1892" s="26">
        <v>905</v>
      </c>
      <c r="B1892" s="23" t="s">
        <v>536</v>
      </c>
      <c r="C1892" s="5" t="s">
        <v>345</v>
      </c>
      <c r="D1892" s="5" t="s">
        <v>18</v>
      </c>
      <c r="E1892" s="5" t="s">
        <v>9</v>
      </c>
      <c r="F1892" s="6">
        <v>45322</v>
      </c>
      <c r="G1892" s="5">
        <f t="shared" si="310"/>
        <v>2024</v>
      </c>
      <c r="H1892" s="5" t="str">
        <f t="shared" si="311"/>
        <v>Enero</v>
      </c>
      <c r="I1892" s="6" t="str">
        <f t="shared" si="312"/>
        <v>2024-1</v>
      </c>
      <c r="J1892" s="5">
        <v>57</v>
      </c>
      <c r="K1892" s="5">
        <v>49</v>
      </c>
      <c r="L1892" s="15">
        <f t="shared" si="314"/>
        <v>0.85964912280701755</v>
      </c>
      <c r="M1892" s="15">
        <f t="shared" si="315"/>
        <v>0.85964912280701755</v>
      </c>
      <c r="N1892" s="5" t="s">
        <v>347</v>
      </c>
      <c r="O1892" s="5" t="s">
        <v>347</v>
      </c>
      <c r="P1892" s="16">
        <v>0</v>
      </c>
      <c r="Q1892" s="16">
        <v>0</v>
      </c>
      <c r="R1892" s="5" t="str">
        <f t="shared" si="313"/>
        <v>905-2024-01-31</v>
      </c>
    </row>
    <row r="1893" spans="1:18" x14ac:dyDescent="0.3">
      <c r="A1893" s="26">
        <v>905</v>
      </c>
      <c r="B1893" s="23" t="s">
        <v>536</v>
      </c>
      <c r="C1893" s="5" t="s">
        <v>345</v>
      </c>
      <c r="D1893" s="5" t="s">
        <v>18</v>
      </c>
      <c r="E1893" s="5" t="s">
        <v>9</v>
      </c>
      <c r="F1893" s="6">
        <v>45351</v>
      </c>
      <c r="G1893" s="5">
        <f t="shared" si="310"/>
        <v>2024</v>
      </c>
      <c r="H1893" s="5" t="str">
        <f t="shared" si="311"/>
        <v>Febrero</v>
      </c>
      <c r="I1893" s="6" t="str">
        <f t="shared" si="312"/>
        <v>2024-1</v>
      </c>
      <c r="J1893" s="5">
        <v>63</v>
      </c>
      <c r="K1893" s="5">
        <v>61</v>
      </c>
      <c r="L1893" s="15">
        <f t="shared" si="314"/>
        <v>0.96825396825396826</v>
      </c>
      <c r="M1893" s="15">
        <f t="shared" si="315"/>
        <v>0.96825396825396826</v>
      </c>
      <c r="N1893" s="5" t="s">
        <v>347</v>
      </c>
      <c r="O1893" s="5" t="s">
        <v>347</v>
      </c>
      <c r="P1893" s="16">
        <v>0</v>
      </c>
      <c r="Q1893" s="16">
        <v>0</v>
      </c>
      <c r="R1893" s="5" t="str">
        <f t="shared" si="313"/>
        <v>905-2024-02-29</v>
      </c>
    </row>
    <row r="1894" spans="1:18" x14ac:dyDescent="0.3">
      <c r="A1894" s="26">
        <v>905</v>
      </c>
      <c r="B1894" s="23" t="s">
        <v>536</v>
      </c>
      <c r="C1894" s="5" t="s">
        <v>345</v>
      </c>
      <c r="D1894" s="5" t="s">
        <v>18</v>
      </c>
      <c r="E1894" s="5" t="s">
        <v>9</v>
      </c>
      <c r="F1894" s="6">
        <v>45382</v>
      </c>
      <c r="G1894" s="5">
        <f t="shared" si="310"/>
        <v>2024</v>
      </c>
      <c r="H1894" s="5" t="str">
        <f t="shared" si="311"/>
        <v>Marzo</v>
      </c>
      <c r="I1894" s="6" t="str">
        <f t="shared" si="312"/>
        <v>2024-1</v>
      </c>
      <c r="J1894" s="5">
        <v>63</v>
      </c>
      <c r="K1894" s="5">
        <v>61</v>
      </c>
      <c r="L1894" s="15">
        <f t="shared" ref="L1894:L1925" si="316">IFERROR(IF((K1894/J1894)&gt;1.3,1.3,K1894/J1894),"")</f>
        <v>0.96825396825396826</v>
      </c>
      <c r="M1894" s="15">
        <f t="shared" ref="M1894:M1930" si="317">IFERROR(IF((K1894/J1894)&gt;K1894/J1894,1.3,K1894/J1894),"")</f>
        <v>0.96825396825396826</v>
      </c>
      <c r="N1894" s="5" t="s">
        <v>347</v>
      </c>
      <c r="O1894" s="5" t="s">
        <v>347</v>
      </c>
      <c r="P1894" s="16">
        <v>0</v>
      </c>
      <c r="Q1894" s="16">
        <v>0</v>
      </c>
      <c r="R1894" s="5" t="str">
        <f t="shared" si="313"/>
        <v>905-2024-03-31</v>
      </c>
    </row>
    <row r="1895" spans="1:18" x14ac:dyDescent="0.3">
      <c r="A1895" s="26">
        <v>905</v>
      </c>
      <c r="B1895" s="23" t="s">
        <v>536</v>
      </c>
      <c r="C1895" s="5" t="s">
        <v>345</v>
      </c>
      <c r="D1895" s="5" t="s">
        <v>18</v>
      </c>
      <c r="E1895" s="5" t="s">
        <v>9</v>
      </c>
      <c r="F1895" s="6">
        <v>45412</v>
      </c>
      <c r="G1895" s="5">
        <f t="shared" si="310"/>
        <v>2024</v>
      </c>
      <c r="H1895" s="5" t="str">
        <f t="shared" si="311"/>
        <v>Abril</v>
      </c>
      <c r="I1895" s="6" t="str">
        <f t="shared" si="312"/>
        <v>2024-1</v>
      </c>
      <c r="J1895" s="5">
        <v>57</v>
      </c>
      <c r="K1895" s="5">
        <v>48</v>
      </c>
      <c r="L1895" s="15">
        <f t="shared" si="316"/>
        <v>0.84210526315789469</v>
      </c>
      <c r="M1895" s="15">
        <f t="shared" si="317"/>
        <v>0.84210526315789469</v>
      </c>
      <c r="N1895" s="5" t="s">
        <v>347</v>
      </c>
      <c r="O1895" s="5" t="s">
        <v>347</v>
      </c>
      <c r="P1895" s="16">
        <v>0</v>
      </c>
      <c r="Q1895" s="16">
        <v>0</v>
      </c>
      <c r="R1895" s="5" t="str">
        <f t="shared" si="313"/>
        <v>905-2024-04-30</v>
      </c>
    </row>
    <row r="1896" spans="1:18" x14ac:dyDescent="0.3">
      <c r="A1896" s="26">
        <v>905</v>
      </c>
      <c r="B1896" s="23" t="s">
        <v>536</v>
      </c>
      <c r="C1896" s="5" t="s">
        <v>345</v>
      </c>
      <c r="D1896" s="5" t="s">
        <v>18</v>
      </c>
      <c r="E1896" s="5" t="s">
        <v>9</v>
      </c>
      <c r="F1896" s="6">
        <v>45443</v>
      </c>
      <c r="G1896" s="5">
        <f t="shared" si="310"/>
        <v>2024</v>
      </c>
      <c r="H1896" s="5" t="str">
        <f t="shared" si="311"/>
        <v>Mayo</v>
      </c>
      <c r="I1896" s="6" t="str">
        <f t="shared" si="312"/>
        <v>2024-1</v>
      </c>
      <c r="J1896" s="5">
        <v>63</v>
      </c>
      <c r="K1896" s="5">
        <v>61</v>
      </c>
      <c r="L1896" s="15">
        <f t="shared" si="316"/>
        <v>0.96825396825396826</v>
      </c>
      <c r="M1896" s="15">
        <f t="shared" si="317"/>
        <v>0.96825396825396826</v>
      </c>
      <c r="N1896" s="5" t="s">
        <v>347</v>
      </c>
      <c r="O1896" s="5" t="s">
        <v>347</v>
      </c>
      <c r="P1896" s="16">
        <v>0</v>
      </c>
      <c r="Q1896" s="16">
        <v>0</v>
      </c>
      <c r="R1896" s="5" t="str">
        <f t="shared" si="313"/>
        <v>905-2024-05-31</v>
      </c>
    </row>
    <row r="1897" spans="1:18" x14ac:dyDescent="0.3">
      <c r="A1897" s="26">
        <v>905</v>
      </c>
      <c r="B1897" s="23" t="s">
        <v>536</v>
      </c>
      <c r="C1897" s="5" t="s">
        <v>345</v>
      </c>
      <c r="D1897" s="5" t="s">
        <v>18</v>
      </c>
      <c r="E1897" s="5" t="s">
        <v>9</v>
      </c>
      <c r="F1897" s="6">
        <v>45473</v>
      </c>
      <c r="G1897" s="5">
        <f t="shared" si="310"/>
        <v>2024</v>
      </c>
      <c r="H1897" s="5" t="str">
        <f t="shared" si="311"/>
        <v>Junio</v>
      </c>
      <c r="I1897" s="6" t="str">
        <f t="shared" si="312"/>
        <v>2024-1</v>
      </c>
      <c r="J1897" s="11">
        <v>63</v>
      </c>
      <c r="K1897" s="9">
        <v>61</v>
      </c>
      <c r="L1897" s="15">
        <f t="shared" si="316"/>
        <v>0.96825396825396826</v>
      </c>
      <c r="M1897" s="15">
        <f t="shared" si="317"/>
        <v>0.96825396825396826</v>
      </c>
      <c r="N1897" s="5" t="s">
        <v>347</v>
      </c>
      <c r="O1897" s="5" t="s">
        <v>347</v>
      </c>
      <c r="P1897" s="16">
        <v>0</v>
      </c>
      <c r="Q1897" s="16">
        <v>0</v>
      </c>
      <c r="R1897" s="5" t="str">
        <f t="shared" si="313"/>
        <v>905-2024-06-30</v>
      </c>
    </row>
    <row r="1898" spans="1:18" x14ac:dyDescent="0.3">
      <c r="A1898" s="26">
        <v>905</v>
      </c>
      <c r="B1898" s="23" t="s">
        <v>536</v>
      </c>
      <c r="C1898" s="5" t="s">
        <v>345</v>
      </c>
      <c r="D1898" s="5" t="s">
        <v>18</v>
      </c>
      <c r="E1898" s="5" t="s">
        <v>9</v>
      </c>
      <c r="F1898" s="6">
        <v>45504</v>
      </c>
      <c r="G1898" s="5">
        <f t="shared" si="310"/>
        <v>2024</v>
      </c>
      <c r="H1898" s="5" t="str">
        <f t="shared" si="311"/>
        <v>Julio</v>
      </c>
      <c r="I1898" s="6" t="str">
        <f t="shared" si="312"/>
        <v>2024-2</v>
      </c>
      <c r="J1898" s="5">
        <v>72</v>
      </c>
      <c r="K1898" s="5">
        <v>72</v>
      </c>
      <c r="L1898" s="15">
        <f t="shared" si="316"/>
        <v>1</v>
      </c>
      <c r="M1898" s="15">
        <f t="shared" si="317"/>
        <v>1</v>
      </c>
      <c r="N1898" s="5" t="s">
        <v>347</v>
      </c>
      <c r="O1898" s="5" t="s">
        <v>347</v>
      </c>
      <c r="P1898" s="16">
        <v>0</v>
      </c>
      <c r="Q1898" s="16">
        <v>0</v>
      </c>
      <c r="R1898" s="5" t="str">
        <f t="shared" si="313"/>
        <v>905-2024-07-31</v>
      </c>
    </row>
    <row r="1899" spans="1:18" x14ac:dyDescent="0.3">
      <c r="A1899" s="26">
        <v>905</v>
      </c>
      <c r="B1899" s="23" t="s">
        <v>536</v>
      </c>
      <c r="C1899" s="5" t="s">
        <v>345</v>
      </c>
      <c r="D1899" s="5" t="s">
        <v>18</v>
      </c>
      <c r="E1899" s="5" t="s">
        <v>9</v>
      </c>
      <c r="F1899" s="6">
        <v>45535</v>
      </c>
      <c r="G1899" s="5">
        <f t="shared" si="310"/>
        <v>2024</v>
      </c>
      <c r="H1899" s="5" t="str">
        <f t="shared" si="311"/>
        <v>Agosto</v>
      </c>
      <c r="I1899" s="6" t="str">
        <f t="shared" si="312"/>
        <v>2024-2</v>
      </c>
      <c r="J1899" s="5">
        <v>81</v>
      </c>
      <c r="K1899" s="5">
        <v>78</v>
      </c>
      <c r="L1899" s="15">
        <f t="shared" si="316"/>
        <v>0.96296296296296291</v>
      </c>
      <c r="M1899" s="15">
        <f t="shared" si="317"/>
        <v>0.96296296296296291</v>
      </c>
      <c r="N1899" s="5" t="s">
        <v>347</v>
      </c>
      <c r="O1899" s="5" t="s">
        <v>347</v>
      </c>
      <c r="P1899" s="16">
        <v>0</v>
      </c>
      <c r="Q1899" s="16">
        <v>0</v>
      </c>
      <c r="R1899" s="5" t="str">
        <f t="shared" si="313"/>
        <v>905-2024-08-31</v>
      </c>
    </row>
    <row r="1900" spans="1:18" x14ac:dyDescent="0.3">
      <c r="A1900" s="26">
        <v>905</v>
      </c>
      <c r="B1900" s="23" t="s">
        <v>536</v>
      </c>
      <c r="C1900" s="5" t="s">
        <v>345</v>
      </c>
      <c r="D1900" s="5" t="s">
        <v>18</v>
      </c>
      <c r="E1900" s="5" t="s">
        <v>9</v>
      </c>
      <c r="F1900" s="6">
        <v>45565</v>
      </c>
      <c r="G1900" s="5">
        <f t="shared" si="310"/>
        <v>2024</v>
      </c>
      <c r="H1900" s="5" t="str">
        <f t="shared" si="311"/>
        <v>Septiembre</v>
      </c>
      <c r="I1900" s="6" t="str">
        <f t="shared" si="312"/>
        <v>2024-2</v>
      </c>
      <c r="J1900" s="5">
        <v>85</v>
      </c>
      <c r="K1900" s="5">
        <v>82</v>
      </c>
      <c r="L1900" s="15">
        <f t="shared" si="316"/>
        <v>0.96470588235294119</v>
      </c>
      <c r="M1900" s="15">
        <f t="shared" si="317"/>
        <v>0.96470588235294119</v>
      </c>
      <c r="N1900" s="5" t="s">
        <v>347</v>
      </c>
      <c r="O1900" s="5" t="s">
        <v>347</v>
      </c>
      <c r="P1900" s="16">
        <v>0</v>
      </c>
      <c r="Q1900" s="16">
        <v>0</v>
      </c>
      <c r="R1900" s="5" t="str">
        <f t="shared" si="313"/>
        <v>905-2024-09-30</v>
      </c>
    </row>
    <row r="1901" spans="1:18" x14ac:dyDescent="0.3">
      <c r="A1901" s="26">
        <v>905</v>
      </c>
      <c r="B1901" s="23" t="s">
        <v>536</v>
      </c>
      <c r="C1901" s="5" t="s">
        <v>345</v>
      </c>
      <c r="D1901" s="5" t="s">
        <v>18</v>
      </c>
      <c r="E1901" s="5" t="s">
        <v>9</v>
      </c>
      <c r="F1901" s="6">
        <v>45596</v>
      </c>
      <c r="G1901" s="5">
        <f t="shared" si="310"/>
        <v>2024</v>
      </c>
      <c r="H1901" s="5" t="str">
        <f t="shared" si="311"/>
        <v>Octubre</v>
      </c>
      <c r="I1901" s="6" t="str">
        <f t="shared" si="312"/>
        <v>2024-2</v>
      </c>
      <c r="J1901" s="5">
        <v>85</v>
      </c>
      <c r="K1901" s="5">
        <v>81</v>
      </c>
      <c r="L1901" s="15">
        <f t="shared" si="316"/>
        <v>0.95294117647058818</v>
      </c>
      <c r="M1901" s="15">
        <f t="shared" si="317"/>
        <v>0.95294117647058818</v>
      </c>
      <c r="N1901" s="5" t="s">
        <v>347</v>
      </c>
      <c r="O1901" s="5" t="s">
        <v>347</v>
      </c>
      <c r="P1901" s="16">
        <v>0</v>
      </c>
      <c r="Q1901" s="16">
        <v>0</v>
      </c>
      <c r="R1901" s="5" t="str">
        <f t="shared" si="313"/>
        <v>905-2024-10-31</v>
      </c>
    </row>
    <row r="1902" spans="1:18" x14ac:dyDescent="0.3">
      <c r="A1902" s="26">
        <v>905</v>
      </c>
      <c r="B1902" s="23" t="s">
        <v>536</v>
      </c>
      <c r="C1902" s="5" t="s">
        <v>345</v>
      </c>
      <c r="D1902" s="5" t="s">
        <v>18</v>
      </c>
      <c r="E1902" s="5" t="s">
        <v>9</v>
      </c>
      <c r="F1902" s="6">
        <v>45626</v>
      </c>
      <c r="G1902" s="5">
        <f t="shared" si="310"/>
        <v>2024</v>
      </c>
      <c r="H1902" s="5" t="str">
        <f t="shared" si="311"/>
        <v>Noviembre</v>
      </c>
      <c r="I1902" s="6" t="str">
        <f t="shared" si="312"/>
        <v>2024-2</v>
      </c>
      <c r="J1902" s="5">
        <v>100</v>
      </c>
      <c r="K1902" s="5">
        <v>99</v>
      </c>
      <c r="L1902" s="15">
        <f t="shared" si="316"/>
        <v>0.99</v>
      </c>
      <c r="M1902" s="15">
        <f t="shared" si="317"/>
        <v>0.99</v>
      </c>
      <c r="N1902" s="5" t="s">
        <v>347</v>
      </c>
      <c r="O1902" s="5" t="s">
        <v>347</v>
      </c>
      <c r="P1902" s="16">
        <v>0</v>
      </c>
      <c r="Q1902" s="16">
        <v>0</v>
      </c>
      <c r="R1902" s="5" t="str">
        <f t="shared" si="313"/>
        <v>905-2024-11-30</v>
      </c>
    </row>
    <row r="1903" spans="1:18" x14ac:dyDescent="0.3">
      <c r="A1903" s="26">
        <v>905</v>
      </c>
      <c r="B1903" s="23" t="s">
        <v>536</v>
      </c>
      <c r="C1903" s="5" t="s">
        <v>345</v>
      </c>
      <c r="D1903" s="5" t="s">
        <v>18</v>
      </c>
      <c r="E1903" s="5" t="s">
        <v>9</v>
      </c>
      <c r="F1903" s="6">
        <v>45657</v>
      </c>
      <c r="G1903" s="5">
        <f t="shared" si="310"/>
        <v>2024</v>
      </c>
      <c r="H1903" s="5" t="str">
        <f t="shared" si="311"/>
        <v>Diciembre</v>
      </c>
      <c r="I1903" s="6" t="str">
        <f t="shared" si="312"/>
        <v>2024-2</v>
      </c>
      <c r="J1903" s="11">
        <v>100</v>
      </c>
      <c r="K1903" s="11">
        <v>100</v>
      </c>
      <c r="L1903" s="15">
        <f t="shared" si="316"/>
        <v>1</v>
      </c>
      <c r="M1903" s="15">
        <f t="shared" si="317"/>
        <v>1</v>
      </c>
      <c r="N1903" s="5" t="s">
        <v>347</v>
      </c>
      <c r="O1903" s="5" t="s">
        <v>347</v>
      </c>
      <c r="P1903" s="16">
        <v>0</v>
      </c>
      <c r="Q1903" s="16">
        <v>0</v>
      </c>
      <c r="R1903" s="5" t="str">
        <f t="shared" si="313"/>
        <v>905-2024-12-31</v>
      </c>
    </row>
    <row r="1904" spans="1:18" x14ac:dyDescent="0.3">
      <c r="A1904" s="26">
        <v>906</v>
      </c>
      <c r="B1904" s="23" t="s">
        <v>766</v>
      </c>
      <c r="C1904" s="5" t="s">
        <v>345</v>
      </c>
      <c r="D1904" s="5" t="s">
        <v>18</v>
      </c>
      <c r="E1904" s="5" t="s">
        <v>9</v>
      </c>
      <c r="F1904" s="6">
        <v>45322</v>
      </c>
      <c r="G1904" s="5">
        <f t="shared" si="310"/>
        <v>2024</v>
      </c>
      <c r="H1904" s="5" t="str">
        <f t="shared" si="311"/>
        <v>Enero</v>
      </c>
      <c r="I1904" s="6" t="str">
        <f t="shared" si="312"/>
        <v>2024-1</v>
      </c>
      <c r="J1904" s="11">
        <v>44</v>
      </c>
      <c r="K1904" s="9">
        <v>33</v>
      </c>
      <c r="L1904" s="15">
        <f t="shared" si="316"/>
        <v>0.75</v>
      </c>
      <c r="M1904" s="15">
        <f t="shared" si="317"/>
        <v>0.75</v>
      </c>
      <c r="N1904" s="5" t="s">
        <v>347</v>
      </c>
      <c r="O1904" s="5" t="s">
        <v>347</v>
      </c>
      <c r="P1904" s="16">
        <v>0</v>
      </c>
      <c r="Q1904" s="16">
        <v>0</v>
      </c>
      <c r="R1904" s="5" t="str">
        <f t="shared" si="313"/>
        <v>906-2024-01-31</v>
      </c>
    </row>
    <row r="1905" spans="1:18" x14ac:dyDescent="0.3">
      <c r="A1905" s="26">
        <v>906</v>
      </c>
      <c r="B1905" s="23" t="s">
        <v>766</v>
      </c>
      <c r="C1905" s="5" t="s">
        <v>345</v>
      </c>
      <c r="D1905" s="5" t="s">
        <v>18</v>
      </c>
      <c r="E1905" s="5" t="s">
        <v>9</v>
      </c>
      <c r="F1905" s="6">
        <v>45351</v>
      </c>
      <c r="G1905" s="5">
        <f t="shared" si="310"/>
        <v>2024</v>
      </c>
      <c r="H1905" s="5" t="str">
        <f t="shared" si="311"/>
        <v>Febrero</v>
      </c>
      <c r="I1905" s="6" t="str">
        <f t="shared" si="312"/>
        <v>2024-1</v>
      </c>
      <c r="J1905" s="11">
        <v>44</v>
      </c>
      <c r="K1905" s="9">
        <v>33</v>
      </c>
      <c r="L1905" s="15">
        <f t="shared" si="316"/>
        <v>0.75</v>
      </c>
      <c r="M1905" s="15">
        <f t="shared" si="317"/>
        <v>0.75</v>
      </c>
      <c r="N1905" s="5" t="s">
        <v>347</v>
      </c>
      <c r="O1905" s="5" t="s">
        <v>347</v>
      </c>
      <c r="P1905" s="16">
        <v>0</v>
      </c>
      <c r="Q1905" s="16">
        <v>0</v>
      </c>
      <c r="R1905" s="5" t="str">
        <f t="shared" si="313"/>
        <v>906-2024-02-29</v>
      </c>
    </row>
    <row r="1906" spans="1:18" x14ac:dyDescent="0.3">
      <c r="A1906" s="26">
        <v>906</v>
      </c>
      <c r="B1906" s="23" t="s">
        <v>766</v>
      </c>
      <c r="C1906" s="5" t="s">
        <v>345</v>
      </c>
      <c r="D1906" s="5" t="s">
        <v>18</v>
      </c>
      <c r="E1906" s="5" t="s">
        <v>9</v>
      </c>
      <c r="F1906" s="6">
        <v>45382</v>
      </c>
      <c r="G1906" s="5">
        <f t="shared" si="310"/>
        <v>2024</v>
      </c>
      <c r="H1906" s="5" t="str">
        <f t="shared" si="311"/>
        <v>Marzo</v>
      </c>
      <c r="I1906" s="6" t="str">
        <f t="shared" si="312"/>
        <v>2024-1</v>
      </c>
      <c r="J1906" s="11">
        <v>68</v>
      </c>
      <c r="K1906" s="9">
        <v>57</v>
      </c>
      <c r="L1906" s="15">
        <f t="shared" si="316"/>
        <v>0.83823529411764708</v>
      </c>
      <c r="M1906" s="15">
        <f t="shared" si="317"/>
        <v>0.83823529411764708</v>
      </c>
      <c r="N1906" s="5" t="s">
        <v>347</v>
      </c>
      <c r="O1906" s="5" t="s">
        <v>347</v>
      </c>
      <c r="P1906" s="16">
        <v>0</v>
      </c>
      <c r="Q1906" s="16">
        <v>0</v>
      </c>
      <c r="R1906" s="5" t="str">
        <f t="shared" si="313"/>
        <v>906-2024-03-31</v>
      </c>
    </row>
    <row r="1907" spans="1:18" x14ac:dyDescent="0.3">
      <c r="A1907" s="26">
        <v>906</v>
      </c>
      <c r="B1907" s="23" t="s">
        <v>766</v>
      </c>
      <c r="C1907" s="5" t="s">
        <v>345</v>
      </c>
      <c r="D1907" s="5" t="s">
        <v>18</v>
      </c>
      <c r="E1907" s="5" t="s">
        <v>9</v>
      </c>
      <c r="F1907" s="6">
        <v>45412</v>
      </c>
      <c r="G1907" s="5">
        <f t="shared" si="310"/>
        <v>2024</v>
      </c>
      <c r="H1907" s="5" t="str">
        <f t="shared" si="311"/>
        <v>Abril</v>
      </c>
      <c r="I1907" s="6" t="str">
        <f t="shared" si="312"/>
        <v>2024-1</v>
      </c>
      <c r="J1907" s="11">
        <v>44</v>
      </c>
      <c r="K1907" s="9">
        <v>33</v>
      </c>
      <c r="L1907" s="15">
        <f t="shared" si="316"/>
        <v>0.75</v>
      </c>
      <c r="M1907" s="15">
        <f t="shared" si="317"/>
        <v>0.75</v>
      </c>
      <c r="N1907" s="5" t="s">
        <v>347</v>
      </c>
      <c r="O1907" s="5" t="s">
        <v>347</v>
      </c>
      <c r="P1907" s="16">
        <v>0</v>
      </c>
      <c r="Q1907" s="16">
        <v>0</v>
      </c>
      <c r="R1907" s="5" t="str">
        <f t="shared" si="313"/>
        <v>906-2024-04-30</v>
      </c>
    </row>
    <row r="1908" spans="1:18" x14ac:dyDescent="0.3">
      <c r="A1908" s="26">
        <v>906</v>
      </c>
      <c r="B1908" s="23" t="s">
        <v>766</v>
      </c>
      <c r="C1908" s="5" t="s">
        <v>345</v>
      </c>
      <c r="D1908" s="5" t="s">
        <v>18</v>
      </c>
      <c r="E1908" s="5" t="s">
        <v>9</v>
      </c>
      <c r="F1908" s="6">
        <v>45443</v>
      </c>
      <c r="G1908" s="5">
        <f t="shared" si="310"/>
        <v>2024</v>
      </c>
      <c r="H1908" s="5" t="str">
        <f t="shared" si="311"/>
        <v>Mayo</v>
      </c>
      <c r="I1908" s="6" t="str">
        <f t="shared" si="312"/>
        <v>2024-1</v>
      </c>
      <c r="J1908" s="11">
        <v>44</v>
      </c>
      <c r="K1908" s="9">
        <v>35</v>
      </c>
      <c r="L1908" s="15">
        <f t="shared" si="316"/>
        <v>0.79545454545454541</v>
      </c>
      <c r="M1908" s="15">
        <f t="shared" si="317"/>
        <v>0.79545454545454541</v>
      </c>
      <c r="N1908" s="5" t="s">
        <v>347</v>
      </c>
      <c r="O1908" s="5" t="s">
        <v>347</v>
      </c>
      <c r="P1908" s="16">
        <v>0</v>
      </c>
      <c r="Q1908" s="16">
        <v>0</v>
      </c>
      <c r="R1908" s="5" t="str">
        <f t="shared" si="313"/>
        <v>906-2024-05-31</v>
      </c>
    </row>
    <row r="1909" spans="1:18" x14ac:dyDescent="0.3">
      <c r="A1909" s="26">
        <v>906</v>
      </c>
      <c r="B1909" s="23" t="s">
        <v>766</v>
      </c>
      <c r="C1909" s="5" t="s">
        <v>345</v>
      </c>
      <c r="D1909" s="5" t="s">
        <v>18</v>
      </c>
      <c r="E1909" s="5" t="s">
        <v>9</v>
      </c>
      <c r="F1909" s="6">
        <v>45473</v>
      </c>
      <c r="G1909" s="5">
        <f t="shared" si="310"/>
        <v>2024</v>
      </c>
      <c r="H1909" s="5" t="str">
        <f t="shared" si="311"/>
        <v>Junio</v>
      </c>
      <c r="I1909" s="6" t="str">
        <f t="shared" si="312"/>
        <v>2024-1</v>
      </c>
      <c r="J1909" s="11">
        <v>68</v>
      </c>
      <c r="K1909" s="9">
        <v>57</v>
      </c>
      <c r="L1909" s="15">
        <f t="shared" si="316"/>
        <v>0.83823529411764708</v>
      </c>
      <c r="M1909" s="15">
        <f t="shared" si="317"/>
        <v>0.83823529411764708</v>
      </c>
      <c r="N1909" s="5" t="s">
        <v>347</v>
      </c>
      <c r="O1909" s="5" t="s">
        <v>347</v>
      </c>
      <c r="P1909" s="16">
        <v>0</v>
      </c>
      <c r="Q1909" s="16">
        <v>0</v>
      </c>
      <c r="R1909" s="5" t="str">
        <f t="shared" si="313"/>
        <v>906-2024-06-30</v>
      </c>
    </row>
    <row r="1910" spans="1:18" x14ac:dyDescent="0.3">
      <c r="A1910" s="26">
        <v>906</v>
      </c>
      <c r="B1910" s="23" t="s">
        <v>766</v>
      </c>
      <c r="C1910" s="5" t="s">
        <v>345</v>
      </c>
      <c r="D1910" s="5" t="s">
        <v>18</v>
      </c>
      <c r="E1910" s="5" t="s">
        <v>9</v>
      </c>
      <c r="F1910" s="6">
        <v>45504</v>
      </c>
      <c r="G1910" s="5">
        <f t="shared" si="310"/>
        <v>2024</v>
      </c>
      <c r="H1910" s="5" t="str">
        <f t="shared" si="311"/>
        <v>Julio</v>
      </c>
      <c r="I1910" s="6" t="str">
        <f t="shared" si="312"/>
        <v>2024-2</v>
      </c>
      <c r="J1910" s="11">
        <v>77</v>
      </c>
      <c r="K1910" s="9">
        <v>68</v>
      </c>
      <c r="L1910" s="15">
        <f t="shared" si="316"/>
        <v>0.88311688311688308</v>
      </c>
      <c r="M1910" s="15">
        <f t="shared" si="317"/>
        <v>0.88311688311688308</v>
      </c>
      <c r="N1910" s="5" t="s">
        <v>347</v>
      </c>
      <c r="O1910" s="5" t="s">
        <v>347</v>
      </c>
      <c r="P1910" s="16">
        <v>0</v>
      </c>
      <c r="Q1910" s="16">
        <v>0</v>
      </c>
      <c r="R1910" s="5" t="str">
        <f t="shared" si="313"/>
        <v>906-2024-07-31</v>
      </c>
    </row>
    <row r="1911" spans="1:18" x14ac:dyDescent="0.3">
      <c r="A1911" s="26">
        <v>906</v>
      </c>
      <c r="B1911" s="23" t="s">
        <v>766</v>
      </c>
      <c r="C1911" s="5" t="s">
        <v>345</v>
      </c>
      <c r="D1911" s="5" t="s">
        <v>18</v>
      </c>
      <c r="E1911" s="5" t="s">
        <v>9</v>
      </c>
      <c r="F1911" s="6">
        <v>45535</v>
      </c>
      <c r="G1911" s="5">
        <f t="shared" si="310"/>
        <v>2024</v>
      </c>
      <c r="H1911" s="5" t="str">
        <f t="shared" si="311"/>
        <v>Agosto</v>
      </c>
      <c r="I1911" s="6" t="str">
        <f t="shared" si="312"/>
        <v>2024-2</v>
      </c>
      <c r="J1911" s="11">
        <v>77</v>
      </c>
      <c r="K1911" s="9">
        <v>68</v>
      </c>
      <c r="L1911" s="15">
        <f t="shared" si="316"/>
        <v>0.88311688311688308</v>
      </c>
      <c r="M1911" s="15">
        <f t="shared" si="317"/>
        <v>0.88311688311688308</v>
      </c>
      <c r="N1911" s="5" t="s">
        <v>347</v>
      </c>
      <c r="O1911" s="5" t="s">
        <v>347</v>
      </c>
      <c r="P1911" s="16">
        <v>0</v>
      </c>
      <c r="Q1911" s="16">
        <v>0</v>
      </c>
      <c r="R1911" s="5" t="str">
        <f t="shared" si="313"/>
        <v>906-2024-08-31</v>
      </c>
    </row>
    <row r="1912" spans="1:18" x14ac:dyDescent="0.3">
      <c r="A1912" s="26">
        <v>906</v>
      </c>
      <c r="B1912" s="23" t="s">
        <v>766</v>
      </c>
      <c r="C1912" s="5" t="s">
        <v>345</v>
      </c>
      <c r="D1912" s="5" t="s">
        <v>18</v>
      </c>
      <c r="E1912" s="5" t="s">
        <v>9</v>
      </c>
      <c r="F1912" s="6">
        <v>45565</v>
      </c>
      <c r="G1912" s="5">
        <f t="shared" si="310"/>
        <v>2024</v>
      </c>
      <c r="H1912" s="5" t="str">
        <f t="shared" si="311"/>
        <v>Septiembre</v>
      </c>
      <c r="I1912" s="6" t="str">
        <f t="shared" si="312"/>
        <v>2024-2</v>
      </c>
      <c r="J1912" s="11">
        <v>95</v>
      </c>
      <c r="K1912" s="9">
        <v>78</v>
      </c>
      <c r="L1912" s="15">
        <f t="shared" si="316"/>
        <v>0.82105263157894737</v>
      </c>
      <c r="M1912" s="15">
        <f t="shared" si="317"/>
        <v>0.82105263157894737</v>
      </c>
      <c r="N1912" s="5" t="s">
        <v>347</v>
      </c>
      <c r="O1912" s="5" t="s">
        <v>347</v>
      </c>
      <c r="P1912" s="16">
        <v>0</v>
      </c>
      <c r="Q1912" s="16">
        <v>0</v>
      </c>
      <c r="R1912" s="5" t="str">
        <f t="shared" si="313"/>
        <v>906-2024-09-30</v>
      </c>
    </row>
    <row r="1913" spans="1:18" x14ac:dyDescent="0.3">
      <c r="A1913" s="26">
        <v>906</v>
      </c>
      <c r="B1913" s="23" t="s">
        <v>766</v>
      </c>
      <c r="C1913" s="5" t="s">
        <v>345</v>
      </c>
      <c r="D1913" s="5" t="s">
        <v>18</v>
      </c>
      <c r="E1913" s="5" t="s">
        <v>9</v>
      </c>
      <c r="F1913" s="6">
        <v>45596</v>
      </c>
      <c r="G1913" s="5">
        <f t="shared" si="310"/>
        <v>2024</v>
      </c>
      <c r="H1913" s="5" t="str">
        <f t="shared" si="311"/>
        <v>Octubre</v>
      </c>
      <c r="I1913" s="6" t="str">
        <f t="shared" si="312"/>
        <v>2024-2</v>
      </c>
      <c r="J1913" s="11">
        <v>99</v>
      </c>
      <c r="K1913" s="9">
        <v>97</v>
      </c>
      <c r="L1913" s="15">
        <f t="shared" si="316"/>
        <v>0.97979797979797978</v>
      </c>
      <c r="M1913" s="15">
        <f t="shared" si="317"/>
        <v>0.97979797979797978</v>
      </c>
      <c r="N1913" s="5" t="s">
        <v>347</v>
      </c>
      <c r="O1913" s="5" t="s">
        <v>347</v>
      </c>
      <c r="P1913" s="16">
        <v>0</v>
      </c>
      <c r="Q1913" s="16">
        <v>0</v>
      </c>
      <c r="R1913" s="5" t="str">
        <f t="shared" si="313"/>
        <v>906-2024-10-31</v>
      </c>
    </row>
    <row r="1914" spans="1:18" x14ac:dyDescent="0.3">
      <c r="A1914" s="26">
        <v>906</v>
      </c>
      <c r="B1914" s="23" t="s">
        <v>766</v>
      </c>
      <c r="C1914" s="5" t="s">
        <v>345</v>
      </c>
      <c r="D1914" s="5" t="s">
        <v>18</v>
      </c>
      <c r="E1914" s="5" t="s">
        <v>9</v>
      </c>
      <c r="F1914" s="6">
        <v>45626</v>
      </c>
      <c r="G1914" s="5">
        <f t="shared" si="310"/>
        <v>2024</v>
      </c>
      <c r="H1914" s="5" t="str">
        <f t="shared" si="311"/>
        <v>Noviembre</v>
      </c>
      <c r="I1914" s="6" t="str">
        <f t="shared" si="312"/>
        <v>2024-2</v>
      </c>
      <c r="J1914" s="11">
        <v>100</v>
      </c>
      <c r="K1914" s="9">
        <v>99</v>
      </c>
      <c r="L1914" s="15">
        <f t="shared" si="316"/>
        <v>0.99</v>
      </c>
      <c r="M1914" s="15">
        <f t="shared" si="317"/>
        <v>0.99</v>
      </c>
      <c r="N1914" s="5" t="s">
        <v>347</v>
      </c>
      <c r="O1914" s="5" t="s">
        <v>347</v>
      </c>
      <c r="P1914" s="16">
        <v>0</v>
      </c>
      <c r="Q1914" s="16">
        <v>0</v>
      </c>
      <c r="R1914" s="5" t="str">
        <f t="shared" si="313"/>
        <v>906-2024-11-30</v>
      </c>
    </row>
    <row r="1915" spans="1:18" x14ac:dyDescent="0.3">
      <c r="A1915" s="26">
        <v>906</v>
      </c>
      <c r="B1915" s="23" t="s">
        <v>766</v>
      </c>
      <c r="C1915" s="5" t="s">
        <v>345</v>
      </c>
      <c r="D1915" s="5" t="s">
        <v>18</v>
      </c>
      <c r="E1915" s="5" t="s">
        <v>9</v>
      </c>
      <c r="F1915" s="6">
        <v>45657</v>
      </c>
      <c r="G1915" s="5">
        <f t="shared" si="310"/>
        <v>2024</v>
      </c>
      <c r="H1915" s="5" t="str">
        <f t="shared" si="311"/>
        <v>Diciembre</v>
      </c>
      <c r="I1915" s="6" t="str">
        <f t="shared" si="312"/>
        <v>2024-2</v>
      </c>
      <c r="J1915" s="11">
        <v>100</v>
      </c>
      <c r="K1915" s="9">
        <v>100</v>
      </c>
      <c r="L1915" s="15">
        <f t="shared" si="316"/>
        <v>1</v>
      </c>
      <c r="M1915" s="15">
        <f t="shared" si="317"/>
        <v>1</v>
      </c>
      <c r="N1915" s="5" t="s">
        <v>347</v>
      </c>
      <c r="O1915" s="5" t="s">
        <v>347</v>
      </c>
      <c r="P1915" s="16">
        <v>0</v>
      </c>
      <c r="Q1915" s="16">
        <v>0</v>
      </c>
      <c r="R1915" s="5" t="str">
        <f t="shared" si="313"/>
        <v>906-2024-12-31</v>
      </c>
    </row>
    <row r="1916" spans="1:18" x14ac:dyDescent="0.3">
      <c r="A1916" s="26">
        <v>907</v>
      </c>
      <c r="B1916" s="23" t="s">
        <v>538</v>
      </c>
      <c r="C1916" s="5" t="s">
        <v>345</v>
      </c>
      <c r="D1916" s="5" t="s">
        <v>18</v>
      </c>
      <c r="E1916" s="5" t="s">
        <v>9</v>
      </c>
      <c r="F1916" s="6">
        <v>45412</v>
      </c>
      <c r="G1916" s="5">
        <f t="shared" si="310"/>
        <v>2024</v>
      </c>
      <c r="H1916" s="5" t="str">
        <f t="shared" si="311"/>
        <v>Abril</v>
      </c>
      <c r="I1916" s="6" t="str">
        <f t="shared" si="312"/>
        <v>2024-1</v>
      </c>
      <c r="J1916" s="11">
        <v>12</v>
      </c>
      <c r="K1916" s="9">
        <v>12</v>
      </c>
      <c r="L1916" s="15">
        <f t="shared" si="316"/>
        <v>1</v>
      </c>
      <c r="M1916" s="15">
        <f t="shared" si="317"/>
        <v>1</v>
      </c>
      <c r="N1916" s="5" t="s">
        <v>347</v>
      </c>
      <c r="O1916" s="5" t="s">
        <v>347</v>
      </c>
      <c r="P1916" s="16">
        <v>0</v>
      </c>
      <c r="Q1916" s="16">
        <v>0</v>
      </c>
      <c r="R1916" s="5" t="str">
        <f t="shared" si="313"/>
        <v>907-2024-04-30</v>
      </c>
    </row>
    <row r="1917" spans="1:18" x14ac:dyDescent="0.3">
      <c r="A1917" s="26">
        <v>907</v>
      </c>
      <c r="B1917" s="23" t="s">
        <v>538</v>
      </c>
      <c r="C1917" s="5" t="s">
        <v>345</v>
      </c>
      <c r="D1917" s="5" t="s">
        <v>18</v>
      </c>
      <c r="E1917" s="5" t="s">
        <v>9</v>
      </c>
      <c r="F1917" s="6">
        <v>45443</v>
      </c>
      <c r="G1917" s="5">
        <f t="shared" si="310"/>
        <v>2024</v>
      </c>
      <c r="H1917" s="5" t="str">
        <f t="shared" si="311"/>
        <v>Mayo</v>
      </c>
      <c r="I1917" s="6" t="str">
        <f t="shared" si="312"/>
        <v>2024-1</v>
      </c>
      <c r="J1917" s="11">
        <v>12</v>
      </c>
      <c r="K1917" s="9">
        <v>25</v>
      </c>
      <c r="L1917" s="15">
        <f t="shared" si="316"/>
        <v>1.3</v>
      </c>
      <c r="M1917" s="15">
        <f t="shared" si="317"/>
        <v>2.0833333333333335</v>
      </c>
      <c r="N1917" s="5" t="s">
        <v>347</v>
      </c>
      <c r="O1917" s="5" t="s">
        <v>347</v>
      </c>
      <c r="P1917" s="16">
        <v>0</v>
      </c>
      <c r="Q1917" s="16">
        <v>0</v>
      </c>
      <c r="R1917" s="5" t="str">
        <f t="shared" si="313"/>
        <v>907-2024-05-31</v>
      </c>
    </row>
    <row r="1918" spans="1:18" x14ac:dyDescent="0.3">
      <c r="A1918" s="26">
        <v>907</v>
      </c>
      <c r="B1918" s="23" t="s">
        <v>538</v>
      </c>
      <c r="C1918" s="5" t="s">
        <v>345</v>
      </c>
      <c r="D1918" s="5" t="s">
        <v>18</v>
      </c>
      <c r="E1918" s="5" t="s">
        <v>9</v>
      </c>
      <c r="F1918" s="6">
        <v>45473</v>
      </c>
      <c r="G1918" s="5">
        <f t="shared" si="310"/>
        <v>2024</v>
      </c>
      <c r="H1918" s="5" t="str">
        <f t="shared" si="311"/>
        <v>Junio</v>
      </c>
      <c r="I1918" s="6" t="str">
        <f t="shared" si="312"/>
        <v>2024-1</v>
      </c>
      <c r="J1918" s="11">
        <v>12</v>
      </c>
      <c r="K1918" s="9">
        <v>52</v>
      </c>
      <c r="L1918" s="15">
        <f t="shared" si="316"/>
        <v>1.3</v>
      </c>
      <c r="M1918" s="15">
        <f t="shared" si="317"/>
        <v>4.333333333333333</v>
      </c>
      <c r="N1918" s="5" t="s">
        <v>347</v>
      </c>
      <c r="O1918" s="5" t="s">
        <v>347</v>
      </c>
      <c r="P1918" s="16">
        <v>0</v>
      </c>
      <c r="Q1918" s="16">
        <v>0</v>
      </c>
      <c r="R1918" s="5" t="str">
        <f t="shared" si="313"/>
        <v>907-2024-06-30</v>
      </c>
    </row>
    <row r="1919" spans="1:18" x14ac:dyDescent="0.3">
      <c r="A1919" s="26">
        <v>907</v>
      </c>
      <c r="B1919" s="23" t="s">
        <v>538</v>
      </c>
      <c r="C1919" s="5" t="s">
        <v>345</v>
      </c>
      <c r="D1919" s="5" t="s">
        <v>18</v>
      </c>
      <c r="E1919" s="5" t="s">
        <v>9</v>
      </c>
      <c r="F1919" s="6">
        <v>45535</v>
      </c>
      <c r="G1919" s="5">
        <f t="shared" si="310"/>
        <v>2024</v>
      </c>
      <c r="H1919" s="5" t="str">
        <f t="shared" si="311"/>
        <v>Agosto</v>
      </c>
      <c r="I1919" s="6" t="str">
        <f t="shared" si="312"/>
        <v>2024-2</v>
      </c>
      <c r="J1919" s="11">
        <v>54</v>
      </c>
      <c r="K1919" s="9">
        <v>53</v>
      </c>
      <c r="L1919" s="15">
        <f t="shared" si="316"/>
        <v>0.98148148148148151</v>
      </c>
      <c r="M1919" s="15">
        <f t="shared" si="317"/>
        <v>0.98148148148148151</v>
      </c>
      <c r="N1919" s="5" t="s">
        <v>347</v>
      </c>
      <c r="O1919" s="5" t="s">
        <v>347</v>
      </c>
      <c r="P1919" s="16">
        <v>0</v>
      </c>
      <c r="Q1919" s="16">
        <v>0</v>
      </c>
      <c r="R1919" s="5" t="str">
        <f t="shared" si="313"/>
        <v>907-2024-08-31</v>
      </c>
    </row>
    <row r="1920" spans="1:18" x14ac:dyDescent="0.3">
      <c r="A1920" s="26">
        <v>907</v>
      </c>
      <c r="B1920" s="23" t="s">
        <v>538</v>
      </c>
      <c r="C1920" s="5" t="s">
        <v>345</v>
      </c>
      <c r="D1920" s="5" t="s">
        <v>18</v>
      </c>
      <c r="E1920" s="5" t="s">
        <v>9</v>
      </c>
      <c r="F1920" s="6">
        <v>45565</v>
      </c>
      <c r="G1920" s="5">
        <f t="shared" si="310"/>
        <v>2024</v>
      </c>
      <c r="H1920" s="5" t="str">
        <f t="shared" si="311"/>
        <v>Septiembre</v>
      </c>
      <c r="I1920" s="6" t="str">
        <f t="shared" si="312"/>
        <v>2024-2</v>
      </c>
      <c r="J1920" s="11">
        <v>69</v>
      </c>
      <c r="K1920" s="9">
        <v>71</v>
      </c>
      <c r="L1920" s="15">
        <f t="shared" si="316"/>
        <v>1.0289855072463767</v>
      </c>
      <c r="M1920" s="15">
        <f t="shared" si="317"/>
        <v>1.0289855072463767</v>
      </c>
      <c r="N1920" s="5" t="s">
        <v>347</v>
      </c>
      <c r="O1920" s="5" t="s">
        <v>347</v>
      </c>
      <c r="P1920" s="16">
        <v>0</v>
      </c>
      <c r="Q1920" s="16">
        <v>0</v>
      </c>
      <c r="R1920" s="5" t="str">
        <f t="shared" si="313"/>
        <v>907-2024-09-30</v>
      </c>
    </row>
    <row r="1921" spans="1:18" x14ac:dyDescent="0.3">
      <c r="A1921" s="26">
        <v>907</v>
      </c>
      <c r="B1921" s="23" t="s">
        <v>538</v>
      </c>
      <c r="C1921" s="5" t="s">
        <v>345</v>
      </c>
      <c r="D1921" s="5" t="s">
        <v>18</v>
      </c>
      <c r="E1921" s="5" t="s">
        <v>9</v>
      </c>
      <c r="F1921" s="6">
        <v>45596</v>
      </c>
      <c r="G1921" s="5">
        <f t="shared" si="310"/>
        <v>2024</v>
      </c>
      <c r="H1921" s="5" t="str">
        <f t="shared" si="311"/>
        <v>Octubre</v>
      </c>
      <c r="I1921" s="6" t="str">
        <f t="shared" si="312"/>
        <v>2024-2</v>
      </c>
      <c r="J1921" s="11">
        <v>89</v>
      </c>
      <c r="K1921" s="9">
        <v>83</v>
      </c>
      <c r="L1921" s="15">
        <f t="shared" si="316"/>
        <v>0.93258426966292129</v>
      </c>
      <c r="M1921" s="15">
        <f t="shared" si="317"/>
        <v>0.93258426966292129</v>
      </c>
      <c r="N1921" s="5" t="s">
        <v>347</v>
      </c>
      <c r="O1921" s="5" t="s">
        <v>347</v>
      </c>
      <c r="P1921" s="16">
        <v>0</v>
      </c>
      <c r="Q1921" s="16">
        <v>0</v>
      </c>
      <c r="R1921" s="5" t="str">
        <f t="shared" si="313"/>
        <v>907-2024-10-31</v>
      </c>
    </row>
    <row r="1922" spans="1:18" x14ac:dyDescent="0.3">
      <c r="A1922" s="26">
        <v>907</v>
      </c>
      <c r="B1922" s="23" t="s">
        <v>538</v>
      </c>
      <c r="C1922" s="5" t="s">
        <v>345</v>
      </c>
      <c r="D1922" s="5" t="s">
        <v>18</v>
      </c>
      <c r="E1922" s="5" t="s">
        <v>9</v>
      </c>
      <c r="F1922" s="6">
        <v>45626</v>
      </c>
      <c r="G1922" s="5">
        <f t="shared" ref="G1922:G1985" si="318">YEAR(F1922)</f>
        <v>2024</v>
      </c>
      <c r="H1922" s="5" t="str">
        <f t="shared" ref="H1922:H1985" si="319">PROPER(TEXT(F1922,"mmmm"))</f>
        <v>Noviembre</v>
      </c>
      <c r="I1922" s="6" t="str">
        <f t="shared" si="312"/>
        <v>2024-2</v>
      </c>
      <c r="J1922" s="11">
        <v>89</v>
      </c>
      <c r="K1922" s="9">
        <v>83</v>
      </c>
      <c r="L1922" s="15">
        <f t="shared" si="316"/>
        <v>0.93258426966292129</v>
      </c>
      <c r="M1922" s="15">
        <f t="shared" si="317"/>
        <v>0.93258426966292129</v>
      </c>
      <c r="N1922" s="5" t="s">
        <v>347</v>
      </c>
      <c r="O1922" s="5" t="s">
        <v>347</v>
      </c>
      <c r="P1922" s="16">
        <v>0</v>
      </c>
      <c r="Q1922" s="16">
        <v>0</v>
      </c>
      <c r="R1922" s="5" t="str">
        <f t="shared" si="313"/>
        <v>907-2024-11-30</v>
      </c>
    </row>
    <row r="1923" spans="1:18" x14ac:dyDescent="0.3">
      <c r="A1923" s="26">
        <v>907</v>
      </c>
      <c r="B1923" s="23" t="s">
        <v>538</v>
      </c>
      <c r="C1923" s="5" t="s">
        <v>345</v>
      </c>
      <c r="D1923" s="5" t="s">
        <v>18</v>
      </c>
      <c r="E1923" s="5" t="s">
        <v>9</v>
      </c>
      <c r="F1923" s="6">
        <v>45657</v>
      </c>
      <c r="G1923" s="5">
        <f t="shared" si="318"/>
        <v>2024</v>
      </c>
      <c r="H1923" s="5" t="str">
        <f t="shared" si="319"/>
        <v>Diciembre</v>
      </c>
      <c r="I1923" s="6" t="str">
        <f t="shared" si="312"/>
        <v>2024-2</v>
      </c>
      <c r="J1923" s="11">
        <v>100</v>
      </c>
      <c r="K1923" s="11">
        <v>100</v>
      </c>
      <c r="L1923" s="15">
        <f t="shared" si="316"/>
        <v>1</v>
      </c>
      <c r="M1923" s="15">
        <f t="shared" si="317"/>
        <v>1</v>
      </c>
      <c r="N1923" s="5" t="s">
        <v>347</v>
      </c>
      <c r="O1923" s="5" t="s">
        <v>347</v>
      </c>
      <c r="P1923" s="16">
        <v>0</v>
      </c>
      <c r="Q1923" s="16">
        <v>0</v>
      </c>
      <c r="R1923" s="5" t="str">
        <f t="shared" si="313"/>
        <v>907-2024-12-31</v>
      </c>
    </row>
    <row r="1924" spans="1:18" x14ac:dyDescent="0.3">
      <c r="A1924" s="26">
        <v>908</v>
      </c>
      <c r="B1924" s="23" t="s">
        <v>539</v>
      </c>
      <c r="C1924" s="5" t="s">
        <v>315</v>
      </c>
      <c r="D1924" s="5" t="s">
        <v>18</v>
      </c>
      <c r="E1924" s="5" t="s">
        <v>9</v>
      </c>
      <c r="F1924" s="6">
        <v>45473</v>
      </c>
      <c r="G1924" s="5">
        <f t="shared" si="318"/>
        <v>2024</v>
      </c>
      <c r="H1924" s="5" t="str">
        <f t="shared" si="319"/>
        <v>Junio</v>
      </c>
      <c r="I1924" s="6" t="str">
        <f t="shared" ref="I1924:I1987" si="320">IF(OR(H1924="Enero",H1924="Febrero",H1924="Marzo",H1924="Abril",H1924="Mayo",H1924="Junio"),G1924&amp;"-1",IF(OR(H1924="Julio",H1924="Agosto",H1924="Septiembre",H1924="Octubre",H1924="Noviembre",H1924="Diciembre"),G1924&amp;"-2"))</f>
        <v>2024-1</v>
      </c>
      <c r="J1924" s="11">
        <v>20</v>
      </c>
      <c r="K1924" s="9">
        <v>20</v>
      </c>
      <c r="L1924" s="15">
        <f t="shared" si="316"/>
        <v>1</v>
      </c>
      <c r="M1924" s="15">
        <f t="shared" si="317"/>
        <v>1</v>
      </c>
      <c r="N1924" s="5" t="s">
        <v>347</v>
      </c>
      <c r="O1924" s="5" t="s">
        <v>347</v>
      </c>
      <c r="P1924" s="16">
        <v>0</v>
      </c>
      <c r="Q1924" s="16">
        <v>0</v>
      </c>
      <c r="R1924" s="5" t="str">
        <f t="shared" ref="R1924:R1987" si="321">A1924&amp;"-"&amp;YEAR(F1924)&amp;"-"&amp;IF(LEN(MONTH(F1924))=1,"0"&amp;MONTH(F1924),MONTH(F1924))&amp;"-"&amp;DAY(F1924)</f>
        <v>908-2024-06-30</v>
      </c>
    </row>
    <row r="1925" spans="1:18" x14ac:dyDescent="0.3">
      <c r="A1925" s="26">
        <v>908</v>
      </c>
      <c r="B1925" s="23" t="s">
        <v>539</v>
      </c>
      <c r="C1925" s="5" t="s">
        <v>315</v>
      </c>
      <c r="D1925" s="5" t="s">
        <v>18</v>
      </c>
      <c r="E1925" s="5" t="s">
        <v>9</v>
      </c>
      <c r="F1925" s="6">
        <v>45504</v>
      </c>
      <c r="G1925" s="5">
        <f t="shared" si="318"/>
        <v>2024</v>
      </c>
      <c r="H1925" s="5" t="str">
        <f t="shared" si="319"/>
        <v>Julio</v>
      </c>
      <c r="I1925" s="6" t="str">
        <f t="shared" si="320"/>
        <v>2024-2</v>
      </c>
      <c r="J1925" s="11">
        <v>20</v>
      </c>
      <c r="K1925" s="9">
        <v>20</v>
      </c>
      <c r="L1925" s="15">
        <f t="shared" si="316"/>
        <v>1</v>
      </c>
      <c r="M1925" s="15">
        <f t="shared" si="317"/>
        <v>1</v>
      </c>
      <c r="N1925" s="5" t="s">
        <v>347</v>
      </c>
      <c r="O1925" s="5" t="s">
        <v>347</v>
      </c>
      <c r="P1925" s="16">
        <v>0</v>
      </c>
      <c r="Q1925" s="16">
        <v>0</v>
      </c>
      <c r="R1925" s="5" t="str">
        <f t="shared" si="321"/>
        <v>908-2024-07-31</v>
      </c>
    </row>
    <row r="1926" spans="1:18" x14ac:dyDescent="0.3">
      <c r="A1926" s="26">
        <v>908</v>
      </c>
      <c r="B1926" s="23" t="s">
        <v>539</v>
      </c>
      <c r="C1926" s="5" t="s">
        <v>315</v>
      </c>
      <c r="D1926" s="5" t="s">
        <v>18</v>
      </c>
      <c r="E1926" s="5" t="s">
        <v>9</v>
      </c>
      <c r="F1926" s="6">
        <v>45535</v>
      </c>
      <c r="G1926" s="5">
        <f t="shared" si="318"/>
        <v>2024</v>
      </c>
      <c r="H1926" s="5" t="str">
        <f t="shared" si="319"/>
        <v>Agosto</v>
      </c>
      <c r="I1926" s="6" t="str">
        <f t="shared" si="320"/>
        <v>2024-2</v>
      </c>
      <c r="J1926" s="11">
        <v>67</v>
      </c>
      <c r="K1926" s="9">
        <v>64</v>
      </c>
      <c r="L1926" s="15">
        <f t="shared" ref="L1926:L1930" si="322">IFERROR(IF((K1926/J1926)&gt;1.3,1.3,K1926/J1926),"")</f>
        <v>0.95522388059701491</v>
      </c>
      <c r="M1926" s="15">
        <f t="shared" si="317"/>
        <v>0.95522388059701491</v>
      </c>
      <c r="N1926" s="5" t="s">
        <v>347</v>
      </c>
      <c r="O1926" s="5" t="s">
        <v>347</v>
      </c>
      <c r="P1926" s="16">
        <v>0</v>
      </c>
      <c r="Q1926" s="16">
        <v>0</v>
      </c>
      <c r="R1926" s="5" t="str">
        <f t="shared" si="321"/>
        <v>908-2024-08-31</v>
      </c>
    </row>
    <row r="1927" spans="1:18" x14ac:dyDescent="0.3">
      <c r="A1927" s="26">
        <v>908</v>
      </c>
      <c r="B1927" s="23" t="s">
        <v>539</v>
      </c>
      <c r="C1927" s="5" t="s">
        <v>315</v>
      </c>
      <c r="D1927" s="5" t="s">
        <v>18</v>
      </c>
      <c r="E1927" s="5" t="s">
        <v>9</v>
      </c>
      <c r="F1927" s="6">
        <v>45565</v>
      </c>
      <c r="G1927" s="5">
        <f t="shared" si="318"/>
        <v>2024</v>
      </c>
      <c r="H1927" s="5" t="str">
        <f t="shared" si="319"/>
        <v>Septiembre</v>
      </c>
      <c r="I1927" s="6" t="str">
        <f t="shared" si="320"/>
        <v>2024-2</v>
      </c>
      <c r="J1927" s="11">
        <v>84</v>
      </c>
      <c r="K1927" s="9">
        <v>84</v>
      </c>
      <c r="L1927" s="15">
        <f t="shared" si="322"/>
        <v>1</v>
      </c>
      <c r="M1927" s="15">
        <f t="shared" si="317"/>
        <v>1</v>
      </c>
      <c r="N1927" s="5" t="s">
        <v>347</v>
      </c>
      <c r="O1927" s="5" t="s">
        <v>347</v>
      </c>
      <c r="P1927" s="16">
        <v>0</v>
      </c>
      <c r="Q1927" s="16">
        <v>0</v>
      </c>
      <c r="R1927" s="5" t="str">
        <f t="shared" si="321"/>
        <v>908-2024-09-30</v>
      </c>
    </row>
    <row r="1928" spans="1:18" x14ac:dyDescent="0.3">
      <c r="A1928" s="26">
        <v>908</v>
      </c>
      <c r="B1928" s="23" t="s">
        <v>539</v>
      </c>
      <c r="C1928" s="5" t="s">
        <v>315</v>
      </c>
      <c r="D1928" s="5" t="s">
        <v>18</v>
      </c>
      <c r="E1928" s="5" t="s">
        <v>9</v>
      </c>
      <c r="F1928" s="6">
        <v>45596</v>
      </c>
      <c r="G1928" s="5">
        <f t="shared" si="318"/>
        <v>2024</v>
      </c>
      <c r="H1928" s="5" t="str">
        <f t="shared" si="319"/>
        <v>Octubre</v>
      </c>
      <c r="I1928" s="6" t="str">
        <f t="shared" si="320"/>
        <v>2024-2</v>
      </c>
      <c r="J1928" s="11">
        <v>100</v>
      </c>
      <c r="K1928" s="9">
        <v>95</v>
      </c>
      <c r="L1928" s="15">
        <f t="shared" si="322"/>
        <v>0.95</v>
      </c>
      <c r="M1928" s="15">
        <f t="shared" si="317"/>
        <v>0.95</v>
      </c>
      <c r="N1928" s="5" t="s">
        <v>347</v>
      </c>
      <c r="O1928" s="5" t="s">
        <v>347</v>
      </c>
      <c r="P1928" s="16">
        <v>0</v>
      </c>
      <c r="Q1928" s="16">
        <v>0</v>
      </c>
      <c r="R1928" s="5" t="str">
        <f t="shared" si="321"/>
        <v>908-2024-10-31</v>
      </c>
    </row>
    <row r="1929" spans="1:18" x14ac:dyDescent="0.3">
      <c r="A1929" s="26">
        <v>908</v>
      </c>
      <c r="B1929" s="23" t="s">
        <v>539</v>
      </c>
      <c r="C1929" s="5" t="s">
        <v>315</v>
      </c>
      <c r="D1929" s="5" t="s">
        <v>18</v>
      </c>
      <c r="E1929" s="5" t="s">
        <v>9</v>
      </c>
      <c r="F1929" s="6">
        <v>45626</v>
      </c>
      <c r="G1929" s="5">
        <f t="shared" si="318"/>
        <v>2024</v>
      </c>
      <c r="H1929" s="5" t="str">
        <f t="shared" si="319"/>
        <v>Noviembre</v>
      </c>
      <c r="I1929" s="6" t="str">
        <f t="shared" si="320"/>
        <v>2024-2</v>
      </c>
      <c r="J1929" s="11">
        <v>100</v>
      </c>
      <c r="K1929" s="9">
        <v>99</v>
      </c>
      <c r="L1929" s="15">
        <f t="shared" si="322"/>
        <v>0.99</v>
      </c>
      <c r="M1929" s="15">
        <f t="shared" si="317"/>
        <v>0.99</v>
      </c>
      <c r="N1929" s="5" t="s">
        <v>347</v>
      </c>
      <c r="O1929" s="5" t="s">
        <v>347</v>
      </c>
      <c r="P1929" s="16">
        <v>0</v>
      </c>
      <c r="Q1929" s="16">
        <v>0</v>
      </c>
      <c r="R1929" s="5" t="str">
        <f t="shared" si="321"/>
        <v>908-2024-11-30</v>
      </c>
    </row>
    <row r="1930" spans="1:18" x14ac:dyDescent="0.3">
      <c r="A1930" s="26">
        <v>908</v>
      </c>
      <c r="B1930" s="23" t="s">
        <v>539</v>
      </c>
      <c r="C1930" s="5" t="s">
        <v>315</v>
      </c>
      <c r="D1930" s="5" t="s">
        <v>18</v>
      </c>
      <c r="E1930" s="5" t="s">
        <v>9</v>
      </c>
      <c r="F1930" s="6">
        <v>45657</v>
      </c>
      <c r="G1930" s="5">
        <f t="shared" si="318"/>
        <v>2024</v>
      </c>
      <c r="H1930" s="5" t="str">
        <f t="shared" si="319"/>
        <v>Diciembre</v>
      </c>
      <c r="I1930" s="6" t="str">
        <f t="shared" si="320"/>
        <v>2024-2</v>
      </c>
      <c r="J1930" s="11">
        <v>100</v>
      </c>
      <c r="K1930" s="9">
        <v>100</v>
      </c>
      <c r="L1930" s="15">
        <f t="shared" si="322"/>
        <v>1</v>
      </c>
      <c r="M1930" s="15">
        <f t="shared" si="317"/>
        <v>1</v>
      </c>
      <c r="N1930" s="5" t="s">
        <v>347</v>
      </c>
      <c r="O1930" s="5" t="s">
        <v>347</v>
      </c>
      <c r="P1930" s="16">
        <v>0</v>
      </c>
      <c r="Q1930" s="16">
        <v>0</v>
      </c>
      <c r="R1930" s="5" t="str">
        <f t="shared" si="321"/>
        <v>908-2024-12-31</v>
      </c>
    </row>
    <row r="1931" spans="1:18" x14ac:dyDescent="0.3">
      <c r="A1931" s="5" t="s">
        <v>424</v>
      </c>
      <c r="B1931" s="5" t="s">
        <v>425</v>
      </c>
      <c r="C1931" s="5" t="s">
        <v>158</v>
      </c>
      <c r="D1931" s="5" t="s">
        <v>18</v>
      </c>
      <c r="E1931" s="5" t="s">
        <v>9</v>
      </c>
      <c r="F1931" s="6">
        <v>44742</v>
      </c>
      <c r="G1931" s="5">
        <f t="shared" si="318"/>
        <v>2022</v>
      </c>
      <c r="H1931" s="5" t="str">
        <f t="shared" si="319"/>
        <v>Junio</v>
      </c>
      <c r="I1931" s="6" t="str">
        <f t="shared" si="320"/>
        <v>2022-1</v>
      </c>
      <c r="J1931" s="5">
        <v>50</v>
      </c>
      <c r="K1931" s="9">
        <v>30</v>
      </c>
      <c r="L1931" s="15">
        <v>0.6</v>
      </c>
      <c r="M1931" s="15">
        <v>0.6</v>
      </c>
      <c r="N1931" s="5" t="s">
        <v>347</v>
      </c>
      <c r="O1931" s="5" t="s">
        <v>347</v>
      </c>
      <c r="P1931" s="5">
        <v>0</v>
      </c>
      <c r="Q1931" s="5">
        <v>0</v>
      </c>
      <c r="R1931" s="5" t="str">
        <f t="shared" si="321"/>
        <v>10.1-2022-06-30</v>
      </c>
    </row>
    <row r="1932" spans="1:18" x14ac:dyDescent="0.3">
      <c r="A1932" s="5" t="s">
        <v>424</v>
      </c>
      <c r="B1932" s="5" t="s">
        <v>425</v>
      </c>
      <c r="C1932" s="5" t="s">
        <v>158</v>
      </c>
      <c r="D1932" s="5" t="s">
        <v>18</v>
      </c>
      <c r="E1932" s="5" t="s">
        <v>9</v>
      </c>
      <c r="F1932" s="6">
        <v>44926</v>
      </c>
      <c r="G1932" s="5">
        <f t="shared" si="318"/>
        <v>2022</v>
      </c>
      <c r="H1932" s="5" t="str">
        <f t="shared" si="319"/>
        <v>Diciembre</v>
      </c>
      <c r="I1932" s="6" t="str">
        <f t="shared" si="320"/>
        <v>2022-2</v>
      </c>
      <c r="J1932" s="5">
        <v>87</v>
      </c>
      <c r="K1932" s="9">
        <v>89</v>
      </c>
      <c r="L1932" s="15">
        <v>1.0229885057471264</v>
      </c>
      <c r="M1932" s="15">
        <v>1.0229885057471264</v>
      </c>
      <c r="N1932" s="5" t="s">
        <v>347</v>
      </c>
      <c r="O1932" s="5" t="s">
        <v>347</v>
      </c>
      <c r="P1932" s="5">
        <v>0</v>
      </c>
      <c r="Q1932" s="5">
        <v>0</v>
      </c>
      <c r="R1932" s="5" t="str">
        <f t="shared" si="321"/>
        <v>10.1-2022-12-31</v>
      </c>
    </row>
    <row r="1933" spans="1:18" x14ac:dyDescent="0.3">
      <c r="A1933" s="5" t="s">
        <v>424</v>
      </c>
      <c r="B1933" s="5" t="s">
        <v>425</v>
      </c>
      <c r="C1933" s="5" t="s">
        <v>158</v>
      </c>
      <c r="D1933" s="5" t="s">
        <v>18</v>
      </c>
      <c r="E1933" s="5" t="s">
        <v>9</v>
      </c>
      <c r="F1933" s="6">
        <v>44956</v>
      </c>
      <c r="G1933" s="5">
        <f t="shared" si="318"/>
        <v>2023</v>
      </c>
      <c r="H1933" s="5" t="str">
        <f t="shared" si="319"/>
        <v>Enero</v>
      </c>
      <c r="I1933" s="6" t="str">
        <f t="shared" si="320"/>
        <v>2023-1</v>
      </c>
      <c r="J1933" s="5">
        <v>97</v>
      </c>
      <c r="K1933" s="9">
        <v>97</v>
      </c>
      <c r="L1933" s="15">
        <f>IFERROR(IF((K1933/J1933)&gt;1.3,1.3,K1933/J1933),"")</f>
        <v>1</v>
      </c>
      <c r="M1933" s="15">
        <f>IFERROR(IF((K1933/J1933)&gt;K1933/J1933,1.3,K1933/J1933),"")</f>
        <v>1</v>
      </c>
      <c r="N1933" s="5" t="s">
        <v>347</v>
      </c>
      <c r="O1933" s="5" t="s">
        <v>347</v>
      </c>
      <c r="P1933" s="5">
        <v>0</v>
      </c>
      <c r="Q1933" s="5">
        <v>0</v>
      </c>
      <c r="R1933" s="5" t="str">
        <f t="shared" si="321"/>
        <v>10.1-2023-01-30</v>
      </c>
    </row>
    <row r="1934" spans="1:18" x14ac:dyDescent="0.3">
      <c r="A1934" s="5" t="s">
        <v>424</v>
      </c>
      <c r="B1934" s="5" t="s">
        <v>425</v>
      </c>
      <c r="C1934" s="5" t="s">
        <v>158</v>
      </c>
      <c r="D1934" s="5" t="s">
        <v>18</v>
      </c>
      <c r="E1934" s="5" t="s">
        <v>9</v>
      </c>
      <c r="F1934" s="6">
        <v>44985</v>
      </c>
      <c r="G1934" s="5">
        <f t="shared" si="318"/>
        <v>2023</v>
      </c>
      <c r="H1934" s="5" t="str">
        <f t="shared" si="319"/>
        <v>Febrero</v>
      </c>
      <c r="I1934" s="6" t="str">
        <f t="shared" si="320"/>
        <v>2023-1</v>
      </c>
      <c r="J1934" s="5">
        <v>97</v>
      </c>
      <c r="K1934" s="9">
        <v>97</v>
      </c>
      <c r="L1934" s="15">
        <f>IFERROR(IF((K1934/J1934)&gt;1.3,1.3,K1934/J1934),"")</f>
        <v>1</v>
      </c>
      <c r="M1934" s="15">
        <f>IFERROR(IF((K1934/J1934)&gt;K1934/J1934,1.3,K1934/J1934),"")</f>
        <v>1</v>
      </c>
      <c r="N1934" s="5" t="s">
        <v>347</v>
      </c>
      <c r="O1934" s="5" t="s">
        <v>347</v>
      </c>
      <c r="P1934" s="5">
        <v>0</v>
      </c>
      <c r="Q1934" s="5">
        <v>0</v>
      </c>
      <c r="R1934" s="5" t="str">
        <f t="shared" si="321"/>
        <v>10.1-2023-02-28</v>
      </c>
    </row>
    <row r="1935" spans="1:18" x14ac:dyDescent="0.3">
      <c r="A1935" s="5" t="s">
        <v>424</v>
      </c>
      <c r="B1935" s="5" t="s">
        <v>425</v>
      </c>
      <c r="C1935" s="5" t="s">
        <v>158</v>
      </c>
      <c r="D1935" s="5" t="s">
        <v>18</v>
      </c>
      <c r="E1935" s="5" t="s">
        <v>9</v>
      </c>
      <c r="F1935" s="6">
        <v>45016</v>
      </c>
      <c r="G1935" s="5">
        <f t="shared" si="318"/>
        <v>2023</v>
      </c>
      <c r="H1935" s="5" t="str">
        <f t="shared" si="319"/>
        <v>Marzo</v>
      </c>
      <c r="I1935" s="6" t="str">
        <f t="shared" si="320"/>
        <v>2023-1</v>
      </c>
      <c r="J1935" s="5">
        <v>100</v>
      </c>
      <c r="K1935" s="9">
        <v>100</v>
      </c>
      <c r="L1935" s="15">
        <f>IFERROR(IF((K1935/J1935)&gt;1.3,1.3,K1935/J1935),"")</f>
        <v>1</v>
      </c>
      <c r="M1935" s="15">
        <f>IFERROR(IF((K1935/J1935)&gt;K1935/J1935,1.3,K1935/J1935),"")</f>
        <v>1</v>
      </c>
      <c r="N1935" s="5" t="s">
        <v>347</v>
      </c>
      <c r="O1935" s="5" t="s">
        <v>347</v>
      </c>
      <c r="P1935" s="5">
        <v>0</v>
      </c>
      <c r="Q1935" s="5">
        <v>0</v>
      </c>
      <c r="R1935" s="5" t="str">
        <f t="shared" si="321"/>
        <v>10.1-2023-03-31</v>
      </c>
    </row>
    <row r="1936" spans="1:18" x14ac:dyDescent="0.3">
      <c r="A1936" s="5" t="s">
        <v>435</v>
      </c>
      <c r="B1936" s="5" t="s">
        <v>39</v>
      </c>
      <c r="C1936" s="5" t="s">
        <v>131</v>
      </c>
      <c r="D1936" s="5" t="s">
        <v>25</v>
      </c>
      <c r="E1936" s="5" t="s">
        <v>9</v>
      </c>
      <c r="F1936" s="6">
        <v>44926</v>
      </c>
      <c r="G1936" s="5">
        <f t="shared" si="318"/>
        <v>2022</v>
      </c>
      <c r="H1936" s="5" t="str">
        <f t="shared" si="319"/>
        <v>Diciembre</v>
      </c>
      <c r="I1936" s="6" t="str">
        <f t="shared" si="320"/>
        <v>2022-2</v>
      </c>
      <c r="J1936" s="5">
        <v>80</v>
      </c>
      <c r="K1936" s="5">
        <v>80.476190476190496</v>
      </c>
      <c r="L1936" s="15">
        <v>1.0059523809523812</v>
      </c>
      <c r="M1936" s="15">
        <v>1.0059523809523812</v>
      </c>
      <c r="N1936" s="5" t="s">
        <v>347</v>
      </c>
      <c r="O1936" s="5" t="s">
        <v>347</v>
      </c>
      <c r="P1936" s="5">
        <v>0</v>
      </c>
      <c r="Q1936" s="5">
        <v>0</v>
      </c>
      <c r="R1936" s="5" t="str">
        <f t="shared" si="321"/>
        <v>108.1-2022-12-31</v>
      </c>
    </row>
    <row r="1937" spans="1:18" x14ac:dyDescent="0.3">
      <c r="A1937" s="26" t="s">
        <v>435</v>
      </c>
      <c r="B1937" s="5" t="s">
        <v>39</v>
      </c>
      <c r="C1937" s="5" t="s">
        <v>131</v>
      </c>
      <c r="D1937" s="5" t="s">
        <v>25</v>
      </c>
      <c r="E1937" s="5" t="s">
        <v>9</v>
      </c>
      <c r="F1937" s="6">
        <v>45230</v>
      </c>
      <c r="G1937" s="5">
        <f t="shared" si="318"/>
        <v>2023</v>
      </c>
      <c r="H1937" s="5" t="str">
        <f t="shared" si="319"/>
        <v>Octubre</v>
      </c>
      <c r="I1937" s="6" t="str">
        <f t="shared" si="320"/>
        <v>2023-2</v>
      </c>
      <c r="J1937" s="5">
        <v>80</v>
      </c>
      <c r="K1937" s="9">
        <v>92.953627628463991</v>
      </c>
      <c r="L1937" s="15">
        <f>IFERROR(IF((K1937/J1937)&gt;1.3,1.3,K1937/J1937),"")</f>
        <v>1.1619203453557998</v>
      </c>
      <c r="M1937" s="15">
        <f>IFERROR(IF((K1937/J1937)&gt;K1937/J1937,1.3,K1937/J1937),"")</f>
        <v>1.1619203453557998</v>
      </c>
      <c r="N1937" s="5" t="s">
        <v>347</v>
      </c>
      <c r="O1937" s="5" t="s">
        <v>347</v>
      </c>
      <c r="P1937" s="16">
        <v>0</v>
      </c>
      <c r="Q1937" s="16">
        <v>0</v>
      </c>
      <c r="R1937" s="5" t="str">
        <f t="shared" si="321"/>
        <v>108.1-2023-10-31</v>
      </c>
    </row>
    <row r="1938" spans="1:18" x14ac:dyDescent="0.3">
      <c r="A1938" s="5" t="s">
        <v>435</v>
      </c>
      <c r="B1938" s="5" t="s">
        <v>39</v>
      </c>
      <c r="C1938" s="5" t="s">
        <v>131</v>
      </c>
      <c r="D1938" s="5" t="s">
        <v>25</v>
      </c>
      <c r="E1938" s="5" t="s">
        <v>9</v>
      </c>
      <c r="F1938" s="6">
        <v>45291</v>
      </c>
      <c r="G1938" s="5">
        <f t="shared" si="318"/>
        <v>2023</v>
      </c>
      <c r="H1938" s="5" t="str">
        <f t="shared" si="319"/>
        <v>Diciembre</v>
      </c>
      <c r="I1938" s="6" t="str">
        <f t="shared" si="320"/>
        <v>2023-2</v>
      </c>
      <c r="J1938" s="5">
        <v>80</v>
      </c>
      <c r="K1938" s="9">
        <v>80.476190476190496</v>
      </c>
      <c r="L1938" s="21">
        <v>1.0059523809523812</v>
      </c>
      <c r="M1938" s="15">
        <v>1.0059523809523812</v>
      </c>
      <c r="N1938" s="5" t="s">
        <v>347</v>
      </c>
      <c r="O1938" s="5" t="s">
        <v>347</v>
      </c>
      <c r="P1938" s="5">
        <v>0</v>
      </c>
      <c r="Q1938" s="5">
        <v>0</v>
      </c>
      <c r="R1938" s="5" t="str">
        <f t="shared" si="321"/>
        <v>108.1-2023-12-31</v>
      </c>
    </row>
    <row r="1939" spans="1:18" x14ac:dyDescent="0.3">
      <c r="A1939" s="26" t="s">
        <v>451</v>
      </c>
      <c r="B1939" s="5" t="s">
        <v>39</v>
      </c>
      <c r="C1939" s="5" t="s">
        <v>152</v>
      </c>
      <c r="D1939" s="5" t="s">
        <v>25</v>
      </c>
      <c r="E1939" s="5" t="s">
        <v>9</v>
      </c>
      <c r="F1939" s="6">
        <v>45230</v>
      </c>
      <c r="G1939" s="5">
        <f t="shared" si="318"/>
        <v>2023</v>
      </c>
      <c r="H1939" s="5" t="str">
        <f t="shared" si="319"/>
        <v>Octubre</v>
      </c>
      <c r="I1939" s="6" t="str">
        <f t="shared" si="320"/>
        <v>2023-2</v>
      </c>
      <c r="J1939" s="5">
        <v>80</v>
      </c>
      <c r="K1939" s="9">
        <v>89.440265168623696</v>
      </c>
      <c r="L1939" s="15">
        <f>IFERROR(IF((K1939/J1939)&gt;1.3,1.3,K1939/J1939),"")</f>
        <v>1.1180033146077961</v>
      </c>
      <c r="M1939" s="15">
        <f>IFERROR(IF((K1939/J1939)&gt;K1939/J1939,1.3,K1939/J1939),"")</f>
        <v>1.1180033146077961</v>
      </c>
      <c r="N1939" s="5" t="s">
        <v>347</v>
      </c>
      <c r="O1939" s="5" t="s">
        <v>347</v>
      </c>
      <c r="P1939" s="16">
        <v>0</v>
      </c>
      <c r="Q1939" s="16">
        <v>0</v>
      </c>
      <c r="R1939" s="5" t="str">
        <f t="shared" si="321"/>
        <v>108.10-2023-10-31</v>
      </c>
    </row>
    <row r="1940" spans="1:18" x14ac:dyDescent="0.3">
      <c r="A1940" s="5" t="s">
        <v>451</v>
      </c>
      <c r="B1940" s="5" t="s">
        <v>39</v>
      </c>
      <c r="C1940" s="5" t="s">
        <v>152</v>
      </c>
      <c r="D1940" s="5" t="s">
        <v>25</v>
      </c>
      <c r="E1940" s="5" t="s">
        <v>9</v>
      </c>
      <c r="F1940" s="6">
        <v>45291</v>
      </c>
      <c r="G1940" s="5">
        <f t="shared" si="318"/>
        <v>2023</v>
      </c>
      <c r="H1940" s="5" t="str">
        <f t="shared" si="319"/>
        <v>Diciembre</v>
      </c>
      <c r="I1940" s="6" t="str">
        <f t="shared" si="320"/>
        <v>2023-2</v>
      </c>
      <c r="J1940" s="5">
        <v>80</v>
      </c>
      <c r="K1940" s="5">
        <v>89.440265168623696</v>
      </c>
      <c r="L1940" s="15">
        <v>1.1180033146077961</v>
      </c>
      <c r="M1940" s="15">
        <v>1.1180033146077961</v>
      </c>
      <c r="N1940" s="5" t="s">
        <v>347</v>
      </c>
      <c r="O1940" s="5" t="s">
        <v>347</v>
      </c>
      <c r="P1940" s="5">
        <v>0</v>
      </c>
      <c r="Q1940" s="5">
        <v>0</v>
      </c>
      <c r="R1940" s="5" t="str">
        <f t="shared" si="321"/>
        <v>108.10-2023-12-31</v>
      </c>
    </row>
    <row r="1941" spans="1:18" x14ac:dyDescent="0.3">
      <c r="A1941" s="26" t="s">
        <v>452</v>
      </c>
      <c r="B1941" s="5" t="s">
        <v>39</v>
      </c>
      <c r="C1941" s="5" t="s">
        <v>134</v>
      </c>
      <c r="D1941" s="5" t="s">
        <v>25</v>
      </c>
      <c r="E1941" s="5" t="s">
        <v>9</v>
      </c>
      <c r="F1941" s="6">
        <v>45230</v>
      </c>
      <c r="G1941" s="5">
        <f t="shared" si="318"/>
        <v>2023</v>
      </c>
      <c r="H1941" s="5" t="str">
        <f t="shared" si="319"/>
        <v>Octubre</v>
      </c>
      <c r="I1941" s="6" t="str">
        <f t="shared" si="320"/>
        <v>2023-2</v>
      </c>
      <c r="J1941" s="5">
        <v>80</v>
      </c>
      <c r="K1941" s="9">
        <v>96.689723320158109</v>
      </c>
      <c r="L1941" s="15">
        <f>IFERROR(IF((K1941/J1941)&gt;1.3,1.3,K1941/J1941),"")</f>
        <v>1.2086215415019763</v>
      </c>
      <c r="M1941" s="15">
        <f>IFERROR(IF((K1941/J1941)&gt;K1941/J1941,1.3,K1941/J1941),"")</f>
        <v>1.2086215415019763</v>
      </c>
      <c r="N1941" s="5" t="s">
        <v>347</v>
      </c>
      <c r="O1941" s="5" t="s">
        <v>347</v>
      </c>
      <c r="P1941" s="16">
        <v>0</v>
      </c>
      <c r="Q1941" s="16">
        <v>0</v>
      </c>
      <c r="R1941" s="5" t="str">
        <f t="shared" si="321"/>
        <v>108.11-2023-10-31</v>
      </c>
    </row>
    <row r="1942" spans="1:18" x14ac:dyDescent="0.3">
      <c r="A1942" s="5" t="s">
        <v>452</v>
      </c>
      <c r="B1942" s="5" t="s">
        <v>39</v>
      </c>
      <c r="C1942" s="5" t="s">
        <v>134</v>
      </c>
      <c r="D1942" s="5" t="s">
        <v>25</v>
      </c>
      <c r="E1942" s="5" t="s">
        <v>9</v>
      </c>
      <c r="F1942" s="6">
        <v>45291</v>
      </c>
      <c r="G1942" s="5">
        <f t="shared" si="318"/>
        <v>2023</v>
      </c>
      <c r="H1942" s="5" t="str">
        <f t="shared" si="319"/>
        <v>Diciembre</v>
      </c>
      <c r="I1942" s="6" t="str">
        <f t="shared" si="320"/>
        <v>2023-2</v>
      </c>
      <c r="J1942" s="5">
        <v>80</v>
      </c>
      <c r="K1942" s="5">
        <v>96.689723320158109</v>
      </c>
      <c r="L1942" s="15">
        <v>1.2086215415019763</v>
      </c>
      <c r="M1942" s="15">
        <v>1.2086215415019763</v>
      </c>
      <c r="N1942" s="5" t="s">
        <v>347</v>
      </c>
      <c r="O1942" s="5" t="s">
        <v>347</v>
      </c>
      <c r="P1942" s="5">
        <v>0</v>
      </c>
      <c r="Q1942" s="5">
        <v>0</v>
      </c>
      <c r="R1942" s="5" t="str">
        <f t="shared" si="321"/>
        <v>108.11-2023-12-31</v>
      </c>
    </row>
    <row r="1943" spans="1:18" x14ac:dyDescent="0.3">
      <c r="A1943" s="26" t="s">
        <v>453</v>
      </c>
      <c r="B1943" s="5" t="s">
        <v>39</v>
      </c>
      <c r="C1943" s="5" t="s">
        <v>443</v>
      </c>
      <c r="D1943" s="5" t="s">
        <v>25</v>
      </c>
      <c r="E1943" s="5" t="s">
        <v>9</v>
      </c>
      <c r="F1943" s="6">
        <v>45230</v>
      </c>
      <c r="G1943" s="5">
        <f t="shared" si="318"/>
        <v>2023</v>
      </c>
      <c r="H1943" s="5" t="str">
        <f t="shared" si="319"/>
        <v>Octubre</v>
      </c>
      <c r="I1943" s="6" t="str">
        <f t="shared" si="320"/>
        <v>2023-2</v>
      </c>
      <c r="J1943" s="5">
        <v>80</v>
      </c>
      <c r="K1943" s="9">
        <v>84.559884559884608</v>
      </c>
      <c r="L1943" s="15">
        <f>IFERROR(IF((K1943/J1943)&gt;1.3,1.3,K1943/J1943),"")</f>
        <v>1.0569985569985576</v>
      </c>
      <c r="M1943" s="15">
        <f>IFERROR(IF((K1943/J1943)&gt;K1943/J1943,1.3,K1943/J1943),"")</f>
        <v>1.0569985569985576</v>
      </c>
      <c r="N1943" s="5" t="s">
        <v>347</v>
      </c>
      <c r="O1943" s="5" t="s">
        <v>347</v>
      </c>
      <c r="P1943" s="16">
        <v>0</v>
      </c>
      <c r="Q1943" s="16">
        <v>0</v>
      </c>
      <c r="R1943" s="5" t="str">
        <f t="shared" si="321"/>
        <v>108.12-2023-10-31</v>
      </c>
    </row>
    <row r="1944" spans="1:18" x14ac:dyDescent="0.3">
      <c r="A1944" s="5" t="s">
        <v>453</v>
      </c>
      <c r="B1944" s="5" t="s">
        <v>39</v>
      </c>
      <c r="C1944" s="5" t="s">
        <v>443</v>
      </c>
      <c r="D1944" s="5" t="s">
        <v>25</v>
      </c>
      <c r="E1944" s="5" t="s">
        <v>9</v>
      </c>
      <c r="F1944" s="6">
        <v>45291</v>
      </c>
      <c r="G1944" s="5">
        <f t="shared" si="318"/>
        <v>2023</v>
      </c>
      <c r="H1944" s="5" t="str">
        <f t="shared" si="319"/>
        <v>Diciembre</v>
      </c>
      <c r="I1944" s="6" t="str">
        <f t="shared" si="320"/>
        <v>2023-2</v>
      </c>
      <c r="J1944" s="5">
        <v>80</v>
      </c>
      <c r="K1944" s="5">
        <v>84.559884559884608</v>
      </c>
      <c r="L1944" s="15">
        <v>1.0569985569985576</v>
      </c>
      <c r="M1944" s="15">
        <v>1.0569985569985576</v>
      </c>
      <c r="N1944" s="5" t="s">
        <v>347</v>
      </c>
      <c r="O1944" s="5" t="s">
        <v>347</v>
      </c>
      <c r="P1944" s="5">
        <v>0</v>
      </c>
      <c r="Q1944" s="5">
        <v>0</v>
      </c>
      <c r="R1944" s="5" t="str">
        <f t="shared" si="321"/>
        <v>108.12-2023-12-31</v>
      </c>
    </row>
    <row r="1945" spans="1:18" x14ac:dyDescent="0.3">
      <c r="A1945" s="26" t="s">
        <v>454</v>
      </c>
      <c r="B1945" s="5" t="s">
        <v>39</v>
      </c>
      <c r="C1945" s="5" t="s">
        <v>62</v>
      </c>
      <c r="D1945" s="5" t="s">
        <v>25</v>
      </c>
      <c r="E1945" s="5" t="s">
        <v>9</v>
      </c>
      <c r="F1945" s="6">
        <v>45230</v>
      </c>
      <c r="G1945" s="5">
        <f t="shared" si="318"/>
        <v>2023</v>
      </c>
      <c r="H1945" s="5" t="str">
        <f t="shared" si="319"/>
        <v>Octubre</v>
      </c>
      <c r="I1945" s="6" t="str">
        <f t="shared" si="320"/>
        <v>2023-2</v>
      </c>
      <c r="J1945" s="5">
        <v>80</v>
      </c>
      <c r="K1945" s="9">
        <v>86</v>
      </c>
      <c r="L1945" s="15">
        <f>IFERROR(IF((K1945/J1945)&gt;1.3,1.3,K1945/J1945),"")</f>
        <v>1.075</v>
      </c>
      <c r="M1945" s="15">
        <f>IFERROR(IF((K1945/J1945)&gt;K1945/J1945,1.3,K1945/J1945),"")</f>
        <v>1.075</v>
      </c>
      <c r="N1945" s="5" t="s">
        <v>347</v>
      </c>
      <c r="O1945" s="5" t="s">
        <v>347</v>
      </c>
      <c r="P1945" s="16">
        <v>0</v>
      </c>
      <c r="Q1945" s="16">
        <v>0</v>
      </c>
      <c r="R1945" s="5" t="str">
        <f t="shared" si="321"/>
        <v>108.13-2023-10-31</v>
      </c>
    </row>
    <row r="1946" spans="1:18" x14ac:dyDescent="0.3">
      <c r="A1946" s="5" t="s">
        <v>454</v>
      </c>
      <c r="B1946" s="5" t="s">
        <v>39</v>
      </c>
      <c r="C1946" s="5" t="s">
        <v>62</v>
      </c>
      <c r="D1946" s="5" t="s">
        <v>25</v>
      </c>
      <c r="E1946" s="5" t="s">
        <v>9</v>
      </c>
      <c r="F1946" s="6">
        <v>45291</v>
      </c>
      <c r="G1946" s="5">
        <f t="shared" si="318"/>
        <v>2023</v>
      </c>
      <c r="H1946" s="5" t="str">
        <f t="shared" si="319"/>
        <v>Diciembre</v>
      </c>
      <c r="I1946" s="6" t="str">
        <f t="shared" si="320"/>
        <v>2023-2</v>
      </c>
      <c r="J1946" s="5">
        <v>80</v>
      </c>
      <c r="K1946" s="5">
        <v>86</v>
      </c>
      <c r="L1946" s="15">
        <v>1.075</v>
      </c>
      <c r="M1946" s="15">
        <v>1.075</v>
      </c>
      <c r="N1946" s="5" t="s">
        <v>347</v>
      </c>
      <c r="O1946" s="5" t="s">
        <v>347</v>
      </c>
      <c r="P1946" s="5">
        <v>0</v>
      </c>
      <c r="Q1946" s="5">
        <v>0</v>
      </c>
      <c r="R1946" s="5" t="str">
        <f t="shared" si="321"/>
        <v>108.13-2023-12-31</v>
      </c>
    </row>
    <row r="1947" spans="1:18" x14ac:dyDescent="0.3">
      <c r="A1947" s="26" t="s">
        <v>455</v>
      </c>
      <c r="B1947" s="5" t="s">
        <v>39</v>
      </c>
      <c r="C1947" s="5" t="s">
        <v>126</v>
      </c>
      <c r="D1947" s="5" t="s">
        <v>25</v>
      </c>
      <c r="E1947" s="5" t="s">
        <v>9</v>
      </c>
      <c r="F1947" s="6">
        <v>45230</v>
      </c>
      <c r="G1947" s="5">
        <f t="shared" si="318"/>
        <v>2023</v>
      </c>
      <c r="H1947" s="5" t="str">
        <f t="shared" si="319"/>
        <v>Octubre</v>
      </c>
      <c r="I1947" s="6" t="str">
        <f t="shared" si="320"/>
        <v>2023-2</v>
      </c>
      <c r="J1947" s="5">
        <v>80</v>
      </c>
      <c r="K1947" s="9">
        <v>76.418533802500093</v>
      </c>
      <c r="L1947" s="15">
        <f>IFERROR(IF((K1947/J1947)&gt;1.3,1.3,K1947/J1947),"")</f>
        <v>0.95523167253125119</v>
      </c>
      <c r="M1947" s="15">
        <f>IFERROR(IF((K1947/J1947)&gt;K1947/J1947,1.3,K1947/J1947),"")</f>
        <v>0.95523167253125119</v>
      </c>
      <c r="N1947" s="5" t="s">
        <v>347</v>
      </c>
      <c r="O1947" s="5" t="s">
        <v>347</v>
      </c>
      <c r="P1947" s="16">
        <v>0</v>
      </c>
      <c r="Q1947" s="16">
        <v>0</v>
      </c>
      <c r="R1947" s="5" t="str">
        <f t="shared" si="321"/>
        <v>108.14-2023-10-31</v>
      </c>
    </row>
    <row r="1948" spans="1:18" x14ac:dyDescent="0.3">
      <c r="A1948" s="5" t="s">
        <v>455</v>
      </c>
      <c r="B1948" s="5" t="s">
        <v>39</v>
      </c>
      <c r="C1948" s="5" t="s">
        <v>126</v>
      </c>
      <c r="D1948" s="5" t="s">
        <v>25</v>
      </c>
      <c r="E1948" s="5" t="s">
        <v>9</v>
      </c>
      <c r="F1948" s="6">
        <v>45291</v>
      </c>
      <c r="G1948" s="5">
        <f t="shared" si="318"/>
        <v>2023</v>
      </c>
      <c r="H1948" s="5" t="str">
        <f t="shared" si="319"/>
        <v>Diciembre</v>
      </c>
      <c r="I1948" s="6" t="str">
        <f t="shared" si="320"/>
        <v>2023-2</v>
      </c>
      <c r="J1948" s="5">
        <v>80</v>
      </c>
      <c r="K1948" s="5">
        <v>76.418533802500093</v>
      </c>
      <c r="L1948" s="15">
        <v>0.95523167253125119</v>
      </c>
      <c r="M1948" s="15">
        <v>0.95523167253125119</v>
      </c>
      <c r="N1948" s="5" t="s">
        <v>347</v>
      </c>
      <c r="O1948" s="5" t="s">
        <v>347</v>
      </c>
      <c r="P1948" s="5">
        <v>0</v>
      </c>
      <c r="Q1948" s="5">
        <v>0</v>
      </c>
      <c r="R1948" s="5" t="str">
        <f t="shared" si="321"/>
        <v>108.14-2023-12-31</v>
      </c>
    </row>
    <row r="1949" spans="1:18" x14ac:dyDescent="0.3">
      <c r="A1949" s="26" t="s">
        <v>456</v>
      </c>
      <c r="B1949" s="5" t="s">
        <v>39</v>
      </c>
      <c r="C1949" s="5" t="s">
        <v>442</v>
      </c>
      <c r="D1949" s="5" t="s">
        <v>25</v>
      </c>
      <c r="E1949" s="5" t="s">
        <v>9</v>
      </c>
      <c r="F1949" s="6">
        <v>45230</v>
      </c>
      <c r="G1949" s="5">
        <f t="shared" si="318"/>
        <v>2023</v>
      </c>
      <c r="H1949" s="5" t="str">
        <f t="shared" si="319"/>
        <v>Octubre</v>
      </c>
      <c r="I1949" s="6" t="str">
        <f t="shared" si="320"/>
        <v>2023-2</v>
      </c>
      <c r="J1949" s="5">
        <v>80</v>
      </c>
      <c r="K1949" s="9">
        <v>82.904040404040401</v>
      </c>
      <c r="L1949" s="15">
        <f>IFERROR(IF((K1949/J1949)&gt;1.3,1.3,K1949/J1949),"")</f>
        <v>1.036300505050505</v>
      </c>
      <c r="M1949" s="15">
        <f>IFERROR(IF((K1949/J1949)&gt;K1949/J1949,1.3,K1949/J1949),"")</f>
        <v>1.036300505050505</v>
      </c>
      <c r="N1949" s="5" t="s">
        <v>347</v>
      </c>
      <c r="O1949" s="5" t="s">
        <v>347</v>
      </c>
      <c r="P1949" s="16">
        <v>0</v>
      </c>
      <c r="Q1949" s="16">
        <v>0</v>
      </c>
      <c r="R1949" s="5" t="str">
        <f t="shared" si="321"/>
        <v>108.15-2023-10-31</v>
      </c>
    </row>
    <row r="1950" spans="1:18" x14ac:dyDescent="0.3">
      <c r="A1950" s="5" t="s">
        <v>456</v>
      </c>
      <c r="B1950" s="5" t="s">
        <v>39</v>
      </c>
      <c r="C1950" s="5" t="s">
        <v>442</v>
      </c>
      <c r="D1950" s="5" t="s">
        <v>25</v>
      </c>
      <c r="E1950" s="5" t="s">
        <v>9</v>
      </c>
      <c r="F1950" s="6">
        <v>45291</v>
      </c>
      <c r="G1950" s="5">
        <f t="shared" si="318"/>
        <v>2023</v>
      </c>
      <c r="H1950" s="5" t="str">
        <f t="shared" si="319"/>
        <v>Diciembre</v>
      </c>
      <c r="I1950" s="6" t="str">
        <f t="shared" si="320"/>
        <v>2023-2</v>
      </c>
      <c r="J1950" s="5">
        <v>80</v>
      </c>
      <c r="K1950" s="5">
        <v>82.904040404040401</v>
      </c>
      <c r="L1950" s="15">
        <v>1.036300505050505</v>
      </c>
      <c r="M1950" s="15">
        <v>1.036300505050505</v>
      </c>
      <c r="N1950" s="5" t="s">
        <v>347</v>
      </c>
      <c r="O1950" s="5" t="s">
        <v>347</v>
      </c>
      <c r="P1950" s="5">
        <v>0</v>
      </c>
      <c r="Q1950" s="5">
        <v>0</v>
      </c>
      <c r="R1950" s="5" t="str">
        <f t="shared" si="321"/>
        <v>108.15-2023-12-31</v>
      </c>
    </row>
    <row r="1951" spans="1:18" x14ac:dyDescent="0.3">
      <c r="A1951" s="5" t="s">
        <v>436</v>
      </c>
      <c r="B1951" s="5" t="s">
        <v>39</v>
      </c>
      <c r="C1951" s="5" t="s">
        <v>439</v>
      </c>
      <c r="D1951" s="5" t="s">
        <v>25</v>
      </c>
      <c r="E1951" s="5" t="s">
        <v>9</v>
      </c>
      <c r="F1951" s="6">
        <v>45291</v>
      </c>
      <c r="G1951" s="5">
        <f t="shared" si="318"/>
        <v>2023</v>
      </c>
      <c r="H1951" s="5" t="str">
        <f t="shared" si="319"/>
        <v>Diciembre</v>
      </c>
      <c r="I1951" s="6" t="str">
        <f t="shared" si="320"/>
        <v>2023-2</v>
      </c>
      <c r="J1951" s="5">
        <v>80</v>
      </c>
      <c r="K1951" s="9">
        <v>88.508473249579296</v>
      </c>
      <c r="L1951" s="21">
        <v>1.1063559156197411</v>
      </c>
      <c r="M1951" s="15">
        <v>1.1063559156197411</v>
      </c>
      <c r="N1951" s="5" t="s">
        <v>417</v>
      </c>
      <c r="O1951" s="5" t="s">
        <v>417</v>
      </c>
      <c r="P1951" s="5">
        <v>1</v>
      </c>
      <c r="Q1951" s="5">
        <v>1</v>
      </c>
      <c r="R1951" s="5" t="str">
        <f t="shared" si="321"/>
        <v>108.2-2023-12-31</v>
      </c>
    </row>
    <row r="1952" spans="1:18" x14ac:dyDescent="0.3">
      <c r="A1952" s="26" t="s">
        <v>437</v>
      </c>
      <c r="B1952" s="5" t="s">
        <v>39</v>
      </c>
      <c r="C1952" s="5" t="s">
        <v>189</v>
      </c>
      <c r="D1952" s="5" t="s">
        <v>25</v>
      </c>
      <c r="E1952" s="5" t="s">
        <v>9</v>
      </c>
      <c r="F1952" s="6">
        <v>45230</v>
      </c>
      <c r="G1952" s="5">
        <f t="shared" si="318"/>
        <v>2023</v>
      </c>
      <c r="H1952" s="5" t="str">
        <f t="shared" si="319"/>
        <v>Octubre</v>
      </c>
      <c r="I1952" s="6" t="str">
        <f t="shared" si="320"/>
        <v>2023-2</v>
      </c>
      <c r="J1952" s="5">
        <v>80</v>
      </c>
      <c r="K1952" s="9">
        <v>94.811073336571098</v>
      </c>
      <c r="L1952" s="15">
        <f>IFERROR(IF((K1952/J1952)&gt;1.3,1.3,K1952/J1952),"")</f>
        <v>1.1851384167071388</v>
      </c>
      <c r="M1952" s="15">
        <f>IFERROR(IF((K1952/J1952)&gt;K1952/J1952,1.3,K1952/J1952),"")</f>
        <v>1.1851384167071388</v>
      </c>
      <c r="N1952" s="5" t="s">
        <v>347</v>
      </c>
      <c r="O1952" s="5" t="s">
        <v>347</v>
      </c>
      <c r="P1952" s="16">
        <v>0</v>
      </c>
      <c r="Q1952" s="16">
        <v>0</v>
      </c>
      <c r="R1952" s="5" t="str">
        <f t="shared" si="321"/>
        <v>108.3-2023-10-31</v>
      </c>
    </row>
    <row r="1953" spans="1:18" x14ac:dyDescent="0.3">
      <c r="A1953" s="5" t="s">
        <v>437</v>
      </c>
      <c r="B1953" s="5" t="s">
        <v>39</v>
      </c>
      <c r="C1953" s="5" t="s">
        <v>189</v>
      </c>
      <c r="D1953" s="5" t="s">
        <v>25</v>
      </c>
      <c r="E1953" s="5" t="s">
        <v>9</v>
      </c>
      <c r="F1953" s="6">
        <v>45291</v>
      </c>
      <c r="G1953" s="5">
        <f t="shared" si="318"/>
        <v>2023</v>
      </c>
      <c r="H1953" s="5" t="str">
        <f t="shared" si="319"/>
        <v>Diciembre</v>
      </c>
      <c r="I1953" s="6" t="str">
        <f t="shared" si="320"/>
        <v>2023-2</v>
      </c>
      <c r="J1953" s="5">
        <v>80</v>
      </c>
      <c r="K1953" s="5">
        <v>94.811073336571098</v>
      </c>
      <c r="L1953" s="15">
        <v>1.1851384167071388</v>
      </c>
      <c r="M1953" s="15">
        <v>1.1851384167071388</v>
      </c>
      <c r="N1953" s="5" t="s">
        <v>347</v>
      </c>
      <c r="O1953" s="5" t="s">
        <v>347</v>
      </c>
      <c r="P1953" s="5">
        <v>0</v>
      </c>
      <c r="Q1953" s="5">
        <v>0</v>
      </c>
      <c r="R1953" s="5" t="str">
        <f t="shared" si="321"/>
        <v>108.3-2023-12-31</v>
      </c>
    </row>
    <row r="1954" spans="1:18" x14ac:dyDescent="0.3">
      <c r="A1954" s="26" t="s">
        <v>445</v>
      </c>
      <c r="B1954" s="5" t="s">
        <v>39</v>
      </c>
      <c r="C1954" s="5" t="s">
        <v>320</v>
      </c>
      <c r="D1954" s="5" t="s">
        <v>25</v>
      </c>
      <c r="E1954" s="5" t="s">
        <v>9</v>
      </c>
      <c r="F1954" s="6">
        <v>45230</v>
      </c>
      <c r="G1954" s="5">
        <f t="shared" si="318"/>
        <v>2023</v>
      </c>
      <c r="H1954" s="5" t="str">
        <f t="shared" si="319"/>
        <v>Octubre</v>
      </c>
      <c r="I1954" s="6" t="str">
        <f t="shared" si="320"/>
        <v>2023-2</v>
      </c>
      <c r="J1954" s="5">
        <v>80</v>
      </c>
      <c r="K1954" s="9">
        <v>87.392767703668298</v>
      </c>
      <c r="L1954" s="15">
        <f>IFERROR(IF((K1954/J1954)&gt;1.3,1.3,K1954/J1954),"")</f>
        <v>1.0924095962958538</v>
      </c>
      <c r="M1954" s="15">
        <f>IFERROR(IF((K1954/J1954)&gt;K1954/J1954,1.3,K1954/J1954),"")</f>
        <v>1.0924095962958538</v>
      </c>
      <c r="N1954" s="5" t="s">
        <v>347</v>
      </c>
      <c r="O1954" s="5" t="s">
        <v>347</v>
      </c>
      <c r="P1954" s="16">
        <v>0</v>
      </c>
      <c r="Q1954" s="16">
        <v>0</v>
      </c>
      <c r="R1954" s="5" t="str">
        <f t="shared" si="321"/>
        <v>108.4-2023-10-31</v>
      </c>
    </row>
    <row r="1955" spans="1:18" x14ac:dyDescent="0.3">
      <c r="A1955" s="5" t="s">
        <v>445</v>
      </c>
      <c r="B1955" s="5" t="s">
        <v>39</v>
      </c>
      <c r="C1955" s="5" t="s">
        <v>320</v>
      </c>
      <c r="D1955" s="5" t="s">
        <v>25</v>
      </c>
      <c r="E1955" s="5" t="s">
        <v>9</v>
      </c>
      <c r="F1955" s="6">
        <v>45291</v>
      </c>
      <c r="G1955" s="5">
        <f t="shared" si="318"/>
        <v>2023</v>
      </c>
      <c r="H1955" s="5" t="str">
        <f t="shared" si="319"/>
        <v>Diciembre</v>
      </c>
      <c r="I1955" s="6" t="str">
        <f t="shared" si="320"/>
        <v>2023-2</v>
      </c>
      <c r="J1955" s="5">
        <v>80</v>
      </c>
      <c r="K1955" s="5">
        <v>87.392767703668298</v>
      </c>
      <c r="L1955" s="15">
        <v>1.0924095962958538</v>
      </c>
      <c r="M1955" s="15">
        <v>1.0924095962958538</v>
      </c>
      <c r="N1955" s="5" t="s">
        <v>347</v>
      </c>
      <c r="O1955" s="5" t="s">
        <v>347</v>
      </c>
      <c r="P1955" s="5">
        <v>0</v>
      </c>
      <c r="Q1955" s="5">
        <v>0</v>
      </c>
      <c r="R1955" s="5" t="str">
        <f t="shared" si="321"/>
        <v>108.4-2023-12-31</v>
      </c>
    </row>
    <row r="1956" spans="1:18" x14ac:dyDescent="0.3">
      <c r="A1956" s="5" t="s">
        <v>446</v>
      </c>
      <c r="B1956" s="5" t="s">
        <v>39</v>
      </c>
      <c r="C1956" s="5" t="s">
        <v>185</v>
      </c>
      <c r="D1956" s="5" t="s">
        <v>25</v>
      </c>
      <c r="E1956" s="5" t="s">
        <v>9</v>
      </c>
      <c r="F1956" s="6">
        <v>44926</v>
      </c>
      <c r="G1956" s="5">
        <f t="shared" si="318"/>
        <v>2022</v>
      </c>
      <c r="H1956" s="5" t="str">
        <f t="shared" si="319"/>
        <v>Diciembre</v>
      </c>
      <c r="I1956" s="6" t="str">
        <f t="shared" si="320"/>
        <v>2022-2</v>
      </c>
      <c r="J1956" s="5">
        <v>80</v>
      </c>
      <c r="K1956" s="9">
        <v>68</v>
      </c>
      <c r="L1956" s="21">
        <v>0.85</v>
      </c>
      <c r="M1956" s="15">
        <v>0.85</v>
      </c>
      <c r="N1956" s="5" t="s">
        <v>347</v>
      </c>
      <c r="O1956" s="5" t="s">
        <v>347</v>
      </c>
      <c r="P1956" s="5">
        <v>0</v>
      </c>
      <c r="Q1956" s="5">
        <v>0</v>
      </c>
      <c r="R1956" s="5" t="str">
        <f t="shared" si="321"/>
        <v>108.5-2022-12-31</v>
      </c>
    </row>
    <row r="1957" spans="1:18" x14ac:dyDescent="0.3">
      <c r="A1957" s="26" t="s">
        <v>446</v>
      </c>
      <c r="B1957" s="5" t="s">
        <v>39</v>
      </c>
      <c r="C1957" s="5" t="s">
        <v>185</v>
      </c>
      <c r="D1957" s="5" t="s">
        <v>25</v>
      </c>
      <c r="E1957" s="5" t="s">
        <v>9</v>
      </c>
      <c r="F1957" s="6">
        <v>45230</v>
      </c>
      <c r="G1957" s="5">
        <f t="shared" si="318"/>
        <v>2023</v>
      </c>
      <c r="H1957" s="5" t="str">
        <f t="shared" si="319"/>
        <v>Octubre</v>
      </c>
      <c r="I1957" s="6" t="str">
        <f t="shared" si="320"/>
        <v>2023-2</v>
      </c>
      <c r="J1957" s="5">
        <v>80</v>
      </c>
      <c r="K1957" s="9">
        <v>90.977702771558697</v>
      </c>
      <c r="L1957" s="15">
        <f>IFERROR(IF((K1957/J1957)&gt;1.3,1.3,K1957/J1957),"")</f>
        <v>1.1372212846444838</v>
      </c>
      <c r="M1957" s="15">
        <f>IFERROR(IF((K1957/J1957)&gt;K1957/J1957,1.3,K1957/J1957),"")</f>
        <v>1.1372212846444838</v>
      </c>
      <c r="N1957" s="5" t="s">
        <v>347</v>
      </c>
      <c r="O1957" s="5" t="s">
        <v>347</v>
      </c>
      <c r="P1957" s="16">
        <v>0</v>
      </c>
      <c r="Q1957" s="16">
        <v>0</v>
      </c>
      <c r="R1957" s="5" t="str">
        <f t="shared" si="321"/>
        <v>108.5-2023-10-31</v>
      </c>
    </row>
    <row r="1958" spans="1:18" x14ac:dyDescent="0.3">
      <c r="A1958" s="5" t="s">
        <v>446</v>
      </c>
      <c r="B1958" s="5" t="s">
        <v>39</v>
      </c>
      <c r="C1958" s="5" t="s">
        <v>185</v>
      </c>
      <c r="D1958" s="5" t="s">
        <v>25</v>
      </c>
      <c r="E1958" s="5" t="s">
        <v>9</v>
      </c>
      <c r="F1958" s="6">
        <v>45291</v>
      </c>
      <c r="G1958" s="5">
        <f t="shared" si="318"/>
        <v>2023</v>
      </c>
      <c r="H1958" s="5" t="str">
        <f t="shared" si="319"/>
        <v>Diciembre</v>
      </c>
      <c r="I1958" s="6" t="str">
        <f t="shared" si="320"/>
        <v>2023-2</v>
      </c>
      <c r="J1958" s="5">
        <v>80</v>
      </c>
      <c r="K1958" s="5">
        <v>90.977702771558697</v>
      </c>
      <c r="L1958" s="15">
        <v>1.1372212846444838</v>
      </c>
      <c r="M1958" s="15">
        <v>1.1372212846444838</v>
      </c>
      <c r="N1958" s="5" t="s">
        <v>347</v>
      </c>
      <c r="O1958" s="5" t="s">
        <v>347</v>
      </c>
      <c r="P1958" s="5">
        <v>0</v>
      </c>
      <c r="Q1958" s="5">
        <v>0</v>
      </c>
      <c r="R1958" s="5" t="str">
        <f t="shared" si="321"/>
        <v>108.5-2023-12-31</v>
      </c>
    </row>
    <row r="1959" spans="1:18" x14ac:dyDescent="0.3">
      <c r="A1959" s="26" t="s">
        <v>447</v>
      </c>
      <c r="B1959" s="5" t="s">
        <v>39</v>
      </c>
      <c r="C1959" s="5" t="s">
        <v>231</v>
      </c>
      <c r="D1959" s="5" t="s">
        <v>25</v>
      </c>
      <c r="E1959" s="5" t="s">
        <v>9</v>
      </c>
      <c r="F1959" s="6">
        <v>45230</v>
      </c>
      <c r="G1959" s="5">
        <f t="shared" si="318"/>
        <v>2023</v>
      </c>
      <c r="H1959" s="5" t="str">
        <f t="shared" si="319"/>
        <v>Octubre</v>
      </c>
      <c r="I1959" s="6" t="str">
        <f t="shared" si="320"/>
        <v>2023-2</v>
      </c>
      <c r="J1959" s="5">
        <v>80</v>
      </c>
      <c r="K1959" s="9">
        <v>81.991406812802296</v>
      </c>
      <c r="L1959" s="15">
        <f>IFERROR(IF((K1959/J1959)&gt;1.3,1.3,K1959/J1959),"")</f>
        <v>1.0248925851600288</v>
      </c>
      <c r="M1959" s="15">
        <f>IFERROR(IF((K1959/J1959)&gt;K1959/J1959,1.3,K1959/J1959),"")</f>
        <v>1.0248925851600288</v>
      </c>
      <c r="N1959" s="5" t="s">
        <v>347</v>
      </c>
      <c r="O1959" s="5" t="s">
        <v>347</v>
      </c>
      <c r="P1959" s="16">
        <v>0</v>
      </c>
      <c r="Q1959" s="16">
        <v>0</v>
      </c>
      <c r="R1959" s="5" t="str">
        <f t="shared" si="321"/>
        <v>108.6-2023-10-31</v>
      </c>
    </row>
    <row r="1960" spans="1:18" x14ac:dyDescent="0.3">
      <c r="A1960" s="5" t="s">
        <v>447</v>
      </c>
      <c r="B1960" s="5" t="s">
        <v>39</v>
      </c>
      <c r="C1960" s="5" t="s">
        <v>231</v>
      </c>
      <c r="D1960" s="5" t="s">
        <v>25</v>
      </c>
      <c r="E1960" s="5" t="s">
        <v>9</v>
      </c>
      <c r="F1960" s="6">
        <v>45291</v>
      </c>
      <c r="G1960" s="5">
        <f t="shared" si="318"/>
        <v>2023</v>
      </c>
      <c r="H1960" s="5" t="str">
        <f t="shared" si="319"/>
        <v>Diciembre</v>
      </c>
      <c r="I1960" s="6" t="str">
        <f t="shared" si="320"/>
        <v>2023-2</v>
      </c>
      <c r="J1960" s="5">
        <v>80</v>
      </c>
      <c r="K1960" s="5">
        <v>81.991406812802296</v>
      </c>
      <c r="L1960" s="15">
        <v>1.0248925851600288</v>
      </c>
      <c r="M1960" s="15">
        <v>1.0248925851600288</v>
      </c>
      <c r="N1960" s="5" t="s">
        <v>347</v>
      </c>
      <c r="O1960" s="5" t="s">
        <v>347</v>
      </c>
      <c r="P1960" s="5">
        <v>0</v>
      </c>
      <c r="Q1960" s="5">
        <v>0</v>
      </c>
      <c r="R1960" s="5" t="str">
        <f t="shared" si="321"/>
        <v>108.6-2023-12-31</v>
      </c>
    </row>
    <row r="1961" spans="1:18" x14ac:dyDescent="0.3">
      <c r="A1961" s="26" t="s">
        <v>448</v>
      </c>
      <c r="B1961" s="5" t="s">
        <v>39</v>
      </c>
      <c r="C1961" s="5" t="s">
        <v>240</v>
      </c>
      <c r="D1961" s="5" t="s">
        <v>25</v>
      </c>
      <c r="E1961" s="5" t="s">
        <v>9</v>
      </c>
      <c r="F1961" s="6">
        <v>45230</v>
      </c>
      <c r="G1961" s="5">
        <f t="shared" si="318"/>
        <v>2023</v>
      </c>
      <c r="H1961" s="5" t="str">
        <f t="shared" si="319"/>
        <v>Octubre</v>
      </c>
      <c r="I1961" s="6" t="str">
        <f t="shared" si="320"/>
        <v>2023-2</v>
      </c>
      <c r="J1961" s="5">
        <v>80</v>
      </c>
      <c r="K1961" s="9">
        <v>81.322057504242295</v>
      </c>
      <c r="L1961" s="15">
        <f>IFERROR(IF((K1961/J1961)&gt;1.3,1.3,K1961/J1961),"")</f>
        <v>1.0165257188030288</v>
      </c>
      <c r="M1961" s="15">
        <f>IFERROR(IF((K1961/J1961)&gt;K1961/J1961,1.3,K1961/J1961),"")</f>
        <v>1.0165257188030288</v>
      </c>
      <c r="N1961" s="5" t="s">
        <v>347</v>
      </c>
      <c r="O1961" s="5" t="s">
        <v>347</v>
      </c>
      <c r="P1961" s="16">
        <v>0</v>
      </c>
      <c r="Q1961" s="16">
        <v>0</v>
      </c>
      <c r="R1961" s="5" t="str">
        <f t="shared" si="321"/>
        <v>108.7-2023-10-31</v>
      </c>
    </row>
    <row r="1962" spans="1:18" x14ac:dyDescent="0.3">
      <c r="A1962" s="5" t="s">
        <v>448</v>
      </c>
      <c r="B1962" s="5" t="s">
        <v>39</v>
      </c>
      <c r="C1962" s="5" t="s">
        <v>240</v>
      </c>
      <c r="D1962" s="5" t="s">
        <v>25</v>
      </c>
      <c r="E1962" s="5" t="s">
        <v>9</v>
      </c>
      <c r="F1962" s="6">
        <v>45291</v>
      </c>
      <c r="G1962" s="5">
        <f t="shared" si="318"/>
        <v>2023</v>
      </c>
      <c r="H1962" s="5" t="str">
        <f t="shared" si="319"/>
        <v>Diciembre</v>
      </c>
      <c r="I1962" s="6" t="str">
        <f t="shared" si="320"/>
        <v>2023-2</v>
      </c>
      <c r="J1962" s="5">
        <v>80</v>
      </c>
      <c r="K1962" s="5">
        <v>81.322057504242295</v>
      </c>
      <c r="L1962" s="15">
        <v>1.0165257188030288</v>
      </c>
      <c r="M1962" s="15">
        <v>1.0165257188030288</v>
      </c>
      <c r="N1962" s="5" t="s">
        <v>347</v>
      </c>
      <c r="O1962" s="5" t="s">
        <v>347</v>
      </c>
      <c r="P1962" s="5">
        <v>0</v>
      </c>
      <c r="Q1962" s="5">
        <v>0</v>
      </c>
      <c r="R1962" s="5" t="str">
        <f t="shared" si="321"/>
        <v>108.7-2023-12-31</v>
      </c>
    </row>
    <row r="1963" spans="1:18" x14ac:dyDescent="0.3">
      <c r="A1963" s="26" t="s">
        <v>449</v>
      </c>
      <c r="B1963" s="5" t="s">
        <v>39</v>
      </c>
      <c r="C1963" s="5" t="s">
        <v>441</v>
      </c>
      <c r="D1963" s="5" t="s">
        <v>25</v>
      </c>
      <c r="E1963" s="5" t="s">
        <v>9</v>
      </c>
      <c r="F1963" s="6">
        <v>45230</v>
      </c>
      <c r="G1963" s="5">
        <f t="shared" si="318"/>
        <v>2023</v>
      </c>
      <c r="H1963" s="5" t="str">
        <f t="shared" si="319"/>
        <v>Octubre</v>
      </c>
      <c r="I1963" s="6" t="str">
        <f t="shared" si="320"/>
        <v>2023-2</v>
      </c>
      <c r="J1963" s="5">
        <v>80</v>
      </c>
      <c r="K1963" s="9">
        <v>77.756756756756801</v>
      </c>
      <c r="L1963" s="15">
        <f>IFERROR(IF((K1963/J1963)&gt;1.3,1.3,K1963/J1963),"")</f>
        <v>0.97195945945946005</v>
      </c>
      <c r="M1963" s="15">
        <f>IFERROR(IF((K1963/J1963)&gt;K1963/J1963,1.3,K1963/J1963),"")</f>
        <v>0.97195945945946005</v>
      </c>
      <c r="N1963" s="5" t="s">
        <v>347</v>
      </c>
      <c r="O1963" s="5" t="s">
        <v>347</v>
      </c>
      <c r="P1963" s="16">
        <v>0</v>
      </c>
      <c r="Q1963" s="16">
        <v>0</v>
      </c>
      <c r="R1963" s="5" t="str">
        <f t="shared" si="321"/>
        <v>108.8-2023-10-31</v>
      </c>
    </row>
    <row r="1964" spans="1:18" x14ac:dyDescent="0.3">
      <c r="A1964" s="5" t="s">
        <v>449</v>
      </c>
      <c r="B1964" s="5" t="s">
        <v>39</v>
      </c>
      <c r="C1964" s="5" t="s">
        <v>145</v>
      </c>
      <c r="D1964" s="5" t="s">
        <v>25</v>
      </c>
      <c r="E1964" s="5" t="s">
        <v>9</v>
      </c>
      <c r="F1964" s="6">
        <v>45291</v>
      </c>
      <c r="G1964" s="5">
        <f t="shared" si="318"/>
        <v>2023</v>
      </c>
      <c r="H1964" s="5" t="str">
        <f t="shared" si="319"/>
        <v>Diciembre</v>
      </c>
      <c r="I1964" s="6" t="str">
        <f t="shared" si="320"/>
        <v>2023-2</v>
      </c>
      <c r="J1964" s="5">
        <v>80</v>
      </c>
      <c r="K1964" s="5">
        <v>77.756756756756801</v>
      </c>
      <c r="L1964" s="15">
        <v>0.97195945945946005</v>
      </c>
      <c r="M1964" s="15">
        <v>0.97195945945946005</v>
      </c>
      <c r="N1964" s="5" t="s">
        <v>347</v>
      </c>
      <c r="O1964" s="5" t="s">
        <v>347</v>
      </c>
      <c r="P1964" s="5">
        <v>0</v>
      </c>
      <c r="Q1964" s="5">
        <v>0</v>
      </c>
      <c r="R1964" s="5" t="str">
        <f t="shared" si="321"/>
        <v>108.8-2023-12-31</v>
      </c>
    </row>
    <row r="1965" spans="1:18" x14ac:dyDescent="0.3">
      <c r="A1965" s="26" t="s">
        <v>450</v>
      </c>
      <c r="B1965" s="5" t="s">
        <v>39</v>
      </c>
      <c r="C1965" s="5" t="s">
        <v>117</v>
      </c>
      <c r="D1965" s="5" t="s">
        <v>25</v>
      </c>
      <c r="E1965" s="5" t="s">
        <v>9</v>
      </c>
      <c r="F1965" s="6">
        <v>45230</v>
      </c>
      <c r="G1965" s="5">
        <f t="shared" si="318"/>
        <v>2023</v>
      </c>
      <c r="H1965" s="5" t="str">
        <f t="shared" si="319"/>
        <v>Octubre</v>
      </c>
      <c r="I1965" s="6" t="str">
        <f t="shared" si="320"/>
        <v>2023-2</v>
      </c>
      <c r="J1965" s="5">
        <v>80</v>
      </c>
      <c r="K1965" s="9">
        <v>94.9579831932773</v>
      </c>
      <c r="L1965" s="15">
        <f>IFERROR(IF((K1965/J1965)&gt;1.3,1.3,K1965/J1965),"")</f>
        <v>1.1869747899159662</v>
      </c>
      <c r="M1965" s="15">
        <f>IFERROR(IF((K1965/J1965)&gt;K1965/J1965,1.3,K1965/J1965),"")</f>
        <v>1.1869747899159662</v>
      </c>
      <c r="N1965" s="5" t="s">
        <v>347</v>
      </c>
      <c r="O1965" s="5" t="s">
        <v>347</v>
      </c>
      <c r="P1965" s="16">
        <v>0</v>
      </c>
      <c r="Q1965" s="16">
        <v>0</v>
      </c>
      <c r="R1965" s="5" t="str">
        <f t="shared" si="321"/>
        <v>108.9-2023-10-31</v>
      </c>
    </row>
    <row r="1966" spans="1:18" x14ac:dyDescent="0.3">
      <c r="A1966" s="5" t="s">
        <v>450</v>
      </c>
      <c r="B1966" s="5" t="s">
        <v>39</v>
      </c>
      <c r="C1966" s="5" t="s">
        <v>117</v>
      </c>
      <c r="D1966" s="5" t="s">
        <v>25</v>
      </c>
      <c r="E1966" s="5" t="s">
        <v>9</v>
      </c>
      <c r="F1966" s="6">
        <v>45291</v>
      </c>
      <c r="G1966" s="5">
        <f t="shared" si="318"/>
        <v>2023</v>
      </c>
      <c r="H1966" s="5" t="str">
        <f t="shared" si="319"/>
        <v>Diciembre</v>
      </c>
      <c r="I1966" s="6" t="str">
        <f t="shared" si="320"/>
        <v>2023-2</v>
      </c>
      <c r="J1966" s="5">
        <v>80</v>
      </c>
      <c r="K1966" s="5">
        <v>94.9579831932773</v>
      </c>
      <c r="L1966" s="15">
        <v>1.1869747899159662</v>
      </c>
      <c r="M1966" s="15">
        <v>1.1869747899159662</v>
      </c>
      <c r="N1966" s="5" t="s">
        <v>347</v>
      </c>
      <c r="O1966" s="5" t="s">
        <v>347</v>
      </c>
      <c r="P1966" s="5">
        <v>0</v>
      </c>
      <c r="Q1966" s="5">
        <v>0</v>
      </c>
      <c r="R1966" s="5" t="str">
        <f t="shared" si="321"/>
        <v>108.9-2023-12-31</v>
      </c>
    </row>
    <row r="1967" spans="1:18" x14ac:dyDescent="0.3">
      <c r="A1967" s="26" t="s">
        <v>705</v>
      </c>
      <c r="B1967" s="23" t="s">
        <v>706</v>
      </c>
      <c r="C1967" s="5" t="s">
        <v>145</v>
      </c>
      <c r="D1967" s="5" t="s">
        <v>8</v>
      </c>
      <c r="E1967" s="5" t="s">
        <v>9</v>
      </c>
      <c r="F1967" s="6">
        <v>45473</v>
      </c>
      <c r="G1967" s="5">
        <f t="shared" si="318"/>
        <v>2024</v>
      </c>
      <c r="H1967" s="5" t="str">
        <f t="shared" si="319"/>
        <v>Junio</v>
      </c>
      <c r="I1967" s="6" t="str">
        <f t="shared" si="320"/>
        <v>2024-1</v>
      </c>
      <c r="J1967" s="5">
        <v>5</v>
      </c>
      <c r="K1967" s="5">
        <v>3</v>
      </c>
      <c r="L1967" s="15">
        <v>0.6</v>
      </c>
      <c r="M1967" s="15">
        <v>0.6</v>
      </c>
      <c r="N1967" s="5" t="s">
        <v>490</v>
      </c>
      <c r="O1967" s="5" t="s">
        <v>490</v>
      </c>
      <c r="P1967" s="5">
        <v>0</v>
      </c>
      <c r="Q1967" s="5">
        <v>0</v>
      </c>
      <c r="R1967" s="5" t="str">
        <f t="shared" si="321"/>
        <v>11.1-2024-06-30</v>
      </c>
    </row>
    <row r="1968" spans="1:18" x14ac:dyDescent="0.3">
      <c r="A1968" s="5" t="s">
        <v>427</v>
      </c>
      <c r="B1968" s="5" t="s">
        <v>428</v>
      </c>
      <c r="C1968" s="5" t="s">
        <v>117</v>
      </c>
      <c r="D1968" s="5" t="s">
        <v>18</v>
      </c>
      <c r="E1968" s="5" t="s">
        <v>9</v>
      </c>
      <c r="F1968" s="6">
        <v>44926</v>
      </c>
      <c r="G1968" s="5">
        <f t="shared" si="318"/>
        <v>2022</v>
      </c>
      <c r="H1968" s="5" t="str">
        <f t="shared" si="319"/>
        <v>Diciembre</v>
      </c>
      <c r="I1968" s="6" t="str">
        <f t="shared" si="320"/>
        <v>2022-2</v>
      </c>
      <c r="J1968" s="5">
        <v>57</v>
      </c>
      <c r="K1968" s="9">
        <v>71</v>
      </c>
      <c r="L1968" s="15">
        <v>1.2456140350877194</v>
      </c>
      <c r="M1968" s="15">
        <v>1.2456140350877194</v>
      </c>
      <c r="N1968" s="5" t="s">
        <v>417</v>
      </c>
      <c r="O1968" s="5" t="s">
        <v>417</v>
      </c>
      <c r="P1968" s="5">
        <v>0</v>
      </c>
      <c r="Q1968" s="5">
        <v>0</v>
      </c>
      <c r="R1968" s="5" t="str">
        <f t="shared" si="321"/>
        <v>13.1-2022-12-31</v>
      </c>
    </row>
    <row r="1969" spans="1:18" x14ac:dyDescent="0.3">
      <c r="A1969" s="5" t="s">
        <v>427</v>
      </c>
      <c r="B1969" s="5" t="s">
        <v>428</v>
      </c>
      <c r="C1969" s="5" t="s">
        <v>117</v>
      </c>
      <c r="D1969" s="5" t="s">
        <v>18</v>
      </c>
      <c r="E1969" s="5" t="s">
        <v>9</v>
      </c>
      <c r="F1969" s="6">
        <v>45107</v>
      </c>
      <c r="G1969" s="5">
        <f t="shared" si="318"/>
        <v>2023</v>
      </c>
      <c r="H1969" s="5" t="str">
        <f t="shared" si="319"/>
        <v>Junio</v>
      </c>
      <c r="I1969" s="6" t="str">
        <f t="shared" si="320"/>
        <v>2023-1</v>
      </c>
      <c r="J1969" s="5">
        <v>100</v>
      </c>
      <c r="K1969" s="5">
        <v>100</v>
      </c>
      <c r="L1969" s="15">
        <v>1</v>
      </c>
      <c r="M1969" s="15">
        <v>1</v>
      </c>
      <c r="N1969" s="5" t="s">
        <v>347</v>
      </c>
      <c r="O1969" s="5" t="s">
        <v>347</v>
      </c>
      <c r="P1969" s="5">
        <v>0</v>
      </c>
      <c r="Q1969" s="5">
        <v>0</v>
      </c>
      <c r="R1969" s="5" t="str">
        <f t="shared" si="321"/>
        <v>13.1-2023-06-30</v>
      </c>
    </row>
    <row r="1970" spans="1:18" x14ac:dyDescent="0.3">
      <c r="A1970" s="25" t="s">
        <v>348</v>
      </c>
      <c r="B1970" s="23" t="s">
        <v>349</v>
      </c>
      <c r="C1970" s="5" t="s">
        <v>74</v>
      </c>
      <c r="D1970" s="5" t="s">
        <v>8</v>
      </c>
      <c r="E1970" s="5" t="s">
        <v>9</v>
      </c>
      <c r="F1970" s="6">
        <v>44742</v>
      </c>
      <c r="G1970" s="5">
        <f t="shared" si="318"/>
        <v>2022</v>
      </c>
      <c r="H1970" s="5" t="str">
        <f t="shared" si="319"/>
        <v>Junio</v>
      </c>
      <c r="I1970" s="6" t="str">
        <f t="shared" si="320"/>
        <v>2022-1</v>
      </c>
      <c r="J1970" s="5">
        <v>7541</v>
      </c>
      <c r="K1970" s="9">
        <v>7651</v>
      </c>
      <c r="L1970" s="15">
        <v>1.0145869248110331</v>
      </c>
      <c r="M1970" s="15">
        <v>1.0145869248110331</v>
      </c>
      <c r="N1970" s="5" t="s">
        <v>347</v>
      </c>
      <c r="O1970" s="5" t="s">
        <v>347</v>
      </c>
      <c r="P1970" s="5">
        <v>0</v>
      </c>
      <c r="Q1970" s="5">
        <v>0</v>
      </c>
      <c r="R1970" s="5" t="str">
        <f t="shared" si="321"/>
        <v>14.1-2022-06-30</v>
      </c>
    </row>
    <row r="1971" spans="1:18" x14ac:dyDescent="0.3">
      <c r="A1971" s="25" t="s">
        <v>348</v>
      </c>
      <c r="B1971" s="23" t="s">
        <v>349</v>
      </c>
      <c r="C1971" s="5" t="s">
        <v>74</v>
      </c>
      <c r="D1971" s="5" t="s">
        <v>8</v>
      </c>
      <c r="E1971" s="5" t="s">
        <v>9</v>
      </c>
      <c r="F1971" s="6">
        <v>44926</v>
      </c>
      <c r="G1971" s="5">
        <f t="shared" si="318"/>
        <v>2022</v>
      </c>
      <c r="H1971" s="5" t="str">
        <f t="shared" si="319"/>
        <v>Diciembre</v>
      </c>
      <c r="I1971" s="6" t="str">
        <f t="shared" si="320"/>
        <v>2022-2</v>
      </c>
      <c r="J1971" s="5">
        <v>6730</v>
      </c>
      <c r="K1971" s="9">
        <v>7539</v>
      </c>
      <c r="L1971" s="15">
        <v>1.1202080237741456</v>
      </c>
      <c r="M1971" s="15">
        <v>1.1202080237741456</v>
      </c>
      <c r="N1971" s="5" t="s">
        <v>347</v>
      </c>
      <c r="O1971" s="5" t="s">
        <v>347</v>
      </c>
      <c r="P1971" s="5">
        <v>0</v>
      </c>
      <c r="Q1971" s="5">
        <v>0</v>
      </c>
      <c r="R1971" s="5" t="str">
        <f t="shared" si="321"/>
        <v>14.1-2022-12-31</v>
      </c>
    </row>
    <row r="1972" spans="1:18" x14ac:dyDescent="0.3">
      <c r="A1972" s="25" t="s">
        <v>348</v>
      </c>
      <c r="B1972" s="23" t="s">
        <v>349</v>
      </c>
      <c r="C1972" s="5" t="s">
        <v>74</v>
      </c>
      <c r="D1972" s="5" t="s">
        <v>8</v>
      </c>
      <c r="E1972" s="5" t="s">
        <v>9</v>
      </c>
      <c r="F1972" s="6">
        <v>45107</v>
      </c>
      <c r="G1972" s="5">
        <f t="shared" si="318"/>
        <v>2023</v>
      </c>
      <c r="H1972" s="5" t="str">
        <f t="shared" si="319"/>
        <v>Junio</v>
      </c>
      <c r="I1972" s="6" t="str">
        <f t="shared" si="320"/>
        <v>2023-1</v>
      </c>
      <c r="J1972" s="42">
        <v>7822</v>
      </c>
      <c r="K1972" s="9">
        <v>7912</v>
      </c>
      <c r="L1972" s="15">
        <f>IFERROR(IF((K1972/J1972)&gt;1.3,1.3,K1972/J1972),"")</f>
        <v>1.0115060086934289</v>
      </c>
      <c r="M1972" s="15">
        <f>IFERROR(IF((K1972/J1972)&gt;K1972/J1972,1.3,K1972/J1972),"")</f>
        <v>1.0115060086934289</v>
      </c>
      <c r="N1972" s="5" t="s">
        <v>347</v>
      </c>
      <c r="O1972" s="5" t="s">
        <v>347</v>
      </c>
      <c r="P1972" s="16">
        <v>0</v>
      </c>
      <c r="Q1972" s="16">
        <v>0</v>
      </c>
      <c r="R1972" s="5" t="str">
        <f t="shared" si="321"/>
        <v>14.1-2023-06-30</v>
      </c>
    </row>
    <row r="1973" spans="1:18" x14ac:dyDescent="0.3">
      <c r="A1973" s="25" t="s">
        <v>348</v>
      </c>
      <c r="B1973" s="23" t="s">
        <v>349</v>
      </c>
      <c r="C1973" s="5" t="s">
        <v>124</v>
      </c>
      <c r="D1973" s="5" t="s">
        <v>8</v>
      </c>
      <c r="E1973" s="5" t="s">
        <v>9</v>
      </c>
      <c r="F1973" s="6">
        <v>45291</v>
      </c>
      <c r="G1973" s="5">
        <f t="shared" si="318"/>
        <v>2023</v>
      </c>
      <c r="H1973" s="5" t="str">
        <f t="shared" si="319"/>
        <v>Diciembre</v>
      </c>
      <c r="I1973" s="6" t="str">
        <f t="shared" si="320"/>
        <v>2023-2</v>
      </c>
      <c r="J1973" s="42">
        <v>7620</v>
      </c>
      <c r="K1973" s="9">
        <v>8067</v>
      </c>
      <c r="L1973" s="15">
        <f>IFERROR(IF((K1973/J1973)&gt;1.3,1.3,K1973/J1973),"")</f>
        <v>1.0586614173228346</v>
      </c>
      <c r="M1973" s="15">
        <f>IFERROR(IF((K1973/J1973)&gt;K1973/J1973,1.3,K1973/J1973),"")</f>
        <v>1.0586614173228346</v>
      </c>
      <c r="N1973" s="5" t="s">
        <v>347</v>
      </c>
      <c r="O1973" s="5" t="s">
        <v>347</v>
      </c>
      <c r="P1973" s="16">
        <v>0</v>
      </c>
      <c r="Q1973" s="16">
        <v>0</v>
      </c>
      <c r="R1973" s="5" t="str">
        <f t="shared" si="321"/>
        <v>14.1-2023-12-31</v>
      </c>
    </row>
    <row r="1974" spans="1:18" x14ac:dyDescent="0.3">
      <c r="A1974" s="25" t="s">
        <v>348</v>
      </c>
      <c r="B1974" s="23" t="s">
        <v>349</v>
      </c>
      <c r="C1974" s="5" t="s">
        <v>124</v>
      </c>
      <c r="D1974" s="5" t="s">
        <v>8</v>
      </c>
      <c r="E1974" s="5" t="s">
        <v>9</v>
      </c>
      <c r="F1974" s="6">
        <v>45473</v>
      </c>
      <c r="G1974" s="5">
        <f t="shared" si="318"/>
        <v>2024</v>
      </c>
      <c r="H1974" s="5" t="str">
        <f t="shared" si="319"/>
        <v>Junio</v>
      </c>
      <c r="I1974" s="6" t="str">
        <f t="shared" si="320"/>
        <v>2024-1</v>
      </c>
      <c r="J1974" s="42">
        <v>8168</v>
      </c>
      <c r="K1974" s="9">
        <v>8424</v>
      </c>
      <c r="L1974" s="15">
        <f>IFERROR(IF((K1974/J1974)&gt;1.3,1.3,K1974/J1974),"")</f>
        <v>1.0313418217433887</v>
      </c>
      <c r="M1974" s="15">
        <f>IFERROR(IF((K1974/J1974)&gt;K1974/J1974,1.3,K1974/J1974),"")</f>
        <v>1.0313418217433887</v>
      </c>
      <c r="N1974" s="5" t="s">
        <v>347</v>
      </c>
      <c r="O1974" s="5" t="s">
        <v>347</v>
      </c>
      <c r="P1974" s="16">
        <v>0</v>
      </c>
      <c r="Q1974" s="16">
        <v>0</v>
      </c>
      <c r="R1974" s="5" t="str">
        <f t="shared" si="321"/>
        <v>14.1-2024-06-30</v>
      </c>
    </row>
    <row r="1975" spans="1:18" x14ac:dyDescent="0.3">
      <c r="A1975" s="25" t="s">
        <v>350</v>
      </c>
      <c r="B1975" s="23" t="s">
        <v>351</v>
      </c>
      <c r="C1975" s="5" t="s">
        <v>74</v>
      </c>
      <c r="D1975" s="5" t="s">
        <v>8</v>
      </c>
      <c r="E1975" s="5" t="s">
        <v>9</v>
      </c>
      <c r="F1975" s="6">
        <v>44742</v>
      </c>
      <c r="G1975" s="5">
        <f t="shared" si="318"/>
        <v>2022</v>
      </c>
      <c r="H1975" s="5" t="str">
        <f t="shared" si="319"/>
        <v>Junio</v>
      </c>
      <c r="I1975" s="6" t="str">
        <f t="shared" si="320"/>
        <v>2022-1</v>
      </c>
      <c r="J1975" s="5">
        <v>42889</v>
      </c>
      <c r="K1975" s="9">
        <v>43359</v>
      </c>
      <c r="L1975" s="15">
        <v>1.0109585208328475</v>
      </c>
      <c r="M1975" s="15">
        <v>1.0109585208328475</v>
      </c>
      <c r="N1975" s="5" t="s">
        <v>490</v>
      </c>
      <c r="O1975" s="5" t="s">
        <v>490</v>
      </c>
      <c r="P1975" s="5">
        <v>0</v>
      </c>
      <c r="Q1975" s="5">
        <v>0</v>
      </c>
      <c r="R1975" s="5" t="str">
        <f t="shared" si="321"/>
        <v>14.2-2022-06-30</v>
      </c>
    </row>
    <row r="1976" spans="1:18" x14ac:dyDescent="0.3">
      <c r="A1976" s="25" t="s">
        <v>350</v>
      </c>
      <c r="B1976" s="23" t="s">
        <v>351</v>
      </c>
      <c r="C1976" s="5" t="s">
        <v>74</v>
      </c>
      <c r="D1976" s="5" t="s">
        <v>8</v>
      </c>
      <c r="E1976" s="5" t="s">
        <v>9</v>
      </c>
      <c r="F1976" s="6">
        <v>44926</v>
      </c>
      <c r="G1976" s="5">
        <f t="shared" si="318"/>
        <v>2022</v>
      </c>
      <c r="H1976" s="5" t="str">
        <f t="shared" si="319"/>
        <v>Diciembre</v>
      </c>
      <c r="I1976" s="6" t="str">
        <f t="shared" si="320"/>
        <v>2022-2</v>
      </c>
      <c r="J1976" s="5">
        <v>42274</v>
      </c>
      <c r="K1976" s="9">
        <v>42699</v>
      </c>
      <c r="L1976" s="15">
        <v>1.0100534607560203</v>
      </c>
      <c r="M1976" s="15">
        <v>1.0100534607560203</v>
      </c>
      <c r="N1976" s="5" t="s">
        <v>490</v>
      </c>
      <c r="O1976" s="5" t="s">
        <v>490</v>
      </c>
      <c r="P1976" s="5">
        <v>0</v>
      </c>
      <c r="Q1976" s="5">
        <v>0</v>
      </c>
      <c r="R1976" s="5" t="str">
        <f t="shared" si="321"/>
        <v>14.2-2022-12-31</v>
      </c>
    </row>
    <row r="1977" spans="1:18" x14ac:dyDescent="0.3">
      <c r="A1977" s="25" t="s">
        <v>350</v>
      </c>
      <c r="B1977" s="23" t="s">
        <v>351</v>
      </c>
      <c r="C1977" s="5" t="s">
        <v>74</v>
      </c>
      <c r="D1977" s="5" t="s">
        <v>8</v>
      </c>
      <c r="E1977" s="5" t="s">
        <v>9</v>
      </c>
      <c r="F1977" s="6">
        <v>45107</v>
      </c>
      <c r="G1977" s="5">
        <f t="shared" si="318"/>
        <v>2023</v>
      </c>
      <c r="H1977" s="5" t="str">
        <f t="shared" si="319"/>
        <v>Junio</v>
      </c>
      <c r="I1977" s="6" t="str">
        <f t="shared" si="320"/>
        <v>2023-1</v>
      </c>
      <c r="J1977" s="42">
        <v>44355</v>
      </c>
      <c r="K1977" s="9">
        <v>43561</v>
      </c>
      <c r="L1977" s="15">
        <f t="shared" ref="L1977:L1989" si="323">IFERROR(IF((K1977/J1977)&gt;1.3,1.3,K1977/J1977),"")</f>
        <v>0.98209897418554837</v>
      </c>
      <c r="M1977" s="15">
        <f t="shared" ref="M1977:M1984" si="324">IFERROR(IF((K1977/J1977)&gt;K1977/J1977,1.3,K1977/J1977),"")</f>
        <v>0.98209897418554837</v>
      </c>
      <c r="N1977" s="5" t="s">
        <v>490</v>
      </c>
      <c r="O1977" s="5" t="s">
        <v>490</v>
      </c>
      <c r="P1977" s="16">
        <v>0</v>
      </c>
      <c r="Q1977" s="16">
        <v>0</v>
      </c>
      <c r="R1977" s="5" t="str">
        <f t="shared" si="321"/>
        <v>14.2-2023-06-30</v>
      </c>
    </row>
    <row r="1978" spans="1:18" x14ac:dyDescent="0.3">
      <c r="A1978" s="25" t="s">
        <v>350</v>
      </c>
      <c r="B1978" s="23" t="s">
        <v>351</v>
      </c>
      <c r="C1978" s="5" t="s">
        <v>124</v>
      </c>
      <c r="D1978" s="5" t="s">
        <v>8</v>
      </c>
      <c r="E1978" s="5" t="s">
        <v>9</v>
      </c>
      <c r="F1978" s="6">
        <v>45291</v>
      </c>
      <c r="G1978" s="5">
        <f t="shared" si="318"/>
        <v>2023</v>
      </c>
      <c r="H1978" s="5" t="str">
        <f t="shared" si="319"/>
        <v>Diciembre</v>
      </c>
      <c r="I1978" s="6" t="str">
        <f t="shared" si="320"/>
        <v>2023-2</v>
      </c>
      <c r="J1978" s="42">
        <v>44067</v>
      </c>
      <c r="K1978" s="9">
        <v>43308</v>
      </c>
      <c r="L1978" s="15">
        <f t="shared" si="323"/>
        <v>0.98277622710872081</v>
      </c>
      <c r="M1978" s="15">
        <f t="shared" si="324"/>
        <v>0.98277622710872081</v>
      </c>
      <c r="N1978" s="5" t="s">
        <v>490</v>
      </c>
      <c r="O1978" s="5" t="s">
        <v>490</v>
      </c>
      <c r="P1978" s="16">
        <v>0</v>
      </c>
      <c r="Q1978" s="16">
        <v>0</v>
      </c>
      <c r="R1978" s="5" t="str">
        <f t="shared" si="321"/>
        <v>14.2-2023-12-31</v>
      </c>
    </row>
    <row r="1979" spans="1:18" x14ac:dyDescent="0.3">
      <c r="A1979" s="25" t="s">
        <v>350</v>
      </c>
      <c r="B1979" s="23" t="s">
        <v>351</v>
      </c>
      <c r="C1979" s="5" t="s">
        <v>124</v>
      </c>
      <c r="D1979" s="5" t="s">
        <v>8</v>
      </c>
      <c r="E1979" s="5" t="s">
        <v>9</v>
      </c>
      <c r="F1979" s="6">
        <v>45473</v>
      </c>
      <c r="G1979" s="5">
        <f t="shared" si="318"/>
        <v>2024</v>
      </c>
      <c r="H1979" s="5" t="str">
        <f t="shared" si="319"/>
        <v>Junio</v>
      </c>
      <c r="I1979" s="6" t="str">
        <f t="shared" si="320"/>
        <v>2024-1</v>
      </c>
      <c r="J1979" s="42">
        <v>44235</v>
      </c>
      <c r="K1979" s="9">
        <v>44161</v>
      </c>
      <c r="L1979" s="15">
        <f t="shared" si="323"/>
        <v>0.99832711653667905</v>
      </c>
      <c r="M1979" s="15">
        <f t="shared" si="324"/>
        <v>0.99832711653667905</v>
      </c>
      <c r="N1979" s="5" t="s">
        <v>490</v>
      </c>
      <c r="O1979" s="5" t="s">
        <v>490</v>
      </c>
      <c r="P1979" s="16">
        <v>0</v>
      </c>
      <c r="Q1979" s="16">
        <v>0</v>
      </c>
      <c r="R1979" s="5" t="str">
        <f t="shared" si="321"/>
        <v>14.2-2024-06-30</v>
      </c>
    </row>
    <row r="1980" spans="1:18" x14ac:dyDescent="0.3">
      <c r="A1980" s="25" t="s">
        <v>352</v>
      </c>
      <c r="B1980" s="23" t="s">
        <v>353</v>
      </c>
      <c r="C1980" s="5" t="s">
        <v>124</v>
      </c>
      <c r="D1980" s="5" t="s">
        <v>8</v>
      </c>
      <c r="E1980" s="5" t="s">
        <v>9</v>
      </c>
      <c r="F1980" s="6">
        <v>44742</v>
      </c>
      <c r="G1980" s="5">
        <f t="shared" si="318"/>
        <v>2022</v>
      </c>
      <c r="H1980" s="5" t="str">
        <f t="shared" si="319"/>
        <v>Junio</v>
      </c>
      <c r="I1980" s="6" t="str">
        <f t="shared" si="320"/>
        <v>2022-1</v>
      </c>
      <c r="J1980" s="5">
        <v>48022</v>
      </c>
      <c r="K1980" s="9">
        <v>48612</v>
      </c>
      <c r="L1980" s="15">
        <f t="shared" si="323"/>
        <v>1.0122860355670318</v>
      </c>
      <c r="M1980" s="15">
        <f t="shared" si="324"/>
        <v>1.0122860355670318</v>
      </c>
      <c r="N1980" s="5" t="s">
        <v>347</v>
      </c>
      <c r="O1980" s="5" t="s">
        <v>347</v>
      </c>
      <c r="P1980" s="5">
        <v>0</v>
      </c>
      <c r="Q1980" s="5">
        <v>0</v>
      </c>
      <c r="R1980" s="5" t="str">
        <f t="shared" si="321"/>
        <v>14.3-2022-06-30</v>
      </c>
    </row>
    <row r="1981" spans="1:18" x14ac:dyDescent="0.3">
      <c r="A1981" s="25" t="s">
        <v>352</v>
      </c>
      <c r="B1981" s="23" t="s">
        <v>353</v>
      </c>
      <c r="C1981" s="5" t="s">
        <v>124</v>
      </c>
      <c r="D1981" s="5" t="s">
        <v>8</v>
      </c>
      <c r="E1981" s="5" t="s">
        <v>9</v>
      </c>
      <c r="F1981" s="6">
        <v>44926</v>
      </c>
      <c r="G1981" s="5">
        <f t="shared" si="318"/>
        <v>2022</v>
      </c>
      <c r="H1981" s="5" t="str">
        <f t="shared" si="319"/>
        <v>Diciembre</v>
      </c>
      <c r="I1981" s="6" t="str">
        <f t="shared" si="320"/>
        <v>2022-2</v>
      </c>
      <c r="J1981" s="5">
        <v>46674</v>
      </c>
      <c r="K1981" s="9">
        <v>47628</v>
      </c>
      <c r="L1981" s="15">
        <f t="shared" si="323"/>
        <v>1.0204396451986117</v>
      </c>
      <c r="M1981" s="15">
        <f t="shared" si="324"/>
        <v>1.0204396451986117</v>
      </c>
      <c r="N1981" s="5" t="s">
        <v>347</v>
      </c>
      <c r="O1981" s="5" t="s">
        <v>347</v>
      </c>
      <c r="P1981" s="5">
        <v>0</v>
      </c>
      <c r="Q1981" s="5">
        <v>0</v>
      </c>
      <c r="R1981" s="5" t="str">
        <f t="shared" si="321"/>
        <v>14.3-2022-12-31</v>
      </c>
    </row>
    <row r="1982" spans="1:18" x14ac:dyDescent="0.3">
      <c r="A1982" s="25" t="s">
        <v>352</v>
      </c>
      <c r="B1982" s="23" t="s">
        <v>353</v>
      </c>
      <c r="C1982" s="5" t="s">
        <v>74</v>
      </c>
      <c r="D1982" s="5" t="s">
        <v>8</v>
      </c>
      <c r="E1982" s="5" t="s">
        <v>9</v>
      </c>
      <c r="F1982" s="6">
        <v>45107</v>
      </c>
      <c r="G1982" s="5">
        <f t="shared" si="318"/>
        <v>2023</v>
      </c>
      <c r="H1982" s="5" t="str">
        <f t="shared" si="319"/>
        <v>Junio</v>
      </c>
      <c r="I1982" s="6" t="str">
        <f t="shared" si="320"/>
        <v>2023-1</v>
      </c>
      <c r="J1982" s="42">
        <v>49451</v>
      </c>
      <c r="K1982" s="9">
        <v>48483</v>
      </c>
      <c r="L1982" s="15">
        <f t="shared" si="323"/>
        <v>0.98042506723827627</v>
      </c>
      <c r="M1982" s="15">
        <f t="shared" si="324"/>
        <v>0.98042506723827627</v>
      </c>
      <c r="N1982" s="5" t="s">
        <v>347</v>
      </c>
      <c r="O1982" s="5" t="s">
        <v>347</v>
      </c>
      <c r="P1982" s="16">
        <v>0</v>
      </c>
      <c r="Q1982" s="16">
        <v>0</v>
      </c>
      <c r="R1982" s="5" t="str">
        <f t="shared" si="321"/>
        <v>14.3-2023-06-30</v>
      </c>
    </row>
    <row r="1983" spans="1:18" x14ac:dyDescent="0.3">
      <c r="A1983" s="25" t="s">
        <v>352</v>
      </c>
      <c r="B1983" s="23" t="s">
        <v>353</v>
      </c>
      <c r="C1983" s="5" t="s">
        <v>124</v>
      </c>
      <c r="D1983" s="5" t="s">
        <v>8</v>
      </c>
      <c r="E1983" s="5" t="s">
        <v>9</v>
      </c>
      <c r="F1983" s="6">
        <v>45291</v>
      </c>
      <c r="G1983" s="5">
        <f t="shared" si="318"/>
        <v>2023</v>
      </c>
      <c r="H1983" s="5" t="str">
        <f t="shared" si="319"/>
        <v>Diciembre</v>
      </c>
      <c r="I1983" s="6" t="str">
        <f t="shared" si="320"/>
        <v>2023-2</v>
      </c>
      <c r="J1983" s="42">
        <v>48891</v>
      </c>
      <c r="K1983" s="9">
        <v>48047</v>
      </c>
      <c r="L1983" s="15">
        <f t="shared" si="323"/>
        <v>0.98273710907938061</v>
      </c>
      <c r="M1983" s="15">
        <f t="shared" si="324"/>
        <v>0.98273710907938061</v>
      </c>
      <c r="N1983" s="5" t="s">
        <v>347</v>
      </c>
      <c r="O1983" s="5" t="s">
        <v>347</v>
      </c>
      <c r="P1983" s="16">
        <v>0</v>
      </c>
      <c r="Q1983" s="16">
        <v>0</v>
      </c>
      <c r="R1983" s="5" t="str">
        <f t="shared" si="321"/>
        <v>14.3-2023-12-31</v>
      </c>
    </row>
    <row r="1984" spans="1:18" x14ac:dyDescent="0.3">
      <c r="A1984" s="25" t="s">
        <v>352</v>
      </c>
      <c r="B1984" s="23" t="s">
        <v>353</v>
      </c>
      <c r="C1984" s="5" t="s">
        <v>124</v>
      </c>
      <c r="D1984" s="5" t="s">
        <v>8</v>
      </c>
      <c r="E1984" s="5" t="s">
        <v>9</v>
      </c>
      <c r="F1984" s="6">
        <v>45473</v>
      </c>
      <c r="G1984" s="5">
        <f t="shared" si="318"/>
        <v>2024</v>
      </c>
      <c r="H1984" s="5" t="str">
        <f t="shared" si="319"/>
        <v>Junio</v>
      </c>
      <c r="I1984" s="6" t="str">
        <f t="shared" si="320"/>
        <v>2024-1</v>
      </c>
      <c r="J1984" s="42">
        <v>49310</v>
      </c>
      <c r="K1984" s="9">
        <v>49100</v>
      </c>
      <c r="L1984" s="15">
        <f t="shared" si="323"/>
        <v>0.99574122895964312</v>
      </c>
      <c r="M1984" s="15">
        <f t="shared" si="324"/>
        <v>0.99574122895964312</v>
      </c>
      <c r="N1984" s="5" t="s">
        <v>347</v>
      </c>
      <c r="O1984" s="5" t="s">
        <v>347</v>
      </c>
      <c r="P1984" s="16">
        <v>0</v>
      </c>
      <c r="Q1984" s="16">
        <v>0</v>
      </c>
      <c r="R1984" s="5" t="str">
        <f t="shared" si="321"/>
        <v>14.3-2024-06-30</v>
      </c>
    </row>
    <row r="1985" spans="1:18" x14ac:dyDescent="0.3">
      <c r="A1985" s="25" t="s">
        <v>354</v>
      </c>
      <c r="B1985" s="23" t="s">
        <v>355</v>
      </c>
      <c r="C1985" s="5" t="s">
        <v>124</v>
      </c>
      <c r="D1985" s="5" t="s">
        <v>8</v>
      </c>
      <c r="E1985" s="5" t="s">
        <v>9</v>
      </c>
      <c r="F1985" s="6">
        <v>44742</v>
      </c>
      <c r="G1985" s="5">
        <f t="shared" si="318"/>
        <v>2022</v>
      </c>
      <c r="H1985" s="5" t="str">
        <f t="shared" si="319"/>
        <v>Junio</v>
      </c>
      <c r="I1985" s="6" t="str">
        <f t="shared" si="320"/>
        <v>2022-1</v>
      </c>
      <c r="J1985" s="5">
        <v>2408</v>
      </c>
      <c r="K1985" s="9">
        <v>2398</v>
      </c>
      <c r="L1985" s="15">
        <f t="shared" si="323"/>
        <v>0.99584717607973416</v>
      </c>
      <c r="M1985" s="15">
        <f t="shared" ref="M1985:M1989" si="325">IFERROR(IF((K1985/J1985)&gt;K1985/J1985,1.3,K1985/J1985),"")</f>
        <v>0.99584717607973416</v>
      </c>
      <c r="N1985" s="5" t="s">
        <v>490</v>
      </c>
      <c r="O1985" s="5" t="s">
        <v>490</v>
      </c>
      <c r="P1985" s="5">
        <v>0</v>
      </c>
      <c r="Q1985" s="5">
        <v>0</v>
      </c>
      <c r="R1985" s="5" t="str">
        <f t="shared" si="321"/>
        <v>14.4-2022-06-30</v>
      </c>
    </row>
    <row r="1986" spans="1:18" x14ac:dyDescent="0.3">
      <c r="A1986" s="25" t="s">
        <v>354</v>
      </c>
      <c r="B1986" s="23" t="s">
        <v>355</v>
      </c>
      <c r="C1986" s="5" t="s">
        <v>124</v>
      </c>
      <c r="D1986" s="5" t="s">
        <v>8</v>
      </c>
      <c r="E1986" s="5" t="s">
        <v>9</v>
      </c>
      <c r="F1986" s="6">
        <v>44925</v>
      </c>
      <c r="G1986" s="5">
        <f t="shared" ref="G1986:G2049" si="326">YEAR(F1986)</f>
        <v>2022</v>
      </c>
      <c r="H1986" s="5" t="str">
        <f t="shared" ref="H1986:H2049" si="327">PROPER(TEXT(F1986,"mmmm"))</f>
        <v>Diciembre</v>
      </c>
      <c r="I1986" s="6" t="str">
        <f t="shared" si="320"/>
        <v>2022-2</v>
      </c>
      <c r="J1986" s="5">
        <v>2230</v>
      </c>
      <c r="K1986" s="9">
        <v>2610</v>
      </c>
      <c r="L1986" s="15">
        <f t="shared" si="323"/>
        <v>1.1704035874439462</v>
      </c>
      <c r="M1986" s="15">
        <f t="shared" si="325"/>
        <v>1.1704035874439462</v>
      </c>
      <c r="N1986" s="5" t="s">
        <v>490</v>
      </c>
      <c r="O1986" s="5" t="s">
        <v>490</v>
      </c>
      <c r="P1986" s="5">
        <v>0</v>
      </c>
      <c r="Q1986" s="5">
        <v>0</v>
      </c>
      <c r="R1986" s="5" t="str">
        <f t="shared" si="321"/>
        <v>14.4-2022-12-30</v>
      </c>
    </row>
    <row r="1987" spans="1:18" x14ac:dyDescent="0.3">
      <c r="A1987" s="25" t="s">
        <v>354</v>
      </c>
      <c r="B1987" s="23" t="s">
        <v>355</v>
      </c>
      <c r="C1987" s="5" t="s">
        <v>124</v>
      </c>
      <c r="D1987" s="5" t="s">
        <v>8</v>
      </c>
      <c r="E1987" s="5" t="s">
        <v>9</v>
      </c>
      <c r="F1987" s="6">
        <v>45107</v>
      </c>
      <c r="G1987" s="5">
        <f t="shared" si="326"/>
        <v>2023</v>
      </c>
      <c r="H1987" s="5" t="str">
        <f t="shared" si="327"/>
        <v>Junio</v>
      </c>
      <c r="I1987" s="6" t="str">
        <f t="shared" si="320"/>
        <v>2023-1</v>
      </c>
      <c r="J1987" s="42">
        <v>2726</v>
      </c>
      <c r="K1987" s="9">
        <v>2990</v>
      </c>
      <c r="L1987" s="15">
        <f t="shared" si="323"/>
        <v>1.0968451944240645</v>
      </c>
      <c r="M1987" s="15">
        <f t="shared" si="325"/>
        <v>1.0968451944240645</v>
      </c>
      <c r="N1987" s="5" t="s">
        <v>490</v>
      </c>
      <c r="O1987" s="5" t="s">
        <v>490</v>
      </c>
      <c r="P1987" s="16">
        <v>0</v>
      </c>
      <c r="Q1987" s="16">
        <v>0</v>
      </c>
      <c r="R1987" s="5" t="str">
        <f t="shared" si="321"/>
        <v>14.4-2023-06-30</v>
      </c>
    </row>
    <row r="1988" spans="1:18" x14ac:dyDescent="0.3">
      <c r="A1988" s="25" t="s">
        <v>354</v>
      </c>
      <c r="B1988" s="23" t="s">
        <v>355</v>
      </c>
      <c r="C1988" s="5" t="s">
        <v>124</v>
      </c>
      <c r="D1988" s="5" t="s">
        <v>8</v>
      </c>
      <c r="E1988" s="5" t="s">
        <v>9</v>
      </c>
      <c r="F1988" s="6">
        <v>45291</v>
      </c>
      <c r="G1988" s="5">
        <f t="shared" si="326"/>
        <v>2023</v>
      </c>
      <c r="H1988" s="5" t="str">
        <f t="shared" si="327"/>
        <v>Diciembre</v>
      </c>
      <c r="I1988" s="6" t="str">
        <f t="shared" ref="I1988:I2051" si="328">IF(OR(H1988="Enero",H1988="Febrero",H1988="Marzo",H1988="Abril",H1988="Mayo",H1988="Junio"),G1988&amp;"-1",IF(OR(H1988="Julio",H1988="Agosto",H1988="Septiembre",H1988="Octubre",H1988="Noviembre",H1988="Diciembre"),G1988&amp;"-2"))</f>
        <v>2023-2</v>
      </c>
      <c r="J1988" s="42">
        <v>2796</v>
      </c>
      <c r="K1988" s="9">
        <v>3328</v>
      </c>
      <c r="L1988" s="15">
        <f t="shared" si="323"/>
        <v>1.1902718168812589</v>
      </c>
      <c r="M1988" s="15">
        <f t="shared" si="325"/>
        <v>1.1902718168812589</v>
      </c>
      <c r="N1988" s="5" t="s">
        <v>490</v>
      </c>
      <c r="O1988" s="5" t="s">
        <v>490</v>
      </c>
      <c r="P1988" s="16">
        <v>0</v>
      </c>
      <c r="Q1988" s="16">
        <v>0</v>
      </c>
      <c r="R1988" s="5" t="str">
        <f t="shared" ref="R1988:R2051" si="329">A1988&amp;"-"&amp;YEAR(F1988)&amp;"-"&amp;IF(LEN(MONTH(F1988))=1,"0"&amp;MONTH(F1988),MONTH(F1988))&amp;"-"&amp;DAY(F1988)</f>
        <v>14.4-2023-12-31</v>
      </c>
    </row>
    <row r="1989" spans="1:18" x14ac:dyDescent="0.3">
      <c r="A1989" s="25" t="s">
        <v>354</v>
      </c>
      <c r="B1989" s="23" t="s">
        <v>355</v>
      </c>
      <c r="C1989" s="5" t="s">
        <v>124</v>
      </c>
      <c r="D1989" s="5" t="s">
        <v>8</v>
      </c>
      <c r="E1989" s="5" t="s">
        <v>9</v>
      </c>
      <c r="F1989" s="6">
        <v>45473</v>
      </c>
      <c r="G1989" s="5">
        <f t="shared" si="326"/>
        <v>2024</v>
      </c>
      <c r="H1989" s="5" t="str">
        <f t="shared" si="327"/>
        <v>Junio</v>
      </c>
      <c r="I1989" s="6" t="str">
        <f t="shared" si="328"/>
        <v>2024-1</v>
      </c>
      <c r="J1989" s="42">
        <v>3093</v>
      </c>
      <c r="K1989" s="9">
        <v>3485</v>
      </c>
      <c r="L1989" s="15">
        <f t="shared" si="323"/>
        <v>1.1267377950210151</v>
      </c>
      <c r="M1989" s="15">
        <f t="shared" si="325"/>
        <v>1.1267377950210151</v>
      </c>
      <c r="N1989" s="5" t="s">
        <v>490</v>
      </c>
      <c r="O1989" s="5" t="s">
        <v>490</v>
      </c>
      <c r="P1989" s="16">
        <v>0</v>
      </c>
      <c r="Q1989" s="16">
        <v>0</v>
      </c>
      <c r="R1989" s="5" t="str">
        <f t="shared" si="329"/>
        <v>14.4-2024-06-30</v>
      </c>
    </row>
    <row r="1990" spans="1:18" x14ac:dyDescent="0.3">
      <c r="A1990" s="5" t="s">
        <v>429</v>
      </c>
      <c r="B1990" s="5" t="s">
        <v>430</v>
      </c>
      <c r="C1990" s="5" t="s">
        <v>209</v>
      </c>
      <c r="D1990" s="5" t="s">
        <v>8</v>
      </c>
      <c r="E1990" s="5" t="s">
        <v>9</v>
      </c>
      <c r="F1990" s="17">
        <v>44926</v>
      </c>
      <c r="G1990" s="5">
        <f t="shared" si="326"/>
        <v>2022</v>
      </c>
      <c r="H1990" s="5" t="str">
        <f t="shared" si="327"/>
        <v>Diciembre</v>
      </c>
      <c r="I1990" s="6" t="str">
        <f t="shared" si="328"/>
        <v>2022-2</v>
      </c>
      <c r="J1990" s="5">
        <v>6</v>
      </c>
      <c r="K1990" s="9">
        <v>2</v>
      </c>
      <c r="L1990" s="15">
        <v>0.33333333333333331</v>
      </c>
      <c r="M1990" s="15">
        <v>0.33333333333333331</v>
      </c>
      <c r="N1990" s="5" t="s">
        <v>490</v>
      </c>
      <c r="O1990" s="5" t="s">
        <v>490</v>
      </c>
      <c r="P1990" s="5">
        <v>0</v>
      </c>
      <c r="Q1990" s="5">
        <v>0</v>
      </c>
      <c r="R1990" s="5" t="str">
        <f t="shared" si="329"/>
        <v>325.1-2022-12-31</v>
      </c>
    </row>
    <row r="1991" spans="1:18" x14ac:dyDescent="0.3">
      <c r="A1991" s="5" t="s">
        <v>429</v>
      </c>
      <c r="B1991" s="5" t="s">
        <v>430</v>
      </c>
      <c r="C1991" s="5" t="s">
        <v>209</v>
      </c>
      <c r="D1991" s="5" t="s">
        <v>8</v>
      </c>
      <c r="E1991" s="5" t="s">
        <v>9</v>
      </c>
      <c r="F1991" s="17">
        <v>45291</v>
      </c>
      <c r="G1991" s="5">
        <f t="shared" si="326"/>
        <v>2023</v>
      </c>
      <c r="H1991" s="5" t="str">
        <f t="shared" si="327"/>
        <v>Diciembre</v>
      </c>
      <c r="I1991" s="6" t="str">
        <f t="shared" si="328"/>
        <v>2023-2</v>
      </c>
      <c r="J1991" s="5">
        <v>1</v>
      </c>
      <c r="K1991" s="5">
        <v>1</v>
      </c>
      <c r="L1991" s="15">
        <f>K1991/J1991</f>
        <v>1</v>
      </c>
      <c r="M1991" s="15">
        <f>K1991/J1991</f>
        <v>1</v>
      </c>
      <c r="N1991" s="5" t="s">
        <v>490</v>
      </c>
      <c r="O1991" s="5" t="s">
        <v>490</v>
      </c>
      <c r="P1991" s="5">
        <v>0</v>
      </c>
      <c r="Q1991" s="5">
        <v>0</v>
      </c>
      <c r="R1991" s="5" t="str">
        <f t="shared" si="329"/>
        <v>325.1-2023-12-31</v>
      </c>
    </row>
    <row r="1992" spans="1:18" x14ac:dyDescent="0.3">
      <c r="A1992" s="5" t="s">
        <v>429</v>
      </c>
      <c r="B1992" s="5" t="s">
        <v>430</v>
      </c>
      <c r="C1992" s="5" t="s">
        <v>209</v>
      </c>
      <c r="D1992" s="5" t="s">
        <v>8</v>
      </c>
      <c r="E1992" s="5" t="s">
        <v>9</v>
      </c>
      <c r="F1992" s="6">
        <v>45656</v>
      </c>
      <c r="G1992" s="5">
        <f t="shared" si="326"/>
        <v>2024</v>
      </c>
      <c r="H1992" s="5" t="str">
        <f t="shared" si="327"/>
        <v>Diciembre</v>
      </c>
      <c r="I1992" s="6" t="str">
        <f t="shared" si="328"/>
        <v>2024-2</v>
      </c>
      <c r="J1992" s="5">
        <v>0</v>
      </c>
      <c r="K1992" s="5">
        <v>0</v>
      </c>
      <c r="L1992" s="15"/>
      <c r="M1992" s="15" t="s">
        <v>417</v>
      </c>
      <c r="N1992" s="5" t="s">
        <v>490</v>
      </c>
      <c r="O1992" s="5" t="s">
        <v>490</v>
      </c>
      <c r="P1992" s="5">
        <v>0</v>
      </c>
      <c r="Q1992" s="5">
        <v>0</v>
      </c>
      <c r="R1992" s="5" t="str">
        <f t="shared" si="329"/>
        <v>325.1-2024-12-30</v>
      </c>
    </row>
    <row r="1993" spans="1:18" x14ac:dyDescent="0.3">
      <c r="A1993" s="5" t="s">
        <v>431</v>
      </c>
      <c r="B1993" s="5" t="s">
        <v>432</v>
      </c>
      <c r="C1993" s="5" t="s">
        <v>209</v>
      </c>
      <c r="D1993" s="5" t="s">
        <v>8</v>
      </c>
      <c r="E1993" s="5" t="s">
        <v>9</v>
      </c>
      <c r="F1993" s="17">
        <v>44926</v>
      </c>
      <c r="G1993" s="5">
        <f t="shared" si="326"/>
        <v>2022</v>
      </c>
      <c r="H1993" s="5" t="str">
        <f t="shared" si="327"/>
        <v>Diciembre</v>
      </c>
      <c r="I1993" s="6" t="str">
        <f t="shared" si="328"/>
        <v>2022-2</v>
      </c>
      <c r="J1993" s="5">
        <v>2</v>
      </c>
      <c r="K1993" s="9">
        <v>2</v>
      </c>
      <c r="L1993" s="15">
        <f>K1993/J1993</f>
        <v>1</v>
      </c>
      <c r="M1993" s="15">
        <f>K1993/J1993</f>
        <v>1</v>
      </c>
      <c r="N1993" s="5" t="s">
        <v>490</v>
      </c>
      <c r="O1993" s="5" t="s">
        <v>490</v>
      </c>
      <c r="P1993" s="5">
        <v>0</v>
      </c>
      <c r="Q1993" s="5">
        <v>0</v>
      </c>
      <c r="R1993" s="5" t="str">
        <f t="shared" si="329"/>
        <v>325.2-2022-12-31</v>
      </c>
    </row>
    <row r="1994" spans="1:18" x14ac:dyDescent="0.3">
      <c r="A1994" s="5" t="s">
        <v>431</v>
      </c>
      <c r="B1994" s="5" t="s">
        <v>432</v>
      </c>
      <c r="C1994" s="5" t="s">
        <v>209</v>
      </c>
      <c r="D1994" s="5" t="s">
        <v>8</v>
      </c>
      <c r="E1994" s="5" t="s">
        <v>9</v>
      </c>
      <c r="F1994" s="17">
        <v>45291</v>
      </c>
      <c r="G1994" s="5">
        <f t="shared" si="326"/>
        <v>2023</v>
      </c>
      <c r="H1994" s="5" t="str">
        <f t="shared" si="327"/>
        <v>Diciembre</v>
      </c>
      <c r="I1994" s="6" t="str">
        <f t="shared" si="328"/>
        <v>2023-2</v>
      </c>
      <c r="J1994" s="5">
        <v>1</v>
      </c>
      <c r="K1994" s="5">
        <v>1</v>
      </c>
      <c r="L1994" s="15">
        <f>K1994/J1994</f>
        <v>1</v>
      </c>
      <c r="M1994" s="15">
        <f>K1994/J1994</f>
        <v>1</v>
      </c>
      <c r="N1994" s="5" t="s">
        <v>490</v>
      </c>
      <c r="O1994" s="5" t="s">
        <v>490</v>
      </c>
      <c r="P1994" s="5">
        <v>0</v>
      </c>
      <c r="Q1994" s="5">
        <v>0</v>
      </c>
      <c r="R1994" s="5" t="str">
        <f t="shared" si="329"/>
        <v>325.2-2023-12-31</v>
      </c>
    </row>
    <row r="1995" spans="1:18" x14ac:dyDescent="0.3">
      <c r="A1995" s="5" t="s">
        <v>431</v>
      </c>
      <c r="B1995" s="5" t="s">
        <v>432</v>
      </c>
      <c r="C1995" s="5" t="s">
        <v>209</v>
      </c>
      <c r="D1995" s="5" t="s">
        <v>8</v>
      </c>
      <c r="E1995" s="5" t="s">
        <v>9</v>
      </c>
      <c r="F1995" s="17">
        <v>45657</v>
      </c>
      <c r="G1995" s="5">
        <f t="shared" si="326"/>
        <v>2024</v>
      </c>
      <c r="H1995" s="5" t="str">
        <f t="shared" si="327"/>
        <v>Diciembre</v>
      </c>
      <c r="I1995" s="6" t="str">
        <f t="shared" si="328"/>
        <v>2024-2</v>
      </c>
      <c r="J1995" s="5">
        <v>5</v>
      </c>
      <c r="K1995" s="5">
        <v>5</v>
      </c>
      <c r="L1995" s="15">
        <f>K1995/J1995</f>
        <v>1</v>
      </c>
      <c r="M1995" s="15">
        <f>K1995/J1995</f>
        <v>1</v>
      </c>
      <c r="N1995" s="5" t="s">
        <v>490</v>
      </c>
      <c r="O1995" s="5" t="s">
        <v>490</v>
      </c>
      <c r="P1995" s="5">
        <v>0</v>
      </c>
      <c r="Q1995" s="5">
        <v>0</v>
      </c>
      <c r="R1995" s="5" t="str">
        <f t="shared" si="329"/>
        <v>325.2-2024-12-31</v>
      </c>
    </row>
    <row r="1996" spans="1:18" x14ac:dyDescent="0.3">
      <c r="A1996" s="26" t="s">
        <v>356</v>
      </c>
      <c r="B1996" s="23" t="s">
        <v>359</v>
      </c>
      <c r="C1996" s="5" t="s">
        <v>274</v>
      </c>
      <c r="D1996" s="5" t="s">
        <v>8</v>
      </c>
      <c r="E1996" s="5" t="s">
        <v>9</v>
      </c>
      <c r="F1996" s="6">
        <v>45291</v>
      </c>
      <c r="G1996" s="5">
        <f t="shared" si="326"/>
        <v>2023</v>
      </c>
      <c r="H1996" s="5" t="str">
        <f t="shared" si="327"/>
        <v>Diciembre</v>
      </c>
      <c r="I1996" s="6" t="str">
        <f t="shared" si="328"/>
        <v>2023-2</v>
      </c>
      <c r="J1996" s="11">
        <v>1357.778</v>
      </c>
      <c r="K1996" s="9">
        <v>3779.9283479999999</v>
      </c>
      <c r="L1996" s="15">
        <f t="shared" ref="L1996:L2001" si="330">IFERROR(IF((K1996/J1996)&gt;1.3,1.3,K1996/J1996),"")</f>
        <v>1.3</v>
      </c>
      <c r="M1996" s="15">
        <f t="shared" ref="M1996:M2003" si="331">IFERROR(IF((K1996/J1996)&gt;K1996/J1996,1.3,K1996/J1996),"")</f>
        <v>2.7839074929774967</v>
      </c>
      <c r="N1996" s="5" t="s">
        <v>474</v>
      </c>
      <c r="O1996" s="5" t="s">
        <v>474</v>
      </c>
      <c r="P1996" s="16">
        <v>0</v>
      </c>
      <c r="Q1996" s="16">
        <v>0</v>
      </c>
      <c r="R1996" s="5" t="str">
        <f t="shared" si="329"/>
        <v>386.1-2023-12-31</v>
      </c>
    </row>
    <row r="1997" spans="1:18" x14ac:dyDescent="0.3">
      <c r="A1997" s="26" t="s">
        <v>356</v>
      </c>
      <c r="B1997" s="23" t="s">
        <v>359</v>
      </c>
      <c r="C1997" s="5" t="s">
        <v>274</v>
      </c>
      <c r="D1997" s="5" t="s">
        <v>8</v>
      </c>
      <c r="E1997" s="5" t="s">
        <v>9</v>
      </c>
      <c r="F1997" s="6">
        <v>45473</v>
      </c>
      <c r="G1997" s="5">
        <f t="shared" si="326"/>
        <v>2024</v>
      </c>
      <c r="H1997" s="5" t="str">
        <f t="shared" si="327"/>
        <v>Junio</v>
      </c>
      <c r="I1997" s="6" t="str">
        <f t="shared" si="328"/>
        <v>2024-1</v>
      </c>
      <c r="J1997" s="11">
        <f>817707070/1000000</f>
        <v>817.70707000000004</v>
      </c>
      <c r="K1997" s="9">
        <f>1076376484/1000000</f>
        <v>1076.3764839999999</v>
      </c>
      <c r="L1997" s="15">
        <f t="shared" si="330"/>
        <v>1.3</v>
      </c>
      <c r="M1997" s="15">
        <f t="shared" si="331"/>
        <v>1.3163350587148523</v>
      </c>
      <c r="N1997" s="5" t="s">
        <v>474</v>
      </c>
      <c r="O1997" s="5" t="s">
        <v>474</v>
      </c>
      <c r="P1997" s="16">
        <v>0</v>
      </c>
      <c r="Q1997" s="16">
        <v>0</v>
      </c>
      <c r="R1997" s="5" t="str">
        <f t="shared" si="329"/>
        <v>386.1-2024-06-30</v>
      </c>
    </row>
    <row r="1998" spans="1:18" x14ac:dyDescent="0.3">
      <c r="A1998" s="26" t="s">
        <v>357</v>
      </c>
      <c r="B1998" s="23" t="s">
        <v>360</v>
      </c>
      <c r="C1998" s="5" t="s">
        <v>274</v>
      </c>
      <c r="D1998" s="5" t="s">
        <v>8</v>
      </c>
      <c r="E1998" s="5" t="s">
        <v>9</v>
      </c>
      <c r="F1998" s="6">
        <v>45291</v>
      </c>
      <c r="G1998" s="5">
        <f t="shared" si="326"/>
        <v>2023</v>
      </c>
      <c r="H1998" s="5" t="str">
        <f t="shared" si="327"/>
        <v>Diciembre</v>
      </c>
      <c r="I1998" s="6" t="str">
        <f t="shared" si="328"/>
        <v>2023-2</v>
      </c>
      <c r="J1998" s="11">
        <v>7082.0029999999997</v>
      </c>
      <c r="K1998" s="9">
        <v>9868.4183170000015</v>
      </c>
      <c r="L1998" s="15">
        <f t="shared" si="330"/>
        <v>1.3</v>
      </c>
      <c r="M1998" s="15">
        <f t="shared" si="331"/>
        <v>1.393450174618678</v>
      </c>
      <c r="N1998" s="5" t="s">
        <v>474</v>
      </c>
      <c r="O1998" s="5" t="s">
        <v>474</v>
      </c>
      <c r="P1998" s="16">
        <v>0</v>
      </c>
      <c r="Q1998" s="16">
        <v>0</v>
      </c>
      <c r="R1998" s="5" t="str">
        <f t="shared" si="329"/>
        <v>386.2-2023-12-31</v>
      </c>
    </row>
    <row r="1999" spans="1:18" x14ac:dyDescent="0.3">
      <c r="A1999" s="26" t="s">
        <v>357</v>
      </c>
      <c r="B1999" s="23" t="s">
        <v>360</v>
      </c>
      <c r="C1999" s="5" t="s">
        <v>274</v>
      </c>
      <c r="D1999" s="5" t="s">
        <v>8</v>
      </c>
      <c r="E1999" s="5" t="s">
        <v>9</v>
      </c>
      <c r="F1999" s="6">
        <v>45473</v>
      </c>
      <c r="G1999" s="5">
        <f t="shared" si="326"/>
        <v>2024</v>
      </c>
      <c r="H1999" s="5" t="str">
        <f t="shared" si="327"/>
        <v>Junio</v>
      </c>
      <c r="I1999" s="6" t="str">
        <f t="shared" si="328"/>
        <v>2024-1</v>
      </c>
      <c r="J1999" s="11">
        <f>2674965740/1000000</f>
        <v>2674.9657400000001</v>
      </c>
      <c r="K1999" s="9">
        <f>2915555779/1000000</f>
        <v>2915.5557789999998</v>
      </c>
      <c r="L1999" s="15">
        <f t="shared" si="330"/>
        <v>1.0899413534171094</v>
      </c>
      <c r="M1999" s="15">
        <f t="shared" si="331"/>
        <v>1.0899413534171094</v>
      </c>
      <c r="N1999" s="5" t="s">
        <v>474</v>
      </c>
      <c r="O1999" s="5" t="s">
        <v>474</v>
      </c>
      <c r="P1999" s="16">
        <v>0</v>
      </c>
      <c r="Q1999" s="16">
        <v>0</v>
      </c>
      <c r="R1999" s="5" t="str">
        <f t="shared" si="329"/>
        <v>386.2-2024-06-30</v>
      </c>
    </row>
    <row r="2000" spans="1:18" x14ac:dyDescent="0.3">
      <c r="A2000" s="26" t="s">
        <v>358</v>
      </c>
      <c r="B2000" s="23" t="s">
        <v>361</v>
      </c>
      <c r="C2000" s="5" t="s">
        <v>274</v>
      </c>
      <c r="D2000" s="5" t="s">
        <v>8</v>
      </c>
      <c r="E2000" s="5" t="s">
        <v>9</v>
      </c>
      <c r="F2000" s="6">
        <v>45291</v>
      </c>
      <c r="G2000" s="5">
        <f t="shared" si="326"/>
        <v>2023</v>
      </c>
      <c r="H2000" s="5" t="str">
        <f t="shared" si="327"/>
        <v>Diciembre</v>
      </c>
      <c r="I2000" s="6" t="str">
        <f t="shared" si="328"/>
        <v>2023-2</v>
      </c>
      <c r="J2000" s="11">
        <v>5657.94</v>
      </c>
      <c r="K2000" s="9">
        <v>4048.733862</v>
      </c>
      <c r="L2000" s="15">
        <f t="shared" si="330"/>
        <v>0.71558444628256934</v>
      </c>
      <c r="M2000" s="15">
        <f t="shared" si="331"/>
        <v>0.71558444628256934</v>
      </c>
      <c r="N2000" s="5" t="s">
        <v>474</v>
      </c>
      <c r="O2000" s="5" t="s">
        <v>474</v>
      </c>
      <c r="P2000" s="16">
        <v>0</v>
      </c>
      <c r="Q2000" s="16">
        <v>0</v>
      </c>
      <c r="R2000" s="5" t="str">
        <f t="shared" si="329"/>
        <v>386.3-2023-12-31</v>
      </c>
    </row>
    <row r="2001" spans="1:18" x14ac:dyDescent="0.3">
      <c r="A2001" s="26" t="s">
        <v>358</v>
      </c>
      <c r="B2001" s="23" t="s">
        <v>361</v>
      </c>
      <c r="C2001" s="5" t="s">
        <v>274</v>
      </c>
      <c r="D2001" s="5" t="s">
        <v>8</v>
      </c>
      <c r="E2001" s="5" t="s">
        <v>9</v>
      </c>
      <c r="F2001" s="6">
        <v>45473</v>
      </c>
      <c r="G2001" s="5">
        <f t="shared" si="326"/>
        <v>2024</v>
      </c>
      <c r="H2001" s="5" t="str">
        <f t="shared" si="327"/>
        <v>Junio</v>
      </c>
      <c r="I2001" s="6" t="str">
        <f t="shared" si="328"/>
        <v>2024-1</v>
      </c>
      <c r="J2001" s="11">
        <f>1948786035/1000000</f>
        <v>1948.7860350000001</v>
      </c>
      <c r="K2001" s="9">
        <f>2190929800/1000000</f>
        <v>2190.9297999999999</v>
      </c>
      <c r="L2001" s="15">
        <f t="shared" si="330"/>
        <v>1.1242536433713719</v>
      </c>
      <c r="M2001" s="15">
        <f t="shared" si="331"/>
        <v>1.1242536433713719</v>
      </c>
      <c r="N2001" s="5" t="s">
        <v>474</v>
      </c>
      <c r="O2001" s="5" t="s">
        <v>474</v>
      </c>
      <c r="P2001" s="16">
        <v>0</v>
      </c>
      <c r="Q2001" s="16">
        <v>0</v>
      </c>
      <c r="R2001" s="5" t="str">
        <f t="shared" si="329"/>
        <v>386.3-2024-06-30</v>
      </c>
    </row>
    <row r="2002" spans="1:18" x14ac:dyDescent="0.3">
      <c r="A2002" s="26" t="s">
        <v>622</v>
      </c>
      <c r="B2002" s="23" t="s">
        <v>548</v>
      </c>
      <c r="C2002" s="5" t="s">
        <v>345</v>
      </c>
      <c r="D2002" s="5" t="s">
        <v>11</v>
      </c>
      <c r="E2002" s="5" t="s">
        <v>9</v>
      </c>
      <c r="F2002" s="6">
        <v>45107</v>
      </c>
      <c r="G2002" s="5">
        <f t="shared" si="326"/>
        <v>2023</v>
      </c>
      <c r="H2002" s="5" t="str">
        <f t="shared" si="327"/>
        <v>Junio</v>
      </c>
      <c r="I2002" s="6" t="str">
        <f t="shared" si="328"/>
        <v>2023-1</v>
      </c>
      <c r="J2002" s="5">
        <v>62.74</v>
      </c>
      <c r="K2002" s="5">
        <v>66</v>
      </c>
      <c r="L2002" s="24">
        <f>K2002/J2002</f>
        <v>1.0519604717883329</v>
      </c>
      <c r="M2002" s="15">
        <f t="shared" si="331"/>
        <v>1.0519604717883329</v>
      </c>
      <c r="N2002" s="5" t="s">
        <v>347</v>
      </c>
      <c r="O2002" s="5" t="s">
        <v>347</v>
      </c>
      <c r="P2002" s="16">
        <v>0</v>
      </c>
      <c r="Q2002" s="16">
        <v>0</v>
      </c>
      <c r="R2002" s="5" t="str">
        <f t="shared" si="329"/>
        <v>390.1-2023-06-30</v>
      </c>
    </row>
    <row r="2003" spans="1:18" x14ac:dyDescent="0.3">
      <c r="A2003" s="26" t="s">
        <v>622</v>
      </c>
      <c r="B2003" s="23" t="s">
        <v>548</v>
      </c>
      <c r="C2003" s="5" t="s">
        <v>345</v>
      </c>
      <c r="D2003" s="5" t="s">
        <v>11</v>
      </c>
      <c r="E2003" s="5" t="s">
        <v>9</v>
      </c>
      <c r="F2003" s="6">
        <v>45291</v>
      </c>
      <c r="G2003" s="5">
        <f t="shared" si="326"/>
        <v>2023</v>
      </c>
      <c r="H2003" s="5" t="str">
        <f t="shared" si="327"/>
        <v>Diciembre</v>
      </c>
      <c r="I2003" s="6" t="str">
        <f t="shared" si="328"/>
        <v>2023-2</v>
      </c>
      <c r="J2003" s="5">
        <v>100</v>
      </c>
      <c r="K2003" s="10">
        <v>100</v>
      </c>
      <c r="L2003" s="15">
        <f>IFERROR(IF((K2003/J2003)&gt;1.3,1.3,K2003/J2003),"")</f>
        <v>1</v>
      </c>
      <c r="M2003" s="15">
        <f t="shared" si="331"/>
        <v>1</v>
      </c>
      <c r="N2003" s="5" t="s">
        <v>347</v>
      </c>
      <c r="O2003" s="5" t="s">
        <v>347</v>
      </c>
      <c r="P2003" s="16">
        <v>0</v>
      </c>
      <c r="Q2003" s="16">
        <v>0</v>
      </c>
      <c r="R2003" s="5" t="str">
        <f t="shared" si="329"/>
        <v>390.1-2023-12-31</v>
      </c>
    </row>
    <row r="2004" spans="1:18" x14ac:dyDescent="0.3">
      <c r="A2004" s="26" t="s">
        <v>622</v>
      </c>
      <c r="B2004" s="23" t="s">
        <v>548</v>
      </c>
      <c r="C2004" s="5" t="s">
        <v>345</v>
      </c>
      <c r="D2004" s="5" t="s">
        <v>11</v>
      </c>
      <c r="E2004" s="5" t="s">
        <v>9</v>
      </c>
      <c r="F2004" s="6">
        <v>45473</v>
      </c>
      <c r="G2004" s="5">
        <f t="shared" si="326"/>
        <v>2024</v>
      </c>
      <c r="H2004" s="5" t="str">
        <f t="shared" si="327"/>
        <v>Junio</v>
      </c>
      <c r="I2004" s="6" t="str">
        <f t="shared" si="328"/>
        <v>2024-1</v>
      </c>
      <c r="J2004" s="50">
        <v>52.4</v>
      </c>
      <c r="K2004" s="50">
        <v>52.57</v>
      </c>
      <c r="L2004" s="15">
        <v>1</v>
      </c>
      <c r="M2004" s="15">
        <v>1</v>
      </c>
      <c r="N2004" s="5" t="s">
        <v>347</v>
      </c>
      <c r="O2004" s="5" t="s">
        <v>347</v>
      </c>
      <c r="P2004" s="5">
        <v>0</v>
      </c>
      <c r="Q2004" s="5">
        <v>0</v>
      </c>
      <c r="R2004" s="5" t="str">
        <f t="shared" si="329"/>
        <v>390.1-2024-06-30</v>
      </c>
    </row>
    <row r="2005" spans="1:18" x14ac:dyDescent="0.3">
      <c r="A2005" s="26" t="s">
        <v>631</v>
      </c>
      <c r="B2005" s="23" t="s">
        <v>557</v>
      </c>
      <c r="C2005" s="5" t="s">
        <v>345</v>
      </c>
      <c r="D2005" s="5" t="s">
        <v>11</v>
      </c>
      <c r="E2005" s="5" t="s">
        <v>9</v>
      </c>
      <c r="F2005" s="6">
        <v>45107</v>
      </c>
      <c r="G2005" s="5">
        <f t="shared" si="326"/>
        <v>2023</v>
      </c>
      <c r="H2005" s="5" t="str">
        <f t="shared" si="327"/>
        <v>Junio</v>
      </c>
      <c r="I2005" s="6" t="str">
        <f t="shared" si="328"/>
        <v>2023-1</v>
      </c>
      <c r="J2005" s="5">
        <v>51.82</v>
      </c>
      <c r="K2005" s="5">
        <v>58.57</v>
      </c>
      <c r="L2005" s="24">
        <f>K2005/J2005</f>
        <v>1.1302585874179853</v>
      </c>
      <c r="M2005" s="15">
        <f>IFERROR(IF((K2005/J2005)&gt;K2005/J2005,1.3,K2005/J2005),"")</f>
        <v>1.1302585874179853</v>
      </c>
      <c r="N2005" s="5" t="s">
        <v>347</v>
      </c>
      <c r="O2005" s="5" t="s">
        <v>347</v>
      </c>
      <c r="P2005" s="16">
        <v>0</v>
      </c>
      <c r="Q2005" s="16">
        <v>0</v>
      </c>
      <c r="R2005" s="5" t="str">
        <f t="shared" si="329"/>
        <v>390.10-2023-06-30</v>
      </c>
    </row>
    <row r="2006" spans="1:18" x14ac:dyDescent="0.3">
      <c r="A2006" s="26" t="s">
        <v>631</v>
      </c>
      <c r="B2006" s="23" t="s">
        <v>557</v>
      </c>
      <c r="C2006" s="5" t="s">
        <v>345</v>
      </c>
      <c r="D2006" s="5" t="s">
        <v>11</v>
      </c>
      <c r="E2006" s="5" t="s">
        <v>9</v>
      </c>
      <c r="F2006" s="6">
        <v>45291</v>
      </c>
      <c r="G2006" s="5">
        <f t="shared" si="326"/>
        <v>2023</v>
      </c>
      <c r="H2006" s="5" t="str">
        <f t="shared" si="327"/>
        <v>Diciembre</v>
      </c>
      <c r="I2006" s="6" t="str">
        <f t="shared" si="328"/>
        <v>2023-2</v>
      </c>
      <c r="J2006" s="5">
        <v>100</v>
      </c>
      <c r="K2006" s="10">
        <v>100</v>
      </c>
      <c r="L2006" s="15">
        <f>IFERROR(IF((K2006/J2006)&gt;1.3,1.3,K2006/J2006),"")</f>
        <v>1</v>
      </c>
      <c r="M2006" s="15">
        <f>IFERROR(IF((K2006/J2006)&gt;K2006/J2006,1.3,K2006/J2006),"")</f>
        <v>1</v>
      </c>
      <c r="N2006" s="5" t="s">
        <v>347</v>
      </c>
      <c r="O2006" s="5" t="s">
        <v>347</v>
      </c>
      <c r="P2006" s="16">
        <v>0</v>
      </c>
      <c r="Q2006" s="16">
        <v>0</v>
      </c>
      <c r="R2006" s="5" t="str">
        <f t="shared" si="329"/>
        <v>390.10-2023-12-31</v>
      </c>
    </row>
    <row r="2007" spans="1:18" x14ac:dyDescent="0.3">
      <c r="A2007" s="26" t="s">
        <v>631</v>
      </c>
      <c r="B2007" s="23" t="s">
        <v>557</v>
      </c>
      <c r="C2007" s="5" t="s">
        <v>345</v>
      </c>
      <c r="D2007" s="5" t="s">
        <v>11</v>
      </c>
      <c r="E2007" s="5" t="s">
        <v>9</v>
      </c>
      <c r="F2007" s="6">
        <v>45473</v>
      </c>
      <c r="G2007" s="5">
        <f t="shared" si="326"/>
        <v>2024</v>
      </c>
      <c r="H2007" s="5" t="str">
        <f t="shared" si="327"/>
        <v>Junio</v>
      </c>
      <c r="I2007" s="6" t="str">
        <f t="shared" si="328"/>
        <v>2024-1</v>
      </c>
      <c r="J2007" s="5">
        <v>38.159999999999997</v>
      </c>
      <c r="K2007" s="5">
        <v>44.36</v>
      </c>
      <c r="L2007" s="15">
        <v>1</v>
      </c>
      <c r="M2007" s="15">
        <v>1</v>
      </c>
      <c r="N2007" s="5" t="s">
        <v>347</v>
      </c>
      <c r="O2007" s="5" t="s">
        <v>347</v>
      </c>
      <c r="P2007" s="5">
        <v>0</v>
      </c>
      <c r="Q2007" s="5">
        <v>0</v>
      </c>
      <c r="R2007" s="5" t="str">
        <f t="shared" si="329"/>
        <v>390.10-2024-06-30</v>
      </c>
    </row>
    <row r="2008" spans="1:18" x14ac:dyDescent="0.3">
      <c r="A2008" s="26" t="s">
        <v>632</v>
      </c>
      <c r="B2008" s="23" t="s">
        <v>558</v>
      </c>
      <c r="C2008" s="5" t="s">
        <v>345</v>
      </c>
      <c r="D2008" s="5" t="s">
        <v>11</v>
      </c>
      <c r="E2008" s="5" t="s">
        <v>9</v>
      </c>
      <c r="F2008" s="6">
        <v>45107</v>
      </c>
      <c r="G2008" s="5">
        <f t="shared" si="326"/>
        <v>2023</v>
      </c>
      <c r="H2008" s="5" t="str">
        <f t="shared" si="327"/>
        <v>Junio</v>
      </c>
      <c r="I2008" s="6" t="str">
        <f t="shared" si="328"/>
        <v>2023-1</v>
      </c>
      <c r="J2008" s="5">
        <v>69.58</v>
      </c>
      <c r="K2008" s="5">
        <v>73.75</v>
      </c>
      <c r="L2008" s="24">
        <f>K2008/J2008</f>
        <v>1.059931014659385</v>
      </c>
      <c r="M2008" s="15">
        <f>IFERROR(IF((K2008/J2008)&gt;K2008/J2008,1.3,K2008/J2008),"")</f>
        <v>1.059931014659385</v>
      </c>
      <c r="N2008" s="5" t="s">
        <v>347</v>
      </c>
      <c r="O2008" s="5" t="s">
        <v>347</v>
      </c>
      <c r="P2008" s="16">
        <v>0</v>
      </c>
      <c r="Q2008" s="16">
        <v>0</v>
      </c>
      <c r="R2008" s="5" t="str">
        <f t="shared" si="329"/>
        <v>390.11-2023-06-30</v>
      </c>
    </row>
    <row r="2009" spans="1:18" x14ac:dyDescent="0.3">
      <c r="A2009" s="26" t="s">
        <v>632</v>
      </c>
      <c r="B2009" s="23" t="s">
        <v>558</v>
      </c>
      <c r="C2009" s="5" t="s">
        <v>345</v>
      </c>
      <c r="D2009" s="5" t="s">
        <v>11</v>
      </c>
      <c r="E2009" s="5" t="s">
        <v>9</v>
      </c>
      <c r="F2009" s="6">
        <v>45291</v>
      </c>
      <c r="G2009" s="5">
        <f t="shared" si="326"/>
        <v>2023</v>
      </c>
      <c r="H2009" s="5" t="str">
        <f t="shared" si="327"/>
        <v>Diciembre</v>
      </c>
      <c r="I2009" s="6" t="str">
        <f t="shared" si="328"/>
        <v>2023-2</v>
      </c>
      <c r="J2009" s="5">
        <v>100</v>
      </c>
      <c r="K2009" s="10">
        <v>98.75</v>
      </c>
      <c r="L2009" s="15">
        <f>IFERROR(IF((K2009/J2009)&gt;1.3,1.3,K2009/J2009),"")</f>
        <v>0.98750000000000004</v>
      </c>
      <c r="M2009" s="15">
        <f>IFERROR(IF((K2009/J2009)&gt;K2009/J2009,1.3,K2009/J2009),"")</f>
        <v>0.98750000000000004</v>
      </c>
      <c r="N2009" s="5" t="s">
        <v>347</v>
      </c>
      <c r="O2009" s="5" t="s">
        <v>347</v>
      </c>
      <c r="P2009" s="16">
        <v>0</v>
      </c>
      <c r="Q2009" s="16">
        <v>0</v>
      </c>
      <c r="R2009" s="5" t="str">
        <f t="shared" si="329"/>
        <v>390.11-2023-12-31</v>
      </c>
    </row>
    <row r="2010" spans="1:18" x14ac:dyDescent="0.3">
      <c r="A2010" s="26" t="s">
        <v>632</v>
      </c>
      <c r="B2010" s="23" t="s">
        <v>558</v>
      </c>
      <c r="C2010" s="5" t="s">
        <v>345</v>
      </c>
      <c r="D2010" s="5" t="s">
        <v>11</v>
      </c>
      <c r="E2010" s="5" t="s">
        <v>9</v>
      </c>
      <c r="F2010" s="6">
        <v>45473</v>
      </c>
      <c r="G2010" s="5">
        <f t="shared" si="326"/>
        <v>2024</v>
      </c>
      <c r="H2010" s="5" t="str">
        <f t="shared" si="327"/>
        <v>Junio</v>
      </c>
      <c r="I2010" s="6" t="str">
        <f t="shared" si="328"/>
        <v>2024-1</v>
      </c>
      <c r="J2010" s="5">
        <v>48.5</v>
      </c>
      <c r="K2010" s="5">
        <v>41.97</v>
      </c>
      <c r="L2010" s="15">
        <v>0.86536082474226805</v>
      </c>
      <c r="M2010" s="15">
        <v>0.86536082474226805</v>
      </c>
      <c r="N2010" s="5" t="s">
        <v>347</v>
      </c>
      <c r="O2010" s="5" t="s">
        <v>347</v>
      </c>
      <c r="P2010" s="5">
        <v>0</v>
      </c>
      <c r="Q2010" s="5">
        <v>0</v>
      </c>
      <c r="R2010" s="5" t="str">
        <f t="shared" si="329"/>
        <v>390.11-2024-06-30</v>
      </c>
    </row>
    <row r="2011" spans="1:18" x14ac:dyDescent="0.3">
      <c r="A2011" s="26" t="s">
        <v>633</v>
      </c>
      <c r="B2011" s="23" t="s">
        <v>559</v>
      </c>
      <c r="C2011" s="5" t="s">
        <v>345</v>
      </c>
      <c r="D2011" s="5" t="s">
        <v>11</v>
      </c>
      <c r="E2011" s="5" t="s">
        <v>9</v>
      </c>
      <c r="F2011" s="6">
        <v>45107</v>
      </c>
      <c r="G2011" s="5">
        <f t="shared" si="326"/>
        <v>2023</v>
      </c>
      <c r="H2011" s="5" t="str">
        <f t="shared" si="327"/>
        <v>Junio</v>
      </c>
      <c r="I2011" s="6" t="str">
        <f t="shared" si="328"/>
        <v>2023-1</v>
      </c>
      <c r="J2011" s="5">
        <v>72.27</v>
      </c>
      <c r="K2011" s="5">
        <v>70.209999999999994</v>
      </c>
      <c r="L2011" s="24">
        <f>K2011/J2011</f>
        <v>0.97149577971495782</v>
      </c>
      <c r="M2011" s="15">
        <f>IFERROR(IF((K2011/J2011)&gt;K2011/J2011,1.3,K2011/J2011),"")</f>
        <v>0.97149577971495782</v>
      </c>
      <c r="N2011" s="5" t="s">
        <v>347</v>
      </c>
      <c r="O2011" s="5" t="s">
        <v>347</v>
      </c>
      <c r="P2011" s="16">
        <v>0</v>
      </c>
      <c r="Q2011" s="16">
        <v>0</v>
      </c>
      <c r="R2011" s="5" t="str">
        <f t="shared" si="329"/>
        <v>390.12-2023-06-30</v>
      </c>
    </row>
    <row r="2012" spans="1:18" x14ac:dyDescent="0.3">
      <c r="A2012" s="26" t="s">
        <v>633</v>
      </c>
      <c r="B2012" s="23" t="s">
        <v>559</v>
      </c>
      <c r="C2012" s="5" t="s">
        <v>345</v>
      </c>
      <c r="D2012" s="5" t="s">
        <v>11</v>
      </c>
      <c r="E2012" s="5" t="s">
        <v>9</v>
      </c>
      <c r="F2012" s="6">
        <v>45291</v>
      </c>
      <c r="G2012" s="5">
        <f t="shared" si="326"/>
        <v>2023</v>
      </c>
      <c r="H2012" s="5" t="str">
        <f t="shared" si="327"/>
        <v>Diciembre</v>
      </c>
      <c r="I2012" s="6" t="str">
        <f t="shared" si="328"/>
        <v>2023-2</v>
      </c>
      <c r="J2012" s="5">
        <v>100</v>
      </c>
      <c r="K2012" s="10">
        <v>100</v>
      </c>
      <c r="L2012" s="15">
        <f>IFERROR(IF((K2012/J2012)&gt;1.3,1.3,K2012/J2012),"")</f>
        <v>1</v>
      </c>
      <c r="M2012" s="15">
        <f>IFERROR(IF((K2012/J2012)&gt;K2012/J2012,1.3,K2012/J2012),"")</f>
        <v>1</v>
      </c>
      <c r="N2012" s="5" t="s">
        <v>347</v>
      </c>
      <c r="O2012" s="5" t="s">
        <v>347</v>
      </c>
      <c r="P2012" s="16">
        <v>0</v>
      </c>
      <c r="Q2012" s="16">
        <v>0</v>
      </c>
      <c r="R2012" s="5" t="str">
        <f t="shared" si="329"/>
        <v>390.12-2023-12-31</v>
      </c>
    </row>
    <row r="2013" spans="1:18" x14ac:dyDescent="0.3">
      <c r="A2013" s="26" t="s">
        <v>633</v>
      </c>
      <c r="B2013" s="23" t="s">
        <v>559</v>
      </c>
      <c r="C2013" s="5" t="s">
        <v>345</v>
      </c>
      <c r="D2013" s="5" t="s">
        <v>11</v>
      </c>
      <c r="E2013" s="5" t="s">
        <v>9</v>
      </c>
      <c r="F2013" s="6">
        <v>45473</v>
      </c>
      <c r="G2013" s="5">
        <f t="shared" si="326"/>
        <v>2024</v>
      </c>
      <c r="H2013" s="5" t="str">
        <f t="shared" si="327"/>
        <v>Junio</v>
      </c>
      <c r="I2013" s="6" t="str">
        <f t="shared" si="328"/>
        <v>2024-1</v>
      </c>
      <c r="J2013" s="5">
        <v>36.78</v>
      </c>
      <c r="K2013" s="5">
        <v>44.65</v>
      </c>
      <c r="L2013" s="15">
        <v>1</v>
      </c>
      <c r="M2013" s="15">
        <v>1</v>
      </c>
      <c r="N2013" s="5" t="s">
        <v>347</v>
      </c>
      <c r="O2013" s="5" t="s">
        <v>347</v>
      </c>
      <c r="P2013" s="5">
        <v>0</v>
      </c>
      <c r="Q2013" s="5">
        <v>0</v>
      </c>
      <c r="R2013" s="5" t="str">
        <f t="shared" si="329"/>
        <v>390.12-2024-06-30</v>
      </c>
    </row>
    <row r="2014" spans="1:18" x14ac:dyDescent="0.3">
      <c r="A2014" s="26" t="s">
        <v>623</v>
      </c>
      <c r="B2014" s="23" t="s">
        <v>549</v>
      </c>
      <c r="C2014" s="5" t="s">
        <v>345</v>
      </c>
      <c r="D2014" s="5" t="s">
        <v>11</v>
      </c>
      <c r="E2014" s="5" t="s">
        <v>9</v>
      </c>
      <c r="F2014" s="6">
        <v>45107</v>
      </c>
      <c r="G2014" s="5">
        <f t="shared" si="326"/>
        <v>2023</v>
      </c>
      <c r="H2014" s="5" t="str">
        <f t="shared" si="327"/>
        <v>Junio</v>
      </c>
      <c r="I2014" s="6" t="str">
        <f t="shared" si="328"/>
        <v>2023-1</v>
      </c>
      <c r="J2014" s="5">
        <v>66.319999999999993</v>
      </c>
      <c r="K2014" s="5">
        <v>73</v>
      </c>
      <c r="L2014" s="24">
        <f>K2014/J2014</f>
        <v>1.1007237635705671</v>
      </c>
      <c r="M2014" s="15">
        <f>IFERROR(IF((K2014/J2014)&gt;K2014/J2014,1.3,K2014/J2014),"")</f>
        <v>1.1007237635705671</v>
      </c>
      <c r="N2014" s="5" t="s">
        <v>347</v>
      </c>
      <c r="O2014" s="5" t="s">
        <v>347</v>
      </c>
      <c r="P2014" s="16">
        <v>0</v>
      </c>
      <c r="Q2014" s="16">
        <v>0</v>
      </c>
      <c r="R2014" s="5" t="str">
        <f t="shared" si="329"/>
        <v>390.2-2023-06-30</v>
      </c>
    </row>
    <row r="2015" spans="1:18" x14ac:dyDescent="0.3">
      <c r="A2015" s="26" t="s">
        <v>623</v>
      </c>
      <c r="B2015" s="23" t="s">
        <v>549</v>
      </c>
      <c r="C2015" s="5" t="s">
        <v>345</v>
      </c>
      <c r="D2015" s="5" t="s">
        <v>11</v>
      </c>
      <c r="E2015" s="5" t="s">
        <v>9</v>
      </c>
      <c r="F2015" s="6">
        <v>45291</v>
      </c>
      <c r="G2015" s="5">
        <f t="shared" si="326"/>
        <v>2023</v>
      </c>
      <c r="H2015" s="5" t="str">
        <f t="shared" si="327"/>
        <v>Diciembre</v>
      </c>
      <c r="I2015" s="6" t="str">
        <f t="shared" si="328"/>
        <v>2023-2</v>
      </c>
      <c r="J2015" s="5">
        <v>100</v>
      </c>
      <c r="K2015" s="10">
        <v>100</v>
      </c>
      <c r="L2015" s="15">
        <f>IFERROR(IF((K2015/J2015)&gt;1.3,1.3,K2015/J2015),"")</f>
        <v>1</v>
      </c>
      <c r="M2015" s="15">
        <f>IFERROR(IF((K2015/J2015)&gt;K2015/J2015,1.3,K2015/J2015),"")</f>
        <v>1</v>
      </c>
      <c r="N2015" s="5" t="s">
        <v>347</v>
      </c>
      <c r="O2015" s="5" t="s">
        <v>347</v>
      </c>
      <c r="P2015" s="16">
        <v>0</v>
      </c>
      <c r="Q2015" s="16">
        <v>0</v>
      </c>
      <c r="R2015" s="5" t="str">
        <f t="shared" si="329"/>
        <v>390.2-2023-12-31</v>
      </c>
    </row>
    <row r="2016" spans="1:18" x14ac:dyDescent="0.3">
      <c r="A2016" s="26" t="s">
        <v>623</v>
      </c>
      <c r="B2016" s="23" t="s">
        <v>549</v>
      </c>
      <c r="C2016" s="5" t="s">
        <v>345</v>
      </c>
      <c r="D2016" s="5" t="s">
        <v>11</v>
      </c>
      <c r="E2016" s="5" t="s">
        <v>9</v>
      </c>
      <c r="F2016" s="6">
        <v>45473</v>
      </c>
      <c r="G2016" s="5">
        <f t="shared" si="326"/>
        <v>2024</v>
      </c>
      <c r="H2016" s="5" t="str">
        <f t="shared" si="327"/>
        <v>Junio</v>
      </c>
      <c r="I2016" s="6" t="str">
        <f t="shared" si="328"/>
        <v>2024-1</v>
      </c>
      <c r="J2016" s="5">
        <v>34.4</v>
      </c>
      <c r="K2016" s="5">
        <v>35.71</v>
      </c>
      <c r="L2016" s="15">
        <v>1</v>
      </c>
      <c r="M2016" s="15">
        <v>1</v>
      </c>
      <c r="N2016" s="5" t="s">
        <v>347</v>
      </c>
      <c r="O2016" s="5" t="s">
        <v>347</v>
      </c>
      <c r="P2016" s="5">
        <v>0</v>
      </c>
      <c r="Q2016" s="5">
        <v>0</v>
      </c>
      <c r="R2016" s="5" t="str">
        <f t="shared" si="329"/>
        <v>390.2-2024-06-30</v>
      </c>
    </row>
    <row r="2017" spans="1:18" x14ac:dyDescent="0.3">
      <c r="A2017" s="26" t="s">
        <v>624</v>
      </c>
      <c r="B2017" s="23" t="s">
        <v>550</v>
      </c>
      <c r="C2017" s="5" t="s">
        <v>345</v>
      </c>
      <c r="D2017" s="5" t="s">
        <v>11</v>
      </c>
      <c r="E2017" s="5" t="s">
        <v>9</v>
      </c>
      <c r="F2017" s="6">
        <v>45107</v>
      </c>
      <c r="G2017" s="5">
        <f t="shared" si="326"/>
        <v>2023</v>
      </c>
      <c r="H2017" s="5" t="str">
        <f t="shared" si="327"/>
        <v>Junio</v>
      </c>
      <c r="I2017" s="6" t="str">
        <f t="shared" si="328"/>
        <v>2023-1</v>
      </c>
      <c r="J2017" s="5">
        <v>67.81</v>
      </c>
      <c r="K2017" s="5">
        <v>77.5</v>
      </c>
      <c r="L2017" s="24">
        <f>K2017/J2017</f>
        <v>1.1428992773927149</v>
      </c>
      <c r="M2017" s="15">
        <f>IFERROR(IF((K2017/J2017)&gt;K2017/J2017,1.3,K2017/J2017),"")</f>
        <v>1.1428992773927149</v>
      </c>
      <c r="N2017" s="5" t="s">
        <v>347</v>
      </c>
      <c r="O2017" s="5" t="s">
        <v>347</v>
      </c>
      <c r="P2017" s="16">
        <v>1</v>
      </c>
      <c r="Q2017" s="16">
        <v>1</v>
      </c>
      <c r="R2017" s="5" t="str">
        <f t="shared" si="329"/>
        <v>390.3-2023-06-30</v>
      </c>
    </row>
    <row r="2018" spans="1:18" x14ac:dyDescent="0.3">
      <c r="A2018" s="26" t="s">
        <v>624</v>
      </c>
      <c r="B2018" s="23" t="s">
        <v>550</v>
      </c>
      <c r="C2018" s="5" t="s">
        <v>345</v>
      </c>
      <c r="D2018" s="5" t="s">
        <v>11</v>
      </c>
      <c r="E2018" s="5" t="s">
        <v>9</v>
      </c>
      <c r="F2018" s="6">
        <v>45291</v>
      </c>
      <c r="G2018" s="5">
        <f t="shared" si="326"/>
        <v>2023</v>
      </c>
      <c r="H2018" s="5" t="str">
        <f t="shared" si="327"/>
        <v>Diciembre</v>
      </c>
      <c r="I2018" s="6" t="str">
        <f t="shared" si="328"/>
        <v>2023-2</v>
      </c>
      <c r="J2018" s="5">
        <v>100</v>
      </c>
      <c r="K2018" s="10">
        <v>99.38</v>
      </c>
      <c r="L2018" s="15">
        <f>IFERROR(IF((K2018/J2018)&gt;1.3,1.3,K2018/J2018),"")</f>
        <v>0.99379999999999991</v>
      </c>
      <c r="M2018" s="15">
        <f>IFERROR(IF((K2018/J2018)&gt;K2018/J2018,1.3,K2018/J2018),"")</f>
        <v>0.99379999999999991</v>
      </c>
      <c r="N2018" s="5" t="s">
        <v>347</v>
      </c>
      <c r="O2018" s="5" t="s">
        <v>347</v>
      </c>
      <c r="P2018" s="16">
        <v>1</v>
      </c>
      <c r="Q2018" s="16">
        <v>1</v>
      </c>
      <c r="R2018" s="5" t="str">
        <f t="shared" si="329"/>
        <v>390.3-2023-12-31</v>
      </c>
    </row>
    <row r="2019" spans="1:18" x14ac:dyDescent="0.3">
      <c r="A2019" s="26" t="s">
        <v>624</v>
      </c>
      <c r="B2019" s="23" t="s">
        <v>550</v>
      </c>
      <c r="C2019" s="5" t="s">
        <v>345</v>
      </c>
      <c r="D2019" s="5" t="s">
        <v>11</v>
      </c>
      <c r="E2019" s="5" t="s">
        <v>9</v>
      </c>
      <c r="F2019" s="6">
        <v>45473</v>
      </c>
      <c r="G2019" s="5">
        <f t="shared" si="326"/>
        <v>2024</v>
      </c>
      <c r="H2019" s="5" t="str">
        <f t="shared" si="327"/>
        <v>Junio</v>
      </c>
      <c r="I2019" s="6" t="str">
        <f t="shared" si="328"/>
        <v>2024-1</v>
      </c>
      <c r="J2019" s="5">
        <v>44.99</v>
      </c>
      <c r="K2019" s="5">
        <v>60.75</v>
      </c>
      <c r="L2019" s="15">
        <v>1</v>
      </c>
      <c r="M2019" s="15">
        <v>1</v>
      </c>
      <c r="N2019" s="5" t="s">
        <v>347</v>
      </c>
      <c r="O2019" s="5" t="s">
        <v>347</v>
      </c>
      <c r="P2019" s="5">
        <v>1</v>
      </c>
      <c r="Q2019" s="5">
        <v>1</v>
      </c>
      <c r="R2019" s="5" t="str">
        <f t="shared" si="329"/>
        <v>390.3-2024-06-30</v>
      </c>
    </row>
    <row r="2020" spans="1:18" x14ac:dyDescent="0.3">
      <c r="A2020" s="26" t="s">
        <v>625</v>
      </c>
      <c r="B2020" s="23" t="s">
        <v>551</v>
      </c>
      <c r="C2020" s="5" t="s">
        <v>345</v>
      </c>
      <c r="D2020" s="5" t="s">
        <v>11</v>
      </c>
      <c r="E2020" s="5" t="s">
        <v>9</v>
      </c>
      <c r="F2020" s="6">
        <v>45107</v>
      </c>
      <c r="G2020" s="5">
        <f t="shared" si="326"/>
        <v>2023</v>
      </c>
      <c r="H2020" s="5" t="str">
        <f t="shared" si="327"/>
        <v>Junio</v>
      </c>
      <c r="I2020" s="6" t="str">
        <f t="shared" si="328"/>
        <v>2023-1</v>
      </c>
      <c r="J2020" s="5">
        <v>64.88</v>
      </c>
      <c r="K2020" s="5">
        <v>78.33</v>
      </c>
      <c r="L2020" s="24">
        <f>K2020/J2020</f>
        <v>1.2073057953144266</v>
      </c>
      <c r="M2020" s="15">
        <f>IFERROR(IF((K2020/J2020)&gt;K2020/J2020,1.3,K2020/J2020),"")</f>
        <v>1.2073057953144266</v>
      </c>
      <c r="N2020" s="5" t="s">
        <v>347</v>
      </c>
      <c r="O2020" s="5" t="s">
        <v>347</v>
      </c>
      <c r="P2020" s="16">
        <v>0</v>
      </c>
      <c r="Q2020" s="16">
        <v>0</v>
      </c>
      <c r="R2020" s="5" t="str">
        <f t="shared" si="329"/>
        <v>390.4-2023-06-30</v>
      </c>
    </row>
    <row r="2021" spans="1:18" x14ac:dyDescent="0.3">
      <c r="A2021" s="26" t="s">
        <v>625</v>
      </c>
      <c r="B2021" s="23" t="s">
        <v>551</v>
      </c>
      <c r="C2021" s="5" t="s">
        <v>345</v>
      </c>
      <c r="D2021" s="5" t="s">
        <v>11</v>
      </c>
      <c r="E2021" s="5" t="s">
        <v>9</v>
      </c>
      <c r="F2021" s="6">
        <v>45291</v>
      </c>
      <c r="G2021" s="5">
        <f t="shared" si="326"/>
        <v>2023</v>
      </c>
      <c r="H2021" s="5" t="str">
        <f t="shared" si="327"/>
        <v>Diciembre</v>
      </c>
      <c r="I2021" s="6" t="str">
        <f t="shared" si="328"/>
        <v>2023-2</v>
      </c>
      <c r="J2021" s="5">
        <v>100</v>
      </c>
      <c r="K2021" s="10">
        <v>100</v>
      </c>
      <c r="L2021" s="15">
        <f>IFERROR(IF((K2021/J2021)&gt;1.3,1.3,K2021/J2021),"")</f>
        <v>1</v>
      </c>
      <c r="M2021" s="15">
        <f>IFERROR(IF((K2021/J2021)&gt;K2021/J2021,1.3,K2021/J2021),"")</f>
        <v>1</v>
      </c>
      <c r="N2021" s="5" t="s">
        <v>347</v>
      </c>
      <c r="O2021" s="5" t="s">
        <v>347</v>
      </c>
      <c r="P2021" s="16">
        <v>0</v>
      </c>
      <c r="Q2021" s="16">
        <v>0</v>
      </c>
      <c r="R2021" s="5" t="str">
        <f t="shared" si="329"/>
        <v>390.4-2023-12-31</v>
      </c>
    </row>
    <row r="2022" spans="1:18" x14ac:dyDescent="0.3">
      <c r="A2022" s="26" t="s">
        <v>625</v>
      </c>
      <c r="B2022" s="23" t="s">
        <v>551</v>
      </c>
      <c r="C2022" s="5" t="s">
        <v>345</v>
      </c>
      <c r="D2022" s="5" t="s">
        <v>11</v>
      </c>
      <c r="E2022" s="5" t="s">
        <v>9</v>
      </c>
      <c r="F2022" s="6">
        <v>45473</v>
      </c>
      <c r="G2022" s="5">
        <f t="shared" si="326"/>
        <v>2024</v>
      </c>
      <c r="H2022" s="5" t="str">
        <f t="shared" si="327"/>
        <v>Junio</v>
      </c>
      <c r="I2022" s="6" t="str">
        <f t="shared" si="328"/>
        <v>2024-1</v>
      </c>
      <c r="J2022" s="5">
        <v>31.84</v>
      </c>
      <c r="K2022" s="5">
        <v>39.01</v>
      </c>
      <c r="L2022" s="15">
        <v>1</v>
      </c>
      <c r="M2022" s="15">
        <v>1</v>
      </c>
      <c r="N2022" s="5" t="s">
        <v>347</v>
      </c>
      <c r="O2022" s="5" t="s">
        <v>347</v>
      </c>
      <c r="P2022" s="5">
        <v>0</v>
      </c>
      <c r="Q2022" s="5">
        <v>0</v>
      </c>
      <c r="R2022" s="5" t="str">
        <f t="shared" si="329"/>
        <v>390.4-2024-06-30</v>
      </c>
    </row>
    <row r="2023" spans="1:18" x14ac:dyDescent="0.3">
      <c r="A2023" s="26" t="s">
        <v>626</v>
      </c>
      <c r="B2023" s="23" t="s">
        <v>552</v>
      </c>
      <c r="C2023" s="5" t="s">
        <v>345</v>
      </c>
      <c r="D2023" s="5" t="s">
        <v>11</v>
      </c>
      <c r="E2023" s="5" t="s">
        <v>9</v>
      </c>
      <c r="F2023" s="6">
        <v>45107</v>
      </c>
      <c r="G2023" s="5">
        <f t="shared" si="326"/>
        <v>2023</v>
      </c>
      <c r="H2023" s="5" t="str">
        <f t="shared" si="327"/>
        <v>Junio</v>
      </c>
      <c r="I2023" s="6" t="str">
        <f t="shared" si="328"/>
        <v>2023-1</v>
      </c>
      <c r="J2023" s="5">
        <v>51.39</v>
      </c>
      <c r="K2023" s="5">
        <v>53.93</v>
      </c>
      <c r="L2023" s="24">
        <f>K2023/J2023</f>
        <v>1.0494259583576571</v>
      </c>
      <c r="M2023" s="15">
        <f>IFERROR(IF((K2023/J2023)&gt;K2023/J2023,1.3,K2023/J2023),"")</f>
        <v>1.0494259583576571</v>
      </c>
      <c r="N2023" s="5" t="s">
        <v>347</v>
      </c>
      <c r="O2023" s="5" t="s">
        <v>347</v>
      </c>
      <c r="P2023" s="16">
        <v>0</v>
      </c>
      <c r="Q2023" s="16">
        <v>0</v>
      </c>
      <c r="R2023" s="5" t="str">
        <f t="shared" si="329"/>
        <v>390.5-2023-06-30</v>
      </c>
    </row>
    <row r="2024" spans="1:18" x14ac:dyDescent="0.3">
      <c r="A2024" s="26" t="s">
        <v>626</v>
      </c>
      <c r="B2024" s="23" t="s">
        <v>552</v>
      </c>
      <c r="C2024" s="5" t="s">
        <v>345</v>
      </c>
      <c r="D2024" s="5" t="s">
        <v>11</v>
      </c>
      <c r="E2024" s="5" t="s">
        <v>9</v>
      </c>
      <c r="F2024" s="6">
        <v>45291</v>
      </c>
      <c r="G2024" s="5">
        <f t="shared" si="326"/>
        <v>2023</v>
      </c>
      <c r="H2024" s="5" t="str">
        <f t="shared" si="327"/>
        <v>Diciembre</v>
      </c>
      <c r="I2024" s="6" t="str">
        <f t="shared" si="328"/>
        <v>2023-2</v>
      </c>
      <c r="J2024" s="5">
        <v>100</v>
      </c>
      <c r="K2024" s="10">
        <v>92.86</v>
      </c>
      <c r="L2024" s="15">
        <f>IFERROR(IF((K2024/J2024)&gt;1.3,1.3,K2024/J2024),"")</f>
        <v>0.92859999999999998</v>
      </c>
      <c r="M2024" s="15">
        <f>IFERROR(IF((K2024/J2024)&gt;K2024/J2024,1.3,K2024/J2024),"")</f>
        <v>0.92859999999999998</v>
      </c>
      <c r="N2024" s="5" t="s">
        <v>347</v>
      </c>
      <c r="O2024" s="5" t="s">
        <v>347</v>
      </c>
      <c r="P2024" s="16">
        <v>0</v>
      </c>
      <c r="Q2024" s="16">
        <v>0</v>
      </c>
      <c r="R2024" s="5" t="str">
        <f t="shared" si="329"/>
        <v>390.5-2023-12-31</v>
      </c>
    </row>
    <row r="2025" spans="1:18" x14ac:dyDescent="0.3">
      <c r="A2025" s="26" t="s">
        <v>626</v>
      </c>
      <c r="B2025" s="23" t="s">
        <v>552</v>
      </c>
      <c r="C2025" s="5" t="s">
        <v>345</v>
      </c>
      <c r="D2025" s="5" t="s">
        <v>11</v>
      </c>
      <c r="E2025" s="5" t="s">
        <v>9</v>
      </c>
      <c r="F2025" s="6">
        <v>45473</v>
      </c>
      <c r="G2025" s="5">
        <f t="shared" si="326"/>
        <v>2024</v>
      </c>
      <c r="H2025" s="5" t="str">
        <f t="shared" si="327"/>
        <v>Junio</v>
      </c>
      <c r="I2025" s="6" t="str">
        <f t="shared" si="328"/>
        <v>2024-1</v>
      </c>
      <c r="J2025" s="5">
        <v>65.739999999999995</v>
      </c>
      <c r="K2025" s="5">
        <v>68.33</v>
      </c>
      <c r="L2025" s="15">
        <v>1</v>
      </c>
      <c r="M2025" s="15">
        <v>1</v>
      </c>
      <c r="N2025" s="5" t="s">
        <v>347</v>
      </c>
      <c r="O2025" s="5" t="s">
        <v>347</v>
      </c>
      <c r="P2025" s="5">
        <v>0</v>
      </c>
      <c r="Q2025" s="5">
        <v>0</v>
      </c>
      <c r="R2025" s="5" t="str">
        <f t="shared" si="329"/>
        <v>390.5-2024-06-30</v>
      </c>
    </row>
    <row r="2026" spans="1:18" x14ac:dyDescent="0.3">
      <c r="A2026" s="26" t="s">
        <v>627</v>
      </c>
      <c r="B2026" s="23" t="s">
        <v>553</v>
      </c>
      <c r="C2026" s="5" t="s">
        <v>345</v>
      </c>
      <c r="D2026" s="5" t="s">
        <v>11</v>
      </c>
      <c r="E2026" s="5" t="s">
        <v>9</v>
      </c>
      <c r="F2026" s="6">
        <v>45107</v>
      </c>
      <c r="G2026" s="5">
        <f t="shared" si="326"/>
        <v>2023</v>
      </c>
      <c r="H2026" s="5" t="str">
        <f t="shared" si="327"/>
        <v>Junio</v>
      </c>
      <c r="I2026" s="6" t="str">
        <f t="shared" si="328"/>
        <v>2023-1</v>
      </c>
      <c r="J2026" s="5">
        <v>54.33</v>
      </c>
      <c r="K2026" s="5">
        <v>67</v>
      </c>
      <c r="L2026" s="24">
        <f>K2026/J2026</f>
        <v>1.233204491073072</v>
      </c>
      <c r="M2026" s="15">
        <f>IFERROR(IF((K2026/J2026)&gt;K2026/J2026,1.3,K2026/J2026),"")</f>
        <v>1.233204491073072</v>
      </c>
      <c r="N2026" s="5" t="s">
        <v>347</v>
      </c>
      <c r="O2026" s="5" t="s">
        <v>347</v>
      </c>
      <c r="P2026" s="16">
        <v>0</v>
      </c>
      <c r="Q2026" s="16">
        <v>0</v>
      </c>
      <c r="R2026" s="5" t="str">
        <f t="shared" si="329"/>
        <v>390.6-2023-06-30</v>
      </c>
    </row>
    <row r="2027" spans="1:18" x14ac:dyDescent="0.3">
      <c r="A2027" s="26" t="s">
        <v>627</v>
      </c>
      <c r="B2027" s="23" t="s">
        <v>553</v>
      </c>
      <c r="C2027" s="5" t="s">
        <v>345</v>
      </c>
      <c r="D2027" s="5" t="s">
        <v>11</v>
      </c>
      <c r="E2027" s="5" t="s">
        <v>9</v>
      </c>
      <c r="F2027" s="6">
        <v>45291</v>
      </c>
      <c r="G2027" s="5">
        <f t="shared" si="326"/>
        <v>2023</v>
      </c>
      <c r="H2027" s="5" t="str">
        <f t="shared" si="327"/>
        <v>Diciembre</v>
      </c>
      <c r="I2027" s="6" t="str">
        <f t="shared" si="328"/>
        <v>2023-2</v>
      </c>
      <c r="J2027" s="5">
        <v>100</v>
      </c>
      <c r="K2027" s="10">
        <v>100</v>
      </c>
      <c r="L2027" s="15">
        <f>IFERROR(IF((K2027/J2027)&gt;1.3,1.3,K2027/J2027),"")</f>
        <v>1</v>
      </c>
      <c r="M2027" s="15">
        <f>IFERROR(IF((K2027/J2027)&gt;K2027/J2027,1.3,K2027/J2027),"")</f>
        <v>1</v>
      </c>
      <c r="N2027" s="5" t="s">
        <v>347</v>
      </c>
      <c r="O2027" s="5" t="s">
        <v>347</v>
      </c>
      <c r="P2027" s="16">
        <v>0</v>
      </c>
      <c r="Q2027" s="16">
        <v>0</v>
      </c>
      <c r="R2027" s="5" t="str">
        <f t="shared" si="329"/>
        <v>390.6-2023-12-31</v>
      </c>
    </row>
    <row r="2028" spans="1:18" x14ac:dyDescent="0.3">
      <c r="A2028" s="26" t="s">
        <v>627</v>
      </c>
      <c r="B2028" s="23" t="s">
        <v>553</v>
      </c>
      <c r="C2028" s="5" t="s">
        <v>345</v>
      </c>
      <c r="D2028" s="5" t="s">
        <v>11</v>
      </c>
      <c r="E2028" s="5" t="s">
        <v>9</v>
      </c>
      <c r="F2028" s="6">
        <v>45473</v>
      </c>
      <c r="G2028" s="5">
        <f t="shared" si="326"/>
        <v>2024</v>
      </c>
      <c r="H2028" s="5" t="str">
        <f t="shared" si="327"/>
        <v>Junio</v>
      </c>
      <c r="I2028" s="6" t="str">
        <f t="shared" si="328"/>
        <v>2024-1</v>
      </c>
      <c r="J2028" s="5">
        <v>50.22</v>
      </c>
      <c r="K2028" s="5">
        <v>52.92</v>
      </c>
      <c r="L2028" s="15">
        <v>1</v>
      </c>
      <c r="M2028" s="15">
        <v>1</v>
      </c>
      <c r="N2028" s="5" t="s">
        <v>347</v>
      </c>
      <c r="O2028" s="5" t="s">
        <v>347</v>
      </c>
      <c r="P2028" s="5">
        <v>0</v>
      </c>
      <c r="Q2028" s="5">
        <v>0</v>
      </c>
      <c r="R2028" s="5" t="str">
        <f t="shared" si="329"/>
        <v>390.6-2024-06-30</v>
      </c>
    </row>
    <row r="2029" spans="1:18" x14ac:dyDescent="0.3">
      <c r="A2029" s="26" t="s">
        <v>628</v>
      </c>
      <c r="B2029" s="23" t="s">
        <v>554</v>
      </c>
      <c r="C2029" s="5" t="s">
        <v>345</v>
      </c>
      <c r="D2029" s="5" t="s">
        <v>11</v>
      </c>
      <c r="E2029" s="5" t="s">
        <v>9</v>
      </c>
      <c r="F2029" s="6">
        <v>45107</v>
      </c>
      <c r="G2029" s="5">
        <f t="shared" si="326"/>
        <v>2023</v>
      </c>
      <c r="H2029" s="5" t="str">
        <f t="shared" si="327"/>
        <v>Junio</v>
      </c>
      <c r="I2029" s="6" t="str">
        <f t="shared" si="328"/>
        <v>2023-1</v>
      </c>
      <c r="J2029" s="5">
        <v>60.38</v>
      </c>
      <c r="K2029" s="5">
        <v>73.06</v>
      </c>
      <c r="L2029" s="24">
        <f>K2029/J2029</f>
        <v>1.2100033123550844</v>
      </c>
      <c r="M2029" s="15">
        <f>IFERROR(IF((K2029/J2029)&gt;K2029/J2029,1.3,K2029/J2029),"")</f>
        <v>1.2100033123550844</v>
      </c>
      <c r="N2029" s="5" t="s">
        <v>347</v>
      </c>
      <c r="O2029" s="5" t="s">
        <v>347</v>
      </c>
      <c r="P2029" s="16">
        <v>0</v>
      </c>
      <c r="Q2029" s="16">
        <v>0</v>
      </c>
      <c r="R2029" s="5" t="str">
        <f t="shared" si="329"/>
        <v>390.7-2023-06-30</v>
      </c>
    </row>
    <row r="2030" spans="1:18" x14ac:dyDescent="0.3">
      <c r="A2030" s="26" t="s">
        <v>628</v>
      </c>
      <c r="B2030" s="23" t="s">
        <v>554</v>
      </c>
      <c r="C2030" s="5" t="s">
        <v>345</v>
      </c>
      <c r="D2030" s="5" t="s">
        <v>11</v>
      </c>
      <c r="E2030" s="5" t="s">
        <v>9</v>
      </c>
      <c r="F2030" s="6">
        <v>45291</v>
      </c>
      <c r="G2030" s="5">
        <f t="shared" si="326"/>
        <v>2023</v>
      </c>
      <c r="H2030" s="5" t="str">
        <f t="shared" si="327"/>
        <v>Diciembre</v>
      </c>
      <c r="I2030" s="6" t="str">
        <f t="shared" si="328"/>
        <v>2023-2</v>
      </c>
      <c r="J2030" s="5">
        <v>100</v>
      </c>
      <c r="K2030" s="10">
        <v>100</v>
      </c>
      <c r="L2030" s="15">
        <f>IFERROR(IF((K2030/J2030)&gt;1.3,1.3,K2030/J2030),"")</f>
        <v>1</v>
      </c>
      <c r="M2030" s="15">
        <f>IFERROR(IF((K2030/J2030)&gt;K2030/J2030,1.3,K2030/J2030),"")</f>
        <v>1</v>
      </c>
      <c r="N2030" s="5" t="s">
        <v>347</v>
      </c>
      <c r="O2030" s="5" t="s">
        <v>347</v>
      </c>
      <c r="P2030" s="16">
        <v>0</v>
      </c>
      <c r="Q2030" s="16">
        <v>0</v>
      </c>
      <c r="R2030" s="5" t="str">
        <f t="shared" si="329"/>
        <v>390.7-2023-12-31</v>
      </c>
    </row>
    <row r="2031" spans="1:18" x14ac:dyDescent="0.3">
      <c r="A2031" s="26" t="s">
        <v>628</v>
      </c>
      <c r="B2031" s="23" t="s">
        <v>554</v>
      </c>
      <c r="C2031" s="5" t="s">
        <v>345</v>
      </c>
      <c r="D2031" s="5" t="s">
        <v>11</v>
      </c>
      <c r="E2031" s="5" t="s">
        <v>9</v>
      </c>
      <c r="F2031" s="6">
        <v>45473</v>
      </c>
      <c r="G2031" s="5">
        <f t="shared" si="326"/>
        <v>2024</v>
      </c>
      <c r="H2031" s="5" t="str">
        <f t="shared" si="327"/>
        <v>Junio</v>
      </c>
      <c r="I2031" s="6" t="str">
        <f t="shared" si="328"/>
        <v>2024-1</v>
      </c>
      <c r="J2031" s="5">
        <v>58.85</v>
      </c>
      <c r="K2031" s="5">
        <v>65.08</v>
      </c>
      <c r="L2031" s="15">
        <v>1</v>
      </c>
      <c r="M2031" s="15">
        <v>1</v>
      </c>
      <c r="N2031" s="5" t="s">
        <v>347</v>
      </c>
      <c r="O2031" s="5" t="s">
        <v>347</v>
      </c>
      <c r="P2031" s="5">
        <v>0</v>
      </c>
      <c r="Q2031" s="5">
        <v>0</v>
      </c>
      <c r="R2031" s="5" t="str">
        <f t="shared" si="329"/>
        <v>390.7-2024-06-30</v>
      </c>
    </row>
    <row r="2032" spans="1:18" x14ac:dyDescent="0.3">
      <c r="A2032" s="26" t="s">
        <v>629</v>
      </c>
      <c r="B2032" s="23" t="s">
        <v>555</v>
      </c>
      <c r="C2032" s="5" t="s">
        <v>345</v>
      </c>
      <c r="D2032" s="5" t="s">
        <v>11</v>
      </c>
      <c r="E2032" s="5" t="s">
        <v>9</v>
      </c>
      <c r="F2032" s="6">
        <v>45107</v>
      </c>
      <c r="G2032" s="5">
        <f t="shared" si="326"/>
        <v>2023</v>
      </c>
      <c r="H2032" s="5" t="str">
        <f t="shared" si="327"/>
        <v>Junio</v>
      </c>
      <c r="I2032" s="6" t="str">
        <f t="shared" si="328"/>
        <v>2023-1</v>
      </c>
      <c r="J2032" s="5">
        <v>69.650000000000006</v>
      </c>
      <c r="K2032" s="5">
        <v>68.75</v>
      </c>
      <c r="L2032" s="24">
        <f>K2032/J2032</f>
        <v>0.98707824838478098</v>
      </c>
      <c r="M2032" s="15">
        <f>IFERROR(IF((K2032/J2032)&gt;K2032/J2032,1.3,K2032/J2032),"")</f>
        <v>0.98707824838478098</v>
      </c>
      <c r="N2032" s="5" t="s">
        <v>347</v>
      </c>
      <c r="O2032" s="5" t="s">
        <v>347</v>
      </c>
      <c r="P2032" s="16">
        <v>0</v>
      </c>
      <c r="Q2032" s="16">
        <v>0</v>
      </c>
      <c r="R2032" s="5" t="str">
        <f t="shared" si="329"/>
        <v>390.8-2023-06-30</v>
      </c>
    </row>
    <row r="2033" spans="1:18" x14ac:dyDescent="0.3">
      <c r="A2033" s="26" t="s">
        <v>629</v>
      </c>
      <c r="B2033" s="23" t="s">
        <v>555</v>
      </c>
      <c r="C2033" s="5" t="s">
        <v>345</v>
      </c>
      <c r="D2033" s="5" t="s">
        <v>11</v>
      </c>
      <c r="E2033" s="5" t="s">
        <v>9</v>
      </c>
      <c r="F2033" s="6">
        <v>45291</v>
      </c>
      <c r="G2033" s="5">
        <f t="shared" si="326"/>
        <v>2023</v>
      </c>
      <c r="H2033" s="5" t="str">
        <f t="shared" si="327"/>
        <v>Diciembre</v>
      </c>
      <c r="I2033" s="6" t="str">
        <f t="shared" si="328"/>
        <v>2023-2</v>
      </c>
      <c r="J2033" s="5">
        <v>100</v>
      </c>
      <c r="K2033" s="10">
        <v>100</v>
      </c>
      <c r="L2033" s="15">
        <f>IFERROR(IF((K2033/J2033)&gt;1.3,1.3,K2033/J2033),"")</f>
        <v>1</v>
      </c>
      <c r="M2033" s="15">
        <f>IFERROR(IF((K2033/J2033)&gt;K2033/J2033,1.3,K2033/J2033),"")</f>
        <v>1</v>
      </c>
      <c r="N2033" s="5" t="s">
        <v>347</v>
      </c>
      <c r="O2033" s="5" t="s">
        <v>347</v>
      </c>
      <c r="P2033" s="16">
        <v>0</v>
      </c>
      <c r="Q2033" s="16">
        <v>0</v>
      </c>
      <c r="R2033" s="5" t="str">
        <f t="shared" si="329"/>
        <v>390.8-2023-12-31</v>
      </c>
    </row>
    <row r="2034" spans="1:18" x14ac:dyDescent="0.3">
      <c r="A2034" s="26" t="s">
        <v>629</v>
      </c>
      <c r="B2034" s="23" t="s">
        <v>555</v>
      </c>
      <c r="C2034" s="5" t="s">
        <v>345</v>
      </c>
      <c r="D2034" s="5" t="s">
        <v>11</v>
      </c>
      <c r="E2034" s="5" t="s">
        <v>9</v>
      </c>
      <c r="F2034" s="6">
        <v>45473</v>
      </c>
      <c r="G2034" s="5">
        <f t="shared" si="326"/>
        <v>2024</v>
      </c>
      <c r="H2034" s="5" t="str">
        <f t="shared" si="327"/>
        <v>Junio</v>
      </c>
      <c r="I2034" s="6" t="str">
        <f t="shared" si="328"/>
        <v>2024-1</v>
      </c>
      <c r="J2034" s="5">
        <v>44.13</v>
      </c>
      <c r="K2034" s="5">
        <v>58.56</v>
      </c>
      <c r="L2034" s="15">
        <v>1</v>
      </c>
      <c r="M2034" s="15">
        <v>1</v>
      </c>
      <c r="N2034" s="5" t="s">
        <v>347</v>
      </c>
      <c r="O2034" s="5" t="s">
        <v>347</v>
      </c>
      <c r="P2034" s="5">
        <v>0</v>
      </c>
      <c r="Q2034" s="5">
        <v>0</v>
      </c>
      <c r="R2034" s="5" t="str">
        <f t="shared" si="329"/>
        <v>390.8-2024-06-30</v>
      </c>
    </row>
    <row r="2035" spans="1:18" x14ac:dyDescent="0.3">
      <c r="A2035" s="26" t="s">
        <v>630</v>
      </c>
      <c r="B2035" s="23" t="s">
        <v>556</v>
      </c>
      <c r="C2035" s="5" t="s">
        <v>345</v>
      </c>
      <c r="D2035" s="5" t="s">
        <v>11</v>
      </c>
      <c r="E2035" s="5" t="s">
        <v>9</v>
      </c>
      <c r="F2035" s="6">
        <v>45107</v>
      </c>
      <c r="G2035" s="5">
        <f t="shared" si="326"/>
        <v>2023</v>
      </c>
      <c r="H2035" s="5" t="str">
        <f t="shared" si="327"/>
        <v>Junio</v>
      </c>
      <c r="I2035" s="6" t="str">
        <f t="shared" si="328"/>
        <v>2023-1</v>
      </c>
      <c r="J2035" s="5">
        <v>61.42</v>
      </c>
      <c r="K2035" s="5">
        <v>67.67</v>
      </c>
      <c r="L2035" s="24">
        <f>K2035/J2035</f>
        <v>1.1017583848909149</v>
      </c>
      <c r="M2035" s="15">
        <f>IFERROR(IF((K2035/J2035)&gt;K2035/J2035,1.3,K2035/J2035),"")</f>
        <v>1.1017583848909149</v>
      </c>
      <c r="N2035" s="5" t="s">
        <v>347</v>
      </c>
      <c r="O2035" s="5" t="s">
        <v>347</v>
      </c>
      <c r="P2035" s="16">
        <v>0</v>
      </c>
      <c r="Q2035" s="16">
        <v>0</v>
      </c>
      <c r="R2035" s="5" t="str">
        <f t="shared" si="329"/>
        <v>390.9-2023-06-30</v>
      </c>
    </row>
    <row r="2036" spans="1:18" x14ac:dyDescent="0.3">
      <c r="A2036" s="26" t="s">
        <v>630</v>
      </c>
      <c r="B2036" s="23" t="s">
        <v>556</v>
      </c>
      <c r="C2036" s="5" t="s">
        <v>345</v>
      </c>
      <c r="D2036" s="5" t="s">
        <v>11</v>
      </c>
      <c r="E2036" s="5" t="s">
        <v>9</v>
      </c>
      <c r="F2036" s="6">
        <v>45291</v>
      </c>
      <c r="G2036" s="5">
        <f t="shared" si="326"/>
        <v>2023</v>
      </c>
      <c r="H2036" s="5" t="str">
        <f t="shared" si="327"/>
        <v>Diciembre</v>
      </c>
      <c r="I2036" s="6" t="str">
        <f t="shared" si="328"/>
        <v>2023-2</v>
      </c>
      <c r="J2036" s="5">
        <v>100</v>
      </c>
      <c r="K2036" s="10">
        <v>100</v>
      </c>
      <c r="L2036" s="15">
        <f>IFERROR(IF((K2036/J2036)&gt;1.3,1.3,K2036/J2036),"")</f>
        <v>1</v>
      </c>
      <c r="M2036" s="15">
        <f>IFERROR(IF((K2036/J2036)&gt;K2036/J2036,1.3,K2036/J2036),"")</f>
        <v>1</v>
      </c>
      <c r="N2036" s="5" t="s">
        <v>347</v>
      </c>
      <c r="O2036" s="5" t="s">
        <v>347</v>
      </c>
      <c r="P2036" s="16">
        <v>0</v>
      </c>
      <c r="Q2036" s="16">
        <v>0</v>
      </c>
      <c r="R2036" s="5" t="str">
        <f t="shared" si="329"/>
        <v>390.9-2023-12-31</v>
      </c>
    </row>
    <row r="2037" spans="1:18" x14ac:dyDescent="0.3">
      <c r="A2037" s="26" t="s">
        <v>630</v>
      </c>
      <c r="B2037" s="23" t="s">
        <v>556</v>
      </c>
      <c r="C2037" s="5" t="s">
        <v>345</v>
      </c>
      <c r="D2037" s="5" t="s">
        <v>11</v>
      </c>
      <c r="E2037" s="5" t="s">
        <v>9</v>
      </c>
      <c r="F2037" s="6">
        <v>45473</v>
      </c>
      <c r="G2037" s="5">
        <f t="shared" si="326"/>
        <v>2024</v>
      </c>
      <c r="H2037" s="5" t="str">
        <f t="shared" si="327"/>
        <v>Junio</v>
      </c>
      <c r="I2037" s="6" t="str">
        <f t="shared" si="328"/>
        <v>2024-1</v>
      </c>
      <c r="J2037" s="5">
        <v>44.29</v>
      </c>
      <c r="K2037" s="5">
        <v>44.65</v>
      </c>
      <c r="L2037" s="15">
        <v>1</v>
      </c>
      <c r="M2037" s="15">
        <v>1</v>
      </c>
      <c r="N2037" s="5" t="s">
        <v>347</v>
      </c>
      <c r="O2037" s="5" t="s">
        <v>347</v>
      </c>
      <c r="P2037" s="5">
        <v>0</v>
      </c>
      <c r="Q2037" s="5">
        <v>0</v>
      </c>
      <c r="R2037" s="5" t="str">
        <f t="shared" si="329"/>
        <v>390.9-2024-06-30</v>
      </c>
    </row>
    <row r="2038" spans="1:18" x14ac:dyDescent="0.3">
      <c r="A2038" s="26" t="s">
        <v>634</v>
      </c>
      <c r="B2038" s="23" t="s">
        <v>560</v>
      </c>
      <c r="C2038" s="5" t="s">
        <v>345</v>
      </c>
      <c r="D2038" s="5" t="s">
        <v>11</v>
      </c>
      <c r="E2038" s="5" t="s">
        <v>9</v>
      </c>
      <c r="F2038" s="6">
        <v>45107</v>
      </c>
      <c r="G2038" s="5">
        <f t="shared" si="326"/>
        <v>2023</v>
      </c>
      <c r="H2038" s="5" t="str">
        <f t="shared" si="327"/>
        <v>Junio</v>
      </c>
      <c r="I2038" s="6" t="str">
        <f t="shared" si="328"/>
        <v>2023-1</v>
      </c>
      <c r="J2038" s="5">
        <v>71</v>
      </c>
      <c r="K2038" s="5">
        <v>78</v>
      </c>
      <c r="L2038" s="24">
        <f>K2038/J2038</f>
        <v>1.0985915492957747</v>
      </c>
      <c r="M2038" s="15">
        <f>IFERROR(IF((K2038/J2038)&gt;K2038/J2038,1.3,K2038/J2038),"")</f>
        <v>1.0985915492957747</v>
      </c>
      <c r="N2038" s="5" t="s">
        <v>347</v>
      </c>
      <c r="O2038" s="5" t="s">
        <v>347</v>
      </c>
      <c r="P2038" s="16">
        <v>0</v>
      </c>
      <c r="Q2038" s="16">
        <v>0</v>
      </c>
      <c r="R2038" s="5" t="str">
        <f t="shared" si="329"/>
        <v>414.1-2023-06-30</v>
      </c>
    </row>
    <row r="2039" spans="1:18" x14ac:dyDescent="0.3">
      <c r="A2039" s="26" t="s">
        <v>634</v>
      </c>
      <c r="B2039" s="23" t="s">
        <v>560</v>
      </c>
      <c r="C2039" s="5" t="s">
        <v>345</v>
      </c>
      <c r="D2039" s="5" t="s">
        <v>11</v>
      </c>
      <c r="E2039" s="5" t="s">
        <v>9</v>
      </c>
      <c r="F2039" s="6">
        <v>45291</v>
      </c>
      <c r="G2039" s="5">
        <f t="shared" si="326"/>
        <v>2023</v>
      </c>
      <c r="H2039" s="5" t="str">
        <f t="shared" si="327"/>
        <v>Diciembre</v>
      </c>
      <c r="I2039" s="6" t="str">
        <f t="shared" si="328"/>
        <v>2023-2</v>
      </c>
      <c r="J2039" s="5">
        <v>100</v>
      </c>
      <c r="K2039" s="10">
        <v>99.75</v>
      </c>
      <c r="L2039" s="15">
        <f>IFERROR(IF((K2039/J2039)&gt;1.3,1.3,K2039/J2039),"")</f>
        <v>0.99750000000000005</v>
      </c>
      <c r="M2039" s="15">
        <f>IFERROR(IF((K2039/J2039)&gt;K2039/J2039,1.3,K2039/J2039),"")</f>
        <v>0.99750000000000005</v>
      </c>
      <c r="N2039" s="5" t="s">
        <v>347</v>
      </c>
      <c r="O2039" s="5" t="s">
        <v>347</v>
      </c>
      <c r="P2039" s="16">
        <v>0</v>
      </c>
      <c r="Q2039" s="16">
        <v>0</v>
      </c>
      <c r="R2039" s="5" t="str">
        <f t="shared" si="329"/>
        <v>414.1-2023-12-31</v>
      </c>
    </row>
    <row r="2040" spans="1:18" x14ac:dyDescent="0.3">
      <c r="A2040" s="26" t="s">
        <v>634</v>
      </c>
      <c r="B2040" s="23" t="s">
        <v>560</v>
      </c>
      <c r="C2040" s="5" t="s">
        <v>345</v>
      </c>
      <c r="D2040" s="5" t="s">
        <v>11</v>
      </c>
      <c r="E2040" s="5" t="s">
        <v>9</v>
      </c>
      <c r="F2040" s="6">
        <v>45473</v>
      </c>
      <c r="G2040" s="5">
        <f t="shared" si="326"/>
        <v>2024</v>
      </c>
      <c r="H2040" s="5" t="str">
        <f t="shared" si="327"/>
        <v>Junio</v>
      </c>
      <c r="I2040" s="6" t="str">
        <f t="shared" si="328"/>
        <v>2024-1</v>
      </c>
      <c r="J2040" s="5">
        <v>40.79</v>
      </c>
      <c r="K2040" s="5">
        <v>42.33</v>
      </c>
      <c r="L2040" s="15">
        <v>1</v>
      </c>
      <c r="M2040" s="15">
        <v>1</v>
      </c>
      <c r="N2040" s="5" t="s">
        <v>347</v>
      </c>
      <c r="O2040" s="5" t="s">
        <v>347</v>
      </c>
      <c r="P2040" s="5">
        <v>0</v>
      </c>
      <c r="Q2040" s="5">
        <v>0</v>
      </c>
      <c r="R2040" s="5" t="str">
        <f t="shared" si="329"/>
        <v>414.1-2024-06-30</v>
      </c>
    </row>
    <row r="2041" spans="1:18" x14ac:dyDescent="0.3">
      <c r="A2041" s="26" t="s">
        <v>635</v>
      </c>
      <c r="B2041" s="23" t="s">
        <v>561</v>
      </c>
      <c r="C2041" s="5" t="s">
        <v>345</v>
      </c>
      <c r="D2041" s="5" t="s">
        <v>11</v>
      </c>
      <c r="E2041" s="5" t="s">
        <v>9</v>
      </c>
      <c r="F2041" s="6">
        <v>45107</v>
      </c>
      <c r="G2041" s="5">
        <f t="shared" si="326"/>
        <v>2023</v>
      </c>
      <c r="H2041" s="5" t="str">
        <f t="shared" si="327"/>
        <v>Junio</v>
      </c>
      <c r="I2041" s="6" t="str">
        <f t="shared" si="328"/>
        <v>2023-1</v>
      </c>
      <c r="J2041" s="5">
        <v>74</v>
      </c>
      <c r="K2041" s="5">
        <v>45</v>
      </c>
      <c r="L2041" s="24">
        <f>K2041/J2041</f>
        <v>0.60810810810810811</v>
      </c>
      <c r="M2041" s="15">
        <f>IFERROR(IF((K2041/J2041)&gt;K2041/J2041,1.3,K2041/J2041),"")</f>
        <v>0.60810810810810811</v>
      </c>
      <c r="N2041" s="5" t="s">
        <v>347</v>
      </c>
      <c r="O2041" s="5" t="s">
        <v>347</v>
      </c>
      <c r="P2041" s="16">
        <v>0</v>
      </c>
      <c r="Q2041" s="16">
        <v>0</v>
      </c>
      <c r="R2041" s="5" t="str">
        <f t="shared" si="329"/>
        <v>414.2-2023-06-30</v>
      </c>
    </row>
    <row r="2042" spans="1:18" x14ac:dyDescent="0.3">
      <c r="A2042" s="26" t="s">
        <v>635</v>
      </c>
      <c r="B2042" s="23" t="s">
        <v>561</v>
      </c>
      <c r="C2042" s="5" t="s">
        <v>345</v>
      </c>
      <c r="D2042" s="5" t="s">
        <v>11</v>
      </c>
      <c r="E2042" s="5" t="s">
        <v>9</v>
      </c>
      <c r="F2042" s="6">
        <v>45291</v>
      </c>
      <c r="G2042" s="5">
        <f t="shared" si="326"/>
        <v>2023</v>
      </c>
      <c r="H2042" s="5" t="str">
        <f t="shared" si="327"/>
        <v>Diciembre</v>
      </c>
      <c r="I2042" s="6" t="str">
        <f t="shared" si="328"/>
        <v>2023-2</v>
      </c>
      <c r="J2042" s="5">
        <v>100</v>
      </c>
      <c r="K2042" s="10">
        <v>97.4</v>
      </c>
      <c r="L2042" s="15">
        <f>IFERROR(IF((K2042/J2042)&gt;1.3,1.3,K2042/J2042),"")</f>
        <v>0.97400000000000009</v>
      </c>
      <c r="M2042" s="15">
        <f>IFERROR(IF((K2042/J2042)&gt;K2042/J2042,1.3,K2042/J2042),"")</f>
        <v>0.97400000000000009</v>
      </c>
      <c r="N2042" s="5" t="s">
        <v>347</v>
      </c>
      <c r="O2042" s="5" t="s">
        <v>347</v>
      </c>
      <c r="P2042" s="16">
        <v>0</v>
      </c>
      <c r="Q2042" s="16">
        <v>0</v>
      </c>
      <c r="R2042" s="5" t="str">
        <f t="shared" si="329"/>
        <v>414.2-2023-12-31</v>
      </c>
    </row>
    <row r="2043" spans="1:18" x14ac:dyDescent="0.3">
      <c r="A2043" s="26" t="s">
        <v>635</v>
      </c>
      <c r="B2043" s="23" t="s">
        <v>561</v>
      </c>
      <c r="C2043" s="5" t="s">
        <v>345</v>
      </c>
      <c r="D2043" s="5" t="s">
        <v>11</v>
      </c>
      <c r="E2043" s="5" t="s">
        <v>9</v>
      </c>
      <c r="F2043" s="6">
        <v>45473</v>
      </c>
      <c r="G2043" s="5">
        <f t="shared" si="326"/>
        <v>2024</v>
      </c>
      <c r="H2043" s="5" t="str">
        <f t="shared" si="327"/>
        <v>Junio</v>
      </c>
      <c r="I2043" s="6" t="str">
        <f t="shared" si="328"/>
        <v>2024-1</v>
      </c>
      <c r="J2043" s="5">
        <v>92.24</v>
      </c>
      <c r="K2043" s="5">
        <v>88</v>
      </c>
      <c r="L2043" s="15">
        <v>0.95403295750216832</v>
      </c>
      <c r="M2043" s="15">
        <v>0.95403295750216832</v>
      </c>
      <c r="N2043" s="5" t="s">
        <v>347</v>
      </c>
      <c r="O2043" s="5" t="s">
        <v>347</v>
      </c>
      <c r="P2043" s="5">
        <v>0</v>
      </c>
      <c r="Q2043" s="5">
        <v>0</v>
      </c>
      <c r="R2043" s="5" t="str">
        <f t="shared" si="329"/>
        <v>414.2-2024-06-30</v>
      </c>
    </row>
    <row r="2044" spans="1:18" x14ac:dyDescent="0.3">
      <c r="A2044" s="26" t="s">
        <v>636</v>
      </c>
      <c r="B2044" s="23" t="s">
        <v>562</v>
      </c>
      <c r="C2044" s="5" t="s">
        <v>345</v>
      </c>
      <c r="D2044" s="5" t="s">
        <v>11</v>
      </c>
      <c r="E2044" s="5" t="s">
        <v>9</v>
      </c>
      <c r="F2044" s="6">
        <v>45107</v>
      </c>
      <c r="G2044" s="5">
        <f t="shared" si="326"/>
        <v>2023</v>
      </c>
      <c r="H2044" s="5" t="str">
        <f t="shared" si="327"/>
        <v>Junio</v>
      </c>
      <c r="I2044" s="6" t="str">
        <f t="shared" si="328"/>
        <v>2023-1</v>
      </c>
      <c r="J2044" s="5">
        <v>52</v>
      </c>
      <c r="K2044" s="5">
        <v>65</v>
      </c>
      <c r="L2044" s="24">
        <f>K2044/J2044</f>
        <v>1.25</v>
      </c>
      <c r="M2044" s="15">
        <f>IFERROR(IF((K2044/J2044)&gt;K2044/J2044,1.3,K2044/J2044),"")</f>
        <v>1.25</v>
      </c>
      <c r="N2044" s="5" t="s">
        <v>347</v>
      </c>
      <c r="O2044" s="5" t="s">
        <v>347</v>
      </c>
      <c r="P2044" s="16">
        <v>0</v>
      </c>
      <c r="Q2044" s="16">
        <v>0</v>
      </c>
      <c r="R2044" s="5" t="str">
        <f t="shared" si="329"/>
        <v>414.3-2023-06-30</v>
      </c>
    </row>
    <row r="2045" spans="1:18" x14ac:dyDescent="0.3">
      <c r="A2045" s="26" t="s">
        <v>636</v>
      </c>
      <c r="B2045" s="23" t="s">
        <v>562</v>
      </c>
      <c r="C2045" s="5" t="s">
        <v>345</v>
      </c>
      <c r="D2045" s="5" t="s">
        <v>11</v>
      </c>
      <c r="E2045" s="5" t="s">
        <v>9</v>
      </c>
      <c r="F2045" s="6">
        <v>45291</v>
      </c>
      <c r="G2045" s="5">
        <f t="shared" si="326"/>
        <v>2023</v>
      </c>
      <c r="H2045" s="5" t="str">
        <f t="shared" si="327"/>
        <v>Diciembre</v>
      </c>
      <c r="I2045" s="6" t="str">
        <f t="shared" si="328"/>
        <v>2023-2</v>
      </c>
      <c r="J2045" s="5">
        <v>100</v>
      </c>
      <c r="K2045" s="10">
        <v>98.83</v>
      </c>
      <c r="L2045" s="15">
        <f>IFERROR(IF((K2045/J2045)&gt;1.3,1.3,K2045/J2045),"")</f>
        <v>0.98829999999999996</v>
      </c>
      <c r="M2045" s="15">
        <f>IFERROR(IF((K2045/J2045)&gt;K2045/J2045,1.3,K2045/J2045),"")</f>
        <v>0.98829999999999996</v>
      </c>
      <c r="N2045" s="5" t="s">
        <v>347</v>
      </c>
      <c r="O2045" s="5" t="s">
        <v>347</v>
      </c>
      <c r="P2045" s="16">
        <v>0</v>
      </c>
      <c r="Q2045" s="16">
        <v>0</v>
      </c>
      <c r="R2045" s="5" t="str">
        <f t="shared" si="329"/>
        <v>414.3-2023-12-31</v>
      </c>
    </row>
    <row r="2046" spans="1:18" x14ac:dyDescent="0.3">
      <c r="A2046" s="26" t="s">
        <v>636</v>
      </c>
      <c r="B2046" s="23" t="s">
        <v>562</v>
      </c>
      <c r="C2046" s="5" t="s">
        <v>345</v>
      </c>
      <c r="D2046" s="5" t="s">
        <v>11</v>
      </c>
      <c r="E2046" s="5" t="s">
        <v>9</v>
      </c>
      <c r="F2046" s="6">
        <v>45473</v>
      </c>
      <c r="G2046" s="5">
        <f t="shared" si="326"/>
        <v>2024</v>
      </c>
      <c r="H2046" s="5" t="str">
        <f t="shared" si="327"/>
        <v>Junio</v>
      </c>
      <c r="I2046" s="6" t="str">
        <f t="shared" si="328"/>
        <v>2024-1</v>
      </c>
      <c r="J2046" s="5">
        <v>51.84</v>
      </c>
      <c r="K2046" s="5">
        <v>48.34</v>
      </c>
      <c r="L2046" s="15">
        <v>0.93248456790123457</v>
      </c>
      <c r="M2046" s="15">
        <v>0.93248456790123457</v>
      </c>
      <c r="N2046" s="5" t="s">
        <v>347</v>
      </c>
      <c r="O2046" s="5" t="s">
        <v>347</v>
      </c>
      <c r="P2046" s="5">
        <v>0</v>
      </c>
      <c r="Q2046" s="5">
        <v>0</v>
      </c>
      <c r="R2046" s="5" t="str">
        <f t="shared" si="329"/>
        <v>414.3-2024-06-30</v>
      </c>
    </row>
    <row r="2047" spans="1:18" x14ac:dyDescent="0.3">
      <c r="A2047" s="26" t="s">
        <v>637</v>
      </c>
      <c r="B2047" s="23" t="s">
        <v>563</v>
      </c>
      <c r="C2047" s="5" t="s">
        <v>345</v>
      </c>
      <c r="D2047" s="5" t="s">
        <v>11</v>
      </c>
      <c r="E2047" s="5" t="s">
        <v>9</v>
      </c>
      <c r="F2047" s="6">
        <v>45107</v>
      </c>
      <c r="G2047" s="5">
        <f t="shared" si="326"/>
        <v>2023</v>
      </c>
      <c r="H2047" s="5" t="str">
        <f t="shared" si="327"/>
        <v>Junio</v>
      </c>
      <c r="I2047" s="6" t="str">
        <f t="shared" si="328"/>
        <v>2023-1</v>
      </c>
      <c r="J2047" s="5">
        <v>70</v>
      </c>
      <c r="K2047" s="5">
        <v>84</v>
      </c>
      <c r="L2047" s="24">
        <f>K2047/J2047</f>
        <v>1.2</v>
      </c>
      <c r="M2047" s="15">
        <f>IFERROR(IF((K2047/J2047)&gt;K2047/J2047,1.3,K2047/J2047),"")</f>
        <v>1.2</v>
      </c>
      <c r="N2047" s="5" t="s">
        <v>347</v>
      </c>
      <c r="O2047" s="5" t="s">
        <v>347</v>
      </c>
      <c r="P2047" s="16">
        <v>0</v>
      </c>
      <c r="Q2047" s="16">
        <v>0</v>
      </c>
      <c r="R2047" s="5" t="str">
        <f t="shared" si="329"/>
        <v>414.4-2023-06-30</v>
      </c>
    </row>
    <row r="2048" spans="1:18" x14ac:dyDescent="0.3">
      <c r="A2048" s="26" t="s">
        <v>637</v>
      </c>
      <c r="B2048" s="23" t="s">
        <v>563</v>
      </c>
      <c r="C2048" s="5" t="s">
        <v>345</v>
      </c>
      <c r="D2048" s="5" t="s">
        <v>11</v>
      </c>
      <c r="E2048" s="5" t="s">
        <v>9</v>
      </c>
      <c r="F2048" s="6">
        <v>45291</v>
      </c>
      <c r="G2048" s="5">
        <f t="shared" si="326"/>
        <v>2023</v>
      </c>
      <c r="H2048" s="5" t="str">
        <f t="shared" si="327"/>
        <v>Diciembre</v>
      </c>
      <c r="I2048" s="6" t="str">
        <f t="shared" si="328"/>
        <v>2023-2</v>
      </c>
      <c r="J2048" s="5">
        <v>100</v>
      </c>
      <c r="K2048" s="10">
        <v>98.75</v>
      </c>
      <c r="L2048" s="15">
        <f>IFERROR(IF((K2048/J2048)&gt;1.3,1.3,K2048/J2048),"")</f>
        <v>0.98750000000000004</v>
      </c>
      <c r="M2048" s="15">
        <f>IFERROR(IF((K2048/J2048)&gt;K2048/J2048,1.3,K2048/J2048),"")</f>
        <v>0.98750000000000004</v>
      </c>
      <c r="N2048" s="5" t="s">
        <v>347</v>
      </c>
      <c r="O2048" s="5" t="s">
        <v>347</v>
      </c>
      <c r="P2048" s="16">
        <v>0</v>
      </c>
      <c r="Q2048" s="16">
        <v>0</v>
      </c>
      <c r="R2048" s="5" t="str">
        <f t="shared" si="329"/>
        <v>414.4-2023-12-31</v>
      </c>
    </row>
    <row r="2049" spans="1:18" x14ac:dyDescent="0.3">
      <c r="A2049" s="26" t="s">
        <v>637</v>
      </c>
      <c r="B2049" s="23" t="s">
        <v>563</v>
      </c>
      <c r="C2049" s="5" t="s">
        <v>345</v>
      </c>
      <c r="D2049" s="5" t="s">
        <v>11</v>
      </c>
      <c r="E2049" s="5" t="s">
        <v>9</v>
      </c>
      <c r="F2049" s="6">
        <v>45473</v>
      </c>
      <c r="G2049" s="5">
        <f t="shared" si="326"/>
        <v>2024</v>
      </c>
      <c r="H2049" s="5" t="str">
        <f t="shared" si="327"/>
        <v>Junio</v>
      </c>
      <c r="I2049" s="6" t="str">
        <f t="shared" si="328"/>
        <v>2024-1</v>
      </c>
      <c r="J2049" s="5">
        <v>81.790000000000006</v>
      </c>
      <c r="K2049" s="5">
        <v>80</v>
      </c>
      <c r="L2049" s="15">
        <v>0.97811468394669265</v>
      </c>
      <c r="M2049" s="15">
        <v>0.97811468394669265</v>
      </c>
      <c r="N2049" s="5" t="s">
        <v>347</v>
      </c>
      <c r="O2049" s="5" t="s">
        <v>347</v>
      </c>
      <c r="P2049" s="5">
        <v>0</v>
      </c>
      <c r="Q2049" s="5">
        <v>0</v>
      </c>
      <c r="R2049" s="5" t="str">
        <f t="shared" si="329"/>
        <v>414.4-2024-06-30</v>
      </c>
    </row>
    <row r="2050" spans="1:18" x14ac:dyDescent="0.3">
      <c r="A2050" s="26" t="s">
        <v>638</v>
      </c>
      <c r="B2050" s="23" t="s">
        <v>564</v>
      </c>
      <c r="C2050" s="5"/>
      <c r="D2050" s="5" t="s">
        <v>11</v>
      </c>
      <c r="E2050" s="5" t="s">
        <v>9</v>
      </c>
      <c r="F2050" s="6">
        <v>45107</v>
      </c>
      <c r="G2050" s="5">
        <f t="shared" ref="G2050:G2113" si="332">YEAR(F2050)</f>
        <v>2023</v>
      </c>
      <c r="H2050" s="5" t="str">
        <f t="shared" ref="H2050:H2113" si="333">PROPER(TEXT(F2050,"mmmm"))</f>
        <v>Junio</v>
      </c>
      <c r="I2050" s="6" t="str">
        <f t="shared" si="328"/>
        <v>2023-1</v>
      </c>
      <c r="J2050" s="5">
        <v>41</v>
      </c>
      <c r="K2050" s="5">
        <v>54</v>
      </c>
      <c r="L2050" s="24">
        <f>IF(IFERROR(K2050/J2050,"")&gt;130%,130%,K2050/J2050)</f>
        <v>1.3</v>
      </c>
      <c r="M2050" s="15">
        <f>IFERROR(IF((K2050/J2050)&gt;K2050/J2050,1.3,K2050/J2050),"")</f>
        <v>1.3170731707317074</v>
      </c>
      <c r="N2050" s="5" t="s">
        <v>347</v>
      </c>
      <c r="O2050" s="5" t="s">
        <v>347</v>
      </c>
      <c r="P2050" s="16">
        <v>0</v>
      </c>
      <c r="Q2050" s="16">
        <v>0</v>
      </c>
      <c r="R2050" s="5" t="str">
        <f t="shared" si="329"/>
        <v>414.5-2023-06-30</v>
      </c>
    </row>
    <row r="2051" spans="1:18" x14ac:dyDescent="0.3">
      <c r="A2051" s="26" t="s">
        <v>638</v>
      </c>
      <c r="B2051" s="23" t="s">
        <v>564</v>
      </c>
      <c r="C2051" s="5"/>
      <c r="D2051" s="5" t="s">
        <v>11</v>
      </c>
      <c r="E2051" s="5" t="s">
        <v>9</v>
      </c>
      <c r="F2051" s="6">
        <v>45291</v>
      </c>
      <c r="G2051" s="5">
        <f t="shared" si="332"/>
        <v>2023</v>
      </c>
      <c r="H2051" s="5" t="str">
        <f t="shared" si="333"/>
        <v>Diciembre</v>
      </c>
      <c r="I2051" s="6" t="str">
        <f t="shared" si="328"/>
        <v>2023-2</v>
      </c>
      <c r="J2051" s="5">
        <v>100</v>
      </c>
      <c r="K2051" s="10">
        <v>100</v>
      </c>
      <c r="L2051" s="15">
        <f>IFERROR(IF((K2051/J2051)&gt;1.3,1.3,K2051/J2051),"")</f>
        <v>1</v>
      </c>
      <c r="M2051" s="15">
        <f>IFERROR(IF((K2051/J2051)&gt;K2051/J2051,1.3,K2051/J2051),"")</f>
        <v>1</v>
      </c>
      <c r="N2051" s="5" t="s">
        <v>347</v>
      </c>
      <c r="O2051" s="5" t="s">
        <v>347</v>
      </c>
      <c r="P2051" s="16">
        <v>0</v>
      </c>
      <c r="Q2051" s="16">
        <v>0</v>
      </c>
      <c r="R2051" s="5" t="str">
        <f t="shared" si="329"/>
        <v>414.5-2023-12-31</v>
      </c>
    </row>
    <row r="2052" spans="1:18" x14ac:dyDescent="0.3">
      <c r="A2052" s="26" t="s">
        <v>638</v>
      </c>
      <c r="B2052" s="23" t="s">
        <v>564</v>
      </c>
      <c r="C2052" s="5"/>
      <c r="D2052" s="5" t="s">
        <v>11</v>
      </c>
      <c r="E2052" s="5" t="s">
        <v>9</v>
      </c>
      <c r="F2052" s="6">
        <v>45473</v>
      </c>
      <c r="G2052" s="5">
        <f t="shared" si="332"/>
        <v>2024</v>
      </c>
      <c r="H2052" s="5" t="str">
        <f t="shared" si="333"/>
        <v>Junio</v>
      </c>
      <c r="I2052" s="6" t="str">
        <f t="shared" ref="I2052:I2114" si="334">IF(OR(H2052="Enero",H2052="Febrero",H2052="Marzo",H2052="Abril",H2052="Mayo",H2052="Junio"),G2052&amp;"-1",IF(OR(H2052="Julio",H2052="Agosto",H2052="Septiembre",H2052="Octubre",H2052="Noviembre",H2052="Diciembre"),G2052&amp;"-2"))</f>
        <v>2024-1</v>
      </c>
      <c r="J2052" s="5">
        <v>65.83</v>
      </c>
      <c r="K2052" s="5">
        <v>65.63</v>
      </c>
      <c r="L2052" s="15">
        <v>0.99696187148716386</v>
      </c>
      <c r="M2052" s="15">
        <v>0.99696187148716386</v>
      </c>
      <c r="N2052" s="5" t="s">
        <v>347</v>
      </c>
      <c r="O2052" s="5" t="s">
        <v>347</v>
      </c>
      <c r="P2052" s="5">
        <v>0</v>
      </c>
      <c r="Q2052" s="5">
        <v>0</v>
      </c>
      <c r="R2052" s="5" t="str">
        <f t="shared" ref="R2052:R2114" si="335">A2052&amp;"-"&amp;YEAR(F2052)&amp;"-"&amp;IF(LEN(MONTH(F2052))=1,"0"&amp;MONTH(F2052),MONTH(F2052))&amp;"-"&amp;DAY(F2052)</f>
        <v>414.5-2024-06-30</v>
      </c>
    </row>
    <row r="2053" spans="1:18" x14ac:dyDescent="0.3">
      <c r="A2053" s="26" t="s">
        <v>639</v>
      </c>
      <c r="B2053" s="23" t="s">
        <v>565</v>
      </c>
      <c r="C2053" s="5" t="s">
        <v>13</v>
      </c>
      <c r="D2053" s="5" t="s">
        <v>11</v>
      </c>
      <c r="E2053" s="5" t="s">
        <v>9</v>
      </c>
      <c r="F2053" s="6">
        <v>45107</v>
      </c>
      <c r="G2053" s="5">
        <f t="shared" si="332"/>
        <v>2023</v>
      </c>
      <c r="H2053" s="5" t="str">
        <f t="shared" si="333"/>
        <v>Junio</v>
      </c>
      <c r="I2053" s="6" t="str">
        <f t="shared" si="334"/>
        <v>2023-1</v>
      </c>
      <c r="J2053" s="44">
        <v>56</v>
      </c>
      <c r="K2053" s="44">
        <v>70</v>
      </c>
      <c r="L2053" s="24">
        <f>K2053/J2053</f>
        <v>1.25</v>
      </c>
      <c r="M2053" s="15">
        <f>IFERROR(IF((K2053/J2053)&gt;K2053/J2053,1.3,K2053/J2053),"")</f>
        <v>1.25</v>
      </c>
      <c r="N2053" s="5" t="s">
        <v>347</v>
      </c>
      <c r="O2053" s="5" t="s">
        <v>347</v>
      </c>
      <c r="P2053" s="16">
        <v>0</v>
      </c>
      <c r="Q2053" s="16">
        <v>0</v>
      </c>
      <c r="R2053" s="5" t="str">
        <f t="shared" si="335"/>
        <v>414.6-2023-06-30</v>
      </c>
    </row>
    <row r="2054" spans="1:18" x14ac:dyDescent="0.3">
      <c r="A2054" s="26" t="s">
        <v>639</v>
      </c>
      <c r="B2054" s="23" t="s">
        <v>565</v>
      </c>
      <c r="C2054" s="5" t="s">
        <v>13</v>
      </c>
      <c r="D2054" s="5" t="s">
        <v>11</v>
      </c>
      <c r="E2054" s="5" t="s">
        <v>9</v>
      </c>
      <c r="F2054" s="6">
        <v>45291</v>
      </c>
      <c r="G2054" s="5">
        <f t="shared" si="332"/>
        <v>2023</v>
      </c>
      <c r="H2054" s="5" t="str">
        <f t="shared" si="333"/>
        <v>Diciembre</v>
      </c>
      <c r="I2054" s="6" t="str">
        <f t="shared" si="334"/>
        <v>2023-2</v>
      </c>
      <c r="J2054" s="5">
        <v>100</v>
      </c>
      <c r="K2054" s="10">
        <v>94.51</v>
      </c>
      <c r="L2054" s="15">
        <f>IFERROR(IF((K2054/J2054)&gt;1.3,1.3,K2054/J2054),"")</f>
        <v>0.94510000000000005</v>
      </c>
      <c r="M2054" s="15">
        <f>IFERROR(IF((K2054/J2054)&gt;K2054/J2054,1.3,K2054/J2054),"")</f>
        <v>0.94510000000000005</v>
      </c>
      <c r="N2054" s="5" t="s">
        <v>347</v>
      </c>
      <c r="O2054" s="5" t="s">
        <v>347</v>
      </c>
      <c r="P2054" s="16">
        <v>0</v>
      </c>
      <c r="Q2054" s="16">
        <v>0</v>
      </c>
      <c r="R2054" s="5" t="str">
        <f t="shared" si="335"/>
        <v>414.6-2023-12-31</v>
      </c>
    </row>
    <row r="2055" spans="1:18" x14ac:dyDescent="0.3">
      <c r="A2055" s="26" t="s">
        <v>639</v>
      </c>
      <c r="B2055" s="23" t="s">
        <v>565</v>
      </c>
      <c r="C2055" s="5" t="s">
        <v>13</v>
      </c>
      <c r="D2055" s="5" t="s">
        <v>11</v>
      </c>
      <c r="E2055" s="5" t="s">
        <v>9</v>
      </c>
      <c r="F2055" s="6">
        <v>45473</v>
      </c>
      <c r="G2055" s="5">
        <f t="shared" si="332"/>
        <v>2024</v>
      </c>
      <c r="H2055" s="5" t="str">
        <f t="shared" si="333"/>
        <v>Junio</v>
      </c>
      <c r="I2055" s="6" t="str">
        <f t="shared" si="334"/>
        <v>2024-1</v>
      </c>
      <c r="J2055" s="5">
        <v>51.58</v>
      </c>
      <c r="K2055" s="5">
        <v>62.5</v>
      </c>
      <c r="L2055" s="15">
        <v>1</v>
      </c>
      <c r="M2055" s="15">
        <v>1</v>
      </c>
      <c r="N2055" s="5" t="s">
        <v>347</v>
      </c>
      <c r="O2055" s="5" t="s">
        <v>347</v>
      </c>
      <c r="P2055" s="5">
        <v>0</v>
      </c>
      <c r="Q2055" s="5">
        <v>0</v>
      </c>
      <c r="R2055" s="5" t="str">
        <f t="shared" si="335"/>
        <v>414.6-2024-06-30</v>
      </c>
    </row>
    <row r="2056" spans="1:18" x14ac:dyDescent="0.3">
      <c r="A2056" s="26" t="s">
        <v>640</v>
      </c>
      <c r="B2056" s="23" t="s">
        <v>566</v>
      </c>
      <c r="C2056" s="5" t="s">
        <v>410</v>
      </c>
      <c r="D2056" s="5" t="s">
        <v>11</v>
      </c>
      <c r="E2056" s="5" t="s">
        <v>9</v>
      </c>
      <c r="F2056" s="6">
        <v>45107</v>
      </c>
      <c r="G2056" s="5">
        <f t="shared" si="332"/>
        <v>2023</v>
      </c>
      <c r="H2056" s="5" t="str">
        <f t="shared" si="333"/>
        <v>Junio</v>
      </c>
      <c r="I2056" s="6" t="str">
        <f t="shared" si="334"/>
        <v>2023-1</v>
      </c>
      <c r="J2056" s="5">
        <v>52</v>
      </c>
      <c r="K2056" s="5">
        <v>56</v>
      </c>
      <c r="L2056" s="24">
        <f>K2056/J2056</f>
        <v>1.0769230769230769</v>
      </c>
      <c r="M2056" s="15">
        <f>IFERROR(IF((K2056/J2056)&gt;K2056/J2056,1.3,K2056/J2056),"")</f>
        <v>1.0769230769230769</v>
      </c>
      <c r="N2056" s="5" t="s">
        <v>347</v>
      </c>
      <c r="O2056" s="5" t="s">
        <v>347</v>
      </c>
      <c r="P2056" s="16">
        <v>0</v>
      </c>
      <c r="Q2056" s="16">
        <v>0</v>
      </c>
      <c r="R2056" s="5" t="str">
        <f t="shared" si="335"/>
        <v>414.7-2023-06-30</v>
      </c>
    </row>
    <row r="2057" spans="1:18" x14ac:dyDescent="0.3">
      <c r="A2057" s="26" t="s">
        <v>640</v>
      </c>
      <c r="B2057" s="23" t="s">
        <v>566</v>
      </c>
      <c r="C2057" s="5" t="s">
        <v>410</v>
      </c>
      <c r="D2057" s="5" t="s">
        <v>11</v>
      </c>
      <c r="E2057" s="5" t="s">
        <v>9</v>
      </c>
      <c r="F2057" s="6">
        <v>45291</v>
      </c>
      <c r="G2057" s="5">
        <f t="shared" si="332"/>
        <v>2023</v>
      </c>
      <c r="H2057" s="5" t="str">
        <f t="shared" si="333"/>
        <v>Diciembre</v>
      </c>
      <c r="I2057" s="6" t="str">
        <f t="shared" si="334"/>
        <v>2023-2</v>
      </c>
      <c r="J2057" s="5">
        <v>100</v>
      </c>
      <c r="K2057" s="10">
        <v>86.53</v>
      </c>
      <c r="L2057" s="15">
        <f>IFERROR(IF((K2057/J2057)&gt;1.3,1.3,K2057/J2057),"")</f>
        <v>0.86529999999999996</v>
      </c>
      <c r="M2057" s="15">
        <f>IFERROR(IF((K2057/J2057)&gt;K2057/J2057,1.3,K2057/J2057),"")</f>
        <v>0.86529999999999996</v>
      </c>
      <c r="N2057" s="5" t="s">
        <v>347</v>
      </c>
      <c r="O2057" s="5" t="s">
        <v>347</v>
      </c>
      <c r="P2057" s="16">
        <v>0</v>
      </c>
      <c r="Q2057" s="16">
        <v>0</v>
      </c>
      <c r="R2057" s="5" t="str">
        <f t="shared" si="335"/>
        <v>414.7-2023-12-31</v>
      </c>
    </row>
    <row r="2058" spans="1:18" x14ac:dyDescent="0.3">
      <c r="A2058" s="26" t="s">
        <v>640</v>
      </c>
      <c r="B2058" s="23" t="s">
        <v>566</v>
      </c>
      <c r="C2058" s="5" t="s">
        <v>410</v>
      </c>
      <c r="D2058" s="5" t="s">
        <v>11</v>
      </c>
      <c r="E2058" s="5" t="s">
        <v>9</v>
      </c>
      <c r="F2058" s="6">
        <v>45473</v>
      </c>
      <c r="G2058" s="5">
        <f t="shared" si="332"/>
        <v>2024</v>
      </c>
      <c r="H2058" s="5" t="str">
        <f t="shared" si="333"/>
        <v>Junio</v>
      </c>
      <c r="I2058" s="6" t="str">
        <f t="shared" si="334"/>
        <v>2024-1</v>
      </c>
      <c r="J2058" s="5">
        <v>65.95</v>
      </c>
      <c r="K2058" s="5">
        <v>62.83</v>
      </c>
      <c r="L2058" s="15">
        <v>0.95269143290371483</v>
      </c>
      <c r="M2058" s="15">
        <v>0.95269143290371483</v>
      </c>
      <c r="N2058" s="5" t="s">
        <v>347</v>
      </c>
      <c r="O2058" s="5" t="s">
        <v>347</v>
      </c>
      <c r="P2058" s="5">
        <v>0</v>
      </c>
      <c r="Q2058" s="5">
        <v>0</v>
      </c>
      <c r="R2058" s="5" t="str">
        <f t="shared" si="335"/>
        <v>414.7-2024-06-30</v>
      </c>
    </row>
    <row r="2059" spans="1:18" x14ac:dyDescent="0.3">
      <c r="A2059" s="26" t="s">
        <v>641</v>
      </c>
      <c r="B2059" s="23" t="s">
        <v>567</v>
      </c>
      <c r="C2059" s="5" t="s">
        <v>145</v>
      </c>
      <c r="D2059" s="5" t="s">
        <v>11</v>
      </c>
      <c r="E2059" s="5" t="s">
        <v>9</v>
      </c>
      <c r="F2059" s="6">
        <v>45107</v>
      </c>
      <c r="G2059" s="5">
        <f t="shared" si="332"/>
        <v>2023</v>
      </c>
      <c r="H2059" s="5" t="str">
        <f t="shared" si="333"/>
        <v>Junio</v>
      </c>
      <c r="I2059" s="6" t="str">
        <f t="shared" si="334"/>
        <v>2023-1</v>
      </c>
      <c r="J2059" s="5">
        <v>66</v>
      </c>
      <c r="K2059" s="5">
        <v>66</v>
      </c>
      <c r="L2059" s="24">
        <f>K2059/J2059</f>
        <v>1</v>
      </c>
      <c r="M2059" s="15">
        <f>IFERROR(IF((K2059/J2059)&gt;K2059/J2059,1.3,K2059/J2059),"")</f>
        <v>1</v>
      </c>
      <c r="N2059" s="5" t="s">
        <v>347</v>
      </c>
      <c r="O2059" s="5" t="s">
        <v>347</v>
      </c>
      <c r="P2059" s="16">
        <v>0</v>
      </c>
      <c r="Q2059" s="16">
        <v>0</v>
      </c>
      <c r="R2059" s="5" t="str">
        <f t="shared" si="335"/>
        <v>414.8-2023-06-30</v>
      </c>
    </row>
    <row r="2060" spans="1:18" x14ac:dyDescent="0.3">
      <c r="A2060" s="26" t="s">
        <v>641</v>
      </c>
      <c r="B2060" s="23" t="s">
        <v>567</v>
      </c>
      <c r="C2060" s="5" t="s">
        <v>145</v>
      </c>
      <c r="D2060" s="5" t="s">
        <v>11</v>
      </c>
      <c r="E2060" s="5" t="s">
        <v>9</v>
      </c>
      <c r="F2060" s="6">
        <v>45291</v>
      </c>
      <c r="G2060" s="5">
        <f t="shared" si="332"/>
        <v>2023</v>
      </c>
      <c r="H2060" s="5" t="str">
        <f t="shared" si="333"/>
        <v>Diciembre</v>
      </c>
      <c r="I2060" s="6" t="str">
        <f t="shared" si="334"/>
        <v>2023-2</v>
      </c>
      <c r="J2060" s="5">
        <v>100</v>
      </c>
      <c r="K2060" s="10">
        <v>94.6</v>
      </c>
      <c r="L2060" s="15">
        <f>IFERROR(IF((K2060/J2060)&gt;1.3,1.3,K2060/J2060),"")</f>
        <v>0.94599999999999995</v>
      </c>
      <c r="M2060" s="15">
        <f>IFERROR(IF((K2060/J2060)&gt;K2060/J2060,1.3,K2060/J2060),"")</f>
        <v>0.94599999999999995</v>
      </c>
      <c r="N2060" s="5" t="s">
        <v>347</v>
      </c>
      <c r="O2060" s="5" t="s">
        <v>347</v>
      </c>
      <c r="P2060" s="16">
        <v>0</v>
      </c>
      <c r="Q2060" s="16">
        <v>0</v>
      </c>
      <c r="R2060" s="5" t="str">
        <f t="shared" si="335"/>
        <v>414.8-2023-12-31</v>
      </c>
    </row>
    <row r="2061" spans="1:18" x14ac:dyDescent="0.3">
      <c r="A2061" s="26" t="s">
        <v>641</v>
      </c>
      <c r="B2061" s="23" t="s">
        <v>567</v>
      </c>
      <c r="C2061" s="3" t="s">
        <v>145</v>
      </c>
      <c r="D2061" s="5" t="s">
        <v>11</v>
      </c>
      <c r="E2061" s="5" t="s">
        <v>9</v>
      </c>
      <c r="F2061" s="6">
        <v>45473</v>
      </c>
      <c r="G2061" s="5">
        <f t="shared" si="332"/>
        <v>2024</v>
      </c>
      <c r="H2061" s="5" t="str">
        <f t="shared" si="333"/>
        <v>Junio</v>
      </c>
      <c r="I2061" s="6" t="str">
        <f t="shared" si="334"/>
        <v>2024-1</v>
      </c>
      <c r="J2061" s="5">
        <v>79.25</v>
      </c>
      <c r="K2061" s="5">
        <v>85.57</v>
      </c>
      <c r="L2061" s="15">
        <v>1</v>
      </c>
      <c r="M2061" s="15">
        <v>1</v>
      </c>
      <c r="N2061" s="5" t="s">
        <v>347</v>
      </c>
      <c r="O2061" s="5" t="s">
        <v>347</v>
      </c>
      <c r="P2061" s="5">
        <v>0</v>
      </c>
      <c r="Q2061" s="5">
        <v>0</v>
      </c>
      <c r="R2061" s="5" t="str">
        <f t="shared" si="335"/>
        <v>414.8-2024-06-30</v>
      </c>
    </row>
    <row r="2062" spans="1:18" x14ac:dyDescent="0.3">
      <c r="A2062" s="26" t="s">
        <v>642</v>
      </c>
      <c r="B2062" s="23" t="s">
        <v>608</v>
      </c>
      <c r="C2062" s="3" t="s">
        <v>145</v>
      </c>
      <c r="D2062" s="5" t="s">
        <v>11</v>
      </c>
      <c r="E2062" s="5" t="s">
        <v>9</v>
      </c>
      <c r="F2062" s="6">
        <v>45473</v>
      </c>
      <c r="G2062" s="5">
        <f t="shared" si="332"/>
        <v>2024</v>
      </c>
      <c r="H2062" s="5" t="str">
        <f t="shared" si="333"/>
        <v>Junio</v>
      </c>
      <c r="I2062" s="6" t="str">
        <f t="shared" si="334"/>
        <v>2024-1</v>
      </c>
      <c r="J2062" s="5">
        <v>52.19</v>
      </c>
      <c r="K2062" s="5">
        <v>45</v>
      </c>
      <c r="L2062" s="15">
        <v>0.8622341444721211</v>
      </c>
      <c r="M2062" s="15">
        <v>0.8622341444721211</v>
      </c>
      <c r="N2062" s="5" t="s">
        <v>347</v>
      </c>
      <c r="O2062" s="5" t="s">
        <v>347</v>
      </c>
      <c r="P2062" s="5">
        <v>0</v>
      </c>
      <c r="Q2062" s="5">
        <v>0</v>
      </c>
      <c r="R2062" s="5" t="str">
        <f t="shared" si="335"/>
        <v>414.9-2024-06-30</v>
      </c>
    </row>
    <row r="2063" spans="1:18" x14ac:dyDescent="0.3">
      <c r="A2063" s="26" t="s">
        <v>609</v>
      </c>
      <c r="B2063" s="23" t="s">
        <v>568</v>
      </c>
      <c r="C2063" s="5" t="s">
        <v>762</v>
      </c>
      <c r="D2063" s="5" t="s">
        <v>11</v>
      </c>
      <c r="E2063" s="5" t="s">
        <v>9</v>
      </c>
      <c r="F2063" s="6">
        <v>45107</v>
      </c>
      <c r="G2063" s="5">
        <f t="shared" si="332"/>
        <v>2023</v>
      </c>
      <c r="H2063" s="5" t="str">
        <f t="shared" si="333"/>
        <v>Junio</v>
      </c>
      <c r="I2063" s="6" t="str">
        <f t="shared" si="334"/>
        <v>2023-1</v>
      </c>
      <c r="J2063" s="5">
        <v>63</v>
      </c>
      <c r="K2063" s="5">
        <v>52</v>
      </c>
      <c r="L2063" s="24">
        <f>K2063/J2063</f>
        <v>0.82539682539682535</v>
      </c>
      <c r="M2063" s="15">
        <f>IFERROR(IF((K2063/J2063)&gt;K2063/J2063,1.3,K2063/J2063),"")</f>
        <v>0.82539682539682535</v>
      </c>
      <c r="N2063" s="5" t="s">
        <v>347</v>
      </c>
      <c r="O2063" s="5" t="s">
        <v>347</v>
      </c>
      <c r="P2063" s="16">
        <v>0</v>
      </c>
      <c r="Q2063" s="16">
        <v>0</v>
      </c>
      <c r="R2063" s="5" t="str">
        <f t="shared" si="335"/>
        <v>415.1-2023-06-30</v>
      </c>
    </row>
    <row r="2064" spans="1:18" x14ac:dyDescent="0.3">
      <c r="A2064" s="26" t="s">
        <v>609</v>
      </c>
      <c r="B2064" s="23" t="s">
        <v>568</v>
      </c>
      <c r="C2064" s="5" t="s">
        <v>762</v>
      </c>
      <c r="D2064" s="5" t="s">
        <v>11</v>
      </c>
      <c r="E2064" s="5" t="s">
        <v>9</v>
      </c>
      <c r="F2064" s="6">
        <v>45291</v>
      </c>
      <c r="G2064" s="5">
        <f t="shared" si="332"/>
        <v>2023</v>
      </c>
      <c r="H2064" s="5" t="str">
        <f t="shared" si="333"/>
        <v>Diciembre</v>
      </c>
      <c r="I2064" s="6" t="str">
        <f t="shared" si="334"/>
        <v>2023-2</v>
      </c>
      <c r="J2064" s="5">
        <v>100</v>
      </c>
      <c r="K2064" s="10">
        <v>99.86</v>
      </c>
      <c r="L2064" s="15">
        <f>IFERROR(IF((K2064/J2064)&gt;1.3,1.3,K2064/J2064),"")</f>
        <v>0.99860000000000004</v>
      </c>
      <c r="M2064" s="15">
        <f>IFERROR(IF((K2064/J2064)&gt;K2064/J2064,1.3,K2064/J2064),"")</f>
        <v>0.99860000000000004</v>
      </c>
      <c r="N2064" s="5" t="s">
        <v>347</v>
      </c>
      <c r="O2064" s="5" t="s">
        <v>347</v>
      </c>
      <c r="P2064" s="16">
        <v>0</v>
      </c>
      <c r="Q2064" s="16">
        <v>1</v>
      </c>
      <c r="R2064" s="5" t="str">
        <f t="shared" si="335"/>
        <v>415.1-2023-12-31</v>
      </c>
    </row>
    <row r="2065" spans="1:18" x14ac:dyDescent="0.3">
      <c r="A2065" s="26" t="s">
        <v>609</v>
      </c>
      <c r="B2065" s="23" t="s">
        <v>568</v>
      </c>
      <c r="C2065" s="5" t="s">
        <v>762</v>
      </c>
      <c r="D2065" s="5" t="s">
        <v>11</v>
      </c>
      <c r="E2065" s="5" t="s">
        <v>9</v>
      </c>
      <c r="F2065" s="6">
        <v>45473</v>
      </c>
      <c r="G2065" s="5">
        <f t="shared" si="332"/>
        <v>2024</v>
      </c>
      <c r="H2065" s="5" t="str">
        <f t="shared" si="333"/>
        <v>Junio</v>
      </c>
      <c r="I2065" s="6" t="str">
        <f t="shared" si="334"/>
        <v>2024-1</v>
      </c>
      <c r="J2065" s="5">
        <v>78.680000000000007</v>
      </c>
      <c r="K2065" s="5">
        <v>65.67</v>
      </c>
      <c r="L2065" s="15">
        <v>0.83464667005592263</v>
      </c>
      <c r="M2065" s="15">
        <v>0.83464667005592263</v>
      </c>
      <c r="N2065" s="5" t="s">
        <v>347</v>
      </c>
      <c r="O2065" s="5" t="s">
        <v>347</v>
      </c>
      <c r="P2065" s="5">
        <v>0</v>
      </c>
      <c r="Q2065" s="5">
        <v>1</v>
      </c>
      <c r="R2065" s="5" t="str">
        <f t="shared" si="335"/>
        <v>415.1-2024-06-30</v>
      </c>
    </row>
    <row r="2066" spans="1:18" x14ac:dyDescent="0.3">
      <c r="A2066" s="26" t="s">
        <v>618</v>
      </c>
      <c r="B2066" s="23" t="s">
        <v>570</v>
      </c>
      <c r="C2066" s="5" t="s">
        <v>343</v>
      </c>
      <c r="D2066" s="5" t="s">
        <v>11</v>
      </c>
      <c r="E2066" s="5" t="s">
        <v>9</v>
      </c>
      <c r="F2066" s="6">
        <v>45107</v>
      </c>
      <c r="G2066" s="5">
        <f t="shared" si="332"/>
        <v>2023</v>
      </c>
      <c r="H2066" s="5" t="str">
        <f t="shared" si="333"/>
        <v>Junio</v>
      </c>
      <c r="I2066" s="6" t="str">
        <f t="shared" si="334"/>
        <v>2023-1</v>
      </c>
      <c r="J2066" s="5">
        <v>58</v>
      </c>
      <c r="K2066" s="5">
        <v>37</v>
      </c>
      <c r="L2066" s="24">
        <f>K2066/J2066</f>
        <v>0.63793103448275867</v>
      </c>
      <c r="M2066" s="15">
        <f>IFERROR(IF((K2066/J2066)&gt;K2066/J2066,1.3,K2066/J2066),"")</f>
        <v>0.63793103448275867</v>
      </c>
      <c r="N2066" s="5" t="s">
        <v>347</v>
      </c>
      <c r="O2066" s="5" t="s">
        <v>347</v>
      </c>
      <c r="P2066" s="16">
        <v>0</v>
      </c>
      <c r="Q2066" s="16">
        <v>0</v>
      </c>
      <c r="R2066" s="5" t="str">
        <f t="shared" si="335"/>
        <v>415.10-2023-06-30</v>
      </c>
    </row>
    <row r="2067" spans="1:18" x14ac:dyDescent="0.3">
      <c r="A2067" s="26" t="s">
        <v>618</v>
      </c>
      <c r="B2067" s="23" t="s">
        <v>570</v>
      </c>
      <c r="C2067" s="5" t="s">
        <v>343</v>
      </c>
      <c r="D2067" s="5" t="s">
        <v>11</v>
      </c>
      <c r="E2067" s="5" t="s">
        <v>9</v>
      </c>
      <c r="F2067" s="6">
        <v>45291</v>
      </c>
      <c r="G2067" s="5">
        <f t="shared" si="332"/>
        <v>2023</v>
      </c>
      <c r="H2067" s="5" t="str">
        <f t="shared" si="333"/>
        <v>Diciembre</v>
      </c>
      <c r="I2067" s="6" t="str">
        <f t="shared" si="334"/>
        <v>2023-2</v>
      </c>
      <c r="J2067" s="5">
        <v>100</v>
      </c>
      <c r="K2067" s="10">
        <v>84.33</v>
      </c>
      <c r="L2067" s="15">
        <f>IFERROR(IF((K2067/J2067)&gt;1.3,1.3,K2067/J2067),"")</f>
        <v>0.84329999999999994</v>
      </c>
      <c r="M2067" s="15">
        <f>IFERROR(IF((K2067/J2067)&gt;K2067/J2067,1.3,K2067/J2067),"")</f>
        <v>0.84329999999999994</v>
      </c>
      <c r="N2067" s="5" t="s">
        <v>347</v>
      </c>
      <c r="O2067" s="5" t="s">
        <v>347</v>
      </c>
      <c r="P2067" s="16">
        <v>0</v>
      </c>
      <c r="Q2067" s="16">
        <v>0</v>
      </c>
      <c r="R2067" s="5" t="str">
        <f t="shared" si="335"/>
        <v>415.10-2023-12-31</v>
      </c>
    </row>
    <row r="2068" spans="1:18" x14ac:dyDescent="0.3">
      <c r="A2068" s="26" t="s">
        <v>619</v>
      </c>
      <c r="B2068" s="23" t="s">
        <v>712</v>
      </c>
      <c r="C2068" s="5" t="s">
        <v>762</v>
      </c>
      <c r="D2068" s="5" t="s">
        <v>11</v>
      </c>
      <c r="E2068" s="5" t="s">
        <v>9</v>
      </c>
      <c r="F2068" s="6">
        <v>45473</v>
      </c>
      <c r="G2068" s="5">
        <f t="shared" si="332"/>
        <v>2024</v>
      </c>
      <c r="H2068" s="5" t="str">
        <f t="shared" si="333"/>
        <v>Junio</v>
      </c>
      <c r="I2068" s="6" t="str">
        <f t="shared" si="334"/>
        <v>2024-1</v>
      </c>
      <c r="J2068" s="5">
        <v>100</v>
      </c>
      <c r="K2068" s="5">
        <v>97</v>
      </c>
      <c r="L2068" s="15">
        <v>0.97</v>
      </c>
      <c r="M2068" s="15">
        <v>0.97</v>
      </c>
      <c r="N2068" s="5" t="s">
        <v>347</v>
      </c>
      <c r="O2068" s="5" t="s">
        <v>347</v>
      </c>
      <c r="P2068" s="5">
        <v>0</v>
      </c>
      <c r="Q2068" s="5">
        <v>0</v>
      </c>
      <c r="R2068" s="5" t="str">
        <f t="shared" si="335"/>
        <v>415.11-2024-06-30</v>
      </c>
    </row>
    <row r="2069" spans="1:18" x14ac:dyDescent="0.3">
      <c r="A2069" s="26" t="s">
        <v>620</v>
      </c>
      <c r="B2069" s="23" t="s">
        <v>713</v>
      </c>
      <c r="C2069" s="5" t="s">
        <v>124</v>
      </c>
      <c r="D2069" s="5" t="s">
        <v>11</v>
      </c>
      <c r="E2069" s="5" t="s">
        <v>9</v>
      </c>
      <c r="F2069" s="6">
        <v>45473</v>
      </c>
      <c r="G2069" s="5">
        <f t="shared" si="332"/>
        <v>2024</v>
      </c>
      <c r="H2069" s="5" t="str">
        <f t="shared" si="333"/>
        <v>Junio</v>
      </c>
      <c r="I2069" s="6" t="str">
        <f t="shared" si="334"/>
        <v>2024-1</v>
      </c>
      <c r="J2069" s="5">
        <v>87.8</v>
      </c>
      <c r="K2069" s="5">
        <v>77.5</v>
      </c>
      <c r="L2069" s="15">
        <v>0.88268792710706157</v>
      </c>
      <c r="M2069" s="15">
        <v>0.88268792710706157</v>
      </c>
      <c r="N2069" s="5" t="s">
        <v>347</v>
      </c>
      <c r="O2069" s="5" t="s">
        <v>347</v>
      </c>
      <c r="P2069" s="5">
        <v>0</v>
      </c>
      <c r="Q2069" s="5">
        <v>0</v>
      </c>
      <c r="R2069" s="5" t="str">
        <f t="shared" si="335"/>
        <v>415.12-2024-06-30</v>
      </c>
    </row>
    <row r="2070" spans="1:18" x14ac:dyDescent="0.3">
      <c r="A2070" s="26" t="s">
        <v>621</v>
      </c>
      <c r="B2070" s="23" t="s">
        <v>714</v>
      </c>
      <c r="C2070" s="5" t="s">
        <v>74</v>
      </c>
      <c r="D2070" s="5" t="s">
        <v>11</v>
      </c>
      <c r="E2070" s="5" t="s">
        <v>9</v>
      </c>
      <c r="F2070" s="6">
        <v>45473</v>
      </c>
      <c r="G2070" s="5">
        <f t="shared" si="332"/>
        <v>2024</v>
      </c>
      <c r="H2070" s="5" t="str">
        <f t="shared" si="333"/>
        <v>Junio</v>
      </c>
      <c r="I2070" s="6" t="str">
        <f t="shared" si="334"/>
        <v>2024-1</v>
      </c>
      <c r="J2070" s="5">
        <v>100</v>
      </c>
      <c r="K2070" s="5">
        <v>85</v>
      </c>
      <c r="L2070" s="15">
        <v>0.85</v>
      </c>
      <c r="M2070" s="15">
        <v>0.85</v>
      </c>
      <c r="N2070" s="5" t="s">
        <v>347</v>
      </c>
      <c r="O2070" s="5" t="s">
        <v>347</v>
      </c>
      <c r="P2070" s="5">
        <v>0</v>
      </c>
      <c r="Q2070" s="5">
        <v>0</v>
      </c>
      <c r="R2070" s="5" t="str">
        <f t="shared" si="335"/>
        <v>415.13-2024-06-30</v>
      </c>
    </row>
    <row r="2071" spans="1:18" x14ac:dyDescent="0.3">
      <c r="A2071" s="26" t="s">
        <v>719</v>
      </c>
      <c r="B2071" s="23" t="s">
        <v>711</v>
      </c>
      <c r="C2071" s="5" t="s">
        <v>343</v>
      </c>
      <c r="D2071" s="5" t="s">
        <v>11</v>
      </c>
      <c r="E2071" s="5" t="s">
        <v>9</v>
      </c>
      <c r="F2071" s="6">
        <v>45473</v>
      </c>
      <c r="G2071" s="5">
        <f t="shared" si="332"/>
        <v>2024</v>
      </c>
      <c r="H2071" s="5" t="str">
        <f t="shared" si="333"/>
        <v>Junio</v>
      </c>
      <c r="I2071" s="6" t="str">
        <f t="shared" si="334"/>
        <v>2024-1</v>
      </c>
      <c r="J2071" s="5">
        <v>27.99</v>
      </c>
      <c r="K2071" s="5">
        <v>26.66</v>
      </c>
      <c r="L2071" s="15">
        <v>0.95248302965344767</v>
      </c>
      <c r="M2071" s="15">
        <v>0.95248302965344767</v>
      </c>
      <c r="N2071" s="5" t="s">
        <v>347</v>
      </c>
      <c r="O2071" s="5" t="s">
        <v>347</v>
      </c>
      <c r="P2071" s="5">
        <v>0</v>
      </c>
      <c r="Q2071" s="5">
        <v>0</v>
      </c>
      <c r="R2071" s="5" t="str">
        <f t="shared" si="335"/>
        <v>415.14-2024-06-30</v>
      </c>
    </row>
    <row r="2072" spans="1:18" x14ac:dyDescent="0.3">
      <c r="A2072" s="26" t="s">
        <v>610</v>
      </c>
      <c r="B2072" s="23" t="s">
        <v>569</v>
      </c>
      <c r="C2072" s="5" t="s">
        <v>74</v>
      </c>
      <c r="D2072" s="5" t="s">
        <v>11</v>
      </c>
      <c r="E2072" s="5" t="s">
        <v>9</v>
      </c>
      <c r="F2072" s="6">
        <v>45107</v>
      </c>
      <c r="G2072" s="5">
        <f t="shared" si="332"/>
        <v>2023</v>
      </c>
      <c r="H2072" s="5" t="str">
        <f t="shared" si="333"/>
        <v>Junio</v>
      </c>
      <c r="I2072" s="6" t="str">
        <f t="shared" si="334"/>
        <v>2023-1</v>
      </c>
      <c r="J2072" s="5">
        <v>88</v>
      </c>
      <c r="K2072" s="5">
        <v>94</v>
      </c>
      <c r="L2072" s="24">
        <f>K2072/J2072</f>
        <v>1.0681818181818181</v>
      </c>
      <c r="M2072" s="15">
        <f>IFERROR(IF((K2072/J2072)&gt;K2072/J2072,1.3,K2072/J2072),"")</f>
        <v>1.0681818181818181</v>
      </c>
      <c r="N2072" s="5" t="s">
        <v>347</v>
      </c>
      <c r="O2072" s="5" t="s">
        <v>347</v>
      </c>
      <c r="P2072" s="16">
        <v>0</v>
      </c>
      <c r="Q2072" s="16">
        <v>0</v>
      </c>
      <c r="R2072" s="5" t="str">
        <f t="shared" si="335"/>
        <v>415.2-2023-06-30</v>
      </c>
    </row>
    <row r="2073" spans="1:18" x14ac:dyDescent="0.3">
      <c r="A2073" s="26" t="s">
        <v>610</v>
      </c>
      <c r="B2073" s="23" t="s">
        <v>569</v>
      </c>
      <c r="C2073" s="5" t="s">
        <v>74</v>
      </c>
      <c r="D2073" s="5" t="s">
        <v>11</v>
      </c>
      <c r="E2073" s="5" t="s">
        <v>9</v>
      </c>
      <c r="F2073" s="6">
        <v>45291</v>
      </c>
      <c r="G2073" s="5">
        <f t="shared" si="332"/>
        <v>2023</v>
      </c>
      <c r="H2073" s="5" t="str">
        <f t="shared" si="333"/>
        <v>Diciembre</v>
      </c>
      <c r="I2073" s="6" t="str">
        <f t="shared" si="334"/>
        <v>2023-2</v>
      </c>
      <c r="J2073" s="5">
        <v>100</v>
      </c>
      <c r="K2073" s="10">
        <v>100</v>
      </c>
      <c r="L2073" s="15">
        <f>IFERROR(IF((K2073/J2073)&gt;1.3,1.3,K2073/J2073),"")</f>
        <v>1</v>
      </c>
      <c r="M2073" s="15">
        <f>IFERROR(IF((K2073/J2073)&gt;K2073/J2073,1.3,K2073/J2073),"")</f>
        <v>1</v>
      </c>
      <c r="N2073" s="5" t="s">
        <v>347</v>
      </c>
      <c r="O2073" s="5" t="s">
        <v>347</v>
      </c>
      <c r="P2073" s="16">
        <v>0</v>
      </c>
      <c r="Q2073" s="16">
        <v>0</v>
      </c>
      <c r="R2073" s="5" t="str">
        <f t="shared" si="335"/>
        <v>415.2-2023-12-31</v>
      </c>
    </row>
    <row r="2074" spans="1:18" x14ac:dyDescent="0.3">
      <c r="A2074" s="26" t="s">
        <v>610</v>
      </c>
      <c r="B2074" s="23" t="s">
        <v>569</v>
      </c>
      <c r="C2074" s="5" t="s">
        <v>74</v>
      </c>
      <c r="D2074" s="5" t="s">
        <v>11</v>
      </c>
      <c r="E2074" s="5" t="s">
        <v>9</v>
      </c>
      <c r="F2074" s="6">
        <v>45473</v>
      </c>
      <c r="G2074" s="5">
        <f t="shared" si="332"/>
        <v>2024</v>
      </c>
      <c r="H2074" s="5" t="str">
        <f t="shared" si="333"/>
        <v>Junio</v>
      </c>
      <c r="I2074" s="6" t="str">
        <f t="shared" si="334"/>
        <v>2024-1</v>
      </c>
      <c r="J2074" s="5">
        <v>79.88</v>
      </c>
      <c r="K2074" s="5">
        <v>68.599999999999994</v>
      </c>
      <c r="L2074" s="15">
        <v>0.85878818227341014</v>
      </c>
      <c r="M2074" s="15">
        <v>0.85878818227341014</v>
      </c>
      <c r="N2074" s="5" t="s">
        <v>347</v>
      </c>
      <c r="O2074" s="5" t="s">
        <v>347</v>
      </c>
      <c r="P2074" s="5">
        <v>0</v>
      </c>
      <c r="Q2074" s="5">
        <v>0</v>
      </c>
      <c r="R2074" s="5" t="str">
        <f t="shared" si="335"/>
        <v>415.2-2024-06-30</v>
      </c>
    </row>
    <row r="2075" spans="1:18" x14ac:dyDescent="0.3">
      <c r="A2075" s="26" t="s">
        <v>611</v>
      </c>
      <c r="B2075" s="23" t="s">
        <v>571</v>
      </c>
      <c r="C2075" s="5" t="s">
        <v>237</v>
      </c>
      <c r="D2075" s="5" t="s">
        <v>11</v>
      </c>
      <c r="E2075" s="5" t="s">
        <v>9</v>
      </c>
      <c r="F2075" s="6">
        <v>45107</v>
      </c>
      <c r="G2075" s="5">
        <f t="shared" si="332"/>
        <v>2023</v>
      </c>
      <c r="H2075" s="5" t="str">
        <f t="shared" si="333"/>
        <v>Junio</v>
      </c>
      <c r="I2075" s="6" t="str">
        <f t="shared" si="334"/>
        <v>2023-1</v>
      </c>
      <c r="J2075" s="5">
        <v>58</v>
      </c>
      <c r="K2075" s="5">
        <v>50</v>
      </c>
      <c r="L2075" s="24">
        <f>K2075/J2075</f>
        <v>0.86206896551724133</v>
      </c>
      <c r="M2075" s="15">
        <f>IFERROR(IF((K2075/J2075)&gt;K2075/J2075,1.3,K2075/J2075),"")</f>
        <v>0.86206896551724133</v>
      </c>
      <c r="N2075" s="5" t="s">
        <v>347</v>
      </c>
      <c r="O2075" s="5" t="s">
        <v>347</v>
      </c>
      <c r="P2075" s="16">
        <v>0</v>
      </c>
      <c r="Q2075" s="16">
        <v>0</v>
      </c>
      <c r="R2075" s="5" t="str">
        <f t="shared" si="335"/>
        <v>415.3-2023-06-30</v>
      </c>
    </row>
    <row r="2076" spans="1:18" x14ac:dyDescent="0.3">
      <c r="A2076" s="26" t="s">
        <v>611</v>
      </c>
      <c r="B2076" s="23" t="s">
        <v>571</v>
      </c>
      <c r="C2076" s="5" t="s">
        <v>237</v>
      </c>
      <c r="D2076" s="5" t="s">
        <v>11</v>
      </c>
      <c r="E2076" s="5" t="s">
        <v>9</v>
      </c>
      <c r="F2076" s="6">
        <v>45291</v>
      </c>
      <c r="G2076" s="5">
        <f t="shared" si="332"/>
        <v>2023</v>
      </c>
      <c r="H2076" s="5" t="str">
        <f t="shared" si="333"/>
        <v>Diciembre</v>
      </c>
      <c r="I2076" s="6" t="str">
        <f t="shared" si="334"/>
        <v>2023-2</v>
      </c>
      <c r="J2076" s="5">
        <v>100</v>
      </c>
      <c r="K2076" s="10">
        <v>98</v>
      </c>
      <c r="L2076" s="15">
        <f>IFERROR(IF((K2076/J2076)&gt;1.3,1.3,K2076/J2076),"")</f>
        <v>0.98</v>
      </c>
      <c r="M2076" s="15">
        <f>IFERROR(IF((K2076/J2076)&gt;K2076/J2076,1.3,K2076/J2076),"")</f>
        <v>0.98</v>
      </c>
      <c r="N2076" s="5" t="s">
        <v>347</v>
      </c>
      <c r="O2076" s="5" t="s">
        <v>347</v>
      </c>
      <c r="P2076" s="16">
        <v>0</v>
      </c>
      <c r="Q2076" s="16">
        <v>0</v>
      </c>
      <c r="R2076" s="5" t="str">
        <f t="shared" si="335"/>
        <v>415.3-2023-12-31</v>
      </c>
    </row>
    <row r="2077" spans="1:18" x14ac:dyDescent="0.3">
      <c r="A2077" s="26" t="s">
        <v>611</v>
      </c>
      <c r="B2077" s="23" t="s">
        <v>571</v>
      </c>
      <c r="C2077" s="5" t="s">
        <v>237</v>
      </c>
      <c r="D2077" s="5" t="s">
        <v>11</v>
      </c>
      <c r="E2077" s="5" t="s">
        <v>9</v>
      </c>
      <c r="F2077" s="6">
        <v>45473</v>
      </c>
      <c r="G2077" s="5">
        <f t="shared" si="332"/>
        <v>2024</v>
      </c>
      <c r="H2077" s="5" t="str">
        <f t="shared" si="333"/>
        <v>Junio</v>
      </c>
      <c r="I2077" s="6" t="str">
        <f t="shared" si="334"/>
        <v>2024-1</v>
      </c>
      <c r="J2077" s="5">
        <v>53.64</v>
      </c>
      <c r="K2077" s="5">
        <v>40</v>
      </c>
      <c r="L2077" s="15">
        <v>0.74571215510812827</v>
      </c>
      <c r="M2077" s="15">
        <v>0.74571215510812827</v>
      </c>
      <c r="N2077" s="5" t="s">
        <v>347</v>
      </c>
      <c r="O2077" s="5" t="s">
        <v>347</v>
      </c>
      <c r="P2077" s="5">
        <v>0</v>
      </c>
      <c r="Q2077" s="5">
        <v>0</v>
      </c>
      <c r="R2077" s="5" t="str">
        <f t="shared" si="335"/>
        <v>415.3-2024-06-30</v>
      </c>
    </row>
    <row r="2078" spans="1:18" x14ac:dyDescent="0.3">
      <c r="A2078" s="26" t="s">
        <v>612</v>
      </c>
      <c r="B2078" s="23" t="s">
        <v>572</v>
      </c>
      <c r="C2078" s="5" t="s">
        <v>126</v>
      </c>
      <c r="D2078" s="5" t="s">
        <v>11</v>
      </c>
      <c r="E2078" s="5" t="s">
        <v>9</v>
      </c>
      <c r="F2078" s="6">
        <v>45107</v>
      </c>
      <c r="G2078" s="5">
        <f t="shared" si="332"/>
        <v>2023</v>
      </c>
      <c r="H2078" s="5" t="str">
        <f t="shared" si="333"/>
        <v>Junio</v>
      </c>
      <c r="I2078" s="6" t="str">
        <f t="shared" si="334"/>
        <v>2023-1</v>
      </c>
      <c r="J2078" s="5">
        <v>20</v>
      </c>
      <c r="K2078" s="5">
        <v>24</v>
      </c>
      <c r="L2078" s="24">
        <f>K2078/J2078</f>
        <v>1.2</v>
      </c>
      <c r="M2078" s="15">
        <f>IFERROR(IF((K2078/J2078)&gt;K2078/J2078,1.3,K2078/J2078),"")</f>
        <v>1.2</v>
      </c>
      <c r="N2078" s="5" t="s">
        <v>347</v>
      </c>
      <c r="O2078" s="5" t="s">
        <v>347</v>
      </c>
      <c r="P2078" s="16">
        <v>0</v>
      </c>
      <c r="Q2078" s="16">
        <v>0</v>
      </c>
      <c r="R2078" s="5" t="str">
        <f t="shared" si="335"/>
        <v>415.4-2023-06-30</v>
      </c>
    </row>
    <row r="2079" spans="1:18" x14ac:dyDescent="0.3">
      <c r="A2079" s="26" t="s">
        <v>612</v>
      </c>
      <c r="B2079" s="23" t="s">
        <v>572</v>
      </c>
      <c r="C2079" s="5" t="s">
        <v>126</v>
      </c>
      <c r="D2079" s="5" t="s">
        <v>11</v>
      </c>
      <c r="E2079" s="5" t="s">
        <v>9</v>
      </c>
      <c r="F2079" s="6">
        <v>45291</v>
      </c>
      <c r="G2079" s="5">
        <f t="shared" si="332"/>
        <v>2023</v>
      </c>
      <c r="H2079" s="5" t="str">
        <f t="shared" si="333"/>
        <v>Diciembre</v>
      </c>
      <c r="I2079" s="6" t="str">
        <f t="shared" si="334"/>
        <v>2023-2</v>
      </c>
      <c r="J2079" s="5">
        <v>100</v>
      </c>
      <c r="K2079" s="10">
        <v>100</v>
      </c>
      <c r="L2079" s="15">
        <f>IFERROR(IF((K2079/J2079)&gt;1.3,1.3,K2079/J2079),"")</f>
        <v>1</v>
      </c>
      <c r="M2079" s="15">
        <f>IFERROR(IF((K2079/J2079)&gt;K2079/J2079,1.3,K2079/J2079),"")</f>
        <v>1</v>
      </c>
      <c r="N2079" s="5" t="s">
        <v>347</v>
      </c>
      <c r="O2079" s="5" t="s">
        <v>347</v>
      </c>
      <c r="P2079" s="16">
        <v>0</v>
      </c>
      <c r="Q2079" s="16">
        <v>0</v>
      </c>
      <c r="R2079" s="5" t="str">
        <f t="shared" si="335"/>
        <v>415.4-2023-12-31</v>
      </c>
    </row>
    <row r="2080" spans="1:18" x14ac:dyDescent="0.3">
      <c r="A2080" s="26" t="s">
        <v>612</v>
      </c>
      <c r="B2080" s="23" t="s">
        <v>572</v>
      </c>
      <c r="C2080" s="5" t="s">
        <v>126</v>
      </c>
      <c r="D2080" s="5" t="s">
        <v>11</v>
      </c>
      <c r="E2080" s="5" t="s">
        <v>9</v>
      </c>
      <c r="F2080" s="6">
        <v>45473</v>
      </c>
      <c r="G2080" s="5">
        <f t="shared" si="332"/>
        <v>2024</v>
      </c>
      <c r="H2080" s="5" t="str">
        <f t="shared" si="333"/>
        <v>Junio</v>
      </c>
      <c r="I2080" s="6" t="str">
        <f t="shared" si="334"/>
        <v>2024-1</v>
      </c>
      <c r="J2080" s="5">
        <v>36.049999999999997</v>
      </c>
      <c r="K2080" s="5">
        <v>43.92</v>
      </c>
      <c r="L2080" s="15">
        <v>1</v>
      </c>
      <c r="M2080" s="15">
        <v>1</v>
      </c>
      <c r="N2080" s="5" t="s">
        <v>347</v>
      </c>
      <c r="O2080" s="5" t="s">
        <v>347</v>
      </c>
      <c r="P2080" s="5">
        <v>0</v>
      </c>
      <c r="Q2080" s="5">
        <v>0</v>
      </c>
      <c r="R2080" s="5" t="str">
        <f t="shared" si="335"/>
        <v>415.4-2024-06-30</v>
      </c>
    </row>
    <row r="2081" spans="1:18" x14ac:dyDescent="0.3">
      <c r="A2081" s="26" t="s">
        <v>613</v>
      </c>
      <c r="B2081" s="23" t="s">
        <v>690</v>
      </c>
      <c r="C2081" s="5" t="s">
        <v>344</v>
      </c>
      <c r="D2081" s="5" t="s">
        <v>11</v>
      </c>
      <c r="E2081" s="5" t="s">
        <v>9</v>
      </c>
      <c r="F2081" s="6">
        <v>45107</v>
      </c>
      <c r="G2081" s="5">
        <f t="shared" si="332"/>
        <v>2023</v>
      </c>
      <c r="H2081" s="5" t="str">
        <f t="shared" si="333"/>
        <v>Junio</v>
      </c>
      <c r="I2081" s="6" t="str">
        <f t="shared" si="334"/>
        <v>2023-1</v>
      </c>
      <c r="J2081" s="5">
        <v>54</v>
      </c>
      <c r="K2081" s="5">
        <v>63</v>
      </c>
      <c r="L2081" s="24">
        <f>K2081/J2081</f>
        <v>1.1666666666666667</v>
      </c>
      <c r="M2081" s="15">
        <f>IFERROR(IF((K2081/J2081)&gt;K2081/J2081,1.3,K2081/J2081),"")</f>
        <v>1.1666666666666667</v>
      </c>
      <c r="N2081" s="5" t="s">
        <v>347</v>
      </c>
      <c r="O2081" s="5" t="s">
        <v>347</v>
      </c>
      <c r="P2081" s="16">
        <v>0</v>
      </c>
      <c r="Q2081" s="16">
        <v>0</v>
      </c>
      <c r="R2081" s="5" t="str">
        <f t="shared" si="335"/>
        <v>415.5-2023-06-30</v>
      </c>
    </row>
    <row r="2082" spans="1:18" x14ac:dyDescent="0.3">
      <c r="A2082" s="26" t="s">
        <v>613</v>
      </c>
      <c r="B2082" s="23" t="s">
        <v>690</v>
      </c>
      <c r="C2082" s="5" t="s">
        <v>344</v>
      </c>
      <c r="D2082" s="5" t="s">
        <v>11</v>
      </c>
      <c r="E2082" s="5" t="s">
        <v>9</v>
      </c>
      <c r="F2082" s="6">
        <v>45291</v>
      </c>
      <c r="G2082" s="5">
        <f t="shared" si="332"/>
        <v>2023</v>
      </c>
      <c r="H2082" s="5" t="str">
        <f t="shared" si="333"/>
        <v>Diciembre</v>
      </c>
      <c r="I2082" s="6" t="str">
        <f t="shared" si="334"/>
        <v>2023-2</v>
      </c>
      <c r="J2082" s="5">
        <v>100</v>
      </c>
      <c r="K2082" s="10">
        <v>90</v>
      </c>
      <c r="L2082" s="15">
        <f>IFERROR(IF((K2082/J2082)&gt;1.3,1.3,K2082/J2082),"")</f>
        <v>0.9</v>
      </c>
      <c r="M2082" s="15">
        <f>IFERROR(IF((K2082/J2082)&gt;K2082/J2082,1.3,K2082/J2082),"")</f>
        <v>0.9</v>
      </c>
      <c r="N2082" s="5" t="s">
        <v>347</v>
      </c>
      <c r="O2082" s="5" t="s">
        <v>347</v>
      </c>
      <c r="P2082" s="16">
        <v>0</v>
      </c>
      <c r="Q2082" s="16">
        <v>0</v>
      </c>
      <c r="R2082" s="5" t="str">
        <f t="shared" si="335"/>
        <v>415.5-2023-12-31</v>
      </c>
    </row>
    <row r="2083" spans="1:18" x14ac:dyDescent="0.3">
      <c r="A2083" s="26" t="s">
        <v>613</v>
      </c>
      <c r="B2083" s="23" t="s">
        <v>690</v>
      </c>
      <c r="C2083" s="5" t="s">
        <v>344</v>
      </c>
      <c r="D2083" s="5" t="s">
        <v>11</v>
      </c>
      <c r="E2083" s="5" t="s">
        <v>9</v>
      </c>
      <c r="F2083" s="6">
        <v>45473</v>
      </c>
      <c r="G2083" s="5">
        <f t="shared" si="332"/>
        <v>2024</v>
      </c>
      <c r="H2083" s="5" t="str">
        <f t="shared" si="333"/>
        <v>Junio</v>
      </c>
      <c r="I2083" s="6" t="str">
        <f t="shared" si="334"/>
        <v>2024-1</v>
      </c>
      <c r="J2083" s="5">
        <v>81.239999999999995</v>
      </c>
      <c r="K2083" s="5">
        <v>86.67</v>
      </c>
      <c r="L2083" s="15">
        <v>1</v>
      </c>
      <c r="M2083" s="15">
        <v>1</v>
      </c>
      <c r="N2083" s="5" t="s">
        <v>347</v>
      </c>
      <c r="O2083" s="5" t="s">
        <v>347</v>
      </c>
      <c r="P2083" s="5">
        <v>0</v>
      </c>
      <c r="Q2083" s="5">
        <v>0</v>
      </c>
      <c r="R2083" s="5" t="str">
        <f t="shared" si="335"/>
        <v>415.5-2024-06-30</v>
      </c>
    </row>
    <row r="2084" spans="1:18" x14ac:dyDescent="0.3">
      <c r="A2084" s="26" t="s">
        <v>614</v>
      </c>
      <c r="B2084" s="23" t="s">
        <v>574</v>
      </c>
      <c r="C2084" s="5" t="s">
        <v>248</v>
      </c>
      <c r="D2084" s="5" t="s">
        <v>11</v>
      </c>
      <c r="E2084" s="5" t="s">
        <v>9</v>
      </c>
      <c r="F2084" s="6">
        <v>45107</v>
      </c>
      <c r="G2084" s="5">
        <f t="shared" si="332"/>
        <v>2023</v>
      </c>
      <c r="H2084" s="5" t="str">
        <f t="shared" si="333"/>
        <v>Junio</v>
      </c>
      <c r="I2084" s="6" t="str">
        <f t="shared" si="334"/>
        <v>2023-1</v>
      </c>
      <c r="J2084" s="5">
        <v>62</v>
      </c>
      <c r="K2084" s="5">
        <v>51</v>
      </c>
      <c r="L2084" s="24">
        <f>K2084/J2084</f>
        <v>0.82258064516129037</v>
      </c>
      <c r="M2084" s="15">
        <f>IFERROR(IF((K2084/J2084)&gt;K2084/J2084,1.3,K2084/J2084),"")</f>
        <v>0.82258064516129037</v>
      </c>
      <c r="N2084" s="5" t="s">
        <v>347</v>
      </c>
      <c r="O2084" s="5" t="s">
        <v>347</v>
      </c>
      <c r="P2084" s="16">
        <v>0</v>
      </c>
      <c r="Q2084" s="16">
        <v>0</v>
      </c>
      <c r="R2084" s="5" t="str">
        <f t="shared" si="335"/>
        <v>415.6-2023-06-30</v>
      </c>
    </row>
    <row r="2085" spans="1:18" x14ac:dyDescent="0.3">
      <c r="A2085" s="26" t="s">
        <v>614</v>
      </c>
      <c r="B2085" s="23" t="s">
        <v>574</v>
      </c>
      <c r="C2085" s="5" t="s">
        <v>248</v>
      </c>
      <c r="D2085" s="5" t="s">
        <v>11</v>
      </c>
      <c r="E2085" s="5" t="s">
        <v>9</v>
      </c>
      <c r="F2085" s="6">
        <v>45291</v>
      </c>
      <c r="G2085" s="5">
        <f t="shared" si="332"/>
        <v>2023</v>
      </c>
      <c r="H2085" s="5" t="str">
        <f t="shared" si="333"/>
        <v>Diciembre</v>
      </c>
      <c r="I2085" s="6" t="str">
        <f t="shared" si="334"/>
        <v>2023-2</v>
      </c>
      <c r="J2085" s="5">
        <v>100</v>
      </c>
      <c r="K2085" s="10">
        <v>100</v>
      </c>
      <c r="L2085" s="15">
        <f>IFERROR(IF((K2085/J2085)&gt;1.3,1.3,K2085/J2085),"")</f>
        <v>1</v>
      </c>
      <c r="M2085" s="15">
        <f>IFERROR(IF((K2085/J2085)&gt;K2085/J2085,1.3,K2085/J2085),"")</f>
        <v>1</v>
      </c>
      <c r="N2085" s="5" t="s">
        <v>347</v>
      </c>
      <c r="O2085" s="5" t="s">
        <v>347</v>
      </c>
      <c r="P2085" s="16">
        <v>0</v>
      </c>
      <c r="Q2085" s="16">
        <v>0</v>
      </c>
      <c r="R2085" s="5" t="str">
        <f t="shared" si="335"/>
        <v>415.6-2023-12-31</v>
      </c>
    </row>
    <row r="2086" spans="1:18" x14ac:dyDescent="0.3">
      <c r="A2086" s="26" t="s">
        <v>614</v>
      </c>
      <c r="B2086" s="23" t="s">
        <v>574</v>
      </c>
      <c r="C2086" s="5" t="s">
        <v>248</v>
      </c>
      <c r="D2086" s="5" t="s">
        <v>11</v>
      </c>
      <c r="E2086" s="5" t="s">
        <v>9</v>
      </c>
      <c r="F2086" s="6">
        <v>45473</v>
      </c>
      <c r="G2086" s="5">
        <f t="shared" si="332"/>
        <v>2024</v>
      </c>
      <c r="H2086" s="5" t="str">
        <f t="shared" si="333"/>
        <v>Junio</v>
      </c>
      <c r="I2086" s="6" t="str">
        <f t="shared" si="334"/>
        <v>2024-1</v>
      </c>
      <c r="J2086" s="5">
        <v>71.25</v>
      </c>
      <c r="K2086" s="5">
        <v>52.22</v>
      </c>
      <c r="L2086" s="15">
        <v>0.7329122807017544</v>
      </c>
      <c r="M2086" s="15">
        <v>0.7329122807017544</v>
      </c>
      <c r="N2086" s="5" t="s">
        <v>347</v>
      </c>
      <c r="O2086" s="5" t="s">
        <v>347</v>
      </c>
      <c r="P2086" s="5">
        <v>0</v>
      </c>
      <c r="Q2086" s="5">
        <v>0</v>
      </c>
      <c r="R2086" s="5" t="str">
        <f t="shared" si="335"/>
        <v>415.6-2024-06-30</v>
      </c>
    </row>
    <row r="2087" spans="1:18" x14ac:dyDescent="0.3">
      <c r="A2087" s="26" t="s">
        <v>615</v>
      </c>
      <c r="B2087" s="23" t="s">
        <v>708</v>
      </c>
      <c r="C2087" s="5" t="s">
        <v>343</v>
      </c>
      <c r="D2087" s="5" t="s">
        <v>11</v>
      </c>
      <c r="E2087" s="5" t="s">
        <v>9</v>
      </c>
      <c r="F2087" s="6">
        <v>45473</v>
      </c>
      <c r="G2087" s="5">
        <f t="shared" si="332"/>
        <v>2024</v>
      </c>
      <c r="H2087" s="5" t="str">
        <f t="shared" si="333"/>
        <v>Junio</v>
      </c>
      <c r="I2087" s="6" t="str">
        <f t="shared" si="334"/>
        <v>2024-1</v>
      </c>
      <c r="J2087" s="5">
        <v>46.98</v>
      </c>
      <c r="K2087" s="5">
        <v>57.83</v>
      </c>
      <c r="L2087" s="15">
        <v>1</v>
      </c>
      <c r="M2087" s="15">
        <v>1</v>
      </c>
      <c r="N2087" s="5" t="s">
        <v>347</v>
      </c>
      <c r="O2087" s="5" t="s">
        <v>347</v>
      </c>
      <c r="P2087" s="5">
        <v>0</v>
      </c>
      <c r="Q2087" s="5">
        <v>0</v>
      </c>
      <c r="R2087" s="5" t="str">
        <f t="shared" si="335"/>
        <v>415.7-2024-06-30</v>
      </c>
    </row>
    <row r="2088" spans="1:18" x14ac:dyDescent="0.3">
      <c r="A2088" s="26" t="s">
        <v>616</v>
      </c>
      <c r="B2088" s="23" t="s">
        <v>709</v>
      </c>
      <c r="C2088" s="5"/>
      <c r="D2088" s="5" t="s">
        <v>11</v>
      </c>
      <c r="E2088" s="5" t="s">
        <v>9</v>
      </c>
      <c r="F2088" s="6">
        <v>45473</v>
      </c>
      <c r="G2088" s="5">
        <f t="shared" si="332"/>
        <v>2024</v>
      </c>
      <c r="H2088" s="5" t="str">
        <f t="shared" si="333"/>
        <v>Junio</v>
      </c>
      <c r="I2088" s="6" t="str">
        <f t="shared" si="334"/>
        <v>2024-1</v>
      </c>
      <c r="J2088" s="5">
        <v>53.64</v>
      </c>
      <c r="K2088" s="5">
        <v>48.5</v>
      </c>
      <c r="L2088" s="15">
        <v>0.90417598806860555</v>
      </c>
      <c r="M2088" s="15">
        <v>0.90417598806860555</v>
      </c>
      <c r="N2088" s="5" t="s">
        <v>347</v>
      </c>
      <c r="O2088" s="5" t="s">
        <v>347</v>
      </c>
      <c r="P2088" s="5">
        <v>0</v>
      </c>
      <c r="Q2088" s="5">
        <v>0</v>
      </c>
      <c r="R2088" s="5" t="str">
        <f t="shared" si="335"/>
        <v>415.8-2024-06-30</v>
      </c>
    </row>
    <row r="2089" spans="1:18" x14ac:dyDescent="0.3">
      <c r="A2089" s="26" t="s">
        <v>617</v>
      </c>
      <c r="B2089" s="23" t="s">
        <v>710</v>
      </c>
      <c r="C2089" s="5" t="s">
        <v>343</v>
      </c>
      <c r="D2089" s="5" t="s">
        <v>11</v>
      </c>
      <c r="E2089" s="5" t="s">
        <v>9</v>
      </c>
      <c r="F2089" s="6">
        <v>45473</v>
      </c>
      <c r="G2089" s="5">
        <f t="shared" si="332"/>
        <v>2024</v>
      </c>
      <c r="H2089" s="5" t="str">
        <f t="shared" si="333"/>
        <v>Junio</v>
      </c>
      <c r="I2089" s="6" t="str">
        <f t="shared" si="334"/>
        <v>2024-1</v>
      </c>
      <c r="J2089" s="5">
        <v>64.53</v>
      </c>
      <c r="K2089" s="5">
        <v>54.67</v>
      </c>
      <c r="L2089" s="15">
        <v>0.84720285138695184</v>
      </c>
      <c r="M2089" s="15">
        <v>0.84720285138695184</v>
      </c>
      <c r="N2089" s="5" t="s">
        <v>347</v>
      </c>
      <c r="O2089" s="5" t="s">
        <v>347</v>
      </c>
      <c r="P2089" s="5">
        <v>0</v>
      </c>
      <c r="Q2089" s="5">
        <v>0</v>
      </c>
      <c r="R2089" s="5" t="str">
        <f t="shared" si="335"/>
        <v>415.9-2024-06-30</v>
      </c>
    </row>
    <row r="2090" spans="1:18" x14ac:dyDescent="0.3">
      <c r="A2090" s="26" t="s">
        <v>647</v>
      </c>
      <c r="B2090" s="23" t="s">
        <v>575</v>
      </c>
      <c r="C2090" s="5" t="s">
        <v>267</v>
      </c>
      <c r="D2090" s="5" t="s">
        <v>11</v>
      </c>
      <c r="E2090" s="5" t="s">
        <v>9</v>
      </c>
      <c r="F2090" s="6">
        <v>45107</v>
      </c>
      <c r="G2090" s="5">
        <f t="shared" si="332"/>
        <v>2023</v>
      </c>
      <c r="H2090" s="5" t="str">
        <f t="shared" si="333"/>
        <v>Junio</v>
      </c>
      <c r="I2090" s="6" t="str">
        <f t="shared" si="334"/>
        <v>2023-1</v>
      </c>
      <c r="J2090" s="5">
        <v>63</v>
      </c>
      <c r="K2090" s="5">
        <v>62</v>
      </c>
      <c r="L2090" s="24">
        <f>K2090/J2090</f>
        <v>0.98412698412698407</v>
      </c>
      <c r="M2090" s="15">
        <f>IFERROR(IF((K2090/J2090)&gt;K2090/J2090,1.3,K2090/J2090),"")</f>
        <v>0.98412698412698407</v>
      </c>
      <c r="N2090" s="5" t="s">
        <v>347</v>
      </c>
      <c r="O2090" s="5" t="s">
        <v>347</v>
      </c>
      <c r="P2090" s="16">
        <v>0</v>
      </c>
      <c r="Q2090" s="16">
        <v>0</v>
      </c>
      <c r="R2090" s="5" t="str">
        <f t="shared" si="335"/>
        <v>416.1-2023-06-30</v>
      </c>
    </row>
    <row r="2091" spans="1:18" x14ac:dyDescent="0.3">
      <c r="A2091" s="26" t="s">
        <v>647</v>
      </c>
      <c r="B2091" s="23" t="s">
        <v>575</v>
      </c>
      <c r="C2091" s="5" t="s">
        <v>267</v>
      </c>
      <c r="D2091" s="5" t="s">
        <v>11</v>
      </c>
      <c r="E2091" s="5" t="s">
        <v>9</v>
      </c>
      <c r="F2091" s="6">
        <v>45291</v>
      </c>
      <c r="G2091" s="5">
        <f t="shared" si="332"/>
        <v>2023</v>
      </c>
      <c r="H2091" s="5" t="str">
        <f t="shared" si="333"/>
        <v>Diciembre</v>
      </c>
      <c r="I2091" s="6" t="str">
        <f t="shared" si="334"/>
        <v>2023-2</v>
      </c>
      <c r="J2091" s="5">
        <v>100</v>
      </c>
      <c r="K2091" s="10">
        <v>100</v>
      </c>
      <c r="L2091" s="15">
        <f>IFERROR(IF((K2091/J2091)&gt;1.3,1.3,K2091/J2091),"")</f>
        <v>1</v>
      </c>
      <c r="M2091" s="15">
        <f>IFERROR(IF((K2091/J2091)&gt;K2091/J2091,1.3,K2091/J2091),"")</f>
        <v>1</v>
      </c>
      <c r="N2091" s="5" t="s">
        <v>347</v>
      </c>
      <c r="O2091" s="5" t="s">
        <v>347</v>
      </c>
      <c r="P2091" s="16">
        <v>0</v>
      </c>
      <c r="Q2091" s="16">
        <v>0</v>
      </c>
      <c r="R2091" s="5" t="str">
        <f t="shared" si="335"/>
        <v>416.1-2023-12-31</v>
      </c>
    </row>
    <row r="2092" spans="1:18" x14ac:dyDescent="0.3">
      <c r="A2092" s="26" t="s">
        <v>647</v>
      </c>
      <c r="B2092" s="23" t="s">
        <v>575</v>
      </c>
      <c r="C2092" s="5" t="s">
        <v>267</v>
      </c>
      <c r="D2092" s="5" t="s">
        <v>11</v>
      </c>
      <c r="E2092" s="5" t="s">
        <v>9</v>
      </c>
      <c r="F2092" s="6">
        <v>45473</v>
      </c>
      <c r="G2092" s="5">
        <f t="shared" si="332"/>
        <v>2024</v>
      </c>
      <c r="H2092" s="5" t="str">
        <f t="shared" si="333"/>
        <v>Junio</v>
      </c>
      <c r="I2092" s="6" t="str">
        <f t="shared" si="334"/>
        <v>2024-1</v>
      </c>
      <c r="J2092" s="5">
        <v>60.93</v>
      </c>
      <c r="K2092" s="5">
        <v>61.45</v>
      </c>
      <c r="L2092" s="15">
        <v>1</v>
      </c>
      <c r="M2092" s="15">
        <v>1</v>
      </c>
      <c r="N2092" s="5" t="s">
        <v>347</v>
      </c>
      <c r="O2092" s="5" t="s">
        <v>347</v>
      </c>
      <c r="P2092" s="5">
        <v>0</v>
      </c>
      <c r="Q2092" s="5">
        <v>0</v>
      </c>
      <c r="R2092" s="5" t="str">
        <f t="shared" si="335"/>
        <v>416.1-2024-06-30</v>
      </c>
    </row>
    <row r="2093" spans="1:18" x14ac:dyDescent="0.3">
      <c r="A2093" s="26" t="s">
        <v>648</v>
      </c>
      <c r="B2093" s="23" t="s">
        <v>576</v>
      </c>
      <c r="C2093" s="5" t="s">
        <v>315</v>
      </c>
      <c r="D2093" s="5" t="s">
        <v>11</v>
      </c>
      <c r="E2093" s="5" t="s">
        <v>9</v>
      </c>
      <c r="F2093" s="6">
        <v>45107</v>
      </c>
      <c r="G2093" s="5">
        <f t="shared" si="332"/>
        <v>2023</v>
      </c>
      <c r="H2093" s="5" t="str">
        <f t="shared" si="333"/>
        <v>Junio</v>
      </c>
      <c r="I2093" s="6" t="str">
        <f t="shared" si="334"/>
        <v>2023-1</v>
      </c>
      <c r="J2093" s="5">
        <v>78</v>
      </c>
      <c r="K2093" s="5">
        <v>73</v>
      </c>
      <c r="L2093" s="24">
        <f>K2093/J2093</f>
        <v>0.9358974358974359</v>
      </c>
      <c r="M2093" s="15">
        <f>IFERROR(IF((K2093/J2093)&gt;K2093/J2093,1.3,K2093/J2093),"")</f>
        <v>0.9358974358974359</v>
      </c>
      <c r="N2093" s="5" t="s">
        <v>347</v>
      </c>
      <c r="O2093" s="5" t="s">
        <v>347</v>
      </c>
      <c r="P2093" s="16">
        <v>0</v>
      </c>
      <c r="Q2093" s="16">
        <v>0</v>
      </c>
      <c r="R2093" s="5" t="str">
        <f t="shared" si="335"/>
        <v>416.2-2023-06-30</v>
      </c>
    </row>
    <row r="2094" spans="1:18" x14ac:dyDescent="0.3">
      <c r="A2094" s="26" t="s">
        <v>648</v>
      </c>
      <c r="B2094" s="23" t="s">
        <v>576</v>
      </c>
      <c r="C2094" s="5" t="s">
        <v>315</v>
      </c>
      <c r="D2094" s="5" t="s">
        <v>11</v>
      </c>
      <c r="E2094" s="5" t="s">
        <v>9</v>
      </c>
      <c r="F2094" s="6">
        <v>45291</v>
      </c>
      <c r="G2094" s="5">
        <f t="shared" si="332"/>
        <v>2023</v>
      </c>
      <c r="H2094" s="5" t="str">
        <f t="shared" si="333"/>
        <v>Diciembre</v>
      </c>
      <c r="I2094" s="6" t="str">
        <f t="shared" si="334"/>
        <v>2023-2</v>
      </c>
      <c r="J2094" s="5">
        <v>100</v>
      </c>
      <c r="K2094" s="10">
        <v>96</v>
      </c>
      <c r="L2094" s="15">
        <f>IFERROR(IF((K2094/J2094)&gt;1.3,1.3,K2094/J2094),"")</f>
        <v>0.96</v>
      </c>
      <c r="M2094" s="15">
        <f>IFERROR(IF((K2094/J2094)&gt;K2094/J2094,1.3,K2094/J2094),"")</f>
        <v>0.96</v>
      </c>
      <c r="N2094" s="5" t="s">
        <v>347</v>
      </c>
      <c r="O2094" s="5" t="s">
        <v>347</v>
      </c>
      <c r="P2094" s="16">
        <v>0</v>
      </c>
      <c r="Q2094" s="16">
        <v>0</v>
      </c>
      <c r="R2094" s="5" t="str">
        <f t="shared" si="335"/>
        <v>416.2-2023-12-31</v>
      </c>
    </row>
    <row r="2095" spans="1:18" x14ac:dyDescent="0.3">
      <c r="A2095" s="26" t="s">
        <v>648</v>
      </c>
      <c r="B2095" s="23" t="s">
        <v>576</v>
      </c>
      <c r="C2095" s="5" t="s">
        <v>315</v>
      </c>
      <c r="D2095" s="5" t="s">
        <v>11</v>
      </c>
      <c r="E2095" s="5" t="s">
        <v>9</v>
      </c>
      <c r="F2095" s="6">
        <v>45473</v>
      </c>
      <c r="G2095" s="5">
        <f t="shared" si="332"/>
        <v>2024</v>
      </c>
      <c r="H2095" s="5" t="str">
        <f t="shared" si="333"/>
        <v>Junio</v>
      </c>
      <c r="I2095" s="6" t="str">
        <f t="shared" si="334"/>
        <v>2024-1</v>
      </c>
      <c r="J2095" s="5">
        <v>42.89</v>
      </c>
      <c r="K2095" s="5">
        <v>41.67</v>
      </c>
      <c r="L2095" s="15">
        <v>0.97155514105852181</v>
      </c>
      <c r="M2095" s="15">
        <v>0.97155514105852181</v>
      </c>
      <c r="N2095" s="5" t="s">
        <v>347</v>
      </c>
      <c r="O2095" s="5" t="s">
        <v>347</v>
      </c>
      <c r="P2095" s="5">
        <v>0</v>
      </c>
      <c r="Q2095" s="5">
        <v>0</v>
      </c>
      <c r="R2095" s="5" t="str">
        <f t="shared" si="335"/>
        <v>416.2-2024-06-30</v>
      </c>
    </row>
    <row r="2096" spans="1:18" x14ac:dyDescent="0.3">
      <c r="A2096" s="26" t="s">
        <v>649</v>
      </c>
      <c r="B2096" s="23" t="s">
        <v>643</v>
      </c>
      <c r="C2096" s="5" t="s">
        <v>315</v>
      </c>
      <c r="D2096" s="5" t="s">
        <v>11</v>
      </c>
      <c r="E2096" s="5" t="s">
        <v>9</v>
      </c>
      <c r="F2096" s="6">
        <v>45473</v>
      </c>
      <c r="G2096" s="5">
        <f t="shared" si="332"/>
        <v>2024</v>
      </c>
      <c r="H2096" s="5" t="str">
        <f t="shared" si="333"/>
        <v>Junio</v>
      </c>
      <c r="I2096" s="6" t="str">
        <f t="shared" si="334"/>
        <v>2024-1</v>
      </c>
      <c r="J2096" s="5">
        <v>42.15</v>
      </c>
      <c r="K2096" s="5">
        <v>90</v>
      </c>
      <c r="L2096" s="15">
        <v>1</v>
      </c>
      <c r="M2096" s="15">
        <v>1</v>
      </c>
      <c r="N2096" s="5" t="s">
        <v>347</v>
      </c>
      <c r="O2096" s="5" t="s">
        <v>347</v>
      </c>
      <c r="P2096" s="5">
        <v>0</v>
      </c>
      <c r="Q2096" s="5">
        <v>0</v>
      </c>
      <c r="R2096" s="5" t="str">
        <f t="shared" si="335"/>
        <v>416.3-2024-06-30</v>
      </c>
    </row>
    <row r="2097" spans="1:18" x14ac:dyDescent="0.3">
      <c r="A2097" s="26" t="s">
        <v>650</v>
      </c>
      <c r="B2097" s="23" t="s">
        <v>644</v>
      </c>
      <c r="C2097" s="5" t="s">
        <v>315</v>
      </c>
      <c r="D2097" s="5" t="s">
        <v>11</v>
      </c>
      <c r="E2097" s="5" t="s">
        <v>9</v>
      </c>
      <c r="F2097" s="6">
        <v>45473</v>
      </c>
      <c r="G2097" s="5">
        <f t="shared" si="332"/>
        <v>2024</v>
      </c>
      <c r="H2097" s="5" t="str">
        <f t="shared" si="333"/>
        <v>Junio</v>
      </c>
      <c r="I2097" s="6" t="str">
        <f t="shared" si="334"/>
        <v>2024-1</v>
      </c>
      <c r="J2097" s="5">
        <v>58.9</v>
      </c>
      <c r="K2097" s="5">
        <v>60</v>
      </c>
      <c r="L2097" s="15">
        <v>1</v>
      </c>
      <c r="M2097" s="15">
        <v>1</v>
      </c>
      <c r="N2097" s="5" t="s">
        <v>347</v>
      </c>
      <c r="O2097" s="5" t="s">
        <v>347</v>
      </c>
      <c r="P2097" s="5">
        <v>0</v>
      </c>
      <c r="Q2097" s="5">
        <v>0</v>
      </c>
      <c r="R2097" s="5" t="str">
        <f t="shared" si="335"/>
        <v>416.4-2024-06-30</v>
      </c>
    </row>
    <row r="2098" spans="1:18" x14ac:dyDescent="0.3">
      <c r="A2098" s="26" t="s">
        <v>651</v>
      </c>
      <c r="B2098" s="23" t="s">
        <v>645</v>
      </c>
      <c r="C2098" s="5" t="s">
        <v>315</v>
      </c>
      <c r="D2098" s="5" t="s">
        <v>11</v>
      </c>
      <c r="E2098" s="5" t="s">
        <v>9</v>
      </c>
      <c r="F2098" s="6">
        <v>45473</v>
      </c>
      <c r="G2098" s="5">
        <f t="shared" si="332"/>
        <v>2024</v>
      </c>
      <c r="H2098" s="5" t="str">
        <f t="shared" si="333"/>
        <v>Junio</v>
      </c>
      <c r="I2098" s="6" t="str">
        <f t="shared" si="334"/>
        <v>2024-1</v>
      </c>
      <c r="J2098" s="5">
        <v>36.28</v>
      </c>
      <c r="K2098" s="5">
        <v>35</v>
      </c>
      <c r="L2098" s="15">
        <v>0.96471885336273422</v>
      </c>
      <c r="M2098" s="15">
        <v>0.96471885336273422</v>
      </c>
      <c r="N2098" s="5" t="s">
        <v>347</v>
      </c>
      <c r="O2098" s="5" t="s">
        <v>347</v>
      </c>
      <c r="P2098" s="5">
        <v>0</v>
      </c>
      <c r="Q2098" s="5">
        <v>0</v>
      </c>
      <c r="R2098" s="5" t="str">
        <f t="shared" si="335"/>
        <v>416.5-2024-06-30</v>
      </c>
    </row>
    <row r="2099" spans="1:18" x14ac:dyDescent="0.3">
      <c r="A2099" s="26" t="s">
        <v>652</v>
      </c>
      <c r="B2099" s="23" t="s">
        <v>646</v>
      </c>
      <c r="C2099" s="5" t="s">
        <v>315</v>
      </c>
      <c r="D2099" s="5" t="s">
        <v>11</v>
      </c>
      <c r="E2099" s="5" t="s">
        <v>9</v>
      </c>
      <c r="F2099" s="6">
        <v>45473</v>
      </c>
      <c r="G2099" s="5">
        <f t="shared" si="332"/>
        <v>2024</v>
      </c>
      <c r="H2099" s="5" t="str">
        <f t="shared" si="333"/>
        <v>Junio</v>
      </c>
      <c r="I2099" s="6" t="str">
        <f t="shared" si="334"/>
        <v>2024-1</v>
      </c>
      <c r="J2099" s="5">
        <v>57.55</v>
      </c>
      <c r="K2099" s="5">
        <v>61.67</v>
      </c>
      <c r="L2099" s="15">
        <v>1</v>
      </c>
      <c r="M2099" s="15">
        <v>1</v>
      </c>
      <c r="N2099" s="5" t="s">
        <v>347</v>
      </c>
      <c r="O2099" s="5" t="s">
        <v>347</v>
      </c>
      <c r="P2099" s="5">
        <v>0</v>
      </c>
      <c r="Q2099" s="5">
        <v>0</v>
      </c>
      <c r="R2099" s="5" t="str">
        <f t="shared" si="335"/>
        <v>416.6-2024-06-30</v>
      </c>
    </row>
    <row r="2100" spans="1:18" x14ac:dyDescent="0.3">
      <c r="A2100" s="26" t="s">
        <v>702</v>
      </c>
      <c r="B2100" s="23" t="s">
        <v>604</v>
      </c>
      <c r="C2100" s="5" t="s">
        <v>274</v>
      </c>
      <c r="D2100" s="5" t="s">
        <v>11</v>
      </c>
      <c r="E2100" s="5" t="s">
        <v>9</v>
      </c>
      <c r="F2100" s="6">
        <v>45107</v>
      </c>
      <c r="G2100" s="5">
        <f t="shared" si="332"/>
        <v>2023</v>
      </c>
      <c r="H2100" s="5" t="str">
        <f t="shared" si="333"/>
        <v>Junio</v>
      </c>
      <c r="I2100" s="6" t="str">
        <f t="shared" si="334"/>
        <v>2023-1</v>
      </c>
      <c r="J2100" s="5">
        <v>58</v>
      </c>
      <c r="K2100" s="5">
        <v>62</v>
      </c>
      <c r="L2100" s="24">
        <f>K2100/J2100</f>
        <v>1.0689655172413792</v>
      </c>
      <c r="M2100" s="15">
        <f t="shared" ref="M2100:M2105" si="336">IFERROR(IF((K2100/J2100)&gt;K2100/J2100,1.3,K2100/J2100),"")</f>
        <v>1.0689655172413792</v>
      </c>
      <c r="N2100" s="5" t="s">
        <v>347</v>
      </c>
      <c r="O2100" s="5" t="s">
        <v>347</v>
      </c>
      <c r="P2100" s="16">
        <v>0</v>
      </c>
      <c r="Q2100" s="16">
        <v>0</v>
      </c>
      <c r="R2100" s="5" t="str">
        <f t="shared" si="335"/>
        <v>416.7-2023-06-30</v>
      </c>
    </row>
    <row r="2101" spans="1:18" x14ac:dyDescent="0.3">
      <c r="A2101" s="26" t="s">
        <v>702</v>
      </c>
      <c r="B2101" s="23" t="s">
        <v>604</v>
      </c>
      <c r="C2101" s="5" t="s">
        <v>274</v>
      </c>
      <c r="D2101" s="5" t="s">
        <v>11</v>
      </c>
      <c r="E2101" s="5" t="s">
        <v>9</v>
      </c>
      <c r="F2101" s="6">
        <v>45291</v>
      </c>
      <c r="G2101" s="5">
        <f t="shared" si="332"/>
        <v>2023</v>
      </c>
      <c r="H2101" s="5" t="str">
        <f t="shared" si="333"/>
        <v>Diciembre</v>
      </c>
      <c r="I2101" s="6" t="str">
        <f t="shared" si="334"/>
        <v>2023-2</v>
      </c>
      <c r="J2101" s="5">
        <v>100</v>
      </c>
      <c r="K2101" s="10">
        <v>92.5</v>
      </c>
      <c r="L2101" s="15">
        <f>IFERROR(IF((K2101/J2101)&gt;1.3,1.3,K2101/J2101),"")</f>
        <v>0.92500000000000004</v>
      </c>
      <c r="M2101" s="15">
        <f t="shared" si="336"/>
        <v>0.92500000000000004</v>
      </c>
      <c r="N2101" s="5" t="s">
        <v>347</v>
      </c>
      <c r="O2101" s="5" t="s">
        <v>347</v>
      </c>
      <c r="P2101" s="16">
        <v>0</v>
      </c>
      <c r="Q2101" s="16">
        <v>0</v>
      </c>
      <c r="R2101" s="5" t="str">
        <f t="shared" si="335"/>
        <v>416.7-2023-12-31</v>
      </c>
    </row>
    <row r="2102" spans="1:18" x14ac:dyDescent="0.3">
      <c r="A2102" s="26" t="s">
        <v>703</v>
      </c>
      <c r="B2102" s="23" t="s">
        <v>605</v>
      </c>
      <c r="C2102" s="5" t="s">
        <v>74</v>
      </c>
      <c r="D2102" s="5" t="s">
        <v>11</v>
      </c>
      <c r="E2102" s="5" t="s">
        <v>9</v>
      </c>
      <c r="F2102" s="6">
        <v>45107</v>
      </c>
      <c r="G2102" s="5">
        <f t="shared" si="332"/>
        <v>2023</v>
      </c>
      <c r="H2102" s="5" t="str">
        <f t="shared" si="333"/>
        <v>Junio</v>
      </c>
      <c r="I2102" s="6" t="str">
        <f t="shared" si="334"/>
        <v>2023-1</v>
      </c>
      <c r="J2102" s="5">
        <v>94</v>
      </c>
      <c r="K2102" s="5">
        <v>91</v>
      </c>
      <c r="L2102" s="24">
        <f>K2102/J2102</f>
        <v>0.96808510638297873</v>
      </c>
      <c r="M2102" s="15">
        <f t="shared" si="336"/>
        <v>0.96808510638297873</v>
      </c>
      <c r="N2102" s="5" t="s">
        <v>347</v>
      </c>
      <c r="O2102" s="5" t="s">
        <v>347</v>
      </c>
      <c r="P2102" s="16">
        <v>0</v>
      </c>
      <c r="Q2102" s="16">
        <v>0</v>
      </c>
      <c r="R2102" s="5" t="str">
        <f t="shared" si="335"/>
        <v>416.8-2023-06-30</v>
      </c>
    </row>
    <row r="2103" spans="1:18" x14ac:dyDescent="0.3">
      <c r="A2103" s="26" t="s">
        <v>703</v>
      </c>
      <c r="B2103" s="23" t="s">
        <v>605</v>
      </c>
      <c r="C2103" s="5" t="s">
        <v>410</v>
      </c>
      <c r="D2103" s="5" t="s">
        <v>11</v>
      </c>
      <c r="E2103" s="5" t="s">
        <v>9</v>
      </c>
      <c r="F2103" s="6">
        <v>45291</v>
      </c>
      <c r="G2103" s="5">
        <f t="shared" si="332"/>
        <v>2023</v>
      </c>
      <c r="H2103" s="5" t="str">
        <f t="shared" si="333"/>
        <v>Diciembre</v>
      </c>
      <c r="I2103" s="6" t="str">
        <f t="shared" si="334"/>
        <v>2023-2</v>
      </c>
      <c r="J2103" s="5">
        <v>100</v>
      </c>
      <c r="K2103" s="10">
        <v>99.88</v>
      </c>
      <c r="L2103" s="15">
        <f>IFERROR(IF((K2103/J2103)&gt;1.3,1.3,K2103/J2103),"")</f>
        <v>0.99879999999999991</v>
      </c>
      <c r="M2103" s="15">
        <f t="shared" si="336"/>
        <v>0.99879999999999991</v>
      </c>
      <c r="N2103" s="5" t="s">
        <v>347</v>
      </c>
      <c r="O2103" s="5" t="s">
        <v>347</v>
      </c>
      <c r="P2103" s="16">
        <v>0</v>
      </c>
      <c r="Q2103" s="16">
        <v>0</v>
      </c>
      <c r="R2103" s="5" t="str">
        <f t="shared" si="335"/>
        <v>416.8-2023-12-31</v>
      </c>
    </row>
    <row r="2104" spans="1:18" x14ac:dyDescent="0.3">
      <c r="A2104" s="26" t="s">
        <v>653</v>
      </c>
      <c r="B2104" s="23" t="s">
        <v>577</v>
      </c>
      <c r="C2104" s="5" t="s">
        <v>231</v>
      </c>
      <c r="D2104" s="5" t="s">
        <v>11</v>
      </c>
      <c r="E2104" s="5" t="s">
        <v>9</v>
      </c>
      <c r="F2104" s="6">
        <v>45107</v>
      </c>
      <c r="G2104" s="5">
        <f t="shared" si="332"/>
        <v>2023</v>
      </c>
      <c r="H2104" s="5" t="str">
        <f t="shared" si="333"/>
        <v>Junio</v>
      </c>
      <c r="I2104" s="6" t="str">
        <f t="shared" si="334"/>
        <v>2023-1</v>
      </c>
      <c r="J2104" s="5">
        <v>50</v>
      </c>
      <c r="K2104" s="5">
        <v>56</v>
      </c>
      <c r="L2104" s="24">
        <f>K2104/J2104</f>
        <v>1.1200000000000001</v>
      </c>
      <c r="M2104" s="15">
        <f t="shared" si="336"/>
        <v>1.1200000000000001</v>
      </c>
      <c r="N2104" s="5" t="s">
        <v>347</v>
      </c>
      <c r="O2104" s="5" t="s">
        <v>347</v>
      </c>
      <c r="P2104" s="16">
        <v>0</v>
      </c>
      <c r="Q2104" s="16">
        <v>0</v>
      </c>
      <c r="R2104" s="5" t="str">
        <f t="shared" si="335"/>
        <v>417.1-2023-06-30</v>
      </c>
    </row>
    <row r="2105" spans="1:18" x14ac:dyDescent="0.3">
      <c r="A2105" s="26" t="s">
        <v>653</v>
      </c>
      <c r="B2105" s="23" t="s">
        <v>577</v>
      </c>
      <c r="C2105" s="5" t="s">
        <v>231</v>
      </c>
      <c r="D2105" s="5" t="s">
        <v>11</v>
      </c>
      <c r="E2105" s="5" t="s">
        <v>9</v>
      </c>
      <c r="F2105" s="6">
        <v>45291</v>
      </c>
      <c r="G2105" s="5">
        <f t="shared" si="332"/>
        <v>2023</v>
      </c>
      <c r="H2105" s="5" t="str">
        <f t="shared" si="333"/>
        <v>Diciembre</v>
      </c>
      <c r="I2105" s="6" t="str">
        <f t="shared" si="334"/>
        <v>2023-2</v>
      </c>
      <c r="J2105" s="5">
        <v>100</v>
      </c>
      <c r="K2105" s="10">
        <v>94</v>
      </c>
      <c r="L2105" s="15">
        <f>IFERROR(IF((K2105/J2105)&gt;1.3,1.3,K2105/J2105),"")</f>
        <v>0.94</v>
      </c>
      <c r="M2105" s="15">
        <f t="shared" si="336"/>
        <v>0.94</v>
      </c>
      <c r="N2105" s="5" t="s">
        <v>347</v>
      </c>
      <c r="O2105" s="5" t="s">
        <v>347</v>
      </c>
      <c r="P2105" s="16">
        <v>0</v>
      </c>
      <c r="Q2105" s="16">
        <v>0</v>
      </c>
      <c r="R2105" s="5" t="str">
        <f t="shared" si="335"/>
        <v>417.1-2023-12-31</v>
      </c>
    </row>
    <row r="2106" spans="1:18" x14ac:dyDescent="0.3">
      <c r="A2106" s="26" t="s">
        <v>653</v>
      </c>
      <c r="B2106" s="23" t="s">
        <v>577</v>
      </c>
      <c r="C2106" s="5" t="s">
        <v>231</v>
      </c>
      <c r="D2106" s="5" t="s">
        <v>11</v>
      </c>
      <c r="E2106" s="5" t="s">
        <v>9</v>
      </c>
      <c r="F2106" s="6">
        <v>45473</v>
      </c>
      <c r="G2106" s="5">
        <f t="shared" si="332"/>
        <v>2024</v>
      </c>
      <c r="H2106" s="5" t="str">
        <f t="shared" si="333"/>
        <v>Junio</v>
      </c>
      <c r="I2106" s="6" t="str">
        <f t="shared" si="334"/>
        <v>2024-1</v>
      </c>
      <c r="J2106" s="5">
        <v>59.24</v>
      </c>
      <c r="K2106" s="5">
        <v>58.73</v>
      </c>
      <c r="L2106" s="15">
        <v>0.99139095205941918</v>
      </c>
      <c r="M2106" s="15">
        <v>0.99139095205941918</v>
      </c>
      <c r="N2106" s="5" t="s">
        <v>347</v>
      </c>
      <c r="O2106" s="5" t="s">
        <v>347</v>
      </c>
      <c r="P2106" s="5">
        <v>0</v>
      </c>
      <c r="Q2106" s="5">
        <v>0</v>
      </c>
      <c r="R2106" s="5" t="str">
        <f t="shared" si="335"/>
        <v>417.1-2024-06-30</v>
      </c>
    </row>
    <row r="2107" spans="1:18" x14ac:dyDescent="0.3">
      <c r="A2107" s="26" t="s">
        <v>654</v>
      </c>
      <c r="B2107" s="23" t="s">
        <v>578</v>
      </c>
      <c r="C2107" s="5" t="s">
        <v>43</v>
      </c>
      <c r="D2107" s="5" t="s">
        <v>11</v>
      </c>
      <c r="E2107" s="5" t="s">
        <v>9</v>
      </c>
      <c r="F2107" s="6">
        <v>45107</v>
      </c>
      <c r="G2107" s="5">
        <f t="shared" si="332"/>
        <v>2023</v>
      </c>
      <c r="H2107" s="5" t="str">
        <f t="shared" si="333"/>
        <v>Junio</v>
      </c>
      <c r="I2107" s="6" t="str">
        <f t="shared" si="334"/>
        <v>2023-1</v>
      </c>
      <c r="J2107" s="5">
        <v>63</v>
      </c>
      <c r="K2107" s="5">
        <v>53</v>
      </c>
      <c r="L2107" s="24">
        <f>K2107/J2107</f>
        <v>0.84126984126984128</v>
      </c>
      <c r="M2107" s="15">
        <f>IFERROR(IF((K2107/J2107)&gt;K2107/J2107,1.3,K2107/J2107),"")</f>
        <v>0.84126984126984128</v>
      </c>
      <c r="N2107" s="5" t="s">
        <v>347</v>
      </c>
      <c r="O2107" s="5" t="s">
        <v>347</v>
      </c>
      <c r="P2107" s="16">
        <v>0</v>
      </c>
      <c r="Q2107" s="16">
        <v>0</v>
      </c>
      <c r="R2107" s="5" t="str">
        <f t="shared" si="335"/>
        <v>417.2-2023-06-30</v>
      </c>
    </row>
    <row r="2108" spans="1:18" x14ac:dyDescent="0.3">
      <c r="A2108" s="26" t="s">
        <v>654</v>
      </c>
      <c r="B2108" s="23" t="s">
        <v>578</v>
      </c>
      <c r="C2108" s="5" t="s">
        <v>43</v>
      </c>
      <c r="D2108" s="5" t="s">
        <v>11</v>
      </c>
      <c r="E2108" s="5" t="s">
        <v>9</v>
      </c>
      <c r="F2108" s="6">
        <v>45291</v>
      </c>
      <c r="G2108" s="5">
        <f t="shared" si="332"/>
        <v>2023</v>
      </c>
      <c r="H2108" s="5" t="str">
        <f t="shared" si="333"/>
        <v>Diciembre</v>
      </c>
      <c r="I2108" s="6" t="str">
        <f t="shared" si="334"/>
        <v>2023-2</v>
      </c>
      <c r="J2108" s="5">
        <v>100</v>
      </c>
      <c r="K2108" s="10">
        <v>86.67</v>
      </c>
      <c r="L2108" s="15">
        <f>IFERROR(IF((K2108/J2108)&gt;1.3,1.3,K2108/J2108),"")</f>
        <v>0.86670000000000003</v>
      </c>
      <c r="M2108" s="15">
        <f>IFERROR(IF((K2108/J2108)&gt;K2108/J2108,1.3,K2108/J2108),"")</f>
        <v>0.86670000000000003</v>
      </c>
      <c r="N2108" s="5" t="s">
        <v>347</v>
      </c>
      <c r="O2108" s="5" t="s">
        <v>347</v>
      </c>
      <c r="P2108" s="16">
        <v>0</v>
      </c>
      <c r="Q2108" s="16">
        <v>0</v>
      </c>
      <c r="R2108" s="5" t="str">
        <f t="shared" si="335"/>
        <v>417.2-2023-12-31</v>
      </c>
    </row>
    <row r="2109" spans="1:18" x14ac:dyDescent="0.3">
      <c r="A2109" s="26" t="s">
        <v>654</v>
      </c>
      <c r="B2109" s="23" t="s">
        <v>578</v>
      </c>
      <c r="C2109" s="5" t="s">
        <v>43</v>
      </c>
      <c r="D2109" s="5" t="s">
        <v>11</v>
      </c>
      <c r="E2109" s="5" t="s">
        <v>9</v>
      </c>
      <c r="F2109" s="6">
        <v>45473</v>
      </c>
      <c r="G2109" s="5">
        <f t="shared" si="332"/>
        <v>2024</v>
      </c>
      <c r="H2109" s="5" t="str">
        <f t="shared" si="333"/>
        <v>Junio</v>
      </c>
      <c r="I2109" s="6" t="str">
        <f t="shared" si="334"/>
        <v>2024-1</v>
      </c>
      <c r="J2109" s="5">
        <v>70.150000000000006</v>
      </c>
      <c r="K2109" s="5">
        <v>83.25</v>
      </c>
      <c r="L2109" s="15">
        <v>1</v>
      </c>
      <c r="M2109" s="15">
        <v>1</v>
      </c>
      <c r="N2109" s="5" t="s">
        <v>347</v>
      </c>
      <c r="O2109" s="5" t="s">
        <v>347</v>
      </c>
      <c r="P2109" s="5">
        <v>0</v>
      </c>
      <c r="Q2109" s="5">
        <v>0</v>
      </c>
      <c r="R2109" s="5" t="str">
        <f t="shared" si="335"/>
        <v>417.2-2024-06-30</v>
      </c>
    </row>
    <row r="2110" spans="1:18" x14ac:dyDescent="0.3">
      <c r="A2110" s="26" t="s">
        <v>655</v>
      </c>
      <c r="B2110" s="23" t="s">
        <v>579</v>
      </c>
      <c r="C2110" s="5" t="s">
        <v>84</v>
      </c>
      <c r="D2110" s="5" t="s">
        <v>11</v>
      </c>
      <c r="E2110" s="5" t="s">
        <v>9</v>
      </c>
      <c r="F2110" s="6">
        <v>45107</v>
      </c>
      <c r="G2110" s="5">
        <f t="shared" si="332"/>
        <v>2023</v>
      </c>
      <c r="H2110" s="5" t="str">
        <f t="shared" si="333"/>
        <v>Junio</v>
      </c>
      <c r="I2110" s="6" t="str">
        <f t="shared" si="334"/>
        <v>2023-1</v>
      </c>
      <c r="J2110" s="5">
        <v>56</v>
      </c>
      <c r="K2110" s="5">
        <v>74</v>
      </c>
      <c r="L2110" s="24">
        <f>IF(IFERROR(K2110/J2110,"")&gt;130%,130%,K2110/J2110)</f>
        <v>1.3</v>
      </c>
      <c r="M2110" s="15">
        <f>IFERROR(IF((K2110/J2110)&gt;K2110/J2110,1.3,K2110/J2110),"")</f>
        <v>1.3214285714285714</v>
      </c>
      <c r="N2110" s="5" t="s">
        <v>347</v>
      </c>
      <c r="O2110" s="5" t="s">
        <v>347</v>
      </c>
      <c r="P2110" s="16">
        <v>0</v>
      </c>
      <c r="Q2110" s="16">
        <v>0</v>
      </c>
      <c r="R2110" s="5" t="str">
        <f t="shared" si="335"/>
        <v>417.3-2023-06-30</v>
      </c>
    </row>
    <row r="2111" spans="1:18" x14ac:dyDescent="0.3">
      <c r="A2111" s="26" t="s">
        <v>655</v>
      </c>
      <c r="B2111" s="23" t="s">
        <v>579</v>
      </c>
      <c r="C2111" s="5" t="s">
        <v>84</v>
      </c>
      <c r="D2111" s="5" t="s">
        <v>11</v>
      </c>
      <c r="E2111" s="5" t="s">
        <v>9</v>
      </c>
      <c r="F2111" s="6">
        <v>45291</v>
      </c>
      <c r="G2111" s="5">
        <f t="shared" si="332"/>
        <v>2023</v>
      </c>
      <c r="H2111" s="5" t="str">
        <f t="shared" si="333"/>
        <v>Diciembre</v>
      </c>
      <c r="I2111" s="6" t="str">
        <f t="shared" si="334"/>
        <v>2023-2</v>
      </c>
      <c r="J2111" s="5">
        <v>100</v>
      </c>
      <c r="K2111" s="10">
        <v>93.75</v>
      </c>
      <c r="L2111" s="15">
        <f>IFERROR(IF((K2111/J2111)&gt;1.3,1.3,K2111/J2111),"")</f>
        <v>0.9375</v>
      </c>
      <c r="M2111" s="15">
        <f>IFERROR(IF((K2111/J2111)&gt;K2111/J2111,1.3,K2111/J2111),"")</f>
        <v>0.9375</v>
      </c>
      <c r="N2111" s="5" t="s">
        <v>347</v>
      </c>
      <c r="O2111" s="5" t="s">
        <v>347</v>
      </c>
      <c r="P2111" s="16">
        <v>0</v>
      </c>
      <c r="Q2111" s="16">
        <v>0</v>
      </c>
      <c r="R2111" s="5" t="str">
        <f t="shared" si="335"/>
        <v>417.3-2023-12-31</v>
      </c>
    </row>
    <row r="2112" spans="1:18" x14ac:dyDescent="0.3">
      <c r="A2112" s="26" t="s">
        <v>655</v>
      </c>
      <c r="B2112" s="23" t="s">
        <v>579</v>
      </c>
      <c r="C2112" s="5" t="s">
        <v>84</v>
      </c>
      <c r="D2112" s="5" t="s">
        <v>11</v>
      </c>
      <c r="E2112" s="5" t="s">
        <v>9</v>
      </c>
      <c r="F2112" s="6">
        <v>45473</v>
      </c>
      <c r="G2112" s="5">
        <f t="shared" si="332"/>
        <v>2024</v>
      </c>
      <c r="H2112" s="5" t="str">
        <f t="shared" si="333"/>
        <v>Junio</v>
      </c>
      <c r="I2112" s="6" t="str">
        <f t="shared" si="334"/>
        <v>2024-1</v>
      </c>
      <c r="J2112" s="5">
        <v>36.979999999999997</v>
      </c>
      <c r="K2112" s="5">
        <v>52.24</v>
      </c>
      <c r="L2112" s="15">
        <v>1</v>
      </c>
      <c r="M2112" s="15">
        <v>1</v>
      </c>
      <c r="N2112" s="5" t="s">
        <v>347</v>
      </c>
      <c r="O2112" s="5" t="s">
        <v>347</v>
      </c>
      <c r="P2112" s="5">
        <v>0</v>
      </c>
      <c r="Q2112" s="5">
        <v>0</v>
      </c>
      <c r="R2112" s="5" t="str">
        <f t="shared" si="335"/>
        <v>417.3-2024-06-30</v>
      </c>
    </row>
    <row r="2113" spans="1:18" x14ac:dyDescent="0.3">
      <c r="A2113" s="26" t="s">
        <v>656</v>
      </c>
      <c r="B2113" s="23" t="s">
        <v>657</v>
      </c>
      <c r="C2113" s="5" t="s">
        <v>185</v>
      </c>
      <c r="D2113" s="5" t="s">
        <v>11</v>
      </c>
      <c r="E2113" s="5" t="s">
        <v>9</v>
      </c>
      <c r="F2113" s="6">
        <v>45107</v>
      </c>
      <c r="G2113" s="5">
        <f t="shared" si="332"/>
        <v>2023</v>
      </c>
      <c r="H2113" s="5" t="str">
        <f t="shared" si="333"/>
        <v>Junio</v>
      </c>
      <c r="I2113" s="6" t="str">
        <f t="shared" si="334"/>
        <v>2023-1</v>
      </c>
      <c r="J2113" s="5">
        <v>44</v>
      </c>
      <c r="K2113" s="5">
        <v>49</v>
      </c>
      <c r="L2113" s="24">
        <f>K2113/J2113</f>
        <v>1.1136363636363635</v>
      </c>
      <c r="M2113" s="15">
        <f>IFERROR(IF((K2113/J2113)&gt;K2113/J2113,1.3,K2113/J2113),"")</f>
        <v>1.1136363636363635</v>
      </c>
      <c r="N2113" s="5" t="s">
        <v>347</v>
      </c>
      <c r="O2113" s="5" t="s">
        <v>347</v>
      </c>
      <c r="P2113" s="16">
        <v>0</v>
      </c>
      <c r="Q2113" s="16">
        <v>0</v>
      </c>
      <c r="R2113" s="5" t="str">
        <f t="shared" si="335"/>
        <v>417.4-2023-06-30</v>
      </c>
    </row>
    <row r="2114" spans="1:18" x14ac:dyDescent="0.3">
      <c r="A2114" s="26" t="s">
        <v>656</v>
      </c>
      <c r="B2114" s="23" t="s">
        <v>657</v>
      </c>
      <c r="C2114" s="5" t="s">
        <v>185</v>
      </c>
      <c r="D2114" s="5" t="s">
        <v>11</v>
      </c>
      <c r="E2114" s="5" t="s">
        <v>9</v>
      </c>
      <c r="F2114" s="6">
        <v>45291</v>
      </c>
      <c r="G2114" s="5">
        <f t="shared" ref="G2114:G2177" si="337">YEAR(F2114)</f>
        <v>2023</v>
      </c>
      <c r="H2114" s="5" t="str">
        <f t="shared" ref="H2114:H2177" si="338">PROPER(TEXT(F2114,"mmmm"))</f>
        <v>Diciembre</v>
      </c>
      <c r="I2114" s="6" t="str">
        <f t="shared" si="334"/>
        <v>2023-2</v>
      </c>
      <c r="J2114" s="5">
        <v>100</v>
      </c>
      <c r="K2114" s="10">
        <v>94.17</v>
      </c>
      <c r="L2114" s="15">
        <f>IFERROR(IF((K2114/J2114)&gt;1.3,1.3,K2114/J2114),"")</f>
        <v>0.94169999999999998</v>
      </c>
      <c r="M2114" s="15">
        <f>IFERROR(IF((K2114/J2114)&gt;K2114/J2114,1.3,K2114/J2114),"")</f>
        <v>0.94169999999999998</v>
      </c>
      <c r="N2114" s="5" t="s">
        <v>347</v>
      </c>
      <c r="O2114" s="5" t="s">
        <v>347</v>
      </c>
      <c r="P2114" s="16">
        <v>0</v>
      </c>
      <c r="Q2114" s="16">
        <v>0</v>
      </c>
      <c r="R2114" s="5" t="str">
        <f t="shared" si="335"/>
        <v>417.4-2023-12-31</v>
      </c>
    </row>
    <row r="2115" spans="1:18" x14ac:dyDescent="0.3">
      <c r="A2115" s="26" t="s">
        <v>656</v>
      </c>
      <c r="B2115" s="23" t="s">
        <v>657</v>
      </c>
      <c r="C2115" s="5" t="s">
        <v>185</v>
      </c>
      <c r="D2115" s="5" t="s">
        <v>11</v>
      </c>
      <c r="E2115" s="5" t="s">
        <v>9</v>
      </c>
      <c r="F2115" s="6">
        <v>45473</v>
      </c>
      <c r="G2115" s="5">
        <f t="shared" si="337"/>
        <v>2024</v>
      </c>
      <c r="H2115" s="5" t="str">
        <f t="shared" si="338"/>
        <v>Junio</v>
      </c>
      <c r="I2115" s="6" t="str">
        <f t="shared" ref="I2115:I2178" si="339">IF(OR(H2115="Enero",H2115="Febrero",H2115="Marzo",H2115="Abril",H2115="Mayo",H2115="Junio"),G2115&amp;"-1",IF(OR(H2115="Julio",H2115="Agosto",H2115="Septiembre",H2115="Octubre",H2115="Noviembre",H2115="Diciembre"),G2115&amp;"-2"))</f>
        <v>2024-1</v>
      </c>
      <c r="J2115" s="5">
        <v>39.619999999999997</v>
      </c>
      <c r="K2115" s="5">
        <v>43.31</v>
      </c>
      <c r="L2115" s="15">
        <v>1</v>
      </c>
      <c r="M2115" s="15">
        <v>1</v>
      </c>
      <c r="N2115" s="5" t="s">
        <v>347</v>
      </c>
      <c r="O2115" s="5" t="s">
        <v>347</v>
      </c>
      <c r="P2115" s="5">
        <v>0</v>
      </c>
      <c r="Q2115" s="5">
        <v>0</v>
      </c>
      <c r="R2115" s="5" t="str">
        <f t="shared" ref="R2115:R2178" si="340">A2115&amp;"-"&amp;YEAR(F2115)&amp;"-"&amp;IF(LEN(MONTH(F2115))=1,"0"&amp;MONTH(F2115),MONTH(F2115))&amp;"-"&amp;DAY(F2115)</f>
        <v>417.4-2024-06-30</v>
      </c>
    </row>
    <row r="2116" spans="1:18" x14ac:dyDescent="0.3">
      <c r="A2116" s="26" t="s">
        <v>659</v>
      </c>
      <c r="B2116" s="23" t="s">
        <v>658</v>
      </c>
      <c r="C2116" s="5" t="s">
        <v>7</v>
      </c>
      <c r="D2116" s="5" t="s">
        <v>11</v>
      </c>
      <c r="E2116" s="5" t="s">
        <v>9</v>
      </c>
      <c r="F2116" s="6">
        <v>45107</v>
      </c>
      <c r="G2116" s="5">
        <f t="shared" si="337"/>
        <v>2023</v>
      </c>
      <c r="H2116" s="5" t="str">
        <f t="shared" si="338"/>
        <v>Junio</v>
      </c>
      <c r="I2116" s="6" t="str">
        <f t="shared" si="339"/>
        <v>2023-1</v>
      </c>
      <c r="J2116" s="5">
        <v>62</v>
      </c>
      <c r="K2116" s="5">
        <v>64</v>
      </c>
      <c r="L2116" s="24">
        <f>K2116/J2116</f>
        <v>1.032258064516129</v>
      </c>
      <c r="M2116" s="15">
        <f>IFERROR(IF((K2116/J2116)&gt;K2116/J2116,1.3,K2116/J2116),"")</f>
        <v>1.032258064516129</v>
      </c>
      <c r="N2116" s="5" t="s">
        <v>347</v>
      </c>
      <c r="O2116" s="5" t="s">
        <v>347</v>
      </c>
      <c r="P2116" s="16">
        <v>0</v>
      </c>
      <c r="Q2116" s="16">
        <v>0</v>
      </c>
      <c r="R2116" s="5" t="str">
        <f t="shared" si="340"/>
        <v>417.5-2023-06-30</v>
      </c>
    </row>
    <row r="2117" spans="1:18" x14ac:dyDescent="0.3">
      <c r="A2117" s="26" t="s">
        <v>659</v>
      </c>
      <c r="B2117" s="23" t="s">
        <v>658</v>
      </c>
      <c r="C2117" s="5" t="s">
        <v>7</v>
      </c>
      <c r="D2117" s="5" t="s">
        <v>11</v>
      </c>
      <c r="E2117" s="5" t="s">
        <v>9</v>
      </c>
      <c r="F2117" s="6">
        <v>45291</v>
      </c>
      <c r="G2117" s="5">
        <f t="shared" si="337"/>
        <v>2023</v>
      </c>
      <c r="H2117" s="5" t="str">
        <f t="shared" si="338"/>
        <v>Diciembre</v>
      </c>
      <c r="I2117" s="6" t="str">
        <f t="shared" si="339"/>
        <v>2023-2</v>
      </c>
      <c r="J2117" s="5">
        <v>100</v>
      </c>
      <c r="K2117" s="10">
        <v>99</v>
      </c>
      <c r="L2117" s="15">
        <f>IFERROR(IF((K2117/J2117)&gt;1.3,1.3,K2117/J2117),"")</f>
        <v>0.99</v>
      </c>
      <c r="M2117" s="15">
        <f>IFERROR(IF((K2117/J2117)&gt;K2117/J2117,1.3,K2117/J2117),"")</f>
        <v>0.99</v>
      </c>
      <c r="N2117" s="5" t="s">
        <v>347</v>
      </c>
      <c r="O2117" s="5" t="s">
        <v>347</v>
      </c>
      <c r="P2117" s="16">
        <v>0</v>
      </c>
      <c r="Q2117" s="16">
        <v>0</v>
      </c>
      <c r="R2117" s="5" t="str">
        <f t="shared" si="340"/>
        <v>417.5-2023-12-31</v>
      </c>
    </row>
    <row r="2118" spans="1:18" x14ac:dyDescent="0.3">
      <c r="A2118" s="26" t="s">
        <v>659</v>
      </c>
      <c r="B2118" s="23" t="s">
        <v>658</v>
      </c>
      <c r="C2118" s="5" t="s">
        <v>7</v>
      </c>
      <c r="D2118" s="5" t="s">
        <v>11</v>
      </c>
      <c r="E2118" s="5" t="s">
        <v>9</v>
      </c>
      <c r="F2118" s="6">
        <v>45473</v>
      </c>
      <c r="G2118" s="5">
        <f t="shared" si="337"/>
        <v>2024</v>
      </c>
      <c r="H2118" s="5" t="str">
        <f t="shared" si="338"/>
        <v>Junio</v>
      </c>
      <c r="I2118" s="6" t="str">
        <f t="shared" si="339"/>
        <v>2024-1</v>
      </c>
      <c r="J2118" s="5">
        <v>48.75</v>
      </c>
      <c r="K2118" s="5">
        <v>48.75</v>
      </c>
      <c r="L2118" s="15">
        <v>1</v>
      </c>
      <c r="M2118" s="15">
        <v>1</v>
      </c>
      <c r="N2118" s="5" t="s">
        <v>347</v>
      </c>
      <c r="O2118" s="5" t="s">
        <v>347</v>
      </c>
      <c r="P2118" s="5">
        <v>0</v>
      </c>
      <c r="Q2118" s="5">
        <v>0</v>
      </c>
      <c r="R2118" s="5" t="str">
        <f t="shared" si="340"/>
        <v>417.5-2024-06-30</v>
      </c>
    </row>
    <row r="2119" spans="1:18" x14ac:dyDescent="0.3">
      <c r="A2119" s="26" t="s">
        <v>704</v>
      </c>
      <c r="B2119" s="23" t="s">
        <v>580</v>
      </c>
      <c r="C2119" s="5"/>
      <c r="D2119" s="5" t="s">
        <v>11</v>
      </c>
      <c r="E2119" s="5" t="s">
        <v>9</v>
      </c>
      <c r="F2119" s="6">
        <v>45107</v>
      </c>
      <c r="G2119" s="5">
        <f t="shared" si="337"/>
        <v>2023</v>
      </c>
      <c r="H2119" s="5" t="str">
        <f t="shared" si="338"/>
        <v>Junio</v>
      </c>
      <c r="I2119" s="6" t="str">
        <f t="shared" si="339"/>
        <v>2023-1</v>
      </c>
      <c r="J2119" s="5">
        <v>52</v>
      </c>
      <c r="K2119" s="5">
        <v>63</v>
      </c>
      <c r="L2119" s="24">
        <f>K2119/J2119</f>
        <v>1.2115384615384615</v>
      </c>
      <c r="M2119" s="15">
        <f>IFERROR(IF((K2119/J2119)&gt;K2119/J2119,1.3,K2119/J2119),"")</f>
        <v>1.2115384615384615</v>
      </c>
      <c r="N2119" s="5" t="s">
        <v>347</v>
      </c>
      <c r="O2119" s="5" t="s">
        <v>347</v>
      </c>
      <c r="P2119" s="16">
        <v>0</v>
      </c>
      <c r="Q2119" s="16">
        <v>0</v>
      </c>
      <c r="R2119" s="5" t="str">
        <f t="shared" si="340"/>
        <v>417.6-2023-06-30</v>
      </c>
    </row>
    <row r="2120" spans="1:18" x14ac:dyDescent="0.3">
      <c r="A2120" s="26" t="s">
        <v>704</v>
      </c>
      <c r="B2120" s="23" t="s">
        <v>580</v>
      </c>
      <c r="C2120" s="5"/>
      <c r="D2120" s="5" t="s">
        <v>11</v>
      </c>
      <c r="E2120" s="5" t="s">
        <v>9</v>
      </c>
      <c r="F2120" s="6">
        <v>45291</v>
      </c>
      <c r="G2120" s="5">
        <f t="shared" si="337"/>
        <v>2023</v>
      </c>
      <c r="H2120" s="5" t="str">
        <f t="shared" si="338"/>
        <v>Diciembre</v>
      </c>
      <c r="I2120" s="6" t="str">
        <f t="shared" si="339"/>
        <v>2023-2</v>
      </c>
      <c r="J2120" s="5">
        <v>100</v>
      </c>
      <c r="K2120" s="10">
        <v>98.75</v>
      </c>
      <c r="L2120" s="15">
        <f>IFERROR(IF((K2120/J2120)&gt;1.3,1.3,K2120/J2120),"")</f>
        <v>0.98750000000000004</v>
      </c>
      <c r="M2120" s="15">
        <f>IFERROR(IF((K2120/J2120)&gt;K2120/J2120,1.3,K2120/J2120),"")</f>
        <v>0.98750000000000004</v>
      </c>
      <c r="N2120" s="5" t="s">
        <v>347</v>
      </c>
      <c r="O2120" s="5" t="s">
        <v>347</v>
      </c>
      <c r="P2120" s="16">
        <v>0</v>
      </c>
      <c r="Q2120" s="16">
        <v>0</v>
      </c>
      <c r="R2120" s="5" t="str">
        <f t="shared" si="340"/>
        <v>417.6-2023-12-31</v>
      </c>
    </row>
    <row r="2121" spans="1:18" x14ac:dyDescent="0.3">
      <c r="A2121" s="26" t="s">
        <v>704</v>
      </c>
      <c r="B2121" s="23" t="s">
        <v>580</v>
      </c>
      <c r="C2121" s="5"/>
      <c r="D2121" s="5" t="s">
        <v>11</v>
      </c>
      <c r="E2121" s="5" t="s">
        <v>9</v>
      </c>
      <c r="F2121" s="6">
        <v>45473</v>
      </c>
      <c r="G2121" s="5">
        <f t="shared" si="337"/>
        <v>2024</v>
      </c>
      <c r="H2121" s="5" t="str">
        <f t="shared" si="338"/>
        <v>Junio</v>
      </c>
      <c r="I2121" s="6" t="str">
        <f t="shared" si="339"/>
        <v>2024-1</v>
      </c>
      <c r="J2121" s="5">
        <v>47.2</v>
      </c>
      <c r="K2121" s="5">
        <v>49.23</v>
      </c>
      <c r="L2121" s="15">
        <v>1</v>
      </c>
      <c r="M2121" s="15">
        <v>1</v>
      </c>
      <c r="N2121" s="5" t="s">
        <v>347</v>
      </c>
      <c r="O2121" s="5" t="s">
        <v>347</v>
      </c>
      <c r="P2121" s="5">
        <v>0</v>
      </c>
      <c r="Q2121" s="5">
        <v>0</v>
      </c>
      <c r="R2121" s="5" t="str">
        <f t="shared" si="340"/>
        <v>417.6-2024-06-30</v>
      </c>
    </row>
    <row r="2122" spans="1:18" x14ac:dyDescent="0.3">
      <c r="A2122" s="26" t="s">
        <v>660</v>
      </c>
      <c r="B2122" s="23" t="s">
        <v>583</v>
      </c>
      <c r="C2122" s="5" t="s">
        <v>209</v>
      </c>
      <c r="D2122" s="5" t="s">
        <v>11</v>
      </c>
      <c r="E2122" s="5" t="s">
        <v>9</v>
      </c>
      <c r="F2122" s="6">
        <v>45107</v>
      </c>
      <c r="G2122" s="5">
        <f t="shared" si="337"/>
        <v>2023</v>
      </c>
      <c r="H2122" s="5" t="str">
        <f t="shared" si="338"/>
        <v>Junio</v>
      </c>
      <c r="I2122" s="6" t="str">
        <f t="shared" si="339"/>
        <v>2023-1</v>
      </c>
      <c r="J2122" s="5">
        <v>43</v>
      </c>
      <c r="K2122" s="5">
        <v>46</v>
      </c>
      <c r="L2122" s="24">
        <f>K2122/J2122</f>
        <v>1.069767441860465</v>
      </c>
      <c r="M2122" s="15">
        <f>IFERROR(IF((K2122/J2122)&gt;K2122/J2122,1.3,K2122/J2122),"")</f>
        <v>1.069767441860465</v>
      </c>
      <c r="N2122" s="5" t="s">
        <v>347</v>
      </c>
      <c r="O2122" s="5" t="s">
        <v>347</v>
      </c>
      <c r="P2122" s="16">
        <v>0</v>
      </c>
      <c r="Q2122" s="16">
        <v>0</v>
      </c>
      <c r="R2122" s="5" t="str">
        <f t="shared" si="340"/>
        <v>418.1-2023-06-30</v>
      </c>
    </row>
    <row r="2123" spans="1:18" x14ac:dyDescent="0.3">
      <c r="A2123" s="26" t="s">
        <v>660</v>
      </c>
      <c r="B2123" s="23" t="s">
        <v>583</v>
      </c>
      <c r="C2123" s="5" t="s">
        <v>209</v>
      </c>
      <c r="D2123" s="5" t="s">
        <v>11</v>
      </c>
      <c r="E2123" s="5" t="s">
        <v>9</v>
      </c>
      <c r="F2123" s="6">
        <v>45291</v>
      </c>
      <c r="G2123" s="5">
        <f t="shared" si="337"/>
        <v>2023</v>
      </c>
      <c r="H2123" s="5" t="str">
        <f t="shared" si="338"/>
        <v>Diciembre</v>
      </c>
      <c r="I2123" s="6" t="str">
        <f t="shared" si="339"/>
        <v>2023-2</v>
      </c>
      <c r="J2123" s="5">
        <v>100</v>
      </c>
      <c r="K2123" s="10">
        <v>87.5</v>
      </c>
      <c r="L2123" s="15">
        <f>IFERROR(IF((K2123/J2123)&gt;1.3,1.3,K2123/J2123),"")</f>
        <v>0.875</v>
      </c>
      <c r="M2123" s="15">
        <f>IFERROR(IF((K2123/J2123)&gt;K2123/J2123,1.3,K2123/J2123),"")</f>
        <v>0.875</v>
      </c>
      <c r="N2123" s="5" t="s">
        <v>347</v>
      </c>
      <c r="O2123" s="5" t="s">
        <v>347</v>
      </c>
      <c r="P2123" s="16">
        <v>0</v>
      </c>
      <c r="Q2123" s="16">
        <v>0</v>
      </c>
      <c r="R2123" s="5" t="str">
        <f t="shared" si="340"/>
        <v>418.1-2023-12-31</v>
      </c>
    </row>
    <row r="2124" spans="1:18" x14ac:dyDescent="0.3">
      <c r="A2124" s="26" t="s">
        <v>660</v>
      </c>
      <c r="B2124" s="23" t="s">
        <v>583</v>
      </c>
      <c r="C2124" s="5" t="s">
        <v>209</v>
      </c>
      <c r="D2124" s="5" t="s">
        <v>11</v>
      </c>
      <c r="E2124" s="5" t="s">
        <v>9</v>
      </c>
      <c r="F2124" s="6">
        <v>45473</v>
      </c>
      <c r="G2124" s="5">
        <f t="shared" si="337"/>
        <v>2024</v>
      </c>
      <c r="H2124" s="5" t="str">
        <f t="shared" si="338"/>
        <v>Junio</v>
      </c>
      <c r="I2124" s="6" t="str">
        <f t="shared" si="339"/>
        <v>2024-1</v>
      </c>
      <c r="J2124" s="5">
        <v>49.54</v>
      </c>
      <c r="K2124" s="5">
        <v>67.12</v>
      </c>
      <c r="L2124" s="15">
        <v>1</v>
      </c>
      <c r="M2124" s="15">
        <v>1</v>
      </c>
      <c r="N2124" s="5" t="s">
        <v>347</v>
      </c>
      <c r="O2124" s="5" t="s">
        <v>347</v>
      </c>
      <c r="P2124" s="5">
        <v>0</v>
      </c>
      <c r="Q2124" s="5">
        <v>0</v>
      </c>
      <c r="R2124" s="5" t="str">
        <f t="shared" si="340"/>
        <v>418.1-2024-06-30</v>
      </c>
    </row>
    <row r="2125" spans="1:18" x14ac:dyDescent="0.3">
      <c r="A2125" s="26" t="s">
        <v>661</v>
      </c>
      <c r="B2125" s="23" t="s">
        <v>584</v>
      </c>
      <c r="C2125" s="5" t="s">
        <v>59</v>
      </c>
      <c r="D2125" s="5" t="s">
        <v>11</v>
      </c>
      <c r="E2125" s="5" t="s">
        <v>9</v>
      </c>
      <c r="F2125" s="6">
        <v>45107</v>
      </c>
      <c r="G2125" s="5">
        <f t="shared" si="337"/>
        <v>2023</v>
      </c>
      <c r="H2125" s="5" t="str">
        <f t="shared" si="338"/>
        <v>Junio</v>
      </c>
      <c r="I2125" s="6" t="str">
        <f t="shared" si="339"/>
        <v>2023-1</v>
      </c>
      <c r="J2125" s="5">
        <v>39</v>
      </c>
      <c r="K2125" s="5">
        <v>20</v>
      </c>
      <c r="L2125" s="24">
        <f>K2125/J2125</f>
        <v>0.51282051282051277</v>
      </c>
      <c r="M2125" s="15">
        <f>IFERROR(IF((K2125/J2125)&gt;K2125/J2125,1.3,K2125/J2125),"")</f>
        <v>0.51282051282051277</v>
      </c>
      <c r="N2125" s="5" t="s">
        <v>347</v>
      </c>
      <c r="O2125" s="5" t="s">
        <v>347</v>
      </c>
      <c r="P2125" s="16">
        <v>0</v>
      </c>
      <c r="Q2125" s="16">
        <v>0</v>
      </c>
      <c r="R2125" s="5" t="str">
        <f t="shared" si="340"/>
        <v>418.2-2023-06-30</v>
      </c>
    </row>
    <row r="2126" spans="1:18" x14ac:dyDescent="0.3">
      <c r="A2126" s="26" t="s">
        <v>661</v>
      </c>
      <c r="B2126" s="23" t="s">
        <v>584</v>
      </c>
      <c r="C2126" s="5" t="s">
        <v>59</v>
      </c>
      <c r="D2126" s="5" t="s">
        <v>11</v>
      </c>
      <c r="E2126" s="5" t="s">
        <v>9</v>
      </c>
      <c r="F2126" s="6">
        <v>45291</v>
      </c>
      <c r="G2126" s="5">
        <f t="shared" si="337"/>
        <v>2023</v>
      </c>
      <c r="H2126" s="5" t="str">
        <f t="shared" si="338"/>
        <v>Diciembre</v>
      </c>
      <c r="I2126" s="6" t="str">
        <f t="shared" si="339"/>
        <v>2023-2</v>
      </c>
      <c r="J2126" s="5">
        <v>100</v>
      </c>
      <c r="K2126" s="10">
        <v>86.25</v>
      </c>
      <c r="L2126" s="15">
        <f>IFERROR(IF((K2126/J2126)&gt;1.3,1.3,K2126/J2126),"")</f>
        <v>0.86250000000000004</v>
      </c>
      <c r="M2126" s="15">
        <f>IFERROR(IF((K2126/J2126)&gt;K2126/J2126,1.3,K2126/J2126),"")</f>
        <v>0.86250000000000004</v>
      </c>
      <c r="N2126" s="5" t="s">
        <v>347</v>
      </c>
      <c r="O2126" s="5" t="s">
        <v>347</v>
      </c>
      <c r="P2126" s="16">
        <v>0</v>
      </c>
      <c r="Q2126" s="16">
        <v>0</v>
      </c>
      <c r="R2126" s="5" t="str">
        <f t="shared" si="340"/>
        <v>418.2-2023-12-31</v>
      </c>
    </row>
    <row r="2127" spans="1:18" x14ac:dyDescent="0.3">
      <c r="A2127" s="26" t="s">
        <v>661</v>
      </c>
      <c r="B2127" s="23" t="s">
        <v>584</v>
      </c>
      <c r="C2127" s="5" t="s">
        <v>59</v>
      </c>
      <c r="D2127" s="5" t="s">
        <v>11</v>
      </c>
      <c r="E2127" s="5" t="s">
        <v>9</v>
      </c>
      <c r="F2127" s="6">
        <v>45473</v>
      </c>
      <c r="G2127" s="5">
        <f t="shared" si="337"/>
        <v>2024</v>
      </c>
      <c r="H2127" s="5" t="str">
        <f t="shared" si="338"/>
        <v>Junio</v>
      </c>
      <c r="I2127" s="6" t="str">
        <f t="shared" si="339"/>
        <v>2024-1</v>
      </c>
      <c r="J2127" s="5">
        <v>89.58</v>
      </c>
      <c r="K2127" s="5">
        <v>61</v>
      </c>
      <c r="L2127" s="15">
        <v>0.68095557043983035</v>
      </c>
      <c r="M2127" s="15">
        <v>0.68095557043983035</v>
      </c>
      <c r="N2127" s="5" t="s">
        <v>347</v>
      </c>
      <c r="O2127" s="5" t="s">
        <v>347</v>
      </c>
      <c r="P2127" s="5">
        <v>0</v>
      </c>
      <c r="Q2127" s="5">
        <v>0</v>
      </c>
      <c r="R2127" s="5" t="str">
        <f t="shared" si="340"/>
        <v>418.2-2024-06-30</v>
      </c>
    </row>
    <row r="2128" spans="1:18" x14ac:dyDescent="0.3">
      <c r="A2128" s="26" t="s">
        <v>662</v>
      </c>
      <c r="B2128" s="23" t="s">
        <v>585</v>
      </c>
      <c r="C2128" s="5" t="s">
        <v>53</v>
      </c>
      <c r="D2128" s="5" t="s">
        <v>11</v>
      </c>
      <c r="E2128" s="5" t="s">
        <v>9</v>
      </c>
      <c r="F2128" s="6">
        <v>45107</v>
      </c>
      <c r="G2128" s="5">
        <f t="shared" si="337"/>
        <v>2023</v>
      </c>
      <c r="H2128" s="5" t="str">
        <f t="shared" si="338"/>
        <v>Junio</v>
      </c>
      <c r="I2128" s="6" t="str">
        <f t="shared" si="339"/>
        <v>2023-1</v>
      </c>
      <c r="J2128" s="5">
        <v>56</v>
      </c>
      <c r="K2128" s="5">
        <v>63</v>
      </c>
      <c r="L2128" s="8">
        <f>IF(IFERROR(K2128/J2128,"")&gt;130%,130%,K2128/J2128)</f>
        <v>1.125</v>
      </c>
      <c r="M2128" s="15">
        <f>IFERROR(IF((K2128/J2128)&gt;K2128/J2128,1.3,K2128/J2128),"")</f>
        <v>1.125</v>
      </c>
      <c r="N2128" s="5" t="s">
        <v>347</v>
      </c>
      <c r="O2128" s="5" t="s">
        <v>347</v>
      </c>
      <c r="P2128" s="16">
        <v>0</v>
      </c>
      <c r="Q2128" s="16">
        <v>0</v>
      </c>
      <c r="R2128" s="5" t="str">
        <f t="shared" si="340"/>
        <v>418.3-2023-06-30</v>
      </c>
    </row>
    <row r="2129" spans="1:18" x14ac:dyDescent="0.3">
      <c r="A2129" s="26" t="s">
        <v>662</v>
      </c>
      <c r="B2129" s="23" t="s">
        <v>585</v>
      </c>
      <c r="C2129" s="5" t="s">
        <v>53</v>
      </c>
      <c r="D2129" s="5" t="s">
        <v>11</v>
      </c>
      <c r="E2129" s="5" t="s">
        <v>9</v>
      </c>
      <c r="F2129" s="6">
        <v>45291</v>
      </c>
      <c r="G2129" s="5">
        <f t="shared" si="337"/>
        <v>2023</v>
      </c>
      <c r="H2129" s="5" t="str">
        <f t="shared" si="338"/>
        <v>Diciembre</v>
      </c>
      <c r="I2129" s="6" t="str">
        <f t="shared" si="339"/>
        <v>2023-2</v>
      </c>
      <c r="J2129" s="5">
        <v>100</v>
      </c>
      <c r="K2129" s="10">
        <v>90.95</v>
      </c>
      <c r="L2129" s="15">
        <f>IFERROR(IF((K2129/J2129)&gt;1.3,1.3,K2129/J2129),"")</f>
        <v>0.90949999999999998</v>
      </c>
      <c r="M2129" s="15">
        <f>IFERROR(IF((K2129/J2129)&gt;K2129/J2129,1.3,K2129/J2129),"")</f>
        <v>0.90949999999999998</v>
      </c>
      <c r="N2129" s="5" t="s">
        <v>347</v>
      </c>
      <c r="O2129" s="5" t="s">
        <v>347</v>
      </c>
      <c r="P2129" s="16">
        <v>0</v>
      </c>
      <c r="Q2129" s="16">
        <v>0</v>
      </c>
      <c r="R2129" s="5" t="str">
        <f t="shared" si="340"/>
        <v>418.3-2023-12-31</v>
      </c>
    </row>
    <row r="2130" spans="1:18" x14ac:dyDescent="0.3">
      <c r="A2130" s="26" t="s">
        <v>662</v>
      </c>
      <c r="B2130" s="23" t="s">
        <v>585</v>
      </c>
      <c r="C2130" s="5" t="s">
        <v>53</v>
      </c>
      <c r="D2130" s="5" t="s">
        <v>11</v>
      </c>
      <c r="E2130" s="5" t="s">
        <v>9</v>
      </c>
      <c r="F2130" s="6">
        <v>45473</v>
      </c>
      <c r="G2130" s="5">
        <f t="shared" si="337"/>
        <v>2024</v>
      </c>
      <c r="H2130" s="5" t="str">
        <f t="shared" si="338"/>
        <v>Junio</v>
      </c>
      <c r="I2130" s="6" t="str">
        <f t="shared" si="339"/>
        <v>2024-1</v>
      </c>
      <c r="J2130" s="5">
        <v>42.15</v>
      </c>
      <c r="K2130" s="5">
        <v>45</v>
      </c>
      <c r="L2130" s="15">
        <v>1</v>
      </c>
      <c r="M2130" s="15">
        <v>1</v>
      </c>
      <c r="N2130" s="5" t="s">
        <v>347</v>
      </c>
      <c r="O2130" s="5" t="s">
        <v>347</v>
      </c>
      <c r="P2130" s="5">
        <v>0</v>
      </c>
      <c r="Q2130" s="5">
        <v>0</v>
      </c>
      <c r="R2130" s="5" t="str">
        <f t="shared" si="340"/>
        <v>418.3-2024-06-30</v>
      </c>
    </row>
    <row r="2131" spans="1:18" x14ac:dyDescent="0.3">
      <c r="A2131" s="26" t="s">
        <v>663</v>
      </c>
      <c r="B2131" s="23" t="s">
        <v>586</v>
      </c>
      <c r="C2131" s="5" t="s">
        <v>67</v>
      </c>
      <c r="D2131" s="5" t="s">
        <v>11</v>
      </c>
      <c r="E2131" s="5" t="s">
        <v>9</v>
      </c>
      <c r="F2131" s="6">
        <v>45107</v>
      </c>
      <c r="G2131" s="5">
        <f t="shared" si="337"/>
        <v>2023</v>
      </c>
      <c r="H2131" s="5" t="str">
        <f t="shared" si="338"/>
        <v>Junio</v>
      </c>
      <c r="I2131" s="6" t="str">
        <f t="shared" si="339"/>
        <v>2023-1</v>
      </c>
      <c r="J2131" s="5">
        <v>67</v>
      </c>
      <c r="K2131" s="5">
        <v>61</v>
      </c>
      <c r="L2131" s="24">
        <f>K2131/J2131</f>
        <v>0.91044776119402981</v>
      </c>
      <c r="M2131" s="15">
        <f>IFERROR(IF((K2131/J2131)&gt;K2131/J2131,1.3,K2131/J2131),"")</f>
        <v>0.91044776119402981</v>
      </c>
      <c r="N2131" s="5" t="s">
        <v>347</v>
      </c>
      <c r="O2131" s="5" t="s">
        <v>347</v>
      </c>
      <c r="P2131" s="16">
        <v>0</v>
      </c>
      <c r="Q2131" s="16">
        <v>0</v>
      </c>
      <c r="R2131" s="5" t="str">
        <f t="shared" si="340"/>
        <v>418.4-2023-06-30</v>
      </c>
    </row>
    <row r="2132" spans="1:18" x14ac:dyDescent="0.3">
      <c r="A2132" s="26" t="s">
        <v>663</v>
      </c>
      <c r="B2132" s="23" t="s">
        <v>586</v>
      </c>
      <c r="C2132" s="5" t="s">
        <v>67</v>
      </c>
      <c r="D2132" s="5" t="s">
        <v>11</v>
      </c>
      <c r="E2132" s="5" t="s">
        <v>9</v>
      </c>
      <c r="F2132" s="6">
        <v>45291</v>
      </c>
      <c r="G2132" s="5">
        <f t="shared" si="337"/>
        <v>2023</v>
      </c>
      <c r="H2132" s="5" t="str">
        <f t="shared" si="338"/>
        <v>Diciembre</v>
      </c>
      <c r="I2132" s="6" t="str">
        <f t="shared" si="339"/>
        <v>2023-2</v>
      </c>
      <c r="J2132" s="5">
        <v>100</v>
      </c>
      <c r="K2132" s="10">
        <v>99.78</v>
      </c>
      <c r="L2132" s="15">
        <f>IFERROR(IF((K2132/J2132)&gt;1.3,1.3,K2132/J2132),"")</f>
        <v>0.99780000000000002</v>
      </c>
      <c r="M2132" s="15">
        <f>IFERROR(IF((K2132/J2132)&gt;K2132/J2132,1.3,K2132/J2132),"")</f>
        <v>0.99780000000000002</v>
      </c>
      <c r="N2132" s="5" t="s">
        <v>347</v>
      </c>
      <c r="O2132" s="5" t="s">
        <v>347</v>
      </c>
      <c r="P2132" s="16">
        <v>0</v>
      </c>
      <c r="Q2132" s="16">
        <v>0</v>
      </c>
      <c r="R2132" s="5" t="str">
        <f t="shared" si="340"/>
        <v>418.4-2023-12-31</v>
      </c>
    </row>
    <row r="2133" spans="1:18" x14ac:dyDescent="0.3">
      <c r="A2133" s="26" t="s">
        <v>663</v>
      </c>
      <c r="B2133" s="23" t="s">
        <v>586</v>
      </c>
      <c r="C2133" s="5" t="s">
        <v>67</v>
      </c>
      <c r="D2133" s="5" t="s">
        <v>11</v>
      </c>
      <c r="E2133" s="5" t="s">
        <v>9</v>
      </c>
      <c r="F2133" s="6">
        <v>45473</v>
      </c>
      <c r="G2133" s="5">
        <f t="shared" si="337"/>
        <v>2024</v>
      </c>
      <c r="H2133" s="5" t="str">
        <f t="shared" si="338"/>
        <v>Junio</v>
      </c>
      <c r="I2133" s="6" t="str">
        <f t="shared" si="339"/>
        <v>2024-1</v>
      </c>
      <c r="J2133" s="5">
        <v>51.88</v>
      </c>
      <c r="K2133" s="5">
        <v>57</v>
      </c>
      <c r="L2133" s="15">
        <v>1</v>
      </c>
      <c r="M2133" s="15">
        <v>1</v>
      </c>
      <c r="N2133" s="5" t="s">
        <v>347</v>
      </c>
      <c r="O2133" s="5" t="s">
        <v>347</v>
      </c>
      <c r="P2133" s="5">
        <v>0</v>
      </c>
      <c r="Q2133" s="5">
        <v>0</v>
      </c>
      <c r="R2133" s="5" t="str">
        <f t="shared" si="340"/>
        <v>418.4-2024-06-30</v>
      </c>
    </row>
    <row r="2134" spans="1:18" x14ac:dyDescent="0.3">
      <c r="A2134" s="26" t="s">
        <v>664</v>
      </c>
      <c r="B2134" s="23" t="s">
        <v>587</v>
      </c>
      <c r="C2134" s="5" t="s">
        <v>162</v>
      </c>
      <c r="D2134" s="5" t="s">
        <v>11</v>
      </c>
      <c r="E2134" s="5" t="s">
        <v>9</v>
      </c>
      <c r="F2134" s="6">
        <v>45107</v>
      </c>
      <c r="G2134" s="5">
        <f t="shared" si="337"/>
        <v>2023</v>
      </c>
      <c r="H2134" s="5" t="str">
        <f t="shared" si="338"/>
        <v>Junio</v>
      </c>
      <c r="I2134" s="6" t="str">
        <f t="shared" si="339"/>
        <v>2023-1</v>
      </c>
      <c r="J2134" s="5">
        <v>56</v>
      </c>
      <c r="K2134" s="5">
        <v>70</v>
      </c>
      <c r="L2134" s="24">
        <f>K2134/J2134</f>
        <v>1.25</v>
      </c>
      <c r="M2134" s="15">
        <f>IFERROR(IF((K2134/J2134)&gt;K2134/J2134,1.3,K2134/J2134),"")</f>
        <v>1.25</v>
      </c>
      <c r="N2134" s="5" t="s">
        <v>347</v>
      </c>
      <c r="O2134" s="5" t="s">
        <v>347</v>
      </c>
      <c r="P2134" s="16">
        <v>0</v>
      </c>
      <c r="Q2134" s="16">
        <v>0</v>
      </c>
      <c r="R2134" s="5" t="str">
        <f t="shared" si="340"/>
        <v>418.5-2023-06-30</v>
      </c>
    </row>
    <row r="2135" spans="1:18" x14ac:dyDescent="0.3">
      <c r="A2135" s="26" t="s">
        <v>664</v>
      </c>
      <c r="B2135" s="23" t="s">
        <v>587</v>
      </c>
      <c r="C2135" s="5" t="s">
        <v>162</v>
      </c>
      <c r="D2135" s="5" t="s">
        <v>11</v>
      </c>
      <c r="E2135" s="5" t="s">
        <v>9</v>
      </c>
      <c r="F2135" s="6">
        <v>45291</v>
      </c>
      <c r="G2135" s="5">
        <f t="shared" si="337"/>
        <v>2023</v>
      </c>
      <c r="H2135" s="5" t="str">
        <f t="shared" si="338"/>
        <v>Diciembre</v>
      </c>
      <c r="I2135" s="6" t="str">
        <f t="shared" si="339"/>
        <v>2023-2</v>
      </c>
      <c r="J2135" s="5">
        <v>100</v>
      </c>
      <c r="K2135" s="10">
        <v>100</v>
      </c>
      <c r="L2135" s="15">
        <f>IFERROR(IF((K2135/J2135)&gt;1.3,1.3,K2135/J2135),"")</f>
        <v>1</v>
      </c>
      <c r="M2135" s="15">
        <f>IFERROR(IF((K2135/J2135)&gt;K2135/J2135,1.3,K2135/J2135),"")</f>
        <v>1</v>
      </c>
      <c r="N2135" s="5" t="s">
        <v>347</v>
      </c>
      <c r="O2135" s="5" t="s">
        <v>347</v>
      </c>
      <c r="P2135" s="16">
        <v>0</v>
      </c>
      <c r="Q2135" s="16">
        <v>0</v>
      </c>
      <c r="R2135" s="5" t="str">
        <f t="shared" si="340"/>
        <v>418.5-2023-12-31</v>
      </c>
    </row>
    <row r="2136" spans="1:18" x14ac:dyDescent="0.3">
      <c r="A2136" s="26" t="s">
        <v>664</v>
      </c>
      <c r="B2136" s="23" t="s">
        <v>587</v>
      </c>
      <c r="C2136" s="5" t="s">
        <v>162</v>
      </c>
      <c r="D2136" s="5" t="s">
        <v>11</v>
      </c>
      <c r="E2136" s="5" t="s">
        <v>9</v>
      </c>
      <c r="F2136" s="6">
        <v>45473</v>
      </c>
      <c r="G2136" s="5">
        <f t="shared" si="337"/>
        <v>2024</v>
      </c>
      <c r="H2136" s="5" t="str">
        <f t="shared" si="338"/>
        <v>Junio</v>
      </c>
      <c r="I2136" s="6" t="str">
        <f t="shared" si="339"/>
        <v>2024-1</v>
      </c>
      <c r="J2136" s="5">
        <v>75.790000000000006</v>
      </c>
      <c r="K2136" s="5">
        <v>65.5</v>
      </c>
      <c r="L2136" s="15">
        <v>0.86423010951312829</v>
      </c>
      <c r="M2136" s="15">
        <v>0.86423010951312829</v>
      </c>
      <c r="N2136" s="5" t="s">
        <v>347</v>
      </c>
      <c r="O2136" s="5" t="s">
        <v>347</v>
      </c>
      <c r="P2136" s="5">
        <v>0</v>
      </c>
      <c r="Q2136" s="5">
        <v>0</v>
      </c>
      <c r="R2136" s="5" t="str">
        <f t="shared" si="340"/>
        <v>418.5-2024-06-30</v>
      </c>
    </row>
    <row r="2137" spans="1:18" x14ac:dyDescent="0.3">
      <c r="A2137" s="26" t="s">
        <v>665</v>
      </c>
      <c r="B2137" s="23" t="s">
        <v>588</v>
      </c>
      <c r="C2137" s="5" t="s">
        <v>129</v>
      </c>
      <c r="D2137" s="5" t="s">
        <v>11</v>
      </c>
      <c r="E2137" s="5" t="s">
        <v>9</v>
      </c>
      <c r="F2137" s="6">
        <v>45107</v>
      </c>
      <c r="G2137" s="5">
        <f t="shared" si="337"/>
        <v>2023</v>
      </c>
      <c r="H2137" s="5" t="str">
        <f t="shared" si="338"/>
        <v>Junio</v>
      </c>
      <c r="I2137" s="6" t="str">
        <f t="shared" si="339"/>
        <v>2023-1</v>
      </c>
      <c r="J2137" s="5">
        <v>56</v>
      </c>
      <c r="K2137" s="5">
        <v>66</v>
      </c>
      <c r="L2137" s="24">
        <f>K2137/J2137</f>
        <v>1.1785714285714286</v>
      </c>
      <c r="M2137" s="15">
        <f>IFERROR(IF((K2137/J2137)&gt;K2137/J2137,1.3,K2137/J2137),"")</f>
        <v>1.1785714285714286</v>
      </c>
      <c r="N2137" s="5" t="s">
        <v>347</v>
      </c>
      <c r="O2137" s="5" t="s">
        <v>347</v>
      </c>
      <c r="P2137" s="16">
        <v>0</v>
      </c>
      <c r="Q2137" s="16">
        <v>0</v>
      </c>
      <c r="R2137" s="5" t="str">
        <f t="shared" si="340"/>
        <v>418.6-2023-06-30</v>
      </c>
    </row>
    <row r="2138" spans="1:18" x14ac:dyDescent="0.3">
      <c r="A2138" s="26" t="s">
        <v>665</v>
      </c>
      <c r="B2138" s="23" t="s">
        <v>588</v>
      </c>
      <c r="C2138" s="5" t="s">
        <v>129</v>
      </c>
      <c r="D2138" s="5" t="s">
        <v>11</v>
      </c>
      <c r="E2138" s="5" t="s">
        <v>9</v>
      </c>
      <c r="F2138" s="6">
        <v>45291</v>
      </c>
      <c r="G2138" s="5">
        <f t="shared" si="337"/>
        <v>2023</v>
      </c>
      <c r="H2138" s="5" t="str">
        <f t="shared" si="338"/>
        <v>Diciembre</v>
      </c>
      <c r="I2138" s="6" t="str">
        <f t="shared" si="339"/>
        <v>2023-2</v>
      </c>
      <c r="J2138" s="5">
        <v>100</v>
      </c>
      <c r="K2138" s="10">
        <v>100</v>
      </c>
      <c r="L2138" s="15">
        <f>IFERROR(IF((K2138/J2138)&gt;1.3,1.3,K2138/J2138),"")</f>
        <v>1</v>
      </c>
      <c r="M2138" s="15">
        <f>IFERROR(IF((K2138/J2138)&gt;K2138/J2138,1.3,K2138/J2138),"")</f>
        <v>1</v>
      </c>
      <c r="N2138" s="5" t="s">
        <v>347</v>
      </c>
      <c r="O2138" s="5" t="s">
        <v>347</v>
      </c>
      <c r="P2138" s="16">
        <v>0</v>
      </c>
      <c r="Q2138" s="16">
        <v>0</v>
      </c>
      <c r="R2138" s="5" t="str">
        <f t="shared" si="340"/>
        <v>418.6-2023-12-31</v>
      </c>
    </row>
    <row r="2139" spans="1:18" x14ac:dyDescent="0.3">
      <c r="A2139" s="26" t="s">
        <v>665</v>
      </c>
      <c r="B2139" s="23" t="s">
        <v>588</v>
      </c>
      <c r="C2139" s="5" t="s">
        <v>129</v>
      </c>
      <c r="D2139" s="5" t="s">
        <v>11</v>
      </c>
      <c r="E2139" s="5" t="s">
        <v>9</v>
      </c>
      <c r="F2139" s="6">
        <v>45473</v>
      </c>
      <c r="G2139" s="5">
        <f t="shared" si="337"/>
        <v>2024</v>
      </c>
      <c r="H2139" s="5" t="str">
        <f t="shared" si="338"/>
        <v>Junio</v>
      </c>
      <c r="I2139" s="6" t="str">
        <f t="shared" si="339"/>
        <v>2024-1</v>
      </c>
      <c r="J2139" s="5">
        <v>19.57</v>
      </c>
      <c r="K2139" s="5">
        <v>16.25</v>
      </c>
      <c r="L2139" s="15">
        <v>0.83035258048032701</v>
      </c>
      <c r="M2139" s="15">
        <v>0.83035258048032701</v>
      </c>
      <c r="N2139" s="5" t="s">
        <v>347</v>
      </c>
      <c r="O2139" s="5" t="s">
        <v>347</v>
      </c>
      <c r="P2139" s="5">
        <v>0</v>
      </c>
      <c r="Q2139" s="5">
        <v>0</v>
      </c>
      <c r="R2139" s="5" t="str">
        <f t="shared" si="340"/>
        <v>418.6-2024-06-30</v>
      </c>
    </row>
    <row r="2140" spans="1:18" x14ac:dyDescent="0.3">
      <c r="A2140" s="26" t="s">
        <v>666</v>
      </c>
      <c r="B2140" s="23" t="s">
        <v>589</v>
      </c>
      <c r="C2140" s="5" t="s">
        <v>345</v>
      </c>
      <c r="D2140" s="5" t="s">
        <v>11</v>
      </c>
      <c r="E2140" s="5" t="s">
        <v>9</v>
      </c>
      <c r="F2140" s="6">
        <v>45107</v>
      </c>
      <c r="G2140" s="5">
        <f t="shared" si="337"/>
        <v>2023</v>
      </c>
      <c r="H2140" s="5" t="str">
        <f t="shared" si="338"/>
        <v>Junio</v>
      </c>
      <c r="I2140" s="6" t="str">
        <f t="shared" si="339"/>
        <v>2023-1</v>
      </c>
      <c r="J2140" s="5">
        <v>61</v>
      </c>
      <c r="K2140" s="5">
        <v>69</v>
      </c>
      <c r="L2140" s="24">
        <f>K2140/J2140</f>
        <v>1.1311475409836065</v>
      </c>
      <c r="M2140" s="15">
        <f>IFERROR(IF((K2140/J2140)&gt;K2140/J2140,1.3,K2140/J2140),"")</f>
        <v>1.1311475409836065</v>
      </c>
      <c r="N2140" s="5" t="s">
        <v>347</v>
      </c>
      <c r="O2140" s="5" t="s">
        <v>347</v>
      </c>
      <c r="P2140" s="16">
        <v>0</v>
      </c>
      <c r="Q2140" s="16">
        <v>0</v>
      </c>
      <c r="R2140" s="5" t="str">
        <f t="shared" si="340"/>
        <v>418.7-2023-06-30</v>
      </c>
    </row>
    <row r="2141" spans="1:18" x14ac:dyDescent="0.3">
      <c r="A2141" s="26" t="s">
        <v>666</v>
      </c>
      <c r="B2141" s="23" t="s">
        <v>589</v>
      </c>
      <c r="C2141" s="5" t="s">
        <v>345</v>
      </c>
      <c r="D2141" s="5" t="s">
        <v>11</v>
      </c>
      <c r="E2141" s="5" t="s">
        <v>9</v>
      </c>
      <c r="F2141" s="6">
        <v>45291</v>
      </c>
      <c r="G2141" s="5">
        <f t="shared" si="337"/>
        <v>2023</v>
      </c>
      <c r="H2141" s="5" t="str">
        <f t="shared" si="338"/>
        <v>Diciembre</v>
      </c>
      <c r="I2141" s="6" t="str">
        <f t="shared" si="339"/>
        <v>2023-2</v>
      </c>
      <c r="J2141" s="5">
        <v>100</v>
      </c>
      <c r="K2141" s="10">
        <v>100</v>
      </c>
      <c r="L2141" s="15">
        <f>IFERROR(IF((K2141/J2141)&gt;1.3,1.3,K2141/J2141),"")</f>
        <v>1</v>
      </c>
      <c r="M2141" s="15">
        <f>IFERROR(IF((K2141/J2141)&gt;K2141/J2141,1.3,K2141/J2141),"")</f>
        <v>1</v>
      </c>
      <c r="N2141" s="5" t="s">
        <v>347</v>
      </c>
      <c r="O2141" s="5" t="s">
        <v>347</v>
      </c>
      <c r="P2141" s="16">
        <v>0</v>
      </c>
      <c r="Q2141" s="16">
        <v>0</v>
      </c>
      <c r="R2141" s="5" t="str">
        <f t="shared" si="340"/>
        <v>418.7-2023-12-31</v>
      </c>
    </row>
    <row r="2142" spans="1:18" x14ac:dyDescent="0.3">
      <c r="A2142" s="26" t="s">
        <v>666</v>
      </c>
      <c r="B2142" s="23" t="s">
        <v>589</v>
      </c>
      <c r="C2142" s="5" t="s">
        <v>345</v>
      </c>
      <c r="D2142" s="5" t="s">
        <v>11</v>
      </c>
      <c r="E2142" s="5" t="s">
        <v>9</v>
      </c>
      <c r="F2142" s="6">
        <v>45473</v>
      </c>
      <c r="G2142" s="5">
        <f t="shared" si="337"/>
        <v>2024</v>
      </c>
      <c r="H2142" s="5" t="str">
        <f t="shared" si="338"/>
        <v>Junio</v>
      </c>
      <c r="I2142" s="6" t="str">
        <f t="shared" si="339"/>
        <v>2024-1</v>
      </c>
      <c r="J2142" s="5">
        <v>64.13</v>
      </c>
      <c r="K2142" s="5">
        <v>67.98</v>
      </c>
      <c r="L2142" s="15">
        <v>1</v>
      </c>
      <c r="M2142" s="15">
        <v>1</v>
      </c>
      <c r="N2142" s="5" t="s">
        <v>347</v>
      </c>
      <c r="O2142" s="5" t="s">
        <v>347</v>
      </c>
      <c r="P2142" s="5">
        <v>0</v>
      </c>
      <c r="Q2142" s="5">
        <v>0</v>
      </c>
      <c r="R2142" s="5" t="str">
        <f t="shared" si="340"/>
        <v>418.7-2024-06-30</v>
      </c>
    </row>
    <row r="2143" spans="1:18" x14ac:dyDescent="0.3">
      <c r="A2143" s="26" t="s">
        <v>667</v>
      </c>
      <c r="B2143" s="23" t="s">
        <v>590</v>
      </c>
      <c r="C2143" s="5" t="s">
        <v>345</v>
      </c>
      <c r="D2143" s="5" t="s">
        <v>11</v>
      </c>
      <c r="E2143" s="5" t="s">
        <v>9</v>
      </c>
      <c r="F2143" s="6">
        <v>45107</v>
      </c>
      <c r="G2143" s="5">
        <f t="shared" si="337"/>
        <v>2023</v>
      </c>
      <c r="H2143" s="5" t="str">
        <f t="shared" si="338"/>
        <v>Junio</v>
      </c>
      <c r="I2143" s="6" t="str">
        <f t="shared" si="339"/>
        <v>2023-1</v>
      </c>
      <c r="J2143" s="5">
        <v>64</v>
      </c>
      <c r="K2143" s="5">
        <v>66</v>
      </c>
      <c r="L2143" s="24">
        <f>K2143/J2143</f>
        <v>1.03125</v>
      </c>
      <c r="M2143" s="15">
        <f>IFERROR(IF((K2143/J2143)&gt;K2143/J2143,1.3,K2143/J2143),"")</f>
        <v>1.03125</v>
      </c>
      <c r="N2143" s="5" t="s">
        <v>347</v>
      </c>
      <c r="O2143" s="5" t="s">
        <v>347</v>
      </c>
      <c r="P2143" s="16">
        <v>0</v>
      </c>
      <c r="Q2143" s="16">
        <v>0</v>
      </c>
      <c r="R2143" s="5" t="str">
        <f t="shared" si="340"/>
        <v>418.8-2023-06-30</v>
      </c>
    </row>
    <row r="2144" spans="1:18" x14ac:dyDescent="0.3">
      <c r="A2144" s="26" t="s">
        <v>667</v>
      </c>
      <c r="B2144" s="23" t="s">
        <v>590</v>
      </c>
      <c r="C2144" s="5" t="s">
        <v>345</v>
      </c>
      <c r="D2144" s="5" t="s">
        <v>11</v>
      </c>
      <c r="E2144" s="5" t="s">
        <v>9</v>
      </c>
      <c r="F2144" s="6">
        <v>45291</v>
      </c>
      <c r="G2144" s="5">
        <f t="shared" si="337"/>
        <v>2023</v>
      </c>
      <c r="H2144" s="5" t="str">
        <f t="shared" si="338"/>
        <v>Diciembre</v>
      </c>
      <c r="I2144" s="6" t="str">
        <f t="shared" si="339"/>
        <v>2023-2</v>
      </c>
      <c r="J2144" s="5">
        <v>100</v>
      </c>
      <c r="K2144" s="10">
        <v>97.74</v>
      </c>
      <c r="L2144" s="15">
        <f>IFERROR(IF((K2144/J2144)&gt;1.3,1.3,K2144/J2144),"")</f>
        <v>0.97739999999999994</v>
      </c>
      <c r="M2144" s="15">
        <f>IFERROR(IF((K2144/J2144)&gt;K2144/J2144,1.3,K2144/J2144),"")</f>
        <v>0.97739999999999994</v>
      </c>
      <c r="N2144" s="5" t="s">
        <v>347</v>
      </c>
      <c r="O2144" s="5" t="s">
        <v>347</v>
      </c>
      <c r="P2144" s="16">
        <v>0</v>
      </c>
      <c r="Q2144" s="16">
        <v>0</v>
      </c>
      <c r="R2144" s="5" t="str">
        <f t="shared" si="340"/>
        <v>418.8-2023-12-31</v>
      </c>
    </row>
    <row r="2145" spans="1:18" x14ac:dyDescent="0.3">
      <c r="A2145" s="26" t="s">
        <v>667</v>
      </c>
      <c r="B2145" s="23" t="s">
        <v>590</v>
      </c>
      <c r="C2145" s="5" t="s">
        <v>345</v>
      </c>
      <c r="D2145" s="5" t="s">
        <v>11</v>
      </c>
      <c r="E2145" s="5" t="s">
        <v>9</v>
      </c>
      <c r="F2145" s="6">
        <v>45473</v>
      </c>
      <c r="G2145" s="5">
        <f t="shared" si="337"/>
        <v>2024</v>
      </c>
      <c r="H2145" s="5" t="str">
        <f t="shared" si="338"/>
        <v>Junio</v>
      </c>
      <c r="I2145" s="6" t="str">
        <f t="shared" si="339"/>
        <v>2024-1</v>
      </c>
      <c r="J2145" s="5">
        <v>59.61</v>
      </c>
      <c r="K2145" s="5">
        <v>65.25</v>
      </c>
      <c r="L2145" s="15">
        <v>1</v>
      </c>
      <c r="M2145" s="15">
        <v>1</v>
      </c>
      <c r="N2145" s="5" t="s">
        <v>347</v>
      </c>
      <c r="O2145" s="5" t="s">
        <v>347</v>
      </c>
      <c r="P2145" s="5">
        <v>0</v>
      </c>
      <c r="Q2145" s="5">
        <v>0</v>
      </c>
      <c r="R2145" s="5" t="str">
        <f t="shared" si="340"/>
        <v>418.8-2024-06-30</v>
      </c>
    </row>
    <row r="2146" spans="1:18" x14ac:dyDescent="0.3">
      <c r="A2146" s="26" t="s">
        <v>668</v>
      </c>
      <c r="B2146" s="23" t="s">
        <v>591</v>
      </c>
      <c r="C2146" s="5" t="s">
        <v>345</v>
      </c>
      <c r="D2146" s="5" t="s">
        <v>11</v>
      </c>
      <c r="E2146" s="5" t="s">
        <v>9</v>
      </c>
      <c r="F2146" s="6">
        <v>45107</v>
      </c>
      <c r="G2146" s="5">
        <f t="shared" si="337"/>
        <v>2023</v>
      </c>
      <c r="H2146" s="5" t="str">
        <f t="shared" si="338"/>
        <v>Junio</v>
      </c>
      <c r="I2146" s="6" t="str">
        <f t="shared" si="339"/>
        <v>2023-1</v>
      </c>
      <c r="J2146" s="5">
        <v>71</v>
      </c>
      <c r="K2146" s="5">
        <v>84</v>
      </c>
      <c r="L2146" s="24">
        <f>K2146/J2146</f>
        <v>1.1830985915492958</v>
      </c>
      <c r="M2146" s="15">
        <f>IFERROR(IF((K2146/J2146)&gt;K2146/J2146,1.3,K2146/J2146),"")</f>
        <v>1.1830985915492958</v>
      </c>
      <c r="N2146" s="5" t="s">
        <v>347</v>
      </c>
      <c r="O2146" s="5" t="s">
        <v>347</v>
      </c>
      <c r="P2146" s="16">
        <v>0</v>
      </c>
      <c r="Q2146" s="16">
        <v>0</v>
      </c>
      <c r="R2146" s="5" t="str">
        <f t="shared" si="340"/>
        <v>418.9-2023-06-30</v>
      </c>
    </row>
    <row r="2147" spans="1:18" x14ac:dyDescent="0.3">
      <c r="A2147" s="26" t="s">
        <v>668</v>
      </c>
      <c r="B2147" s="23" t="s">
        <v>591</v>
      </c>
      <c r="C2147" s="5" t="s">
        <v>345</v>
      </c>
      <c r="D2147" s="5" t="s">
        <v>11</v>
      </c>
      <c r="E2147" s="5" t="s">
        <v>9</v>
      </c>
      <c r="F2147" s="6">
        <v>45291</v>
      </c>
      <c r="G2147" s="5">
        <f t="shared" si="337"/>
        <v>2023</v>
      </c>
      <c r="H2147" s="5" t="str">
        <f t="shared" si="338"/>
        <v>Diciembre</v>
      </c>
      <c r="I2147" s="6" t="str">
        <f t="shared" si="339"/>
        <v>2023-2</v>
      </c>
      <c r="J2147" s="5">
        <v>100</v>
      </c>
      <c r="K2147" s="10">
        <v>100</v>
      </c>
      <c r="L2147" s="15">
        <f>IFERROR(IF((K2147/J2147)&gt;1.3,1.3,K2147/J2147),"")</f>
        <v>1</v>
      </c>
      <c r="M2147" s="15">
        <f>IFERROR(IF((K2147/J2147)&gt;K2147/J2147,1.3,K2147/J2147),"")</f>
        <v>1</v>
      </c>
      <c r="N2147" s="5" t="s">
        <v>347</v>
      </c>
      <c r="O2147" s="5" t="s">
        <v>347</v>
      </c>
      <c r="P2147" s="16">
        <v>0</v>
      </c>
      <c r="Q2147" s="16">
        <v>0</v>
      </c>
      <c r="R2147" s="5" t="str">
        <f t="shared" si="340"/>
        <v>418.9-2023-12-31</v>
      </c>
    </row>
    <row r="2148" spans="1:18" x14ac:dyDescent="0.3">
      <c r="A2148" s="26" t="s">
        <v>668</v>
      </c>
      <c r="B2148" s="23" t="s">
        <v>591</v>
      </c>
      <c r="C2148" s="5" t="s">
        <v>345</v>
      </c>
      <c r="D2148" s="5" t="s">
        <v>11</v>
      </c>
      <c r="E2148" s="5" t="s">
        <v>9</v>
      </c>
      <c r="F2148" s="6">
        <v>45473</v>
      </c>
      <c r="G2148" s="5">
        <f t="shared" si="337"/>
        <v>2024</v>
      </c>
      <c r="H2148" s="5" t="str">
        <f t="shared" si="338"/>
        <v>Junio</v>
      </c>
      <c r="I2148" s="6" t="str">
        <f t="shared" si="339"/>
        <v>2024-1</v>
      </c>
      <c r="J2148" s="5">
        <v>46.42</v>
      </c>
      <c r="K2148" s="5">
        <v>47.33</v>
      </c>
      <c r="L2148" s="15">
        <v>1</v>
      </c>
      <c r="M2148" s="15">
        <v>1</v>
      </c>
      <c r="N2148" s="5" t="s">
        <v>347</v>
      </c>
      <c r="O2148" s="5" t="s">
        <v>347</v>
      </c>
      <c r="P2148" s="5">
        <v>0</v>
      </c>
      <c r="Q2148" s="5">
        <v>0</v>
      </c>
      <c r="R2148" s="5" t="str">
        <f t="shared" si="340"/>
        <v>418.9-2024-06-30</v>
      </c>
    </row>
    <row r="2149" spans="1:18" x14ac:dyDescent="0.3">
      <c r="A2149" s="26" t="s">
        <v>683</v>
      </c>
      <c r="B2149" s="23" t="s">
        <v>601</v>
      </c>
      <c r="C2149" s="5" t="s">
        <v>45</v>
      </c>
      <c r="D2149" s="5" t="s">
        <v>11</v>
      </c>
      <c r="E2149" s="5" t="s">
        <v>9</v>
      </c>
      <c r="F2149" s="6">
        <v>45107</v>
      </c>
      <c r="G2149" s="5">
        <f t="shared" si="337"/>
        <v>2023</v>
      </c>
      <c r="H2149" s="5" t="str">
        <f t="shared" si="338"/>
        <v>Junio</v>
      </c>
      <c r="I2149" s="6" t="str">
        <f t="shared" si="339"/>
        <v>2023-1</v>
      </c>
      <c r="J2149" s="5">
        <v>50.8</v>
      </c>
      <c r="K2149" s="5">
        <v>47.47</v>
      </c>
      <c r="L2149" s="24">
        <f>K2149/J2149</f>
        <v>0.93444881889763787</v>
      </c>
      <c r="M2149" s="15">
        <f>IFERROR(IF((K2149/J2149)&gt;K2149/J2149,1.3,K2149/J2149),"")</f>
        <v>0.93444881889763787</v>
      </c>
      <c r="N2149" s="5" t="s">
        <v>347</v>
      </c>
      <c r="O2149" s="5" t="s">
        <v>347</v>
      </c>
      <c r="P2149" s="16">
        <v>0</v>
      </c>
      <c r="Q2149" s="16">
        <v>0</v>
      </c>
      <c r="R2149" s="5" t="str">
        <f t="shared" si="340"/>
        <v>420.1-2023-06-30</v>
      </c>
    </row>
    <row r="2150" spans="1:18" x14ac:dyDescent="0.3">
      <c r="A2150" s="26" t="s">
        <v>683</v>
      </c>
      <c r="B2150" s="23" t="s">
        <v>601</v>
      </c>
      <c r="C2150" s="5" t="s">
        <v>45</v>
      </c>
      <c r="D2150" s="5" t="s">
        <v>11</v>
      </c>
      <c r="E2150" s="5" t="s">
        <v>9</v>
      </c>
      <c r="F2150" s="6">
        <v>45291</v>
      </c>
      <c r="G2150" s="5">
        <f t="shared" si="337"/>
        <v>2023</v>
      </c>
      <c r="H2150" s="5" t="str">
        <f t="shared" si="338"/>
        <v>Diciembre</v>
      </c>
      <c r="I2150" s="6" t="str">
        <f t="shared" si="339"/>
        <v>2023-2</v>
      </c>
      <c r="J2150" s="5">
        <v>100</v>
      </c>
      <c r="K2150" s="10">
        <v>100</v>
      </c>
      <c r="L2150" s="15">
        <f>IFERROR(IF((K2150/J2150)&gt;1.3,1.3,K2150/J2150),"")</f>
        <v>1</v>
      </c>
      <c r="M2150" s="15">
        <f>IFERROR(IF((K2150/J2150)&gt;K2150/J2150,1.3,K2150/J2150),"")</f>
        <v>1</v>
      </c>
      <c r="N2150" s="5" t="s">
        <v>347</v>
      </c>
      <c r="O2150" s="5" t="s">
        <v>347</v>
      </c>
      <c r="P2150" s="16">
        <v>0</v>
      </c>
      <c r="Q2150" s="16">
        <v>0</v>
      </c>
      <c r="R2150" s="5" t="str">
        <f t="shared" si="340"/>
        <v>420.1-2023-12-31</v>
      </c>
    </row>
    <row r="2151" spans="1:18" x14ac:dyDescent="0.3">
      <c r="A2151" s="26" t="s">
        <v>683</v>
      </c>
      <c r="B2151" s="23" t="s">
        <v>601</v>
      </c>
      <c r="C2151" s="5" t="s">
        <v>45</v>
      </c>
      <c r="D2151" s="5" t="s">
        <v>11</v>
      </c>
      <c r="E2151" s="5" t="s">
        <v>9</v>
      </c>
      <c r="F2151" s="6">
        <v>45473</v>
      </c>
      <c r="G2151" s="5">
        <f t="shared" si="337"/>
        <v>2024</v>
      </c>
      <c r="H2151" s="5" t="str">
        <f t="shared" si="338"/>
        <v>Junio</v>
      </c>
      <c r="I2151" s="6" t="str">
        <f t="shared" si="339"/>
        <v>2024-1</v>
      </c>
      <c r="J2151" s="5">
        <v>72.38</v>
      </c>
      <c r="K2151" s="5">
        <v>70.209999999999994</v>
      </c>
      <c r="L2151" s="15">
        <v>0.97001934235976783</v>
      </c>
      <c r="M2151" s="15">
        <v>0.97001934235976783</v>
      </c>
      <c r="N2151" s="5" t="s">
        <v>347</v>
      </c>
      <c r="O2151" s="5" t="s">
        <v>347</v>
      </c>
      <c r="P2151" s="5">
        <v>0</v>
      </c>
      <c r="Q2151" s="5">
        <v>0</v>
      </c>
      <c r="R2151" s="5" t="str">
        <f t="shared" si="340"/>
        <v>420.1-2024-06-30</v>
      </c>
    </row>
    <row r="2152" spans="1:18" x14ac:dyDescent="0.3">
      <c r="A2152" s="26" t="s">
        <v>684</v>
      </c>
      <c r="B2152" s="30" t="s">
        <v>602</v>
      </c>
      <c r="C2152" s="29" t="s">
        <v>90</v>
      </c>
      <c r="D2152" s="29" t="s">
        <v>11</v>
      </c>
      <c r="E2152" s="29" t="s">
        <v>9</v>
      </c>
      <c r="F2152" s="31">
        <v>45107</v>
      </c>
      <c r="G2152" s="5">
        <f t="shared" si="337"/>
        <v>2023</v>
      </c>
      <c r="H2152" s="5" t="str">
        <f t="shared" si="338"/>
        <v>Junio</v>
      </c>
      <c r="I2152" s="6" t="str">
        <f t="shared" si="339"/>
        <v>2023-1</v>
      </c>
      <c r="J2152" s="29">
        <v>31.86</v>
      </c>
      <c r="K2152" s="29">
        <v>54</v>
      </c>
      <c r="L2152" s="32">
        <f>IF(IFERROR(K2152/J2152,"")&gt;130%,130%,K2152/J2152)</f>
        <v>1.3</v>
      </c>
      <c r="M2152" s="15">
        <f>IFERROR(IF((K2152/J2152)&gt;K2152/J2152,1.3,K2152/J2152),"")</f>
        <v>1.6949152542372881</v>
      </c>
      <c r="N2152" s="29" t="s">
        <v>347</v>
      </c>
      <c r="O2152" s="29" t="s">
        <v>347</v>
      </c>
      <c r="P2152" s="16">
        <v>0</v>
      </c>
      <c r="Q2152" s="16">
        <v>0</v>
      </c>
      <c r="R2152" s="5" t="str">
        <f t="shared" si="340"/>
        <v>420.2-2023-06-30</v>
      </c>
    </row>
    <row r="2153" spans="1:18" x14ac:dyDescent="0.3">
      <c r="A2153" s="26" t="s">
        <v>684</v>
      </c>
      <c r="B2153" s="30" t="s">
        <v>602</v>
      </c>
      <c r="C2153" s="29" t="s">
        <v>90</v>
      </c>
      <c r="D2153" s="29" t="s">
        <v>11</v>
      </c>
      <c r="E2153" s="29" t="s">
        <v>9</v>
      </c>
      <c r="F2153" s="6">
        <v>45291</v>
      </c>
      <c r="G2153" s="5">
        <f t="shared" si="337"/>
        <v>2023</v>
      </c>
      <c r="H2153" s="5" t="str">
        <f t="shared" si="338"/>
        <v>Diciembre</v>
      </c>
      <c r="I2153" s="6" t="str">
        <f t="shared" si="339"/>
        <v>2023-2</v>
      </c>
      <c r="J2153" s="5">
        <v>100</v>
      </c>
      <c r="K2153" s="10">
        <v>100</v>
      </c>
      <c r="L2153" s="15">
        <f>IFERROR(IF((K2153/J2153)&gt;1.3,1.3,K2153/J2153),"")</f>
        <v>1</v>
      </c>
      <c r="M2153" s="15">
        <f>IFERROR(IF((K2153/J2153)&gt;K2153/J2153,1.3,K2153/J2153),"")</f>
        <v>1</v>
      </c>
      <c r="N2153" s="29" t="s">
        <v>347</v>
      </c>
      <c r="O2153" s="29" t="s">
        <v>347</v>
      </c>
      <c r="P2153" s="16">
        <v>0</v>
      </c>
      <c r="Q2153" s="16">
        <v>0</v>
      </c>
      <c r="R2153" s="5" t="str">
        <f t="shared" si="340"/>
        <v>420.2-2023-12-31</v>
      </c>
    </row>
    <row r="2154" spans="1:18" x14ac:dyDescent="0.3">
      <c r="A2154" s="26" t="s">
        <v>684</v>
      </c>
      <c r="B2154" s="23" t="s">
        <v>602</v>
      </c>
      <c r="C2154" s="5" t="s">
        <v>90</v>
      </c>
      <c r="D2154" s="5" t="s">
        <v>11</v>
      </c>
      <c r="E2154" s="5" t="s">
        <v>9</v>
      </c>
      <c r="F2154" s="6">
        <v>45473</v>
      </c>
      <c r="G2154" s="5">
        <f t="shared" si="337"/>
        <v>2024</v>
      </c>
      <c r="H2154" s="5" t="str">
        <f t="shared" si="338"/>
        <v>Junio</v>
      </c>
      <c r="I2154" s="6" t="str">
        <f t="shared" si="339"/>
        <v>2024-1</v>
      </c>
      <c r="J2154" s="5">
        <v>23.26</v>
      </c>
      <c r="K2154" s="5">
        <v>25.92</v>
      </c>
      <c r="L2154" s="15">
        <v>1</v>
      </c>
      <c r="M2154" s="15">
        <v>1</v>
      </c>
      <c r="N2154" s="5" t="s">
        <v>347</v>
      </c>
      <c r="O2154" s="5" t="s">
        <v>347</v>
      </c>
      <c r="P2154" s="5">
        <v>0</v>
      </c>
      <c r="Q2154" s="5">
        <v>0</v>
      </c>
      <c r="R2154" s="5" t="str">
        <f t="shared" si="340"/>
        <v>420.2-2024-06-30</v>
      </c>
    </row>
    <row r="2155" spans="1:18" x14ac:dyDescent="0.3">
      <c r="A2155" s="26" t="s">
        <v>685</v>
      </c>
      <c r="B2155" s="23" t="s">
        <v>603</v>
      </c>
      <c r="C2155" s="5" t="s">
        <v>182</v>
      </c>
      <c r="D2155" s="5" t="s">
        <v>11</v>
      </c>
      <c r="E2155" s="5" t="s">
        <v>9</v>
      </c>
      <c r="F2155" s="6">
        <v>45107</v>
      </c>
      <c r="G2155" s="5">
        <f t="shared" si="337"/>
        <v>2023</v>
      </c>
      <c r="H2155" s="5" t="str">
        <f t="shared" si="338"/>
        <v>Junio</v>
      </c>
      <c r="I2155" s="6" t="str">
        <f t="shared" si="339"/>
        <v>2023-1</v>
      </c>
      <c r="J2155" s="5">
        <v>15.06</v>
      </c>
      <c r="K2155" s="5">
        <v>17.3</v>
      </c>
      <c r="L2155" s="28">
        <f>K2155/J2155</f>
        <v>1.1487383798140771</v>
      </c>
      <c r="M2155" s="15">
        <f>IFERROR(IF((K2155/J2155)&gt;K2155/J2155,1.3,K2155/J2155),"")</f>
        <v>1.1487383798140771</v>
      </c>
      <c r="N2155" s="5" t="s">
        <v>347</v>
      </c>
      <c r="O2155" s="5" t="s">
        <v>347</v>
      </c>
      <c r="P2155" s="16">
        <v>1</v>
      </c>
      <c r="Q2155" s="16">
        <v>1</v>
      </c>
      <c r="R2155" s="5" t="str">
        <f t="shared" si="340"/>
        <v>420.3-2023-06-30</v>
      </c>
    </row>
    <row r="2156" spans="1:18" x14ac:dyDescent="0.3">
      <c r="A2156" s="26" t="s">
        <v>685</v>
      </c>
      <c r="B2156" s="23" t="s">
        <v>603</v>
      </c>
      <c r="C2156" s="5" t="s">
        <v>182</v>
      </c>
      <c r="D2156" s="5" t="s">
        <v>11</v>
      </c>
      <c r="E2156" s="5" t="s">
        <v>9</v>
      </c>
      <c r="F2156" s="6">
        <v>45291</v>
      </c>
      <c r="G2156" s="5">
        <f t="shared" si="337"/>
        <v>2023</v>
      </c>
      <c r="H2156" s="5" t="str">
        <f t="shared" si="338"/>
        <v>Diciembre</v>
      </c>
      <c r="I2156" s="6" t="str">
        <f t="shared" si="339"/>
        <v>2023-2</v>
      </c>
      <c r="J2156" s="5">
        <v>100</v>
      </c>
      <c r="K2156" s="10">
        <v>100</v>
      </c>
      <c r="L2156" s="15">
        <f>IFERROR(IF((K2156/J2156)&gt;1.3,1.3,K2156/J2156),"")</f>
        <v>1</v>
      </c>
      <c r="M2156" s="15">
        <f>IFERROR(IF((K2156/J2156)&gt;K2156/J2156,1.3,K2156/J2156),"")</f>
        <v>1</v>
      </c>
      <c r="N2156" s="5" t="s">
        <v>347</v>
      </c>
      <c r="O2156" s="5" t="s">
        <v>347</v>
      </c>
      <c r="P2156" s="16">
        <v>1</v>
      </c>
      <c r="Q2156" s="16">
        <v>1</v>
      </c>
      <c r="R2156" s="5" t="str">
        <f t="shared" si="340"/>
        <v>420.3-2023-12-31</v>
      </c>
    </row>
    <row r="2157" spans="1:18" x14ac:dyDescent="0.3">
      <c r="A2157" s="26" t="s">
        <v>685</v>
      </c>
      <c r="B2157" s="23" t="s">
        <v>603</v>
      </c>
      <c r="C2157" s="5" t="s">
        <v>182</v>
      </c>
      <c r="D2157" s="5" t="s">
        <v>11</v>
      </c>
      <c r="E2157" s="5" t="s">
        <v>9</v>
      </c>
      <c r="F2157" s="6">
        <v>45473</v>
      </c>
      <c r="G2157" s="5">
        <f t="shared" si="337"/>
        <v>2024</v>
      </c>
      <c r="H2157" s="5" t="str">
        <f t="shared" si="338"/>
        <v>Junio</v>
      </c>
      <c r="I2157" s="6" t="str">
        <f t="shared" si="339"/>
        <v>2024-1</v>
      </c>
      <c r="J2157" s="5">
        <v>64.03</v>
      </c>
      <c r="K2157" s="5">
        <v>66.25</v>
      </c>
      <c r="L2157" s="15">
        <v>1</v>
      </c>
      <c r="M2157" s="15">
        <v>1</v>
      </c>
      <c r="N2157" s="5" t="s">
        <v>347</v>
      </c>
      <c r="O2157" s="5" t="s">
        <v>347</v>
      </c>
      <c r="P2157" s="5">
        <v>1</v>
      </c>
      <c r="Q2157" s="5">
        <v>1</v>
      </c>
      <c r="R2157" s="5" t="str">
        <f t="shared" si="340"/>
        <v>420.3-2024-06-30</v>
      </c>
    </row>
    <row r="2158" spans="1:18" x14ac:dyDescent="0.3">
      <c r="A2158" s="26" t="s">
        <v>686</v>
      </c>
      <c r="B2158" s="23" t="s">
        <v>606</v>
      </c>
      <c r="C2158" s="5" t="s">
        <v>20</v>
      </c>
      <c r="D2158" s="5" t="s">
        <v>11</v>
      </c>
      <c r="E2158" s="5" t="s">
        <v>9</v>
      </c>
      <c r="F2158" s="6">
        <v>45107</v>
      </c>
      <c r="G2158" s="5">
        <f t="shared" si="337"/>
        <v>2023</v>
      </c>
      <c r="H2158" s="5" t="str">
        <f t="shared" si="338"/>
        <v>Junio</v>
      </c>
      <c r="I2158" s="6" t="str">
        <f t="shared" si="339"/>
        <v>2023-1</v>
      </c>
      <c r="J2158" s="5">
        <v>57.83</v>
      </c>
      <c r="K2158" s="10">
        <v>47.72</v>
      </c>
      <c r="L2158" s="24">
        <f>K2158/J2158</f>
        <v>0.82517724364516687</v>
      </c>
      <c r="M2158" s="15">
        <f>IFERROR(IF((K2158/J2158)&gt;K2158/J2158,1.3,K2158/J2158),"")</f>
        <v>0.82517724364516687</v>
      </c>
      <c r="N2158" s="5" t="s">
        <v>347</v>
      </c>
      <c r="O2158" s="5" t="s">
        <v>347</v>
      </c>
      <c r="P2158" s="16">
        <v>0</v>
      </c>
      <c r="Q2158" s="16">
        <v>0</v>
      </c>
      <c r="R2158" s="5" t="str">
        <f t="shared" si="340"/>
        <v>420.4-2023-06-30</v>
      </c>
    </row>
    <row r="2159" spans="1:18" x14ac:dyDescent="0.3">
      <c r="A2159" s="26" t="s">
        <v>686</v>
      </c>
      <c r="B2159" s="23" t="s">
        <v>606</v>
      </c>
      <c r="C2159" s="5" t="s">
        <v>20</v>
      </c>
      <c r="D2159" s="5" t="s">
        <v>11</v>
      </c>
      <c r="E2159" s="5" t="s">
        <v>9</v>
      </c>
      <c r="F2159" s="6">
        <v>45291</v>
      </c>
      <c r="G2159" s="5">
        <f t="shared" si="337"/>
        <v>2023</v>
      </c>
      <c r="H2159" s="5" t="str">
        <f t="shared" si="338"/>
        <v>Diciembre</v>
      </c>
      <c r="I2159" s="6" t="str">
        <f t="shared" si="339"/>
        <v>2023-2</v>
      </c>
      <c r="J2159" s="5">
        <v>100</v>
      </c>
      <c r="K2159" s="10">
        <v>100</v>
      </c>
      <c r="L2159" s="15">
        <f>IFERROR(IF((K2159/J2159)&gt;1.3,1.3,K2159/J2159),"")</f>
        <v>1</v>
      </c>
      <c r="M2159" s="15">
        <f>IFERROR(IF((K2159/J2159)&gt;K2159/J2159,1.3,K2159/J2159),"")</f>
        <v>1</v>
      </c>
      <c r="N2159" s="5" t="s">
        <v>347</v>
      </c>
      <c r="O2159" s="5" t="s">
        <v>347</v>
      </c>
      <c r="P2159" s="16">
        <v>0</v>
      </c>
      <c r="Q2159" s="16">
        <v>0</v>
      </c>
      <c r="R2159" s="5" t="str">
        <f t="shared" si="340"/>
        <v>420.4-2023-12-31</v>
      </c>
    </row>
    <row r="2160" spans="1:18" x14ac:dyDescent="0.3">
      <c r="A2160" s="26" t="s">
        <v>686</v>
      </c>
      <c r="B2160" s="23" t="s">
        <v>606</v>
      </c>
      <c r="C2160" s="5" t="s">
        <v>20</v>
      </c>
      <c r="D2160" s="5" t="s">
        <v>11</v>
      </c>
      <c r="E2160" s="5" t="s">
        <v>9</v>
      </c>
      <c r="F2160" s="6">
        <v>45473</v>
      </c>
      <c r="G2160" s="5">
        <f t="shared" si="337"/>
        <v>2024</v>
      </c>
      <c r="H2160" s="5" t="str">
        <f t="shared" si="338"/>
        <v>Junio</v>
      </c>
      <c r="I2160" s="6" t="str">
        <f t="shared" si="339"/>
        <v>2024-1</v>
      </c>
      <c r="J2160" s="5">
        <v>58.34</v>
      </c>
      <c r="K2160" s="5">
        <v>45.5</v>
      </c>
      <c r="L2160" s="15">
        <v>0.77991086732944803</v>
      </c>
      <c r="M2160" s="15">
        <v>0.77991086732944803</v>
      </c>
      <c r="N2160" s="5" t="s">
        <v>347</v>
      </c>
      <c r="O2160" s="5" t="s">
        <v>347</v>
      </c>
      <c r="P2160" s="5">
        <v>0</v>
      </c>
      <c r="Q2160" s="5">
        <v>0</v>
      </c>
      <c r="R2160" s="5" t="str">
        <f t="shared" si="340"/>
        <v>420.4-2024-06-30</v>
      </c>
    </row>
    <row r="2161" spans="1:18" x14ac:dyDescent="0.3">
      <c r="A2161" s="26" t="s">
        <v>687</v>
      </c>
      <c r="B2161" s="23" t="s">
        <v>688</v>
      </c>
      <c r="C2161" s="5" t="s">
        <v>131</v>
      </c>
      <c r="D2161" s="5" t="s">
        <v>11</v>
      </c>
      <c r="E2161" s="5" t="s">
        <v>9</v>
      </c>
      <c r="F2161" s="6">
        <v>45107</v>
      </c>
      <c r="G2161" s="5">
        <f t="shared" si="337"/>
        <v>2023</v>
      </c>
      <c r="H2161" s="5" t="str">
        <f t="shared" si="338"/>
        <v>Junio</v>
      </c>
      <c r="I2161" s="6" t="str">
        <f t="shared" si="339"/>
        <v>2023-1</v>
      </c>
      <c r="J2161" s="5">
        <v>39.369999999999997</v>
      </c>
      <c r="K2161" s="10">
        <v>41.15</v>
      </c>
      <c r="L2161" s="28">
        <f>K2161/J2161</f>
        <v>1.0452120904241808</v>
      </c>
      <c r="M2161" s="15">
        <f>IFERROR(IF((K2161/J2161)&gt;K2161/J2161,1.3,K2161/J2161),"")</f>
        <v>1.0452120904241808</v>
      </c>
      <c r="N2161" s="5" t="s">
        <v>347</v>
      </c>
      <c r="O2161" s="5" t="s">
        <v>347</v>
      </c>
      <c r="P2161" s="16">
        <v>0</v>
      </c>
      <c r="Q2161" s="16">
        <v>0</v>
      </c>
      <c r="R2161" s="5" t="str">
        <f t="shared" si="340"/>
        <v>420.5-2023-06-30</v>
      </c>
    </row>
    <row r="2162" spans="1:18" x14ac:dyDescent="0.3">
      <c r="A2162" s="26" t="s">
        <v>687</v>
      </c>
      <c r="B2162" s="23" t="s">
        <v>688</v>
      </c>
      <c r="C2162" s="5" t="s">
        <v>131</v>
      </c>
      <c r="D2162" s="5" t="s">
        <v>11</v>
      </c>
      <c r="E2162" s="5" t="s">
        <v>9</v>
      </c>
      <c r="F2162" s="6">
        <v>45291</v>
      </c>
      <c r="G2162" s="5">
        <f t="shared" si="337"/>
        <v>2023</v>
      </c>
      <c r="H2162" s="5" t="str">
        <f t="shared" si="338"/>
        <v>Diciembre</v>
      </c>
      <c r="I2162" s="6" t="str">
        <f t="shared" si="339"/>
        <v>2023-2</v>
      </c>
      <c r="J2162" s="5">
        <v>100</v>
      </c>
      <c r="K2162" s="10">
        <v>100</v>
      </c>
      <c r="L2162" s="15">
        <f>IFERROR(IF((K2162/J2162)&gt;1.3,1.3,K2162/J2162),"")</f>
        <v>1</v>
      </c>
      <c r="M2162" s="15">
        <f>IFERROR(IF((K2162/J2162)&gt;K2162/J2162,1.3,K2162/J2162),"")</f>
        <v>1</v>
      </c>
      <c r="N2162" s="5" t="s">
        <v>347</v>
      </c>
      <c r="O2162" s="5" t="s">
        <v>347</v>
      </c>
      <c r="P2162" s="16">
        <v>0</v>
      </c>
      <c r="Q2162" s="16">
        <v>0</v>
      </c>
      <c r="R2162" s="5" t="str">
        <f t="shared" si="340"/>
        <v>420.5-2023-12-31</v>
      </c>
    </row>
    <row r="2163" spans="1:18" x14ac:dyDescent="0.3">
      <c r="A2163" s="26" t="s">
        <v>687</v>
      </c>
      <c r="B2163" s="23" t="s">
        <v>688</v>
      </c>
      <c r="C2163" s="5" t="s">
        <v>131</v>
      </c>
      <c r="D2163" s="5" t="s">
        <v>11</v>
      </c>
      <c r="E2163" s="5" t="s">
        <v>9</v>
      </c>
      <c r="F2163" s="6">
        <v>45473</v>
      </c>
      <c r="G2163" s="5">
        <f t="shared" si="337"/>
        <v>2024</v>
      </c>
      <c r="H2163" s="5" t="str">
        <f t="shared" si="338"/>
        <v>Junio</v>
      </c>
      <c r="I2163" s="6" t="str">
        <f t="shared" si="339"/>
        <v>2024-1</v>
      </c>
      <c r="J2163" s="5">
        <v>58.4</v>
      </c>
      <c r="K2163" s="5">
        <v>53.96</v>
      </c>
      <c r="L2163" s="15">
        <v>0.92397260273972603</v>
      </c>
      <c r="M2163" s="15">
        <v>0.92397260273972603</v>
      </c>
      <c r="N2163" s="5" t="s">
        <v>347</v>
      </c>
      <c r="O2163" s="5" t="s">
        <v>347</v>
      </c>
      <c r="P2163" s="5">
        <v>0</v>
      </c>
      <c r="Q2163" s="5">
        <v>0</v>
      </c>
      <c r="R2163" s="5" t="str">
        <f t="shared" si="340"/>
        <v>420.5-2024-06-30</v>
      </c>
    </row>
    <row r="2164" spans="1:18" x14ac:dyDescent="0.3">
      <c r="A2164" s="26" t="s">
        <v>717</v>
      </c>
      <c r="B2164" s="23" t="s">
        <v>689</v>
      </c>
      <c r="C2164" s="5" t="s">
        <v>716</v>
      </c>
      <c r="D2164" s="5" t="s">
        <v>11</v>
      </c>
      <c r="E2164" s="5" t="s">
        <v>9</v>
      </c>
      <c r="F2164" s="6">
        <v>45473</v>
      </c>
      <c r="G2164" s="5">
        <f t="shared" si="337"/>
        <v>2024</v>
      </c>
      <c r="H2164" s="5" t="str">
        <f t="shared" si="338"/>
        <v>Junio</v>
      </c>
      <c r="I2164" s="6" t="str">
        <f t="shared" si="339"/>
        <v>2024-1</v>
      </c>
      <c r="J2164" s="5">
        <v>44.68</v>
      </c>
      <c r="K2164" s="5">
        <v>25</v>
      </c>
      <c r="L2164" s="15">
        <v>0.55953446732318712</v>
      </c>
      <c r="M2164" s="15">
        <v>0.55953446732318712</v>
      </c>
      <c r="N2164" s="5" t="s">
        <v>347</v>
      </c>
      <c r="O2164" s="5" t="s">
        <v>347</v>
      </c>
      <c r="P2164" s="5">
        <v>0</v>
      </c>
      <c r="Q2164" s="5">
        <v>0</v>
      </c>
      <c r="R2164" s="5" t="str">
        <f t="shared" si="340"/>
        <v>420.6-2024-06-30</v>
      </c>
    </row>
    <row r="2165" spans="1:18" x14ac:dyDescent="0.3">
      <c r="A2165" s="26" t="s">
        <v>701</v>
      </c>
      <c r="B2165" s="23" t="s">
        <v>593</v>
      </c>
      <c r="C2165" s="5" t="s">
        <v>345</v>
      </c>
      <c r="D2165" s="5" t="s">
        <v>11</v>
      </c>
      <c r="E2165" s="5" t="s">
        <v>9</v>
      </c>
      <c r="F2165" s="6">
        <v>45107</v>
      </c>
      <c r="G2165" s="5">
        <f t="shared" si="337"/>
        <v>2023</v>
      </c>
      <c r="H2165" s="5" t="str">
        <f t="shared" si="338"/>
        <v>Junio</v>
      </c>
      <c r="I2165" s="6" t="str">
        <f t="shared" si="339"/>
        <v>2023-1</v>
      </c>
      <c r="J2165" s="5">
        <v>53</v>
      </c>
      <c r="K2165" s="5">
        <v>33</v>
      </c>
      <c r="L2165" s="24">
        <f>K2165/J2165</f>
        <v>0.62264150943396224</v>
      </c>
      <c r="M2165" s="15">
        <f>IFERROR(IF((K2165/J2165)&gt;K2165/J2165,1.3,K2165/J2165),"")</f>
        <v>0.62264150943396224</v>
      </c>
      <c r="N2165" s="5" t="s">
        <v>347</v>
      </c>
      <c r="O2165" s="5" t="s">
        <v>347</v>
      </c>
      <c r="P2165" s="16">
        <v>0</v>
      </c>
      <c r="Q2165" s="16">
        <v>0</v>
      </c>
      <c r="R2165" s="5" t="str">
        <f t="shared" si="340"/>
        <v>469.0-2023-06-30</v>
      </c>
    </row>
    <row r="2166" spans="1:18" x14ac:dyDescent="0.3">
      <c r="A2166" s="26" t="s">
        <v>701</v>
      </c>
      <c r="B2166" s="23" t="s">
        <v>593</v>
      </c>
      <c r="C2166" s="5" t="s">
        <v>345</v>
      </c>
      <c r="D2166" s="5" t="s">
        <v>11</v>
      </c>
      <c r="E2166" s="5" t="s">
        <v>9</v>
      </c>
      <c r="F2166" s="6">
        <v>45291</v>
      </c>
      <c r="G2166" s="5">
        <f t="shared" si="337"/>
        <v>2023</v>
      </c>
      <c r="H2166" s="5" t="str">
        <f t="shared" si="338"/>
        <v>Diciembre</v>
      </c>
      <c r="I2166" s="6" t="str">
        <f t="shared" si="339"/>
        <v>2023-2</v>
      </c>
      <c r="J2166" s="5">
        <v>100</v>
      </c>
      <c r="K2166" s="10">
        <v>55</v>
      </c>
      <c r="L2166" s="15">
        <f>IFERROR(IF((K2166/J2166)&gt;1.3,1.3,K2166/J2166),"")</f>
        <v>0.55000000000000004</v>
      </c>
      <c r="M2166" s="15">
        <f>IFERROR(IF((K2166/J2166)&gt;K2166/J2166,1.3,K2166/J2166),"")</f>
        <v>0.55000000000000004</v>
      </c>
      <c r="N2166" s="5" t="s">
        <v>347</v>
      </c>
      <c r="O2166" s="5" t="s">
        <v>347</v>
      </c>
      <c r="P2166" s="16">
        <v>0</v>
      </c>
      <c r="Q2166" s="16">
        <v>0</v>
      </c>
      <c r="R2166" s="5" t="str">
        <f t="shared" si="340"/>
        <v>469.0-2023-12-31</v>
      </c>
    </row>
    <row r="2167" spans="1:18" x14ac:dyDescent="0.3">
      <c r="A2167" s="26" t="s">
        <v>673</v>
      </c>
      <c r="B2167" s="23" t="s">
        <v>600</v>
      </c>
      <c r="C2167" s="5" t="s">
        <v>267</v>
      </c>
      <c r="D2167" s="5" t="s">
        <v>11</v>
      </c>
      <c r="E2167" s="5" t="s">
        <v>9</v>
      </c>
      <c r="F2167" s="6">
        <v>45107</v>
      </c>
      <c r="G2167" s="5">
        <f t="shared" si="337"/>
        <v>2023</v>
      </c>
      <c r="H2167" s="5" t="str">
        <f t="shared" si="338"/>
        <v>Junio</v>
      </c>
      <c r="I2167" s="6" t="str">
        <f t="shared" si="339"/>
        <v>2023-1</v>
      </c>
      <c r="J2167" s="5">
        <v>59</v>
      </c>
      <c r="K2167" s="5">
        <v>62</v>
      </c>
      <c r="L2167" s="24">
        <f>K2167/J2167</f>
        <v>1.0508474576271187</v>
      </c>
      <c r="M2167" s="15">
        <f>IFERROR(IF((K2167/J2167)&gt;K2167/J2167,1.3,K2167/J2167),"")</f>
        <v>1.0508474576271187</v>
      </c>
      <c r="N2167" s="5" t="s">
        <v>347</v>
      </c>
      <c r="O2167" s="5" t="s">
        <v>347</v>
      </c>
      <c r="P2167" s="16">
        <v>0</v>
      </c>
      <c r="Q2167" s="16">
        <v>0</v>
      </c>
      <c r="R2167" s="5" t="str">
        <f t="shared" si="340"/>
        <v>469.1-2023-06-30</v>
      </c>
    </row>
    <row r="2168" spans="1:18" x14ac:dyDescent="0.3">
      <c r="A2168" s="26" t="s">
        <v>673</v>
      </c>
      <c r="B2168" s="23" t="s">
        <v>600</v>
      </c>
      <c r="C2168" s="5" t="s">
        <v>410</v>
      </c>
      <c r="D2168" s="5" t="s">
        <v>11</v>
      </c>
      <c r="E2168" s="5" t="s">
        <v>9</v>
      </c>
      <c r="F2168" s="6">
        <v>45291</v>
      </c>
      <c r="G2168" s="5">
        <f t="shared" si="337"/>
        <v>2023</v>
      </c>
      <c r="H2168" s="5" t="str">
        <f t="shared" si="338"/>
        <v>Diciembre</v>
      </c>
      <c r="I2168" s="6" t="str">
        <f t="shared" si="339"/>
        <v>2023-2</v>
      </c>
      <c r="J2168" s="5">
        <v>100</v>
      </c>
      <c r="K2168" s="10">
        <v>100</v>
      </c>
      <c r="L2168" s="15">
        <f>IFERROR(IF((K2168/J2168)&gt;1.3,1.3,K2168/J2168),"")</f>
        <v>1</v>
      </c>
      <c r="M2168" s="15">
        <f>IFERROR(IF((K2168/J2168)&gt;K2168/J2168,1.3,K2168/J2168),"")</f>
        <v>1</v>
      </c>
      <c r="N2168" s="5" t="s">
        <v>347</v>
      </c>
      <c r="O2168" s="5" t="s">
        <v>347</v>
      </c>
      <c r="P2168" s="16">
        <v>0</v>
      </c>
      <c r="Q2168" s="16">
        <v>0</v>
      </c>
      <c r="R2168" s="5" t="str">
        <f t="shared" si="340"/>
        <v>469.1-2023-12-31</v>
      </c>
    </row>
    <row r="2169" spans="1:18" x14ac:dyDescent="0.3">
      <c r="A2169" s="26" t="s">
        <v>673</v>
      </c>
      <c r="B2169" s="23" t="s">
        <v>600</v>
      </c>
      <c r="C2169" s="5" t="s">
        <v>345</v>
      </c>
      <c r="D2169" s="5" t="s">
        <v>11</v>
      </c>
      <c r="E2169" s="5" t="s">
        <v>9</v>
      </c>
      <c r="F2169" s="6">
        <v>45473</v>
      </c>
      <c r="G2169" s="5">
        <f t="shared" si="337"/>
        <v>2024</v>
      </c>
      <c r="H2169" s="5" t="str">
        <f t="shared" si="338"/>
        <v>Junio</v>
      </c>
      <c r="I2169" s="6" t="str">
        <f t="shared" si="339"/>
        <v>2024-1</v>
      </c>
      <c r="J2169" s="5">
        <v>100</v>
      </c>
      <c r="K2169" s="5">
        <v>100</v>
      </c>
      <c r="L2169" s="15">
        <v>1</v>
      </c>
      <c r="M2169" s="15">
        <v>1</v>
      </c>
      <c r="N2169" s="5" t="s">
        <v>347</v>
      </c>
      <c r="O2169" s="5" t="s">
        <v>347</v>
      </c>
      <c r="P2169" s="5">
        <v>0</v>
      </c>
      <c r="Q2169" s="5">
        <v>0</v>
      </c>
      <c r="R2169" s="5" t="str">
        <f t="shared" si="340"/>
        <v>469.1-2024-06-30</v>
      </c>
    </row>
    <row r="2170" spans="1:18" x14ac:dyDescent="0.3">
      <c r="A2170" s="26" t="s">
        <v>682</v>
      </c>
      <c r="B2170" s="23" t="s">
        <v>672</v>
      </c>
      <c r="C2170" s="5" t="s">
        <v>410</v>
      </c>
      <c r="D2170" s="5" t="s">
        <v>11</v>
      </c>
      <c r="E2170" s="5" t="s">
        <v>9</v>
      </c>
      <c r="F2170" s="6">
        <v>45473</v>
      </c>
      <c r="G2170" s="5">
        <f t="shared" si="337"/>
        <v>2024</v>
      </c>
      <c r="H2170" s="5" t="str">
        <f t="shared" si="338"/>
        <v>Junio</v>
      </c>
      <c r="I2170" s="6" t="str">
        <f t="shared" si="339"/>
        <v>2024-1</v>
      </c>
      <c r="J2170" s="5">
        <v>34.58</v>
      </c>
      <c r="K2170" s="5">
        <v>50</v>
      </c>
      <c r="L2170" s="15">
        <v>1</v>
      </c>
      <c r="M2170" s="15">
        <v>1</v>
      </c>
      <c r="N2170" s="5" t="s">
        <v>347</v>
      </c>
      <c r="O2170" s="5" t="s">
        <v>347</v>
      </c>
      <c r="P2170" s="5">
        <v>0</v>
      </c>
      <c r="Q2170" s="5">
        <v>0</v>
      </c>
      <c r="R2170" s="5" t="str">
        <f t="shared" si="340"/>
        <v>469.10-2024-06-30</v>
      </c>
    </row>
    <row r="2171" spans="1:18" x14ac:dyDescent="0.3">
      <c r="A2171" s="26" t="s">
        <v>674</v>
      </c>
      <c r="B2171" s="23" t="s">
        <v>594</v>
      </c>
      <c r="C2171" s="5" t="s">
        <v>345</v>
      </c>
      <c r="D2171" s="5" t="s">
        <v>11</v>
      </c>
      <c r="E2171" s="5" t="s">
        <v>9</v>
      </c>
      <c r="F2171" s="6">
        <v>45107</v>
      </c>
      <c r="G2171" s="5">
        <f t="shared" si="337"/>
        <v>2023</v>
      </c>
      <c r="H2171" s="5" t="str">
        <f t="shared" si="338"/>
        <v>Junio</v>
      </c>
      <c r="I2171" s="6" t="str">
        <f t="shared" si="339"/>
        <v>2023-1</v>
      </c>
      <c r="J2171" s="5">
        <v>63</v>
      </c>
      <c r="K2171" s="5">
        <v>50</v>
      </c>
      <c r="L2171" s="24">
        <f>K2171/J2171</f>
        <v>0.79365079365079361</v>
      </c>
      <c r="M2171" s="15">
        <f>IFERROR(IF((K2171/J2171)&gt;K2171/J2171,1.3,K2171/J2171),"")</f>
        <v>0.79365079365079361</v>
      </c>
      <c r="N2171" s="5" t="s">
        <v>347</v>
      </c>
      <c r="O2171" s="5" t="s">
        <v>347</v>
      </c>
      <c r="P2171" s="16">
        <v>0</v>
      </c>
      <c r="Q2171" s="16">
        <v>0</v>
      </c>
      <c r="R2171" s="5" t="str">
        <f t="shared" si="340"/>
        <v>469.2-2023-06-30</v>
      </c>
    </row>
    <row r="2172" spans="1:18" x14ac:dyDescent="0.3">
      <c r="A2172" s="26" t="s">
        <v>674</v>
      </c>
      <c r="B2172" s="23" t="s">
        <v>594</v>
      </c>
      <c r="C2172" s="5" t="s">
        <v>345</v>
      </c>
      <c r="D2172" s="5" t="s">
        <v>11</v>
      </c>
      <c r="E2172" s="5" t="s">
        <v>9</v>
      </c>
      <c r="F2172" s="6">
        <v>45291</v>
      </c>
      <c r="G2172" s="5">
        <f t="shared" si="337"/>
        <v>2023</v>
      </c>
      <c r="H2172" s="5" t="str">
        <f t="shared" si="338"/>
        <v>Diciembre</v>
      </c>
      <c r="I2172" s="6" t="str">
        <f t="shared" si="339"/>
        <v>2023-2</v>
      </c>
      <c r="J2172" s="5">
        <v>100</v>
      </c>
      <c r="K2172" s="10">
        <v>83.33</v>
      </c>
      <c r="L2172" s="15">
        <f>IFERROR(IF((K2172/J2172)&gt;1.3,1.3,K2172/J2172),"")</f>
        <v>0.83329999999999993</v>
      </c>
      <c r="M2172" s="15">
        <f>IFERROR(IF((K2172/J2172)&gt;K2172/J2172,1.3,K2172/J2172),"")</f>
        <v>0.83329999999999993</v>
      </c>
      <c r="N2172" s="5" t="s">
        <v>347</v>
      </c>
      <c r="O2172" s="5" t="s">
        <v>347</v>
      </c>
      <c r="P2172" s="16">
        <v>0</v>
      </c>
      <c r="Q2172" s="16">
        <v>0</v>
      </c>
      <c r="R2172" s="5" t="str">
        <f t="shared" si="340"/>
        <v>469.2-2023-12-31</v>
      </c>
    </row>
    <row r="2173" spans="1:18" x14ac:dyDescent="0.3">
      <c r="A2173" s="26" t="s">
        <v>674</v>
      </c>
      <c r="B2173" s="23" t="s">
        <v>594</v>
      </c>
      <c r="C2173" s="5" t="s">
        <v>345</v>
      </c>
      <c r="D2173" s="5" t="s">
        <v>11</v>
      </c>
      <c r="E2173" s="5" t="s">
        <v>9</v>
      </c>
      <c r="F2173" s="6">
        <v>45473</v>
      </c>
      <c r="G2173" s="5">
        <f t="shared" si="337"/>
        <v>2024</v>
      </c>
      <c r="H2173" s="5" t="str">
        <f t="shared" si="338"/>
        <v>Junio</v>
      </c>
      <c r="I2173" s="6" t="str">
        <f t="shared" si="339"/>
        <v>2024-1</v>
      </c>
      <c r="J2173" s="5">
        <v>89.9</v>
      </c>
      <c r="K2173" s="5">
        <v>82</v>
      </c>
      <c r="L2173" s="15">
        <v>0.91212458286985532</v>
      </c>
      <c r="M2173" s="15">
        <v>0.91212458286985532</v>
      </c>
      <c r="N2173" s="5" t="s">
        <v>347</v>
      </c>
      <c r="O2173" s="5" t="s">
        <v>347</v>
      </c>
      <c r="P2173" s="5">
        <v>0</v>
      </c>
      <c r="Q2173" s="5">
        <v>0</v>
      </c>
      <c r="R2173" s="5" t="str">
        <f t="shared" si="340"/>
        <v>469.2-2024-06-30</v>
      </c>
    </row>
    <row r="2174" spans="1:18" x14ac:dyDescent="0.3">
      <c r="A2174" s="26" t="s">
        <v>675</v>
      </c>
      <c r="B2174" s="23" t="s">
        <v>669</v>
      </c>
      <c r="C2174" s="5" t="s">
        <v>345</v>
      </c>
      <c r="D2174" s="5" t="s">
        <v>11</v>
      </c>
      <c r="E2174" s="5" t="s">
        <v>9</v>
      </c>
      <c r="F2174" s="6">
        <v>45107</v>
      </c>
      <c r="G2174" s="5">
        <f t="shared" si="337"/>
        <v>2023</v>
      </c>
      <c r="H2174" s="5" t="str">
        <f t="shared" si="338"/>
        <v>Junio</v>
      </c>
      <c r="I2174" s="6" t="str">
        <f t="shared" si="339"/>
        <v>2023-1</v>
      </c>
      <c r="J2174" s="5">
        <v>50</v>
      </c>
      <c r="K2174" s="5">
        <v>78</v>
      </c>
      <c r="L2174" s="24">
        <f>IF(IFERROR(K2174/J2174,"")&gt;130%,130%,K2174/J2174)</f>
        <v>1.3</v>
      </c>
      <c r="M2174" s="15">
        <f>IFERROR(IF((K2174/J2174)&gt;K2174/J2174,1.3,K2174/J2174),"")</f>
        <v>1.56</v>
      </c>
      <c r="N2174" s="5" t="s">
        <v>347</v>
      </c>
      <c r="O2174" s="5" t="s">
        <v>347</v>
      </c>
      <c r="P2174" s="16">
        <v>0</v>
      </c>
      <c r="Q2174" s="16">
        <v>0</v>
      </c>
      <c r="R2174" s="5" t="str">
        <f t="shared" si="340"/>
        <v>469.3-2023-06-30</v>
      </c>
    </row>
    <row r="2175" spans="1:18" x14ac:dyDescent="0.3">
      <c r="A2175" s="26" t="s">
        <v>675</v>
      </c>
      <c r="B2175" s="23" t="s">
        <v>669</v>
      </c>
      <c r="C2175" s="5" t="s">
        <v>345</v>
      </c>
      <c r="D2175" s="5" t="s">
        <v>11</v>
      </c>
      <c r="E2175" s="5" t="s">
        <v>9</v>
      </c>
      <c r="F2175" s="6">
        <v>45291</v>
      </c>
      <c r="G2175" s="5">
        <f t="shared" si="337"/>
        <v>2023</v>
      </c>
      <c r="H2175" s="5" t="str">
        <f t="shared" si="338"/>
        <v>Diciembre</v>
      </c>
      <c r="I2175" s="6" t="str">
        <f t="shared" si="339"/>
        <v>2023-2</v>
      </c>
      <c r="J2175" s="5">
        <v>100</v>
      </c>
      <c r="K2175" s="10">
        <v>100</v>
      </c>
      <c r="L2175" s="15">
        <f>IFERROR(IF((K2175/J2175)&gt;1.3,1.3,K2175/J2175),"")</f>
        <v>1</v>
      </c>
      <c r="M2175" s="15">
        <f>IFERROR(IF((K2175/J2175)&gt;K2175/J2175,1.3,K2175/J2175),"")</f>
        <v>1</v>
      </c>
      <c r="N2175" s="5" t="s">
        <v>347</v>
      </c>
      <c r="O2175" s="5" t="s">
        <v>347</v>
      </c>
      <c r="P2175" s="16">
        <v>0</v>
      </c>
      <c r="Q2175" s="16">
        <v>0</v>
      </c>
      <c r="R2175" s="5" t="str">
        <f t="shared" si="340"/>
        <v>469.3-2023-12-31</v>
      </c>
    </row>
    <row r="2176" spans="1:18" x14ac:dyDescent="0.3">
      <c r="A2176" s="26" t="s">
        <v>675</v>
      </c>
      <c r="B2176" s="23" t="s">
        <v>669</v>
      </c>
      <c r="C2176" s="5" t="s">
        <v>345</v>
      </c>
      <c r="D2176" s="5" t="s">
        <v>11</v>
      </c>
      <c r="E2176" s="5" t="s">
        <v>9</v>
      </c>
      <c r="F2176" s="6">
        <v>45473</v>
      </c>
      <c r="G2176" s="5">
        <f t="shared" si="337"/>
        <v>2024</v>
      </c>
      <c r="H2176" s="5" t="str">
        <f t="shared" si="338"/>
        <v>Junio</v>
      </c>
      <c r="I2176" s="6" t="str">
        <f t="shared" si="339"/>
        <v>2024-1</v>
      </c>
      <c r="J2176" s="5">
        <v>39.950000000000003</v>
      </c>
      <c r="K2176" s="5">
        <v>43.61</v>
      </c>
      <c r="L2176" s="15">
        <v>1</v>
      </c>
      <c r="M2176" s="15">
        <v>1</v>
      </c>
      <c r="N2176" s="5" t="s">
        <v>347</v>
      </c>
      <c r="O2176" s="5" t="s">
        <v>347</v>
      </c>
      <c r="P2176" s="5">
        <v>0</v>
      </c>
      <c r="Q2176" s="5">
        <v>0</v>
      </c>
      <c r="R2176" s="5" t="str">
        <f t="shared" si="340"/>
        <v>469.3-2024-06-30</v>
      </c>
    </row>
    <row r="2177" spans="1:18" x14ac:dyDescent="0.3">
      <c r="A2177" s="26" t="s">
        <v>676</v>
      </c>
      <c r="B2177" s="23" t="s">
        <v>596</v>
      </c>
      <c r="C2177" s="5" t="s">
        <v>345</v>
      </c>
      <c r="D2177" s="5" t="s">
        <v>11</v>
      </c>
      <c r="E2177" s="5" t="s">
        <v>9</v>
      </c>
      <c r="F2177" s="6">
        <v>45107</v>
      </c>
      <c r="G2177" s="5">
        <f t="shared" si="337"/>
        <v>2023</v>
      </c>
      <c r="H2177" s="5" t="str">
        <f t="shared" si="338"/>
        <v>Junio</v>
      </c>
      <c r="I2177" s="6" t="str">
        <f t="shared" si="339"/>
        <v>2023-1</v>
      </c>
      <c r="J2177" s="5">
        <v>68</v>
      </c>
      <c r="K2177" s="5">
        <v>71</v>
      </c>
      <c r="L2177" s="24">
        <f>K2177/J2177</f>
        <v>1.0441176470588236</v>
      </c>
      <c r="M2177" s="15">
        <f>IFERROR(IF((K2177/J2177)&gt;K2177/J2177,1.3,K2177/J2177),"")</f>
        <v>1.0441176470588236</v>
      </c>
      <c r="N2177" s="5" t="s">
        <v>347</v>
      </c>
      <c r="O2177" s="5" t="s">
        <v>347</v>
      </c>
      <c r="P2177" s="16">
        <v>0</v>
      </c>
      <c r="Q2177" s="16">
        <v>0</v>
      </c>
      <c r="R2177" s="5" t="str">
        <f t="shared" si="340"/>
        <v>469.4-2023-06-30</v>
      </c>
    </row>
    <row r="2178" spans="1:18" x14ac:dyDescent="0.3">
      <c r="A2178" s="26" t="s">
        <v>676</v>
      </c>
      <c r="B2178" s="23" t="s">
        <v>596</v>
      </c>
      <c r="C2178" s="5" t="s">
        <v>345</v>
      </c>
      <c r="D2178" s="5" t="s">
        <v>11</v>
      </c>
      <c r="E2178" s="5" t="s">
        <v>9</v>
      </c>
      <c r="F2178" s="6">
        <v>45291</v>
      </c>
      <c r="G2178" s="5">
        <f t="shared" ref="G2178:G2241" si="341">YEAR(F2178)</f>
        <v>2023</v>
      </c>
      <c r="H2178" s="5" t="str">
        <f t="shared" ref="H2178:H2241" si="342">PROPER(TEXT(F2178,"mmmm"))</f>
        <v>Diciembre</v>
      </c>
      <c r="I2178" s="6" t="str">
        <f t="shared" si="339"/>
        <v>2023-2</v>
      </c>
      <c r="J2178" s="5">
        <v>100</v>
      </c>
      <c r="K2178" s="10">
        <v>100</v>
      </c>
      <c r="L2178" s="15">
        <f>IFERROR(IF((K2178/J2178)&gt;1.3,1.3,K2178/J2178),"")</f>
        <v>1</v>
      </c>
      <c r="M2178" s="15">
        <f>IFERROR(IF((K2178/J2178)&gt;K2178/J2178,1.3,K2178/J2178),"")</f>
        <v>1</v>
      </c>
      <c r="N2178" s="5" t="s">
        <v>347</v>
      </c>
      <c r="O2178" s="5" t="s">
        <v>347</v>
      </c>
      <c r="P2178" s="16">
        <v>0</v>
      </c>
      <c r="Q2178" s="16">
        <v>0</v>
      </c>
      <c r="R2178" s="5" t="str">
        <f t="shared" si="340"/>
        <v>469.4-2023-12-31</v>
      </c>
    </row>
    <row r="2179" spans="1:18" x14ac:dyDescent="0.3">
      <c r="A2179" s="26" t="s">
        <v>676</v>
      </c>
      <c r="B2179" s="23" t="s">
        <v>596</v>
      </c>
      <c r="C2179" s="5" t="s">
        <v>345</v>
      </c>
      <c r="D2179" s="5" t="s">
        <v>11</v>
      </c>
      <c r="E2179" s="5" t="s">
        <v>9</v>
      </c>
      <c r="F2179" s="6">
        <v>45473</v>
      </c>
      <c r="G2179" s="5">
        <f t="shared" si="341"/>
        <v>2024</v>
      </c>
      <c r="H2179" s="5" t="str">
        <f t="shared" si="342"/>
        <v>Junio</v>
      </c>
      <c r="I2179" s="6" t="str">
        <f t="shared" ref="I2179:I2242" si="343">IF(OR(H2179="Enero",H2179="Febrero",H2179="Marzo",H2179="Abril",H2179="Mayo",H2179="Junio"),G2179&amp;"-1",IF(OR(H2179="Julio",H2179="Agosto",H2179="Septiembre",H2179="Octubre",H2179="Noviembre",H2179="Diciembre"),G2179&amp;"-2"))</f>
        <v>2024-1</v>
      </c>
      <c r="J2179" s="5">
        <v>29.69</v>
      </c>
      <c r="K2179" s="5">
        <v>40.36</v>
      </c>
      <c r="L2179" s="15">
        <v>1</v>
      </c>
      <c r="M2179" s="15">
        <v>1</v>
      </c>
      <c r="N2179" s="5" t="s">
        <v>347</v>
      </c>
      <c r="O2179" s="5" t="s">
        <v>347</v>
      </c>
      <c r="P2179" s="5">
        <v>0</v>
      </c>
      <c r="Q2179" s="5">
        <v>0</v>
      </c>
      <c r="R2179" s="5" t="str">
        <f t="shared" ref="R2179:R2242" si="344">A2179&amp;"-"&amp;YEAR(F2179)&amp;"-"&amp;IF(LEN(MONTH(F2179))=1,"0"&amp;MONTH(F2179),MONTH(F2179))&amp;"-"&amp;DAY(F2179)</f>
        <v>469.4-2024-06-30</v>
      </c>
    </row>
    <row r="2180" spans="1:18" x14ac:dyDescent="0.3">
      <c r="A2180" s="26" t="s">
        <v>677</v>
      </c>
      <c r="B2180" s="23" t="s">
        <v>597</v>
      </c>
      <c r="C2180" s="5" t="s">
        <v>345</v>
      </c>
      <c r="D2180" s="5" t="s">
        <v>11</v>
      </c>
      <c r="E2180" s="5" t="s">
        <v>9</v>
      </c>
      <c r="F2180" s="6">
        <v>45107</v>
      </c>
      <c r="G2180" s="5">
        <f t="shared" si="341"/>
        <v>2023</v>
      </c>
      <c r="H2180" s="5" t="str">
        <f t="shared" si="342"/>
        <v>Junio</v>
      </c>
      <c r="I2180" s="6" t="str">
        <f t="shared" si="343"/>
        <v>2023-1</v>
      </c>
      <c r="J2180" s="5">
        <v>53</v>
      </c>
      <c r="K2180" s="5">
        <v>63</v>
      </c>
      <c r="L2180" s="24">
        <f>K2180/J2180</f>
        <v>1.1886792452830188</v>
      </c>
      <c r="M2180" s="15">
        <f>IFERROR(IF((K2180/J2180)&gt;K2180/J2180,1.3,K2180/J2180),"")</f>
        <v>1.1886792452830188</v>
      </c>
      <c r="N2180" s="5" t="s">
        <v>347</v>
      </c>
      <c r="O2180" s="5" t="s">
        <v>347</v>
      </c>
      <c r="P2180" s="16">
        <v>0</v>
      </c>
      <c r="Q2180" s="16">
        <v>0</v>
      </c>
      <c r="R2180" s="5" t="str">
        <f t="shared" si="344"/>
        <v>469.5-2023-06-30</v>
      </c>
    </row>
    <row r="2181" spans="1:18" x14ac:dyDescent="0.3">
      <c r="A2181" s="26" t="s">
        <v>677</v>
      </c>
      <c r="B2181" s="23" t="s">
        <v>597</v>
      </c>
      <c r="C2181" s="5" t="s">
        <v>345</v>
      </c>
      <c r="D2181" s="5" t="s">
        <v>11</v>
      </c>
      <c r="E2181" s="5" t="s">
        <v>9</v>
      </c>
      <c r="F2181" s="6">
        <v>45291</v>
      </c>
      <c r="G2181" s="5">
        <f t="shared" si="341"/>
        <v>2023</v>
      </c>
      <c r="H2181" s="5" t="str">
        <f t="shared" si="342"/>
        <v>Diciembre</v>
      </c>
      <c r="I2181" s="6" t="str">
        <f t="shared" si="343"/>
        <v>2023-2</v>
      </c>
      <c r="J2181" s="5">
        <v>100</v>
      </c>
      <c r="K2181" s="10">
        <v>100</v>
      </c>
      <c r="L2181" s="15">
        <f>IFERROR(IF((K2181/J2181)&gt;1.3,1.3,K2181/J2181),"")</f>
        <v>1</v>
      </c>
      <c r="M2181" s="15">
        <f>IFERROR(IF((K2181/J2181)&gt;K2181/J2181,1.3,K2181/J2181),"")</f>
        <v>1</v>
      </c>
      <c r="N2181" s="5" t="s">
        <v>347</v>
      </c>
      <c r="O2181" s="5" t="s">
        <v>347</v>
      </c>
      <c r="P2181" s="16">
        <v>0</v>
      </c>
      <c r="Q2181" s="16">
        <v>0</v>
      </c>
      <c r="R2181" s="5" t="str">
        <f t="shared" si="344"/>
        <v>469.5-2023-12-31</v>
      </c>
    </row>
    <row r="2182" spans="1:18" x14ac:dyDescent="0.3">
      <c r="A2182" s="26" t="s">
        <v>677</v>
      </c>
      <c r="B2182" s="23" t="s">
        <v>597</v>
      </c>
      <c r="C2182" s="5" t="s">
        <v>345</v>
      </c>
      <c r="D2182" s="5" t="s">
        <v>11</v>
      </c>
      <c r="E2182" s="5" t="s">
        <v>9</v>
      </c>
      <c r="F2182" s="6">
        <v>45473</v>
      </c>
      <c r="G2182" s="5">
        <f t="shared" si="341"/>
        <v>2024</v>
      </c>
      <c r="H2182" s="5" t="str">
        <f t="shared" si="342"/>
        <v>Junio</v>
      </c>
      <c r="I2182" s="6" t="str">
        <f t="shared" si="343"/>
        <v>2024-1</v>
      </c>
      <c r="J2182" s="5">
        <v>40.85</v>
      </c>
      <c r="K2182" s="5">
        <v>45.75</v>
      </c>
      <c r="L2182" s="15">
        <v>1</v>
      </c>
      <c r="M2182" s="15">
        <v>1</v>
      </c>
      <c r="N2182" s="5" t="s">
        <v>347</v>
      </c>
      <c r="O2182" s="5" t="s">
        <v>347</v>
      </c>
      <c r="P2182" s="5">
        <v>0</v>
      </c>
      <c r="Q2182" s="5">
        <v>0</v>
      </c>
      <c r="R2182" s="5" t="str">
        <f t="shared" si="344"/>
        <v>469.5-2024-06-30</v>
      </c>
    </row>
    <row r="2183" spans="1:18" x14ac:dyDescent="0.3">
      <c r="A2183" s="26" t="s">
        <v>678</v>
      </c>
      <c r="B2183" s="23" t="s">
        <v>598</v>
      </c>
      <c r="C2183" s="5" t="s">
        <v>345</v>
      </c>
      <c r="D2183" s="5" t="s">
        <v>11</v>
      </c>
      <c r="E2183" s="5" t="s">
        <v>9</v>
      </c>
      <c r="F2183" s="6">
        <v>45107</v>
      </c>
      <c r="G2183" s="5">
        <f t="shared" si="341"/>
        <v>2023</v>
      </c>
      <c r="H2183" s="5" t="str">
        <f t="shared" si="342"/>
        <v>Junio</v>
      </c>
      <c r="I2183" s="6" t="str">
        <f t="shared" si="343"/>
        <v>2023-1</v>
      </c>
      <c r="J2183" s="5">
        <v>65</v>
      </c>
      <c r="K2183" s="5">
        <v>67</v>
      </c>
      <c r="L2183" s="24">
        <f>K2183/J2183</f>
        <v>1.0307692307692307</v>
      </c>
      <c r="M2183" s="15">
        <f>IFERROR(IF((K2183/J2183)&gt;K2183/J2183,1.3,K2183/J2183),"")</f>
        <v>1.0307692307692307</v>
      </c>
      <c r="N2183" s="5" t="s">
        <v>347</v>
      </c>
      <c r="O2183" s="5" t="s">
        <v>347</v>
      </c>
      <c r="P2183" s="16">
        <v>0</v>
      </c>
      <c r="Q2183" s="16">
        <v>0</v>
      </c>
      <c r="R2183" s="5" t="str">
        <f t="shared" si="344"/>
        <v>469.6-2023-06-30</v>
      </c>
    </row>
    <row r="2184" spans="1:18" x14ac:dyDescent="0.3">
      <c r="A2184" s="26" t="s">
        <v>678</v>
      </c>
      <c r="B2184" s="23" t="s">
        <v>598</v>
      </c>
      <c r="C2184" s="5" t="s">
        <v>345</v>
      </c>
      <c r="D2184" s="5" t="s">
        <v>11</v>
      </c>
      <c r="E2184" s="5" t="s">
        <v>9</v>
      </c>
      <c r="F2184" s="6">
        <v>45291</v>
      </c>
      <c r="G2184" s="5">
        <f t="shared" si="341"/>
        <v>2023</v>
      </c>
      <c r="H2184" s="5" t="str">
        <f t="shared" si="342"/>
        <v>Diciembre</v>
      </c>
      <c r="I2184" s="6" t="str">
        <f t="shared" si="343"/>
        <v>2023-2</v>
      </c>
      <c r="J2184" s="5">
        <v>100</v>
      </c>
      <c r="K2184" s="10">
        <v>100</v>
      </c>
      <c r="L2184" s="15">
        <f>IFERROR(IF((K2184/J2184)&gt;1.3,1.3,K2184/J2184),"")</f>
        <v>1</v>
      </c>
      <c r="M2184" s="15">
        <f>IFERROR(IF((K2184/J2184)&gt;K2184/J2184,1.3,K2184/J2184),"")</f>
        <v>1</v>
      </c>
      <c r="N2184" s="5" t="s">
        <v>347</v>
      </c>
      <c r="O2184" s="5" t="s">
        <v>347</v>
      </c>
      <c r="P2184" s="16">
        <v>0</v>
      </c>
      <c r="Q2184" s="16">
        <v>0</v>
      </c>
      <c r="R2184" s="5" t="str">
        <f t="shared" si="344"/>
        <v>469.6-2023-12-31</v>
      </c>
    </row>
    <row r="2185" spans="1:18" x14ac:dyDescent="0.3">
      <c r="A2185" s="26" t="s">
        <v>678</v>
      </c>
      <c r="B2185" s="23" t="s">
        <v>598</v>
      </c>
      <c r="C2185" s="5" t="s">
        <v>345</v>
      </c>
      <c r="D2185" s="5" t="s">
        <v>11</v>
      </c>
      <c r="E2185" s="5" t="s">
        <v>9</v>
      </c>
      <c r="F2185" s="6">
        <v>45473</v>
      </c>
      <c r="G2185" s="5">
        <f t="shared" si="341"/>
        <v>2024</v>
      </c>
      <c r="H2185" s="5" t="str">
        <f t="shared" si="342"/>
        <v>Junio</v>
      </c>
      <c r="I2185" s="6" t="str">
        <f t="shared" si="343"/>
        <v>2024-1</v>
      </c>
      <c r="J2185" s="5">
        <v>57.31</v>
      </c>
      <c r="K2185" s="5">
        <v>72.5</v>
      </c>
      <c r="L2185" s="15">
        <v>1</v>
      </c>
      <c r="M2185" s="15">
        <v>1</v>
      </c>
      <c r="N2185" s="5" t="s">
        <v>347</v>
      </c>
      <c r="O2185" s="5" t="s">
        <v>347</v>
      </c>
      <c r="P2185" s="5">
        <v>0</v>
      </c>
      <c r="Q2185" s="5">
        <v>0</v>
      </c>
      <c r="R2185" s="5" t="str">
        <f t="shared" si="344"/>
        <v>469.6-2024-06-30</v>
      </c>
    </row>
    <row r="2186" spans="1:18" x14ac:dyDescent="0.3">
      <c r="A2186" s="26" t="s">
        <v>679</v>
      </c>
      <c r="B2186" s="23" t="s">
        <v>599</v>
      </c>
      <c r="C2186" s="5" t="s">
        <v>345</v>
      </c>
      <c r="D2186" s="5" t="s">
        <v>11</v>
      </c>
      <c r="E2186" s="5" t="s">
        <v>9</v>
      </c>
      <c r="F2186" s="6">
        <v>45107</v>
      </c>
      <c r="G2186" s="5">
        <f t="shared" si="341"/>
        <v>2023</v>
      </c>
      <c r="H2186" s="5" t="str">
        <f t="shared" si="342"/>
        <v>Junio</v>
      </c>
      <c r="I2186" s="6" t="str">
        <f t="shared" si="343"/>
        <v>2023-1</v>
      </c>
      <c r="J2186" s="5">
        <v>52</v>
      </c>
      <c r="K2186" s="5">
        <v>67</v>
      </c>
      <c r="L2186" s="24">
        <f>K2186/J2186</f>
        <v>1.2884615384615385</v>
      </c>
      <c r="M2186" s="15">
        <f>IFERROR(IF((K2186/J2186)&gt;K2186/J2186,1.3,K2186/J2186),"")</f>
        <v>1.2884615384615385</v>
      </c>
      <c r="N2186" s="5" t="s">
        <v>347</v>
      </c>
      <c r="O2186" s="5" t="s">
        <v>347</v>
      </c>
      <c r="P2186" s="16">
        <v>0</v>
      </c>
      <c r="Q2186" s="16">
        <v>0</v>
      </c>
      <c r="R2186" s="5" t="str">
        <f t="shared" si="344"/>
        <v>469.7-2023-06-30</v>
      </c>
    </row>
    <row r="2187" spans="1:18" x14ac:dyDescent="0.3">
      <c r="A2187" s="26" t="s">
        <v>679</v>
      </c>
      <c r="B2187" s="23" t="s">
        <v>599</v>
      </c>
      <c r="C2187" s="5" t="s">
        <v>345</v>
      </c>
      <c r="D2187" s="5" t="s">
        <v>11</v>
      </c>
      <c r="E2187" s="5" t="s">
        <v>9</v>
      </c>
      <c r="F2187" s="6">
        <v>45291</v>
      </c>
      <c r="G2187" s="5">
        <f t="shared" si="341"/>
        <v>2023</v>
      </c>
      <c r="H2187" s="5" t="str">
        <f t="shared" si="342"/>
        <v>Diciembre</v>
      </c>
      <c r="I2187" s="6" t="str">
        <f t="shared" si="343"/>
        <v>2023-2</v>
      </c>
      <c r="J2187" s="5">
        <v>100</v>
      </c>
      <c r="K2187" s="10">
        <v>100</v>
      </c>
      <c r="L2187" s="15">
        <f>IFERROR(IF((K2187/J2187)&gt;1.3,1.3,K2187/J2187),"")</f>
        <v>1</v>
      </c>
      <c r="M2187" s="15">
        <f>IFERROR(IF((K2187/J2187)&gt;K2187/J2187,1.3,K2187/J2187),"")</f>
        <v>1</v>
      </c>
      <c r="N2187" s="5" t="s">
        <v>347</v>
      </c>
      <c r="O2187" s="5" t="s">
        <v>347</v>
      </c>
      <c r="P2187" s="16">
        <v>0</v>
      </c>
      <c r="Q2187" s="16">
        <v>0</v>
      </c>
      <c r="R2187" s="5" t="str">
        <f t="shared" si="344"/>
        <v>469.7-2023-12-31</v>
      </c>
    </row>
    <row r="2188" spans="1:18" x14ac:dyDescent="0.3">
      <c r="A2188" s="26" t="s">
        <v>679</v>
      </c>
      <c r="B2188" s="23" t="s">
        <v>599</v>
      </c>
      <c r="C2188" s="5" t="s">
        <v>345</v>
      </c>
      <c r="D2188" s="5" t="s">
        <v>11</v>
      </c>
      <c r="E2188" s="5" t="s">
        <v>9</v>
      </c>
      <c r="F2188" s="6">
        <v>45473</v>
      </c>
      <c r="G2188" s="5">
        <f t="shared" si="341"/>
        <v>2024</v>
      </c>
      <c r="H2188" s="5" t="str">
        <f t="shared" si="342"/>
        <v>Junio</v>
      </c>
      <c r="I2188" s="6" t="str">
        <f t="shared" si="343"/>
        <v>2024-1</v>
      </c>
      <c r="J2188" s="5">
        <v>54.94</v>
      </c>
      <c r="K2188" s="5">
        <v>68.75</v>
      </c>
      <c r="L2188" s="15">
        <v>1</v>
      </c>
      <c r="M2188" s="15">
        <v>1</v>
      </c>
      <c r="N2188" s="5" t="s">
        <v>347</v>
      </c>
      <c r="O2188" s="5" t="s">
        <v>347</v>
      </c>
      <c r="P2188" s="5">
        <v>0</v>
      </c>
      <c r="Q2188" s="5">
        <v>0</v>
      </c>
      <c r="R2188" s="5" t="str">
        <f t="shared" si="344"/>
        <v>469.7-2024-06-30</v>
      </c>
    </row>
    <row r="2189" spans="1:18" x14ac:dyDescent="0.3">
      <c r="A2189" s="26" t="s">
        <v>680</v>
      </c>
      <c r="B2189" s="23" t="s">
        <v>670</v>
      </c>
      <c r="C2189" s="5" t="s">
        <v>345</v>
      </c>
      <c r="D2189" s="5" t="s">
        <v>11</v>
      </c>
      <c r="E2189" s="5" t="s">
        <v>9</v>
      </c>
      <c r="F2189" s="6">
        <v>45473</v>
      </c>
      <c r="G2189" s="5">
        <f t="shared" si="341"/>
        <v>2024</v>
      </c>
      <c r="H2189" s="5" t="str">
        <f t="shared" si="342"/>
        <v>Junio</v>
      </c>
      <c r="I2189" s="6" t="str">
        <f t="shared" si="343"/>
        <v>2024-1</v>
      </c>
      <c r="J2189" s="5">
        <v>50.46</v>
      </c>
      <c r="K2189" s="5">
        <v>50</v>
      </c>
      <c r="L2189" s="15">
        <v>0.99088386841062226</v>
      </c>
      <c r="M2189" s="15">
        <v>0.99088386841062226</v>
      </c>
      <c r="N2189" s="5" t="s">
        <v>347</v>
      </c>
      <c r="O2189" s="5" t="s">
        <v>347</v>
      </c>
      <c r="P2189" s="5">
        <v>0</v>
      </c>
      <c r="Q2189" s="5">
        <v>0</v>
      </c>
      <c r="R2189" s="5" t="str">
        <f t="shared" si="344"/>
        <v>469.8-2024-06-30</v>
      </c>
    </row>
    <row r="2190" spans="1:18" x14ac:dyDescent="0.3">
      <c r="A2190" s="26" t="s">
        <v>681</v>
      </c>
      <c r="B2190" s="23" t="s">
        <v>671</v>
      </c>
      <c r="C2190" s="5" t="s">
        <v>345</v>
      </c>
      <c r="D2190" s="5" t="s">
        <v>11</v>
      </c>
      <c r="E2190" s="5" t="s">
        <v>9</v>
      </c>
      <c r="F2190" s="6">
        <v>45107</v>
      </c>
      <c r="G2190" s="5">
        <f t="shared" si="341"/>
        <v>2023</v>
      </c>
      <c r="H2190" s="5" t="str">
        <f t="shared" si="342"/>
        <v>Junio</v>
      </c>
      <c r="I2190" s="6" t="str">
        <f t="shared" si="343"/>
        <v>2023-1</v>
      </c>
      <c r="J2190" s="5">
        <v>54</v>
      </c>
      <c r="K2190" s="5">
        <v>70</v>
      </c>
      <c r="L2190" s="24">
        <f>K2190/J2190</f>
        <v>1.2962962962962963</v>
      </c>
      <c r="M2190" s="15">
        <f>IFERROR(IF((K2190/J2190)&gt;K2190/J2190,1.3,K2190/J2190),"")</f>
        <v>1.2962962962962963</v>
      </c>
      <c r="N2190" s="5" t="s">
        <v>347</v>
      </c>
      <c r="O2190" s="5" t="s">
        <v>347</v>
      </c>
      <c r="P2190" s="16">
        <v>0</v>
      </c>
      <c r="Q2190" s="16">
        <v>0</v>
      </c>
      <c r="R2190" s="5" t="str">
        <f t="shared" si="344"/>
        <v>469.9-2023-06-30</v>
      </c>
    </row>
    <row r="2191" spans="1:18" x14ac:dyDescent="0.3">
      <c r="A2191" s="26" t="s">
        <v>681</v>
      </c>
      <c r="B2191" s="23" t="s">
        <v>671</v>
      </c>
      <c r="C2191" s="5" t="s">
        <v>345</v>
      </c>
      <c r="D2191" s="5" t="s">
        <v>11</v>
      </c>
      <c r="E2191" s="5" t="s">
        <v>9</v>
      </c>
      <c r="F2191" s="6">
        <v>45291</v>
      </c>
      <c r="G2191" s="5">
        <f t="shared" si="341"/>
        <v>2023</v>
      </c>
      <c r="H2191" s="5" t="str">
        <f t="shared" si="342"/>
        <v>Diciembre</v>
      </c>
      <c r="I2191" s="6" t="str">
        <f t="shared" si="343"/>
        <v>2023-2</v>
      </c>
      <c r="J2191" s="5">
        <v>100</v>
      </c>
      <c r="K2191" s="10">
        <v>98.4</v>
      </c>
      <c r="L2191" s="15">
        <f>IFERROR(IF((K2191/J2191)&gt;1.3,1.3,K2191/J2191),"")</f>
        <v>0.9840000000000001</v>
      </c>
      <c r="M2191" s="15">
        <f>IFERROR(IF((K2191/J2191)&gt;K2191/J2191,1.3,K2191/J2191),"")</f>
        <v>0.9840000000000001</v>
      </c>
      <c r="N2191" s="5" t="s">
        <v>347</v>
      </c>
      <c r="O2191" s="5" t="s">
        <v>347</v>
      </c>
      <c r="P2191" s="16">
        <v>0</v>
      </c>
      <c r="Q2191" s="16">
        <v>0</v>
      </c>
      <c r="R2191" s="5" t="str">
        <f t="shared" si="344"/>
        <v>469.9-2023-12-31</v>
      </c>
    </row>
    <row r="2192" spans="1:18" x14ac:dyDescent="0.3">
      <c r="A2192" s="26" t="s">
        <v>681</v>
      </c>
      <c r="B2192" s="23" t="s">
        <v>671</v>
      </c>
      <c r="C2192" s="5" t="s">
        <v>410</v>
      </c>
      <c r="D2192" s="5" t="s">
        <v>11</v>
      </c>
      <c r="E2192" s="5" t="s">
        <v>9</v>
      </c>
      <c r="F2192" s="6">
        <v>45473</v>
      </c>
      <c r="G2192" s="5">
        <f t="shared" si="341"/>
        <v>2024</v>
      </c>
      <c r="H2192" s="5" t="str">
        <f t="shared" si="342"/>
        <v>Junio</v>
      </c>
      <c r="I2192" s="6" t="str">
        <f t="shared" si="343"/>
        <v>2024-1</v>
      </c>
      <c r="J2192" s="5">
        <v>68.98</v>
      </c>
      <c r="K2192" s="5">
        <v>68.75</v>
      </c>
      <c r="L2192" s="15">
        <v>0.99666570020295731</v>
      </c>
      <c r="M2192" s="15">
        <v>0.99666570020295731</v>
      </c>
      <c r="N2192" s="5" t="s">
        <v>347</v>
      </c>
      <c r="O2192" s="5" t="s">
        <v>347</v>
      </c>
      <c r="P2192" s="5">
        <v>0</v>
      </c>
      <c r="Q2192" s="5">
        <v>0</v>
      </c>
      <c r="R2192" s="5" t="str">
        <f t="shared" si="344"/>
        <v>469.9-2024-06-30</v>
      </c>
    </row>
    <row r="2193" spans="1:18" x14ac:dyDescent="0.3">
      <c r="A2193" s="26" t="s">
        <v>696</v>
      </c>
      <c r="B2193" s="23" t="s">
        <v>694</v>
      </c>
      <c r="C2193" s="5" t="s">
        <v>55</v>
      </c>
      <c r="D2193" s="5" t="s">
        <v>11</v>
      </c>
      <c r="E2193" s="5" t="s">
        <v>9</v>
      </c>
      <c r="F2193" s="6">
        <v>45473</v>
      </c>
      <c r="G2193" s="5">
        <f t="shared" si="341"/>
        <v>2024</v>
      </c>
      <c r="H2193" s="5" t="str">
        <f t="shared" si="342"/>
        <v>Junio</v>
      </c>
      <c r="I2193" s="6" t="str">
        <f t="shared" si="343"/>
        <v>2024-1</v>
      </c>
      <c r="J2193" s="5">
        <v>56.79</v>
      </c>
      <c r="K2193" s="5">
        <v>60</v>
      </c>
      <c r="L2193" s="15">
        <v>1</v>
      </c>
      <c r="M2193" s="15">
        <v>1</v>
      </c>
      <c r="N2193" s="5" t="s">
        <v>347</v>
      </c>
      <c r="O2193" s="5" t="s">
        <v>347</v>
      </c>
      <c r="P2193" s="5">
        <v>0</v>
      </c>
      <c r="Q2193" s="5">
        <v>0</v>
      </c>
      <c r="R2193" s="5" t="str">
        <f t="shared" si="344"/>
        <v>470.1-2024-06-30</v>
      </c>
    </row>
    <row r="2194" spans="1:18" x14ac:dyDescent="0.3">
      <c r="A2194" s="26" t="s">
        <v>697</v>
      </c>
      <c r="B2194" s="23" t="s">
        <v>693</v>
      </c>
      <c r="C2194" s="5" t="s">
        <v>67</v>
      </c>
      <c r="D2194" s="5" t="s">
        <v>11</v>
      </c>
      <c r="E2194" s="5" t="s">
        <v>9</v>
      </c>
      <c r="F2194" s="6">
        <v>45473</v>
      </c>
      <c r="G2194" s="5">
        <f t="shared" si="341"/>
        <v>2024</v>
      </c>
      <c r="H2194" s="5" t="str">
        <f t="shared" si="342"/>
        <v>Junio</v>
      </c>
      <c r="I2194" s="6" t="str">
        <f t="shared" si="343"/>
        <v>2024-1</v>
      </c>
      <c r="J2194" s="5">
        <v>67.84</v>
      </c>
      <c r="K2194" s="5">
        <v>63.75</v>
      </c>
      <c r="L2194" s="15">
        <v>0.93971108490566035</v>
      </c>
      <c r="M2194" s="15">
        <v>0.93971108490566035</v>
      </c>
      <c r="N2194" s="5" t="s">
        <v>347</v>
      </c>
      <c r="O2194" s="5" t="s">
        <v>347</v>
      </c>
      <c r="P2194" s="5">
        <v>0</v>
      </c>
      <c r="Q2194" s="5">
        <v>0</v>
      </c>
      <c r="R2194" s="5" t="str">
        <f t="shared" si="344"/>
        <v>470.2-2024-06-30</v>
      </c>
    </row>
    <row r="2195" spans="1:18" x14ac:dyDescent="0.3">
      <c r="A2195" s="26" t="s">
        <v>698</v>
      </c>
      <c r="B2195" s="23" t="s">
        <v>692</v>
      </c>
      <c r="C2195" s="5" t="s">
        <v>152</v>
      </c>
      <c r="D2195" s="5" t="s">
        <v>11</v>
      </c>
      <c r="E2195" s="5" t="s">
        <v>9</v>
      </c>
      <c r="F2195" s="6">
        <v>45473</v>
      </c>
      <c r="G2195" s="5">
        <f t="shared" si="341"/>
        <v>2024</v>
      </c>
      <c r="H2195" s="5" t="str">
        <f t="shared" si="342"/>
        <v>Junio</v>
      </c>
      <c r="I2195" s="6" t="str">
        <f t="shared" si="343"/>
        <v>2024-1</v>
      </c>
      <c r="J2195" s="5">
        <v>71.58</v>
      </c>
      <c r="K2195" s="5">
        <v>80</v>
      </c>
      <c r="L2195" s="15">
        <v>1</v>
      </c>
      <c r="M2195" s="15">
        <v>1</v>
      </c>
      <c r="N2195" s="5" t="s">
        <v>347</v>
      </c>
      <c r="O2195" s="5" t="s">
        <v>347</v>
      </c>
      <c r="P2195" s="5">
        <v>0</v>
      </c>
      <c r="Q2195" s="5">
        <v>0</v>
      </c>
      <c r="R2195" s="5" t="str">
        <f t="shared" si="344"/>
        <v>470.3-2024-06-30</v>
      </c>
    </row>
    <row r="2196" spans="1:18" x14ac:dyDescent="0.3">
      <c r="A2196" s="26" t="s">
        <v>699</v>
      </c>
      <c r="B2196" s="23" t="s">
        <v>691</v>
      </c>
      <c r="C2196" s="5" t="s">
        <v>285</v>
      </c>
      <c r="D2196" s="5" t="s">
        <v>11</v>
      </c>
      <c r="E2196" s="5" t="s">
        <v>9</v>
      </c>
      <c r="F2196" s="6">
        <v>45473</v>
      </c>
      <c r="G2196" s="5">
        <f t="shared" si="341"/>
        <v>2024</v>
      </c>
      <c r="H2196" s="5" t="str">
        <f t="shared" si="342"/>
        <v>Junio</v>
      </c>
      <c r="I2196" s="6" t="str">
        <f t="shared" si="343"/>
        <v>2024-1</v>
      </c>
      <c r="J2196" s="5">
        <v>74.19</v>
      </c>
      <c r="K2196" s="5">
        <v>90</v>
      </c>
      <c r="L2196" s="15">
        <v>1</v>
      </c>
      <c r="M2196" s="15">
        <v>1</v>
      </c>
      <c r="N2196" s="5" t="s">
        <v>347</v>
      </c>
      <c r="O2196" s="5" t="s">
        <v>347</v>
      </c>
      <c r="P2196" s="5">
        <v>0</v>
      </c>
      <c r="Q2196" s="5">
        <v>0</v>
      </c>
      <c r="R2196" s="5" t="str">
        <f t="shared" si="344"/>
        <v>470.4-2024-06-30</v>
      </c>
    </row>
    <row r="2197" spans="1:18" x14ac:dyDescent="0.3">
      <c r="A2197" s="26" t="s">
        <v>700</v>
      </c>
      <c r="B2197" s="23" t="s">
        <v>695</v>
      </c>
      <c r="C2197" s="5" t="s">
        <v>214</v>
      </c>
      <c r="D2197" s="5" t="s">
        <v>11</v>
      </c>
      <c r="E2197" s="5" t="s">
        <v>9</v>
      </c>
      <c r="F2197" s="6">
        <v>45473</v>
      </c>
      <c r="G2197" s="5">
        <f t="shared" si="341"/>
        <v>2024</v>
      </c>
      <c r="H2197" s="5" t="str">
        <f t="shared" si="342"/>
        <v>Junio</v>
      </c>
      <c r="I2197" s="6" t="str">
        <f t="shared" si="343"/>
        <v>2024-1</v>
      </c>
      <c r="J2197" s="5">
        <v>34.85</v>
      </c>
      <c r="K2197" s="5">
        <v>55</v>
      </c>
      <c r="L2197" s="15">
        <v>1</v>
      </c>
      <c r="M2197" s="15">
        <v>1</v>
      </c>
      <c r="N2197" s="5" t="s">
        <v>347</v>
      </c>
      <c r="O2197" s="5" t="s">
        <v>347</v>
      </c>
      <c r="P2197" s="5">
        <v>0</v>
      </c>
      <c r="Q2197" s="5">
        <v>0</v>
      </c>
      <c r="R2197" s="5" t="str">
        <f t="shared" si="344"/>
        <v>470.5-2024-06-30</v>
      </c>
    </row>
    <row r="2198" spans="1:18" x14ac:dyDescent="0.3">
      <c r="A2198" s="26" t="s">
        <v>411</v>
      </c>
      <c r="B2198" s="5" t="s">
        <v>363</v>
      </c>
      <c r="C2198" s="5" t="s">
        <v>410</v>
      </c>
      <c r="D2198" s="5" t="s">
        <v>8</v>
      </c>
      <c r="E2198" s="5" t="s">
        <v>9</v>
      </c>
      <c r="F2198" s="6">
        <v>45107</v>
      </c>
      <c r="G2198" s="5">
        <f t="shared" si="341"/>
        <v>2023</v>
      </c>
      <c r="H2198" s="5" t="str">
        <f t="shared" si="342"/>
        <v>Junio</v>
      </c>
      <c r="I2198" s="6" t="str">
        <f t="shared" si="343"/>
        <v>2023-1</v>
      </c>
      <c r="J2198" s="5">
        <v>2558</v>
      </c>
      <c r="K2198" s="9">
        <v>2500</v>
      </c>
      <c r="L2198" s="15">
        <f>IFERROR(IF((K2198/J2198)&gt;1.3,1.3,K2198/J2198),"")</f>
        <v>0.97732603596559808</v>
      </c>
      <c r="M2198" s="15">
        <f>IFERROR(IF((K2198/J2198)&gt;K2198/J2198,1.3,K2198/J2198),"")</f>
        <v>0.97732603596559808</v>
      </c>
      <c r="N2198" s="5" t="s">
        <v>490</v>
      </c>
      <c r="O2198" s="5" t="s">
        <v>490</v>
      </c>
      <c r="P2198" s="16">
        <v>0</v>
      </c>
      <c r="Q2198" s="16">
        <v>0</v>
      </c>
      <c r="R2198" s="5" t="str">
        <f t="shared" si="344"/>
        <v>Med 1-2023-06-30</v>
      </c>
    </row>
    <row r="2199" spans="1:18" x14ac:dyDescent="0.3">
      <c r="A2199" s="26" t="s">
        <v>411</v>
      </c>
      <c r="B2199" s="5" t="s">
        <v>363</v>
      </c>
      <c r="C2199" s="5" t="s">
        <v>410</v>
      </c>
      <c r="D2199" s="5" t="s">
        <v>8</v>
      </c>
      <c r="E2199" s="5" t="s">
        <v>9</v>
      </c>
      <c r="F2199" s="6">
        <v>45291</v>
      </c>
      <c r="G2199" s="5">
        <f t="shared" si="341"/>
        <v>2023</v>
      </c>
      <c r="H2199" s="5" t="str">
        <f t="shared" si="342"/>
        <v>Diciembre</v>
      </c>
      <c r="I2199" s="6" t="str">
        <f t="shared" si="343"/>
        <v>2023-2</v>
      </c>
      <c r="J2199" s="5">
        <v>5099</v>
      </c>
      <c r="K2199" s="5">
        <v>4977</v>
      </c>
      <c r="L2199" s="15">
        <v>0.97607373994900959</v>
      </c>
      <c r="M2199" s="15">
        <v>0.97607373994900959</v>
      </c>
      <c r="N2199" s="5" t="s">
        <v>490</v>
      </c>
      <c r="O2199" s="5" t="s">
        <v>490</v>
      </c>
      <c r="P2199" s="5">
        <v>0</v>
      </c>
      <c r="Q2199" s="5">
        <v>0</v>
      </c>
      <c r="R2199" s="5" t="str">
        <f t="shared" si="344"/>
        <v>Med 1-2023-12-31</v>
      </c>
    </row>
    <row r="2200" spans="1:18" x14ac:dyDescent="0.3">
      <c r="A2200" s="26" t="s">
        <v>411</v>
      </c>
      <c r="B2200" s="5" t="s">
        <v>363</v>
      </c>
      <c r="C2200" s="5" t="s">
        <v>410</v>
      </c>
      <c r="D2200" s="5" t="s">
        <v>8</v>
      </c>
      <c r="E2200" s="5" t="s">
        <v>9</v>
      </c>
      <c r="F2200" s="6">
        <v>45473</v>
      </c>
      <c r="G2200" s="5">
        <f t="shared" si="341"/>
        <v>2024</v>
      </c>
      <c r="H2200" s="5" t="str">
        <f t="shared" si="342"/>
        <v>Junio</v>
      </c>
      <c r="I2200" s="6" t="str">
        <f t="shared" si="343"/>
        <v>2024-1</v>
      </c>
      <c r="J2200">
        <v>2575</v>
      </c>
      <c r="K2200">
        <v>2624</v>
      </c>
      <c r="L2200" s="15">
        <v>1.0190291262135922</v>
      </c>
      <c r="M2200" s="15">
        <v>1.0190291262135922</v>
      </c>
      <c r="N2200" s="5" t="s">
        <v>490</v>
      </c>
      <c r="O2200" s="5" t="s">
        <v>490</v>
      </c>
      <c r="P2200" s="5">
        <v>0</v>
      </c>
      <c r="Q2200" s="5">
        <v>0</v>
      </c>
      <c r="R2200" s="5" t="str">
        <f t="shared" si="344"/>
        <v>Med 1-2024-06-30</v>
      </c>
    </row>
    <row r="2201" spans="1:18" x14ac:dyDescent="0.3">
      <c r="A2201" s="26" t="s">
        <v>368</v>
      </c>
      <c r="B2201" s="5" t="s">
        <v>364</v>
      </c>
      <c r="C2201" s="5" t="s">
        <v>410</v>
      </c>
      <c r="D2201" s="5" t="s">
        <v>8</v>
      </c>
      <c r="E2201" s="5" t="s">
        <v>9</v>
      </c>
      <c r="F2201" s="6">
        <v>45107</v>
      </c>
      <c r="G2201" s="5">
        <f t="shared" si="341"/>
        <v>2023</v>
      </c>
      <c r="H2201" s="5" t="str">
        <f t="shared" si="342"/>
        <v>Junio</v>
      </c>
      <c r="I2201" s="6" t="str">
        <f t="shared" si="343"/>
        <v>2023-1</v>
      </c>
      <c r="J2201">
        <v>542</v>
      </c>
      <c r="K2201" s="74">
        <v>548</v>
      </c>
      <c r="L2201" s="15">
        <f>IFERROR(IF((K2201/J2201)&gt;1.3,1.3,K2201/J2201),"")</f>
        <v>1.0110701107011071</v>
      </c>
      <c r="M2201" s="15">
        <f>IFERROR(IF((K2201/J2201)&gt;K2201/J2201,1.3,K2201/J2201),"")</f>
        <v>1.0110701107011071</v>
      </c>
      <c r="N2201" s="5" t="s">
        <v>490</v>
      </c>
      <c r="O2201" s="5" t="s">
        <v>490</v>
      </c>
      <c r="P2201" s="16">
        <v>0</v>
      </c>
      <c r="Q2201" s="16">
        <v>0</v>
      </c>
      <c r="R2201" s="5" t="str">
        <f t="shared" si="344"/>
        <v>Med 1.1-2023-06-30</v>
      </c>
    </row>
    <row r="2202" spans="1:18" x14ac:dyDescent="0.3">
      <c r="A2202" s="26" t="s">
        <v>368</v>
      </c>
      <c r="B2202" s="5" t="s">
        <v>364</v>
      </c>
      <c r="C2202" s="5" t="s">
        <v>410</v>
      </c>
      <c r="D2202" s="5" t="s">
        <v>8</v>
      </c>
      <c r="E2202" s="5" t="s">
        <v>9</v>
      </c>
      <c r="F2202" s="6">
        <v>45291</v>
      </c>
      <c r="G2202" s="5">
        <f t="shared" si="341"/>
        <v>2023</v>
      </c>
      <c r="H2202" s="5" t="str">
        <f t="shared" si="342"/>
        <v>Diciembre</v>
      </c>
      <c r="I2202" s="6" t="str">
        <f t="shared" si="343"/>
        <v>2023-2</v>
      </c>
      <c r="J2202">
        <v>1013</v>
      </c>
      <c r="K2202">
        <v>1000</v>
      </c>
      <c r="L2202" s="15">
        <v>0.98716683119447191</v>
      </c>
      <c r="M2202" s="15">
        <v>0.98716683119447191</v>
      </c>
      <c r="N2202" s="5" t="s">
        <v>490</v>
      </c>
      <c r="O2202" s="5" t="s">
        <v>490</v>
      </c>
      <c r="P2202" s="5">
        <v>0</v>
      </c>
      <c r="Q2202" s="5">
        <v>0</v>
      </c>
      <c r="R2202" s="5" t="str">
        <f t="shared" si="344"/>
        <v>Med 1.1-2023-12-31</v>
      </c>
    </row>
    <row r="2203" spans="1:18" x14ac:dyDescent="0.3">
      <c r="A2203" s="26" t="s">
        <v>368</v>
      </c>
      <c r="B2203" s="5" t="s">
        <v>364</v>
      </c>
      <c r="C2203" s="5" t="s">
        <v>410</v>
      </c>
      <c r="D2203" s="5" t="s">
        <v>8</v>
      </c>
      <c r="E2203" s="5" t="s">
        <v>9</v>
      </c>
      <c r="F2203" s="6">
        <v>45473</v>
      </c>
      <c r="G2203" s="5">
        <f t="shared" si="341"/>
        <v>2024</v>
      </c>
      <c r="H2203" s="5" t="str">
        <f t="shared" si="342"/>
        <v>Junio</v>
      </c>
      <c r="I2203" s="6" t="str">
        <f t="shared" si="343"/>
        <v>2024-1</v>
      </c>
      <c r="J2203">
        <v>582</v>
      </c>
      <c r="K2203">
        <v>562</v>
      </c>
      <c r="L2203" s="15">
        <v>0.96563573883161513</v>
      </c>
      <c r="M2203" s="15">
        <v>0.96563573883161513</v>
      </c>
      <c r="N2203" s="5" t="s">
        <v>490</v>
      </c>
      <c r="O2203" s="5" t="s">
        <v>490</v>
      </c>
      <c r="P2203" s="5">
        <v>0</v>
      </c>
      <c r="Q2203" s="5">
        <v>0</v>
      </c>
      <c r="R2203" s="5" t="str">
        <f t="shared" si="344"/>
        <v>Med 1.1-2024-06-30</v>
      </c>
    </row>
    <row r="2204" spans="1:18" x14ac:dyDescent="0.3">
      <c r="A2204" s="26" t="s">
        <v>369</v>
      </c>
      <c r="B2204" s="5" t="s">
        <v>365</v>
      </c>
      <c r="C2204" s="5" t="s">
        <v>410</v>
      </c>
      <c r="D2204" s="5" t="s">
        <v>8</v>
      </c>
      <c r="E2204" s="5" t="s">
        <v>9</v>
      </c>
      <c r="F2204" s="6">
        <v>45107</v>
      </c>
      <c r="G2204" s="5">
        <f t="shared" si="341"/>
        <v>2023</v>
      </c>
      <c r="H2204" s="5" t="str">
        <f t="shared" si="342"/>
        <v>Junio</v>
      </c>
      <c r="I2204" s="6" t="str">
        <f t="shared" si="343"/>
        <v>2023-1</v>
      </c>
      <c r="J2204">
        <v>15</v>
      </c>
      <c r="K2204" s="74">
        <v>21</v>
      </c>
      <c r="L2204" s="15">
        <f>IFERROR(IF((K2204/J2204)&gt;1.3,1.3,K2204/J2204),"")</f>
        <v>1.3</v>
      </c>
      <c r="M2204" s="15">
        <f>IFERROR(IF((K2204/J2204)&gt;K2204/J2204,1.3,K2204/J2204),"")</f>
        <v>1.4</v>
      </c>
      <c r="N2204" s="5" t="s">
        <v>490</v>
      </c>
      <c r="O2204" s="5" t="s">
        <v>490</v>
      </c>
      <c r="P2204" s="16">
        <v>0</v>
      </c>
      <c r="Q2204" s="16">
        <v>0</v>
      </c>
      <c r="R2204" s="5" t="str">
        <f t="shared" si="344"/>
        <v>Med 1.2-2023-06-30</v>
      </c>
    </row>
    <row r="2205" spans="1:18" x14ac:dyDescent="0.3">
      <c r="A2205" s="26" t="s">
        <v>369</v>
      </c>
      <c r="B2205" s="5" t="s">
        <v>365</v>
      </c>
      <c r="C2205" s="5" t="s">
        <v>410</v>
      </c>
      <c r="D2205" s="5" t="s">
        <v>8</v>
      </c>
      <c r="E2205" s="5" t="s">
        <v>9</v>
      </c>
      <c r="F2205" s="6">
        <v>45291</v>
      </c>
      <c r="G2205" s="5">
        <f t="shared" si="341"/>
        <v>2023</v>
      </c>
      <c r="H2205" s="5" t="str">
        <f t="shared" si="342"/>
        <v>Diciembre</v>
      </c>
      <c r="I2205" s="6" t="str">
        <f t="shared" si="343"/>
        <v>2023-2</v>
      </c>
      <c r="J2205">
        <v>30</v>
      </c>
      <c r="K2205">
        <v>20</v>
      </c>
      <c r="L2205" s="15">
        <v>0.66666666666666663</v>
      </c>
      <c r="M2205" s="15">
        <v>0.66666666666666663</v>
      </c>
      <c r="N2205" s="5" t="s">
        <v>490</v>
      </c>
      <c r="O2205" s="5" t="s">
        <v>490</v>
      </c>
      <c r="P2205" s="5">
        <v>0</v>
      </c>
      <c r="Q2205" s="5">
        <v>0</v>
      </c>
      <c r="R2205" s="5" t="str">
        <f t="shared" si="344"/>
        <v>Med 1.2-2023-12-31</v>
      </c>
    </row>
    <row r="2206" spans="1:18" x14ac:dyDescent="0.3">
      <c r="A2206" s="26" t="s">
        <v>369</v>
      </c>
      <c r="B2206" s="5" t="s">
        <v>365</v>
      </c>
      <c r="C2206" s="5" t="s">
        <v>410</v>
      </c>
      <c r="D2206" s="5" t="s">
        <v>8</v>
      </c>
      <c r="E2206" s="5" t="s">
        <v>9</v>
      </c>
      <c r="F2206" s="6">
        <v>45473</v>
      </c>
      <c r="G2206" s="5">
        <f t="shared" si="341"/>
        <v>2024</v>
      </c>
      <c r="H2206" s="5" t="str">
        <f t="shared" si="342"/>
        <v>Junio</v>
      </c>
      <c r="I2206" s="6" t="str">
        <f t="shared" si="343"/>
        <v>2024-1</v>
      </c>
      <c r="J2206">
        <v>0</v>
      </c>
      <c r="K2206">
        <v>0</v>
      </c>
      <c r="L2206" s="15" t="s">
        <v>417</v>
      </c>
      <c r="M2206" s="15" t="s">
        <v>417</v>
      </c>
      <c r="N2206" s="5" t="s">
        <v>490</v>
      </c>
      <c r="O2206" s="5" t="s">
        <v>490</v>
      </c>
      <c r="P2206" s="5">
        <v>0</v>
      </c>
      <c r="Q2206" s="5">
        <v>0</v>
      </c>
      <c r="R2206" s="5" t="str">
        <f t="shared" si="344"/>
        <v>Med 1.2-2024-06-30</v>
      </c>
    </row>
    <row r="2207" spans="1:18" x14ac:dyDescent="0.3">
      <c r="A2207" s="26" t="s">
        <v>370</v>
      </c>
      <c r="B2207" s="5" t="s">
        <v>366</v>
      </c>
      <c r="C2207" s="5" t="s">
        <v>410</v>
      </c>
      <c r="D2207" s="5" t="s">
        <v>8</v>
      </c>
      <c r="E2207" s="5" t="s">
        <v>9</v>
      </c>
      <c r="F2207" s="6">
        <v>45107</v>
      </c>
      <c r="G2207" s="5">
        <f t="shared" si="341"/>
        <v>2023</v>
      </c>
      <c r="H2207" s="5" t="str">
        <f t="shared" si="342"/>
        <v>Junio</v>
      </c>
      <c r="I2207" s="6" t="str">
        <f t="shared" si="343"/>
        <v>2023-1</v>
      </c>
      <c r="J2207">
        <v>557</v>
      </c>
      <c r="K2207" s="74">
        <v>569</v>
      </c>
      <c r="L2207" s="15">
        <f>IFERROR(IF((K2207/J2207)&gt;1.3,1.3,K2207/J2207),"")</f>
        <v>1.0215439856373429</v>
      </c>
      <c r="M2207" s="15">
        <f>IFERROR(IF((K2207/J2207)&gt;K2207/J2207,1.3,K2207/J2207),"")</f>
        <v>1.0215439856373429</v>
      </c>
      <c r="N2207" s="5" t="s">
        <v>490</v>
      </c>
      <c r="O2207" s="5" t="s">
        <v>490</v>
      </c>
      <c r="P2207" s="16">
        <v>0</v>
      </c>
      <c r="Q2207" s="16">
        <v>0</v>
      </c>
      <c r="R2207" s="5" t="str">
        <f t="shared" si="344"/>
        <v>Med 1.3-2023-06-30</v>
      </c>
    </row>
    <row r="2208" spans="1:18" x14ac:dyDescent="0.3">
      <c r="A2208" s="26" t="s">
        <v>370</v>
      </c>
      <c r="B2208" s="5" t="s">
        <v>366</v>
      </c>
      <c r="C2208" s="5" t="s">
        <v>410</v>
      </c>
      <c r="D2208" s="5" t="s">
        <v>8</v>
      </c>
      <c r="E2208" s="5" t="s">
        <v>9</v>
      </c>
      <c r="F2208" s="6">
        <v>45291</v>
      </c>
      <c r="G2208" s="5">
        <f t="shared" si="341"/>
        <v>2023</v>
      </c>
      <c r="H2208" s="5" t="str">
        <f t="shared" si="342"/>
        <v>Diciembre</v>
      </c>
      <c r="I2208" s="6" t="str">
        <f t="shared" si="343"/>
        <v>2023-2</v>
      </c>
      <c r="J2208">
        <v>1043</v>
      </c>
      <c r="K2208">
        <v>1020</v>
      </c>
      <c r="L2208" s="15">
        <v>0.97794822627037392</v>
      </c>
      <c r="M2208" s="15">
        <v>0.97794822627037392</v>
      </c>
      <c r="N2208" s="5" t="s">
        <v>490</v>
      </c>
      <c r="O2208" s="5" t="s">
        <v>490</v>
      </c>
      <c r="P2208" s="5">
        <v>0</v>
      </c>
      <c r="Q2208" s="5">
        <v>0</v>
      </c>
      <c r="R2208" s="5" t="str">
        <f t="shared" si="344"/>
        <v>Med 1.3-2023-12-31</v>
      </c>
    </row>
    <row r="2209" spans="1:18" x14ac:dyDescent="0.3">
      <c r="A2209" s="26" t="s">
        <v>370</v>
      </c>
      <c r="B2209" s="5" t="s">
        <v>366</v>
      </c>
      <c r="C2209" s="5" t="s">
        <v>410</v>
      </c>
      <c r="D2209" s="5" t="s">
        <v>8</v>
      </c>
      <c r="E2209" s="5" t="s">
        <v>9</v>
      </c>
      <c r="F2209" s="6">
        <v>45473</v>
      </c>
      <c r="G2209" s="5">
        <f t="shared" si="341"/>
        <v>2024</v>
      </c>
      <c r="H2209" s="5" t="str">
        <f t="shared" si="342"/>
        <v>Junio</v>
      </c>
      <c r="I2209" s="6" t="str">
        <f t="shared" si="343"/>
        <v>2024-1</v>
      </c>
      <c r="J2209">
        <v>582</v>
      </c>
      <c r="K2209">
        <v>562</v>
      </c>
      <c r="L2209" s="15">
        <v>0.96563573883161513</v>
      </c>
      <c r="M2209" s="15">
        <v>0.96563573883161513</v>
      </c>
      <c r="N2209" s="5" t="s">
        <v>490</v>
      </c>
      <c r="O2209" s="5" t="s">
        <v>490</v>
      </c>
      <c r="P2209" s="5">
        <v>0</v>
      </c>
      <c r="Q2209" s="5">
        <v>0</v>
      </c>
      <c r="R2209" s="5" t="str">
        <f t="shared" si="344"/>
        <v>Med 1.3-2024-06-30</v>
      </c>
    </row>
    <row r="2210" spans="1:18" x14ac:dyDescent="0.3">
      <c r="A2210" s="26" t="s">
        <v>371</v>
      </c>
      <c r="B2210" s="5" t="s">
        <v>367</v>
      </c>
      <c r="C2210" s="5" t="s">
        <v>410</v>
      </c>
      <c r="D2210" s="5" t="s">
        <v>8</v>
      </c>
      <c r="E2210" s="5" t="s">
        <v>9</v>
      </c>
      <c r="F2210" s="6">
        <v>45107</v>
      </c>
      <c r="G2210" s="5">
        <f t="shared" si="341"/>
        <v>2023</v>
      </c>
      <c r="H2210" s="5" t="str">
        <f t="shared" si="342"/>
        <v>Junio</v>
      </c>
      <c r="I2210" s="6" t="str">
        <f t="shared" si="343"/>
        <v>2023-1</v>
      </c>
      <c r="J2210">
        <v>1987</v>
      </c>
      <c r="K2210" s="74">
        <v>1895</v>
      </c>
      <c r="L2210" s="15">
        <f>IFERROR(IF((K2210/J2210)&gt;1.3,1.3,K2210/J2210),"")</f>
        <v>0.95369904378459991</v>
      </c>
      <c r="M2210" s="15">
        <f>IFERROR(IF((K2210/J2210)&gt;K2210/J2210,1.3,K2210/J2210),"")</f>
        <v>0.95369904378459991</v>
      </c>
      <c r="N2210" s="5" t="s">
        <v>490</v>
      </c>
      <c r="O2210" s="5" t="s">
        <v>490</v>
      </c>
      <c r="P2210" s="16">
        <v>0</v>
      </c>
      <c r="Q2210" s="16">
        <v>0</v>
      </c>
      <c r="R2210" s="5" t="str">
        <f t="shared" si="344"/>
        <v>Med 1.4-2023-06-30</v>
      </c>
    </row>
    <row r="2211" spans="1:18" x14ac:dyDescent="0.3">
      <c r="A2211" s="26" t="s">
        <v>371</v>
      </c>
      <c r="B2211" s="5" t="s">
        <v>367</v>
      </c>
      <c r="C2211" s="5" t="s">
        <v>410</v>
      </c>
      <c r="D2211" s="5" t="s">
        <v>8</v>
      </c>
      <c r="E2211" s="5" t="s">
        <v>9</v>
      </c>
      <c r="F2211" s="6">
        <v>45291</v>
      </c>
      <c r="G2211" s="5">
        <f t="shared" si="341"/>
        <v>2023</v>
      </c>
      <c r="H2211" s="5" t="str">
        <f t="shared" si="342"/>
        <v>Diciembre</v>
      </c>
      <c r="I2211" s="6" t="str">
        <f t="shared" si="343"/>
        <v>2023-2</v>
      </c>
      <c r="J2211">
        <v>4056</v>
      </c>
      <c r="K2211">
        <v>3957</v>
      </c>
      <c r="L2211" s="15">
        <v>0.97559171597633132</v>
      </c>
      <c r="M2211" s="15">
        <v>0.97559171597633132</v>
      </c>
      <c r="N2211" s="5" t="s">
        <v>490</v>
      </c>
      <c r="O2211" s="5" t="s">
        <v>490</v>
      </c>
      <c r="P2211" s="5">
        <v>0</v>
      </c>
      <c r="Q2211" s="5">
        <v>0</v>
      </c>
      <c r="R2211" s="5" t="str">
        <f t="shared" si="344"/>
        <v>Med 1.4-2023-12-31</v>
      </c>
    </row>
    <row r="2212" spans="1:18" x14ac:dyDescent="0.3">
      <c r="A2212" s="26" t="s">
        <v>371</v>
      </c>
      <c r="B2212" s="5" t="s">
        <v>367</v>
      </c>
      <c r="C2212" s="5" t="s">
        <v>410</v>
      </c>
      <c r="D2212" s="5" t="s">
        <v>8</v>
      </c>
      <c r="E2212" s="5" t="s">
        <v>9</v>
      </c>
      <c r="F2212" s="6">
        <v>45473</v>
      </c>
      <c r="G2212" s="5">
        <f t="shared" si="341"/>
        <v>2024</v>
      </c>
      <c r="H2212" s="5" t="str">
        <f t="shared" si="342"/>
        <v>Junio</v>
      </c>
      <c r="I2212" s="6" t="str">
        <f t="shared" si="343"/>
        <v>2024-1</v>
      </c>
      <c r="J2212" s="9">
        <v>1992.7794855002676</v>
      </c>
      <c r="K2212" s="9">
        <v>2062</v>
      </c>
      <c r="L2212" s="15">
        <v>1.0347356619251604</v>
      </c>
      <c r="M2212" s="15">
        <v>1.0347356619251604</v>
      </c>
      <c r="N2212" s="5" t="s">
        <v>490</v>
      </c>
      <c r="O2212" s="5" t="s">
        <v>490</v>
      </c>
      <c r="P2212" s="5">
        <v>0</v>
      </c>
      <c r="Q2212" s="5">
        <v>0</v>
      </c>
      <c r="R2212" s="5" t="str">
        <f t="shared" si="344"/>
        <v>Med 1.4-2024-06-30</v>
      </c>
    </row>
    <row r="2213" spans="1:18" x14ac:dyDescent="0.3">
      <c r="A2213" s="26" t="s">
        <v>403</v>
      </c>
      <c r="B2213" s="5" t="s">
        <v>384</v>
      </c>
      <c r="C2213" s="5" t="s">
        <v>410</v>
      </c>
      <c r="D2213" s="5" t="s">
        <v>8</v>
      </c>
      <c r="E2213" s="5" t="s">
        <v>9</v>
      </c>
      <c r="F2213" s="6">
        <v>45107</v>
      </c>
      <c r="G2213" s="5">
        <f t="shared" si="341"/>
        <v>2023</v>
      </c>
      <c r="H2213" s="5" t="str">
        <f t="shared" si="342"/>
        <v>Junio</v>
      </c>
      <c r="I2213" s="6" t="str">
        <f t="shared" si="343"/>
        <v>2023-1</v>
      </c>
      <c r="J2213" s="9">
        <v>7464800310</v>
      </c>
      <c r="K2213" s="9">
        <v>6799687380</v>
      </c>
      <c r="L2213" s="15">
        <f>IFERROR(IF((K2213/J2213)&gt;1.3,1.3,K2213/J2213),"")</f>
        <v>0.91090010417170819</v>
      </c>
      <c r="M2213" s="15">
        <f>IFERROR(IF((K2213/J2213)&gt;K2213/J2213,1.3,K2213/J2213),"")</f>
        <v>0.91090010417170819</v>
      </c>
      <c r="N2213" s="5" t="s">
        <v>474</v>
      </c>
      <c r="O2213" s="5" t="s">
        <v>474</v>
      </c>
      <c r="P2213" s="16">
        <v>0</v>
      </c>
      <c r="Q2213" s="16">
        <v>0</v>
      </c>
      <c r="R2213" s="5" t="str">
        <f t="shared" si="344"/>
        <v>Med 10-2023-06-30</v>
      </c>
    </row>
    <row r="2214" spans="1:18" x14ac:dyDescent="0.3">
      <c r="A2214" s="26" t="s">
        <v>403</v>
      </c>
      <c r="B2214" s="5" t="s">
        <v>384</v>
      </c>
      <c r="C2214" s="5" t="s">
        <v>410</v>
      </c>
      <c r="D2214" s="5" t="s">
        <v>8</v>
      </c>
      <c r="E2214" s="5" t="s">
        <v>9</v>
      </c>
      <c r="F2214" s="6">
        <v>45291</v>
      </c>
      <c r="G2214" s="5">
        <f t="shared" si="341"/>
        <v>2023</v>
      </c>
      <c r="H2214" s="5" t="str">
        <f t="shared" si="342"/>
        <v>Diciembre</v>
      </c>
      <c r="I2214" s="6" t="str">
        <f t="shared" si="343"/>
        <v>2023-2</v>
      </c>
      <c r="J2214" s="64">
        <v>16525</v>
      </c>
      <c r="K2214" s="64">
        <v>17050</v>
      </c>
      <c r="L2214" s="15">
        <v>1.0317700453857792</v>
      </c>
      <c r="M2214" s="15">
        <v>1.0317700453857792</v>
      </c>
      <c r="N2214" s="5" t="s">
        <v>474</v>
      </c>
      <c r="O2214" s="5" t="s">
        <v>474</v>
      </c>
      <c r="P2214" s="5">
        <v>0</v>
      </c>
      <c r="Q2214" s="5">
        <v>0</v>
      </c>
      <c r="R2214" s="5" t="str">
        <f t="shared" si="344"/>
        <v>Med 10-2023-12-31</v>
      </c>
    </row>
    <row r="2215" spans="1:18" x14ac:dyDescent="0.3">
      <c r="A2215" s="26" t="s">
        <v>403</v>
      </c>
      <c r="B2215" s="5" t="s">
        <v>384</v>
      </c>
      <c r="C2215" s="5" t="s">
        <v>410</v>
      </c>
      <c r="D2215" s="5" t="s">
        <v>8</v>
      </c>
      <c r="E2215" s="5" t="s">
        <v>9</v>
      </c>
      <c r="F2215" s="6">
        <v>45473</v>
      </c>
      <c r="G2215" s="5">
        <f t="shared" si="341"/>
        <v>2024</v>
      </c>
      <c r="H2215" s="5" t="str">
        <f t="shared" si="342"/>
        <v>Junio</v>
      </c>
      <c r="I2215" s="6" t="str">
        <f t="shared" si="343"/>
        <v>2024-1</v>
      </c>
      <c r="J2215" s="64">
        <v>8924.4965414416911</v>
      </c>
      <c r="K2215" s="64">
        <v>10555.383198</v>
      </c>
      <c r="L2215" s="15">
        <v>1.1827427069958671</v>
      </c>
      <c r="M2215" s="15">
        <v>1.1827427069958671</v>
      </c>
      <c r="N2215" s="5" t="s">
        <v>474</v>
      </c>
      <c r="O2215" s="5" t="s">
        <v>474</v>
      </c>
      <c r="P2215" s="5">
        <v>0</v>
      </c>
      <c r="Q2215" s="5">
        <v>0</v>
      </c>
      <c r="R2215" s="5" t="str">
        <f t="shared" si="344"/>
        <v>Med 10-2024-06-30</v>
      </c>
    </row>
    <row r="2216" spans="1:18" x14ac:dyDescent="0.3">
      <c r="A2216" s="26" t="s">
        <v>404</v>
      </c>
      <c r="B2216" s="5" t="s">
        <v>385</v>
      </c>
      <c r="C2216" s="5" t="s">
        <v>410</v>
      </c>
      <c r="D2216" s="5" t="s">
        <v>8</v>
      </c>
      <c r="E2216" s="5" t="s">
        <v>9</v>
      </c>
      <c r="F2216" s="6">
        <v>45107</v>
      </c>
      <c r="G2216" s="5">
        <f t="shared" si="341"/>
        <v>2023</v>
      </c>
      <c r="H2216" s="5" t="str">
        <f t="shared" si="342"/>
        <v>Junio</v>
      </c>
      <c r="I2216" s="6" t="str">
        <f t="shared" si="343"/>
        <v>2023-1</v>
      </c>
      <c r="J2216" s="9">
        <v>310095319</v>
      </c>
      <c r="K2216" s="9">
        <v>306819161</v>
      </c>
      <c r="L2216" s="15">
        <f>IFERROR(IF((K2216/J2216)&gt;1.3,1.3,K2216/J2216),"")</f>
        <v>0.98943499692105963</v>
      </c>
      <c r="M2216" s="15">
        <f>IFERROR(IF((K2216/J2216)&gt;K2216/J2216,1.3,K2216/J2216),"")</f>
        <v>0.98943499692105963</v>
      </c>
      <c r="N2216" s="5" t="s">
        <v>474</v>
      </c>
      <c r="O2216" s="5" t="s">
        <v>474</v>
      </c>
      <c r="P2216" s="16">
        <v>0</v>
      </c>
      <c r="Q2216" s="16">
        <v>0</v>
      </c>
      <c r="R2216" s="5" t="str">
        <f t="shared" si="344"/>
        <v>Med 11-2023-06-30</v>
      </c>
    </row>
    <row r="2217" spans="1:18" x14ac:dyDescent="0.3">
      <c r="A2217" s="26" t="s">
        <v>404</v>
      </c>
      <c r="B2217" s="5" t="s">
        <v>385</v>
      </c>
      <c r="C2217" s="5" t="s">
        <v>410</v>
      </c>
      <c r="D2217" s="5" t="s">
        <v>8</v>
      </c>
      <c r="E2217" s="5" t="s">
        <v>9</v>
      </c>
      <c r="F2217" s="6">
        <v>45291</v>
      </c>
      <c r="G2217" s="5">
        <f t="shared" si="341"/>
        <v>2023</v>
      </c>
      <c r="H2217" s="5" t="str">
        <f t="shared" si="342"/>
        <v>Diciembre</v>
      </c>
      <c r="I2217" s="6" t="str">
        <f t="shared" si="343"/>
        <v>2023-2</v>
      </c>
      <c r="J2217" s="64">
        <v>758</v>
      </c>
      <c r="K2217" s="64">
        <v>306</v>
      </c>
      <c r="L2217" s="15">
        <v>0.40369393139841686</v>
      </c>
      <c r="M2217" s="15">
        <v>0.40369393139841686</v>
      </c>
      <c r="N2217" s="5" t="s">
        <v>474</v>
      </c>
      <c r="O2217" s="5" t="s">
        <v>474</v>
      </c>
      <c r="P2217" s="5">
        <v>0</v>
      </c>
      <c r="Q2217" s="5">
        <v>0</v>
      </c>
      <c r="R2217" s="5" t="str">
        <f t="shared" si="344"/>
        <v>Med 11-2023-12-31</v>
      </c>
    </row>
    <row r="2218" spans="1:18" x14ac:dyDescent="0.3">
      <c r="A2218" s="26" t="s">
        <v>404</v>
      </c>
      <c r="B2218" s="5" t="s">
        <v>385</v>
      </c>
      <c r="C2218" s="5" t="s">
        <v>410</v>
      </c>
      <c r="D2218" s="5" t="s">
        <v>8</v>
      </c>
      <c r="E2218" s="5" t="s">
        <v>9</v>
      </c>
      <c r="F2218" s="6">
        <v>45473</v>
      </c>
      <c r="G2218" s="5">
        <f t="shared" si="341"/>
        <v>2024</v>
      </c>
      <c r="H2218" s="5" t="str">
        <f t="shared" si="342"/>
        <v>Junio</v>
      </c>
      <c r="I2218" s="6" t="str">
        <f t="shared" si="343"/>
        <v>2024-1</v>
      </c>
      <c r="J2218" s="64">
        <v>1028.02888967371</v>
      </c>
      <c r="K2218" s="64">
        <v>1782.0250679999999</v>
      </c>
      <c r="L2218" s="15">
        <v>1.3</v>
      </c>
      <c r="M2218" s="15">
        <v>1.7334387057601113</v>
      </c>
      <c r="N2218" s="5" t="s">
        <v>474</v>
      </c>
      <c r="O2218" s="5" t="s">
        <v>474</v>
      </c>
      <c r="P2218" s="5">
        <v>0</v>
      </c>
      <c r="Q2218" s="5">
        <v>0</v>
      </c>
      <c r="R2218" s="5" t="str">
        <f t="shared" si="344"/>
        <v>Med 11-2024-06-30</v>
      </c>
    </row>
    <row r="2219" spans="1:18" x14ac:dyDescent="0.3">
      <c r="A2219" s="26" t="s">
        <v>405</v>
      </c>
      <c r="B2219" s="5" t="s">
        <v>386</v>
      </c>
      <c r="C2219" s="5" t="s">
        <v>410</v>
      </c>
      <c r="D2219" s="5" t="s">
        <v>8</v>
      </c>
      <c r="E2219" s="5" t="s">
        <v>9</v>
      </c>
      <c r="F2219" s="6">
        <v>45107</v>
      </c>
      <c r="G2219" s="5">
        <f t="shared" si="341"/>
        <v>2023</v>
      </c>
      <c r="H2219" s="5" t="str">
        <f t="shared" si="342"/>
        <v>Junio</v>
      </c>
      <c r="I2219" s="6" t="str">
        <f t="shared" si="343"/>
        <v>2023-1</v>
      </c>
      <c r="J2219" s="9">
        <v>8320861622</v>
      </c>
      <c r="K2219" s="9">
        <v>7224513910</v>
      </c>
      <c r="L2219" s="15">
        <f>IFERROR(IF((K2219/J2219)&gt;1.3,1.3,K2219/J2219),"")</f>
        <v>0.86824108345927731</v>
      </c>
      <c r="M2219" s="15">
        <f>IFERROR(IF((K2219/J2219)&gt;K2219/J2219,1.3,K2219/J2219),"")</f>
        <v>0.86824108345927731</v>
      </c>
      <c r="N2219" s="5" t="s">
        <v>474</v>
      </c>
      <c r="O2219" s="5" t="s">
        <v>474</v>
      </c>
      <c r="P2219" s="16">
        <v>0</v>
      </c>
      <c r="Q2219" s="16">
        <v>0</v>
      </c>
      <c r="R2219" s="5" t="str">
        <f t="shared" si="344"/>
        <v>Med 12-2023-06-30</v>
      </c>
    </row>
    <row r="2220" spans="1:18" x14ac:dyDescent="0.3">
      <c r="A2220" s="26" t="s">
        <v>406</v>
      </c>
      <c r="B2220" s="5" t="s">
        <v>387</v>
      </c>
      <c r="C2220" s="5" t="s">
        <v>410</v>
      </c>
      <c r="D2220" s="5" t="s">
        <v>8</v>
      </c>
      <c r="E2220" s="5" t="s">
        <v>9</v>
      </c>
      <c r="F2220" s="6">
        <v>45107</v>
      </c>
      <c r="G2220" s="5">
        <f t="shared" si="341"/>
        <v>2023</v>
      </c>
      <c r="H2220" s="5" t="str">
        <f t="shared" si="342"/>
        <v>Junio</v>
      </c>
      <c r="I2220" s="6" t="str">
        <f t="shared" si="343"/>
        <v>2023-1</v>
      </c>
      <c r="J2220" s="5">
        <v>95</v>
      </c>
      <c r="K2220" s="9">
        <v>93</v>
      </c>
      <c r="L2220" s="8">
        <f>IFERROR(K2220/J2220,"")</f>
        <v>0.97894736842105268</v>
      </c>
      <c r="M2220" s="15">
        <f>IFERROR(IF((K2220/J2220)&gt;K2220/J2220,1.3,K2220/J2220),"")</f>
        <v>0.97894736842105268</v>
      </c>
      <c r="N2220" s="5" t="s">
        <v>347</v>
      </c>
      <c r="O2220" s="5" t="s">
        <v>347</v>
      </c>
      <c r="P2220" s="16">
        <v>0</v>
      </c>
      <c r="Q2220" s="16">
        <v>0</v>
      </c>
      <c r="R2220" s="5" t="str">
        <f t="shared" si="344"/>
        <v>Med 14-2023-06-30</v>
      </c>
    </row>
    <row r="2221" spans="1:18" x14ac:dyDescent="0.3">
      <c r="A2221" s="26" t="s">
        <v>406</v>
      </c>
      <c r="B2221" s="5" t="s">
        <v>387</v>
      </c>
      <c r="C2221" s="5" t="s">
        <v>410</v>
      </c>
      <c r="D2221" s="5" t="s">
        <v>8</v>
      </c>
      <c r="E2221" s="5" t="s">
        <v>9</v>
      </c>
      <c r="F2221" s="6">
        <v>45291</v>
      </c>
      <c r="G2221" s="5">
        <f t="shared" si="341"/>
        <v>2023</v>
      </c>
      <c r="H2221" s="5" t="str">
        <f t="shared" si="342"/>
        <v>Diciembre</v>
      </c>
      <c r="I2221" s="6" t="str">
        <f t="shared" si="343"/>
        <v>2023-2</v>
      </c>
      <c r="J2221" s="5">
        <v>100</v>
      </c>
      <c r="K2221" s="5">
        <v>100</v>
      </c>
      <c r="L2221" s="15">
        <v>1</v>
      </c>
      <c r="M2221" s="15">
        <v>1</v>
      </c>
      <c r="N2221" s="5" t="s">
        <v>347</v>
      </c>
      <c r="O2221" s="5" t="s">
        <v>347</v>
      </c>
      <c r="P2221" s="5">
        <v>0</v>
      </c>
      <c r="Q2221" s="5">
        <v>0</v>
      </c>
      <c r="R2221" s="5" t="str">
        <f t="shared" si="344"/>
        <v>Med 14-2023-12-31</v>
      </c>
    </row>
    <row r="2222" spans="1:18" x14ac:dyDescent="0.3">
      <c r="A2222" s="26" t="s">
        <v>407</v>
      </c>
      <c r="B2222" s="5" t="s">
        <v>388</v>
      </c>
      <c r="C2222" s="5" t="s">
        <v>410</v>
      </c>
      <c r="D2222" s="5" t="s">
        <v>8</v>
      </c>
      <c r="E2222" s="5" t="s">
        <v>9</v>
      </c>
      <c r="F2222" s="6">
        <v>45107</v>
      </c>
      <c r="G2222" s="5">
        <f t="shared" si="341"/>
        <v>2023</v>
      </c>
      <c r="H2222" s="5" t="str">
        <f t="shared" si="342"/>
        <v>Junio</v>
      </c>
      <c r="I2222" s="6" t="str">
        <f t="shared" si="343"/>
        <v>2023-1</v>
      </c>
      <c r="J2222" s="5">
        <v>60</v>
      </c>
      <c r="K2222" s="9">
        <v>66</v>
      </c>
      <c r="L2222" s="8">
        <f>IFERROR(K2222/J2222,"")</f>
        <v>1.1000000000000001</v>
      </c>
      <c r="M2222" s="15">
        <f>IFERROR(IF((K2222/J2222)&gt;K2222/J2222,1.3,K2222/J2222),"")</f>
        <v>1.1000000000000001</v>
      </c>
      <c r="N2222" s="5" t="s">
        <v>347</v>
      </c>
      <c r="O2222" s="5" t="s">
        <v>347</v>
      </c>
      <c r="P2222" s="16">
        <v>0</v>
      </c>
      <c r="Q2222" s="16">
        <v>0</v>
      </c>
      <c r="R2222" s="5" t="str">
        <f t="shared" si="344"/>
        <v>Med 15-2023-06-30</v>
      </c>
    </row>
    <row r="2223" spans="1:18" x14ac:dyDescent="0.3">
      <c r="A2223" s="26" t="s">
        <v>407</v>
      </c>
      <c r="B2223" s="5" t="s">
        <v>388</v>
      </c>
      <c r="C2223" s="5" t="s">
        <v>410</v>
      </c>
      <c r="D2223" s="5" t="s">
        <v>8</v>
      </c>
      <c r="E2223" s="5" t="s">
        <v>9</v>
      </c>
      <c r="F2223" s="6">
        <v>45291</v>
      </c>
      <c r="G2223" s="5">
        <f t="shared" si="341"/>
        <v>2023</v>
      </c>
      <c r="H2223" s="5" t="str">
        <f t="shared" si="342"/>
        <v>Diciembre</v>
      </c>
      <c r="I2223" s="6" t="str">
        <f t="shared" si="343"/>
        <v>2023-2</v>
      </c>
      <c r="J2223" s="5">
        <v>100</v>
      </c>
      <c r="K2223" s="5">
        <v>86</v>
      </c>
      <c r="L2223" s="15">
        <v>0.86</v>
      </c>
      <c r="M2223" s="15">
        <v>0.86</v>
      </c>
      <c r="N2223" s="5" t="s">
        <v>347</v>
      </c>
      <c r="O2223" s="5" t="s">
        <v>347</v>
      </c>
      <c r="P2223" s="5">
        <v>0</v>
      </c>
      <c r="Q2223" s="5">
        <v>0</v>
      </c>
      <c r="R2223" s="5" t="str">
        <f t="shared" si="344"/>
        <v>Med 15-2023-12-31</v>
      </c>
    </row>
    <row r="2224" spans="1:18" x14ac:dyDescent="0.3">
      <c r="A2224" s="26" t="s">
        <v>407</v>
      </c>
      <c r="B2224" s="5" t="s">
        <v>388</v>
      </c>
      <c r="C2224" s="5" t="s">
        <v>410</v>
      </c>
      <c r="D2224" s="5" t="s">
        <v>8</v>
      </c>
      <c r="E2224" s="5" t="s">
        <v>9</v>
      </c>
      <c r="F2224" s="6">
        <v>45473</v>
      </c>
      <c r="G2224" s="5">
        <f t="shared" si="341"/>
        <v>2024</v>
      </c>
      <c r="H2224" s="5" t="str">
        <f t="shared" si="342"/>
        <v>Junio</v>
      </c>
      <c r="I2224" s="6" t="str">
        <f t="shared" si="343"/>
        <v>2024-1</v>
      </c>
      <c r="J2224" s="5">
        <v>65.95</v>
      </c>
      <c r="K2224" s="5">
        <v>62.83</v>
      </c>
      <c r="L2224" s="15">
        <v>0.95269143290371483</v>
      </c>
      <c r="M2224" s="15">
        <v>0.95269143290371483</v>
      </c>
      <c r="N2224" s="5" t="s">
        <v>347</v>
      </c>
      <c r="O2224" s="5" t="s">
        <v>347</v>
      </c>
      <c r="P2224" s="5">
        <v>0</v>
      </c>
      <c r="Q2224" s="5">
        <v>0</v>
      </c>
      <c r="R2224" s="5" t="str">
        <f t="shared" si="344"/>
        <v>Med 15-2024-06-30</v>
      </c>
    </row>
    <row r="2225" spans="1:18" x14ac:dyDescent="0.3">
      <c r="A2225" s="26" t="s">
        <v>408</v>
      </c>
      <c r="B2225" s="5" t="s">
        <v>389</v>
      </c>
      <c r="C2225" s="5" t="s">
        <v>410</v>
      </c>
      <c r="D2225" s="5" t="s">
        <v>8</v>
      </c>
      <c r="E2225" s="5" t="s">
        <v>9</v>
      </c>
      <c r="F2225" s="6">
        <v>45107</v>
      </c>
      <c r="G2225" s="5">
        <f t="shared" si="341"/>
        <v>2023</v>
      </c>
      <c r="H2225" s="5" t="str">
        <f t="shared" si="342"/>
        <v>Junio</v>
      </c>
      <c r="I2225" s="6" t="str">
        <f t="shared" si="343"/>
        <v>2023-1</v>
      </c>
      <c r="J2225" s="5">
        <v>2</v>
      </c>
      <c r="K2225" s="9">
        <v>2</v>
      </c>
      <c r="L2225" s="8">
        <f>IFERROR(K2225/J2225,"")</f>
        <v>1</v>
      </c>
      <c r="M2225" s="15">
        <f>IFERROR(IF((K2225/J2225)&gt;K2225/J2225,1.3,K2225/J2225),"")</f>
        <v>1</v>
      </c>
      <c r="N2225" s="5" t="s">
        <v>490</v>
      </c>
      <c r="O2225" s="5" t="s">
        <v>490</v>
      </c>
      <c r="P2225" s="16">
        <v>0</v>
      </c>
      <c r="Q2225" s="16">
        <v>0</v>
      </c>
      <c r="R2225" s="5" t="str">
        <f t="shared" si="344"/>
        <v>Med 16-2023-06-30</v>
      </c>
    </row>
    <row r="2226" spans="1:18" x14ac:dyDescent="0.3">
      <c r="A2226" s="26" t="s">
        <v>408</v>
      </c>
      <c r="B2226" s="5" t="s">
        <v>389</v>
      </c>
      <c r="C2226" s="5" t="s">
        <v>410</v>
      </c>
      <c r="D2226" s="5" t="s">
        <v>8</v>
      </c>
      <c r="E2226" s="5" t="s">
        <v>9</v>
      </c>
      <c r="F2226" s="6">
        <v>45291</v>
      </c>
      <c r="G2226" s="5">
        <f t="shared" si="341"/>
        <v>2023</v>
      </c>
      <c r="H2226" s="5" t="str">
        <f t="shared" si="342"/>
        <v>Diciembre</v>
      </c>
      <c r="I2226" s="6" t="str">
        <f t="shared" si="343"/>
        <v>2023-2</v>
      </c>
      <c r="J2226" s="5">
        <v>2</v>
      </c>
      <c r="K2226" s="5">
        <v>2</v>
      </c>
      <c r="L2226" s="15">
        <v>1</v>
      </c>
      <c r="M2226" s="15">
        <v>1</v>
      </c>
      <c r="N2226" s="5" t="s">
        <v>490</v>
      </c>
      <c r="O2226" s="5" t="s">
        <v>490</v>
      </c>
      <c r="P2226" s="5">
        <v>0</v>
      </c>
      <c r="Q2226" s="5">
        <v>0</v>
      </c>
      <c r="R2226" s="5" t="str">
        <f t="shared" si="344"/>
        <v>Med 16-2023-12-31</v>
      </c>
    </row>
    <row r="2227" spans="1:18" x14ac:dyDescent="0.3">
      <c r="A2227" s="26" t="s">
        <v>409</v>
      </c>
      <c r="B2227" s="5" t="s">
        <v>390</v>
      </c>
      <c r="C2227" s="5" t="s">
        <v>410</v>
      </c>
      <c r="D2227" s="5" t="s">
        <v>8</v>
      </c>
      <c r="E2227" s="5" t="s">
        <v>9</v>
      </c>
      <c r="F2227" s="6">
        <v>45107</v>
      </c>
      <c r="G2227" s="5">
        <f t="shared" si="341"/>
        <v>2023</v>
      </c>
      <c r="H2227" s="5" t="str">
        <f t="shared" si="342"/>
        <v>Junio</v>
      </c>
      <c r="I2227" s="6" t="str">
        <f t="shared" si="343"/>
        <v>2023-1</v>
      </c>
      <c r="J2227" s="5">
        <v>66.5</v>
      </c>
      <c r="K2227" s="9">
        <v>63.1</v>
      </c>
      <c r="L2227" s="15">
        <f>IFERROR(IF((K2227/J2227)&gt;1.3,1.3,K2227/J2227),"")</f>
        <v>0.94887218045112787</v>
      </c>
      <c r="M2227" s="15">
        <f>IFERROR(IF((K2227/J2227)&gt;K2227/J2227,1.3,K2227/J2227),"")</f>
        <v>0.94887218045112787</v>
      </c>
      <c r="N2227" s="5" t="s">
        <v>490</v>
      </c>
      <c r="O2227" s="5" t="s">
        <v>490</v>
      </c>
      <c r="P2227" s="16">
        <v>1</v>
      </c>
      <c r="Q2227" s="16">
        <v>1</v>
      </c>
      <c r="R2227" s="5" t="str">
        <f t="shared" si="344"/>
        <v>Med 17-2023-06-30</v>
      </c>
    </row>
    <row r="2228" spans="1:18" x14ac:dyDescent="0.3">
      <c r="A2228" s="26" t="s">
        <v>409</v>
      </c>
      <c r="B2228" s="5" t="s">
        <v>390</v>
      </c>
      <c r="C2228" s="5" t="s">
        <v>410</v>
      </c>
      <c r="D2228" s="5" t="s">
        <v>8</v>
      </c>
      <c r="E2228" s="5" t="s">
        <v>9</v>
      </c>
      <c r="F2228" s="6">
        <v>45291</v>
      </c>
      <c r="G2228" s="5">
        <f t="shared" si="341"/>
        <v>2023</v>
      </c>
      <c r="H2228" s="5" t="str">
        <f t="shared" si="342"/>
        <v>Diciembre</v>
      </c>
      <c r="I2228" s="6" t="str">
        <f t="shared" si="343"/>
        <v>2023-2</v>
      </c>
      <c r="J2228" s="5">
        <v>67</v>
      </c>
      <c r="K2228" s="5">
        <v>63</v>
      </c>
      <c r="L2228" s="15">
        <v>0.94029850746268662</v>
      </c>
      <c r="M2228" s="15">
        <v>0.94029850746268662</v>
      </c>
      <c r="N2228" s="5" t="s">
        <v>490</v>
      </c>
      <c r="O2228" s="5" t="s">
        <v>490</v>
      </c>
      <c r="P2228" s="5">
        <v>1</v>
      </c>
      <c r="Q2228" s="5">
        <v>1</v>
      </c>
      <c r="R2228" s="5" t="str">
        <f t="shared" si="344"/>
        <v>Med 17-2023-12-31</v>
      </c>
    </row>
    <row r="2229" spans="1:18" x14ac:dyDescent="0.3">
      <c r="A2229" s="26" t="s">
        <v>391</v>
      </c>
      <c r="B2229" s="5" t="s">
        <v>372</v>
      </c>
      <c r="C2229" s="5" t="s">
        <v>410</v>
      </c>
      <c r="D2229" s="5" t="s">
        <v>8</v>
      </c>
      <c r="E2229" s="5" t="s">
        <v>9</v>
      </c>
      <c r="F2229" s="6">
        <v>45107</v>
      </c>
      <c r="G2229" s="5">
        <f t="shared" si="341"/>
        <v>2023</v>
      </c>
      <c r="H2229" s="5" t="str">
        <f t="shared" si="342"/>
        <v>Junio</v>
      </c>
      <c r="I2229" s="6" t="str">
        <f t="shared" si="343"/>
        <v>2023-1</v>
      </c>
      <c r="J2229" s="5">
        <v>2527</v>
      </c>
      <c r="K2229" s="9">
        <v>2464</v>
      </c>
      <c r="L2229" s="15">
        <f>IFERROR(IF((K2229/J2229)&gt;1.3,1.3,K2229/J2229),"")</f>
        <v>0.97506925207756234</v>
      </c>
      <c r="M2229" s="15">
        <f>IFERROR(IF((K2229/J2229)&gt;K2229/J2229,1.3,K2229/J2229),"")</f>
        <v>0.97506925207756234</v>
      </c>
      <c r="N2229" s="5" t="s">
        <v>490</v>
      </c>
      <c r="O2229" s="5" t="s">
        <v>490</v>
      </c>
      <c r="P2229" s="16">
        <v>0</v>
      </c>
      <c r="Q2229" s="16">
        <v>0</v>
      </c>
      <c r="R2229" s="5" t="str">
        <f t="shared" si="344"/>
        <v>Med 2-2023-06-30</v>
      </c>
    </row>
    <row r="2230" spans="1:18" x14ac:dyDescent="0.3">
      <c r="A2230" s="26" t="s">
        <v>391</v>
      </c>
      <c r="B2230" s="5" t="s">
        <v>372</v>
      </c>
      <c r="C2230" s="5" t="s">
        <v>410</v>
      </c>
      <c r="D2230" s="5" t="s">
        <v>8</v>
      </c>
      <c r="E2230" s="5" t="s">
        <v>9</v>
      </c>
      <c r="F2230" s="6">
        <v>45291</v>
      </c>
      <c r="G2230" s="5">
        <f t="shared" si="341"/>
        <v>2023</v>
      </c>
      <c r="H2230" s="5" t="str">
        <f t="shared" si="342"/>
        <v>Diciembre</v>
      </c>
      <c r="I2230" s="6" t="str">
        <f t="shared" si="343"/>
        <v>2023-2</v>
      </c>
      <c r="J2230" s="5">
        <v>5039</v>
      </c>
      <c r="K2230" s="5">
        <v>4921</v>
      </c>
      <c r="L2230" s="15">
        <v>0.97658265528874777</v>
      </c>
      <c r="M2230" s="15">
        <v>0.97658265528874777</v>
      </c>
      <c r="N2230" s="5" t="s">
        <v>490</v>
      </c>
      <c r="O2230" s="5" t="s">
        <v>490</v>
      </c>
      <c r="P2230" s="5">
        <v>0</v>
      </c>
      <c r="Q2230" s="5">
        <v>0</v>
      </c>
      <c r="R2230" s="5" t="str">
        <f t="shared" si="344"/>
        <v>Med 2-2023-12-31</v>
      </c>
    </row>
    <row r="2231" spans="1:18" x14ac:dyDescent="0.3">
      <c r="A2231" s="26" t="s">
        <v>392</v>
      </c>
      <c r="B2231" s="5" t="s">
        <v>375</v>
      </c>
      <c r="C2231" s="5" t="s">
        <v>410</v>
      </c>
      <c r="D2231" s="5" t="s">
        <v>8</v>
      </c>
      <c r="E2231" s="5" t="s">
        <v>9</v>
      </c>
      <c r="F2231" s="6">
        <v>45107</v>
      </c>
      <c r="G2231" s="5">
        <f t="shared" si="341"/>
        <v>2023</v>
      </c>
      <c r="H2231" s="5" t="str">
        <f t="shared" si="342"/>
        <v>Junio</v>
      </c>
      <c r="I2231" s="6" t="str">
        <f t="shared" si="343"/>
        <v>2023-1</v>
      </c>
      <c r="J2231" s="5">
        <v>1702</v>
      </c>
      <c r="K2231" s="9">
        <v>1784</v>
      </c>
      <c r="L2231" s="15">
        <f>IFERROR(IF((K2231/J2231)&gt;1.3,1.3,K2231/J2231),"")</f>
        <v>1.0481786133960047</v>
      </c>
      <c r="M2231" s="15">
        <f>IFERROR(IF((K2231/J2231)&gt;K2231/J2231,1.3,K2231/J2231),"")</f>
        <v>1.0481786133960047</v>
      </c>
      <c r="N2231" s="5" t="s">
        <v>490</v>
      </c>
      <c r="O2231" s="5" t="s">
        <v>490</v>
      </c>
      <c r="P2231" s="16">
        <v>0</v>
      </c>
      <c r="Q2231" s="16">
        <v>0</v>
      </c>
      <c r="R2231" s="5" t="str">
        <f t="shared" si="344"/>
        <v>Med 2.1-2023-06-30</v>
      </c>
    </row>
    <row r="2232" spans="1:18" x14ac:dyDescent="0.3">
      <c r="A2232" s="26" t="s">
        <v>392</v>
      </c>
      <c r="B2232" s="5" t="s">
        <v>375</v>
      </c>
      <c r="C2232" s="5" t="s">
        <v>410</v>
      </c>
      <c r="D2232" s="5" t="s">
        <v>8</v>
      </c>
      <c r="E2232" s="5" t="s">
        <v>9</v>
      </c>
      <c r="F2232" s="6">
        <v>45291</v>
      </c>
      <c r="G2232" s="5">
        <f t="shared" si="341"/>
        <v>2023</v>
      </c>
      <c r="H2232" s="5" t="str">
        <f t="shared" si="342"/>
        <v>Diciembre</v>
      </c>
      <c r="I2232" s="6" t="str">
        <f t="shared" si="343"/>
        <v>2023-2</v>
      </c>
      <c r="J2232" s="5">
        <v>3052</v>
      </c>
      <c r="K2232" s="5">
        <v>3218</v>
      </c>
      <c r="L2232" s="15">
        <v>1.0543905635648756</v>
      </c>
      <c r="M2232" s="15">
        <v>1.0543905635648756</v>
      </c>
      <c r="N2232" s="5" t="s">
        <v>490</v>
      </c>
      <c r="O2232" s="5" t="s">
        <v>490</v>
      </c>
      <c r="P2232" s="5">
        <v>0</v>
      </c>
      <c r="Q2232" s="5">
        <v>0</v>
      </c>
      <c r="R2232" s="5" t="str">
        <f t="shared" si="344"/>
        <v>Med 2.1-2023-12-31</v>
      </c>
    </row>
    <row r="2233" spans="1:18" x14ac:dyDescent="0.3">
      <c r="A2233" s="26" t="s">
        <v>397</v>
      </c>
      <c r="B2233" s="5" t="s">
        <v>377</v>
      </c>
      <c r="C2233" s="5" t="s">
        <v>410</v>
      </c>
      <c r="D2233" s="5" t="s">
        <v>8</v>
      </c>
      <c r="E2233" s="5" t="s">
        <v>9</v>
      </c>
      <c r="F2233" s="6">
        <v>45107</v>
      </c>
      <c r="G2233" s="5">
        <f t="shared" si="341"/>
        <v>2023</v>
      </c>
      <c r="H2233" s="5" t="str">
        <f t="shared" si="342"/>
        <v>Junio</v>
      </c>
      <c r="I2233" s="6" t="str">
        <f t="shared" si="343"/>
        <v>2023-1</v>
      </c>
      <c r="J2233" s="5">
        <v>4934</v>
      </c>
      <c r="K2233" s="9">
        <v>4702</v>
      </c>
      <c r="L2233" s="15">
        <f>IFERROR(IF((K2233/J2233)&gt;1.3,1.3,K2233/J2233),"")</f>
        <v>0.95297932711795708</v>
      </c>
      <c r="M2233" s="15">
        <f>IFERROR(IF((K2233/J2233)&gt;K2233/J2233,1.3,K2233/J2233),"")</f>
        <v>0.95297932711795708</v>
      </c>
      <c r="N2233" s="5" t="s">
        <v>490</v>
      </c>
      <c r="O2233" s="5" t="s">
        <v>490</v>
      </c>
      <c r="P2233" s="16">
        <v>0</v>
      </c>
      <c r="Q2233" s="16">
        <v>0</v>
      </c>
      <c r="R2233" s="5" t="str">
        <f t="shared" si="344"/>
        <v>Med 2.2-2023-06-30</v>
      </c>
    </row>
    <row r="2234" spans="1:18" x14ac:dyDescent="0.3">
      <c r="A2234" s="26" t="s">
        <v>397</v>
      </c>
      <c r="B2234" s="5" t="s">
        <v>377</v>
      </c>
      <c r="C2234" s="5" t="s">
        <v>410</v>
      </c>
      <c r="D2234" s="5" t="s">
        <v>8</v>
      </c>
      <c r="E2234" s="5" t="s">
        <v>9</v>
      </c>
      <c r="F2234" s="6">
        <v>45291</v>
      </c>
      <c r="G2234" s="5">
        <f t="shared" si="341"/>
        <v>2023</v>
      </c>
      <c r="H2234" s="5" t="str">
        <f t="shared" si="342"/>
        <v>Diciembre</v>
      </c>
      <c r="I2234" s="6" t="str">
        <f t="shared" si="343"/>
        <v>2023-2</v>
      </c>
      <c r="J2234" s="5">
        <v>10723</v>
      </c>
      <c r="K2234" s="5">
        <v>10070</v>
      </c>
      <c r="L2234" s="15">
        <v>0.93910286300475609</v>
      </c>
      <c r="M2234" s="15">
        <v>0.93910286300475609</v>
      </c>
      <c r="N2234" s="5" t="s">
        <v>490</v>
      </c>
      <c r="O2234" s="5" t="s">
        <v>490</v>
      </c>
      <c r="P2234" s="5">
        <v>0</v>
      </c>
      <c r="Q2234" s="5">
        <v>0</v>
      </c>
      <c r="R2234" s="5" t="str">
        <f t="shared" si="344"/>
        <v>Med 2.2-2023-12-31</v>
      </c>
    </row>
    <row r="2235" spans="1:18" x14ac:dyDescent="0.3">
      <c r="A2235" s="26" t="s">
        <v>393</v>
      </c>
      <c r="B2235" s="5" t="s">
        <v>373</v>
      </c>
      <c r="C2235" s="5" t="s">
        <v>410</v>
      </c>
      <c r="D2235" s="5" t="s">
        <v>8</v>
      </c>
      <c r="E2235" s="5" t="s">
        <v>9</v>
      </c>
      <c r="F2235" s="6">
        <v>45107</v>
      </c>
      <c r="G2235" s="5">
        <f t="shared" si="341"/>
        <v>2023</v>
      </c>
      <c r="H2235" s="5" t="str">
        <f t="shared" si="342"/>
        <v>Junio</v>
      </c>
      <c r="I2235" s="6" t="str">
        <f t="shared" si="343"/>
        <v>2023-1</v>
      </c>
      <c r="J2235" s="5">
        <v>16</v>
      </c>
      <c r="K2235" s="9">
        <v>15</v>
      </c>
      <c r="L2235" s="15">
        <f>IFERROR(IF((K2235/J2235)&gt;1.3,1.3,K2235/J2235),"")</f>
        <v>0.9375</v>
      </c>
      <c r="M2235" s="15">
        <f>IFERROR(IF((K2235/J2235)&gt;K2235/J2235,1.3,K2235/J2235),"")</f>
        <v>0.9375</v>
      </c>
      <c r="N2235" s="5" t="s">
        <v>490</v>
      </c>
      <c r="O2235" s="5" t="s">
        <v>490</v>
      </c>
      <c r="P2235" s="16">
        <v>0</v>
      </c>
      <c r="Q2235" s="16">
        <v>0</v>
      </c>
      <c r="R2235" s="5" t="str">
        <f t="shared" si="344"/>
        <v>Med 3-2023-06-30</v>
      </c>
    </row>
    <row r="2236" spans="1:18" x14ac:dyDescent="0.3">
      <c r="A2236" s="26" t="s">
        <v>393</v>
      </c>
      <c r="B2236" s="5" t="s">
        <v>373</v>
      </c>
      <c r="C2236" s="5" t="s">
        <v>410</v>
      </c>
      <c r="D2236" s="5" t="s">
        <v>8</v>
      </c>
      <c r="E2236" s="5" t="s">
        <v>9</v>
      </c>
      <c r="F2236" s="6">
        <v>45291</v>
      </c>
      <c r="G2236" s="5">
        <f t="shared" si="341"/>
        <v>2023</v>
      </c>
      <c r="H2236" s="5" t="str">
        <f t="shared" si="342"/>
        <v>Diciembre</v>
      </c>
      <c r="I2236" s="6" t="str">
        <f t="shared" si="343"/>
        <v>2023-2</v>
      </c>
      <c r="J2236" s="5">
        <v>432</v>
      </c>
      <c r="K2236" s="5">
        <v>292</v>
      </c>
      <c r="L2236" s="15">
        <v>0.67592592592592593</v>
      </c>
      <c r="M2236" s="15">
        <v>0.67592592592592593</v>
      </c>
      <c r="N2236" s="5" t="s">
        <v>490</v>
      </c>
      <c r="O2236" s="5" t="s">
        <v>490</v>
      </c>
      <c r="P2236" s="5">
        <v>0</v>
      </c>
      <c r="Q2236" s="5">
        <v>0</v>
      </c>
      <c r="R2236" s="5" t="str">
        <f t="shared" si="344"/>
        <v>Med 3-2023-12-31</v>
      </c>
    </row>
    <row r="2237" spans="1:18" x14ac:dyDescent="0.3">
      <c r="A2237" s="26" t="s">
        <v>394</v>
      </c>
      <c r="B2237" s="5" t="s">
        <v>374</v>
      </c>
      <c r="C2237" s="5" t="s">
        <v>410</v>
      </c>
      <c r="D2237" s="5" t="s">
        <v>8</v>
      </c>
      <c r="E2237" s="5" t="s">
        <v>9</v>
      </c>
      <c r="F2237" s="6">
        <v>45107</v>
      </c>
      <c r="G2237" s="5">
        <f t="shared" si="341"/>
        <v>2023</v>
      </c>
      <c r="H2237" s="5" t="str">
        <f t="shared" si="342"/>
        <v>Junio</v>
      </c>
      <c r="I2237" s="6" t="str">
        <f t="shared" si="343"/>
        <v>2023-1</v>
      </c>
      <c r="J2237" s="5">
        <v>31</v>
      </c>
      <c r="K2237" s="9">
        <v>36</v>
      </c>
      <c r="L2237" s="15">
        <f>IFERROR(IF((K2237/J2237)&gt;1.3,1.3,K2237/J2237),"")</f>
        <v>1.1612903225806452</v>
      </c>
      <c r="M2237" s="15">
        <f>IFERROR(IF((K2237/J2237)&gt;K2237/J2237,1.3,K2237/J2237),"")</f>
        <v>1.1612903225806452</v>
      </c>
      <c r="N2237" s="5" t="s">
        <v>490</v>
      </c>
      <c r="O2237" s="5" t="s">
        <v>490</v>
      </c>
      <c r="P2237" s="16">
        <v>0</v>
      </c>
      <c r="Q2237" s="16">
        <v>0</v>
      </c>
      <c r="R2237" s="5" t="str">
        <f t="shared" si="344"/>
        <v>Med 4-2023-06-30</v>
      </c>
    </row>
    <row r="2238" spans="1:18" x14ac:dyDescent="0.3">
      <c r="A2238" s="26" t="s">
        <v>394</v>
      </c>
      <c r="B2238" s="5" t="s">
        <v>374</v>
      </c>
      <c r="C2238" s="5" t="s">
        <v>410</v>
      </c>
      <c r="D2238" s="5" t="s">
        <v>8</v>
      </c>
      <c r="E2238" s="5" t="s">
        <v>9</v>
      </c>
      <c r="F2238" s="6">
        <v>45291</v>
      </c>
      <c r="G2238" s="5">
        <f t="shared" si="341"/>
        <v>2023</v>
      </c>
      <c r="H2238" s="5" t="str">
        <f t="shared" si="342"/>
        <v>Diciembre</v>
      </c>
      <c r="I2238" s="6" t="str">
        <f t="shared" si="343"/>
        <v>2023-2</v>
      </c>
      <c r="J2238" s="5">
        <v>60</v>
      </c>
      <c r="K2238" s="5">
        <v>56</v>
      </c>
      <c r="L2238" s="15">
        <v>0.93333333333333335</v>
      </c>
      <c r="M2238" s="15">
        <v>0.93333333333333335</v>
      </c>
      <c r="N2238" s="5" t="s">
        <v>490</v>
      </c>
      <c r="O2238" s="5" t="s">
        <v>490</v>
      </c>
      <c r="P2238" s="5">
        <v>0</v>
      </c>
      <c r="Q2238" s="5">
        <v>0</v>
      </c>
      <c r="R2238" s="5" t="str">
        <f t="shared" si="344"/>
        <v>Med 4-2023-12-31</v>
      </c>
    </row>
    <row r="2239" spans="1:18" x14ac:dyDescent="0.3">
      <c r="A2239" s="26" t="s">
        <v>395</v>
      </c>
      <c r="B2239" s="5" t="s">
        <v>376</v>
      </c>
      <c r="C2239" s="5" t="s">
        <v>410</v>
      </c>
      <c r="D2239" s="5" t="s">
        <v>8</v>
      </c>
      <c r="E2239" s="5" t="s">
        <v>9</v>
      </c>
      <c r="F2239" s="6">
        <v>45107</v>
      </c>
      <c r="G2239" s="5">
        <f t="shared" si="341"/>
        <v>2023</v>
      </c>
      <c r="H2239" s="5" t="str">
        <f t="shared" si="342"/>
        <v>Junio</v>
      </c>
      <c r="I2239" s="6" t="str">
        <f t="shared" si="343"/>
        <v>2023-1</v>
      </c>
      <c r="J2239" s="5">
        <v>162</v>
      </c>
      <c r="K2239" s="9">
        <v>218</v>
      </c>
      <c r="L2239" s="15">
        <f>IFERROR(IF((K2239/J2239)&gt;1.3,1.3,K2239/J2239),"")</f>
        <v>1.3</v>
      </c>
      <c r="M2239" s="15">
        <f>IFERROR(IF((K2239/J2239)&gt;K2239/J2239,1.3,K2239/J2239),"")</f>
        <v>1.345679012345679</v>
      </c>
      <c r="N2239" s="5" t="s">
        <v>490</v>
      </c>
      <c r="O2239" s="5" t="s">
        <v>490</v>
      </c>
      <c r="P2239" s="16">
        <v>0</v>
      </c>
      <c r="Q2239" s="16">
        <v>0</v>
      </c>
      <c r="R2239" s="5" t="str">
        <f t="shared" si="344"/>
        <v>Med 4.1-2023-06-30</v>
      </c>
    </row>
    <row r="2240" spans="1:18" x14ac:dyDescent="0.3">
      <c r="A2240" s="26" t="s">
        <v>395</v>
      </c>
      <c r="B2240" s="5" t="s">
        <v>376</v>
      </c>
      <c r="C2240" s="5" t="s">
        <v>410</v>
      </c>
      <c r="D2240" s="5" t="s">
        <v>8</v>
      </c>
      <c r="E2240" s="5" t="s">
        <v>9</v>
      </c>
      <c r="F2240" s="6">
        <v>45291</v>
      </c>
      <c r="G2240" s="5">
        <f t="shared" si="341"/>
        <v>2023</v>
      </c>
      <c r="H2240" s="5" t="str">
        <f t="shared" si="342"/>
        <v>Diciembre</v>
      </c>
      <c r="I2240" s="6" t="str">
        <f t="shared" si="343"/>
        <v>2023-2</v>
      </c>
      <c r="J2240" s="5">
        <v>3052</v>
      </c>
      <c r="K2240" s="5">
        <v>3218</v>
      </c>
      <c r="L2240" s="15">
        <v>1.0543905635648756</v>
      </c>
      <c r="M2240" s="15">
        <v>1.0543905635648756</v>
      </c>
      <c r="N2240" s="5" t="s">
        <v>490</v>
      </c>
      <c r="O2240" s="5" t="s">
        <v>490</v>
      </c>
      <c r="P2240" s="5">
        <v>0</v>
      </c>
      <c r="Q2240" s="5">
        <v>0</v>
      </c>
      <c r="R2240" s="5" t="str">
        <f t="shared" si="344"/>
        <v>Med 4.1-2023-12-31</v>
      </c>
    </row>
    <row r="2241" spans="1:18" x14ac:dyDescent="0.3">
      <c r="A2241" s="26" t="s">
        <v>396</v>
      </c>
      <c r="B2241" s="5" t="s">
        <v>378</v>
      </c>
      <c r="C2241" s="5" t="s">
        <v>410</v>
      </c>
      <c r="D2241" s="5" t="s">
        <v>8</v>
      </c>
      <c r="E2241" s="5" t="s">
        <v>9</v>
      </c>
      <c r="F2241" s="6">
        <v>45107</v>
      </c>
      <c r="G2241" s="5">
        <f t="shared" si="341"/>
        <v>2023</v>
      </c>
      <c r="H2241" s="5" t="str">
        <f t="shared" si="342"/>
        <v>Junio</v>
      </c>
      <c r="I2241" s="6" t="str">
        <f t="shared" si="343"/>
        <v>2023-1</v>
      </c>
      <c r="J2241" s="5">
        <v>212</v>
      </c>
      <c r="K2241" s="9">
        <v>129</v>
      </c>
      <c r="L2241" s="15">
        <f>IFERROR(IF((K2241/J2241)&gt;1.3,1.3,K2241/J2241),"")</f>
        <v>0.60849056603773588</v>
      </c>
      <c r="M2241" s="15">
        <f>IFERROR(IF((K2241/J2241)&gt;K2241/J2241,1.3,K2241/J2241),"")</f>
        <v>0.60849056603773588</v>
      </c>
      <c r="N2241" s="5" t="s">
        <v>490</v>
      </c>
      <c r="O2241" s="5" t="s">
        <v>490</v>
      </c>
      <c r="P2241" s="16">
        <v>0</v>
      </c>
      <c r="Q2241" s="16">
        <v>0</v>
      </c>
      <c r="R2241" s="5" t="str">
        <f t="shared" si="344"/>
        <v>Med 4.2-2023-06-30</v>
      </c>
    </row>
    <row r="2242" spans="1:18" x14ac:dyDescent="0.3">
      <c r="A2242" s="26" t="s">
        <v>396</v>
      </c>
      <c r="B2242" s="5" t="s">
        <v>378</v>
      </c>
      <c r="C2242" s="5" t="s">
        <v>410</v>
      </c>
      <c r="D2242" s="5" t="s">
        <v>8</v>
      </c>
      <c r="E2242" s="5" t="s">
        <v>9</v>
      </c>
      <c r="F2242" s="6">
        <v>45291</v>
      </c>
      <c r="G2242" s="5">
        <f t="shared" ref="G2242:G2258" si="345">YEAR(F2242)</f>
        <v>2023</v>
      </c>
      <c r="H2242" s="5" t="str">
        <f t="shared" ref="H2242:H2258" si="346">PROPER(TEXT(F2242,"mmmm"))</f>
        <v>Diciembre</v>
      </c>
      <c r="I2242" s="6" t="str">
        <f t="shared" si="343"/>
        <v>2023-2</v>
      </c>
      <c r="J2242" s="5">
        <v>432</v>
      </c>
      <c r="K2242" s="5">
        <v>292</v>
      </c>
      <c r="L2242" s="15">
        <v>0.67592592592592593</v>
      </c>
      <c r="M2242" s="15">
        <v>0.67592592592592593</v>
      </c>
      <c r="N2242" s="5" t="s">
        <v>490</v>
      </c>
      <c r="O2242" s="5" t="s">
        <v>490</v>
      </c>
      <c r="P2242" s="5">
        <v>0</v>
      </c>
      <c r="Q2242" s="5">
        <v>0</v>
      </c>
      <c r="R2242" s="5" t="str">
        <f t="shared" si="344"/>
        <v>Med 4.2-2023-12-31</v>
      </c>
    </row>
    <row r="2243" spans="1:18" x14ac:dyDescent="0.3">
      <c r="A2243" s="26" t="s">
        <v>398</v>
      </c>
      <c r="B2243" s="5" t="s">
        <v>379</v>
      </c>
      <c r="C2243" s="5" t="s">
        <v>410</v>
      </c>
      <c r="D2243" s="5" t="s">
        <v>8</v>
      </c>
      <c r="E2243" s="5" t="s">
        <v>9</v>
      </c>
      <c r="F2243" s="6">
        <v>45107</v>
      </c>
      <c r="G2243" s="5">
        <f t="shared" si="345"/>
        <v>2023</v>
      </c>
      <c r="H2243" s="5" t="str">
        <f t="shared" si="346"/>
        <v>Junio</v>
      </c>
      <c r="I2243" s="6" t="str">
        <f t="shared" ref="I2243:I2258" si="347">IF(OR(H2243="Enero",H2243="Febrero",H2243="Marzo",H2243="Abril",H2243="Mayo",H2243="Junio"),G2243&amp;"-1",IF(OR(H2243="Julio",H2243="Agosto",H2243="Septiembre",H2243="Octubre",H2243="Noviembre",H2243="Diciembre"),G2243&amp;"-2"))</f>
        <v>2023-1</v>
      </c>
      <c r="J2243" s="5">
        <v>5146</v>
      </c>
      <c r="K2243" s="9">
        <v>4831</v>
      </c>
      <c r="L2243" s="15">
        <f>IFERROR(IF((K2243/J2243)&gt;1.3,1.3,K2243/J2243),"")</f>
        <v>0.93878740769529734</v>
      </c>
      <c r="M2243" s="15">
        <f>IFERROR(IF((K2243/J2243)&gt;K2243/J2243,1.3,K2243/J2243),"")</f>
        <v>0.93878740769529734</v>
      </c>
      <c r="N2243" s="5" t="s">
        <v>490</v>
      </c>
      <c r="O2243" s="5" t="s">
        <v>490</v>
      </c>
      <c r="P2243" s="16">
        <v>0</v>
      </c>
      <c r="Q2243" s="16">
        <v>0</v>
      </c>
      <c r="R2243" s="5" t="str">
        <f t="shared" ref="R2243:R2257" si="348">A2243&amp;"-"&amp;YEAR(F2243)&amp;"-"&amp;IF(LEN(MONTH(F2243))=1,"0"&amp;MONTH(F2243),MONTH(F2243))&amp;"-"&amp;DAY(F2243)</f>
        <v>Med 5-2023-06-30</v>
      </c>
    </row>
    <row r="2244" spans="1:18" x14ac:dyDescent="0.3">
      <c r="A2244" s="26" t="s">
        <v>398</v>
      </c>
      <c r="B2244" s="5" t="s">
        <v>379</v>
      </c>
      <c r="C2244" s="5" t="s">
        <v>410</v>
      </c>
      <c r="D2244" s="5" t="s">
        <v>8</v>
      </c>
      <c r="E2244" s="5" t="s">
        <v>9</v>
      </c>
      <c r="F2244" s="6">
        <v>45291</v>
      </c>
      <c r="G2244" s="5">
        <f t="shared" si="345"/>
        <v>2023</v>
      </c>
      <c r="H2244" s="5" t="str">
        <f t="shared" si="346"/>
        <v>Diciembre</v>
      </c>
      <c r="I2244" s="6" t="str">
        <f t="shared" si="347"/>
        <v>2023-2</v>
      </c>
      <c r="J2244" s="5">
        <v>11155</v>
      </c>
      <c r="K2244" s="5">
        <v>10362</v>
      </c>
      <c r="L2244" s="15">
        <v>0.92891080233079337</v>
      </c>
      <c r="M2244" s="15">
        <v>0.92891080233079337</v>
      </c>
      <c r="N2244" s="5" t="s">
        <v>490</v>
      </c>
      <c r="O2244" s="5" t="s">
        <v>490</v>
      </c>
      <c r="P2244" s="5">
        <v>0</v>
      </c>
      <c r="Q2244" s="5">
        <v>0</v>
      </c>
      <c r="R2244" s="5" t="str">
        <f t="shared" si="348"/>
        <v>Med 5-2023-12-31</v>
      </c>
    </row>
    <row r="2245" spans="1:18" x14ac:dyDescent="0.3">
      <c r="A2245" s="26" t="s">
        <v>399</v>
      </c>
      <c r="B2245" s="5" t="s">
        <v>380</v>
      </c>
      <c r="C2245" s="5" t="s">
        <v>410</v>
      </c>
      <c r="D2245" s="5" t="s">
        <v>8</v>
      </c>
      <c r="E2245" s="5" t="s">
        <v>9</v>
      </c>
      <c r="F2245" s="6">
        <v>45107</v>
      </c>
      <c r="G2245" s="5">
        <f t="shared" si="345"/>
        <v>2023</v>
      </c>
      <c r="H2245" s="5" t="str">
        <f t="shared" si="346"/>
        <v>Junio</v>
      </c>
      <c r="I2245" s="6" t="str">
        <f t="shared" si="347"/>
        <v>2023-1</v>
      </c>
      <c r="J2245" s="9">
        <v>1037307448</v>
      </c>
      <c r="K2245" s="9">
        <v>695692471</v>
      </c>
      <c r="L2245" s="15">
        <f>IFERROR(IF((K2245/J2245)&gt;1.3,1.3,K2245/J2245),"")</f>
        <v>0.67067143144623409</v>
      </c>
      <c r="M2245" s="15">
        <f>IFERROR(IF((K2245/J2245)&gt;K2245/J2245,1.3,K2245/J2245),"")</f>
        <v>0.67067143144623409</v>
      </c>
      <c r="N2245" s="5" t="s">
        <v>474</v>
      </c>
      <c r="O2245" s="5" t="s">
        <v>474</v>
      </c>
      <c r="P2245" s="16">
        <v>0</v>
      </c>
      <c r="Q2245" s="16">
        <v>0</v>
      </c>
      <c r="R2245" s="5" t="str">
        <f t="shared" si="348"/>
        <v>Med 6-2023-06-30</v>
      </c>
    </row>
    <row r="2246" spans="1:18" x14ac:dyDescent="0.3">
      <c r="A2246" s="26" t="s">
        <v>399</v>
      </c>
      <c r="B2246" s="5" t="s">
        <v>380</v>
      </c>
      <c r="C2246" s="5" t="s">
        <v>410</v>
      </c>
      <c r="D2246" s="5" t="s">
        <v>8</v>
      </c>
      <c r="E2246" s="5" t="s">
        <v>9</v>
      </c>
      <c r="F2246" s="6">
        <v>45291</v>
      </c>
      <c r="G2246" s="5">
        <f t="shared" si="345"/>
        <v>2023</v>
      </c>
      <c r="H2246" s="5" t="str">
        <f t="shared" si="346"/>
        <v>Diciembre</v>
      </c>
      <c r="I2246" s="6" t="str">
        <f t="shared" si="347"/>
        <v>2023-2</v>
      </c>
      <c r="J2246" s="64">
        <v>2243</v>
      </c>
      <c r="K2246" s="64">
        <v>2101</v>
      </c>
      <c r="L2246" s="15">
        <v>0.93669193045028976</v>
      </c>
      <c r="M2246" s="15">
        <v>0.93669193045028976</v>
      </c>
      <c r="N2246" s="5" t="s">
        <v>474</v>
      </c>
      <c r="O2246" s="5" t="s">
        <v>474</v>
      </c>
      <c r="P2246" s="5">
        <v>0</v>
      </c>
      <c r="Q2246" s="5">
        <v>0</v>
      </c>
      <c r="R2246" s="5" t="str">
        <f t="shared" si="348"/>
        <v>Med 6-2023-12-31</v>
      </c>
    </row>
    <row r="2247" spans="1:18" x14ac:dyDescent="0.3">
      <c r="A2247" s="26" t="s">
        <v>399</v>
      </c>
      <c r="B2247" s="5" t="s">
        <v>380</v>
      </c>
      <c r="C2247" s="5" t="s">
        <v>410</v>
      </c>
      <c r="D2247" s="5" t="s">
        <v>8</v>
      </c>
      <c r="E2247" s="5" t="s">
        <v>9</v>
      </c>
      <c r="F2247" s="6">
        <v>45473</v>
      </c>
      <c r="G2247" s="5">
        <f t="shared" si="345"/>
        <v>2024</v>
      </c>
      <c r="H2247" s="5" t="str">
        <f t="shared" si="346"/>
        <v>Junio</v>
      </c>
      <c r="I2247" s="6" t="str">
        <f t="shared" si="347"/>
        <v>2024-1</v>
      </c>
      <c r="J2247" s="64">
        <v>1151.7570028791101</v>
      </c>
      <c r="K2247" s="64">
        <v>1979.0634379999999</v>
      </c>
      <c r="L2247" s="15">
        <v>1.3</v>
      </c>
      <c r="M2247" s="15">
        <v>1.7182994616510483</v>
      </c>
      <c r="N2247" s="5" t="s">
        <v>474</v>
      </c>
      <c r="O2247" s="5" t="s">
        <v>474</v>
      </c>
      <c r="P2247" s="5">
        <v>0</v>
      </c>
      <c r="Q2247" s="5">
        <v>0</v>
      </c>
      <c r="R2247" s="5" t="str">
        <f t="shared" si="348"/>
        <v>Med 6-2024-06-30</v>
      </c>
    </row>
    <row r="2248" spans="1:18" x14ac:dyDescent="0.3">
      <c r="A2248" s="26" t="s">
        <v>400</v>
      </c>
      <c r="B2248" s="5" t="s">
        <v>381</v>
      </c>
      <c r="C2248" s="5" t="s">
        <v>410</v>
      </c>
      <c r="D2248" s="5" t="s">
        <v>8</v>
      </c>
      <c r="E2248" s="5" t="s">
        <v>9</v>
      </c>
      <c r="F2248" s="6">
        <v>45107</v>
      </c>
      <c r="G2248" s="5">
        <f t="shared" si="345"/>
        <v>2023</v>
      </c>
      <c r="H2248" s="5" t="str">
        <f t="shared" si="346"/>
        <v>Junio</v>
      </c>
      <c r="I2248" s="6" t="str">
        <f t="shared" si="347"/>
        <v>2023-1</v>
      </c>
      <c r="J2248" s="5">
        <v>42</v>
      </c>
      <c r="K2248" s="9">
        <v>36.54</v>
      </c>
      <c r="L2248" s="15">
        <f>IFERROR(IF((K2248/J2248)&gt;1.3,1.3,K2248/J2248),"")</f>
        <v>0.87</v>
      </c>
      <c r="M2248" s="15">
        <f>IFERROR(IF((K2248/J2248)&gt;K2248/J2248,1.3,K2248/J2248),"")</f>
        <v>0.87</v>
      </c>
      <c r="N2248" s="5" t="s">
        <v>490</v>
      </c>
      <c r="O2248" s="5" t="s">
        <v>478</v>
      </c>
      <c r="P2248" s="16">
        <v>0</v>
      </c>
      <c r="Q2248" s="16">
        <v>0</v>
      </c>
      <c r="R2248" s="5" t="str">
        <f t="shared" si="348"/>
        <v>Med 7-2023-06-30</v>
      </c>
    </row>
    <row r="2249" spans="1:18" x14ac:dyDescent="0.3">
      <c r="A2249" s="26" t="s">
        <v>400</v>
      </c>
      <c r="B2249" s="5" t="s">
        <v>381</v>
      </c>
      <c r="C2249" s="5" t="s">
        <v>410</v>
      </c>
      <c r="D2249" s="5" t="s">
        <v>8</v>
      </c>
      <c r="E2249" s="5" t="s">
        <v>9</v>
      </c>
      <c r="F2249" s="6">
        <v>45291</v>
      </c>
      <c r="G2249" s="5">
        <f t="shared" si="345"/>
        <v>2023</v>
      </c>
      <c r="H2249" s="5" t="str">
        <f t="shared" si="346"/>
        <v>Diciembre</v>
      </c>
      <c r="I2249" s="6" t="str">
        <f t="shared" si="347"/>
        <v>2023-2</v>
      </c>
      <c r="J2249" s="5">
        <v>42</v>
      </c>
      <c r="K2249" s="5">
        <v>53</v>
      </c>
      <c r="L2249" s="15">
        <v>1.2619047619047619</v>
      </c>
      <c r="M2249" s="15">
        <v>1.2619047619047619</v>
      </c>
      <c r="N2249" s="5" t="s">
        <v>347</v>
      </c>
      <c r="O2249" s="5" t="s">
        <v>347</v>
      </c>
      <c r="P2249" s="5">
        <v>0</v>
      </c>
      <c r="Q2249" s="5">
        <v>0</v>
      </c>
      <c r="R2249" s="5" t="str">
        <f t="shared" si="348"/>
        <v>Med 7-2023-12-31</v>
      </c>
    </row>
    <row r="2250" spans="1:18" x14ac:dyDescent="0.3">
      <c r="A2250" s="26" t="s">
        <v>400</v>
      </c>
      <c r="B2250" s="5" t="s">
        <v>381</v>
      </c>
      <c r="C2250" s="5" t="s">
        <v>410</v>
      </c>
      <c r="D2250" s="5" t="s">
        <v>8</v>
      </c>
      <c r="E2250" s="5" t="s">
        <v>9</v>
      </c>
      <c r="F2250" s="6">
        <v>45473</v>
      </c>
      <c r="G2250" s="5">
        <f t="shared" si="345"/>
        <v>2024</v>
      </c>
      <c r="H2250" s="5" t="str">
        <f t="shared" si="346"/>
        <v>Junio</v>
      </c>
      <c r="I2250" s="6" t="str">
        <f t="shared" si="347"/>
        <v>2024-1</v>
      </c>
      <c r="J2250" s="5">
        <v>50</v>
      </c>
      <c r="K2250" s="5">
        <v>59.59</v>
      </c>
      <c r="L2250" s="15">
        <v>1.1918</v>
      </c>
      <c r="M2250" s="15">
        <v>1.1918</v>
      </c>
      <c r="N2250" s="5" t="s">
        <v>347</v>
      </c>
      <c r="O2250" s="5" t="s">
        <v>347</v>
      </c>
      <c r="P2250" s="5">
        <v>0</v>
      </c>
      <c r="Q2250" s="5">
        <v>0</v>
      </c>
      <c r="R2250" s="5" t="str">
        <f t="shared" si="348"/>
        <v>Med 7-2024-06-30</v>
      </c>
    </row>
    <row r="2251" spans="1:18" x14ac:dyDescent="0.3">
      <c r="A2251" s="26" t="s">
        <v>401</v>
      </c>
      <c r="B2251" s="5" t="s">
        <v>382</v>
      </c>
      <c r="C2251" s="5" t="s">
        <v>410</v>
      </c>
      <c r="D2251" s="5" t="s">
        <v>8</v>
      </c>
      <c r="E2251" s="5" t="s">
        <v>9</v>
      </c>
      <c r="F2251" s="6">
        <v>45107</v>
      </c>
      <c r="G2251" s="5">
        <f t="shared" si="345"/>
        <v>2023</v>
      </c>
      <c r="H2251" s="5" t="str">
        <f t="shared" si="346"/>
        <v>Junio</v>
      </c>
      <c r="I2251" s="6" t="str">
        <f t="shared" si="347"/>
        <v>2023-1</v>
      </c>
      <c r="J2251" s="85">
        <v>87.5</v>
      </c>
      <c r="K2251" s="9">
        <v>88.8</v>
      </c>
      <c r="L2251" s="15">
        <f>IFERROR(IF((K2251/J2251)&gt;1.3,1.3,K2251/J2251),"")</f>
        <v>1.0148571428571429</v>
      </c>
      <c r="M2251" s="15">
        <f>IFERROR(IF((K2251/J2251)&gt;K2251/J2251,1.3,K2251/J2251),"")</f>
        <v>1.0148571428571429</v>
      </c>
      <c r="N2251" s="5" t="s">
        <v>347</v>
      </c>
      <c r="O2251" s="5" t="s">
        <v>347</v>
      </c>
      <c r="P2251" s="16">
        <v>1</v>
      </c>
      <c r="Q2251" s="16">
        <v>1</v>
      </c>
      <c r="R2251" s="5" t="str">
        <f t="shared" si="348"/>
        <v>Med 8-2023-06-30</v>
      </c>
    </row>
    <row r="2252" spans="1:18" x14ac:dyDescent="0.3">
      <c r="A2252" s="26" t="s">
        <v>401</v>
      </c>
      <c r="B2252" s="5" t="s">
        <v>382</v>
      </c>
      <c r="C2252" s="5" t="s">
        <v>410</v>
      </c>
      <c r="D2252" s="5" t="s">
        <v>8</v>
      </c>
      <c r="E2252" s="5" t="s">
        <v>9</v>
      </c>
      <c r="F2252" s="6">
        <v>45291</v>
      </c>
      <c r="G2252" s="5">
        <f t="shared" si="345"/>
        <v>2023</v>
      </c>
      <c r="H2252" s="5" t="str">
        <f t="shared" si="346"/>
        <v>Diciembre</v>
      </c>
      <c r="I2252" s="6" t="str">
        <f t="shared" si="347"/>
        <v>2023-2</v>
      </c>
      <c r="J2252" s="5">
        <v>87.3</v>
      </c>
      <c r="K2252" s="5">
        <v>89.6</v>
      </c>
      <c r="L2252" s="15">
        <v>1.0263459335624283</v>
      </c>
      <c r="M2252" s="15">
        <v>1.0263459335624283</v>
      </c>
      <c r="N2252" s="5" t="s">
        <v>347</v>
      </c>
      <c r="O2252" s="5" t="s">
        <v>347</v>
      </c>
      <c r="P2252" s="5">
        <v>1</v>
      </c>
      <c r="Q2252" s="5">
        <v>1</v>
      </c>
      <c r="R2252" s="5" t="str">
        <f t="shared" si="348"/>
        <v>Med 8-2023-12-31</v>
      </c>
    </row>
    <row r="2253" spans="1:18" x14ac:dyDescent="0.3">
      <c r="A2253" s="26" t="s">
        <v>401</v>
      </c>
      <c r="B2253" s="5" t="s">
        <v>382</v>
      </c>
      <c r="C2253" s="5" t="s">
        <v>410</v>
      </c>
      <c r="D2253" s="5" t="s">
        <v>8</v>
      </c>
      <c r="E2253" s="5" t="s">
        <v>9</v>
      </c>
      <c r="F2253" s="6">
        <v>45473</v>
      </c>
      <c r="G2253" s="5">
        <f t="shared" si="345"/>
        <v>2024</v>
      </c>
      <c r="H2253" s="5" t="str">
        <f t="shared" si="346"/>
        <v>Junio</v>
      </c>
      <c r="I2253" s="6" t="str">
        <f t="shared" si="347"/>
        <v>2024-1</v>
      </c>
      <c r="J2253" s="5">
        <v>85</v>
      </c>
      <c r="K2253" s="5">
        <v>90.1</v>
      </c>
      <c r="L2253" s="15">
        <v>1.0599999999999998</v>
      </c>
      <c r="M2253" s="15">
        <v>1.0599999999999998</v>
      </c>
      <c r="N2253" s="5" t="s">
        <v>347</v>
      </c>
      <c r="O2253" s="5" t="s">
        <v>347</v>
      </c>
      <c r="P2253" s="5">
        <v>1</v>
      </c>
      <c r="Q2253" s="5">
        <v>1</v>
      </c>
      <c r="R2253" s="5" t="str">
        <f t="shared" si="348"/>
        <v>Med 8-2024-06-30</v>
      </c>
    </row>
    <row r="2254" spans="1:18" x14ac:dyDescent="0.3">
      <c r="A2254" s="26" t="s">
        <v>402</v>
      </c>
      <c r="B2254" s="5" t="s">
        <v>383</v>
      </c>
      <c r="C2254" s="5" t="s">
        <v>410</v>
      </c>
      <c r="D2254" s="5" t="s">
        <v>8</v>
      </c>
      <c r="E2254" s="5" t="s">
        <v>9</v>
      </c>
      <c r="F2254" s="6">
        <v>45107</v>
      </c>
      <c r="G2254" s="5">
        <f t="shared" si="345"/>
        <v>2023</v>
      </c>
      <c r="H2254" s="5" t="str">
        <f t="shared" si="346"/>
        <v>Junio</v>
      </c>
      <c r="I2254" s="6" t="str">
        <f t="shared" si="347"/>
        <v>2023-1</v>
      </c>
      <c r="J2254" s="5">
        <v>80</v>
      </c>
      <c r="K2254" s="9">
        <v>79.180000000000007</v>
      </c>
      <c r="L2254" s="15">
        <f>IFERROR(IF((K2254/J2254)&gt;1.3,1.3,K2254/J2254),"")</f>
        <v>0.98975000000000013</v>
      </c>
      <c r="M2254" s="15">
        <f>IFERROR(IF((K2254/J2254)&gt;K2254/J2254,1.3,K2254/J2254),"")</f>
        <v>0.98975000000000013</v>
      </c>
      <c r="N2254" s="5" t="s">
        <v>347</v>
      </c>
      <c r="O2254" s="5" t="s">
        <v>347</v>
      </c>
      <c r="P2254" s="16">
        <v>0</v>
      </c>
      <c r="Q2254" s="16">
        <v>0</v>
      </c>
      <c r="R2254" s="5" t="str">
        <f t="shared" si="348"/>
        <v>Med 9-2023-06-30</v>
      </c>
    </row>
    <row r="2255" spans="1:18" x14ac:dyDescent="0.3">
      <c r="A2255" s="26" t="s">
        <v>402</v>
      </c>
      <c r="B2255" s="5" t="s">
        <v>383</v>
      </c>
      <c r="C2255" s="5" t="s">
        <v>410</v>
      </c>
      <c r="D2255" s="5" t="s">
        <v>8</v>
      </c>
      <c r="E2255" s="5" t="s">
        <v>9</v>
      </c>
      <c r="F2255" s="6">
        <v>45291</v>
      </c>
      <c r="G2255" s="5">
        <f t="shared" si="345"/>
        <v>2023</v>
      </c>
      <c r="H2255" s="5" t="str">
        <f t="shared" si="346"/>
        <v>Diciembre</v>
      </c>
      <c r="I2255" s="6" t="str">
        <f t="shared" si="347"/>
        <v>2023-2</v>
      </c>
      <c r="J2255" s="5">
        <v>97.13</v>
      </c>
      <c r="K2255" s="5">
        <v>79.180000000000007</v>
      </c>
      <c r="L2255" s="15">
        <v>0.81519612889941329</v>
      </c>
      <c r="M2255" s="15">
        <v>0.81519612889941329</v>
      </c>
      <c r="N2255" s="5" t="s">
        <v>347</v>
      </c>
      <c r="O2255" s="5" t="s">
        <v>347</v>
      </c>
      <c r="P2255" s="5">
        <v>0</v>
      </c>
      <c r="Q2255" s="5">
        <v>0</v>
      </c>
      <c r="R2255" s="5" t="str">
        <f t="shared" si="348"/>
        <v>Med 9-2023-12-31</v>
      </c>
    </row>
    <row r="2256" spans="1:18" x14ac:dyDescent="0.3">
      <c r="A2256" s="26" t="s">
        <v>402</v>
      </c>
      <c r="B2256" s="5" t="s">
        <v>383</v>
      </c>
      <c r="C2256" s="5" t="s">
        <v>410</v>
      </c>
      <c r="D2256" s="5" t="s">
        <v>8</v>
      </c>
      <c r="E2256" s="5" t="s">
        <v>9</v>
      </c>
      <c r="F2256" s="6">
        <v>45473</v>
      </c>
      <c r="G2256" s="5">
        <f t="shared" si="345"/>
        <v>2024</v>
      </c>
      <c r="H2256" s="5" t="str">
        <f t="shared" si="346"/>
        <v>Junio</v>
      </c>
      <c r="I2256" s="6" t="str">
        <f t="shared" si="347"/>
        <v>2024-1</v>
      </c>
      <c r="J2256" s="5">
        <v>81</v>
      </c>
      <c r="K2256" s="5">
        <v>83.01</v>
      </c>
      <c r="L2256" s="15">
        <v>1.0248148148148148</v>
      </c>
      <c r="M2256" s="15">
        <v>1.0248148148148148</v>
      </c>
      <c r="N2256" s="5" t="s">
        <v>347</v>
      </c>
      <c r="O2256" s="5" t="s">
        <v>347</v>
      </c>
      <c r="P2256" s="5">
        <v>0</v>
      </c>
      <c r="Q2256" s="5">
        <v>0</v>
      </c>
      <c r="R2256" s="5" t="str">
        <f t="shared" si="348"/>
        <v>Med 9-2024-06-30</v>
      </c>
    </row>
    <row r="2257" spans="1:18" s="2" customFormat="1" x14ac:dyDescent="0.3">
      <c r="A2257" s="26">
        <v>96</v>
      </c>
      <c r="B2257" s="23" t="s">
        <v>346</v>
      </c>
      <c r="C2257" s="5" t="s">
        <v>59</v>
      </c>
      <c r="D2257" s="5" t="s">
        <v>8</v>
      </c>
      <c r="E2257" s="5" t="s">
        <v>9</v>
      </c>
      <c r="F2257" s="6">
        <v>45657</v>
      </c>
      <c r="G2257" s="5">
        <f t="shared" si="345"/>
        <v>2024</v>
      </c>
      <c r="H2257" s="5" t="str">
        <f t="shared" si="346"/>
        <v>Diciembre</v>
      </c>
      <c r="I2257" s="6" t="str">
        <f t="shared" si="347"/>
        <v>2024-2</v>
      </c>
      <c r="J2257" s="5">
        <v>336</v>
      </c>
      <c r="K2257" s="5">
        <v>272</v>
      </c>
      <c r="L2257" s="15">
        <f>IFERROR(IF((K2257/J2257)&gt;1.3,1.3,K2257/J2257),"")</f>
        <v>0.80952380952380953</v>
      </c>
      <c r="M2257" s="15">
        <f>IFERROR(IF((K2257/J2257)&gt;K2257/J2257,1.3,K2257/J2257),"")</f>
        <v>0.80952380952380953</v>
      </c>
      <c r="N2257" s="5" t="s">
        <v>347</v>
      </c>
      <c r="O2257" s="5" t="s">
        <v>347</v>
      </c>
      <c r="P2257" s="16">
        <v>0</v>
      </c>
      <c r="Q2257" s="16">
        <v>0</v>
      </c>
      <c r="R2257" s="5" t="str">
        <f t="shared" si="348"/>
        <v>96-2024-12-31</v>
      </c>
    </row>
    <row r="2258" spans="1:18" s="2" customFormat="1" x14ac:dyDescent="0.3">
      <c r="A2258" s="5">
        <v>97</v>
      </c>
      <c r="B2258" s="5" t="s">
        <v>430</v>
      </c>
      <c r="C2258" s="5" t="s">
        <v>315</v>
      </c>
      <c r="D2258" s="5" t="s">
        <v>8</v>
      </c>
      <c r="E2258" s="5" t="s">
        <v>9</v>
      </c>
      <c r="F2258" s="6">
        <v>45291</v>
      </c>
      <c r="G2258" s="5">
        <f t="shared" si="345"/>
        <v>2023</v>
      </c>
      <c r="H2258" s="5" t="str">
        <f t="shared" si="346"/>
        <v>Diciembre</v>
      </c>
      <c r="I2258" s="6" t="str">
        <f t="shared" si="347"/>
        <v>2023-2</v>
      </c>
      <c r="J2258" s="42">
        <v>1</v>
      </c>
      <c r="K2258" s="10">
        <v>1</v>
      </c>
      <c r="L2258" s="15">
        <f>IFERROR(IF((K2258/J2258)&gt;1.3,1.3,K2258/J2258),"")</f>
        <v>1</v>
      </c>
      <c r="M2258" s="15">
        <f>IFERROR(IF((K2258/J2258)&gt;K2258/J2258,1.3,K2258/J2258),"")</f>
        <v>1</v>
      </c>
      <c r="N2258" s="5" t="s">
        <v>490</v>
      </c>
      <c r="O2258" s="5" t="s">
        <v>490</v>
      </c>
      <c r="P2258" s="16">
        <v>0</v>
      </c>
      <c r="Q2258" s="16">
        <v>0</v>
      </c>
      <c r="R2258" s="5" t="str">
        <f t="shared" ref="R2258:R2313" si="349">A2258&amp;"-"&amp;YEAR(F2258)&amp;"-"&amp;IF(LEN(MONTH(F2258))=1,"0"&amp;MONTH(F2258),MONTH(F2258))&amp;"-"&amp;DAY(F2258)</f>
        <v>97-2023-12-31</v>
      </c>
    </row>
    <row r="2259" spans="1:18" s="2" customFormat="1" x14ac:dyDescent="0.3">
      <c r="A2259" s="5">
        <v>97</v>
      </c>
      <c r="B2259" s="5" t="s">
        <v>430</v>
      </c>
      <c r="C2259" s="5" t="s">
        <v>315</v>
      </c>
      <c r="D2259" s="5" t="s">
        <v>8</v>
      </c>
      <c r="E2259" s="5" t="s">
        <v>9</v>
      </c>
      <c r="F2259" s="17">
        <v>45473</v>
      </c>
      <c r="G2259" s="5">
        <v>2023</v>
      </c>
      <c r="H2259" s="5" t="s">
        <v>763</v>
      </c>
      <c r="I2259" s="6" t="s">
        <v>422</v>
      </c>
      <c r="J2259" s="42">
        <v>0</v>
      </c>
      <c r="K2259" s="10">
        <v>0</v>
      </c>
      <c r="L2259" s="15" t="s">
        <v>417</v>
      </c>
      <c r="M2259" s="15" t="s">
        <v>417</v>
      </c>
      <c r="N2259" s="5" t="s">
        <v>488</v>
      </c>
      <c r="O2259" s="5" t="s">
        <v>488</v>
      </c>
      <c r="P2259" s="16">
        <v>0</v>
      </c>
      <c r="Q2259" s="16">
        <v>0</v>
      </c>
      <c r="R2259" s="5" t="str">
        <f t="shared" si="349"/>
        <v>97-2024-06-30</v>
      </c>
    </row>
    <row r="2260" spans="1:18" s="2" customFormat="1" x14ac:dyDescent="0.3">
      <c r="A2260" s="5">
        <v>97</v>
      </c>
      <c r="B2260" s="5" t="s">
        <v>430</v>
      </c>
      <c r="C2260" s="5" t="s">
        <v>315</v>
      </c>
      <c r="D2260" s="5" t="s">
        <v>8</v>
      </c>
      <c r="E2260" s="5" t="s">
        <v>9</v>
      </c>
      <c r="F2260" s="6">
        <v>45657</v>
      </c>
      <c r="G2260" s="5">
        <v>2023</v>
      </c>
      <c r="H2260" s="5" t="s">
        <v>764</v>
      </c>
      <c r="I2260" s="6" t="s">
        <v>434</v>
      </c>
      <c r="J2260" s="42">
        <v>0</v>
      </c>
      <c r="K2260" s="10">
        <v>0</v>
      </c>
      <c r="L2260" s="15">
        <v>1</v>
      </c>
      <c r="M2260" s="15">
        <v>1</v>
      </c>
      <c r="N2260" s="5" t="s">
        <v>488</v>
      </c>
      <c r="O2260" s="5" t="s">
        <v>488</v>
      </c>
      <c r="P2260" s="16">
        <v>0</v>
      </c>
      <c r="Q2260" s="16">
        <v>0</v>
      </c>
      <c r="R2260" s="5" t="str">
        <f t="shared" si="349"/>
        <v>97-2024-12-31</v>
      </c>
    </row>
    <row r="2261" spans="1:18" s="2" customFormat="1" x14ac:dyDescent="0.3">
      <c r="A2261" s="5">
        <v>98</v>
      </c>
      <c r="B2261" s="5" t="s">
        <v>432</v>
      </c>
      <c r="C2261" s="5" t="s">
        <v>315</v>
      </c>
      <c r="D2261" s="5" t="s">
        <v>8</v>
      </c>
      <c r="E2261" s="5" t="s">
        <v>9</v>
      </c>
      <c r="F2261" s="6">
        <v>45291</v>
      </c>
      <c r="G2261" s="5">
        <f t="shared" ref="G2261:G2324" si="350">YEAR(F2261)</f>
        <v>2023</v>
      </c>
      <c r="H2261" s="5" t="str">
        <f t="shared" ref="H2261:H2324" si="351">PROPER(TEXT(F2261,"mmmm"))</f>
        <v>Diciembre</v>
      </c>
      <c r="I2261" s="6" t="str">
        <f>IF(OR(H2261="Enero",H2261="Febrero",H2261="Marzo",H2261="Abril",H2261="Mayo",H2261="Junio"),G2261&amp;"-1",IF(OR(H2261="Julio",H2261="Agosto",H2261="Septiembre",H2261="Octubre",H2261="Noviembre",H2261="Diciembre"),G2261&amp;"-2"))</f>
        <v>2023-2</v>
      </c>
      <c r="J2261" s="42">
        <v>1</v>
      </c>
      <c r="K2261" s="10">
        <v>1</v>
      </c>
      <c r="L2261" s="15">
        <f>IFERROR(IF((K2261/J2261)&gt;1.3,1.3,K2261/J2261),"")</f>
        <v>1</v>
      </c>
      <c r="M2261" s="15">
        <f>IFERROR(IF((K2261/J2261)&gt;K2261/J2261,1.3,K2261/J2261),"")</f>
        <v>1</v>
      </c>
      <c r="N2261" s="5" t="s">
        <v>490</v>
      </c>
      <c r="O2261" s="5" t="s">
        <v>490</v>
      </c>
      <c r="P2261" s="16">
        <v>0</v>
      </c>
      <c r="Q2261" s="16">
        <v>0</v>
      </c>
      <c r="R2261" s="5" t="str">
        <f t="shared" si="349"/>
        <v>98-2023-12-31</v>
      </c>
    </row>
    <row r="2262" spans="1:18" s="2" customFormat="1" x14ac:dyDescent="0.3">
      <c r="A2262" s="5">
        <v>98</v>
      </c>
      <c r="B2262" s="5" t="s">
        <v>432</v>
      </c>
      <c r="C2262" s="5" t="s">
        <v>315</v>
      </c>
      <c r="D2262" s="5" t="s">
        <v>8</v>
      </c>
      <c r="E2262" s="5" t="s">
        <v>9</v>
      </c>
      <c r="F2262" s="17">
        <v>45473</v>
      </c>
      <c r="G2262" s="5">
        <f t="shared" si="350"/>
        <v>2024</v>
      </c>
      <c r="H2262" s="5" t="str">
        <f t="shared" si="351"/>
        <v>Junio</v>
      </c>
      <c r="I2262" s="6" t="str">
        <f>IF(OR(H2262="Enero",H2262="Febrero",H2262="Marzo",H2262="Abril",H2262="Mayo",H2262="Junio"),G2262&amp;"-1",IF(OR(H2262="Julio",H2262="Agosto",H2262="Septiembre",H2262="Octubre",H2262="Noviembre",H2262="Diciembre"),G2262&amp;"-2"))</f>
        <v>2024-1</v>
      </c>
      <c r="J2262" s="42">
        <v>0</v>
      </c>
      <c r="K2262" s="10">
        <v>0</v>
      </c>
      <c r="L2262" s="15" t="s">
        <v>417</v>
      </c>
      <c r="M2262" s="15" t="s">
        <v>417</v>
      </c>
      <c r="N2262" s="5" t="s">
        <v>490</v>
      </c>
      <c r="O2262" s="5" t="s">
        <v>490</v>
      </c>
      <c r="P2262" s="16">
        <v>0</v>
      </c>
      <c r="Q2262" s="16">
        <v>0</v>
      </c>
      <c r="R2262" s="5" t="str">
        <f t="shared" si="349"/>
        <v>98-2024-06-30</v>
      </c>
    </row>
    <row r="2263" spans="1:18" s="2" customFormat="1" x14ac:dyDescent="0.3">
      <c r="A2263" s="5">
        <v>98</v>
      </c>
      <c r="B2263" s="5" t="s">
        <v>432</v>
      </c>
      <c r="C2263" s="5" t="s">
        <v>315</v>
      </c>
      <c r="D2263" s="5" t="s">
        <v>8</v>
      </c>
      <c r="E2263" s="5" t="s">
        <v>9</v>
      </c>
      <c r="F2263" s="6">
        <v>45657</v>
      </c>
      <c r="G2263" s="5">
        <f t="shared" si="350"/>
        <v>2024</v>
      </c>
      <c r="H2263" s="5" t="str">
        <f t="shared" si="351"/>
        <v>Diciembre</v>
      </c>
      <c r="I2263" s="6" t="str">
        <f>IF(OR(H2263="Enero",H2263="Febrero",H2263="Marzo",H2263="Abril",H2263="Mayo",H2263="Junio"),G2263&amp;"-1",IF(OR(H2263="Julio",H2263="Agosto",H2263="Septiembre",H2263="Octubre",H2263="Noviembre",H2263="Diciembre"),G2263&amp;"-2"))</f>
        <v>2024-2</v>
      </c>
      <c r="J2263" s="42">
        <v>5</v>
      </c>
      <c r="K2263" s="10">
        <v>5</v>
      </c>
      <c r="L2263" s="15">
        <v>1</v>
      </c>
      <c r="M2263" s="15">
        <v>1</v>
      </c>
      <c r="N2263" s="5" t="s">
        <v>490</v>
      </c>
      <c r="O2263" s="5" t="s">
        <v>490</v>
      </c>
      <c r="P2263" s="16">
        <v>0</v>
      </c>
      <c r="Q2263" s="16">
        <v>0</v>
      </c>
      <c r="R2263" s="5" t="str">
        <f t="shared" si="349"/>
        <v>98-2024-12-31</v>
      </c>
    </row>
    <row r="2264" spans="1:18" x14ac:dyDescent="0.3">
      <c r="A2264" s="25" t="s">
        <v>348</v>
      </c>
      <c r="B2264" s="23" t="s">
        <v>349</v>
      </c>
      <c r="C2264" s="5" t="s">
        <v>124</v>
      </c>
      <c r="D2264" s="5" t="s">
        <v>8</v>
      </c>
      <c r="E2264" s="5" t="s">
        <v>9</v>
      </c>
      <c r="F2264" s="6">
        <v>45657</v>
      </c>
      <c r="G2264" s="5">
        <f t="shared" si="350"/>
        <v>2024</v>
      </c>
      <c r="H2264" s="5" t="str">
        <f t="shared" si="351"/>
        <v>Diciembre</v>
      </c>
      <c r="I2264" s="6" t="str">
        <f t="shared" ref="I2264:I2267" si="352">IF(OR(H2264="Enero",H2264="Febrero",H2264="Marzo",H2264="Abril",H2264="Mayo",H2264="Junio"),G2264&amp;"-1",IF(OR(H2264="Julio",H2264="Agosto",H2264="Septiembre",H2264="Octubre",H2264="Noviembre",H2264="Diciembre"),G2264&amp;"-2"))</f>
        <v>2024-2</v>
      </c>
      <c r="J2264" s="42">
        <v>7912</v>
      </c>
      <c r="K2264" s="9">
        <v>8165</v>
      </c>
      <c r="L2264" s="15">
        <f>IFERROR(IF((K2264/J2264)&gt;1.3,1.3,K2264/J2264),"")</f>
        <v>1.0319767441860466</v>
      </c>
      <c r="M2264" s="15">
        <f>IFERROR(IF((K2264/J2264)&gt;K2264/J2264,1.3,K2264/J2264),"")</f>
        <v>1.0319767441860466</v>
      </c>
      <c r="N2264" s="5" t="s">
        <v>347</v>
      </c>
      <c r="O2264" s="5" t="s">
        <v>347</v>
      </c>
      <c r="P2264" s="16">
        <v>0</v>
      </c>
      <c r="Q2264" s="16">
        <v>0</v>
      </c>
      <c r="R2264" s="5" t="str">
        <f t="shared" si="349"/>
        <v>14.1-2024-12-31</v>
      </c>
    </row>
    <row r="2265" spans="1:18" x14ac:dyDescent="0.3">
      <c r="A2265" s="25" t="s">
        <v>350</v>
      </c>
      <c r="B2265" s="23" t="s">
        <v>351</v>
      </c>
      <c r="C2265" s="5" t="s">
        <v>124</v>
      </c>
      <c r="D2265" s="5" t="s">
        <v>8</v>
      </c>
      <c r="E2265" s="5" t="s">
        <v>9</v>
      </c>
      <c r="F2265" s="6">
        <v>45657</v>
      </c>
      <c r="G2265" s="5">
        <f t="shared" si="350"/>
        <v>2024</v>
      </c>
      <c r="H2265" s="5" t="str">
        <f t="shared" si="351"/>
        <v>Diciembre</v>
      </c>
      <c r="I2265" s="6" t="str">
        <f t="shared" si="352"/>
        <v>2024-2</v>
      </c>
      <c r="J2265" s="42">
        <v>43204</v>
      </c>
      <c r="K2265" s="9">
        <v>43840</v>
      </c>
      <c r="L2265" s="15">
        <f>IFERROR(IF((K2265/J2265)&gt;1.3,1.3,K2265/J2265),"")</f>
        <v>1.0147208591797057</v>
      </c>
      <c r="M2265" s="15">
        <f>IFERROR(IF((K2265/J2265)&gt;K2265/J2265,1.3,K2265/J2265),"")</f>
        <v>1.0147208591797057</v>
      </c>
      <c r="N2265" s="5" t="s">
        <v>490</v>
      </c>
      <c r="O2265" s="5" t="s">
        <v>490</v>
      </c>
      <c r="P2265" s="16">
        <v>0</v>
      </c>
      <c r="Q2265" s="16">
        <v>0</v>
      </c>
      <c r="R2265" s="5" t="str">
        <f t="shared" si="349"/>
        <v>14.2-2024-12-31</v>
      </c>
    </row>
    <row r="2266" spans="1:18" x14ac:dyDescent="0.3">
      <c r="A2266" s="25" t="s">
        <v>352</v>
      </c>
      <c r="B2266" s="23" t="s">
        <v>353</v>
      </c>
      <c r="C2266" s="5" t="s">
        <v>124</v>
      </c>
      <c r="D2266" s="5" t="s">
        <v>8</v>
      </c>
      <c r="E2266" s="5" t="s">
        <v>9</v>
      </c>
      <c r="F2266" s="6">
        <v>45657</v>
      </c>
      <c r="G2266" s="5">
        <f t="shared" si="350"/>
        <v>2024</v>
      </c>
      <c r="H2266" s="5" t="str">
        <f t="shared" si="351"/>
        <v>Diciembre</v>
      </c>
      <c r="I2266" s="6" t="str">
        <f t="shared" si="352"/>
        <v>2024-2</v>
      </c>
      <c r="J2266" s="42">
        <v>48061</v>
      </c>
      <c r="K2266" s="9">
        <v>48339</v>
      </c>
      <c r="L2266" s="15">
        <f>IFERROR(IF((K2266/J2266)&gt;1.3,1.3,K2266/J2266),"")</f>
        <v>1.0057843157653814</v>
      </c>
      <c r="M2266" s="15">
        <f>IFERROR(IF((K2266/J2266)&gt;K2266/J2266,1.3,K2266/J2266),"")</f>
        <v>1.0057843157653814</v>
      </c>
      <c r="N2266" s="5" t="s">
        <v>347</v>
      </c>
      <c r="O2266" s="5" t="s">
        <v>347</v>
      </c>
      <c r="P2266" s="16">
        <v>0</v>
      </c>
      <c r="Q2266" s="16">
        <v>0</v>
      </c>
      <c r="R2266" s="5" t="str">
        <f t="shared" si="349"/>
        <v>14.3-2024-12-31</v>
      </c>
    </row>
    <row r="2267" spans="1:18" x14ac:dyDescent="0.3">
      <c r="A2267" s="25" t="s">
        <v>354</v>
      </c>
      <c r="B2267" s="23" t="s">
        <v>355</v>
      </c>
      <c r="C2267" s="5" t="s">
        <v>124</v>
      </c>
      <c r="D2267" s="5" t="s">
        <v>8</v>
      </c>
      <c r="E2267" s="5" t="s">
        <v>9</v>
      </c>
      <c r="F2267" s="6">
        <v>45657</v>
      </c>
      <c r="G2267" s="5">
        <f t="shared" si="350"/>
        <v>2024</v>
      </c>
      <c r="H2267" s="5" t="str">
        <f t="shared" si="351"/>
        <v>Diciembre</v>
      </c>
      <c r="I2267" s="6" t="str">
        <f t="shared" si="352"/>
        <v>2024-2</v>
      </c>
      <c r="J2267" s="42">
        <v>3055</v>
      </c>
      <c r="K2267" s="9">
        <v>3666</v>
      </c>
      <c r="L2267" s="15">
        <f>IFERROR(IF((K2267/J2267)&gt;1.3,1.3,K2267/J2267),"")</f>
        <v>1.2</v>
      </c>
      <c r="M2267" s="15">
        <f>IFERROR(IF((K2267/J2267)&gt;K2267/J2267,1.3,K2267/J2267),"")</f>
        <v>1.2</v>
      </c>
      <c r="N2267" s="5" t="s">
        <v>490</v>
      </c>
      <c r="O2267" s="5" t="s">
        <v>490</v>
      </c>
      <c r="P2267" s="16">
        <v>0</v>
      </c>
      <c r="Q2267" s="16">
        <v>0</v>
      </c>
      <c r="R2267" s="5" t="str">
        <f t="shared" si="349"/>
        <v>14.4-2024-12-31</v>
      </c>
    </row>
    <row r="2268" spans="1:18" x14ac:dyDescent="0.3">
      <c r="A2268" s="26">
        <v>194</v>
      </c>
      <c r="B2268" s="5" t="s">
        <v>75</v>
      </c>
      <c r="C2268" s="5" t="s">
        <v>74</v>
      </c>
      <c r="D2268" s="5" t="s">
        <v>8</v>
      </c>
      <c r="E2268" s="5" t="s">
        <v>9</v>
      </c>
      <c r="F2268" s="6">
        <v>45657</v>
      </c>
      <c r="G2268" s="5">
        <f t="shared" si="350"/>
        <v>2024</v>
      </c>
      <c r="H2268" s="5" t="str">
        <f t="shared" si="351"/>
        <v>Diciembre</v>
      </c>
      <c r="I2268" s="6" t="str">
        <f t="shared" ref="I2268" si="353">IF(OR(H2268="Enero",H2268="Febrero",H2268="Marzo",H2268="Abril",H2268="Mayo",H2268="Junio"),G2268&amp;"-1",IF(OR(H2268="Julio",H2268="Agosto",H2268="Septiembre",H2268="Octubre",H2268="Noviembre",H2268="Diciembre"),G2268&amp;"-2"))</f>
        <v>2024-2</v>
      </c>
      <c r="J2268" s="5">
        <v>81</v>
      </c>
      <c r="K2268" s="9">
        <v>89</v>
      </c>
      <c r="L2268" s="15">
        <f>IFERROR(IF((K2268/J2268)&gt;1.3,1.3,K2268/J2268),"")</f>
        <v>1.0987654320987654</v>
      </c>
      <c r="M2268" s="15">
        <f>IFERROR(IF((K2268/J2268)&gt;K2268/J2268,1.3,K2268/J2268),"")</f>
        <v>1.0987654320987654</v>
      </c>
      <c r="N2268" s="5" t="s">
        <v>347</v>
      </c>
      <c r="O2268" s="5" t="s">
        <v>347</v>
      </c>
      <c r="P2268" s="16">
        <v>0</v>
      </c>
      <c r="Q2268" s="16">
        <v>0</v>
      </c>
      <c r="R2268" s="5" t="str">
        <f t="shared" si="349"/>
        <v>194-2024-12-31</v>
      </c>
    </row>
    <row r="2269" spans="1:18" x14ac:dyDescent="0.3">
      <c r="A2269" s="26">
        <v>518</v>
      </c>
      <c r="B2269" s="5" t="s">
        <v>19</v>
      </c>
      <c r="C2269" s="5" t="s">
        <v>20</v>
      </c>
      <c r="D2269" s="5" t="s">
        <v>21</v>
      </c>
      <c r="E2269" s="5" t="s">
        <v>9</v>
      </c>
      <c r="F2269" s="17">
        <v>45046</v>
      </c>
      <c r="G2269" s="5">
        <f t="shared" si="350"/>
        <v>2023</v>
      </c>
      <c r="H2269" s="5" t="str">
        <f t="shared" si="351"/>
        <v>Abril</v>
      </c>
      <c r="I2269" s="6" t="str">
        <f t="shared" ref="I2269:I2324" si="354">IF(OR(H2269="Enero",H2269="Febrero",H2269="Marzo",H2269="Abril",H2269="Mayo",H2269="Junio"),G2269&amp;"-1",IF(OR(H2269="Julio",H2269="Agosto",H2269="Septiembre",H2269="Octubre",H2269="Noviembre",H2269="Diciembre"),G2269&amp;"-2"))</f>
        <v>2023-1</v>
      </c>
      <c r="J2269" s="5">
        <v>100</v>
      </c>
      <c r="K2269" s="10">
        <v>100</v>
      </c>
      <c r="L2269" s="15">
        <f t="shared" ref="L2269:L2324" si="355">IFERROR(IF((K2269/J2269)&gt;1.3,1.3,K2269/J2269),"")</f>
        <v>1</v>
      </c>
      <c r="M2269" s="15">
        <f t="shared" ref="M2269:M2324" si="356">IFERROR(IF((K2269/J2269)&gt;K2269/J2269,1.3,K2269/J2269),"")</f>
        <v>1</v>
      </c>
      <c r="N2269" s="5" t="s">
        <v>347</v>
      </c>
      <c r="O2269" s="5" t="s">
        <v>347</v>
      </c>
      <c r="P2269" s="16">
        <v>0</v>
      </c>
      <c r="Q2269" s="16">
        <v>0</v>
      </c>
      <c r="R2269" s="5" t="str">
        <f t="shared" si="349"/>
        <v>518-2023-04-30</v>
      </c>
    </row>
    <row r="2270" spans="1:18" x14ac:dyDescent="0.3">
      <c r="A2270" s="26">
        <v>518</v>
      </c>
      <c r="B2270" s="5" t="s">
        <v>19</v>
      </c>
      <c r="C2270" s="5" t="s">
        <v>20</v>
      </c>
      <c r="D2270" s="5" t="s">
        <v>21</v>
      </c>
      <c r="E2270" s="5" t="s">
        <v>9</v>
      </c>
      <c r="F2270" s="6">
        <v>45107</v>
      </c>
      <c r="G2270" s="5">
        <f t="shared" si="350"/>
        <v>2023</v>
      </c>
      <c r="H2270" s="5" t="str">
        <f t="shared" si="351"/>
        <v>Junio</v>
      </c>
      <c r="I2270" s="6" t="str">
        <f t="shared" si="354"/>
        <v>2023-1</v>
      </c>
      <c r="J2270" s="5">
        <v>100</v>
      </c>
      <c r="K2270" s="10">
        <v>100</v>
      </c>
      <c r="L2270" s="15">
        <f t="shared" si="355"/>
        <v>1</v>
      </c>
      <c r="M2270" s="15">
        <f t="shared" si="356"/>
        <v>1</v>
      </c>
      <c r="N2270" s="5" t="s">
        <v>347</v>
      </c>
      <c r="O2270" s="5" t="s">
        <v>347</v>
      </c>
      <c r="P2270" s="16">
        <v>0</v>
      </c>
      <c r="Q2270" s="16">
        <v>0</v>
      </c>
      <c r="R2270" s="5" t="str">
        <f t="shared" si="349"/>
        <v>518-2023-06-30</v>
      </c>
    </row>
    <row r="2271" spans="1:18" x14ac:dyDescent="0.3">
      <c r="A2271" s="26">
        <v>518</v>
      </c>
      <c r="B2271" s="5" t="s">
        <v>19</v>
      </c>
      <c r="C2271" s="5" t="s">
        <v>20</v>
      </c>
      <c r="D2271" s="5" t="s">
        <v>21</v>
      </c>
      <c r="E2271" s="5" t="s">
        <v>9</v>
      </c>
      <c r="F2271" s="6">
        <v>45169</v>
      </c>
      <c r="G2271" s="5">
        <f t="shared" si="350"/>
        <v>2023</v>
      </c>
      <c r="H2271" s="5" t="str">
        <f t="shared" si="351"/>
        <v>Agosto</v>
      </c>
      <c r="I2271" s="6" t="str">
        <f t="shared" si="354"/>
        <v>2023-2</v>
      </c>
      <c r="J2271" s="5">
        <v>100</v>
      </c>
      <c r="K2271" s="10">
        <v>100</v>
      </c>
      <c r="L2271" s="15">
        <f t="shared" si="355"/>
        <v>1</v>
      </c>
      <c r="M2271" s="15">
        <f t="shared" si="356"/>
        <v>1</v>
      </c>
      <c r="N2271" s="5" t="s">
        <v>347</v>
      </c>
      <c r="O2271" s="5" t="s">
        <v>347</v>
      </c>
      <c r="P2271" s="16">
        <v>0</v>
      </c>
      <c r="Q2271" s="16">
        <v>0</v>
      </c>
      <c r="R2271" s="5" t="str">
        <f t="shared" si="349"/>
        <v>518-2023-08-31</v>
      </c>
    </row>
    <row r="2272" spans="1:18" x14ac:dyDescent="0.3">
      <c r="A2272" s="26">
        <v>518</v>
      </c>
      <c r="B2272" s="5" t="s">
        <v>19</v>
      </c>
      <c r="C2272" s="5" t="s">
        <v>20</v>
      </c>
      <c r="D2272" s="5" t="s">
        <v>21</v>
      </c>
      <c r="E2272" s="5" t="s">
        <v>9</v>
      </c>
      <c r="F2272" s="6">
        <v>45230</v>
      </c>
      <c r="G2272" s="5">
        <f t="shared" si="350"/>
        <v>2023</v>
      </c>
      <c r="H2272" s="5" t="str">
        <f t="shared" si="351"/>
        <v>Octubre</v>
      </c>
      <c r="I2272" s="6" t="str">
        <f t="shared" si="354"/>
        <v>2023-2</v>
      </c>
      <c r="J2272" s="5">
        <v>100</v>
      </c>
      <c r="K2272" s="10">
        <v>100</v>
      </c>
      <c r="L2272" s="15">
        <f t="shared" si="355"/>
        <v>1</v>
      </c>
      <c r="M2272" s="15">
        <f t="shared" si="356"/>
        <v>1</v>
      </c>
      <c r="N2272" s="5" t="s">
        <v>347</v>
      </c>
      <c r="O2272" s="5" t="s">
        <v>347</v>
      </c>
      <c r="P2272" s="16">
        <v>0</v>
      </c>
      <c r="Q2272" s="16">
        <v>0</v>
      </c>
      <c r="R2272" s="5" t="str">
        <f t="shared" si="349"/>
        <v>518-2023-10-31</v>
      </c>
    </row>
    <row r="2273" spans="1:18" x14ac:dyDescent="0.3">
      <c r="A2273" s="26">
        <v>518</v>
      </c>
      <c r="B2273" s="5" t="s">
        <v>19</v>
      </c>
      <c r="C2273" s="5" t="s">
        <v>20</v>
      </c>
      <c r="D2273" s="5" t="s">
        <v>21</v>
      </c>
      <c r="E2273" s="5" t="s">
        <v>9</v>
      </c>
      <c r="F2273" s="6">
        <v>45291</v>
      </c>
      <c r="G2273" s="5">
        <f t="shared" si="350"/>
        <v>2023</v>
      </c>
      <c r="H2273" s="5" t="str">
        <f t="shared" si="351"/>
        <v>Diciembre</v>
      </c>
      <c r="I2273" s="6" t="str">
        <f t="shared" si="354"/>
        <v>2023-2</v>
      </c>
      <c r="J2273" s="5">
        <v>100</v>
      </c>
      <c r="K2273" s="10">
        <v>122.22</v>
      </c>
      <c r="L2273" s="15">
        <f t="shared" si="355"/>
        <v>1.2222</v>
      </c>
      <c r="M2273" s="15">
        <f t="shared" si="356"/>
        <v>1.2222</v>
      </c>
      <c r="N2273" s="5" t="s">
        <v>347</v>
      </c>
      <c r="O2273" s="5" t="s">
        <v>347</v>
      </c>
      <c r="P2273" s="16">
        <v>0</v>
      </c>
      <c r="Q2273" s="16">
        <v>0</v>
      </c>
      <c r="R2273" s="5" t="str">
        <f t="shared" si="349"/>
        <v>518-2023-12-31</v>
      </c>
    </row>
    <row r="2274" spans="1:18" x14ac:dyDescent="0.3">
      <c r="A2274" s="26">
        <v>518</v>
      </c>
      <c r="B2274" s="5" t="s">
        <v>19</v>
      </c>
      <c r="C2274" s="5" t="s">
        <v>20</v>
      </c>
      <c r="D2274" s="5" t="s">
        <v>21</v>
      </c>
      <c r="E2274" s="5" t="s">
        <v>9</v>
      </c>
      <c r="F2274" s="6">
        <v>45412</v>
      </c>
      <c r="G2274" s="5">
        <f t="shared" si="350"/>
        <v>2024</v>
      </c>
      <c r="H2274" s="5" t="str">
        <f t="shared" si="351"/>
        <v>Abril</v>
      </c>
      <c r="I2274" s="6" t="str">
        <f t="shared" si="354"/>
        <v>2024-1</v>
      </c>
      <c r="J2274" s="5">
        <v>100</v>
      </c>
      <c r="K2274" s="10">
        <v>100</v>
      </c>
      <c r="L2274" s="15">
        <f t="shared" si="355"/>
        <v>1</v>
      </c>
      <c r="M2274" s="15">
        <f t="shared" si="356"/>
        <v>1</v>
      </c>
      <c r="N2274" s="5" t="s">
        <v>347</v>
      </c>
      <c r="O2274" s="5" t="s">
        <v>347</v>
      </c>
      <c r="P2274" s="16">
        <v>0</v>
      </c>
      <c r="Q2274" s="16">
        <v>0</v>
      </c>
      <c r="R2274" s="5" t="str">
        <f t="shared" si="349"/>
        <v>518-2024-04-30</v>
      </c>
    </row>
    <row r="2275" spans="1:18" x14ac:dyDescent="0.3">
      <c r="A2275" s="26">
        <v>518</v>
      </c>
      <c r="B2275" s="5" t="s">
        <v>19</v>
      </c>
      <c r="C2275" s="5" t="s">
        <v>20</v>
      </c>
      <c r="D2275" s="5" t="s">
        <v>21</v>
      </c>
      <c r="E2275" s="5" t="s">
        <v>9</v>
      </c>
      <c r="F2275" s="6">
        <v>45473</v>
      </c>
      <c r="G2275" s="5">
        <f t="shared" si="350"/>
        <v>2024</v>
      </c>
      <c r="H2275" s="5" t="str">
        <f t="shared" si="351"/>
        <v>Junio</v>
      </c>
      <c r="I2275" s="6" t="str">
        <f t="shared" si="354"/>
        <v>2024-1</v>
      </c>
      <c r="J2275" s="5">
        <v>100</v>
      </c>
      <c r="K2275" s="5">
        <v>80</v>
      </c>
      <c r="L2275" s="15">
        <f t="shared" si="355"/>
        <v>0.8</v>
      </c>
      <c r="M2275" s="15">
        <f t="shared" si="356"/>
        <v>0.8</v>
      </c>
      <c r="N2275" s="5" t="s">
        <v>347</v>
      </c>
      <c r="O2275" s="5" t="s">
        <v>347</v>
      </c>
      <c r="P2275" s="16">
        <v>0</v>
      </c>
      <c r="Q2275" s="16">
        <v>0</v>
      </c>
      <c r="R2275" s="5" t="str">
        <f t="shared" si="349"/>
        <v>518-2024-06-30</v>
      </c>
    </row>
    <row r="2276" spans="1:18" x14ac:dyDescent="0.3">
      <c r="A2276" s="26">
        <v>518</v>
      </c>
      <c r="B2276" s="5" t="s">
        <v>19</v>
      </c>
      <c r="C2276" s="5" t="s">
        <v>20</v>
      </c>
      <c r="D2276" s="5" t="s">
        <v>21</v>
      </c>
      <c r="E2276" s="5" t="s">
        <v>9</v>
      </c>
      <c r="F2276" s="6">
        <v>45535</v>
      </c>
      <c r="G2276" s="5">
        <f t="shared" si="350"/>
        <v>2024</v>
      </c>
      <c r="H2276" s="5" t="str">
        <f t="shared" si="351"/>
        <v>Agosto</v>
      </c>
      <c r="I2276" s="6" t="str">
        <f t="shared" si="354"/>
        <v>2024-2</v>
      </c>
      <c r="J2276" s="5">
        <v>100</v>
      </c>
      <c r="K2276" s="10">
        <v>100</v>
      </c>
      <c r="L2276" s="15">
        <f t="shared" si="355"/>
        <v>1</v>
      </c>
      <c r="M2276" s="15">
        <f t="shared" si="356"/>
        <v>1</v>
      </c>
      <c r="N2276" s="5" t="s">
        <v>347</v>
      </c>
      <c r="O2276" s="5" t="s">
        <v>347</v>
      </c>
      <c r="P2276" s="16">
        <v>0</v>
      </c>
      <c r="Q2276" s="16">
        <v>0</v>
      </c>
      <c r="R2276" s="5" t="str">
        <f t="shared" si="349"/>
        <v>518-2024-08-31</v>
      </c>
    </row>
    <row r="2277" spans="1:18" x14ac:dyDescent="0.3">
      <c r="A2277" s="26">
        <v>518</v>
      </c>
      <c r="B2277" s="5" t="s">
        <v>19</v>
      </c>
      <c r="C2277" s="5" t="s">
        <v>20</v>
      </c>
      <c r="D2277" s="5" t="s">
        <v>21</v>
      </c>
      <c r="E2277" s="5" t="s">
        <v>9</v>
      </c>
      <c r="F2277" s="6">
        <v>45596</v>
      </c>
      <c r="G2277" s="5">
        <f t="shared" si="350"/>
        <v>2024</v>
      </c>
      <c r="H2277" s="5" t="str">
        <f t="shared" si="351"/>
        <v>Octubre</v>
      </c>
      <c r="I2277" s="6" t="str">
        <f t="shared" si="354"/>
        <v>2024-2</v>
      </c>
      <c r="J2277" s="5">
        <v>100</v>
      </c>
      <c r="K2277" s="10">
        <v>100</v>
      </c>
      <c r="L2277" s="15">
        <f t="shared" si="355"/>
        <v>1</v>
      </c>
      <c r="M2277" s="15">
        <f t="shared" si="356"/>
        <v>1</v>
      </c>
      <c r="N2277" s="5" t="s">
        <v>347</v>
      </c>
      <c r="O2277" s="5" t="s">
        <v>347</v>
      </c>
      <c r="P2277" s="16">
        <v>0</v>
      </c>
      <c r="Q2277" s="16">
        <v>0</v>
      </c>
      <c r="R2277" s="5" t="str">
        <f t="shared" si="349"/>
        <v>518-2024-10-31</v>
      </c>
    </row>
    <row r="2278" spans="1:18" x14ac:dyDescent="0.3">
      <c r="A2278" s="26">
        <v>518</v>
      </c>
      <c r="B2278" s="5" t="s">
        <v>19</v>
      </c>
      <c r="C2278" s="5" t="s">
        <v>20</v>
      </c>
      <c r="D2278" s="5" t="s">
        <v>21</v>
      </c>
      <c r="E2278" s="5" t="s">
        <v>9</v>
      </c>
      <c r="F2278" s="6">
        <v>45657</v>
      </c>
      <c r="G2278" s="5">
        <f t="shared" si="350"/>
        <v>2024</v>
      </c>
      <c r="H2278" s="5" t="str">
        <f t="shared" si="351"/>
        <v>Diciembre</v>
      </c>
      <c r="I2278" s="6" t="str">
        <f t="shared" si="354"/>
        <v>2024-2</v>
      </c>
      <c r="J2278" s="5">
        <v>100</v>
      </c>
      <c r="K2278" s="10">
        <v>112.5</v>
      </c>
      <c r="L2278" s="15">
        <f t="shared" si="355"/>
        <v>1.125</v>
      </c>
      <c r="M2278" s="15">
        <f t="shared" si="356"/>
        <v>1.125</v>
      </c>
      <c r="N2278" s="5" t="s">
        <v>347</v>
      </c>
      <c r="O2278" s="5" t="s">
        <v>347</v>
      </c>
      <c r="P2278" s="16">
        <v>0</v>
      </c>
      <c r="Q2278" s="16">
        <v>0</v>
      </c>
      <c r="R2278" s="5" t="str">
        <f t="shared" si="349"/>
        <v>518-2024-12-31</v>
      </c>
    </row>
    <row r="2279" spans="1:18" x14ac:dyDescent="0.3">
      <c r="A2279" s="26">
        <v>124</v>
      </c>
      <c r="B2279" s="5" t="s">
        <v>48</v>
      </c>
      <c r="C2279" s="5" t="s">
        <v>24</v>
      </c>
      <c r="D2279" s="5" t="s">
        <v>18</v>
      </c>
      <c r="E2279" s="5" t="s">
        <v>14</v>
      </c>
      <c r="F2279" s="6">
        <v>45688</v>
      </c>
      <c r="G2279" s="5">
        <f t="shared" si="350"/>
        <v>2025</v>
      </c>
      <c r="H2279" s="5" t="str">
        <f t="shared" si="351"/>
        <v>Enero</v>
      </c>
      <c r="I2279" s="6" t="str">
        <f t="shared" si="354"/>
        <v>2025-1</v>
      </c>
      <c r="J2279" s="5">
        <v>0.2</v>
      </c>
      <c r="K2279" s="88">
        <v>9.1157702825888698E-2</v>
      </c>
      <c r="L2279" s="8">
        <f t="shared" ref="L2279:L2284" si="357">IF(K2279&lt;J2279,100%,K2279&lt;J2279)</f>
        <v>1</v>
      </c>
      <c r="M2279" s="8">
        <f t="shared" ref="M2279:M2284" si="358">IF(K2279&lt;J2279,100%,K2279&lt;J2279)</f>
        <v>1</v>
      </c>
      <c r="N2279" s="5" t="s">
        <v>478</v>
      </c>
      <c r="O2279" s="5" t="s">
        <v>478</v>
      </c>
      <c r="P2279" s="16">
        <v>1</v>
      </c>
      <c r="Q2279" s="16">
        <v>2</v>
      </c>
      <c r="R2279" s="5" t="str">
        <f t="shared" si="349"/>
        <v>124-2025-01-31</v>
      </c>
    </row>
    <row r="2280" spans="1:18" x14ac:dyDescent="0.3">
      <c r="A2280" s="26">
        <v>124</v>
      </c>
      <c r="B2280" s="5" t="s">
        <v>48</v>
      </c>
      <c r="C2280" s="5" t="s">
        <v>24</v>
      </c>
      <c r="D2280" s="5" t="s">
        <v>18</v>
      </c>
      <c r="E2280" s="5" t="s">
        <v>14</v>
      </c>
      <c r="F2280" s="6">
        <v>45716</v>
      </c>
      <c r="G2280" s="5">
        <f t="shared" si="350"/>
        <v>2025</v>
      </c>
      <c r="H2280" s="5" t="str">
        <f t="shared" si="351"/>
        <v>Febrero</v>
      </c>
      <c r="I2280" s="6" t="str">
        <f t="shared" si="354"/>
        <v>2025-1</v>
      </c>
      <c r="J2280" s="5">
        <v>0.2</v>
      </c>
      <c r="K2280" s="89">
        <v>0</v>
      </c>
      <c r="L2280" s="8">
        <f t="shared" si="357"/>
        <v>1</v>
      </c>
      <c r="M2280" s="8">
        <f t="shared" si="358"/>
        <v>1</v>
      </c>
      <c r="N2280" s="5" t="s">
        <v>478</v>
      </c>
      <c r="O2280" s="5" t="s">
        <v>478</v>
      </c>
      <c r="P2280" s="16">
        <v>1</v>
      </c>
      <c r="Q2280" s="16">
        <v>2</v>
      </c>
      <c r="R2280" s="5" t="str">
        <f t="shared" si="349"/>
        <v>124-2025-02-28</v>
      </c>
    </row>
    <row r="2281" spans="1:18" x14ac:dyDescent="0.3">
      <c r="A2281" s="26">
        <v>124</v>
      </c>
      <c r="B2281" s="5" t="s">
        <v>48</v>
      </c>
      <c r="C2281" s="5" t="s">
        <v>24</v>
      </c>
      <c r="D2281" s="5" t="s">
        <v>18</v>
      </c>
      <c r="E2281" s="5" t="s">
        <v>14</v>
      </c>
      <c r="F2281" s="6">
        <v>45747</v>
      </c>
      <c r="G2281" s="5">
        <f t="shared" si="350"/>
        <v>2025</v>
      </c>
      <c r="H2281" s="5" t="str">
        <f t="shared" si="351"/>
        <v>Marzo</v>
      </c>
      <c r="I2281" s="6" t="str">
        <f t="shared" si="354"/>
        <v>2025-1</v>
      </c>
      <c r="J2281" s="5">
        <v>0.2</v>
      </c>
      <c r="K2281" s="88">
        <v>0.06</v>
      </c>
      <c r="L2281" s="8">
        <f t="shared" si="357"/>
        <v>1</v>
      </c>
      <c r="M2281" s="8">
        <f t="shared" si="358"/>
        <v>1</v>
      </c>
      <c r="N2281" s="5" t="s">
        <v>478</v>
      </c>
      <c r="O2281" s="5" t="s">
        <v>478</v>
      </c>
      <c r="P2281" s="16">
        <v>1</v>
      </c>
      <c r="Q2281" s="16">
        <v>2</v>
      </c>
      <c r="R2281" s="5" t="str">
        <f t="shared" si="349"/>
        <v>124-2025-03-31</v>
      </c>
    </row>
    <row r="2282" spans="1:18" x14ac:dyDescent="0.3">
      <c r="A2282" s="26">
        <v>124</v>
      </c>
      <c r="B2282" s="5" t="s">
        <v>48</v>
      </c>
      <c r="C2282" s="5" t="s">
        <v>24</v>
      </c>
      <c r="D2282" s="5" t="s">
        <v>18</v>
      </c>
      <c r="E2282" s="5" t="s">
        <v>14</v>
      </c>
      <c r="F2282" s="6">
        <v>45777</v>
      </c>
      <c r="G2282" s="5">
        <f t="shared" si="350"/>
        <v>2025</v>
      </c>
      <c r="H2282" s="5" t="str">
        <f t="shared" si="351"/>
        <v>Abril</v>
      </c>
      <c r="I2282" s="6" t="str">
        <f t="shared" si="354"/>
        <v>2025-1</v>
      </c>
      <c r="J2282" s="5">
        <v>0.2</v>
      </c>
      <c r="K2282" s="88">
        <v>0</v>
      </c>
      <c r="L2282" s="8">
        <f t="shared" si="357"/>
        <v>1</v>
      </c>
      <c r="M2282" s="8">
        <f t="shared" si="358"/>
        <v>1</v>
      </c>
      <c r="N2282" s="5" t="s">
        <v>478</v>
      </c>
      <c r="O2282" s="5" t="s">
        <v>478</v>
      </c>
      <c r="P2282" s="16">
        <v>1</v>
      </c>
      <c r="Q2282" s="16">
        <v>2</v>
      </c>
      <c r="R2282" s="5" t="str">
        <f t="shared" si="349"/>
        <v>124-2025-04-30</v>
      </c>
    </row>
    <row r="2283" spans="1:18" x14ac:dyDescent="0.3">
      <c r="A2283" s="26">
        <v>124</v>
      </c>
      <c r="B2283" s="5" t="s">
        <v>48</v>
      </c>
      <c r="C2283" s="5" t="s">
        <v>24</v>
      </c>
      <c r="D2283" s="5" t="s">
        <v>18</v>
      </c>
      <c r="E2283" s="5" t="s">
        <v>14</v>
      </c>
      <c r="F2283" s="6">
        <v>45808</v>
      </c>
      <c r="G2283" s="5">
        <f t="shared" si="350"/>
        <v>2025</v>
      </c>
      <c r="H2283" s="5" t="str">
        <f t="shared" si="351"/>
        <v>Mayo</v>
      </c>
      <c r="I2283" s="6" t="str">
        <f t="shared" si="354"/>
        <v>2025-1</v>
      </c>
      <c r="J2283" s="5">
        <v>0.2</v>
      </c>
      <c r="K2283" s="88">
        <v>0.06</v>
      </c>
      <c r="L2283" s="8">
        <f t="shared" si="357"/>
        <v>1</v>
      </c>
      <c r="M2283" s="8">
        <f t="shared" si="358"/>
        <v>1</v>
      </c>
      <c r="N2283" s="5" t="s">
        <v>478</v>
      </c>
      <c r="O2283" s="5" t="s">
        <v>478</v>
      </c>
      <c r="P2283" s="16">
        <v>1</v>
      </c>
      <c r="Q2283" s="16">
        <v>2</v>
      </c>
      <c r="R2283" s="5" t="str">
        <f t="shared" si="349"/>
        <v>124-2025-05-31</v>
      </c>
    </row>
    <row r="2284" spans="1:18" x14ac:dyDescent="0.3">
      <c r="A2284" s="26">
        <v>124</v>
      </c>
      <c r="B2284" s="5" t="s">
        <v>48</v>
      </c>
      <c r="C2284" s="5" t="s">
        <v>24</v>
      </c>
      <c r="D2284" s="5" t="s">
        <v>18</v>
      </c>
      <c r="E2284" s="5" t="s">
        <v>14</v>
      </c>
      <c r="F2284" s="6">
        <v>45838</v>
      </c>
      <c r="G2284" s="5">
        <f t="shared" si="350"/>
        <v>2025</v>
      </c>
      <c r="H2284" s="5" t="str">
        <f t="shared" si="351"/>
        <v>Junio</v>
      </c>
      <c r="I2284" s="6" t="str">
        <f t="shared" si="354"/>
        <v>2025-1</v>
      </c>
      <c r="J2284" s="5">
        <v>0.2</v>
      </c>
      <c r="K2284" s="88">
        <v>0</v>
      </c>
      <c r="L2284" s="8">
        <f t="shared" si="357"/>
        <v>1</v>
      </c>
      <c r="M2284" s="8">
        <f t="shared" si="358"/>
        <v>1</v>
      </c>
      <c r="N2284" s="5" t="s">
        <v>478</v>
      </c>
      <c r="O2284" s="5" t="s">
        <v>478</v>
      </c>
      <c r="P2284" s="16">
        <v>1</v>
      </c>
      <c r="Q2284" s="16">
        <v>2</v>
      </c>
      <c r="R2284" s="5" t="str">
        <f t="shared" si="349"/>
        <v>124-2025-06-30</v>
      </c>
    </row>
    <row r="2285" spans="1:18" x14ac:dyDescent="0.3">
      <c r="A2285" s="26">
        <v>172</v>
      </c>
      <c r="B2285" s="5" t="s">
        <v>70</v>
      </c>
      <c r="C2285" s="5" t="s">
        <v>45</v>
      </c>
      <c r="D2285" s="5" t="s">
        <v>18</v>
      </c>
      <c r="E2285" s="5" t="s">
        <v>9</v>
      </c>
      <c r="F2285" s="6">
        <v>45688</v>
      </c>
      <c r="G2285" s="5">
        <f t="shared" si="350"/>
        <v>2025</v>
      </c>
      <c r="H2285" s="5" t="str">
        <f t="shared" si="351"/>
        <v>Enero</v>
      </c>
      <c r="I2285" s="6" t="str">
        <f t="shared" si="354"/>
        <v>2025-1</v>
      </c>
      <c r="J2285" s="5">
        <v>95</v>
      </c>
      <c r="K2285" s="10">
        <v>80</v>
      </c>
      <c r="L2285" s="15">
        <f t="shared" si="355"/>
        <v>0.84210526315789469</v>
      </c>
      <c r="M2285" s="15">
        <f t="shared" si="356"/>
        <v>0.84210526315789469</v>
      </c>
      <c r="N2285" s="5" t="s">
        <v>347</v>
      </c>
      <c r="O2285" s="5" t="s">
        <v>347</v>
      </c>
      <c r="P2285" s="16">
        <v>0</v>
      </c>
      <c r="Q2285" s="16">
        <v>0</v>
      </c>
      <c r="R2285" s="5" t="str">
        <f t="shared" si="349"/>
        <v>172-2025-01-31</v>
      </c>
    </row>
    <row r="2286" spans="1:18" x14ac:dyDescent="0.3">
      <c r="A2286" s="26">
        <v>172</v>
      </c>
      <c r="B2286" s="5" t="s">
        <v>70</v>
      </c>
      <c r="C2286" s="5" t="s">
        <v>45</v>
      </c>
      <c r="D2286" s="5" t="s">
        <v>18</v>
      </c>
      <c r="E2286" s="5" t="s">
        <v>9</v>
      </c>
      <c r="F2286" s="6">
        <v>45716</v>
      </c>
      <c r="G2286" s="5">
        <f t="shared" si="350"/>
        <v>2025</v>
      </c>
      <c r="H2286" s="5" t="str">
        <f t="shared" si="351"/>
        <v>Febrero</v>
      </c>
      <c r="I2286" s="6" t="str">
        <f t="shared" si="354"/>
        <v>2025-1</v>
      </c>
      <c r="J2286" s="5">
        <v>95</v>
      </c>
      <c r="K2286" s="10">
        <v>100</v>
      </c>
      <c r="L2286" s="15">
        <f t="shared" si="355"/>
        <v>1.0526315789473684</v>
      </c>
      <c r="M2286" s="15">
        <f t="shared" si="356"/>
        <v>1.0526315789473684</v>
      </c>
      <c r="N2286" s="5" t="s">
        <v>347</v>
      </c>
      <c r="O2286" s="5" t="s">
        <v>347</v>
      </c>
      <c r="P2286" s="16">
        <v>0</v>
      </c>
      <c r="Q2286" s="16">
        <v>0</v>
      </c>
      <c r="R2286" s="5" t="str">
        <f t="shared" si="349"/>
        <v>172-2025-02-28</v>
      </c>
    </row>
    <row r="2287" spans="1:18" x14ac:dyDescent="0.3">
      <c r="A2287" s="26">
        <v>172</v>
      </c>
      <c r="B2287" s="5" t="s">
        <v>70</v>
      </c>
      <c r="C2287" s="5" t="s">
        <v>45</v>
      </c>
      <c r="D2287" s="5" t="s">
        <v>18</v>
      </c>
      <c r="E2287" s="5" t="s">
        <v>9</v>
      </c>
      <c r="F2287" s="6">
        <v>45747</v>
      </c>
      <c r="G2287" s="5">
        <f t="shared" si="350"/>
        <v>2025</v>
      </c>
      <c r="H2287" s="5" t="str">
        <f t="shared" si="351"/>
        <v>Marzo</v>
      </c>
      <c r="I2287" s="6" t="str">
        <f t="shared" si="354"/>
        <v>2025-1</v>
      </c>
      <c r="J2287" s="5">
        <v>95</v>
      </c>
      <c r="K2287" s="10">
        <v>83.33</v>
      </c>
      <c r="L2287" s="15">
        <f t="shared" si="355"/>
        <v>0.87715789473684214</v>
      </c>
      <c r="M2287" s="15">
        <f t="shared" si="356"/>
        <v>0.87715789473684214</v>
      </c>
      <c r="N2287" s="5" t="s">
        <v>347</v>
      </c>
      <c r="O2287" s="5" t="s">
        <v>347</v>
      </c>
      <c r="P2287" s="16">
        <v>0</v>
      </c>
      <c r="Q2287" s="16">
        <v>0</v>
      </c>
      <c r="R2287" s="5" t="str">
        <f t="shared" si="349"/>
        <v>172-2025-03-31</v>
      </c>
    </row>
    <row r="2288" spans="1:18" x14ac:dyDescent="0.3">
      <c r="A2288" s="26">
        <v>172</v>
      </c>
      <c r="B2288" s="5" t="s">
        <v>70</v>
      </c>
      <c r="C2288" s="5" t="s">
        <v>45</v>
      </c>
      <c r="D2288" s="5" t="s">
        <v>18</v>
      </c>
      <c r="E2288" s="5" t="s">
        <v>9</v>
      </c>
      <c r="F2288" s="6">
        <v>45777</v>
      </c>
      <c r="G2288" s="5">
        <f t="shared" si="350"/>
        <v>2025</v>
      </c>
      <c r="H2288" s="5" t="str">
        <f t="shared" si="351"/>
        <v>Abril</v>
      </c>
      <c r="I2288" s="6" t="str">
        <f t="shared" si="354"/>
        <v>2025-1</v>
      </c>
      <c r="J2288" s="5">
        <v>95</v>
      </c>
      <c r="K2288" s="9">
        <v>88.89</v>
      </c>
      <c r="L2288" s="15">
        <f t="shared" si="355"/>
        <v>0.93568421052631578</v>
      </c>
      <c r="M2288" s="15">
        <f t="shared" si="356"/>
        <v>0.93568421052631578</v>
      </c>
      <c r="N2288" s="5" t="s">
        <v>347</v>
      </c>
      <c r="O2288" s="5" t="s">
        <v>347</v>
      </c>
      <c r="P2288" s="16">
        <v>0</v>
      </c>
      <c r="Q2288" s="16">
        <v>0</v>
      </c>
      <c r="R2288" s="5" t="str">
        <f t="shared" si="349"/>
        <v>172-2025-04-30</v>
      </c>
    </row>
    <row r="2289" spans="1:18" x14ac:dyDescent="0.3">
      <c r="A2289" s="26">
        <v>172</v>
      </c>
      <c r="B2289" s="5" t="s">
        <v>70</v>
      </c>
      <c r="C2289" s="5" t="s">
        <v>45</v>
      </c>
      <c r="D2289" s="5" t="s">
        <v>18</v>
      </c>
      <c r="E2289" s="5" t="s">
        <v>9</v>
      </c>
      <c r="F2289" s="6">
        <v>45808</v>
      </c>
      <c r="G2289" s="5">
        <f t="shared" si="350"/>
        <v>2025</v>
      </c>
      <c r="H2289" s="5" t="str">
        <f t="shared" si="351"/>
        <v>Mayo</v>
      </c>
      <c r="I2289" s="6" t="str">
        <f t="shared" si="354"/>
        <v>2025-1</v>
      </c>
      <c r="J2289" s="5">
        <v>95</v>
      </c>
      <c r="K2289" s="9">
        <v>95.65</v>
      </c>
      <c r="L2289" s="15">
        <f t="shared" si="355"/>
        <v>1.006842105263158</v>
      </c>
      <c r="M2289" s="15">
        <f t="shared" si="356"/>
        <v>1.006842105263158</v>
      </c>
      <c r="N2289" s="5" t="s">
        <v>347</v>
      </c>
      <c r="O2289" s="5" t="s">
        <v>347</v>
      </c>
      <c r="P2289" s="16">
        <v>0</v>
      </c>
      <c r="Q2289" s="16">
        <v>0</v>
      </c>
      <c r="R2289" s="5" t="str">
        <f t="shared" si="349"/>
        <v>172-2025-05-31</v>
      </c>
    </row>
    <row r="2290" spans="1:18" x14ac:dyDescent="0.3">
      <c r="A2290" s="26">
        <v>172</v>
      </c>
      <c r="B2290" s="5" t="s">
        <v>70</v>
      </c>
      <c r="C2290" s="5" t="s">
        <v>45</v>
      </c>
      <c r="D2290" s="5" t="s">
        <v>18</v>
      </c>
      <c r="E2290" s="5" t="s">
        <v>9</v>
      </c>
      <c r="F2290" s="6">
        <v>45838</v>
      </c>
      <c r="G2290" s="5">
        <f t="shared" si="350"/>
        <v>2025</v>
      </c>
      <c r="H2290" s="5" t="str">
        <f t="shared" si="351"/>
        <v>Junio</v>
      </c>
      <c r="I2290" s="6" t="str">
        <f t="shared" si="354"/>
        <v>2025-1</v>
      </c>
      <c r="J2290" s="5">
        <v>95</v>
      </c>
      <c r="K2290" s="9">
        <v>81.819999999999993</v>
      </c>
      <c r="L2290" s="15">
        <f t="shared" si="355"/>
        <v>0.86126315789473673</v>
      </c>
      <c r="M2290" s="15">
        <f t="shared" si="356"/>
        <v>0.86126315789473673</v>
      </c>
      <c r="N2290" s="5" t="s">
        <v>347</v>
      </c>
      <c r="O2290" s="5" t="s">
        <v>347</v>
      </c>
      <c r="P2290" s="16">
        <v>0</v>
      </c>
      <c r="Q2290" s="16">
        <v>0</v>
      </c>
      <c r="R2290" s="5" t="str">
        <f t="shared" si="349"/>
        <v>172-2025-06-30</v>
      </c>
    </row>
    <row r="2291" spans="1:18" x14ac:dyDescent="0.3">
      <c r="A2291" s="26">
        <v>172</v>
      </c>
      <c r="B2291" s="5" t="s">
        <v>70</v>
      </c>
      <c r="C2291" s="5" t="s">
        <v>45</v>
      </c>
      <c r="D2291" s="5" t="s">
        <v>18</v>
      </c>
      <c r="E2291" s="5" t="s">
        <v>9</v>
      </c>
      <c r="F2291" s="6">
        <v>45869</v>
      </c>
      <c r="G2291" s="5">
        <f t="shared" si="350"/>
        <v>2025</v>
      </c>
      <c r="H2291" s="5" t="str">
        <f t="shared" si="351"/>
        <v>Julio</v>
      </c>
      <c r="I2291" s="6" t="str">
        <f t="shared" si="354"/>
        <v>2025-2</v>
      </c>
      <c r="J2291" s="5">
        <v>95</v>
      </c>
      <c r="K2291" s="9">
        <v>91.43</v>
      </c>
      <c r="L2291" s="15">
        <f t="shared" si="355"/>
        <v>0.96242105263157907</v>
      </c>
      <c r="M2291" s="15">
        <f t="shared" si="356"/>
        <v>0.96242105263157907</v>
      </c>
      <c r="N2291" s="5" t="s">
        <v>347</v>
      </c>
      <c r="O2291" s="5" t="s">
        <v>347</v>
      </c>
      <c r="P2291" s="16">
        <v>0</v>
      </c>
      <c r="Q2291" s="16">
        <v>0</v>
      </c>
      <c r="R2291" s="5" t="str">
        <f t="shared" si="349"/>
        <v>172-2025-07-31</v>
      </c>
    </row>
    <row r="2292" spans="1:18" x14ac:dyDescent="0.3">
      <c r="A2292" s="26">
        <v>208</v>
      </c>
      <c r="B2292" s="5" t="s">
        <v>89</v>
      </c>
      <c r="C2292" s="5" t="s">
        <v>90</v>
      </c>
      <c r="D2292" s="5" t="s">
        <v>18</v>
      </c>
      <c r="E2292" s="5" t="s">
        <v>14</v>
      </c>
      <c r="F2292" s="6">
        <v>45688</v>
      </c>
      <c r="G2292" s="5">
        <f t="shared" si="350"/>
        <v>2025</v>
      </c>
      <c r="H2292" s="5" t="str">
        <f t="shared" si="351"/>
        <v>Enero</v>
      </c>
      <c r="I2292" s="6" t="str">
        <f t="shared" si="354"/>
        <v>2025-1</v>
      </c>
      <c r="J2292" s="5">
        <v>1700</v>
      </c>
      <c r="K2292" s="9">
        <v>798</v>
      </c>
      <c r="L2292" s="15">
        <f t="shared" si="355"/>
        <v>0.46941176470588236</v>
      </c>
      <c r="M2292" s="15">
        <f t="shared" si="356"/>
        <v>0.46941176470588236</v>
      </c>
      <c r="N2292" s="5" t="s">
        <v>723</v>
      </c>
      <c r="O2292" s="5" t="s">
        <v>723</v>
      </c>
      <c r="P2292" s="16">
        <v>0</v>
      </c>
      <c r="Q2292" s="16">
        <v>0</v>
      </c>
      <c r="R2292" s="5" t="str">
        <f t="shared" si="349"/>
        <v>208-2025-01-31</v>
      </c>
    </row>
    <row r="2293" spans="1:18" x14ac:dyDescent="0.3">
      <c r="A2293" s="26">
        <v>208</v>
      </c>
      <c r="B2293" s="5" t="s">
        <v>89</v>
      </c>
      <c r="C2293" s="5" t="s">
        <v>90</v>
      </c>
      <c r="D2293" s="5" t="s">
        <v>18</v>
      </c>
      <c r="E2293" s="5" t="s">
        <v>14</v>
      </c>
      <c r="F2293" s="6">
        <v>45716</v>
      </c>
      <c r="G2293" s="5">
        <f t="shared" si="350"/>
        <v>2025</v>
      </c>
      <c r="H2293" s="5" t="str">
        <f t="shared" si="351"/>
        <v>Febrero</v>
      </c>
      <c r="I2293" s="6" t="str">
        <f t="shared" si="354"/>
        <v>2025-1</v>
      </c>
      <c r="J2293" s="5">
        <v>1700</v>
      </c>
      <c r="K2293" s="10">
        <v>1121</v>
      </c>
      <c r="L2293" s="15">
        <f t="shared" si="355"/>
        <v>0.65941176470588236</v>
      </c>
      <c r="M2293" s="15">
        <f t="shared" si="356"/>
        <v>0.65941176470588236</v>
      </c>
      <c r="N2293" s="5" t="s">
        <v>723</v>
      </c>
      <c r="O2293" s="5" t="s">
        <v>723</v>
      </c>
      <c r="P2293" s="16">
        <v>0</v>
      </c>
      <c r="Q2293" s="16">
        <v>0</v>
      </c>
      <c r="R2293" s="5" t="str">
        <f t="shared" si="349"/>
        <v>208-2025-02-28</v>
      </c>
    </row>
    <row r="2294" spans="1:18" x14ac:dyDescent="0.3">
      <c r="A2294" s="26">
        <v>208</v>
      </c>
      <c r="B2294" s="5" t="s">
        <v>89</v>
      </c>
      <c r="C2294" s="5" t="s">
        <v>90</v>
      </c>
      <c r="D2294" s="5" t="s">
        <v>18</v>
      </c>
      <c r="E2294" s="5" t="s">
        <v>14</v>
      </c>
      <c r="F2294" s="6">
        <v>45747</v>
      </c>
      <c r="G2294" s="5">
        <f t="shared" si="350"/>
        <v>2025</v>
      </c>
      <c r="H2294" s="5" t="str">
        <f t="shared" si="351"/>
        <v>Marzo</v>
      </c>
      <c r="I2294" s="6" t="str">
        <f t="shared" si="354"/>
        <v>2025-1</v>
      </c>
      <c r="J2294" s="5">
        <v>1700</v>
      </c>
      <c r="K2294" s="9">
        <v>1309.5</v>
      </c>
      <c r="L2294" s="15">
        <f t="shared" si="355"/>
        <v>0.7702941176470588</v>
      </c>
      <c r="M2294" s="15">
        <f t="shared" si="356"/>
        <v>0.7702941176470588</v>
      </c>
      <c r="N2294" s="5" t="s">
        <v>723</v>
      </c>
      <c r="O2294" s="5" t="s">
        <v>723</v>
      </c>
      <c r="P2294" s="16">
        <v>0</v>
      </c>
      <c r="Q2294" s="16">
        <v>0</v>
      </c>
      <c r="R2294" s="5" t="str">
        <f t="shared" si="349"/>
        <v>208-2025-03-31</v>
      </c>
    </row>
    <row r="2295" spans="1:18" x14ac:dyDescent="0.3">
      <c r="A2295" s="26">
        <v>208</v>
      </c>
      <c r="B2295" s="5" t="s">
        <v>89</v>
      </c>
      <c r="C2295" s="5" t="s">
        <v>90</v>
      </c>
      <c r="D2295" s="5" t="s">
        <v>18</v>
      </c>
      <c r="E2295" s="5" t="s">
        <v>14</v>
      </c>
      <c r="F2295" s="6">
        <v>45777</v>
      </c>
      <c r="G2295" s="5">
        <f t="shared" si="350"/>
        <v>2025</v>
      </c>
      <c r="H2295" s="5" t="str">
        <f t="shared" si="351"/>
        <v>Abril</v>
      </c>
      <c r="I2295" s="6" t="str">
        <f t="shared" si="354"/>
        <v>2025-1</v>
      </c>
      <c r="J2295" s="5">
        <v>1700</v>
      </c>
      <c r="K2295" s="9">
        <v>1271</v>
      </c>
      <c r="L2295" s="15">
        <f t="shared" si="355"/>
        <v>0.74764705882352944</v>
      </c>
      <c r="M2295" s="15">
        <f t="shared" si="356"/>
        <v>0.74764705882352944</v>
      </c>
      <c r="N2295" s="5" t="s">
        <v>723</v>
      </c>
      <c r="O2295" s="5" t="s">
        <v>723</v>
      </c>
      <c r="P2295" s="16">
        <v>0</v>
      </c>
      <c r="Q2295" s="16">
        <v>0</v>
      </c>
      <c r="R2295" s="5" t="str">
        <f t="shared" si="349"/>
        <v>208-2025-04-30</v>
      </c>
    </row>
    <row r="2296" spans="1:18" x14ac:dyDescent="0.3">
      <c r="A2296" s="26">
        <v>208</v>
      </c>
      <c r="B2296" s="5" t="s">
        <v>89</v>
      </c>
      <c r="C2296" s="5" t="s">
        <v>90</v>
      </c>
      <c r="D2296" s="5" t="s">
        <v>18</v>
      </c>
      <c r="E2296" s="5" t="s">
        <v>14</v>
      </c>
      <c r="F2296" s="6">
        <v>45808</v>
      </c>
      <c r="G2296" s="5">
        <f t="shared" si="350"/>
        <v>2025</v>
      </c>
      <c r="H2296" s="5" t="str">
        <f t="shared" si="351"/>
        <v>Mayo</v>
      </c>
      <c r="I2296" s="6" t="str">
        <f t="shared" si="354"/>
        <v>2025-1</v>
      </c>
      <c r="J2296" s="5">
        <v>1700</v>
      </c>
      <c r="K2296" s="9">
        <v>1442</v>
      </c>
      <c r="L2296" s="15">
        <f t="shared" si="355"/>
        <v>0.84823529411764709</v>
      </c>
      <c r="M2296" s="15">
        <f t="shared" si="356"/>
        <v>0.84823529411764709</v>
      </c>
      <c r="N2296" s="5" t="s">
        <v>723</v>
      </c>
      <c r="O2296" s="5" t="s">
        <v>723</v>
      </c>
      <c r="P2296" s="16">
        <v>0</v>
      </c>
      <c r="Q2296" s="16">
        <v>0</v>
      </c>
      <c r="R2296" s="5" t="str">
        <f t="shared" si="349"/>
        <v>208-2025-05-31</v>
      </c>
    </row>
    <row r="2297" spans="1:18" x14ac:dyDescent="0.3">
      <c r="A2297" s="26">
        <v>208</v>
      </c>
      <c r="B2297" s="5" t="s">
        <v>89</v>
      </c>
      <c r="C2297" s="5" t="s">
        <v>90</v>
      </c>
      <c r="D2297" s="5" t="s">
        <v>18</v>
      </c>
      <c r="E2297" s="5" t="s">
        <v>14</v>
      </c>
      <c r="F2297" s="6">
        <v>45838</v>
      </c>
      <c r="G2297" s="5">
        <f t="shared" si="350"/>
        <v>2025</v>
      </c>
      <c r="H2297" s="5" t="str">
        <f t="shared" si="351"/>
        <v>Junio</v>
      </c>
      <c r="I2297" s="6" t="str">
        <f t="shared" si="354"/>
        <v>2025-1</v>
      </c>
      <c r="J2297" s="5">
        <v>1700</v>
      </c>
      <c r="K2297" s="9">
        <v>1409</v>
      </c>
      <c r="L2297" s="15">
        <f t="shared" si="355"/>
        <v>0.82882352941176474</v>
      </c>
      <c r="M2297" s="15">
        <f t="shared" si="356"/>
        <v>0.82882352941176474</v>
      </c>
      <c r="N2297" s="5" t="s">
        <v>723</v>
      </c>
      <c r="O2297" s="5" t="s">
        <v>723</v>
      </c>
      <c r="P2297" s="16">
        <v>0</v>
      </c>
      <c r="Q2297" s="16">
        <v>0</v>
      </c>
      <c r="R2297" s="5" t="str">
        <f t="shared" si="349"/>
        <v>208-2025-06-30</v>
      </c>
    </row>
    <row r="2298" spans="1:18" x14ac:dyDescent="0.3">
      <c r="A2298" s="26">
        <v>214</v>
      </c>
      <c r="B2298" s="5" t="s">
        <v>93</v>
      </c>
      <c r="C2298" s="5" t="s">
        <v>90</v>
      </c>
      <c r="D2298" s="5" t="s">
        <v>18</v>
      </c>
      <c r="E2298" s="5" t="s">
        <v>14</v>
      </c>
      <c r="F2298" s="6">
        <v>45688</v>
      </c>
      <c r="G2298" s="5">
        <f t="shared" si="350"/>
        <v>2025</v>
      </c>
      <c r="H2298" s="5" t="str">
        <f t="shared" si="351"/>
        <v>Enero</v>
      </c>
      <c r="I2298" s="6" t="str">
        <f t="shared" si="354"/>
        <v>2025-1</v>
      </c>
      <c r="J2298" s="5">
        <v>7500</v>
      </c>
      <c r="K2298" s="9">
        <v>2877.36</v>
      </c>
      <c r="L2298" s="15">
        <f t="shared" si="355"/>
        <v>0.38364800000000004</v>
      </c>
      <c r="M2298" s="15">
        <f t="shared" si="356"/>
        <v>0.38364800000000004</v>
      </c>
      <c r="N2298" s="5" t="s">
        <v>492</v>
      </c>
      <c r="O2298" s="5" t="s">
        <v>492</v>
      </c>
      <c r="P2298" s="16">
        <v>0</v>
      </c>
      <c r="Q2298" s="16">
        <v>0</v>
      </c>
      <c r="R2298" s="5" t="str">
        <f t="shared" si="349"/>
        <v>214-2025-01-31</v>
      </c>
    </row>
    <row r="2299" spans="1:18" x14ac:dyDescent="0.3">
      <c r="A2299" s="26">
        <v>214</v>
      </c>
      <c r="B2299" s="5" t="s">
        <v>93</v>
      </c>
      <c r="C2299" s="5" t="s">
        <v>90</v>
      </c>
      <c r="D2299" s="5" t="s">
        <v>18</v>
      </c>
      <c r="E2299" s="5" t="s">
        <v>14</v>
      </c>
      <c r="F2299" s="6">
        <v>45716</v>
      </c>
      <c r="G2299" s="5">
        <f t="shared" si="350"/>
        <v>2025</v>
      </c>
      <c r="H2299" s="5" t="str">
        <f t="shared" si="351"/>
        <v>Febrero</v>
      </c>
      <c r="I2299" s="6" t="str">
        <f t="shared" si="354"/>
        <v>2025-1</v>
      </c>
      <c r="J2299" s="5">
        <v>7500</v>
      </c>
      <c r="K2299" s="10">
        <v>7039.93</v>
      </c>
      <c r="L2299" s="15">
        <f t="shared" si="355"/>
        <v>0.93865733333333334</v>
      </c>
      <c r="M2299" s="15">
        <f t="shared" si="356"/>
        <v>0.93865733333333334</v>
      </c>
      <c r="N2299" s="5" t="s">
        <v>492</v>
      </c>
      <c r="O2299" s="5" t="s">
        <v>492</v>
      </c>
      <c r="P2299" s="16">
        <v>0</v>
      </c>
      <c r="Q2299" s="16">
        <v>0</v>
      </c>
      <c r="R2299" s="5" t="str">
        <f t="shared" si="349"/>
        <v>214-2025-02-28</v>
      </c>
    </row>
    <row r="2300" spans="1:18" x14ac:dyDescent="0.3">
      <c r="A2300" s="26">
        <v>214</v>
      </c>
      <c r="B2300" s="5" t="s">
        <v>93</v>
      </c>
      <c r="C2300" s="5" t="s">
        <v>90</v>
      </c>
      <c r="D2300" s="5" t="s">
        <v>18</v>
      </c>
      <c r="E2300" s="5" t="s">
        <v>14</v>
      </c>
      <c r="F2300" s="6">
        <v>45747</v>
      </c>
      <c r="G2300" s="5">
        <f t="shared" si="350"/>
        <v>2025</v>
      </c>
      <c r="H2300" s="5" t="str">
        <f t="shared" si="351"/>
        <v>Marzo</v>
      </c>
      <c r="I2300" s="6" t="str">
        <f t="shared" si="354"/>
        <v>2025-1</v>
      </c>
      <c r="J2300" s="5">
        <v>7500</v>
      </c>
      <c r="K2300" s="9">
        <v>7296.69</v>
      </c>
      <c r="L2300" s="15">
        <f t="shared" si="355"/>
        <v>0.97289199999999998</v>
      </c>
      <c r="M2300" s="15">
        <f t="shared" si="356"/>
        <v>0.97289199999999998</v>
      </c>
      <c r="N2300" s="5" t="s">
        <v>492</v>
      </c>
      <c r="O2300" s="5" t="s">
        <v>492</v>
      </c>
      <c r="P2300" s="16">
        <v>0</v>
      </c>
      <c r="Q2300" s="16">
        <v>0</v>
      </c>
      <c r="R2300" s="5" t="str">
        <f t="shared" si="349"/>
        <v>214-2025-03-31</v>
      </c>
    </row>
    <row r="2301" spans="1:18" x14ac:dyDescent="0.3">
      <c r="A2301" s="26">
        <v>214</v>
      </c>
      <c r="B2301" s="5" t="s">
        <v>93</v>
      </c>
      <c r="C2301" s="5" t="s">
        <v>90</v>
      </c>
      <c r="D2301" s="5" t="s">
        <v>18</v>
      </c>
      <c r="E2301" s="5" t="s">
        <v>14</v>
      </c>
      <c r="F2301" s="6">
        <v>45777</v>
      </c>
      <c r="G2301" s="5">
        <f t="shared" si="350"/>
        <v>2025</v>
      </c>
      <c r="H2301" s="5" t="str">
        <f t="shared" si="351"/>
        <v>Abril</v>
      </c>
      <c r="I2301" s="6" t="str">
        <f t="shared" si="354"/>
        <v>2025-1</v>
      </c>
      <c r="J2301" s="5">
        <v>7500</v>
      </c>
      <c r="K2301" s="9">
        <v>5212.7</v>
      </c>
      <c r="L2301" s="15">
        <f t="shared" si="355"/>
        <v>0.69502666666666668</v>
      </c>
      <c r="M2301" s="15">
        <f t="shared" si="356"/>
        <v>0.69502666666666668</v>
      </c>
      <c r="N2301" s="5" t="s">
        <v>492</v>
      </c>
      <c r="O2301" s="5" t="s">
        <v>492</v>
      </c>
      <c r="P2301" s="16">
        <v>0</v>
      </c>
      <c r="Q2301" s="16">
        <v>0</v>
      </c>
      <c r="R2301" s="5" t="str">
        <f t="shared" si="349"/>
        <v>214-2025-04-30</v>
      </c>
    </row>
    <row r="2302" spans="1:18" x14ac:dyDescent="0.3">
      <c r="A2302" s="26">
        <v>214</v>
      </c>
      <c r="B2302" s="5" t="s">
        <v>93</v>
      </c>
      <c r="C2302" s="5" t="s">
        <v>90</v>
      </c>
      <c r="D2302" s="5" t="s">
        <v>18</v>
      </c>
      <c r="E2302" s="5" t="s">
        <v>14</v>
      </c>
      <c r="F2302" s="6">
        <v>45808</v>
      </c>
      <c r="G2302" s="5">
        <f t="shared" si="350"/>
        <v>2025</v>
      </c>
      <c r="H2302" s="5" t="str">
        <f t="shared" si="351"/>
        <v>Mayo</v>
      </c>
      <c r="I2302" s="6" t="str">
        <f t="shared" si="354"/>
        <v>2025-1</v>
      </c>
      <c r="J2302" s="5">
        <v>7500</v>
      </c>
      <c r="K2302" s="9">
        <v>6187.91</v>
      </c>
      <c r="L2302" s="15">
        <f t="shared" si="355"/>
        <v>0.8250546666666666</v>
      </c>
      <c r="M2302" s="15">
        <f t="shared" si="356"/>
        <v>0.8250546666666666</v>
      </c>
      <c r="N2302" s="5" t="s">
        <v>492</v>
      </c>
      <c r="O2302" s="5" t="s">
        <v>492</v>
      </c>
      <c r="P2302" s="16">
        <v>0</v>
      </c>
      <c r="Q2302" s="16">
        <v>0</v>
      </c>
      <c r="R2302" s="5" t="str">
        <f t="shared" si="349"/>
        <v>214-2025-05-31</v>
      </c>
    </row>
    <row r="2303" spans="1:18" x14ac:dyDescent="0.3">
      <c r="A2303" s="26">
        <v>214</v>
      </c>
      <c r="B2303" s="5" t="s">
        <v>93</v>
      </c>
      <c r="C2303" s="5" t="s">
        <v>90</v>
      </c>
      <c r="D2303" s="5" t="s">
        <v>18</v>
      </c>
      <c r="E2303" s="5" t="s">
        <v>14</v>
      </c>
      <c r="F2303" s="6">
        <v>45838</v>
      </c>
      <c r="G2303" s="5">
        <f t="shared" si="350"/>
        <v>2025</v>
      </c>
      <c r="H2303" s="5" t="str">
        <f t="shared" si="351"/>
        <v>Junio</v>
      </c>
      <c r="I2303" s="6" t="str">
        <f t="shared" si="354"/>
        <v>2025-1</v>
      </c>
      <c r="J2303" s="5">
        <v>7500</v>
      </c>
      <c r="K2303" s="9">
        <v>2821.5</v>
      </c>
      <c r="L2303" s="15">
        <f t="shared" si="355"/>
        <v>0.37619999999999998</v>
      </c>
      <c r="M2303" s="15">
        <f t="shared" si="356"/>
        <v>0.37619999999999998</v>
      </c>
      <c r="N2303" s="5" t="s">
        <v>492</v>
      </c>
      <c r="O2303" s="5" t="s">
        <v>492</v>
      </c>
      <c r="P2303" s="16">
        <v>0</v>
      </c>
      <c r="Q2303" s="16">
        <v>0</v>
      </c>
      <c r="R2303" s="5" t="str">
        <f t="shared" si="349"/>
        <v>214-2025-06-30</v>
      </c>
    </row>
    <row r="2304" spans="1:18" x14ac:dyDescent="0.3">
      <c r="A2304" s="26">
        <v>217</v>
      </c>
      <c r="B2304" s="5" t="s">
        <v>96</v>
      </c>
      <c r="C2304" s="5" t="s">
        <v>90</v>
      </c>
      <c r="D2304" s="5" t="s">
        <v>18</v>
      </c>
      <c r="E2304" s="5" t="s">
        <v>9</v>
      </c>
      <c r="F2304" s="65">
        <v>45688</v>
      </c>
      <c r="G2304" s="5">
        <f t="shared" si="350"/>
        <v>2025</v>
      </c>
      <c r="H2304" s="5" t="str">
        <f t="shared" si="351"/>
        <v>Enero</v>
      </c>
      <c r="I2304" s="6" t="str">
        <f t="shared" si="354"/>
        <v>2025-1</v>
      </c>
      <c r="J2304" s="5">
        <v>20</v>
      </c>
      <c r="K2304" s="12">
        <v>28.35</v>
      </c>
      <c r="L2304" s="15">
        <f t="shared" si="355"/>
        <v>1.3</v>
      </c>
      <c r="M2304" s="15">
        <f t="shared" si="356"/>
        <v>1.4175</v>
      </c>
      <c r="N2304" s="5" t="s">
        <v>347</v>
      </c>
      <c r="O2304" s="5" t="s">
        <v>347</v>
      </c>
      <c r="P2304" s="16">
        <v>0</v>
      </c>
      <c r="Q2304" s="16">
        <v>0</v>
      </c>
      <c r="R2304" s="5" t="str">
        <f t="shared" si="349"/>
        <v>217-2025-01-31</v>
      </c>
    </row>
    <row r="2305" spans="1:18" x14ac:dyDescent="0.3">
      <c r="A2305" s="26">
        <v>217</v>
      </c>
      <c r="B2305" s="5" t="s">
        <v>96</v>
      </c>
      <c r="C2305" s="5" t="s">
        <v>90</v>
      </c>
      <c r="D2305" s="5" t="s">
        <v>18</v>
      </c>
      <c r="E2305" s="5" t="s">
        <v>9</v>
      </c>
      <c r="F2305" s="65">
        <v>45716</v>
      </c>
      <c r="G2305" s="5">
        <f t="shared" si="350"/>
        <v>2025</v>
      </c>
      <c r="H2305" s="5" t="str">
        <f t="shared" si="351"/>
        <v>Febrero</v>
      </c>
      <c r="I2305" s="6" t="str">
        <f t="shared" si="354"/>
        <v>2025-1</v>
      </c>
      <c r="J2305" s="5">
        <v>20</v>
      </c>
      <c r="K2305" s="12">
        <v>19.55</v>
      </c>
      <c r="L2305" s="15">
        <f t="shared" si="355"/>
        <v>0.97750000000000004</v>
      </c>
      <c r="M2305" s="15">
        <f t="shared" si="356"/>
        <v>0.97750000000000004</v>
      </c>
      <c r="N2305" s="5" t="s">
        <v>347</v>
      </c>
      <c r="O2305" s="5" t="s">
        <v>347</v>
      </c>
      <c r="P2305" s="16">
        <v>0</v>
      </c>
      <c r="Q2305" s="16">
        <v>1</v>
      </c>
      <c r="R2305" s="5" t="str">
        <f t="shared" si="349"/>
        <v>217-2025-02-28</v>
      </c>
    </row>
    <row r="2306" spans="1:18" x14ac:dyDescent="0.3">
      <c r="A2306" s="26">
        <v>217</v>
      </c>
      <c r="B2306" s="5" t="s">
        <v>96</v>
      </c>
      <c r="C2306" s="5" t="s">
        <v>90</v>
      </c>
      <c r="D2306" s="5" t="s">
        <v>18</v>
      </c>
      <c r="E2306" s="5" t="s">
        <v>9</v>
      </c>
      <c r="F2306" s="65">
        <v>45747</v>
      </c>
      <c r="G2306" s="5">
        <f t="shared" si="350"/>
        <v>2025</v>
      </c>
      <c r="H2306" s="5" t="str">
        <f t="shared" si="351"/>
        <v>Marzo</v>
      </c>
      <c r="I2306" s="6" t="str">
        <f t="shared" si="354"/>
        <v>2025-1</v>
      </c>
      <c r="J2306" s="5">
        <v>20</v>
      </c>
      <c r="K2306" s="12">
        <v>18.73</v>
      </c>
      <c r="L2306" s="15">
        <f t="shared" si="355"/>
        <v>0.9365</v>
      </c>
      <c r="M2306" s="15">
        <f t="shared" si="356"/>
        <v>0.9365</v>
      </c>
      <c r="N2306" s="5" t="s">
        <v>347</v>
      </c>
      <c r="O2306" s="5" t="s">
        <v>347</v>
      </c>
      <c r="P2306" s="16">
        <v>0</v>
      </c>
      <c r="Q2306" s="16">
        <v>1</v>
      </c>
      <c r="R2306" s="5" t="str">
        <f t="shared" si="349"/>
        <v>217-2025-03-31</v>
      </c>
    </row>
    <row r="2307" spans="1:18" x14ac:dyDescent="0.3">
      <c r="A2307" s="26">
        <v>217</v>
      </c>
      <c r="B2307" s="5" t="s">
        <v>96</v>
      </c>
      <c r="C2307" s="5" t="s">
        <v>90</v>
      </c>
      <c r="D2307" s="5" t="s">
        <v>18</v>
      </c>
      <c r="E2307" s="5" t="s">
        <v>9</v>
      </c>
      <c r="F2307" s="65">
        <v>45777</v>
      </c>
      <c r="G2307" s="5">
        <f t="shared" si="350"/>
        <v>2025</v>
      </c>
      <c r="H2307" s="5" t="str">
        <f t="shared" si="351"/>
        <v>Abril</v>
      </c>
      <c r="I2307" s="6" t="str">
        <f t="shared" si="354"/>
        <v>2025-1</v>
      </c>
      <c r="J2307" s="5">
        <v>20</v>
      </c>
      <c r="K2307" s="12">
        <v>28.92</v>
      </c>
      <c r="L2307" s="15">
        <f t="shared" si="355"/>
        <v>1.3</v>
      </c>
      <c r="M2307" s="15">
        <f t="shared" si="356"/>
        <v>1.4460000000000002</v>
      </c>
      <c r="N2307" s="5" t="s">
        <v>347</v>
      </c>
      <c r="O2307" s="5" t="s">
        <v>347</v>
      </c>
      <c r="P2307" s="16">
        <v>0</v>
      </c>
      <c r="Q2307" s="16">
        <v>1</v>
      </c>
      <c r="R2307" s="5" t="str">
        <f t="shared" si="349"/>
        <v>217-2025-04-30</v>
      </c>
    </row>
    <row r="2308" spans="1:18" x14ac:dyDescent="0.3">
      <c r="A2308" s="26">
        <v>217</v>
      </c>
      <c r="B2308" s="5" t="s">
        <v>96</v>
      </c>
      <c r="C2308" s="5" t="s">
        <v>90</v>
      </c>
      <c r="D2308" s="5" t="s">
        <v>18</v>
      </c>
      <c r="E2308" s="5" t="s">
        <v>9</v>
      </c>
      <c r="F2308" s="65">
        <v>45808</v>
      </c>
      <c r="G2308" s="5">
        <f t="shared" si="350"/>
        <v>2025</v>
      </c>
      <c r="H2308" s="5" t="str">
        <f t="shared" si="351"/>
        <v>Mayo</v>
      </c>
      <c r="I2308" s="6" t="str">
        <f t="shared" si="354"/>
        <v>2025-1</v>
      </c>
      <c r="J2308" s="5">
        <v>20</v>
      </c>
      <c r="K2308" s="12">
        <v>24.12</v>
      </c>
      <c r="L2308" s="15">
        <f t="shared" si="355"/>
        <v>1.206</v>
      </c>
      <c r="M2308" s="15">
        <f t="shared" si="356"/>
        <v>1.206</v>
      </c>
      <c r="N2308" s="5" t="s">
        <v>347</v>
      </c>
      <c r="O2308" s="5" t="s">
        <v>347</v>
      </c>
      <c r="P2308" s="16">
        <v>0</v>
      </c>
      <c r="Q2308" s="16">
        <v>1</v>
      </c>
      <c r="R2308" s="5" t="str">
        <f t="shared" si="349"/>
        <v>217-2025-05-31</v>
      </c>
    </row>
    <row r="2309" spans="1:18" x14ac:dyDescent="0.3">
      <c r="A2309" s="26">
        <v>217</v>
      </c>
      <c r="B2309" s="5" t="s">
        <v>96</v>
      </c>
      <c r="C2309" s="5" t="s">
        <v>90</v>
      </c>
      <c r="D2309" s="5" t="s">
        <v>18</v>
      </c>
      <c r="E2309" s="5" t="s">
        <v>9</v>
      </c>
      <c r="F2309" s="65">
        <v>45838</v>
      </c>
      <c r="G2309" s="5">
        <f t="shared" si="350"/>
        <v>2025</v>
      </c>
      <c r="H2309" s="5" t="str">
        <f t="shared" si="351"/>
        <v>Junio</v>
      </c>
      <c r="I2309" s="6" t="str">
        <f t="shared" si="354"/>
        <v>2025-1</v>
      </c>
      <c r="J2309" s="5">
        <v>20</v>
      </c>
      <c r="K2309" s="5">
        <v>24.73</v>
      </c>
      <c r="L2309" s="15">
        <f t="shared" si="355"/>
        <v>1.2364999999999999</v>
      </c>
      <c r="M2309" s="15">
        <f t="shared" si="356"/>
        <v>1.2364999999999999</v>
      </c>
      <c r="N2309" s="5" t="s">
        <v>347</v>
      </c>
      <c r="O2309" s="5" t="s">
        <v>347</v>
      </c>
      <c r="P2309" s="16">
        <v>0</v>
      </c>
      <c r="Q2309" s="16">
        <v>1</v>
      </c>
      <c r="R2309" s="5" t="str">
        <f t="shared" si="349"/>
        <v>217-2025-06-30</v>
      </c>
    </row>
    <row r="2310" spans="1:18" x14ac:dyDescent="0.3">
      <c r="A2310" s="26">
        <v>218</v>
      </c>
      <c r="B2310" s="5" t="s">
        <v>97</v>
      </c>
      <c r="C2310" s="5" t="s">
        <v>90</v>
      </c>
      <c r="D2310" s="5" t="s">
        <v>18</v>
      </c>
      <c r="E2310" s="5" t="s">
        <v>14</v>
      </c>
      <c r="F2310" s="65">
        <v>45688</v>
      </c>
      <c r="G2310" s="5">
        <f t="shared" si="350"/>
        <v>2025</v>
      </c>
      <c r="H2310" s="5" t="str">
        <f t="shared" si="351"/>
        <v>Enero</v>
      </c>
      <c r="I2310" s="6" t="str">
        <f t="shared" si="354"/>
        <v>2025-1</v>
      </c>
      <c r="J2310" s="5">
        <v>172000</v>
      </c>
      <c r="K2310" s="9">
        <v>113367</v>
      </c>
      <c r="L2310" s="15">
        <f t="shared" si="355"/>
        <v>0.65911046511627902</v>
      </c>
      <c r="M2310" s="15">
        <f t="shared" si="356"/>
        <v>0.65911046511627902</v>
      </c>
      <c r="N2310" s="5" t="s">
        <v>362</v>
      </c>
      <c r="O2310" s="5" t="s">
        <v>362</v>
      </c>
      <c r="P2310" s="16">
        <v>0</v>
      </c>
      <c r="Q2310" s="16">
        <v>1</v>
      </c>
      <c r="R2310" s="5" t="str">
        <f t="shared" si="349"/>
        <v>218-2025-01-31</v>
      </c>
    </row>
    <row r="2311" spans="1:18" x14ac:dyDescent="0.3">
      <c r="A2311" s="26">
        <v>218</v>
      </c>
      <c r="B2311" s="5" t="s">
        <v>97</v>
      </c>
      <c r="C2311" s="5" t="s">
        <v>90</v>
      </c>
      <c r="D2311" s="5" t="s">
        <v>18</v>
      </c>
      <c r="E2311" s="5" t="s">
        <v>14</v>
      </c>
      <c r="F2311" s="65">
        <v>45716</v>
      </c>
      <c r="G2311" s="5">
        <f t="shared" si="350"/>
        <v>2025</v>
      </c>
      <c r="H2311" s="5" t="str">
        <f t="shared" si="351"/>
        <v>Febrero</v>
      </c>
      <c r="I2311" s="6" t="str">
        <f t="shared" si="354"/>
        <v>2025-1</v>
      </c>
      <c r="J2311" s="5">
        <v>172000</v>
      </c>
      <c r="K2311" s="9">
        <v>146755.39000000001</v>
      </c>
      <c r="L2311" s="15">
        <f t="shared" si="355"/>
        <v>0.8532290116279071</v>
      </c>
      <c r="M2311" s="15">
        <f t="shared" si="356"/>
        <v>0.8532290116279071</v>
      </c>
      <c r="N2311" s="5" t="s">
        <v>362</v>
      </c>
      <c r="O2311" s="5" t="s">
        <v>362</v>
      </c>
      <c r="P2311" s="16">
        <v>0</v>
      </c>
      <c r="Q2311" s="16">
        <v>1</v>
      </c>
      <c r="R2311" s="5" t="str">
        <f t="shared" si="349"/>
        <v>218-2025-02-28</v>
      </c>
    </row>
    <row r="2312" spans="1:18" x14ac:dyDescent="0.3">
      <c r="A2312" s="26">
        <v>218</v>
      </c>
      <c r="B2312" s="5" t="s">
        <v>97</v>
      </c>
      <c r="C2312" s="5" t="s">
        <v>90</v>
      </c>
      <c r="D2312" s="5" t="s">
        <v>18</v>
      </c>
      <c r="E2312" s="5" t="s">
        <v>14</v>
      </c>
      <c r="F2312" s="65">
        <v>45747</v>
      </c>
      <c r="G2312" s="5">
        <f t="shared" si="350"/>
        <v>2025</v>
      </c>
      <c r="H2312" s="5" t="str">
        <f t="shared" si="351"/>
        <v>Marzo</v>
      </c>
      <c r="I2312" s="6" t="str">
        <f t="shared" si="354"/>
        <v>2025-1</v>
      </c>
      <c r="J2312" s="5">
        <v>172000</v>
      </c>
      <c r="K2312" s="9">
        <v>154963.46</v>
      </c>
      <c r="L2312" s="15">
        <f t="shared" si="355"/>
        <v>0.90095034883720926</v>
      </c>
      <c r="M2312" s="15">
        <f t="shared" si="356"/>
        <v>0.90095034883720926</v>
      </c>
      <c r="N2312" s="5" t="s">
        <v>362</v>
      </c>
      <c r="O2312" s="5" t="s">
        <v>362</v>
      </c>
      <c r="P2312" s="16">
        <v>0</v>
      </c>
      <c r="Q2312" s="16">
        <v>1</v>
      </c>
      <c r="R2312" s="5" t="str">
        <f t="shared" si="349"/>
        <v>218-2025-03-31</v>
      </c>
    </row>
    <row r="2313" spans="1:18" x14ac:dyDescent="0.3">
      <c r="A2313" s="26">
        <v>218</v>
      </c>
      <c r="B2313" s="5" t="s">
        <v>97</v>
      </c>
      <c r="C2313" s="5" t="s">
        <v>90</v>
      </c>
      <c r="D2313" s="5" t="s">
        <v>18</v>
      </c>
      <c r="E2313" s="5" t="s">
        <v>14</v>
      </c>
      <c r="F2313" s="65">
        <v>45777</v>
      </c>
      <c r="G2313" s="5">
        <f t="shared" si="350"/>
        <v>2025</v>
      </c>
      <c r="H2313" s="5" t="str">
        <f t="shared" si="351"/>
        <v>Abril</v>
      </c>
      <c r="I2313" s="6" t="str">
        <f t="shared" si="354"/>
        <v>2025-1</v>
      </c>
      <c r="J2313" s="5">
        <v>172000</v>
      </c>
      <c r="K2313" s="9">
        <v>138389.85</v>
      </c>
      <c r="L2313" s="15">
        <f t="shared" si="355"/>
        <v>0.8045921511627907</v>
      </c>
      <c r="M2313" s="15">
        <f t="shared" si="356"/>
        <v>0.8045921511627907</v>
      </c>
      <c r="N2313" s="5" t="s">
        <v>362</v>
      </c>
      <c r="O2313" s="5" t="s">
        <v>362</v>
      </c>
      <c r="P2313" s="16">
        <v>0</v>
      </c>
      <c r="Q2313" s="16">
        <v>1</v>
      </c>
      <c r="R2313" s="5" t="str">
        <f t="shared" si="349"/>
        <v>218-2025-04-30</v>
      </c>
    </row>
    <row r="2314" spans="1:18" x14ac:dyDescent="0.3">
      <c r="A2314" s="26">
        <v>225</v>
      </c>
      <c r="B2314" s="5" t="s">
        <v>103</v>
      </c>
      <c r="C2314" s="5" t="s">
        <v>90</v>
      </c>
      <c r="D2314" s="5" t="s">
        <v>18</v>
      </c>
      <c r="E2314" s="5" t="s">
        <v>9</v>
      </c>
      <c r="F2314" s="6">
        <v>45688</v>
      </c>
      <c r="G2314" s="5">
        <f t="shared" si="350"/>
        <v>2025</v>
      </c>
      <c r="H2314" s="5" t="str">
        <f t="shared" si="351"/>
        <v>Enero</v>
      </c>
      <c r="I2314" s="6" t="str">
        <f t="shared" si="354"/>
        <v>2025-1</v>
      </c>
      <c r="J2314" s="5">
        <v>100</v>
      </c>
      <c r="K2314" s="5">
        <v>100</v>
      </c>
      <c r="L2314" s="15">
        <f t="shared" si="355"/>
        <v>1</v>
      </c>
      <c r="M2314" s="15">
        <f t="shared" si="356"/>
        <v>1</v>
      </c>
      <c r="N2314" s="5" t="s">
        <v>347</v>
      </c>
      <c r="O2314" s="5" t="s">
        <v>347</v>
      </c>
      <c r="P2314" s="16">
        <v>0</v>
      </c>
      <c r="Q2314" s="16">
        <v>0</v>
      </c>
      <c r="R2314" s="5" t="str">
        <f t="shared" ref="R2314:R2345" si="359">A2314&amp;"-"&amp;YEAR(F2314)&amp;"-"&amp;IF(LEN(MONTH(F2314))=1,"0"&amp;MONTH(F2314),MONTH(F2314))&amp;"-"&amp;DAY(F2314)</f>
        <v>225-2025-01-31</v>
      </c>
    </row>
    <row r="2315" spans="1:18" x14ac:dyDescent="0.3">
      <c r="A2315" s="26">
        <v>225</v>
      </c>
      <c r="B2315" s="5" t="s">
        <v>103</v>
      </c>
      <c r="C2315" s="5" t="s">
        <v>90</v>
      </c>
      <c r="D2315" s="5" t="s">
        <v>18</v>
      </c>
      <c r="E2315" s="5" t="s">
        <v>9</v>
      </c>
      <c r="F2315" s="6">
        <v>45716</v>
      </c>
      <c r="G2315" s="5">
        <f t="shared" si="350"/>
        <v>2025</v>
      </c>
      <c r="H2315" s="5" t="str">
        <f t="shared" si="351"/>
        <v>Febrero</v>
      </c>
      <c r="I2315" s="6" t="str">
        <f t="shared" si="354"/>
        <v>2025-1</v>
      </c>
      <c r="J2315" s="5">
        <v>100</v>
      </c>
      <c r="K2315" s="5">
        <v>100</v>
      </c>
      <c r="L2315" s="15">
        <f t="shared" si="355"/>
        <v>1</v>
      </c>
      <c r="M2315" s="15">
        <f t="shared" si="356"/>
        <v>1</v>
      </c>
      <c r="N2315" s="5" t="s">
        <v>347</v>
      </c>
      <c r="O2315" s="5" t="s">
        <v>347</v>
      </c>
      <c r="P2315" s="16">
        <v>0</v>
      </c>
      <c r="Q2315" s="16">
        <v>0</v>
      </c>
      <c r="R2315" s="5" t="str">
        <f t="shared" si="359"/>
        <v>225-2025-02-28</v>
      </c>
    </row>
    <row r="2316" spans="1:18" x14ac:dyDescent="0.3">
      <c r="A2316" s="26">
        <v>225</v>
      </c>
      <c r="B2316" s="5" t="s">
        <v>103</v>
      </c>
      <c r="C2316" s="5" t="s">
        <v>90</v>
      </c>
      <c r="D2316" s="5" t="s">
        <v>18</v>
      </c>
      <c r="E2316" s="5" t="s">
        <v>9</v>
      </c>
      <c r="F2316" s="6">
        <v>45747</v>
      </c>
      <c r="G2316" s="5">
        <f t="shared" si="350"/>
        <v>2025</v>
      </c>
      <c r="H2316" s="5" t="str">
        <f t="shared" si="351"/>
        <v>Marzo</v>
      </c>
      <c r="I2316" s="6" t="str">
        <f t="shared" si="354"/>
        <v>2025-1</v>
      </c>
      <c r="J2316" s="5">
        <v>100</v>
      </c>
      <c r="K2316" s="5">
        <v>100</v>
      </c>
      <c r="L2316" s="15">
        <f t="shared" si="355"/>
        <v>1</v>
      </c>
      <c r="M2316" s="15">
        <f t="shared" si="356"/>
        <v>1</v>
      </c>
      <c r="N2316" s="5" t="s">
        <v>347</v>
      </c>
      <c r="O2316" s="5" t="s">
        <v>347</v>
      </c>
      <c r="P2316" s="16">
        <v>0</v>
      </c>
      <c r="Q2316" s="16">
        <v>0</v>
      </c>
      <c r="R2316" s="5" t="str">
        <f t="shared" si="359"/>
        <v>225-2025-03-31</v>
      </c>
    </row>
    <row r="2317" spans="1:18" x14ac:dyDescent="0.3">
      <c r="A2317" s="26">
        <v>225</v>
      </c>
      <c r="B2317" s="5" t="s">
        <v>103</v>
      </c>
      <c r="C2317" s="5" t="s">
        <v>90</v>
      </c>
      <c r="D2317" s="5" t="s">
        <v>18</v>
      </c>
      <c r="E2317" s="5" t="s">
        <v>9</v>
      </c>
      <c r="F2317" s="6">
        <v>45777</v>
      </c>
      <c r="G2317" s="5">
        <f t="shared" si="350"/>
        <v>2025</v>
      </c>
      <c r="H2317" s="5" t="str">
        <f t="shared" si="351"/>
        <v>Abril</v>
      </c>
      <c r="I2317" s="6" t="str">
        <f t="shared" si="354"/>
        <v>2025-1</v>
      </c>
      <c r="J2317" s="5">
        <v>100</v>
      </c>
      <c r="K2317" s="5">
        <v>100</v>
      </c>
      <c r="L2317" s="15">
        <f t="shared" si="355"/>
        <v>1</v>
      </c>
      <c r="M2317" s="15">
        <f t="shared" si="356"/>
        <v>1</v>
      </c>
      <c r="N2317" s="5" t="s">
        <v>347</v>
      </c>
      <c r="O2317" s="5" t="s">
        <v>347</v>
      </c>
      <c r="P2317" s="16">
        <v>0</v>
      </c>
      <c r="Q2317" s="16">
        <v>0</v>
      </c>
      <c r="R2317" s="5" t="str">
        <f t="shared" si="359"/>
        <v>225-2025-04-30</v>
      </c>
    </row>
    <row r="2318" spans="1:18" x14ac:dyDescent="0.3">
      <c r="A2318" s="26">
        <v>225</v>
      </c>
      <c r="B2318" s="5" t="s">
        <v>103</v>
      </c>
      <c r="C2318" s="5" t="s">
        <v>90</v>
      </c>
      <c r="D2318" s="5" t="s">
        <v>18</v>
      </c>
      <c r="E2318" s="5" t="s">
        <v>9</v>
      </c>
      <c r="F2318" s="6">
        <v>45808</v>
      </c>
      <c r="G2318" s="5">
        <f t="shared" si="350"/>
        <v>2025</v>
      </c>
      <c r="H2318" s="5" t="str">
        <f t="shared" si="351"/>
        <v>Mayo</v>
      </c>
      <c r="I2318" s="6" t="str">
        <f t="shared" si="354"/>
        <v>2025-1</v>
      </c>
      <c r="J2318" s="5">
        <v>100</v>
      </c>
      <c r="K2318" s="5">
        <v>100</v>
      </c>
      <c r="L2318" s="15">
        <f t="shared" si="355"/>
        <v>1</v>
      </c>
      <c r="M2318" s="15">
        <f t="shared" si="356"/>
        <v>1</v>
      </c>
      <c r="N2318" s="5" t="s">
        <v>347</v>
      </c>
      <c r="O2318" s="5" t="s">
        <v>347</v>
      </c>
      <c r="P2318" s="16">
        <v>0</v>
      </c>
      <c r="Q2318" s="16">
        <v>0</v>
      </c>
      <c r="R2318" s="5" t="str">
        <f t="shared" si="359"/>
        <v>225-2025-05-31</v>
      </c>
    </row>
    <row r="2319" spans="1:18" x14ac:dyDescent="0.3">
      <c r="A2319" s="26">
        <v>225</v>
      </c>
      <c r="B2319" s="5" t="s">
        <v>103</v>
      </c>
      <c r="C2319" s="5" t="s">
        <v>90</v>
      </c>
      <c r="D2319" s="5" t="s">
        <v>18</v>
      </c>
      <c r="E2319" s="5" t="s">
        <v>9</v>
      </c>
      <c r="F2319" s="6">
        <v>45838</v>
      </c>
      <c r="G2319" s="5">
        <f t="shared" si="350"/>
        <v>2025</v>
      </c>
      <c r="H2319" s="5" t="str">
        <f t="shared" si="351"/>
        <v>Junio</v>
      </c>
      <c r="I2319" s="6" t="str">
        <f t="shared" si="354"/>
        <v>2025-1</v>
      </c>
      <c r="J2319" s="5">
        <v>100</v>
      </c>
      <c r="K2319" s="5">
        <v>100</v>
      </c>
      <c r="L2319" s="15">
        <f t="shared" si="355"/>
        <v>1</v>
      </c>
      <c r="M2319" s="15">
        <f t="shared" si="356"/>
        <v>1</v>
      </c>
      <c r="N2319" s="5" t="s">
        <v>347</v>
      </c>
      <c r="O2319" s="5" t="s">
        <v>347</v>
      </c>
      <c r="P2319" s="16">
        <v>0</v>
      </c>
      <c r="Q2319" s="16">
        <v>0</v>
      </c>
      <c r="R2319" s="5" t="str">
        <f t="shared" si="359"/>
        <v>225-2025-06-30</v>
      </c>
    </row>
    <row r="2320" spans="1:18" x14ac:dyDescent="0.3">
      <c r="A2320" s="26">
        <v>518</v>
      </c>
      <c r="B2320" s="5" t="s">
        <v>19</v>
      </c>
      <c r="C2320" s="5" t="s">
        <v>20</v>
      </c>
      <c r="D2320" s="5" t="s">
        <v>21</v>
      </c>
      <c r="E2320" s="5" t="s">
        <v>9</v>
      </c>
      <c r="F2320" s="6">
        <v>45747</v>
      </c>
      <c r="G2320" s="5">
        <f t="shared" si="350"/>
        <v>2025</v>
      </c>
      <c r="H2320" s="5" t="str">
        <f t="shared" si="351"/>
        <v>Marzo</v>
      </c>
      <c r="I2320" s="6" t="str">
        <f t="shared" si="354"/>
        <v>2025-1</v>
      </c>
      <c r="J2320" s="5">
        <v>100</v>
      </c>
      <c r="K2320" s="10">
        <v>83.33</v>
      </c>
      <c r="L2320" s="15">
        <f t="shared" si="355"/>
        <v>0.83329999999999993</v>
      </c>
      <c r="M2320" s="15">
        <f t="shared" si="356"/>
        <v>0.83329999999999993</v>
      </c>
      <c r="N2320" s="5" t="s">
        <v>347</v>
      </c>
      <c r="O2320" s="5" t="s">
        <v>347</v>
      </c>
      <c r="P2320" s="16">
        <v>0</v>
      </c>
      <c r="Q2320" s="16">
        <v>0</v>
      </c>
      <c r="R2320" s="5" t="str">
        <f t="shared" si="359"/>
        <v>518-2025-03-31</v>
      </c>
    </row>
    <row r="2321" spans="1:18" x14ac:dyDescent="0.3">
      <c r="A2321" s="26">
        <v>518</v>
      </c>
      <c r="B2321" s="5" t="s">
        <v>19</v>
      </c>
      <c r="C2321" s="5" t="s">
        <v>20</v>
      </c>
      <c r="D2321" s="5" t="s">
        <v>21</v>
      </c>
      <c r="E2321" s="5" t="s">
        <v>9</v>
      </c>
      <c r="F2321" s="6">
        <v>45838</v>
      </c>
      <c r="G2321" s="5">
        <f t="shared" si="350"/>
        <v>2025</v>
      </c>
      <c r="H2321" s="5" t="str">
        <f t="shared" si="351"/>
        <v>Junio</v>
      </c>
      <c r="I2321" s="6" t="str">
        <f t="shared" si="354"/>
        <v>2025-1</v>
      </c>
      <c r="J2321" s="5">
        <v>100</v>
      </c>
      <c r="K2321" s="10">
        <v>87.5</v>
      </c>
      <c r="L2321" s="15">
        <f t="shared" si="355"/>
        <v>0.875</v>
      </c>
      <c r="M2321" s="15">
        <f t="shared" si="356"/>
        <v>0.875</v>
      </c>
      <c r="N2321" s="5" t="s">
        <v>347</v>
      </c>
      <c r="O2321" s="5" t="s">
        <v>347</v>
      </c>
      <c r="P2321" s="16">
        <v>0</v>
      </c>
      <c r="Q2321" s="16">
        <v>0</v>
      </c>
      <c r="R2321" s="5" t="str">
        <f t="shared" si="359"/>
        <v>518-2025-06-30</v>
      </c>
    </row>
    <row r="2322" spans="1:18" x14ac:dyDescent="0.3">
      <c r="A2322" s="26">
        <v>225</v>
      </c>
      <c r="B2322" s="5" t="s">
        <v>103</v>
      </c>
      <c r="C2322" s="5" t="s">
        <v>90</v>
      </c>
      <c r="D2322" s="5" t="s">
        <v>18</v>
      </c>
      <c r="E2322" s="5" t="s">
        <v>9</v>
      </c>
      <c r="F2322" s="6">
        <v>45869</v>
      </c>
      <c r="G2322" s="5">
        <f t="shared" si="350"/>
        <v>2025</v>
      </c>
      <c r="H2322" s="5" t="str">
        <f t="shared" si="351"/>
        <v>Julio</v>
      </c>
      <c r="I2322" s="6" t="str">
        <f t="shared" si="354"/>
        <v>2025-2</v>
      </c>
      <c r="J2322" s="5">
        <v>100</v>
      </c>
      <c r="K2322" s="5">
        <v>100</v>
      </c>
      <c r="L2322" s="15">
        <f t="shared" si="355"/>
        <v>1</v>
      </c>
      <c r="M2322" s="15">
        <f t="shared" si="356"/>
        <v>1</v>
      </c>
      <c r="N2322" s="5" t="s">
        <v>347</v>
      </c>
      <c r="O2322" s="5" t="s">
        <v>347</v>
      </c>
      <c r="P2322" s="16">
        <v>0</v>
      </c>
      <c r="Q2322" s="16">
        <v>0</v>
      </c>
      <c r="R2322" s="5" t="str">
        <f t="shared" si="359"/>
        <v>225-2025-07-31</v>
      </c>
    </row>
    <row r="2323" spans="1:18" x14ac:dyDescent="0.3">
      <c r="A2323" s="5">
        <v>273</v>
      </c>
      <c r="B2323" s="5" t="s">
        <v>157</v>
      </c>
      <c r="C2323" s="5" t="s">
        <v>158</v>
      </c>
      <c r="D2323" s="5" t="s">
        <v>8</v>
      </c>
      <c r="E2323" s="5" t="s">
        <v>9</v>
      </c>
      <c r="F2323" s="6">
        <v>45838</v>
      </c>
      <c r="G2323" s="5">
        <f t="shared" si="350"/>
        <v>2025</v>
      </c>
      <c r="H2323" s="5" t="str">
        <f t="shared" si="351"/>
        <v>Junio</v>
      </c>
      <c r="I2323" s="6" t="str">
        <f t="shared" si="354"/>
        <v>2025-1</v>
      </c>
      <c r="J2323" s="5">
        <v>2</v>
      </c>
      <c r="K2323" s="5">
        <v>3</v>
      </c>
      <c r="L2323" s="15">
        <f t="shared" si="355"/>
        <v>1.3</v>
      </c>
      <c r="M2323" s="15">
        <f t="shared" si="356"/>
        <v>1.5</v>
      </c>
      <c r="N2323" s="5" t="s">
        <v>490</v>
      </c>
      <c r="O2323" s="5" t="s">
        <v>490</v>
      </c>
      <c r="P2323" s="5">
        <v>0</v>
      </c>
      <c r="Q2323" s="5">
        <v>0</v>
      </c>
      <c r="R2323" s="5" t="str">
        <f t="shared" si="359"/>
        <v>273-2025-06-30</v>
      </c>
    </row>
    <row r="2324" spans="1:18" x14ac:dyDescent="0.3">
      <c r="A2324" s="26">
        <v>276</v>
      </c>
      <c r="B2324" s="5" t="s">
        <v>161</v>
      </c>
      <c r="C2324" s="5" t="s">
        <v>162</v>
      </c>
      <c r="D2324" s="5" t="s">
        <v>8</v>
      </c>
      <c r="E2324" s="5" t="s">
        <v>14</v>
      </c>
      <c r="F2324" s="6">
        <v>45838</v>
      </c>
      <c r="G2324" s="5">
        <f t="shared" si="350"/>
        <v>2025</v>
      </c>
      <c r="H2324" s="5" t="str">
        <f t="shared" si="351"/>
        <v>Junio</v>
      </c>
      <c r="I2324" s="6" t="str">
        <f t="shared" si="354"/>
        <v>2025-1</v>
      </c>
      <c r="J2324" s="5">
        <v>81</v>
      </c>
      <c r="K2324" s="10">
        <v>84.18</v>
      </c>
      <c r="L2324" s="15">
        <f t="shared" si="355"/>
        <v>1.0392592592592593</v>
      </c>
      <c r="M2324" s="15">
        <f t="shared" si="356"/>
        <v>1.0392592592592593</v>
      </c>
      <c r="N2324" s="5" t="s">
        <v>490</v>
      </c>
      <c r="O2324" s="5" t="s">
        <v>478</v>
      </c>
      <c r="P2324" s="16">
        <v>0</v>
      </c>
      <c r="Q2324" s="16">
        <v>1</v>
      </c>
      <c r="R2324" s="5" t="str">
        <f t="shared" si="359"/>
        <v>276-2025-06-30</v>
      </c>
    </row>
    <row r="2325" spans="1:18" x14ac:dyDescent="0.3">
      <c r="A2325" s="26">
        <v>283</v>
      </c>
      <c r="B2325" s="5" t="s">
        <v>169</v>
      </c>
      <c r="C2325" s="5" t="s">
        <v>162</v>
      </c>
      <c r="D2325" s="5" t="s">
        <v>8</v>
      </c>
      <c r="E2325" s="5" t="s">
        <v>9</v>
      </c>
      <c r="F2325" s="6">
        <v>45838</v>
      </c>
      <c r="G2325" s="5">
        <f t="shared" ref="G2325:G2388" si="360">YEAR(F2325)</f>
        <v>2025</v>
      </c>
      <c r="H2325" s="5" t="str">
        <f t="shared" ref="H2325:H2388" si="361">PROPER(TEXT(F2325,"mmmm"))</f>
        <v>Junio</v>
      </c>
      <c r="I2325" s="6" t="str">
        <f t="shared" ref="I2325:I2345" si="362">IF(OR(H2325="Enero",H2325="Febrero",H2325="Marzo",H2325="Abril",H2325="Mayo",H2325="Junio"),G2325&amp;"-1",IF(OR(H2325="Julio",H2325="Agosto",H2325="Septiembre",H2325="Octubre",H2325="Noviembre",H2325="Diciembre"),G2325&amp;"-2"))</f>
        <v>2025-1</v>
      </c>
      <c r="J2325" s="5">
        <v>4.5999999999999996</v>
      </c>
      <c r="K2325" s="10">
        <v>4.66</v>
      </c>
      <c r="L2325" s="15">
        <f t="shared" ref="L2325:L2345" si="363">IFERROR(IF((K2325/J2325)&gt;1.3,1.3,K2325/J2325),"")</f>
        <v>1.0130434782608697</v>
      </c>
      <c r="M2325" s="15">
        <f t="shared" ref="M2325:M2345" si="364">IFERROR(IF((K2325/J2325)&gt;K2325/J2325,1.3,K2325/J2325),"")</f>
        <v>1.0130434782608697</v>
      </c>
      <c r="N2325" s="5" t="s">
        <v>478</v>
      </c>
      <c r="O2325" s="5" t="s">
        <v>478</v>
      </c>
      <c r="P2325" s="16">
        <v>1</v>
      </c>
      <c r="Q2325" s="16">
        <v>2</v>
      </c>
      <c r="R2325" s="5" t="str">
        <f t="shared" si="359"/>
        <v>283-2025-06-30</v>
      </c>
    </row>
    <row r="2326" spans="1:18" x14ac:dyDescent="0.3">
      <c r="A2326" s="39">
        <v>323</v>
      </c>
      <c r="B2326" s="5" t="s">
        <v>208</v>
      </c>
      <c r="C2326" s="5" t="s">
        <v>209</v>
      </c>
      <c r="D2326" s="5" t="s">
        <v>8</v>
      </c>
      <c r="E2326" s="5" t="s">
        <v>9</v>
      </c>
      <c r="F2326" s="6">
        <v>45838</v>
      </c>
      <c r="G2326" s="5">
        <f t="shared" si="360"/>
        <v>2025</v>
      </c>
      <c r="H2326" s="5" t="str">
        <f t="shared" si="361"/>
        <v>Junio</v>
      </c>
      <c r="I2326" s="6" t="str">
        <f t="shared" si="362"/>
        <v>2025-1</v>
      </c>
      <c r="J2326" s="5">
        <v>1</v>
      </c>
      <c r="K2326" s="9">
        <v>1</v>
      </c>
      <c r="L2326" s="15">
        <f t="shared" si="363"/>
        <v>1</v>
      </c>
      <c r="M2326" s="15">
        <f t="shared" si="364"/>
        <v>1</v>
      </c>
      <c r="N2326" s="5" t="s">
        <v>490</v>
      </c>
      <c r="O2326" s="5" t="s">
        <v>490</v>
      </c>
      <c r="P2326" s="16">
        <v>0</v>
      </c>
      <c r="Q2326" s="16">
        <v>0</v>
      </c>
      <c r="R2326" s="5" t="str">
        <f t="shared" si="359"/>
        <v>323-2025-06-30</v>
      </c>
    </row>
    <row r="2327" spans="1:18" x14ac:dyDescent="0.3">
      <c r="A2327" s="26">
        <v>324</v>
      </c>
      <c r="B2327" s="5" t="s">
        <v>210</v>
      </c>
      <c r="C2327" s="5" t="s">
        <v>209</v>
      </c>
      <c r="D2327" s="5" t="s">
        <v>8</v>
      </c>
      <c r="E2327" s="5" t="s">
        <v>9</v>
      </c>
      <c r="F2327" s="6">
        <v>45838</v>
      </c>
      <c r="G2327" s="5">
        <f t="shared" si="360"/>
        <v>2025</v>
      </c>
      <c r="H2327" s="5" t="str">
        <f t="shared" si="361"/>
        <v>Junio</v>
      </c>
      <c r="I2327" s="6" t="str">
        <f t="shared" si="362"/>
        <v>2025-1</v>
      </c>
      <c r="J2327" s="5">
        <v>3</v>
      </c>
      <c r="K2327" s="10">
        <v>2</v>
      </c>
      <c r="L2327" s="15">
        <f t="shared" si="363"/>
        <v>0.66666666666666663</v>
      </c>
      <c r="M2327" s="15">
        <f t="shared" si="364"/>
        <v>0.66666666666666663</v>
      </c>
      <c r="N2327" s="5" t="s">
        <v>490</v>
      </c>
      <c r="O2327" s="5" t="s">
        <v>490</v>
      </c>
      <c r="P2327" s="16">
        <v>0</v>
      </c>
      <c r="Q2327" s="16">
        <v>0</v>
      </c>
      <c r="R2327" s="5" t="str">
        <f t="shared" si="359"/>
        <v>324-2025-06-30</v>
      </c>
    </row>
    <row r="2328" spans="1:18" x14ac:dyDescent="0.3">
      <c r="A2328" s="43">
        <v>325</v>
      </c>
      <c r="B2328" s="5" t="s">
        <v>211</v>
      </c>
      <c r="C2328" s="5" t="s">
        <v>209</v>
      </c>
      <c r="D2328" s="5" t="s">
        <v>8</v>
      </c>
      <c r="E2328" s="5" t="s">
        <v>9</v>
      </c>
      <c r="F2328" s="6">
        <v>45838</v>
      </c>
      <c r="G2328" s="5">
        <f t="shared" si="360"/>
        <v>2025</v>
      </c>
      <c r="H2328" s="5" t="str">
        <f t="shared" si="361"/>
        <v>Junio</v>
      </c>
      <c r="I2328" s="6" t="str">
        <f t="shared" si="362"/>
        <v>2025-1</v>
      </c>
      <c r="J2328" s="5">
        <v>8</v>
      </c>
      <c r="K2328" s="9">
        <v>8</v>
      </c>
      <c r="L2328" s="15">
        <f t="shared" si="363"/>
        <v>1</v>
      </c>
      <c r="M2328" s="15">
        <f t="shared" si="364"/>
        <v>1</v>
      </c>
      <c r="N2328" s="5" t="s">
        <v>490</v>
      </c>
      <c r="O2328" s="5" t="s">
        <v>490</v>
      </c>
      <c r="P2328" s="16">
        <v>0</v>
      </c>
      <c r="Q2328" s="16">
        <v>0</v>
      </c>
      <c r="R2328" s="5" t="str">
        <f t="shared" si="359"/>
        <v>325-2025-06-30</v>
      </c>
    </row>
    <row r="2329" spans="1:18" x14ac:dyDescent="0.3">
      <c r="A2329" s="26">
        <v>96</v>
      </c>
      <c r="B2329" s="23" t="s">
        <v>346</v>
      </c>
      <c r="C2329" s="5" t="s">
        <v>59</v>
      </c>
      <c r="D2329" s="5" t="s">
        <v>8</v>
      </c>
      <c r="E2329" s="5" t="s">
        <v>9</v>
      </c>
      <c r="F2329" s="6">
        <v>45838</v>
      </c>
      <c r="G2329" s="5">
        <f t="shared" si="360"/>
        <v>2025</v>
      </c>
      <c r="H2329" s="5" t="str">
        <f t="shared" si="361"/>
        <v>Junio</v>
      </c>
      <c r="I2329" s="6" t="str">
        <f t="shared" si="362"/>
        <v>2025-1</v>
      </c>
      <c r="J2329" s="5">
        <v>369</v>
      </c>
      <c r="K2329" s="5">
        <v>103</v>
      </c>
      <c r="L2329" s="15">
        <f t="shared" si="363"/>
        <v>0.2791327913279133</v>
      </c>
      <c r="M2329" s="15">
        <f t="shared" si="364"/>
        <v>0.2791327913279133</v>
      </c>
      <c r="N2329" s="5" t="s">
        <v>347</v>
      </c>
      <c r="O2329" s="5" t="s">
        <v>347</v>
      </c>
      <c r="P2329" s="16">
        <v>0</v>
      </c>
      <c r="Q2329" s="16">
        <v>0</v>
      </c>
      <c r="R2329" s="5" t="str">
        <f t="shared" si="359"/>
        <v>96-2025-06-30</v>
      </c>
    </row>
    <row r="2330" spans="1:18" x14ac:dyDescent="0.3">
      <c r="A2330" s="26">
        <v>473</v>
      </c>
      <c r="B2330" s="5" t="s">
        <v>724</v>
      </c>
      <c r="C2330" s="5" t="s">
        <v>129</v>
      </c>
      <c r="D2330" s="5" t="s">
        <v>8</v>
      </c>
      <c r="E2330" s="5" t="s">
        <v>9</v>
      </c>
      <c r="F2330" s="6">
        <v>45838</v>
      </c>
      <c r="G2330" s="5">
        <f t="shared" si="360"/>
        <v>2025</v>
      </c>
      <c r="H2330" s="5" t="str">
        <f t="shared" si="361"/>
        <v>Junio</v>
      </c>
      <c r="I2330" s="6" t="str">
        <f t="shared" si="362"/>
        <v>2025-1</v>
      </c>
      <c r="J2330" s="34">
        <v>72</v>
      </c>
      <c r="K2330" s="86">
        <v>72</v>
      </c>
      <c r="L2330" s="15">
        <f t="shared" si="363"/>
        <v>1</v>
      </c>
      <c r="M2330" s="15">
        <f t="shared" si="364"/>
        <v>1</v>
      </c>
      <c r="N2330" s="5" t="s">
        <v>490</v>
      </c>
      <c r="O2330" s="5" t="s">
        <v>490</v>
      </c>
      <c r="P2330" s="16">
        <v>0</v>
      </c>
      <c r="Q2330" s="16">
        <v>0</v>
      </c>
      <c r="R2330" s="5" t="str">
        <f t="shared" si="359"/>
        <v>473-2025-06-30</v>
      </c>
    </row>
    <row r="2331" spans="1:18" x14ac:dyDescent="0.3">
      <c r="A2331" s="26">
        <v>476</v>
      </c>
      <c r="B2331" s="5" t="s">
        <v>725</v>
      </c>
      <c r="C2331" s="5" t="s">
        <v>129</v>
      </c>
      <c r="D2331" s="5" t="s">
        <v>8</v>
      </c>
      <c r="E2331" s="5" t="s">
        <v>9</v>
      </c>
      <c r="F2331" s="6">
        <v>45838</v>
      </c>
      <c r="G2331" s="5">
        <f t="shared" si="360"/>
        <v>2025</v>
      </c>
      <c r="H2331" s="5" t="str">
        <f t="shared" si="361"/>
        <v>Junio</v>
      </c>
      <c r="I2331" s="6" t="str">
        <f t="shared" si="362"/>
        <v>2025-1</v>
      </c>
      <c r="J2331" s="5">
        <v>6</v>
      </c>
      <c r="K2331" s="10">
        <v>6</v>
      </c>
      <c r="L2331" s="15">
        <f t="shared" si="363"/>
        <v>1</v>
      </c>
      <c r="M2331" s="15">
        <f t="shared" si="364"/>
        <v>1</v>
      </c>
      <c r="N2331" s="5" t="s">
        <v>490</v>
      </c>
      <c r="O2331" s="5" t="s">
        <v>490</v>
      </c>
      <c r="P2331" s="16">
        <v>0</v>
      </c>
      <c r="Q2331" s="16">
        <v>0</v>
      </c>
      <c r="R2331" s="5" t="str">
        <f t="shared" si="359"/>
        <v>476-2025-06-30</v>
      </c>
    </row>
    <row r="2332" spans="1:18" x14ac:dyDescent="0.3">
      <c r="A2332" s="26">
        <v>193</v>
      </c>
      <c r="B2332" s="5" t="s">
        <v>73</v>
      </c>
      <c r="C2332" s="5" t="s">
        <v>74</v>
      </c>
      <c r="D2332" s="5" t="s">
        <v>8</v>
      </c>
      <c r="E2332" s="5" t="s">
        <v>9</v>
      </c>
      <c r="F2332" s="6">
        <v>45838</v>
      </c>
      <c r="G2332" s="5">
        <f t="shared" si="360"/>
        <v>2025</v>
      </c>
      <c r="H2332" s="5" t="str">
        <f t="shared" si="361"/>
        <v>Junio</v>
      </c>
      <c r="I2332" s="6" t="str">
        <f t="shared" si="362"/>
        <v>2025-1</v>
      </c>
      <c r="J2332" s="5">
        <v>93</v>
      </c>
      <c r="K2332" s="10">
        <v>96.21</v>
      </c>
      <c r="L2332" s="15">
        <f t="shared" si="363"/>
        <v>1.034516129032258</v>
      </c>
      <c r="M2332" s="15">
        <f t="shared" si="364"/>
        <v>1.034516129032258</v>
      </c>
      <c r="N2332" s="5" t="s">
        <v>347</v>
      </c>
      <c r="O2332" s="5" t="s">
        <v>347</v>
      </c>
      <c r="P2332" s="16">
        <v>1</v>
      </c>
      <c r="Q2332" s="16">
        <v>1</v>
      </c>
      <c r="R2332" s="5" t="str">
        <f t="shared" si="359"/>
        <v>193-2025-06-30</v>
      </c>
    </row>
    <row r="2333" spans="1:18" x14ac:dyDescent="0.3">
      <c r="A2333" s="26">
        <v>290</v>
      </c>
      <c r="B2333" s="5" t="s">
        <v>175</v>
      </c>
      <c r="C2333" s="5" t="s">
        <v>114</v>
      </c>
      <c r="D2333" s="5" t="s">
        <v>21</v>
      </c>
      <c r="E2333" s="5" t="s">
        <v>9</v>
      </c>
      <c r="F2333" s="6">
        <v>45716</v>
      </c>
      <c r="G2333" s="5">
        <f t="shared" si="360"/>
        <v>2025</v>
      </c>
      <c r="H2333" s="5" t="str">
        <f t="shared" si="361"/>
        <v>Febrero</v>
      </c>
      <c r="I2333" s="6" t="str">
        <f t="shared" si="362"/>
        <v>2025-1</v>
      </c>
      <c r="J2333" s="5">
        <v>90</v>
      </c>
      <c r="K2333" s="10">
        <v>80</v>
      </c>
      <c r="L2333" s="15">
        <f t="shared" si="363"/>
        <v>0.88888888888888884</v>
      </c>
      <c r="M2333" s="15">
        <f t="shared" si="364"/>
        <v>0.88888888888888884</v>
      </c>
      <c r="N2333" s="5" t="s">
        <v>347</v>
      </c>
      <c r="O2333" s="5" t="s">
        <v>347</v>
      </c>
      <c r="P2333" s="16">
        <v>0</v>
      </c>
      <c r="Q2333" s="16">
        <v>0</v>
      </c>
      <c r="R2333" s="5" t="str">
        <f t="shared" si="359"/>
        <v>290-2025-02-28</v>
      </c>
    </row>
    <row r="2334" spans="1:18" x14ac:dyDescent="0.3">
      <c r="A2334" s="26">
        <v>290</v>
      </c>
      <c r="B2334" s="5" t="s">
        <v>175</v>
      </c>
      <c r="C2334" s="5" t="s">
        <v>114</v>
      </c>
      <c r="D2334" s="5" t="s">
        <v>21</v>
      </c>
      <c r="E2334" s="5" t="s">
        <v>9</v>
      </c>
      <c r="F2334" s="6">
        <v>45777</v>
      </c>
      <c r="G2334" s="5">
        <f t="shared" si="360"/>
        <v>2025</v>
      </c>
      <c r="H2334" s="5" t="str">
        <f t="shared" si="361"/>
        <v>Abril</v>
      </c>
      <c r="I2334" s="6" t="str">
        <f t="shared" si="362"/>
        <v>2025-1</v>
      </c>
      <c r="J2334" s="5">
        <v>90</v>
      </c>
      <c r="K2334" s="10">
        <v>100</v>
      </c>
      <c r="L2334" s="15">
        <f t="shared" si="363"/>
        <v>1.1111111111111112</v>
      </c>
      <c r="M2334" s="15">
        <f t="shared" si="364"/>
        <v>1.1111111111111112</v>
      </c>
      <c r="N2334" s="5" t="s">
        <v>347</v>
      </c>
      <c r="O2334" s="5" t="s">
        <v>347</v>
      </c>
      <c r="P2334" s="16">
        <v>0</v>
      </c>
      <c r="Q2334" s="16">
        <v>0</v>
      </c>
      <c r="R2334" s="5" t="str">
        <f t="shared" si="359"/>
        <v>290-2025-04-30</v>
      </c>
    </row>
    <row r="2335" spans="1:18" x14ac:dyDescent="0.3">
      <c r="A2335" s="5">
        <v>290</v>
      </c>
      <c r="B2335" s="5" t="s">
        <v>175</v>
      </c>
      <c r="C2335" s="5" t="s">
        <v>114</v>
      </c>
      <c r="D2335" s="5" t="s">
        <v>21</v>
      </c>
      <c r="E2335" s="5" t="s">
        <v>9</v>
      </c>
      <c r="F2335" s="6">
        <v>45838</v>
      </c>
      <c r="G2335" s="5">
        <f t="shared" si="360"/>
        <v>2025</v>
      </c>
      <c r="H2335" s="5" t="str">
        <f t="shared" si="361"/>
        <v>Junio</v>
      </c>
      <c r="I2335" s="6" t="str">
        <f t="shared" si="362"/>
        <v>2025-1</v>
      </c>
      <c r="J2335" s="5">
        <v>90</v>
      </c>
      <c r="K2335" s="5">
        <v>100</v>
      </c>
      <c r="L2335" s="15">
        <f t="shared" si="363"/>
        <v>1.1111111111111112</v>
      </c>
      <c r="M2335" s="15">
        <f t="shared" si="364"/>
        <v>1.1111111111111112</v>
      </c>
      <c r="N2335" s="5" t="s">
        <v>347</v>
      </c>
      <c r="O2335" s="5" t="s">
        <v>347</v>
      </c>
      <c r="P2335" s="5">
        <v>0</v>
      </c>
      <c r="Q2335" s="5">
        <v>0</v>
      </c>
      <c r="R2335" s="5" t="str">
        <f t="shared" si="359"/>
        <v>290-2025-06-30</v>
      </c>
    </row>
    <row r="2336" spans="1:18" x14ac:dyDescent="0.3">
      <c r="A2336" s="26">
        <v>194</v>
      </c>
      <c r="B2336" s="5" t="s">
        <v>75</v>
      </c>
      <c r="C2336" s="5" t="s">
        <v>74</v>
      </c>
      <c r="D2336" s="5" t="s">
        <v>8</v>
      </c>
      <c r="E2336" s="5" t="s">
        <v>9</v>
      </c>
      <c r="F2336" s="6">
        <v>45838</v>
      </c>
      <c r="G2336" s="5">
        <f t="shared" si="360"/>
        <v>2025</v>
      </c>
      <c r="H2336" s="5" t="str">
        <f t="shared" si="361"/>
        <v>Junio</v>
      </c>
      <c r="I2336" s="6" t="str">
        <f t="shared" si="362"/>
        <v>2025-1</v>
      </c>
      <c r="J2336" s="5">
        <v>80</v>
      </c>
      <c r="K2336" s="9">
        <v>90</v>
      </c>
      <c r="L2336" s="15">
        <f t="shared" si="363"/>
        <v>1.125</v>
      </c>
      <c r="M2336" s="15">
        <f t="shared" si="364"/>
        <v>1.125</v>
      </c>
      <c r="N2336" s="5" t="s">
        <v>347</v>
      </c>
      <c r="O2336" s="5" t="s">
        <v>347</v>
      </c>
      <c r="P2336" s="16">
        <v>0</v>
      </c>
      <c r="Q2336" s="16">
        <v>0</v>
      </c>
      <c r="R2336" s="5" t="str">
        <f t="shared" si="359"/>
        <v>194-2025-06-30</v>
      </c>
    </row>
    <row r="2337" spans="1:18" x14ac:dyDescent="0.3">
      <c r="A2337" s="26">
        <v>124</v>
      </c>
      <c r="B2337" s="5" t="s">
        <v>48</v>
      </c>
      <c r="C2337" s="5" t="s">
        <v>24</v>
      </c>
      <c r="D2337" s="5" t="s">
        <v>18</v>
      </c>
      <c r="E2337" s="5" t="s">
        <v>14</v>
      </c>
      <c r="F2337" s="6">
        <v>45869</v>
      </c>
      <c r="G2337" s="5">
        <f t="shared" si="360"/>
        <v>2025</v>
      </c>
      <c r="H2337" s="5" t="str">
        <f t="shared" si="361"/>
        <v>Julio</v>
      </c>
      <c r="I2337" s="6" t="str">
        <f t="shared" si="362"/>
        <v>2025-2</v>
      </c>
      <c r="J2337" s="5">
        <v>0.2</v>
      </c>
      <c r="K2337" s="88">
        <v>0.08</v>
      </c>
      <c r="L2337" s="8">
        <f t="shared" ref="L2337" si="365">IF(K2337&lt;J2337,100%,K2337&lt;J2337)</f>
        <v>1</v>
      </c>
      <c r="M2337" s="8">
        <f t="shared" ref="M2337" si="366">IF(K2337&lt;J2337,100%,K2337&lt;J2337)</f>
        <v>1</v>
      </c>
      <c r="N2337" s="5" t="s">
        <v>478</v>
      </c>
      <c r="O2337" s="5" t="s">
        <v>478</v>
      </c>
      <c r="P2337" s="16">
        <v>1</v>
      </c>
      <c r="Q2337" s="16">
        <v>2</v>
      </c>
      <c r="R2337" s="5" t="str">
        <f t="shared" si="359"/>
        <v>124-2025-07-31</v>
      </c>
    </row>
    <row r="2338" spans="1:18" x14ac:dyDescent="0.3">
      <c r="A2338" s="26">
        <v>431</v>
      </c>
      <c r="B2338" s="5" t="s">
        <v>325</v>
      </c>
      <c r="C2338" s="5" t="s">
        <v>24</v>
      </c>
      <c r="D2338" s="5" t="s">
        <v>11</v>
      </c>
      <c r="E2338" s="5" t="s">
        <v>9</v>
      </c>
      <c r="F2338" s="6">
        <v>45747</v>
      </c>
      <c r="G2338" s="5">
        <f t="shared" si="360"/>
        <v>2025</v>
      </c>
      <c r="H2338" s="5" t="str">
        <f t="shared" si="361"/>
        <v>Marzo</v>
      </c>
      <c r="I2338" s="6" t="str">
        <f t="shared" si="362"/>
        <v>2025-1</v>
      </c>
      <c r="J2338" s="5">
        <v>100</v>
      </c>
      <c r="K2338" s="10">
        <v>100</v>
      </c>
      <c r="L2338" s="15">
        <f t="shared" si="363"/>
        <v>1</v>
      </c>
      <c r="M2338" s="15">
        <f t="shared" si="364"/>
        <v>1</v>
      </c>
      <c r="N2338" s="5" t="s">
        <v>347</v>
      </c>
      <c r="O2338" s="5" t="s">
        <v>347</v>
      </c>
      <c r="P2338" s="16">
        <v>0</v>
      </c>
      <c r="Q2338" s="16">
        <v>0</v>
      </c>
      <c r="R2338" s="5" t="str">
        <f t="shared" si="359"/>
        <v>431-2025-03-31</v>
      </c>
    </row>
    <row r="2339" spans="1:18" x14ac:dyDescent="0.3">
      <c r="A2339" s="5">
        <v>431</v>
      </c>
      <c r="B2339" s="5" t="s">
        <v>325</v>
      </c>
      <c r="C2339" s="5" t="s">
        <v>24</v>
      </c>
      <c r="D2339" s="5" t="s">
        <v>11</v>
      </c>
      <c r="E2339" s="5" t="s">
        <v>9</v>
      </c>
      <c r="F2339" s="6">
        <v>45838</v>
      </c>
      <c r="G2339" s="5">
        <f t="shared" si="360"/>
        <v>2025</v>
      </c>
      <c r="H2339" s="5" t="str">
        <f t="shared" si="361"/>
        <v>Junio</v>
      </c>
      <c r="I2339" s="6" t="str">
        <f t="shared" si="362"/>
        <v>2025-1</v>
      </c>
      <c r="J2339" s="5">
        <v>100</v>
      </c>
      <c r="K2339" s="5">
        <v>100</v>
      </c>
      <c r="L2339" s="15">
        <f t="shared" si="363"/>
        <v>1</v>
      </c>
      <c r="M2339" s="15">
        <f t="shared" si="364"/>
        <v>1</v>
      </c>
      <c r="N2339" s="5" t="s">
        <v>347</v>
      </c>
      <c r="O2339" s="5" t="s">
        <v>347</v>
      </c>
      <c r="P2339" s="5">
        <v>0</v>
      </c>
      <c r="Q2339" s="5">
        <v>0</v>
      </c>
      <c r="R2339" s="5" t="str">
        <f t="shared" si="359"/>
        <v>431-2025-06-30</v>
      </c>
    </row>
    <row r="2340" spans="1:18" x14ac:dyDescent="0.3">
      <c r="A2340" s="26">
        <v>432</v>
      </c>
      <c r="B2340" s="5" t="s">
        <v>326</v>
      </c>
      <c r="C2340" s="5" t="s">
        <v>24</v>
      </c>
      <c r="D2340" s="5" t="s">
        <v>11</v>
      </c>
      <c r="E2340" s="5" t="s">
        <v>9</v>
      </c>
      <c r="F2340" s="6">
        <v>45747</v>
      </c>
      <c r="G2340" s="5">
        <f t="shared" si="360"/>
        <v>2025</v>
      </c>
      <c r="H2340" s="5" t="str">
        <f t="shared" si="361"/>
        <v>Marzo</v>
      </c>
      <c r="I2340" s="6" t="str">
        <f t="shared" si="362"/>
        <v>2025-1</v>
      </c>
      <c r="J2340" s="5">
        <v>90</v>
      </c>
      <c r="K2340" s="10">
        <v>100</v>
      </c>
      <c r="L2340" s="15">
        <f t="shared" si="363"/>
        <v>1.1111111111111112</v>
      </c>
      <c r="M2340" s="15">
        <f t="shared" si="364"/>
        <v>1.1111111111111112</v>
      </c>
      <c r="N2340" s="5" t="s">
        <v>347</v>
      </c>
      <c r="O2340" s="5" t="s">
        <v>347</v>
      </c>
      <c r="P2340" s="16">
        <v>0</v>
      </c>
      <c r="Q2340" s="16">
        <v>0</v>
      </c>
      <c r="R2340" s="5" t="str">
        <f t="shared" si="359"/>
        <v>432-2025-03-31</v>
      </c>
    </row>
    <row r="2341" spans="1:18" x14ac:dyDescent="0.3">
      <c r="A2341" s="5">
        <v>432</v>
      </c>
      <c r="B2341" s="5" t="s">
        <v>326</v>
      </c>
      <c r="C2341" s="5" t="s">
        <v>24</v>
      </c>
      <c r="D2341" s="5" t="s">
        <v>11</v>
      </c>
      <c r="E2341" s="5" t="s">
        <v>9</v>
      </c>
      <c r="F2341" s="6">
        <v>45838</v>
      </c>
      <c r="G2341" s="5">
        <f t="shared" si="360"/>
        <v>2025</v>
      </c>
      <c r="H2341" s="5" t="str">
        <f t="shared" si="361"/>
        <v>Junio</v>
      </c>
      <c r="I2341" s="6" t="str">
        <f t="shared" si="362"/>
        <v>2025-1</v>
      </c>
      <c r="J2341" s="5">
        <v>90</v>
      </c>
      <c r="K2341" s="5">
        <v>100</v>
      </c>
      <c r="L2341" s="15">
        <f t="shared" si="363"/>
        <v>1.1111111111111112</v>
      </c>
      <c r="M2341" s="15">
        <f t="shared" si="364"/>
        <v>1.1111111111111112</v>
      </c>
      <c r="N2341" s="5" t="s">
        <v>347</v>
      </c>
      <c r="O2341" s="5" t="s">
        <v>347</v>
      </c>
      <c r="P2341" s="5">
        <v>0</v>
      </c>
      <c r="Q2341" s="5">
        <v>0</v>
      </c>
      <c r="R2341" s="5" t="str">
        <f t="shared" si="359"/>
        <v>432-2025-06-30</v>
      </c>
    </row>
    <row r="2342" spans="1:18" x14ac:dyDescent="0.3">
      <c r="A2342" s="26">
        <v>484</v>
      </c>
      <c r="B2342" s="5" t="s">
        <v>720</v>
      </c>
      <c r="C2342" s="5" t="s">
        <v>24</v>
      </c>
      <c r="D2342" s="5" t="s">
        <v>11</v>
      </c>
      <c r="E2342" s="5" t="s">
        <v>9</v>
      </c>
      <c r="F2342" s="6">
        <v>45747</v>
      </c>
      <c r="G2342" s="5">
        <f t="shared" si="360"/>
        <v>2025</v>
      </c>
      <c r="H2342" s="5" t="str">
        <f t="shared" si="361"/>
        <v>Marzo</v>
      </c>
      <c r="I2342" s="6" t="str">
        <f t="shared" si="362"/>
        <v>2025-1</v>
      </c>
      <c r="J2342" s="5">
        <v>90</v>
      </c>
      <c r="K2342" s="10">
        <v>100</v>
      </c>
      <c r="L2342" s="15">
        <f t="shared" si="363"/>
        <v>1.1111111111111112</v>
      </c>
      <c r="M2342" s="15">
        <f t="shared" si="364"/>
        <v>1.1111111111111112</v>
      </c>
      <c r="N2342" s="5" t="s">
        <v>347</v>
      </c>
      <c r="O2342" s="5" t="s">
        <v>347</v>
      </c>
      <c r="P2342" s="16">
        <v>0</v>
      </c>
      <c r="Q2342" s="16">
        <v>0</v>
      </c>
      <c r="R2342" s="5" t="str">
        <f t="shared" si="359"/>
        <v>484-2025-03-31</v>
      </c>
    </row>
    <row r="2343" spans="1:18" x14ac:dyDescent="0.3">
      <c r="A2343" s="26">
        <v>484</v>
      </c>
      <c r="B2343" s="5" t="s">
        <v>720</v>
      </c>
      <c r="C2343" s="5" t="s">
        <v>24</v>
      </c>
      <c r="D2343" s="5" t="s">
        <v>11</v>
      </c>
      <c r="E2343" s="5" t="s">
        <v>9</v>
      </c>
      <c r="F2343" s="6">
        <v>45838</v>
      </c>
      <c r="G2343" s="5">
        <f t="shared" si="360"/>
        <v>2025</v>
      </c>
      <c r="H2343" s="5" t="str">
        <f t="shared" si="361"/>
        <v>Junio</v>
      </c>
      <c r="I2343" s="6" t="str">
        <f t="shared" si="362"/>
        <v>2025-1</v>
      </c>
      <c r="J2343" s="5">
        <v>90</v>
      </c>
      <c r="K2343" s="10">
        <v>100</v>
      </c>
      <c r="L2343" s="15">
        <f t="shared" si="363"/>
        <v>1.1111111111111112</v>
      </c>
      <c r="M2343" s="15">
        <f t="shared" si="364"/>
        <v>1.1111111111111112</v>
      </c>
      <c r="N2343" s="5" t="s">
        <v>347</v>
      </c>
      <c r="O2343" s="5" t="s">
        <v>347</v>
      </c>
      <c r="P2343" s="16">
        <v>0</v>
      </c>
      <c r="Q2343" s="16">
        <v>0</v>
      </c>
      <c r="R2343" s="5" t="str">
        <f t="shared" si="359"/>
        <v>484-2025-06-30</v>
      </c>
    </row>
    <row r="2344" spans="1:18" x14ac:dyDescent="0.3">
      <c r="A2344" s="26">
        <v>77</v>
      </c>
      <c r="B2344" s="5" t="s">
        <v>16</v>
      </c>
      <c r="C2344" s="5" t="s">
        <v>343</v>
      </c>
      <c r="D2344" s="5" t="s">
        <v>18</v>
      </c>
      <c r="E2344" s="5" t="s">
        <v>9</v>
      </c>
      <c r="F2344" s="6">
        <v>45688</v>
      </c>
      <c r="G2344" s="5">
        <f t="shared" si="360"/>
        <v>2025</v>
      </c>
      <c r="H2344" s="5" t="str">
        <f t="shared" si="361"/>
        <v>Enero</v>
      </c>
      <c r="I2344" s="6" t="str">
        <f t="shared" si="362"/>
        <v>2025-1</v>
      </c>
      <c r="J2344" s="5">
        <v>97</v>
      </c>
      <c r="K2344" s="10">
        <v>96</v>
      </c>
      <c r="L2344" s="28">
        <f t="shared" si="363"/>
        <v>0.98969072164948457</v>
      </c>
      <c r="M2344" s="28">
        <f t="shared" si="364"/>
        <v>0.98969072164948457</v>
      </c>
      <c r="N2344" s="5" t="s">
        <v>347</v>
      </c>
      <c r="O2344" s="5" t="s">
        <v>347</v>
      </c>
      <c r="P2344" s="16">
        <v>1</v>
      </c>
      <c r="Q2344" s="16">
        <v>1</v>
      </c>
      <c r="R2344" s="5" t="str">
        <f t="shared" si="359"/>
        <v>77-2025-01-31</v>
      </c>
    </row>
    <row r="2345" spans="1:18" x14ac:dyDescent="0.3">
      <c r="A2345" s="26">
        <v>77</v>
      </c>
      <c r="B2345" s="5" t="s">
        <v>16</v>
      </c>
      <c r="C2345" s="5" t="s">
        <v>343</v>
      </c>
      <c r="D2345" s="5" t="s">
        <v>18</v>
      </c>
      <c r="E2345" s="5" t="s">
        <v>9</v>
      </c>
      <c r="F2345" s="6">
        <v>45716</v>
      </c>
      <c r="G2345" s="5">
        <f t="shared" si="360"/>
        <v>2025</v>
      </c>
      <c r="H2345" s="5" t="str">
        <f t="shared" si="361"/>
        <v>Febrero</v>
      </c>
      <c r="I2345" s="6" t="str">
        <f t="shared" si="362"/>
        <v>2025-1</v>
      </c>
      <c r="J2345" s="5">
        <v>97</v>
      </c>
      <c r="K2345" s="10">
        <v>94</v>
      </c>
      <c r="L2345" s="28">
        <f t="shared" si="363"/>
        <v>0.96907216494845361</v>
      </c>
      <c r="M2345" s="28">
        <f t="shared" si="364"/>
        <v>0.96907216494845361</v>
      </c>
      <c r="N2345" s="5" t="s">
        <v>347</v>
      </c>
      <c r="O2345" s="5" t="s">
        <v>347</v>
      </c>
      <c r="P2345" s="16">
        <v>1</v>
      </c>
      <c r="Q2345" s="16">
        <v>1</v>
      </c>
      <c r="R2345" s="5" t="str">
        <f t="shared" si="359"/>
        <v>77-2025-02-28</v>
      </c>
    </row>
    <row r="2346" spans="1:18" x14ac:dyDescent="0.3">
      <c r="A2346" s="26">
        <v>77</v>
      </c>
      <c r="B2346" s="5" t="s">
        <v>16</v>
      </c>
      <c r="C2346" s="5" t="s">
        <v>343</v>
      </c>
      <c r="D2346" s="5" t="s">
        <v>18</v>
      </c>
      <c r="E2346" s="5" t="s">
        <v>9</v>
      </c>
      <c r="F2346" s="6">
        <v>45747</v>
      </c>
      <c r="G2346" s="5">
        <f t="shared" si="360"/>
        <v>2025</v>
      </c>
      <c r="H2346" s="5" t="str">
        <f t="shared" si="361"/>
        <v>Marzo</v>
      </c>
      <c r="I2346" s="6" t="str">
        <f t="shared" ref="I2346:I2359" si="367">IF(OR(H2346="Enero",H2346="Febrero",H2346="Marzo",H2346="Abril",H2346="Mayo",H2346="Junio"),G2346&amp;"-1",IF(OR(H2346="Julio",H2346="Agosto",H2346="Septiembre",H2346="Octubre",H2346="Noviembre",H2346="Diciembre"),G2346&amp;"-2"))</f>
        <v>2025-1</v>
      </c>
      <c r="J2346" s="5">
        <v>97</v>
      </c>
      <c r="K2346" s="10">
        <v>97</v>
      </c>
      <c r="L2346" s="28">
        <f t="shared" ref="L2346:L2349" si="368">IFERROR(IF((K2346/J2346)&gt;1.3,1.3,K2346/J2346),"")</f>
        <v>1</v>
      </c>
      <c r="M2346" s="28">
        <f t="shared" ref="M2346:M2349" si="369">IFERROR(IF((K2346/J2346)&gt;K2346/J2346,1.3,K2346/J2346),"")</f>
        <v>1</v>
      </c>
      <c r="N2346" s="5" t="s">
        <v>347</v>
      </c>
      <c r="O2346" s="5" t="s">
        <v>347</v>
      </c>
      <c r="P2346" s="16">
        <v>1</v>
      </c>
      <c r="Q2346" s="16">
        <v>1</v>
      </c>
      <c r="R2346" s="5" t="str">
        <f t="shared" ref="R2346:R2359" si="370">A2346&amp;"-"&amp;YEAR(F2346)&amp;"-"&amp;IF(LEN(MONTH(F2346))=1,"0"&amp;MONTH(F2346),MONTH(F2346))&amp;"-"&amp;DAY(F2346)</f>
        <v>77-2025-03-31</v>
      </c>
    </row>
    <row r="2347" spans="1:18" x14ac:dyDescent="0.3">
      <c r="A2347" s="26">
        <v>77</v>
      </c>
      <c r="B2347" s="5" t="s">
        <v>16</v>
      </c>
      <c r="C2347" s="5" t="s">
        <v>343</v>
      </c>
      <c r="D2347" s="5" t="s">
        <v>18</v>
      </c>
      <c r="E2347" s="5" t="s">
        <v>9</v>
      </c>
      <c r="F2347" s="6">
        <v>45777</v>
      </c>
      <c r="G2347" s="5">
        <f t="shared" si="360"/>
        <v>2025</v>
      </c>
      <c r="H2347" s="5" t="str">
        <f t="shared" si="361"/>
        <v>Abril</v>
      </c>
      <c r="I2347" s="6" t="str">
        <f t="shared" si="367"/>
        <v>2025-1</v>
      </c>
      <c r="J2347" s="5">
        <v>97</v>
      </c>
      <c r="K2347" s="10">
        <v>87.7</v>
      </c>
      <c r="L2347" s="28">
        <f t="shared" si="368"/>
        <v>0.90412371134020619</v>
      </c>
      <c r="M2347" s="28">
        <f t="shared" si="369"/>
        <v>0.90412371134020619</v>
      </c>
      <c r="N2347" s="5" t="s">
        <v>347</v>
      </c>
      <c r="O2347" s="5" t="s">
        <v>347</v>
      </c>
      <c r="P2347" s="16">
        <v>1</v>
      </c>
      <c r="Q2347" s="16">
        <v>1</v>
      </c>
      <c r="R2347" s="5" t="str">
        <f t="shared" si="370"/>
        <v>77-2025-04-30</v>
      </c>
    </row>
    <row r="2348" spans="1:18" x14ac:dyDescent="0.3">
      <c r="A2348" s="26">
        <v>77</v>
      </c>
      <c r="B2348" s="5" t="s">
        <v>16</v>
      </c>
      <c r="C2348" s="5" t="s">
        <v>343</v>
      </c>
      <c r="D2348" s="5" t="s">
        <v>18</v>
      </c>
      <c r="E2348" s="5" t="s">
        <v>9</v>
      </c>
      <c r="F2348" s="6">
        <v>45808</v>
      </c>
      <c r="G2348" s="5">
        <f t="shared" si="360"/>
        <v>2025</v>
      </c>
      <c r="H2348" s="5" t="str">
        <f t="shared" si="361"/>
        <v>Mayo</v>
      </c>
      <c r="I2348" s="6" t="str">
        <f t="shared" si="367"/>
        <v>2025-1</v>
      </c>
      <c r="J2348" s="5">
        <v>97</v>
      </c>
      <c r="K2348" s="10">
        <v>97</v>
      </c>
      <c r="L2348" s="28">
        <f t="shared" si="368"/>
        <v>1</v>
      </c>
      <c r="M2348" s="28">
        <f t="shared" si="369"/>
        <v>1</v>
      </c>
      <c r="N2348" s="5" t="s">
        <v>347</v>
      </c>
      <c r="O2348" s="5" t="s">
        <v>347</v>
      </c>
      <c r="P2348" s="16">
        <v>1</v>
      </c>
      <c r="Q2348" s="16">
        <v>1</v>
      </c>
      <c r="R2348" s="5" t="str">
        <f t="shared" si="370"/>
        <v>77-2025-05-31</v>
      </c>
    </row>
    <row r="2349" spans="1:18" x14ac:dyDescent="0.3">
      <c r="A2349" s="26">
        <v>77</v>
      </c>
      <c r="B2349" s="5" t="s">
        <v>16</v>
      </c>
      <c r="C2349" s="5" t="s">
        <v>343</v>
      </c>
      <c r="D2349" s="5" t="s">
        <v>18</v>
      </c>
      <c r="E2349" s="5" t="s">
        <v>9</v>
      </c>
      <c r="F2349" s="6">
        <v>45838</v>
      </c>
      <c r="G2349" s="5">
        <f t="shared" si="360"/>
        <v>2025</v>
      </c>
      <c r="H2349" s="5" t="str">
        <f t="shared" si="361"/>
        <v>Junio</v>
      </c>
      <c r="I2349" s="6" t="str">
        <f t="shared" si="367"/>
        <v>2025-1</v>
      </c>
      <c r="J2349" s="5">
        <v>97</v>
      </c>
      <c r="K2349" s="10">
        <v>96.2</v>
      </c>
      <c r="L2349" s="28">
        <f t="shared" si="368"/>
        <v>0.99175257731958766</v>
      </c>
      <c r="M2349" s="28">
        <f t="shared" si="369"/>
        <v>0.99175257731958766</v>
      </c>
      <c r="N2349" s="5" t="s">
        <v>347</v>
      </c>
      <c r="O2349" s="5" t="s">
        <v>347</v>
      </c>
      <c r="P2349" s="16">
        <v>1</v>
      </c>
      <c r="Q2349" s="16">
        <v>1</v>
      </c>
      <c r="R2349" s="5" t="str">
        <f t="shared" si="370"/>
        <v>77-2025-06-30</v>
      </c>
    </row>
    <row r="2350" spans="1:18" x14ac:dyDescent="0.3">
      <c r="A2350" s="5">
        <v>86</v>
      </c>
      <c r="B2350" s="5" t="s">
        <v>27</v>
      </c>
      <c r="C2350" s="5" t="s">
        <v>24</v>
      </c>
      <c r="D2350" s="5" t="s">
        <v>8</v>
      </c>
      <c r="E2350" s="5" t="s">
        <v>9</v>
      </c>
      <c r="F2350" s="6">
        <v>45838</v>
      </c>
      <c r="G2350" s="5">
        <f t="shared" si="360"/>
        <v>2025</v>
      </c>
      <c r="H2350" s="5" t="str">
        <f t="shared" si="361"/>
        <v>Junio</v>
      </c>
      <c r="I2350" s="6" t="str">
        <f t="shared" si="367"/>
        <v>2025-1</v>
      </c>
      <c r="J2350" s="5">
        <v>100</v>
      </c>
      <c r="K2350" s="5">
        <v>100</v>
      </c>
      <c r="L2350" s="15">
        <v>1</v>
      </c>
      <c r="M2350" s="15">
        <v>1</v>
      </c>
      <c r="N2350" s="5" t="s">
        <v>347</v>
      </c>
      <c r="O2350" s="5" t="s">
        <v>347</v>
      </c>
      <c r="P2350" s="5">
        <v>0</v>
      </c>
      <c r="Q2350" s="5">
        <v>0</v>
      </c>
      <c r="R2350" s="5" t="str">
        <f t="shared" si="370"/>
        <v>86-2025-06-30</v>
      </c>
    </row>
    <row r="2351" spans="1:18" x14ac:dyDescent="0.3">
      <c r="A2351" s="5">
        <v>95</v>
      </c>
      <c r="B2351" s="5" t="s">
        <v>35</v>
      </c>
      <c r="C2351" s="5" t="s">
        <v>24</v>
      </c>
      <c r="D2351" s="5" t="s">
        <v>8</v>
      </c>
      <c r="E2351" s="5" t="s">
        <v>9</v>
      </c>
      <c r="F2351" s="6">
        <v>45838</v>
      </c>
      <c r="G2351" s="5">
        <f t="shared" si="360"/>
        <v>2025</v>
      </c>
      <c r="H2351" s="5" t="str">
        <f t="shared" si="361"/>
        <v>Junio</v>
      </c>
      <c r="I2351" s="6" t="str">
        <f t="shared" si="367"/>
        <v>2025-1</v>
      </c>
      <c r="J2351" s="5">
        <v>100</v>
      </c>
      <c r="K2351" s="5">
        <v>100</v>
      </c>
      <c r="L2351" s="15">
        <v>1</v>
      </c>
      <c r="M2351" s="15">
        <v>1</v>
      </c>
      <c r="N2351" s="5" t="s">
        <v>347</v>
      </c>
      <c r="O2351" s="5" t="s">
        <v>347</v>
      </c>
      <c r="P2351" s="5">
        <v>0</v>
      </c>
      <c r="Q2351" s="5">
        <v>0</v>
      </c>
      <c r="R2351" s="5" t="str">
        <f t="shared" si="370"/>
        <v>95-2025-06-30</v>
      </c>
    </row>
    <row r="2352" spans="1:18" x14ac:dyDescent="0.3">
      <c r="A2352" s="26">
        <v>111</v>
      </c>
      <c r="B2352" s="5" t="s">
        <v>39</v>
      </c>
      <c r="C2352" s="5" t="s">
        <v>7</v>
      </c>
      <c r="D2352" s="5" t="s">
        <v>11</v>
      </c>
      <c r="E2352" s="5" t="s">
        <v>9</v>
      </c>
      <c r="F2352" s="6">
        <v>45747</v>
      </c>
      <c r="G2352" s="5">
        <f t="shared" si="360"/>
        <v>2025</v>
      </c>
      <c r="H2352" s="5" t="str">
        <f t="shared" si="361"/>
        <v>Marzo</v>
      </c>
      <c r="I2352" s="6" t="str">
        <f t="shared" si="367"/>
        <v>2025-1</v>
      </c>
      <c r="J2352" s="5">
        <v>80</v>
      </c>
      <c r="K2352" s="10">
        <v>92.7</v>
      </c>
      <c r="L2352" s="15">
        <f>IFERROR(IF((K2352/J2352)&gt;1.3,1.3,K2352/J2352),"")</f>
        <v>1.1587499999999999</v>
      </c>
      <c r="M2352" s="15">
        <f t="shared" ref="M2352" si="371">IFERROR(IF((K2352/J2352)&gt;K2352/J2352,1.3,K2352/J2352),"")</f>
        <v>1.1587499999999999</v>
      </c>
      <c r="N2352" s="5" t="s">
        <v>347</v>
      </c>
      <c r="O2352" s="5" t="s">
        <v>347</v>
      </c>
      <c r="P2352" s="16">
        <v>0</v>
      </c>
      <c r="Q2352" s="16">
        <v>0</v>
      </c>
      <c r="R2352" s="5" t="str">
        <f t="shared" si="370"/>
        <v>111-2025-03-31</v>
      </c>
    </row>
    <row r="2353" spans="1:18" x14ac:dyDescent="0.3">
      <c r="A2353" s="5">
        <v>111</v>
      </c>
      <c r="B2353" s="5" t="s">
        <v>39</v>
      </c>
      <c r="C2353" s="5" t="s">
        <v>7</v>
      </c>
      <c r="D2353" s="5" t="s">
        <v>11</v>
      </c>
      <c r="E2353" s="5" t="s">
        <v>9</v>
      </c>
      <c r="F2353" s="6">
        <v>45838</v>
      </c>
      <c r="G2353" s="5">
        <f t="shared" si="360"/>
        <v>2025</v>
      </c>
      <c r="H2353" s="5" t="str">
        <f t="shared" si="361"/>
        <v>Junio</v>
      </c>
      <c r="I2353" s="6" t="str">
        <f t="shared" si="367"/>
        <v>2025-1</v>
      </c>
      <c r="J2353" s="5">
        <v>80</v>
      </c>
      <c r="K2353" s="5">
        <v>100</v>
      </c>
      <c r="L2353" s="15">
        <v>1</v>
      </c>
      <c r="M2353" s="15">
        <v>1.2250000000000001</v>
      </c>
      <c r="N2353" s="5" t="s">
        <v>347</v>
      </c>
      <c r="O2353" s="5" t="s">
        <v>347</v>
      </c>
      <c r="P2353" s="5">
        <v>0</v>
      </c>
      <c r="Q2353" s="5">
        <v>0</v>
      </c>
      <c r="R2353" s="5" t="str">
        <f t="shared" si="370"/>
        <v>111-2025-06-30</v>
      </c>
    </row>
    <row r="2354" spans="1:18" x14ac:dyDescent="0.3">
      <c r="A2354" s="26">
        <v>121</v>
      </c>
      <c r="B2354" s="5" t="s">
        <v>46</v>
      </c>
      <c r="C2354" s="5" t="s">
        <v>13</v>
      </c>
      <c r="D2354" s="5" t="s">
        <v>18</v>
      </c>
      <c r="E2354" s="5" t="s">
        <v>14</v>
      </c>
      <c r="F2354" s="6">
        <v>45688</v>
      </c>
      <c r="G2354" s="5">
        <f t="shared" si="360"/>
        <v>2025</v>
      </c>
      <c r="H2354" s="5" t="str">
        <f t="shared" si="361"/>
        <v>Enero</v>
      </c>
      <c r="I2354" s="6" t="str">
        <f t="shared" si="367"/>
        <v>2025-1</v>
      </c>
      <c r="J2354" s="9">
        <v>14491652</v>
      </c>
      <c r="K2354" s="9">
        <v>14372568</v>
      </c>
      <c r="L2354" s="8">
        <f t="shared" ref="L2354:L2360" si="372">IFERROR(J2354/K2354,"")</f>
        <v>1.0082855061113645</v>
      </c>
      <c r="M2354" s="8">
        <f t="shared" ref="M2354:M2360" si="373">IFERROR(J2354/K2354,"")</f>
        <v>1.0082855061113645</v>
      </c>
      <c r="N2354" s="9" t="s">
        <v>474</v>
      </c>
      <c r="O2354" s="9" t="s">
        <v>474</v>
      </c>
      <c r="P2354" s="16">
        <v>0</v>
      </c>
      <c r="Q2354" s="16">
        <v>0</v>
      </c>
      <c r="R2354" s="5" t="str">
        <f t="shared" si="370"/>
        <v>121-2025-01-31</v>
      </c>
    </row>
    <row r="2355" spans="1:18" x14ac:dyDescent="0.3">
      <c r="A2355" s="26">
        <v>121</v>
      </c>
      <c r="B2355" s="5" t="s">
        <v>46</v>
      </c>
      <c r="C2355" s="5" t="s">
        <v>13</v>
      </c>
      <c r="D2355" s="5" t="s">
        <v>18</v>
      </c>
      <c r="E2355" s="5" t="s">
        <v>14</v>
      </c>
      <c r="F2355" s="6">
        <v>45716</v>
      </c>
      <c r="G2355" s="5">
        <f t="shared" si="360"/>
        <v>2025</v>
      </c>
      <c r="H2355" s="5" t="str">
        <f t="shared" si="361"/>
        <v>Febrero</v>
      </c>
      <c r="I2355" s="6" t="str">
        <f t="shared" si="367"/>
        <v>2025-1</v>
      </c>
      <c r="J2355" s="9">
        <v>24959412</v>
      </c>
      <c r="K2355" s="9">
        <v>26870882</v>
      </c>
      <c r="L2355" s="8">
        <f t="shared" si="372"/>
        <v>0.92886463496062388</v>
      </c>
      <c r="M2355" s="8">
        <f t="shared" si="373"/>
        <v>0.92886463496062388</v>
      </c>
      <c r="N2355" s="9" t="s">
        <v>474</v>
      </c>
      <c r="O2355" s="9" t="s">
        <v>474</v>
      </c>
      <c r="P2355" s="16">
        <v>0</v>
      </c>
      <c r="Q2355" s="16">
        <v>0</v>
      </c>
      <c r="R2355" s="5" t="str">
        <f t="shared" si="370"/>
        <v>121-2025-02-28</v>
      </c>
    </row>
    <row r="2356" spans="1:18" x14ac:dyDescent="0.3">
      <c r="A2356" s="26">
        <v>121</v>
      </c>
      <c r="B2356" s="5" t="s">
        <v>46</v>
      </c>
      <c r="C2356" s="5" t="s">
        <v>13</v>
      </c>
      <c r="D2356" s="5" t="s">
        <v>18</v>
      </c>
      <c r="E2356" s="5" t="s">
        <v>14</v>
      </c>
      <c r="F2356" s="6">
        <v>45747</v>
      </c>
      <c r="G2356" s="5">
        <f t="shared" si="360"/>
        <v>2025</v>
      </c>
      <c r="H2356" s="5" t="str">
        <f t="shared" si="361"/>
        <v>Marzo</v>
      </c>
      <c r="I2356" s="6" t="str">
        <f t="shared" si="367"/>
        <v>2025-1</v>
      </c>
      <c r="J2356" s="9">
        <v>36651881</v>
      </c>
      <c r="K2356" s="9">
        <v>39131405</v>
      </c>
      <c r="L2356" s="8">
        <f t="shared" si="372"/>
        <v>0.93663595774289221</v>
      </c>
      <c r="M2356" s="8">
        <f t="shared" si="373"/>
        <v>0.93663595774289221</v>
      </c>
      <c r="N2356" s="9" t="s">
        <v>474</v>
      </c>
      <c r="O2356" s="9" t="s">
        <v>474</v>
      </c>
      <c r="P2356" s="16">
        <v>0</v>
      </c>
      <c r="Q2356" s="16">
        <v>0</v>
      </c>
      <c r="R2356" s="5" t="str">
        <f t="shared" si="370"/>
        <v>121-2025-03-31</v>
      </c>
    </row>
    <row r="2357" spans="1:18" x14ac:dyDescent="0.3">
      <c r="A2357" s="26">
        <v>121</v>
      </c>
      <c r="B2357" s="5" t="s">
        <v>46</v>
      </c>
      <c r="C2357" s="5" t="s">
        <v>13</v>
      </c>
      <c r="D2357" s="5" t="s">
        <v>18</v>
      </c>
      <c r="E2357" s="5" t="s">
        <v>14</v>
      </c>
      <c r="F2357" s="6">
        <v>45777</v>
      </c>
      <c r="G2357" s="5">
        <f t="shared" si="360"/>
        <v>2025</v>
      </c>
      <c r="H2357" s="5" t="str">
        <f t="shared" si="361"/>
        <v>Abril</v>
      </c>
      <c r="I2357" s="6" t="str">
        <f t="shared" si="367"/>
        <v>2025-1</v>
      </c>
      <c r="J2357" s="9">
        <v>47871313</v>
      </c>
      <c r="K2357" s="9">
        <v>50743238</v>
      </c>
      <c r="L2357" s="8">
        <f t="shared" si="372"/>
        <v>0.94340280373909136</v>
      </c>
      <c r="M2357" s="8">
        <f t="shared" si="373"/>
        <v>0.94340280373909136</v>
      </c>
      <c r="N2357" s="9" t="s">
        <v>474</v>
      </c>
      <c r="O2357" s="9" t="s">
        <v>474</v>
      </c>
      <c r="P2357" s="16">
        <v>0</v>
      </c>
      <c r="Q2357" s="16">
        <v>0</v>
      </c>
      <c r="R2357" s="5" t="str">
        <f t="shared" si="370"/>
        <v>121-2025-04-30</v>
      </c>
    </row>
    <row r="2358" spans="1:18" x14ac:dyDescent="0.3">
      <c r="A2358" s="26">
        <v>121</v>
      </c>
      <c r="B2358" s="5" t="s">
        <v>46</v>
      </c>
      <c r="C2358" s="5" t="s">
        <v>13</v>
      </c>
      <c r="D2358" s="5" t="s">
        <v>18</v>
      </c>
      <c r="E2358" s="5" t="s">
        <v>14</v>
      </c>
      <c r="F2358" s="6">
        <v>45808</v>
      </c>
      <c r="G2358" s="5">
        <f t="shared" si="360"/>
        <v>2025</v>
      </c>
      <c r="H2358" s="5" t="str">
        <f t="shared" si="361"/>
        <v>Mayo</v>
      </c>
      <c r="I2358" s="6" t="str">
        <f t="shared" si="367"/>
        <v>2025-1</v>
      </c>
      <c r="J2358" s="9">
        <v>59366302</v>
      </c>
      <c r="K2358" s="9">
        <v>68210285</v>
      </c>
      <c r="L2358" s="8">
        <f t="shared" si="372"/>
        <v>0.87034238311715018</v>
      </c>
      <c r="M2358" s="8">
        <f t="shared" si="373"/>
        <v>0.87034238311715018</v>
      </c>
      <c r="N2358" s="9" t="s">
        <v>474</v>
      </c>
      <c r="O2358" s="9" t="s">
        <v>474</v>
      </c>
      <c r="P2358" s="16">
        <v>0</v>
      </c>
      <c r="Q2358" s="16">
        <v>0</v>
      </c>
      <c r="R2358" s="5" t="str">
        <f t="shared" si="370"/>
        <v>121-2025-05-31</v>
      </c>
    </row>
    <row r="2359" spans="1:18" x14ac:dyDescent="0.3">
      <c r="A2359" s="26">
        <v>121</v>
      </c>
      <c r="B2359" s="5" t="s">
        <v>46</v>
      </c>
      <c r="C2359" s="5" t="s">
        <v>13</v>
      </c>
      <c r="D2359" s="5" t="s">
        <v>18</v>
      </c>
      <c r="E2359" s="5" t="s">
        <v>14</v>
      </c>
      <c r="F2359" s="6">
        <v>45838</v>
      </c>
      <c r="G2359" s="5">
        <f t="shared" si="360"/>
        <v>2025</v>
      </c>
      <c r="H2359" s="5" t="str">
        <f t="shared" si="361"/>
        <v>Junio</v>
      </c>
      <c r="I2359" s="6" t="str">
        <f t="shared" si="367"/>
        <v>2025-1</v>
      </c>
      <c r="J2359" s="9">
        <v>69237262</v>
      </c>
      <c r="K2359" s="9">
        <v>76201061</v>
      </c>
      <c r="L2359" s="8">
        <f t="shared" si="372"/>
        <v>0.90861283414413352</v>
      </c>
      <c r="M2359" s="8">
        <f t="shared" si="373"/>
        <v>0.90861283414413352</v>
      </c>
      <c r="N2359" s="9" t="s">
        <v>474</v>
      </c>
      <c r="O2359" s="9" t="s">
        <v>474</v>
      </c>
      <c r="P2359" s="16">
        <v>0</v>
      </c>
      <c r="Q2359" s="16">
        <v>0</v>
      </c>
      <c r="R2359" s="5" t="str">
        <f t="shared" si="370"/>
        <v>121-2025-06-30</v>
      </c>
    </row>
    <row r="2360" spans="1:18" x14ac:dyDescent="0.3">
      <c r="A2360" s="26">
        <v>121</v>
      </c>
      <c r="B2360" s="5" t="s">
        <v>46</v>
      </c>
      <c r="C2360" s="5" t="s">
        <v>13</v>
      </c>
      <c r="D2360" s="5" t="s">
        <v>18</v>
      </c>
      <c r="E2360" s="5" t="s">
        <v>14</v>
      </c>
      <c r="F2360" s="6">
        <v>45869</v>
      </c>
      <c r="G2360" s="5">
        <f t="shared" si="360"/>
        <v>2025</v>
      </c>
      <c r="H2360" s="5" t="str">
        <f t="shared" si="361"/>
        <v>Julio</v>
      </c>
      <c r="I2360" s="6" t="str">
        <f t="shared" ref="I2360:I2363" si="374">IF(OR(H2360="Enero",H2360="Febrero",H2360="Marzo",H2360="Abril",H2360="Mayo",H2360="Junio"),G2360&amp;"-1",IF(OR(H2360="Julio",H2360="Agosto",H2360="Septiembre",H2360="Octubre",H2360="Noviembre",H2360="Diciembre"),G2360&amp;"-2"))</f>
        <v>2025-2</v>
      </c>
      <c r="J2360" s="9">
        <v>77148281</v>
      </c>
      <c r="K2360" s="9">
        <v>86591186</v>
      </c>
      <c r="L2360" s="8">
        <f t="shared" si="372"/>
        <v>0.89094842747620984</v>
      </c>
      <c r="M2360" s="8">
        <f t="shared" si="373"/>
        <v>0.89094842747620984</v>
      </c>
      <c r="N2360" s="9" t="s">
        <v>474</v>
      </c>
      <c r="O2360" s="9" t="s">
        <v>474</v>
      </c>
      <c r="P2360" s="16">
        <v>0</v>
      </c>
      <c r="Q2360" s="16">
        <v>0</v>
      </c>
      <c r="R2360" s="5" t="str">
        <f t="shared" ref="R2360:R2363" si="375">A2360&amp;"-"&amp;YEAR(F2360)&amp;"-"&amp;IF(LEN(MONTH(F2360))=1,"0"&amp;MONTH(F2360),MONTH(F2360))&amp;"-"&amp;DAY(F2360)</f>
        <v>121-2025-07-31</v>
      </c>
    </row>
    <row r="2361" spans="1:18" x14ac:dyDescent="0.3">
      <c r="A2361" s="26">
        <v>122</v>
      </c>
      <c r="B2361" s="5" t="s">
        <v>47</v>
      </c>
      <c r="C2361" s="5" t="s">
        <v>45</v>
      </c>
      <c r="D2361" s="5" t="s">
        <v>21</v>
      </c>
      <c r="E2361" s="5" t="s">
        <v>9</v>
      </c>
      <c r="F2361" s="6">
        <v>45716</v>
      </c>
      <c r="G2361" s="5">
        <f t="shared" si="360"/>
        <v>2025</v>
      </c>
      <c r="H2361" s="5" t="str">
        <f t="shared" si="361"/>
        <v>Febrero</v>
      </c>
      <c r="I2361" s="6" t="str">
        <f t="shared" si="374"/>
        <v>2025-1</v>
      </c>
      <c r="J2361" s="5">
        <v>90</v>
      </c>
      <c r="K2361" s="10">
        <v>100</v>
      </c>
      <c r="L2361" s="15">
        <f>IFERROR(IF((K2361/J2361)&gt;1.3,1.3,K2361/J2361),"")</f>
        <v>1.1111111111111112</v>
      </c>
      <c r="M2361" s="15">
        <f t="shared" ref="M2361:M2364" si="376">IFERROR(IF((K2361/J2361)&gt;K2361/J2361,1.3,K2361/J2361),"")</f>
        <v>1.1111111111111112</v>
      </c>
      <c r="N2361" s="5" t="s">
        <v>347</v>
      </c>
      <c r="O2361" s="5" t="s">
        <v>347</v>
      </c>
      <c r="P2361" s="16">
        <v>0</v>
      </c>
      <c r="Q2361" s="16">
        <v>0</v>
      </c>
      <c r="R2361" s="5" t="str">
        <f t="shared" si="375"/>
        <v>122-2025-02-28</v>
      </c>
    </row>
    <row r="2362" spans="1:18" x14ac:dyDescent="0.3">
      <c r="A2362" s="26">
        <v>122</v>
      </c>
      <c r="B2362" s="5" t="s">
        <v>47</v>
      </c>
      <c r="C2362" s="5" t="s">
        <v>45</v>
      </c>
      <c r="D2362" s="5" t="s">
        <v>21</v>
      </c>
      <c r="E2362" s="5" t="s">
        <v>9</v>
      </c>
      <c r="F2362" s="6">
        <v>45777</v>
      </c>
      <c r="G2362" s="5">
        <f t="shared" si="360"/>
        <v>2025</v>
      </c>
      <c r="H2362" s="5" t="str">
        <f t="shared" si="361"/>
        <v>Abril</v>
      </c>
      <c r="I2362" s="6" t="str">
        <f t="shared" si="374"/>
        <v>2025-1</v>
      </c>
      <c r="J2362" s="5">
        <v>90</v>
      </c>
      <c r="K2362" s="10">
        <v>100</v>
      </c>
      <c r="L2362" s="15">
        <f>IFERROR(IF((K2362/J2362)&gt;1.3,1.3,K2362/J2362),"")</f>
        <v>1.1111111111111112</v>
      </c>
      <c r="M2362" s="15">
        <f t="shared" si="376"/>
        <v>1.1111111111111112</v>
      </c>
      <c r="N2362" s="5" t="s">
        <v>347</v>
      </c>
      <c r="O2362" s="5" t="s">
        <v>347</v>
      </c>
      <c r="P2362" s="16">
        <v>0</v>
      </c>
      <c r="Q2362" s="16">
        <v>0</v>
      </c>
      <c r="R2362" s="5" t="str">
        <f t="shared" si="375"/>
        <v>122-2025-04-30</v>
      </c>
    </row>
    <row r="2363" spans="1:18" x14ac:dyDescent="0.3">
      <c r="A2363" s="5">
        <v>122</v>
      </c>
      <c r="B2363" s="5" t="s">
        <v>47</v>
      </c>
      <c r="C2363" s="5" t="s">
        <v>45</v>
      </c>
      <c r="D2363" s="5" t="s">
        <v>21</v>
      </c>
      <c r="E2363" s="5" t="s">
        <v>9</v>
      </c>
      <c r="F2363" s="6">
        <v>45838</v>
      </c>
      <c r="G2363" s="5">
        <f t="shared" si="360"/>
        <v>2025</v>
      </c>
      <c r="H2363" s="5" t="str">
        <f t="shared" si="361"/>
        <v>Junio</v>
      </c>
      <c r="I2363" s="6" t="str">
        <f t="shared" si="374"/>
        <v>2025-1</v>
      </c>
      <c r="J2363" s="5">
        <v>90</v>
      </c>
      <c r="K2363" s="5">
        <v>43.48</v>
      </c>
      <c r="L2363" s="15">
        <f>IFERROR(IF((K2363/J2363)&gt;1.3,1.3,K2363/J2363),"")</f>
        <v>0.4831111111111111</v>
      </c>
      <c r="M2363" s="15">
        <f t="shared" si="376"/>
        <v>0.4831111111111111</v>
      </c>
      <c r="N2363" s="5" t="s">
        <v>347</v>
      </c>
      <c r="O2363" s="5" t="s">
        <v>347</v>
      </c>
      <c r="P2363" s="5">
        <v>0</v>
      </c>
      <c r="Q2363" s="5">
        <v>0</v>
      </c>
      <c r="R2363" s="5" t="str">
        <f t="shared" si="375"/>
        <v>122-2025-06-30</v>
      </c>
    </row>
    <row r="2364" spans="1:18" x14ac:dyDescent="0.3">
      <c r="A2364" s="5">
        <v>122</v>
      </c>
      <c r="B2364" s="5" t="s">
        <v>47</v>
      </c>
      <c r="C2364" s="5" t="s">
        <v>45</v>
      </c>
      <c r="D2364" s="5" t="s">
        <v>18</v>
      </c>
      <c r="E2364" s="5" t="s">
        <v>9</v>
      </c>
      <c r="F2364" s="6">
        <v>45869</v>
      </c>
      <c r="G2364" s="5">
        <f t="shared" si="360"/>
        <v>2025</v>
      </c>
      <c r="H2364" s="5" t="str">
        <f t="shared" si="361"/>
        <v>Julio</v>
      </c>
      <c r="I2364" s="6" t="str">
        <f t="shared" ref="I2364" si="377">IF(OR(H2364="Enero",H2364="Febrero",H2364="Marzo",H2364="Abril",H2364="Mayo",H2364="Junio"),G2364&amp;"-1",IF(OR(H2364="Julio",H2364="Agosto",H2364="Septiembre",H2364="Octubre",H2364="Noviembre",H2364="Diciembre"),G2364&amp;"-2"))</f>
        <v>2025-2</v>
      </c>
      <c r="J2364" s="5">
        <v>90</v>
      </c>
      <c r="K2364" s="5">
        <v>78.260000000000005</v>
      </c>
      <c r="L2364" s="15">
        <f>IFERROR(IF((K2364/J2364)&gt;1.3,1.3,K2364/J2364),"")</f>
        <v>0.86955555555555564</v>
      </c>
      <c r="M2364" s="15">
        <f t="shared" si="376"/>
        <v>0.86955555555555564</v>
      </c>
      <c r="N2364" s="5" t="s">
        <v>347</v>
      </c>
      <c r="O2364" s="5" t="s">
        <v>347</v>
      </c>
      <c r="P2364" s="5">
        <v>0</v>
      </c>
      <c r="Q2364" s="5">
        <v>0</v>
      </c>
      <c r="R2364" s="5" t="str">
        <f t="shared" ref="R2364" si="378">A2364&amp;"-"&amp;YEAR(F2364)&amp;"-"&amp;IF(LEN(MONTH(F2364))=1,"0"&amp;MONTH(F2364),MONTH(F2364))&amp;"-"&amp;DAY(F2364)</f>
        <v>122-2025-07-31</v>
      </c>
    </row>
    <row r="2365" spans="1:18" x14ac:dyDescent="0.3">
      <c r="A2365" s="5">
        <v>122</v>
      </c>
      <c r="B2365" s="5" t="s">
        <v>47</v>
      </c>
      <c r="C2365" s="5" t="s">
        <v>45</v>
      </c>
      <c r="D2365" s="5" t="s">
        <v>18</v>
      </c>
      <c r="E2365" s="5" t="s">
        <v>9</v>
      </c>
      <c r="F2365" s="6">
        <v>45900</v>
      </c>
      <c r="G2365" s="5">
        <f t="shared" si="360"/>
        <v>2025</v>
      </c>
      <c r="H2365" s="5" t="str">
        <f t="shared" si="361"/>
        <v>Agosto</v>
      </c>
      <c r="I2365" s="6" t="str">
        <f t="shared" ref="I2365:I2378" si="379">IF(OR(H2365="Enero",H2365="Febrero",H2365="Marzo",H2365="Abril",H2365="Mayo",H2365="Junio"),G2365&amp;"-1",IF(OR(H2365="Julio",H2365="Agosto",H2365="Septiembre",H2365="Octubre",H2365="Noviembre",H2365="Diciembre"),G2365&amp;"-2"))</f>
        <v>2025-2</v>
      </c>
      <c r="J2365" s="5">
        <v>90</v>
      </c>
      <c r="K2365" s="5">
        <v>57.89</v>
      </c>
      <c r="L2365" s="15">
        <f>IFERROR(IF((K2365/J2365)&gt;1.3,1.3,K2365/J2365),"")</f>
        <v>0.64322222222222225</v>
      </c>
      <c r="M2365" s="15">
        <f t="shared" ref="M2365" si="380">IFERROR(IF((K2365/J2365)&gt;K2365/J2365,1.3,K2365/J2365),"")</f>
        <v>0.64322222222222225</v>
      </c>
      <c r="N2365" s="5" t="s">
        <v>347</v>
      </c>
      <c r="O2365" s="5" t="s">
        <v>347</v>
      </c>
      <c r="P2365" s="5">
        <v>0</v>
      </c>
      <c r="Q2365" s="5">
        <v>0</v>
      </c>
      <c r="R2365" s="5" t="str">
        <f t="shared" ref="R2365:R2378" si="381">A2365&amp;"-"&amp;YEAR(F2365)&amp;"-"&amp;IF(LEN(MONTH(F2365))=1,"0"&amp;MONTH(F2365),MONTH(F2365))&amp;"-"&amp;DAY(F2365)</f>
        <v>122-2025-08-31</v>
      </c>
    </row>
    <row r="2366" spans="1:18" x14ac:dyDescent="0.3">
      <c r="A2366" s="26">
        <v>125</v>
      </c>
      <c r="B2366" s="5" t="s">
        <v>49</v>
      </c>
      <c r="C2366" s="5" t="s">
        <v>24</v>
      </c>
      <c r="D2366" s="5" t="s">
        <v>18</v>
      </c>
      <c r="E2366" s="5" t="s">
        <v>14</v>
      </c>
      <c r="F2366" s="6">
        <v>45688</v>
      </c>
      <c r="G2366" s="5">
        <f t="shared" si="360"/>
        <v>2025</v>
      </c>
      <c r="H2366" s="5" t="str">
        <f t="shared" si="361"/>
        <v>Enero</v>
      </c>
      <c r="I2366" s="6" t="str">
        <f t="shared" si="379"/>
        <v>2025-1</v>
      </c>
      <c r="J2366" s="5">
        <v>1.9</v>
      </c>
      <c r="K2366" s="12">
        <v>0.27347310847766598</v>
      </c>
      <c r="L2366" s="8">
        <f t="shared" ref="L2366:L2372" si="382">IF(K2366&lt;=J2366,100%,J2366/K2366)</f>
        <v>1</v>
      </c>
      <c r="M2366" s="8">
        <v>1</v>
      </c>
      <c r="N2366" s="5" t="s">
        <v>478</v>
      </c>
      <c r="O2366" s="5" t="s">
        <v>478</v>
      </c>
      <c r="P2366" s="16">
        <v>1</v>
      </c>
      <c r="Q2366" s="16">
        <v>2</v>
      </c>
      <c r="R2366" s="5" t="str">
        <f t="shared" si="381"/>
        <v>125-2025-01-31</v>
      </c>
    </row>
    <row r="2367" spans="1:18" x14ac:dyDescent="0.3">
      <c r="A2367" s="26">
        <v>125</v>
      </c>
      <c r="B2367" s="5" t="s">
        <v>49</v>
      </c>
      <c r="C2367" s="5" t="s">
        <v>24</v>
      </c>
      <c r="D2367" s="5" t="s">
        <v>18</v>
      </c>
      <c r="E2367" s="5" t="s">
        <v>14</v>
      </c>
      <c r="F2367" s="6">
        <v>45716</v>
      </c>
      <c r="G2367" s="5">
        <f t="shared" si="360"/>
        <v>2025</v>
      </c>
      <c r="H2367" s="5" t="str">
        <f t="shared" si="361"/>
        <v>Febrero</v>
      </c>
      <c r="I2367" s="6" t="str">
        <f t="shared" si="379"/>
        <v>2025-1</v>
      </c>
      <c r="J2367" s="5">
        <v>1.9</v>
      </c>
      <c r="K2367" s="10">
        <v>0</v>
      </c>
      <c r="L2367" s="8">
        <f t="shared" si="382"/>
        <v>1</v>
      </c>
      <c r="M2367" s="8">
        <v>1</v>
      </c>
      <c r="N2367" s="5" t="s">
        <v>478</v>
      </c>
      <c r="O2367" s="5" t="s">
        <v>478</v>
      </c>
      <c r="P2367" s="16">
        <v>1</v>
      </c>
      <c r="Q2367" s="16">
        <v>2</v>
      </c>
      <c r="R2367" s="5" t="str">
        <f t="shared" si="381"/>
        <v>125-2025-02-28</v>
      </c>
    </row>
    <row r="2368" spans="1:18" x14ac:dyDescent="0.3">
      <c r="A2368" s="26">
        <v>125</v>
      </c>
      <c r="B2368" s="5" t="s">
        <v>49</v>
      </c>
      <c r="C2368" s="5" t="s">
        <v>24</v>
      </c>
      <c r="D2368" s="5" t="s">
        <v>18</v>
      </c>
      <c r="E2368" s="5" t="s">
        <v>14</v>
      </c>
      <c r="F2368" s="6">
        <v>45747</v>
      </c>
      <c r="G2368" s="5">
        <f t="shared" si="360"/>
        <v>2025</v>
      </c>
      <c r="H2368" s="5" t="str">
        <f t="shared" si="361"/>
        <v>Marzo</v>
      </c>
      <c r="I2368" s="6" t="str">
        <f t="shared" si="379"/>
        <v>2025-1</v>
      </c>
      <c r="J2368" s="5">
        <v>1.9</v>
      </c>
      <c r="K2368" s="12">
        <v>0.45</v>
      </c>
      <c r="L2368" s="8">
        <f t="shared" si="382"/>
        <v>1</v>
      </c>
      <c r="M2368" s="8">
        <v>1</v>
      </c>
      <c r="N2368" s="5" t="s">
        <v>478</v>
      </c>
      <c r="O2368" s="5" t="s">
        <v>478</v>
      </c>
      <c r="P2368" s="16">
        <v>1</v>
      </c>
      <c r="Q2368" s="16">
        <v>2</v>
      </c>
      <c r="R2368" s="5" t="str">
        <f t="shared" si="381"/>
        <v>125-2025-03-31</v>
      </c>
    </row>
    <row r="2369" spans="1:18" x14ac:dyDescent="0.3">
      <c r="A2369" s="26">
        <v>125</v>
      </c>
      <c r="B2369" s="5" t="s">
        <v>49</v>
      </c>
      <c r="C2369" s="5" t="s">
        <v>24</v>
      </c>
      <c r="D2369" s="5" t="s">
        <v>18</v>
      </c>
      <c r="E2369" s="5" t="s">
        <v>14</v>
      </c>
      <c r="F2369" s="6">
        <v>45777</v>
      </c>
      <c r="G2369" s="5">
        <f t="shared" si="360"/>
        <v>2025</v>
      </c>
      <c r="H2369" s="5" t="str">
        <f t="shared" si="361"/>
        <v>Abril</v>
      </c>
      <c r="I2369" s="6" t="str">
        <f t="shared" si="379"/>
        <v>2025-1</v>
      </c>
      <c r="J2369" s="5">
        <v>1.9</v>
      </c>
      <c r="K2369" s="12">
        <v>0</v>
      </c>
      <c r="L2369" s="8">
        <f t="shared" si="382"/>
        <v>1</v>
      </c>
      <c r="M2369" s="8">
        <v>1</v>
      </c>
      <c r="N2369" s="5" t="s">
        <v>478</v>
      </c>
      <c r="O2369" s="5" t="s">
        <v>478</v>
      </c>
      <c r="P2369" s="16">
        <v>1</v>
      </c>
      <c r="Q2369" s="16">
        <v>2</v>
      </c>
      <c r="R2369" s="5" t="str">
        <f t="shared" si="381"/>
        <v>125-2025-04-30</v>
      </c>
    </row>
    <row r="2370" spans="1:18" x14ac:dyDescent="0.3">
      <c r="A2370" s="26">
        <v>125</v>
      </c>
      <c r="B2370" s="5" t="s">
        <v>49</v>
      </c>
      <c r="C2370" s="5" t="s">
        <v>24</v>
      </c>
      <c r="D2370" s="5" t="s">
        <v>18</v>
      </c>
      <c r="E2370" s="5" t="s">
        <v>14</v>
      </c>
      <c r="F2370" s="6">
        <v>45808</v>
      </c>
      <c r="G2370" s="5">
        <f t="shared" si="360"/>
        <v>2025</v>
      </c>
      <c r="H2370" s="5" t="str">
        <f t="shared" si="361"/>
        <v>Mayo</v>
      </c>
      <c r="I2370" s="6" t="str">
        <f t="shared" si="379"/>
        <v>2025-1</v>
      </c>
      <c r="J2370" s="5">
        <v>1.9</v>
      </c>
      <c r="K2370" s="12">
        <v>0.24</v>
      </c>
      <c r="L2370" s="8">
        <f t="shared" si="382"/>
        <v>1</v>
      </c>
      <c r="M2370" s="8">
        <v>1</v>
      </c>
      <c r="N2370" s="5" t="s">
        <v>478</v>
      </c>
      <c r="O2370" s="11" t="s">
        <v>478</v>
      </c>
      <c r="P2370" s="16">
        <v>1</v>
      </c>
      <c r="Q2370" s="16">
        <v>2</v>
      </c>
      <c r="R2370" s="5" t="str">
        <f t="shared" si="381"/>
        <v>125-2025-05-31</v>
      </c>
    </row>
    <row r="2371" spans="1:18" x14ac:dyDescent="0.3">
      <c r="A2371" s="26">
        <v>125</v>
      </c>
      <c r="B2371" s="5" t="s">
        <v>49</v>
      </c>
      <c r="C2371" s="5" t="s">
        <v>24</v>
      </c>
      <c r="D2371" s="5" t="s">
        <v>18</v>
      </c>
      <c r="E2371" s="5" t="s">
        <v>14</v>
      </c>
      <c r="F2371" s="6">
        <v>45838</v>
      </c>
      <c r="G2371" s="5">
        <f t="shared" si="360"/>
        <v>2025</v>
      </c>
      <c r="H2371" s="5" t="str">
        <f t="shared" si="361"/>
        <v>Junio</v>
      </c>
      <c r="I2371" s="6" t="str">
        <f t="shared" si="379"/>
        <v>2025-1</v>
      </c>
      <c r="J2371" s="5">
        <v>1.9</v>
      </c>
      <c r="K2371" s="12">
        <v>0</v>
      </c>
      <c r="L2371" s="8">
        <f t="shared" si="382"/>
        <v>1</v>
      </c>
      <c r="M2371" s="8">
        <v>1</v>
      </c>
      <c r="N2371" s="5" t="s">
        <v>478</v>
      </c>
      <c r="O2371" s="11" t="s">
        <v>478</v>
      </c>
      <c r="P2371" s="16">
        <v>1</v>
      </c>
      <c r="Q2371" s="16">
        <v>2</v>
      </c>
      <c r="R2371" s="5" t="str">
        <f t="shared" si="381"/>
        <v>125-2025-06-30</v>
      </c>
    </row>
    <row r="2372" spans="1:18" x14ac:dyDescent="0.3">
      <c r="A2372" s="26">
        <v>125</v>
      </c>
      <c r="B2372" s="5" t="s">
        <v>49</v>
      </c>
      <c r="C2372" s="5" t="s">
        <v>24</v>
      </c>
      <c r="D2372" s="5" t="s">
        <v>18</v>
      </c>
      <c r="E2372" s="5" t="s">
        <v>14</v>
      </c>
      <c r="F2372" s="6">
        <v>45869</v>
      </c>
      <c r="G2372" s="5">
        <f t="shared" si="360"/>
        <v>2025</v>
      </c>
      <c r="H2372" s="5" t="str">
        <f t="shared" si="361"/>
        <v>Julio</v>
      </c>
      <c r="I2372" s="6" t="str">
        <f t="shared" si="379"/>
        <v>2025-2</v>
      </c>
      <c r="J2372" s="5">
        <v>1.9</v>
      </c>
      <c r="K2372" s="12">
        <v>0.25</v>
      </c>
      <c r="L2372" s="8">
        <f t="shared" si="382"/>
        <v>1</v>
      </c>
      <c r="M2372" s="8">
        <v>1</v>
      </c>
      <c r="N2372" s="5" t="s">
        <v>478</v>
      </c>
      <c r="O2372" s="5" t="s">
        <v>478</v>
      </c>
      <c r="P2372" s="16">
        <v>1</v>
      </c>
      <c r="Q2372" s="16">
        <v>2</v>
      </c>
      <c r="R2372" s="5" t="str">
        <f t="shared" si="381"/>
        <v>125-2025-07-31</v>
      </c>
    </row>
    <row r="2373" spans="1:18" x14ac:dyDescent="0.3">
      <c r="A2373" s="26">
        <v>128</v>
      </c>
      <c r="B2373" s="5" t="s">
        <v>52</v>
      </c>
      <c r="C2373" s="5" t="s">
        <v>24</v>
      </c>
      <c r="D2373" s="5" t="s">
        <v>18</v>
      </c>
      <c r="E2373" s="5" t="s">
        <v>14</v>
      </c>
      <c r="F2373" s="6">
        <v>45688</v>
      </c>
      <c r="G2373" s="5">
        <f t="shared" si="360"/>
        <v>2025</v>
      </c>
      <c r="H2373" s="5" t="str">
        <f t="shared" si="361"/>
        <v>Enero</v>
      </c>
      <c r="I2373" s="6" t="str">
        <f t="shared" si="379"/>
        <v>2025-1</v>
      </c>
      <c r="J2373" s="5">
        <v>1</v>
      </c>
      <c r="K2373" s="12">
        <v>0.86</v>
      </c>
      <c r="L2373" s="8">
        <f>IF(IFERROR(J2373/K2373,"")&gt;1,1,J2373/K2373)</f>
        <v>1</v>
      </c>
      <c r="M2373" s="8">
        <f t="shared" ref="M2373:M2378" si="383">IF(IFERROR(J2373/K2373,"")&gt;1,1,J2373/K2373)</f>
        <v>1</v>
      </c>
      <c r="N2373" s="5" t="s">
        <v>478</v>
      </c>
      <c r="O2373" s="5" t="s">
        <v>478</v>
      </c>
      <c r="P2373" s="16">
        <v>0</v>
      </c>
      <c r="Q2373" s="16">
        <v>2</v>
      </c>
      <c r="R2373" s="5" t="str">
        <f t="shared" si="381"/>
        <v>128-2025-01-31</v>
      </c>
    </row>
    <row r="2374" spans="1:18" x14ac:dyDescent="0.3">
      <c r="A2374" s="26">
        <v>128</v>
      </c>
      <c r="B2374" s="5" t="s">
        <v>52</v>
      </c>
      <c r="C2374" s="5" t="s">
        <v>24</v>
      </c>
      <c r="D2374" s="5" t="s">
        <v>18</v>
      </c>
      <c r="E2374" s="5" t="s">
        <v>14</v>
      </c>
      <c r="F2374" s="6">
        <v>45716</v>
      </c>
      <c r="G2374" s="5">
        <f t="shared" si="360"/>
        <v>2025</v>
      </c>
      <c r="H2374" s="5" t="str">
        <f t="shared" si="361"/>
        <v>Febrero</v>
      </c>
      <c r="I2374" s="6" t="str">
        <f t="shared" si="379"/>
        <v>2025-1</v>
      </c>
      <c r="J2374" s="5">
        <v>1</v>
      </c>
      <c r="K2374" s="10">
        <v>0.99</v>
      </c>
      <c r="L2374" s="8">
        <f t="shared" ref="L2374:L2378" si="384">IF(IFERROR(J2374/K2374,"")&gt;1,1,J2374/K2374)</f>
        <v>1</v>
      </c>
      <c r="M2374" s="8">
        <f t="shared" si="383"/>
        <v>1</v>
      </c>
      <c r="N2374" s="5" t="s">
        <v>478</v>
      </c>
      <c r="O2374" s="5" t="s">
        <v>478</v>
      </c>
      <c r="P2374" s="16">
        <v>0</v>
      </c>
      <c r="Q2374" s="16">
        <v>2</v>
      </c>
      <c r="R2374" s="5" t="str">
        <f t="shared" si="381"/>
        <v>128-2025-02-28</v>
      </c>
    </row>
    <row r="2375" spans="1:18" x14ac:dyDescent="0.3">
      <c r="A2375" s="26">
        <v>128</v>
      </c>
      <c r="B2375" s="5" t="s">
        <v>52</v>
      </c>
      <c r="C2375" s="5" t="s">
        <v>24</v>
      </c>
      <c r="D2375" s="5" t="s">
        <v>18</v>
      </c>
      <c r="E2375" s="5" t="s">
        <v>14</v>
      </c>
      <c r="F2375" s="6">
        <v>45747</v>
      </c>
      <c r="G2375" s="5">
        <f t="shared" si="360"/>
        <v>2025</v>
      </c>
      <c r="H2375" s="5" t="str">
        <f t="shared" si="361"/>
        <v>Marzo</v>
      </c>
      <c r="I2375" s="6" t="str">
        <f t="shared" si="379"/>
        <v>2025-1</v>
      </c>
      <c r="J2375" s="5">
        <v>1</v>
      </c>
      <c r="K2375" s="12">
        <v>0.96</v>
      </c>
      <c r="L2375" s="8">
        <f t="shared" si="384"/>
        <v>1</v>
      </c>
      <c r="M2375" s="8">
        <f t="shared" si="383"/>
        <v>1</v>
      </c>
      <c r="N2375" s="5" t="s">
        <v>478</v>
      </c>
      <c r="O2375" s="5" t="s">
        <v>478</v>
      </c>
      <c r="P2375" s="16">
        <v>0</v>
      </c>
      <c r="Q2375" s="16">
        <v>2</v>
      </c>
      <c r="R2375" s="5" t="str">
        <f t="shared" si="381"/>
        <v>128-2025-03-31</v>
      </c>
    </row>
    <row r="2376" spans="1:18" x14ac:dyDescent="0.3">
      <c r="A2376" s="26">
        <v>128</v>
      </c>
      <c r="B2376" s="5" t="s">
        <v>52</v>
      </c>
      <c r="C2376" s="5" t="s">
        <v>24</v>
      </c>
      <c r="D2376" s="5" t="s">
        <v>18</v>
      </c>
      <c r="E2376" s="5" t="s">
        <v>14</v>
      </c>
      <c r="F2376" s="6">
        <v>45777</v>
      </c>
      <c r="G2376" s="5">
        <f t="shared" si="360"/>
        <v>2025</v>
      </c>
      <c r="H2376" s="5" t="str">
        <f t="shared" si="361"/>
        <v>Abril</v>
      </c>
      <c r="I2376" s="6" t="str">
        <f t="shared" si="379"/>
        <v>2025-1</v>
      </c>
      <c r="J2376" s="5">
        <v>1</v>
      </c>
      <c r="K2376" s="12">
        <v>0.94</v>
      </c>
      <c r="L2376" s="8">
        <f t="shared" si="384"/>
        <v>1</v>
      </c>
      <c r="M2376" s="8">
        <f t="shared" si="383"/>
        <v>1</v>
      </c>
      <c r="N2376" s="5" t="s">
        <v>478</v>
      </c>
      <c r="O2376" s="5" t="s">
        <v>478</v>
      </c>
      <c r="P2376" s="16">
        <v>0</v>
      </c>
      <c r="Q2376" s="16">
        <v>2</v>
      </c>
      <c r="R2376" s="5" t="str">
        <f t="shared" si="381"/>
        <v>128-2025-04-30</v>
      </c>
    </row>
    <row r="2377" spans="1:18" x14ac:dyDescent="0.3">
      <c r="A2377" s="26">
        <v>128</v>
      </c>
      <c r="B2377" s="5" t="s">
        <v>52</v>
      </c>
      <c r="C2377" s="5" t="s">
        <v>24</v>
      </c>
      <c r="D2377" s="5" t="s">
        <v>18</v>
      </c>
      <c r="E2377" s="5" t="s">
        <v>14</v>
      </c>
      <c r="F2377" s="6">
        <v>45808</v>
      </c>
      <c r="G2377" s="5">
        <f t="shared" si="360"/>
        <v>2025</v>
      </c>
      <c r="H2377" s="5" t="str">
        <f t="shared" si="361"/>
        <v>Mayo</v>
      </c>
      <c r="I2377" s="6" t="str">
        <f t="shared" si="379"/>
        <v>2025-1</v>
      </c>
      <c r="J2377" s="5">
        <v>1</v>
      </c>
      <c r="K2377" s="12">
        <v>0.88</v>
      </c>
      <c r="L2377" s="8">
        <f t="shared" si="384"/>
        <v>1</v>
      </c>
      <c r="M2377" s="8">
        <f t="shared" si="383"/>
        <v>1</v>
      </c>
      <c r="N2377" s="5" t="s">
        <v>478</v>
      </c>
      <c r="O2377" s="5" t="s">
        <v>478</v>
      </c>
      <c r="P2377" s="16">
        <v>0</v>
      </c>
      <c r="Q2377" s="16">
        <v>2</v>
      </c>
      <c r="R2377" s="5" t="str">
        <f t="shared" si="381"/>
        <v>128-2025-05-31</v>
      </c>
    </row>
    <row r="2378" spans="1:18" x14ac:dyDescent="0.3">
      <c r="A2378" s="26">
        <v>128</v>
      </c>
      <c r="B2378" s="5" t="s">
        <v>52</v>
      </c>
      <c r="C2378" s="5" t="s">
        <v>24</v>
      </c>
      <c r="D2378" s="5" t="s">
        <v>18</v>
      </c>
      <c r="E2378" s="5" t="s">
        <v>14</v>
      </c>
      <c r="F2378" s="6">
        <v>45838</v>
      </c>
      <c r="G2378" s="5">
        <f t="shared" si="360"/>
        <v>2025</v>
      </c>
      <c r="H2378" s="5" t="str">
        <f t="shared" si="361"/>
        <v>Junio</v>
      </c>
      <c r="I2378" s="6" t="str">
        <f t="shared" si="379"/>
        <v>2025-1</v>
      </c>
      <c r="J2378" s="5">
        <v>1</v>
      </c>
      <c r="K2378" s="12">
        <v>0.97</v>
      </c>
      <c r="L2378" s="8">
        <f t="shared" si="384"/>
        <v>1</v>
      </c>
      <c r="M2378" s="8">
        <f t="shared" si="383"/>
        <v>1</v>
      </c>
      <c r="N2378" s="5" t="s">
        <v>478</v>
      </c>
      <c r="O2378" s="5" t="s">
        <v>478</v>
      </c>
      <c r="P2378" s="16">
        <v>0</v>
      </c>
      <c r="Q2378" s="16">
        <v>2</v>
      </c>
      <c r="R2378" s="5" t="str">
        <f t="shared" si="381"/>
        <v>128-2025-06-30</v>
      </c>
    </row>
    <row r="2379" spans="1:18" x14ac:dyDescent="0.3">
      <c r="A2379" s="26">
        <v>128</v>
      </c>
      <c r="B2379" s="5" t="s">
        <v>52</v>
      </c>
      <c r="C2379" s="5" t="s">
        <v>24</v>
      </c>
      <c r="D2379" s="5" t="s">
        <v>18</v>
      </c>
      <c r="E2379" s="5" t="s">
        <v>14</v>
      </c>
      <c r="F2379" s="6">
        <v>45869</v>
      </c>
      <c r="G2379" s="5">
        <f t="shared" si="360"/>
        <v>2025</v>
      </c>
      <c r="H2379" s="5" t="str">
        <f t="shared" si="361"/>
        <v>Julio</v>
      </c>
      <c r="I2379" s="6" t="str">
        <f t="shared" ref="I2379:I2410" si="385">IF(OR(H2379="Enero",H2379="Febrero",H2379="Marzo",H2379="Abril",H2379="Mayo",H2379="Junio"),G2379&amp;"-1",IF(OR(H2379="Julio",H2379="Agosto",H2379="Septiembre",H2379="Octubre",H2379="Noviembre",H2379="Diciembre"),G2379&amp;"-2"))</f>
        <v>2025-2</v>
      </c>
      <c r="J2379" s="5">
        <v>1</v>
      </c>
      <c r="K2379" s="12">
        <v>0.98</v>
      </c>
      <c r="L2379" s="8">
        <f t="shared" ref="L2379" si="386">IF(IFERROR(J2379/K2379,"")&gt;1,1,J2379/K2379)</f>
        <v>1</v>
      </c>
      <c r="M2379" s="8">
        <f t="shared" ref="M2379" si="387">IF(IFERROR(J2379/K2379,"")&gt;1,1,J2379/K2379)</f>
        <v>1</v>
      </c>
      <c r="N2379" s="5" t="s">
        <v>478</v>
      </c>
      <c r="O2379" s="5" t="s">
        <v>478</v>
      </c>
      <c r="P2379" s="16">
        <v>0</v>
      </c>
      <c r="Q2379" s="16">
        <v>2</v>
      </c>
      <c r="R2379" s="5" t="str">
        <f t="shared" ref="R2379:R2410" si="388">A2379&amp;"-"&amp;YEAR(F2379)&amp;"-"&amp;IF(LEN(MONTH(F2379))=1,"0"&amp;MONTH(F2379),MONTH(F2379))&amp;"-"&amp;DAY(F2379)</f>
        <v>128-2025-07-31</v>
      </c>
    </row>
    <row r="2380" spans="1:18" x14ac:dyDescent="0.3">
      <c r="A2380" s="26">
        <v>139</v>
      </c>
      <c r="B2380" s="5" t="s">
        <v>57</v>
      </c>
      <c r="C2380" s="5" t="s">
        <v>55</v>
      </c>
      <c r="D2380" s="5" t="s">
        <v>18</v>
      </c>
      <c r="E2380" s="5" t="s">
        <v>14</v>
      </c>
      <c r="F2380" s="6">
        <v>45688</v>
      </c>
      <c r="G2380" s="5">
        <f t="shared" si="360"/>
        <v>2025</v>
      </c>
      <c r="H2380" s="5" t="str">
        <f t="shared" si="361"/>
        <v>Enero</v>
      </c>
      <c r="I2380" s="6" t="str">
        <f t="shared" si="385"/>
        <v>2025-1</v>
      </c>
      <c r="J2380" s="9">
        <v>77.181053000000006</v>
      </c>
      <c r="K2380" s="9">
        <v>57.628145000000004</v>
      </c>
      <c r="L2380" s="15">
        <f t="shared" ref="L2380:L2385" si="389">IFERROR(IF((J2380/K2380)&gt;1.3,1.3,J2380/K2380),"")</f>
        <v>1.3</v>
      </c>
      <c r="M2380" s="8">
        <f t="shared" ref="M2380:M2385" si="390">IFERROR(J2380/K2380,"")</f>
        <v>1.3392944194195389</v>
      </c>
      <c r="N2380" s="9" t="s">
        <v>474</v>
      </c>
      <c r="O2380" s="9" t="s">
        <v>474</v>
      </c>
      <c r="P2380" s="16">
        <v>2</v>
      </c>
      <c r="Q2380" s="16">
        <v>2</v>
      </c>
      <c r="R2380" s="5" t="str">
        <f t="shared" si="388"/>
        <v>139-2025-01-31</v>
      </c>
    </row>
    <row r="2381" spans="1:18" x14ac:dyDescent="0.3">
      <c r="A2381" s="26">
        <v>139</v>
      </c>
      <c r="B2381" s="5" t="s">
        <v>57</v>
      </c>
      <c r="C2381" s="5" t="s">
        <v>55</v>
      </c>
      <c r="D2381" s="5" t="s">
        <v>18</v>
      </c>
      <c r="E2381" s="5" t="s">
        <v>14</v>
      </c>
      <c r="F2381" s="6">
        <v>45716</v>
      </c>
      <c r="G2381" s="5">
        <f t="shared" si="360"/>
        <v>2025</v>
      </c>
      <c r="H2381" s="5" t="str">
        <f t="shared" si="361"/>
        <v>Febrero</v>
      </c>
      <c r="I2381" s="6" t="str">
        <f t="shared" si="385"/>
        <v>2025-1</v>
      </c>
      <c r="J2381" s="10">
        <v>181.77995200000001</v>
      </c>
      <c r="K2381" s="10">
        <v>123.96515100000001</v>
      </c>
      <c r="L2381" s="15">
        <f t="shared" si="389"/>
        <v>1.3</v>
      </c>
      <c r="M2381" s="8">
        <f t="shared" si="390"/>
        <v>1.4663794665970278</v>
      </c>
      <c r="N2381" s="9" t="s">
        <v>474</v>
      </c>
      <c r="O2381" s="9" t="s">
        <v>474</v>
      </c>
      <c r="P2381" s="16">
        <v>2</v>
      </c>
      <c r="Q2381" s="16">
        <v>2</v>
      </c>
      <c r="R2381" s="5" t="str">
        <f t="shared" si="388"/>
        <v>139-2025-02-28</v>
      </c>
    </row>
    <row r="2382" spans="1:18" x14ac:dyDescent="0.3">
      <c r="A2382" s="26">
        <v>139</v>
      </c>
      <c r="B2382" s="5" t="s">
        <v>57</v>
      </c>
      <c r="C2382" s="5" t="s">
        <v>55</v>
      </c>
      <c r="D2382" s="5" t="s">
        <v>18</v>
      </c>
      <c r="E2382" s="5" t="s">
        <v>14</v>
      </c>
      <c r="F2382" s="6">
        <v>45747</v>
      </c>
      <c r="G2382" s="5">
        <f t="shared" si="360"/>
        <v>2025</v>
      </c>
      <c r="H2382" s="5" t="str">
        <f t="shared" si="361"/>
        <v>Marzo</v>
      </c>
      <c r="I2382" s="6" t="str">
        <f t="shared" si="385"/>
        <v>2025-1</v>
      </c>
      <c r="J2382" s="75">
        <v>283.588797</v>
      </c>
      <c r="K2382" s="75">
        <v>210.89800299999999</v>
      </c>
      <c r="L2382" s="15">
        <f t="shared" si="389"/>
        <v>1.3</v>
      </c>
      <c r="M2382" s="8">
        <f t="shared" si="390"/>
        <v>1.3446727468538429</v>
      </c>
      <c r="N2382" s="9" t="s">
        <v>474</v>
      </c>
      <c r="O2382" s="9" t="s">
        <v>474</v>
      </c>
      <c r="P2382" s="16">
        <v>2</v>
      </c>
      <c r="Q2382" s="16">
        <v>2</v>
      </c>
      <c r="R2382" s="5" t="str">
        <f t="shared" si="388"/>
        <v>139-2025-03-31</v>
      </c>
    </row>
    <row r="2383" spans="1:18" x14ac:dyDescent="0.3">
      <c r="A2383" s="26">
        <v>139</v>
      </c>
      <c r="B2383" s="5" t="s">
        <v>57</v>
      </c>
      <c r="C2383" s="5" t="s">
        <v>55</v>
      </c>
      <c r="D2383" s="5" t="s">
        <v>18</v>
      </c>
      <c r="E2383" s="5" t="s">
        <v>14</v>
      </c>
      <c r="F2383" s="6">
        <v>45777</v>
      </c>
      <c r="G2383" s="5">
        <f t="shared" si="360"/>
        <v>2025</v>
      </c>
      <c r="H2383" s="5" t="str">
        <f t="shared" si="361"/>
        <v>Abril</v>
      </c>
      <c r="I2383" s="6" t="str">
        <f t="shared" si="385"/>
        <v>2025-1</v>
      </c>
      <c r="J2383" s="75">
        <v>377.18637999999999</v>
      </c>
      <c r="K2383" s="75">
        <v>276.106829</v>
      </c>
      <c r="L2383" s="15">
        <f t="shared" si="389"/>
        <v>1.3</v>
      </c>
      <c r="M2383" s="8">
        <f t="shared" si="390"/>
        <v>1.3660885584253333</v>
      </c>
      <c r="N2383" s="9" t="s">
        <v>474</v>
      </c>
      <c r="O2383" s="9" t="s">
        <v>474</v>
      </c>
      <c r="P2383" s="16">
        <v>2</v>
      </c>
      <c r="Q2383" s="16">
        <v>2</v>
      </c>
      <c r="R2383" s="5" t="str">
        <f t="shared" si="388"/>
        <v>139-2025-04-30</v>
      </c>
    </row>
    <row r="2384" spans="1:18" x14ac:dyDescent="0.3">
      <c r="A2384" s="26">
        <v>139</v>
      </c>
      <c r="B2384" s="5" t="s">
        <v>57</v>
      </c>
      <c r="C2384" s="5" t="s">
        <v>55</v>
      </c>
      <c r="D2384" s="5" t="s">
        <v>18</v>
      </c>
      <c r="E2384" s="5" t="s">
        <v>14</v>
      </c>
      <c r="F2384" s="6">
        <v>45808</v>
      </c>
      <c r="G2384" s="5">
        <f t="shared" si="360"/>
        <v>2025</v>
      </c>
      <c r="H2384" s="5" t="str">
        <f t="shared" si="361"/>
        <v>Mayo</v>
      </c>
      <c r="I2384" s="6" t="str">
        <f t="shared" si="385"/>
        <v>2025-1</v>
      </c>
      <c r="J2384" s="75">
        <v>468.09073599999999</v>
      </c>
      <c r="K2384" s="75">
        <v>357.86115000000001</v>
      </c>
      <c r="L2384" s="15">
        <f t="shared" si="389"/>
        <v>1.3</v>
      </c>
      <c r="M2384" s="8">
        <f t="shared" si="390"/>
        <v>1.3080233381019426</v>
      </c>
      <c r="N2384" s="9" t="s">
        <v>474</v>
      </c>
      <c r="O2384" s="9" t="s">
        <v>474</v>
      </c>
      <c r="P2384" s="16">
        <v>2</v>
      </c>
      <c r="Q2384" s="16">
        <v>2</v>
      </c>
      <c r="R2384" s="5" t="str">
        <f t="shared" si="388"/>
        <v>139-2025-05-31</v>
      </c>
    </row>
    <row r="2385" spans="1:18" x14ac:dyDescent="0.3">
      <c r="A2385" s="26">
        <v>139</v>
      </c>
      <c r="B2385" s="5" t="s">
        <v>57</v>
      </c>
      <c r="C2385" s="5" t="s">
        <v>55</v>
      </c>
      <c r="D2385" s="5" t="s">
        <v>18</v>
      </c>
      <c r="E2385" s="5" t="s">
        <v>14</v>
      </c>
      <c r="F2385" s="6">
        <v>45838</v>
      </c>
      <c r="G2385" s="5">
        <f t="shared" si="360"/>
        <v>2025</v>
      </c>
      <c r="H2385" s="5" t="str">
        <f t="shared" si="361"/>
        <v>Junio</v>
      </c>
      <c r="I2385" s="6" t="str">
        <f t="shared" si="385"/>
        <v>2025-1</v>
      </c>
      <c r="J2385" s="75">
        <v>588.27781200000004</v>
      </c>
      <c r="K2385" s="75">
        <v>423.52072099999998</v>
      </c>
      <c r="L2385" s="15">
        <f t="shared" si="389"/>
        <v>1.3</v>
      </c>
      <c r="M2385" s="8">
        <f t="shared" si="390"/>
        <v>1.3890177807852762</v>
      </c>
      <c r="N2385" s="9" t="s">
        <v>474</v>
      </c>
      <c r="O2385" s="9" t="s">
        <v>474</v>
      </c>
      <c r="P2385" s="16">
        <v>2</v>
      </c>
      <c r="Q2385" s="16">
        <v>2</v>
      </c>
      <c r="R2385" s="5" t="str">
        <f t="shared" si="388"/>
        <v>139-2025-06-30</v>
      </c>
    </row>
    <row r="2386" spans="1:18" x14ac:dyDescent="0.3">
      <c r="A2386" s="5">
        <v>143</v>
      </c>
      <c r="B2386" s="5" t="s">
        <v>58</v>
      </c>
      <c r="C2386" s="5" t="s">
        <v>59</v>
      </c>
      <c r="D2386" s="5" t="s">
        <v>8</v>
      </c>
      <c r="E2386" s="5" t="s">
        <v>9</v>
      </c>
      <c r="F2386" s="6">
        <v>45838</v>
      </c>
      <c r="G2386" s="5">
        <f t="shared" si="360"/>
        <v>2025</v>
      </c>
      <c r="H2386" s="5" t="str">
        <f t="shared" si="361"/>
        <v>Junio</v>
      </c>
      <c r="I2386" s="6" t="str">
        <f t="shared" si="385"/>
        <v>2025-1</v>
      </c>
      <c r="J2386" s="5"/>
      <c r="K2386" s="5">
        <v>159</v>
      </c>
      <c r="L2386" s="15"/>
      <c r="M2386" s="15"/>
      <c r="N2386" s="5"/>
      <c r="O2386" s="5" t="s">
        <v>490</v>
      </c>
      <c r="P2386" s="5">
        <v>0</v>
      </c>
      <c r="Q2386" s="5">
        <v>0</v>
      </c>
      <c r="R2386" s="5" t="str">
        <f t="shared" si="388"/>
        <v>143-2025-06-30</v>
      </c>
    </row>
    <row r="2387" spans="1:18" x14ac:dyDescent="0.3">
      <c r="A2387" s="5">
        <v>145</v>
      </c>
      <c r="B2387" s="5" t="s">
        <v>61</v>
      </c>
      <c r="C2387" s="5" t="s">
        <v>62</v>
      </c>
      <c r="D2387" s="5" t="s">
        <v>8</v>
      </c>
      <c r="E2387" s="5" t="s">
        <v>9</v>
      </c>
      <c r="F2387" s="6">
        <v>45838</v>
      </c>
      <c r="G2387" s="5">
        <f t="shared" si="360"/>
        <v>2025</v>
      </c>
      <c r="H2387" s="5" t="str">
        <f t="shared" si="361"/>
        <v>Junio</v>
      </c>
      <c r="I2387" s="6" t="str">
        <f t="shared" si="385"/>
        <v>2025-1</v>
      </c>
      <c r="J2387" s="5">
        <v>1</v>
      </c>
      <c r="K2387" s="5">
        <v>1.74</v>
      </c>
      <c r="L2387" s="15">
        <v>1.3</v>
      </c>
      <c r="M2387" s="15">
        <f>IFERROR(IF((K2387/J2387)&gt;K2387/J2387,1.3,K2387/J2387),"")</f>
        <v>1.74</v>
      </c>
      <c r="N2387" s="5" t="s">
        <v>490</v>
      </c>
      <c r="O2387" s="5" t="s">
        <v>478</v>
      </c>
      <c r="P2387" s="5">
        <v>0</v>
      </c>
      <c r="Q2387" s="5">
        <v>2</v>
      </c>
      <c r="R2387" s="5" t="str">
        <f t="shared" si="388"/>
        <v>145-2025-06-30</v>
      </c>
    </row>
    <row r="2388" spans="1:18" x14ac:dyDescent="0.3">
      <c r="A2388" s="5">
        <v>146</v>
      </c>
      <c r="B2388" s="5" t="s">
        <v>63</v>
      </c>
      <c r="C2388" s="5" t="s">
        <v>59</v>
      </c>
      <c r="D2388" s="5" t="s">
        <v>8</v>
      </c>
      <c r="E2388" s="5" t="s">
        <v>9</v>
      </c>
      <c r="F2388" s="6">
        <v>45838</v>
      </c>
      <c r="G2388" s="5">
        <f t="shared" si="360"/>
        <v>2025</v>
      </c>
      <c r="H2388" s="5" t="str">
        <f t="shared" si="361"/>
        <v>Junio</v>
      </c>
      <c r="I2388" s="6" t="str">
        <f t="shared" si="385"/>
        <v>2025-1</v>
      </c>
      <c r="J2388" s="5">
        <v>300</v>
      </c>
      <c r="K2388" s="5">
        <v>321</v>
      </c>
      <c r="L2388" s="8">
        <f>IFERROR(K2388/J2388,"")</f>
        <v>1.07</v>
      </c>
      <c r="M2388" s="15">
        <f>IFERROR(IF((K2388/J2388)&gt;K2388/J2388,1.3,K2388/J2388),"")</f>
        <v>1.07</v>
      </c>
      <c r="N2388" s="5" t="s">
        <v>490</v>
      </c>
      <c r="O2388" s="5" t="s">
        <v>490</v>
      </c>
      <c r="P2388" s="5">
        <v>0</v>
      </c>
      <c r="Q2388" s="5">
        <v>0</v>
      </c>
      <c r="R2388" s="5" t="str">
        <f t="shared" si="388"/>
        <v>146-2025-06-30</v>
      </c>
    </row>
    <row r="2389" spans="1:18" x14ac:dyDescent="0.3">
      <c r="A2389" s="47">
        <v>148</v>
      </c>
      <c r="B2389" s="5" t="s">
        <v>473</v>
      </c>
      <c r="C2389" s="5" t="s">
        <v>62</v>
      </c>
      <c r="D2389" s="5" t="s">
        <v>8</v>
      </c>
      <c r="E2389" s="5" t="s">
        <v>9</v>
      </c>
      <c r="F2389" s="6">
        <v>45838</v>
      </c>
      <c r="G2389" s="5">
        <f t="shared" ref="G2389:G2452" si="391">YEAR(F2389)</f>
        <v>2025</v>
      </c>
      <c r="H2389" s="5" t="str">
        <f t="shared" ref="H2389:H2452" si="392">PROPER(TEXT(F2389,"mmmm"))</f>
        <v>Junio</v>
      </c>
      <c r="I2389" s="6" t="str">
        <f t="shared" si="385"/>
        <v>2025-1</v>
      </c>
      <c r="J2389" s="5">
        <v>4</v>
      </c>
      <c r="K2389" s="75">
        <v>4.08</v>
      </c>
      <c r="L2389" s="46">
        <f>IFERROR(IF((K2389/J2389)&gt;1.3,1.3,K2389/J2389),"")</f>
        <v>1.02</v>
      </c>
      <c r="M2389" s="15">
        <f>IFERROR(IF((K2389/J2389)&gt;K2389/J2389,1.3,K2389/J2389),"")</f>
        <v>1.02</v>
      </c>
      <c r="N2389" s="47" t="s">
        <v>347</v>
      </c>
      <c r="O2389" s="5" t="s">
        <v>347</v>
      </c>
      <c r="P2389" s="16">
        <v>0</v>
      </c>
      <c r="Q2389" s="16">
        <v>1</v>
      </c>
      <c r="R2389" s="5" t="str">
        <f t="shared" si="388"/>
        <v>148-2025-06-30</v>
      </c>
    </row>
    <row r="2390" spans="1:18" x14ac:dyDescent="0.3">
      <c r="A2390" s="5">
        <v>159</v>
      </c>
      <c r="B2390" s="5" t="s">
        <v>39</v>
      </c>
      <c r="C2390" s="5" t="s">
        <v>67</v>
      </c>
      <c r="D2390" s="5" t="s">
        <v>8</v>
      </c>
      <c r="E2390" s="5" t="s">
        <v>9</v>
      </c>
      <c r="F2390" s="6">
        <v>45838</v>
      </c>
      <c r="G2390" s="5">
        <f t="shared" si="391"/>
        <v>2025</v>
      </c>
      <c r="H2390" s="5" t="str">
        <f t="shared" si="392"/>
        <v>Junio</v>
      </c>
      <c r="I2390" s="6" t="str">
        <f t="shared" si="385"/>
        <v>2025-1</v>
      </c>
      <c r="J2390" s="5">
        <v>80</v>
      </c>
      <c r="K2390" s="5">
        <v>100</v>
      </c>
      <c r="L2390" s="15">
        <f>IFERROR(IF((K2390/J2390)&gt;1.3,1.3,K2390/J2390),"")</f>
        <v>1.25</v>
      </c>
      <c r="M2390" s="15">
        <f>IFERROR(IF((K2390/J2390)&gt;K2390/J2390,1.3,K2390/J2390),"")</f>
        <v>1.25</v>
      </c>
      <c r="N2390" s="5" t="s">
        <v>347</v>
      </c>
      <c r="O2390" s="5" t="s">
        <v>347</v>
      </c>
      <c r="P2390" s="5">
        <v>0</v>
      </c>
      <c r="Q2390" s="5">
        <v>0</v>
      </c>
      <c r="R2390" s="5" t="str">
        <f t="shared" si="388"/>
        <v>159-2025-06-30</v>
      </c>
    </row>
    <row r="2391" spans="1:18" x14ac:dyDescent="0.3">
      <c r="A2391" s="26">
        <v>167</v>
      </c>
      <c r="B2391" s="5" t="s">
        <v>68</v>
      </c>
      <c r="C2391" s="5" t="s">
        <v>13</v>
      </c>
      <c r="D2391" s="5" t="s">
        <v>8</v>
      </c>
      <c r="E2391" s="5" t="s">
        <v>9</v>
      </c>
      <c r="F2391" s="6">
        <v>45838</v>
      </c>
      <c r="G2391" s="5">
        <f t="shared" si="391"/>
        <v>2025</v>
      </c>
      <c r="H2391" s="5" t="str">
        <f t="shared" si="392"/>
        <v>Junio</v>
      </c>
      <c r="I2391" s="6" t="str">
        <f t="shared" si="385"/>
        <v>2025-1</v>
      </c>
      <c r="J2391" s="5">
        <v>85</v>
      </c>
      <c r="K2391" s="10">
        <v>93.63</v>
      </c>
      <c r="L2391" s="15">
        <f>IFERROR(IF((K2391/J2391)&gt;1.3,1.3,K2391/J2391),"")</f>
        <v>1.1015294117647059</v>
      </c>
      <c r="M2391" s="15">
        <f>IFERROR(IF((K2391/J2391)&gt;K2391/J2391,1.3,K2391/J2391),"")</f>
        <v>1.1015294117647059</v>
      </c>
      <c r="N2391" s="5" t="s">
        <v>347</v>
      </c>
      <c r="O2391" s="5" t="s">
        <v>347</v>
      </c>
      <c r="P2391" s="16">
        <v>0</v>
      </c>
      <c r="Q2391" s="16">
        <v>1</v>
      </c>
      <c r="R2391" s="5" t="str">
        <f t="shared" si="388"/>
        <v>167-2025-06-30</v>
      </c>
    </row>
    <row r="2392" spans="1:18" x14ac:dyDescent="0.3">
      <c r="A2392" s="26">
        <v>172</v>
      </c>
      <c r="B2392" s="5" t="s">
        <v>70</v>
      </c>
      <c r="C2392" s="5" t="s">
        <v>45</v>
      </c>
      <c r="D2392" s="5" t="s">
        <v>18</v>
      </c>
      <c r="E2392" s="5" t="s">
        <v>9</v>
      </c>
      <c r="F2392" s="6">
        <v>44742</v>
      </c>
      <c r="G2392" s="5">
        <f t="shared" si="391"/>
        <v>2022</v>
      </c>
      <c r="H2392" s="5" t="str">
        <f t="shared" si="392"/>
        <v>Junio</v>
      </c>
      <c r="I2392" s="6" t="str">
        <f t="shared" si="385"/>
        <v>2022-1</v>
      </c>
      <c r="J2392" s="5">
        <v>95</v>
      </c>
      <c r="K2392" s="75">
        <v>95.24</v>
      </c>
      <c r="L2392" s="8">
        <f t="shared" ref="L2392:L2398" si="393">IFERROR(K2392/J2392,"")</f>
        <v>1.0025263157894737</v>
      </c>
      <c r="M2392" s="15">
        <f t="shared" ref="M2392:M2398" si="394">IFERROR(IF((K2392/J2392)&gt;K2392/J2392,1.3,K2392/J2392),"")</f>
        <v>1.0025263157894737</v>
      </c>
      <c r="N2392" s="5" t="s">
        <v>347</v>
      </c>
      <c r="O2392" s="5" t="s">
        <v>347</v>
      </c>
      <c r="P2392" s="16">
        <v>0</v>
      </c>
      <c r="Q2392" s="16">
        <v>0</v>
      </c>
      <c r="R2392" s="5" t="str">
        <f t="shared" si="388"/>
        <v>172-2022-06-30</v>
      </c>
    </row>
    <row r="2393" spans="1:18" x14ac:dyDescent="0.3">
      <c r="A2393" s="26">
        <v>172</v>
      </c>
      <c r="B2393" s="5" t="s">
        <v>70</v>
      </c>
      <c r="C2393" s="5" t="s">
        <v>45</v>
      </c>
      <c r="D2393" s="5" t="s">
        <v>18</v>
      </c>
      <c r="E2393" s="5" t="s">
        <v>9</v>
      </c>
      <c r="F2393" s="6">
        <v>44773</v>
      </c>
      <c r="G2393" s="5">
        <f t="shared" si="391"/>
        <v>2022</v>
      </c>
      <c r="H2393" s="5" t="str">
        <f t="shared" si="392"/>
        <v>Julio</v>
      </c>
      <c r="I2393" s="6" t="str">
        <f t="shared" si="385"/>
        <v>2022-2</v>
      </c>
      <c r="J2393" s="5">
        <v>95</v>
      </c>
      <c r="K2393" s="75">
        <v>95.65</v>
      </c>
      <c r="L2393" s="8">
        <f t="shared" si="393"/>
        <v>1.006842105263158</v>
      </c>
      <c r="M2393" s="15">
        <f t="shared" si="394"/>
        <v>1.006842105263158</v>
      </c>
      <c r="N2393" s="5" t="s">
        <v>347</v>
      </c>
      <c r="O2393" s="5" t="s">
        <v>347</v>
      </c>
      <c r="P2393" s="16">
        <v>0</v>
      </c>
      <c r="Q2393" s="16">
        <v>0</v>
      </c>
      <c r="R2393" s="5" t="str">
        <f t="shared" si="388"/>
        <v>172-2022-07-31</v>
      </c>
    </row>
    <row r="2394" spans="1:18" x14ac:dyDescent="0.3">
      <c r="A2394" s="26">
        <v>172</v>
      </c>
      <c r="B2394" s="5" t="s">
        <v>70</v>
      </c>
      <c r="C2394" s="5" t="s">
        <v>45</v>
      </c>
      <c r="D2394" s="5" t="s">
        <v>18</v>
      </c>
      <c r="E2394" s="5" t="s">
        <v>9</v>
      </c>
      <c r="F2394" s="6">
        <v>44804</v>
      </c>
      <c r="G2394" s="5">
        <f t="shared" si="391"/>
        <v>2022</v>
      </c>
      <c r="H2394" s="5" t="str">
        <f t="shared" si="392"/>
        <v>Agosto</v>
      </c>
      <c r="I2394" s="6" t="str">
        <f t="shared" si="385"/>
        <v>2022-2</v>
      </c>
      <c r="J2394" s="5">
        <v>95</v>
      </c>
      <c r="K2394" s="75">
        <v>100</v>
      </c>
      <c r="L2394" s="8">
        <f t="shared" si="393"/>
        <v>1.0526315789473684</v>
      </c>
      <c r="M2394" s="15">
        <f t="shared" si="394"/>
        <v>1.0526315789473684</v>
      </c>
      <c r="N2394" s="5" t="s">
        <v>347</v>
      </c>
      <c r="O2394" s="5" t="s">
        <v>347</v>
      </c>
      <c r="P2394" s="16">
        <v>0</v>
      </c>
      <c r="Q2394" s="16">
        <v>0</v>
      </c>
      <c r="R2394" s="5" t="str">
        <f t="shared" si="388"/>
        <v>172-2022-08-31</v>
      </c>
    </row>
    <row r="2395" spans="1:18" x14ac:dyDescent="0.3">
      <c r="A2395" s="26">
        <v>172</v>
      </c>
      <c r="B2395" s="5" t="s">
        <v>70</v>
      </c>
      <c r="C2395" s="5" t="s">
        <v>45</v>
      </c>
      <c r="D2395" s="5" t="s">
        <v>18</v>
      </c>
      <c r="E2395" s="5" t="s">
        <v>9</v>
      </c>
      <c r="F2395" s="6">
        <v>44834</v>
      </c>
      <c r="G2395" s="5">
        <f t="shared" si="391"/>
        <v>2022</v>
      </c>
      <c r="H2395" s="5" t="str">
        <f t="shared" si="392"/>
        <v>Septiembre</v>
      </c>
      <c r="I2395" s="6" t="str">
        <f t="shared" si="385"/>
        <v>2022-2</v>
      </c>
      <c r="J2395" s="5">
        <v>95</v>
      </c>
      <c r="K2395" s="75">
        <v>100</v>
      </c>
      <c r="L2395" s="8">
        <f t="shared" si="393"/>
        <v>1.0526315789473684</v>
      </c>
      <c r="M2395" s="15">
        <f t="shared" si="394"/>
        <v>1.0526315789473684</v>
      </c>
      <c r="N2395" s="5" t="s">
        <v>347</v>
      </c>
      <c r="O2395" s="5" t="s">
        <v>347</v>
      </c>
      <c r="P2395" s="16">
        <v>0</v>
      </c>
      <c r="Q2395" s="16">
        <v>0</v>
      </c>
      <c r="R2395" s="5" t="str">
        <f t="shared" si="388"/>
        <v>172-2022-09-30</v>
      </c>
    </row>
    <row r="2396" spans="1:18" x14ac:dyDescent="0.3">
      <c r="A2396" s="39">
        <v>172</v>
      </c>
      <c r="B2396" s="5" t="s">
        <v>70</v>
      </c>
      <c r="C2396" s="5" t="s">
        <v>45</v>
      </c>
      <c r="D2396" s="5" t="s">
        <v>18</v>
      </c>
      <c r="E2396" s="5" t="s">
        <v>9</v>
      </c>
      <c r="F2396" s="6">
        <v>44865</v>
      </c>
      <c r="G2396" s="5">
        <f t="shared" si="391"/>
        <v>2022</v>
      </c>
      <c r="H2396" s="5" t="str">
        <f t="shared" si="392"/>
        <v>Octubre</v>
      </c>
      <c r="I2396" s="6" t="str">
        <f t="shared" si="385"/>
        <v>2022-2</v>
      </c>
      <c r="J2396" s="5">
        <v>95</v>
      </c>
      <c r="K2396" s="75">
        <v>96.39</v>
      </c>
      <c r="L2396" s="8">
        <f t="shared" si="393"/>
        <v>1.0146315789473683</v>
      </c>
      <c r="M2396" s="15">
        <f t="shared" si="394"/>
        <v>1.0146315789473683</v>
      </c>
      <c r="N2396" s="5" t="s">
        <v>347</v>
      </c>
      <c r="O2396" s="5" t="s">
        <v>347</v>
      </c>
      <c r="P2396" s="16">
        <v>0</v>
      </c>
      <c r="Q2396" s="16">
        <v>0</v>
      </c>
      <c r="R2396" s="5" t="str">
        <f t="shared" si="388"/>
        <v>172-2022-10-31</v>
      </c>
    </row>
    <row r="2397" spans="1:18" x14ac:dyDescent="0.3">
      <c r="A2397" s="39">
        <v>172</v>
      </c>
      <c r="B2397" s="5" t="s">
        <v>70</v>
      </c>
      <c r="C2397" s="5" t="s">
        <v>45</v>
      </c>
      <c r="D2397" s="5" t="s">
        <v>18</v>
      </c>
      <c r="E2397" s="5" t="s">
        <v>9</v>
      </c>
      <c r="F2397" s="6">
        <v>44895</v>
      </c>
      <c r="G2397" s="5">
        <f t="shared" si="391"/>
        <v>2022</v>
      </c>
      <c r="H2397" s="5" t="str">
        <f t="shared" si="392"/>
        <v>Noviembre</v>
      </c>
      <c r="I2397" s="6" t="str">
        <f t="shared" si="385"/>
        <v>2022-2</v>
      </c>
      <c r="J2397" s="5">
        <v>95</v>
      </c>
      <c r="K2397" s="75">
        <v>100</v>
      </c>
      <c r="L2397" s="8">
        <f t="shared" si="393"/>
        <v>1.0526315789473684</v>
      </c>
      <c r="M2397" s="15">
        <f t="shared" si="394"/>
        <v>1.0526315789473684</v>
      </c>
      <c r="N2397" s="5" t="s">
        <v>347</v>
      </c>
      <c r="O2397" s="5" t="s">
        <v>347</v>
      </c>
      <c r="P2397" s="16">
        <v>0</v>
      </c>
      <c r="Q2397" s="16">
        <v>0</v>
      </c>
      <c r="R2397" s="5" t="str">
        <f t="shared" si="388"/>
        <v>172-2022-11-30</v>
      </c>
    </row>
    <row r="2398" spans="1:18" x14ac:dyDescent="0.3">
      <c r="A2398" s="39">
        <v>172</v>
      </c>
      <c r="B2398" s="5" t="s">
        <v>70</v>
      </c>
      <c r="C2398" s="5" t="s">
        <v>45</v>
      </c>
      <c r="D2398" s="5" t="s">
        <v>18</v>
      </c>
      <c r="E2398" s="5" t="s">
        <v>9</v>
      </c>
      <c r="F2398" s="6">
        <v>44926</v>
      </c>
      <c r="G2398" s="5">
        <f t="shared" si="391"/>
        <v>2022</v>
      </c>
      <c r="H2398" s="5" t="str">
        <f t="shared" si="392"/>
        <v>Diciembre</v>
      </c>
      <c r="I2398" s="6" t="str">
        <f t="shared" si="385"/>
        <v>2022-2</v>
      </c>
      <c r="J2398" s="5">
        <v>95</v>
      </c>
      <c r="K2398" s="75">
        <v>100</v>
      </c>
      <c r="L2398" s="8">
        <f t="shared" si="393"/>
        <v>1.0526315789473684</v>
      </c>
      <c r="M2398" s="15">
        <f t="shared" si="394"/>
        <v>1.0526315789473684</v>
      </c>
      <c r="N2398" s="5" t="s">
        <v>347</v>
      </c>
      <c r="O2398" s="5" t="s">
        <v>347</v>
      </c>
      <c r="P2398" s="16">
        <v>0</v>
      </c>
      <c r="Q2398" s="16">
        <v>0</v>
      </c>
      <c r="R2398" s="5" t="str">
        <f t="shared" si="388"/>
        <v>172-2022-12-31</v>
      </c>
    </row>
    <row r="2399" spans="1:18" x14ac:dyDescent="0.3">
      <c r="A2399" s="26">
        <v>197</v>
      </c>
      <c r="B2399" s="5" t="s">
        <v>78</v>
      </c>
      <c r="C2399" s="5" t="s">
        <v>43</v>
      </c>
      <c r="D2399" s="5" t="s">
        <v>11</v>
      </c>
      <c r="E2399" s="5" t="s">
        <v>9</v>
      </c>
      <c r="F2399" s="6">
        <v>45747</v>
      </c>
      <c r="G2399" s="5">
        <f t="shared" si="391"/>
        <v>2025</v>
      </c>
      <c r="H2399" s="5" t="str">
        <f t="shared" si="392"/>
        <v>Marzo</v>
      </c>
      <c r="I2399" s="6" t="str">
        <f t="shared" si="385"/>
        <v>2025-1</v>
      </c>
      <c r="J2399" s="5">
        <v>95</v>
      </c>
      <c r="K2399" s="10">
        <v>100</v>
      </c>
      <c r="L2399" s="8">
        <f>IFERROR(IF(K2399/J2399&gt;1,1,K2399/J2399),"")</f>
        <v>1</v>
      </c>
      <c r="M2399" s="15">
        <f t="shared" ref="M2399:M2400" si="395">IFERROR(IF(K2399/J2399&gt;1,1,K2399/J2399),"")</f>
        <v>1</v>
      </c>
      <c r="N2399" s="5" t="s">
        <v>347</v>
      </c>
      <c r="O2399" s="5" t="s">
        <v>347</v>
      </c>
      <c r="P2399" s="16">
        <v>0</v>
      </c>
      <c r="Q2399" s="16">
        <v>0</v>
      </c>
      <c r="R2399" s="5" t="str">
        <f t="shared" si="388"/>
        <v>197-2025-03-31</v>
      </c>
    </row>
    <row r="2400" spans="1:18" x14ac:dyDescent="0.3">
      <c r="A2400" s="26">
        <v>197</v>
      </c>
      <c r="B2400" s="5" t="s">
        <v>78</v>
      </c>
      <c r="C2400" s="5" t="s">
        <v>43</v>
      </c>
      <c r="D2400" s="5" t="s">
        <v>11</v>
      </c>
      <c r="E2400" s="5" t="s">
        <v>9</v>
      </c>
      <c r="F2400" s="6">
        <v>45838</v>
      </c>
      <c r="G2400" s="5">
        <f t="shared" si="391"/>
        <v>2025</v>
      </c>
      <c r="H2400" s="5" t="str">
        <f t="shared" si="392"/>
        <v>Junio</v>
      </c>
      <c r="I2400" s="6" t="str">
        <f t="shared" si="385"/>
        <v>2025-1</v>
      </c>
      <c r="J2400" s="5">
        <v>95</v>
      </c>
      <c r="K2400" s="10">
        <v>88.37</v>
      </c>
      <c r="L2400" s="8">
        <f>IFERROR(IF(K2400/J2400&gt;1,1,K2400/J2400),"")</f>
        <v>0.93021052631578949</v>
      </c>
      <c r="M2400" s="15">
        <f t="shared" si="395"/>
        <v>0.93021052631578949</v>
      </c>
      <c r="N2400" s="5" t="s">
        <v>347</v>
      </c>
      <c r="O2400" s="5" t="s">
        <v>347</v>
      </c>
      <c r="P2400" s="16">
        <v>0</v>
      </c>
      <c r="Q2400" s="16">
        <v>0</v>
      </c>
      <c r="R2400" s="5" t="str">
        <f t="shared" si="388"/>
        <v>197-2025-06-30</v>
      </c>
    </row>
    <row r="2401" spans="1:18" x14ac:dyDescent="0.3">
      <c r="A2401" s="43">
        <v>203</v>
      </c>
      <c r="B2401" s="5" t="s">
        <v>83</v>
      </c>
      <c r="C2401" s="5" t="s">
        <v>84</v>
      </c>
      <c r="D2401" s="5" t="s">
        <v>8</v>
      </c>
      <c r="E2401" s="5" t="s">
        <v>9</v>
      </c>
      <c r="F2401" s="6">
        <v>45838</v>
      </c>
      <c r="G2401" s="5">
        <f t="shared" si="391"/>
        <v>2025</v>
      </c>
      <c r="H2401" s="5" t="str">
        <f t="shared" si="392"/>
        <v>Junio</v>
      </c>
      <c r="I2401" s="6" t="str">
        <f t="shared" si="385"/>
        <v>2025-1</v>
      </c>
      <c r="J2401" s="40">
        <f>149950767330/1000000</f>
        <v>149950.76733</v>
      </c>
      <c r="K2401" s="9">
        <f>167595145296.9/1000000</f>
        <v>167595.14529689998</v>
      </c>
      <c r="L2401" s="15">
        <f>IFERROR(IF((K2401/J2401)&gt;1.3,1.3,K2401/J2401),"")</f>
        <v>1.1176678071147819</v>
      </c>
      <c r="M2401" s="15">
        <f>IFERROR(IF((K2401/J2401)&gt;K2401/J2401,1.3,K2401/J2401),"")</f>
        <v>1.1176678071147819</v>
      </c>
      <c r="N2401" s="5" t="s">
        <v>474</v>
      </c>
      <c r="O2401" s="5" t="s">
        <v>474</v>
      </c>
      <c r="P2401" s="16">
        <v>0</v>
      </c>
      <c r="Q2401" s="16">
        <v>0</v>
      </c>
      <c r="R2401" s="5" t="str">
        <f t="shared" si="388"/>
        <v>203-2025-06-30</v>
      </c>
    </row>
    <row r="2402" spans="1:18" x14ac:dyDescent="0.3">
      <c r="A2402" s="26">
        <v>204</v>
      </c>
      <c r="B2402" s="5" t="s">
        <v>85</v>
      </c>
      <c r="C2402" s="5" t="s">
        <v>84</v>
      </c>
      <c r="D2402" s="5" t="s">
        <v>8</v>
      </c>
      <c r="E2402" s="5" t="s">
        <v>9</v>
      </c>
      <c r="F2402" s="17">
        <v>45838</v>
      </c>
      <c r="G2402" s="5">
        <f t="shared" si="391"/>
        <v>2025</v>
      </c>
      <c r="H2402" s="5" t="str">
        <f t="shared" si="392"/>
        <v>Junio</v>
      </c>
      <c r="I2402" s="6" t="str">
        <f t="shared" si="385"/>
        <v>2025-1</v>
      </c>
      <c r="J2402" s="11">
        <f>23623074007/1000000</f>
        <v>23623.074006999999</v>
      </c>
      <c r="K2402" s="9">
        <f>20526599049/1000000</f>
        <v>20526.599049</v>
      </c>
      <c r="L2402" s="15">
        <f>IFERROR(IF((K2402/J2402)&gt;1.3,1.3,K2402/J2402),"")</f>
        <v>0.86892159093763788</v>
      </c>
      <c r="M2402" s="15">
        <f t="shared" ref="M2402:M2403" si="396">IFERROR(IF((K2402/J2402)&gt;K2402/J2402,1.3,K2402/J2402),"")</f>
        <v>0.86892159093763788</v>
      </c>
      <c r="N2402" s="5" t="s">
        <v>474</v>
      </c>
      <c r="O2402" s="5" t="s">
        <v>474</v>
      </c>
      <c r="P2402" s="16">
        <v>0</v>
      </c>
      <c r="Q2402" s="16">
        <v>0</v>
      </c>
      <c r="R2402" s="5" t="str">
        <f t="shared" si="388"/>
        <v>204-2025-06-30</v>
      </c>
    </row>
    <row r="2403" spans="1:18" x14ac:dyDescent="0.3">
      <c r="A2403" s="26">
        <v>205</v>
      </c>
      <c r="B2403" s="5" t="s">
        <v>86</v>
      </c>
      <c r="C2403" s="5" t="s">
        <v>84</v>
      </c>
      <c r="D2403" s="5" t="s">
        <v>8</v>
      </c>
      <c r="E2403" s="5" t="s">
        <v>9</v>
      </c>
      <c r="F2403" s="6">
        <v>45838</v>
      </c>
      <c r="G2403" s="5">
        <f t="shared" si="391"/>
        <v>2025</v>
      </c>
      <c r="H2403" s="5" t="str">
        <f t="shared" si="392"/>
        <v>Junio</v>
      </c>
      <c r="I2403" s="6" t="str">
        <f t="shared" si="385"/>
        <v>2025-1</v>
      </c>
      <c r="J2403" s="5">
        <f>4817836342/1000000</f>
        <v>4817.8363419999996</v>
      </c>
      <c r="K2403" s="10">
        <f>8976120202.9/1000000</f>
        <v>8976.1202028999996</v>
      </c>
      <c r="L2403" s="15">
        <f>IFERROR(IF((K2403/J2403)&gt;1.3,1.3,K2403/J2403),"")</f>
        <v>1.3</v>
      </c>
      <c r="M2403" s="15">
        <f t="shared" si="396"/>
        <v>1.8631019332578234</v>
      </c>
      <c r="N2403" s="5" t="s">
        <v>474</v>
      </c>
      <c r="O2403" s="5" t="s">
        <v>474</v>
      </c>
      <c r="P2403" s="16">
        <v>0</v>
      </c>
      <c r="Q2403" s="16">
        <v>0</v>
      </c>
      <c r="R2403" s="5" t="str">
        <f t="shared" si="388"/>
        <v>205-2025-06-30</v>
      </c>
    </row>
    <row r="2404" spans="1:18" x14ac:dyDescent="0.3">
      <c r="A2404" s="26">
        <v>207</v>
      </c>
      <c r="B2404" s="5" t="s">
        <v>88</v>
      </c>
      <c r="C2404" s="5" t="s">
        <v>84</v>
      </c>
      <c r="D2404" s="5" t="s">
        <v>8</v>
      </c>
      <c r="E2404" s="5" t="s">
        <v>14</v>
      </c>
      <c r="F2404" s="6">
        <v>45838</v>
      </c>
      <c r="G2404" s="5">
        <f t="shared" si="391"/>
        <v>2025</v>
      </c>
      <c r="H2404" s="5" t="str">
        <f t="shared" si="392"/>
        <v>Junio</v>
      </c>
      <c r="I2404" s="6" t="str">
        <f t="shared" si="385"/>
        <v>2025-1</v>
      </c>
      <c r="J2404" s="11">
        <f>131244072836/1000000</f>
        <v>131244.07283600001</v>
      </c>
      <c r="K2404" s="11">
        <f>145546918528/1000000</f>
        <v>145546.91852800001</v>
      </c>
      <c r="L2404" s="15">
        <f>IFERROR(IF((K2404/J2404)&gt;1.3,1.3,K2404/J2404),"")</f>
        <v>1.1089789838347408</v>
      </c>
      <c r="M2404" s="8">
        <f>IFERROR(IF((K2404/J2404)&gt;1.3,1.3,K2404/J2404),"")</f>
        <v>1.1089789838347408</v>
      </c>
      <c r="N2404" s="5" t="s">
        <v>474</v>
      </c>
      <c r="O2404" s="5" t="s">
        <v>474</v>
      </c>
      <c r="P2404" s="16">
        <v>0</v>
      </c>
      <c r="Q2404" s="16">
        <v>0</v>
      </c>
      <c r="R2404" s="5" t="str">
        <f t="shared" si="388"/>
        <v>207-2025-06-30</v>
      </c>
    </row>
    <row r="2405" spans="1:18" x14ac:dyDescent="0.3">
      <c r="A2405" s="26">
        <v>239</v>
      </c>
      <c r="B2405" s="5" t="s">
        <v>116</v>
      </c>
      <c r="C2405" s="5" t="s">
        <v>117</v>
      </c>
      <c r="D2405" s="5" t="s">
        <v>18</v>
      </c>
      <c r="E2405" s="5" t="s">
        <v>9</v>
      </c>
      <c r="F2405" s="6">
        <v>45688</v>
      </c>
      <c r="G2405" s="5">
        <f t="shared" si="391"/>
        <v>2025</v>
      </c>
      <c r="H2405" s="5" t="str">
        <f t="shared" si="392"/>
        <v>Enero</v>
      </c>
      <c r="I2405" s="6" t="str">
        <f t="shared" si="385"/>
        <v>2025-1</v>
      </c>
      <c r="J2405" s="5"/>
      <c r="K2405" s="9">
        <v>33</v>
      </c>
      <c r="L2405" s="8" t="str">
        <f t="shared" ref="L2405:L2410" si="397">IFERROR(K2405/J2405,"")</f>
        <v/>
      </c>
      <c r="M2405" s="15" t="str">
        <f t="shared" ref="M2405:M2410" si="398">IFERROR(IF((K2405/J2405)&gt;K2405/J2405,1.3,K2405/J2405),"")</f>
        <v/>
      </c>
      <c r="N2405" s="5" t="s">
        <v>728</v>
      </c>
      <c r="O2405" s="11" t="s">
        <v>490</v>
      </c>
      <c r="P2405" s="16">
        <v>0</v>
      </c>
      <c r="Q2405" s="16">
        <v>0</v>
      </c>
      <c r="R2405" s="5" t="str">
        <f t="shared" si="388"/>
        <v>239-2025-01-31</v>
      </c>
    </row>
    <row r="2406" spans="1:18" x14ac:dyDescent="0.3">
      <c r="A2406" s="26">
        <v>239</v>
      </c>
      <c r="B2406" s="5" t="s">
        <v>116</v>
      </c>
      <c r="C2406" s="5" t="s">
        <v>117</v>
      </c>
      <c r="D2406" s="5" t="s">
        <v>18</v>
      </c>
      <c r="E2406" s="5" t="s">
        <v>9</v>
      </c>
      <c r="F2406" s="17">
        <v>45716</v>
      </c>
      <c r="G2406" s="5">
        <f t="shared" si="391"/>
        <v>2025</v>
      </c>
      <c r="H2406" s="5" t="str">
        <f t="shared" si="392"/>
        <v>Febrero</v>
      </c>
      <c r="I2406" s="6" t="str">
        <f t="shared" si="385"/>
        <v>2025-1</v>
      </c>
      <c r="J2406" s="5"/>
      <c r="K2406" s="9">
        <v>42</v>
      </c>
      <c r="L2406" s="8" t="str">
        <f t="shared" si="397"/>
        <v/>
      </c>
      <c r="M2406" s="15" t="str">
        <f t="shared" si="398"/>
        <v/>
      </c>
      <c r="N2406" s="5" t="s">
        <v>728</v>
      </c>
      <c r="O2406" s="11" t="s">
        <v>490</v>
      </c>
      <c r="P2406" s="16">
        <v>0</v>
      </c>
      <c r="Q2406" s="16">
        <v>0</v>
      </c>
      <c r="R2406" s="5" t="str">
        <f t="shared" si="388"/>
        <v>239-2025-02-28</v>
      </c>
    </row>
    <row r="2407" spans="1:18" x14ac:dyDescent="0.3">
      <c r="A2407" s="26">
        <v>239</v>
      </c>
      <c r="B2407" s="5" t="s">
        <v>116</v>
      </c>
      <c r="C2407" s="5" t="s">
        <v>117</v>
      </c>
      <c r="D2407" s="5" t="s">
        <v>18</v>
      </c>
      <c r="E2407" s="5" t="s">
        <v>9</v>
      </c>
      <c r="F2407" s="6">
        <v>45747</v>
      </c>
      <c r="G2407" s="5">
        <f t="shared" si="391"/>
        <v>2025</v>
      </c>
      <c r="H2407" s="5" t="str">
        <f t="shared" si="392"/>
        <v>Marzo</v>
      </c>
      <c r="I2407" s="6" t="str">
        <f t="shared" si="385"/>
        <v>2025-1</v>
      </c>
      <c r="J2407" s="5"/>
      <c r="K2407" s="9">
        <v>42</v>
      </c>
      <c r="L2407" s="8" t="str">
        <f t="shared" si="397"/>
        <v/>
      </c>
      <c r="M2407" s="15" t="str">
        <f t="shared" si="398"/>
        <v/>
      </c>
      <c r="N2407" s="5" t="s">
        <v>728</v>
      </c>
      <c r="O2407" s="11" t="s">
        <v>490</v>
      </c>
      <c r="P2407" s="16">
        <v>0</v>
      </c>
      <c r="Q2407" s="16">
        <v>0</v>
      </c>
      <c r="R2407" s="5" t="str">
        <f t="shared" si="388"/>
        <v>239-2025-03-31</v>
      </c>
    </row>
    <row r="2408" spans="1:18" x14ac:dyDescent="0.3">
      <c r="A2408" s="26">
        <v>239</v>
      </c>
      <c r="B2408" s="5" t="s">
        <v>116</v>
      </c>
      <c r="C2408" s="5" t="s">
        <v>117</v>
      </c>
      <c r="D2408" s="5" t="s">
        <v>18</v>
      </c>
      <c r="E2408" s="5" t="s">
        <v>9</v>
      </c>
      <c r="F2408" s="6">
        <v>45777</v>
      </c>
      <c r="G2408" s="5">
        <f t="shared" si="391"/>
        <v>2025</v>
      </c>
      <c r="H2408" s="5" t="str">
        <f t="shared" si="392"/>
        <v>Abril</v>
      </c>
      <c r="I2408" s="6" t="str">
        <f t="shared" si="385"/>
        <v>2025-1</v>
      </c>
      <c r="J2408" s="5"/>
      <c r="K2408" s="9">
        <v>40</v>
      </c>
      <c r="L2408" s="8" t="str">
        <f t="shared" si="397"/>
        <v/>
      </c>
      <c r="M2408" s="15" t="str">
        <f t="shared" si="398"/>
        <v/>
      </c>
      <c r="N2408" s="5" t="s">
        <v>728</v>
      </c>
      <c r="O2408" s="11" t="s">
        <v>490</v>
      </c>
      <c r="P2408" s="16">
        <v>0</v>
      </c>
      <c r="Q2408" s="16">
        <v>0</v>
      </c>
      <c r="R2408" s="5" t="str">
        <f t="shared" si="388"/>
        <v>239-2025-04-30</v>
      </c>
    </row>
    <row r="2409" spans="1:18" x14ac:dyDescent="0.3">
      <c r="A2409" s="26">
        <v>239</v>
      </c>
      <c r="B2409" s="5" t="s">
        <v>116</v>
      </c>
      <c r="C2409" s="5" t="s">
        <v>117</v>
      </c>
      <c r="D2409" s="5" t="s">
        <v>18</v>
      </c>
      <c r="E2409" s="5" t="s">
        <v>9</v>
      </c>
      <c r="F2409" s="6">
        <v>45808</v>
      </c>
      <c r="G2409" s="5">
        <f t="shared" si="391"/>
        <v>2025</v>
      </c>
      <c r="H2409" s="5" t="str">
        <f t="shared" si="392"/>
        <v>Mayo</v>
      </c>
      <c r="I2409" s="6" t="str">
        <f t="shared" si="385"/>
        <v>2025-1</v>
      </c>
      <c r="J2409" s="5"/>
      <c r="K2409" s="9">
        <v>42</v>
      </c>
      <c r="L2409" s="8" t="str">
        <f t="shared" si="397"/>
        <v/>
      </c>
      <c r="M2409" s="15" t="str">
        <f t="shared" si="398"/>
        <v/>
      </c>
      <c r="N2409" s="5" t="s">
        <v>728</v>
      </c>
      <c r="O2409" s="11" t="s">
        <v>490</v>
      </c>
      <c r="P2409" s="16">
        <v>0</v>
      </c>
      <c r="Q2409" s="16">
        <v>0</v>
      </c>
      <c r="R2409" s="5" t="str">
        <f t="shared" si="388"/>
        <v>239-2025-05-31</v>
      </c>
    </row>
    <row r="2410" spans="1:18" x14ac:dyDescent="0.3">
      <c r="A2410" s="26">
        <v>239</v>
      </c>
      <c r="B2410" s="5" t="s">
        <v>116</v>
      </c>
      <c r="C2410" s="5" t="s">
        <v>117</v>
      </c>
      <c r="D2410" s="5" t="s">
        <v>18</v>
      </c>
      <c r="E2410" s="5" t="s">
        <v>9</v>
      </c>
      <c r="F2410" s="6">
        <v>45838</v>
      </c>
      <c r="G2410" s="5">
        <f t="shared" si="391"/>
        <v>2025</v>
      </c>
      <c r="H2410" s="5" t="str">
        <f t="shared" si="392"/>
        <v>Junio</v>
      </c>
      <c r="I2410" s="6" t="str">
        <f t="shared" si="385"/>
        <v>2025-1</v>
      </c>
      <c r="J2410" s="5"/>
      <c r="K2410" s="9">
        <v>41</v>
      </c>
      <c r="L2410" s="8" t="str">
        <f t="shared" si="397"/>
        <v/>
      </c>
      <c r="M2410" s="15" t="str">
        <f t="shared" si="398"/>
        <v/>
      </c>
      <c r="N2410" s="5" t="s">
        <v>728</v>
      </c>
      <c r="O2410" s="11" t="s">
        <v>490</v>
      </c>
      <c r="P2410" s="16">
        <v>0</v>
      </c>
      <c r="Q2410" s="16">
        <v>0</v>
      </c>
      <c r="R2410" s="5" t="str">
        <f t="shared" si="388"/>
        <v>239-2025-06-30</v>
      </c>
    </row>
    <row r="2411" spans="1:18" x14ac:dyDescent="0.3">
      <c r="A2411" s="26">
        <v>239</v>
      </c>
      <c r="B2411" s="5" t="s">
        <v>116</v>
      </c>
      <c r="C2411" s="5" t="s">
        <v>117</v>
      </c>
      <c r="D2411" s="5" t="s">
        <v>18</v>
      </c>
      <c r="E2411" s="5" t="s">
        <v>9</v>
      </c>
      <c r="F2411" s="6">
        <v>45869</v>
      </c>
      <c r="G2411" s="5">
        <f t="shared" si="391"/>
        <v>2025</v>
      </c>
      <c r="H2411" s="5" t="str">
        <f t="shared" si="392"/>
        <v>Julio</v>
      </c>
      <c r="I2411" s="6" t="str">
        <f t="shared" ref="I2411:I2413" si="399">IF(OR(H2411="Enero",H2411="Febrero",H2411="Marzo",H2411="Abril",H2411="Mayo",H2411="Junio"),G2411&amp;"-1",IF(OR(H2411="Julio",H2411="Agosto",H2411="Septiembre",H2411="Octubre",H2411="Noviembre",H2411="Diciembre"),G2411&amp;"-2"))</f>
        <v>2025-2</v>
      </c>
      <c r="J2411" s="5"/>
      <c r="K2411" s="9">
        <v>42</v>
      </c>
      <c r="L2411" s="8" t="str">
        <f t="shared" ref="L2411:L2412" si="400">IFERROR(K2411/J2411,"")</f>
        <v/>
      </c>
      <c r="M2411" s="15" t="str">
        <f t="shared" ref="M2411:M2413" si="401">IFERROR(IF((K2411/J2411)&gt;K2411/J2411,1.3,K2411/J2411),"")</f>
        <v/>
      </c>
      <c r="N2411" s="5" t="s">
        <v>728</v>
      </c>
      <c r="O2411" s="11" t="s">
        <v>490</v>
      </c>
      <c r="P2411" s="16">
        <v>0</v>
      </c>
      <c r="Q2411" s="16">
        <v>0</v>
      </c>
      <c r="R2411" s="5" t="str">
        <f t="shared" ref="R2411:R2413" si="402">A2411&amp;"-"&amp;YEAR(F2411)&amp;"-"&amp;IF(LEN(MONTH(F2411))=1,"0"&amp;MONTH(F2411),MONTH(F2411))&amp;"-"&amp;DAY(F2411)</f>
        <v>239-2025-07-31</v>
      </c>
    </row>
    <row r="2412" spans="1:18" x14ac:dyDescent="0.3">
      <c r="A2412" s="26">
        <v>239</v>
      </c>
      <c r="B2412" s="5" t="s">
        <v>116</v>
      </c>
      <c r="C2412" s="5" t="s">
        <v>117</v>
      </c>
      <c r="D2412" s="5" t="s">
        <v>18</v>
      </c>
      <c r="E2412" s="5" t="s">
        <v>9</v>
      </c>
      <c r="F2412" s="6">
        <v>45900</v>
      </c>
      <c r="G2412" s="5">
        <f t="shared" si="391"/>
        <v>2025</v>
      </c>
      <c r="H2412" s="5" t="str">
        <f t="shared" si="392"/>
        <v>Agosto</v>
      </c>
      <c r="I2412" s="6" t="str">
        <f t="shared" si="399"/>
        <v>2025-2</v>
      </c>
      <c r="J2412" s="5"/>
      <c r="K2412" s="9">
        <v>41</v>
      </c>
      <c r="L2412" s="8" t="str">
        <f t="shared" si="400"/>
        <v/>
      </c>
      <c r="M2412" s="15" t="str">
        <f t="shared" si="401"/>
        <v/>
      </c>
      <c r="N2412" s="5" t="s">
        <v>728</v>
      </c>
      <c r="O2412" s="11" t="s">
        <v>490</v>
      </c>
      <c r="P2412" s="16">
        <v>0</v>
      </c>
      <c r="Q2412" s="16">
        <v>0</v>
      </c>
      <c r="R2412" s="5" t="str">
        <f t="shared" si="402"/>
        <v>239-2025-08-31</v>
      </c>
    </row>
    <row r="2413" spans="1:18" x14ac:dyDescent="0.3">
      <c r="A2413" s="26">
        <v>240</v>
      </c>
      <c r="B2413" s="5" t="s">
        <v>118</v>
      </c>
      <c r="C2413" s="5" t="s">
        <v>117</v>
      </c>
      <c r="D2413" s="5" t="s">
        <v>11</v>
      </c>
      <c r="E2413" s="5" t="s">
        <v>9</v>
      </c>
      <c r="F2413" s="6">
        <v>45747</v>
      </c>
      <c r="G2413" s="5">
        <f t="shared" si="391"/>
        <v>2025</v>
      </c>
      <c r="H2413" s="5" t="str">
        <f t="shared" si="392"/>
        <v>Marzo</v>
      </c>
      <c r="I2413" s="6" t="str">
        <f t="shared" si="399"/>
        <v>2025-1</v>
      </c>
      <c r="J2413" s="5">
        <v>100</v>
      </c>
      <c r="K2413" s="10">
        <v>100</v>
      </c>
      <c r="L2413" s="15">
        <f>IFERROR(IF((K2413/J2413)&gt;1.3,1.3,K2413/J2413),"")</f>
        <v>1</v>
      </c>
      <c r="M2413" s="15">
        <f t="shared" si="401"/>
        <v>1</v>
      </c>
      <c r="N2413" s="5" t="s">
        <v>347</v>
      </c>
      <c r="O2413" s="5" t="s">
        <v>347</v>
      </c>
      <c r="P2413" s="16">
        <v>0</v>
      </c>
      <c r="Q2413" s="16">
        <v>0</v>
      </c>
      <c r="R2413" s="5" t="str">
        <f t="shared" si="402"/>
        <v>240-2025-03-31</v>
      </c>
    </row>
    <row r="2414" spans="1:18" x14ac:dyDescent="0.3">
      <c r="A2414" s="26">
        <v>240</v>
      </c>
      <c r="B2414" s="5" t="s">
        <v>118</v>
      </c>
      <c r="C2414" s="5" t="s">
        <v>117</v>
      </c>
      <c r="D2414" s="5" t="s">
        <v>11</v>
      </c>
      <c r="E2414" s="5" t="s">
        <v>9</v>
      </c>
      <c r="F2414" s="6">
        <v>45838</v>
      </c>
      <c r="G2414" s="5">
        <f t="shared" si="391"/>
        <v>2025</v>
      </c>
      <c r="H2414" s="5" t="str">
        <f t="shared" si="392"/>
        <v>Junio</v>
      </c>
      <c r="I2414" s="6" t="str">
        <f t="shared" ref="I2414:I2418" si="403">IF(OR(H2414="Enero",H2414="Febrero",H2414="Marzo",H2414="Abril",H2414="Mayo",H2414="Junio"),G2414&amp;"-1",IF(OR(H2414="Julio",H2414="Agosto",H2414="Septiembre",H2414="Octubre",H2414="Noviembre",H2414="Diciembre"),G2414&amp;"-2"))</f>
        <v>2025-1</v>
      </c>
      <c r="J2414" s="5">
        <v>100</v>
      </c>
      <c r="K2414" s="10">
        <v>100</v>
      </c>
      <c r="L2414" s="15">
        <f>IFERROR(IF((K2414/J2414)&gt;1.3,1.3,K2414/J2414),"")</f>
        <v>1</v>
      </c>
      <c r="M2414" s="15">
        <f t="shared" ref="M2414:M2418" si="404">IFERROR(IF((K2414/J2414)&gt;K2414/J2414,1.3,K2414/J2414),"")</f>
        <v>1</v>
      </c>
      <c r="N2414" s="5" t="s">
        <v>347</v>
      </c>
      <c r="O2414" s="5" t="s">
        <v>347</v>
      </c>
      <c r="P2414" s="16">
        <v>0</v>
      </c>
      <c r="Q2414" s="16">
        <v>0</v>
      </c>
      <c r="R2414" s="5" t="str">
        <f t="shared" ref="R2414:R2418" si="405">A2414&amp;"-"&amp;YEAR(F2414)&amp;"-"&amp;IF(LEN(MONTH(F2414))=1,"0"&amp;MONTH(F2414),MONTH(F2414))&amp;"-"&amp;DAY(F2414)</f>
        <v>240-2025-06-30</v>
      </c>
    </row>
    <row r="2415" spans="1:18" x14ac:dyDescent="0.3">
      <c r="A2415" s="26">
        <v>241</v>
      </c>
      <c r="B2415" s="5" t="s">
        <v>119</v>
      </c>
      <c r="C2415" s="5" t="s">
        <v>117</v>
      </c>
      <c r="D2415" s="5" t="s">
        <v>18</v>
      </c>
      <c r="E2415" s="5" t="s">
        <v>9</v>
      </c>
      <c r="F2415" s="6">
        <v>45688</v>
      </c>
      <c r="G2415" s="5">
        <f t="shared" si="391"/>
        <v>2025</v>
      </c>
      <c r="H2415" s="5" t="str">
        <f t="shared" si="392"/>
        <v>Enero</v>
      </c>
      <c r="I2415" s="6" t="str">
        <f t="shared" si="403"/>
        <v>2025-1</v>
      </c>
      <c r="J2415" s="5">
        <v>80</v>
      </c>
      <c r="K2415" s="10">
        <v>100</v>
      </c>
      <c r="L2415" s="15">
        <f t="shared" ref="L2415:L2418" si="406">IFERROR(IF((K2415/J2415)&gt;1.3,1.3,K2415/J2415),"")</f>
        <v>1.25</v>
      </c>
      <c r="M2415" s="15">
        <f t="shared" si="404"/>
        <v>1.25</v>
      </c>
      <c r="N2415" s="5" t="s">
        <v>347</v>
      </c>
      <c r="O2415" s="5" t="s">
        <v>347</v>
      </c>
      <c r="P2415" s="16">
        <v>0</v>
      </c>
      <c r="Q2415" s="16">
        <v>0</v>
      </c>
      <c r="R2415" s="5" t="str">
        <f t="shared" si="405"/>
        <v>241-2025-01-31</v>
      </c>
    </row>
    <row r="2416" spans="1:18" x14ac:dyDescent="0.3">
      <c r="A2416" s="26">
        <v>241</v>
      </c>
      <c r="B2416" s="5" t="s">
        <v>119</v>
      </c>
      <c r="C2416" s="5" t="s">
        <v>117</v>
      </c>
      <c r="D2416" s="5" t="s">
        <v>18</v>
      </c>
      <c r="E2416" s="5" t="s">
        <v>9</v>
      </c>
      <c r="F2416" s="6">
        <v>45716</v>
      </c>
      <c r="G2416" s="5">
        <f t="shared" si="391"/>
        <v>2025</v>
      </c>
      <c r="H2416" s="5" t="str">
        <f t="shared" si="392"/>
        <v>Febrero</v>
      </c>
      <c r="I2416" s="6" t="str">
        <f t="shared" si="403"/>
        <v>2025-1</v>
      </c>
      <c r="J2416" s="5">
        <v>80</v>
      </c>
      <c r="K2416" s="10">
        <v>100</v>
      </c>
      <c r="L2416" s="15">
        <f t="shared" si="406"/>
        <v>1.25</v>
      </c>
      <c r="M2416" s="15">
        <f t="shared" si="404"/>
        <v>1.25</v>
      </c>
      <c r="N2416" s="5" t="s">
        <v>347</v>
      </c>
      <c r="O2416" s="5" t="s">
        <v>347</v>
      </c>
      <c r="P2416" s="16">
        <v>0</v>
      </c>
      <c r="Q2416" s="16">
        <v>0</v>
      </c>
      <c r="R2416" s="5" t="str">
        <f t="shared" si="405"/>
        <v>241-2025-02-28</v>
      </c>
    </row>
    <row r="2417" spans="1:18" x14ac:dyDescent="0.3">
      <c r="A2417" s="26">
        <v>241</v>
      </c>
      <c r="B2417" s="5" t="s">
        <v>119</v>
      </c>
      <c r="C2417" s="5" t="s">
        <v>117</v>
      </c>
      <c r="D2417" s="5" t="s">
        <v>18</v>
      </c>
      <c r="E2417" s="5" t="s">
        <v>9</v>
      </c>
      <c r="F2417" s="6">
        <v>45747</v>
      </c>
      <c r="G2417" s="5">
        <f t="shared" si="391"/>
        <v>2025</v>
      </c>
      <c r="H2417" s="5" t="str">
        <f t="shared" si="392"/>
        <v>Marzo</v>
      </c>
      <c r="I2417" s="6" t="str">
        <f t="shared" si="403"/>
        <v>2025-1</v>
      </c>
      <c r="J2417" s="5">
        <v>80</v>
      </c>
      <c r="K2417" s="10">
        <v>100</v>
      </c>
      <c r="L2417" s="15">
        <f t="shared" si="406"/>
        <v>1.25</v>
      </c>
      <c r="M2417" s="15">
        <f t="shared" si="404"/>
        <v>1.25</v>
      </c>
      <c r="N2417" s="5" t="s">
        <v>347</v>
      </c>
      <c r="O2417" s="5" t="s">
        <v>347</v>
      </c>
      <c r="P2417" s="16">
        <v>0</v>
      </c>
      <c r="Q2417" s="16">
        <v>0</v>
      </c>
      <c r="R2417" s="5" t="str">
        <f t="shared" si="405"/>
        <v>241-2025-03-31</v>
      </c>
    </row>
    <row r="2418" spans="1:18" x14ac:dyDescent="0.3">
      <c r="A2418" s="26">
        <v>241</v>
      </c>
      <c r="B2418" s="5" t="s">
        <v>119</v>
      </c>
      <c r="C2418" s="5" t="s">
        <v>117</v>
      </c>
      <c r="D2418" s="5" t="s">
        <v>18</v>
      </c>
      <c r="E2418" s="5" t="s">
        <v>9</v>
      </c>
      <c r="F2418" s="6">
        <v>45777</v>
      </c>
      <c r="G2418" s="5">
        <f t="shared" si="391"/>
        <v>2025</v>
      </c>
      <c r="H2418" s="5" t="str">
        <f t="shared" si="392"/>
        <v>Abril</v>
      </c>
      <c r="I2418" s="6" t="str">
        <f t="shared" si="403"/>
        <v>2025-1</v>
      </c>
      <c r="J2418" s="5">
        <v>80</v>
      </c>
      <c r="K2418" s="10">
        <v>100</v>
      </c>
      <c r="L2418" s="15">
        <f t="shared" si="406"/>
        <v>1.25</v>
      </c>
      <c r="M2418" s="15">
        <f t="shared" si="404"/>
        <v>1.25</v>
      </c>
      <c r="N2418" s="5" t="s">
        <v>347</v>
      </c>
      <c r="O2418" s="5" t="s">
        <v>347</v>
      </c>
      <c r="P2418" s="16">
        <v>0</v>
      </c>
      <c r="Q2418" s="16">
        <v>0</v>
      </c>
      <c r="R2418" s="5" t="str">
        <f t="shared" si="405"/>
        <v>241-2025-04-30</v>
      </c>
    </row>
    <row r="2419" spans="1:18" x14ac:dyDescent="0.3">
      <c r="A2419" s="26">
        <v>245</v>
      </c>
      <c r="B2419" s="5" t="s">
        <v>123</v>
      </c>
      <c r="C2419" s="5" t="s">
        <v>124</v>
      </c>
      <c r="D2419" s="5" t="s">
        <v>8</v>
      </c>
      <c r="E2419" s="5" t="s">
        <v>9</v>
      </c>
      <c r="F2419" s="17">
        <v>45838</v>
      </c>
      <c r="G2419" s="5">
        <f t="shared" si="391"/>
        <v>2025</v>
      </c>
      <c r="H2419" s="5" t="str">
        <f t="shared" si="392"/>
        <v>Junio</v>
      </c>
      <c r="I2419" s="6" t="str">
        <f t="shared" ref="I2419:I2467" si="407">IF(OR(H2419="Enero",H2419="Febrero",H2419="Marzo",H2419="Abril",H2419="Mayo",H2419="Junio"),G2419&amp;"-1",IF(OR(H2419="Julio",H2419="Agosto",H2419="Septiembre",H2419="Octubre",H2419="Noviembre",H2419="Diciembre"),G2419&amp;"-2"))</f>
        <v>2025-1</v>
      </c>
      <c r="J2419" s="5">
        <v>85.7</v>
      </c>
      <c r="K2419" s="5">
        <v>86.5</v>
      </c>
      <c r="L2419" s="15">
        <f>IFERROR(IF((K2419/J2419)&gt;1.3,1.3,K2419/J2419),"")</f>
        <v>1.0093348891481912</v>
      </c>
      <c r="M2419" s="15">
        <f>IFERROR(IF((K2419/J2419)&gt;K2419/J2419,1.3,K2419/J2419),"")</f>
        <v>1.0093348891481912</v>
      </c>
      <c r="N2419" s="5" t="s">
        <v>347</v>
      </c>
      <c r="O2419" s="5" t="s">
        <v>347</v>
      </c>
      <c r="P2419" s="16">
        <v>0</v>
      </c>
      <c r="Q2419" s="16">
        <v>0</v>
      </c>
      <c r="R2419" s="5" t="str">
        <f t="shared" ref="R2419:R2467" si="408">A2419&amp;"-"&amp;YEAR(F2419)&amp;"-"&amp;IF(LEN(MONTH(F2419))=1,"0"&amp;MONTH(F2419),MONTH(F2419))&amp;"-"&amp;DAY(F2419)</f>
        <v>245-2025-06-30</v>
      </c>
    </row>
    <row r="2420" spans="1:18" x14ac:dyDescent="0.3">
      <c r="A2420" s="5">
        <v>246</v>
      </c>
      <c r="B2420" s="5" t="s">
        <v>721</v>
      </c>
      <c r="C2420" s="5" t="s">
        <v>126</v>
      </c>
      <c r="D2420" s="5" t="s">
        <v>8</v>
      </c>
      <c r="E2420" s="5" t="s">
        <v>9</v>
      </c>
      <c r="F2420" s="6">
        <v>45838</v>
      </c>
      <c r="G2420" s="5">
        <f t="shared" si="391"/>
        <v>2025</v>
      </c>
      <c r="H2420" s="5" t="str">
        <f t="shared" si="392"/>
        <v>Junio</v>
      </c>
      <c r="I2420" s="6" t="str">
        <f t="shared" si="407"/>
        <v>2025-1</v>
      </c>
      <c r="J2420" s="5">
        <v>90</v>
      </c>
      <c r="K2420" s="5">
        <v>90.1</v>
      </c>
      <c r="L2420" s="15">
        <v>1.3</v>
      </c>
      <c r="M2420" s="15">
        <v>1.3703703703703705</v>
      </c>
      <c r="N2420" s="5" t="s">
        <v>347</v>
      </c>
      <c r="O2420" s="5" t="s">
        <v>347</v>
      </c>
      <c r="P2420" s="5">
        <v>0</v>
      </c>
      <c r="Q2420" s="5">
        <v>0</v>
      </c>
      <c r="R2420" s="5" t="str">
        <f t="shared" si="408"/>
        <v>246-2025-06-30</v>
      </c>
    </row>
    <row r="2421" spans="1:18" x14ac:dyDescent="0.3">
      <c r="A2421" s="39">
        <v>251</v>
      </c>
      <c r="B2421" s="5" t="s">
        <v>133</v>
      </c>
      <c r="C2421" s="5" t="s">
        <v>134</v>
      </c>
      <c r="D2421" s="5" t="s">
        <v>11</v>
      </c>
      <c r="E2421" s="5" t="s">
        <v>9</v>
      </c>
      <c r="F2421" s="6">
        <v>45838</v>
      </c>
      <c r="G2421" s="5">
        <f t="shared" si="391"/>
        <v>2025</v>
      </c>
      <c r="H2421" s="5" t="str">
        <f t="shared" si="392"/>
        <v>Junio</v>
      </c>
      <c r="I2421" s="6" t="str">
        <f t="shared" si="407"/>
        <v>2025-1</v>
      </c>
      <c r="J2421" s="5">
        <v>100</v>
      </c>
      <c r="K2421" s="9">
        <v>82.35</v>
      </c>
      <c r="L2421" s="15">
        <f>IFERROR(IF((K2421/J2421)&gt;1.3,1.3,K2421/J2421),"")</f>
        <v>0.8234999999999999</v>
      </c>
      <c r="M2421" s="15">
        <f t="shared" ref="M2421" si="409">IFERROR(IF((K2421/J2421)&gt;K2421/J2421,1.3,K2421/J2421),"")</f>
        <v>0.8234999999999999</v>
      </c>
      <c r="N2421" s="5" t="s">
        <v>347</v>
      </c>
      <c r="O2421" s="5" t="s">
        <v>347</v>
      </c>
      <c r="P2421" s="16">
        <v>0</v>
      </c>
      <c r="Q2421" s="16">
        <v>0</v>
      </c>
      <c r="R2421" s="5" t="str">
        <f t="shared" si="408"/>
        <v>251-2025-06-30</v>
      </c>
    </row>
    <row r="2422" spans="1:18" x14ac:dyDescent="0.3">
      <c r="A2422" s="26">
        <v>252</v>
      </c>
      <c r="B2422" s="5" t="s">
        <v>135</v>
      </c>
      <c r="C2422" s="5" t="s">
        <v>124</v>
      </c>
      <c r="D2422" s="5" t="s">
        <v>8</v>
      </c>
      <c r="E2422" s="5" t="s">
        <v>9</v>
      </c>
      <c r="F2422" s="6">
        <v>45838</v>
      </c>
      <c r="G2422" s="5">
        <f t="shared" si="391"/>
        <v>2025</v>
      </c>
      <c r="H2422" s="5" t="str">
        <f t="shared" si="392"/>
        <v>Junio</v>
      </c>
      <c r="I2422" s="6" t="str">
        <f t="shared" si="407"/>
        <v>2025-1</v>
      </c>
      <c r="J2422" s="5">
        <v>71.599999999999994</v>
      </c>
      <c r="K2422" s="10">
        <v>71.3</v>
      </c>
      <c r="L2422" s="15">
        <f>IFERROR(IF((K2422/J2422)&gt;1.3,1.3,K2422/J2422),"")</f>
        <v>0.99581005586592186</v>
      </c>
      <c r="M2422" s="15">
        <f>IFERROR(IF((K2422/J2422)&gt;K2422/J2422,1.3,K2422/J2422),"")</f>
        <v>0.99581005586592186</v>
      </c>
      <c r="N2422" s="5" t="s">
        <v>347</v>
      </c>
      <c r="O2422" s="5" t="s">
        <v>347</v>
      </c>
      <c r="P2422" s="16">
        <v>2</v>
      </c>
      <c r="Q2422" s="16">
        <v>2</v>
      </c>
      <c r="R2422" s="5" t="str">
        <f t="shared" si="408"/>
        <v>252-2025-06-30</v>
      </c>
    </row>
    <row r="2423" spans="1:18" x14ac:dyDescent="0.3">
      <c r="A2423" s="39">
        <v>254</v>
      </c>
      <c r="B2423" s="5" t="s">
        <v>415</v>
      </c>
      <c r="C2423" s="5" t="s">
        <v>131</v>
      </c>
      <c r="D2423" s="5" t="s">
        <v>11</v>
      </c>
      <c r="E2423" s="5" t="s">
        <v>9</v>
      </c>
      <c r="F2423" s="6">
        <v>45747</v>
      </c>
      <c r="G2423" s="5">
        <f t="shared" si="391"/>
        <v>2025</v>
      </c>
      <c r="H2423" s="5" t="str">
        <f t="shared" si="392"/>
        <v>Marzo</v>
      </c>
      <c r="I2423" s="6" t="str">
        <f t="shared" si="407"/>
        <v>2025-1</v>
      </c>
      <c r="J2423" s="5">
        <v>84</v>
      </c>
      <c r="K2423" s="5">
        <v>84</v>
      </c>
      <c r="L2423" s="8">
        <f>IFERROR(K2423/J2423,"")</f>
        <v>1</v>
      </c>
      <c r="M2423" s="15">
        <f t="shared" ref="M2423:M2424" si="410">IFERROR(IF((K2423/J2423)&gt;K2423/J2423,1.3,K2423/J2423),"")</f>
        <v>1</v>
      </c>
      <c r="N2423" s="5" t="s">
        <v>347</v>
      </c>
      <c r="O2423" s="5" t="s">
        <v>347</v>
      </c>
      <c r="P2423" s="16">
        <v>0</v>
      </c>
      <c r="Q2423" s="16">
        <v>0</v>
      </c>
      <c r="R2423" s="5" t="str">
        <f t="shared" si="408"/>
        <v>254-2025-03-31</v>
      </c>
    </row>
    <row r="2424" spans="1:18" x14ac:dyDescent="0.3">
      <c r="A2424" s="39">
        <v>254</v>
      </c>
      <c r="B2424" s="5" t="s">
        <v>415</v>
      </c>
      <c r="C2424" s="5" t="s">
        <v>131</v>
      </c>
      <c r="D2424" s="5" t="s">
        <v>11</v>
      </c>
      <c r="E2424" s="5" t="s">
        <v>9</v>
      </c>
      <c r="F2424" s="6">
        <v>45838</v>
      </c>
      <c r="G2424" s="5">
        <f t="shared" si="391"/>
        <v>2025</v>
      </c>
      <c r="H2424" s="5" t="str">
        <f t="shared" si="392"/>
        <v>Junio</v>
      </c>
      <c r="I2424" s="6" t="str">
        <f t="shared" si="407"/>
        <v>2025-1</v>
      </c>
      <c r="J2424" s="5">
        <v>84</v>
      </c>
      <c r="K2424" s="5">
        <v>84</v>
      </c>
      <c r="L2424" s="8">
        <f>IFERROR(K2424/J2424,"")</f>
        <v>1</v>
      </c>
      <c r="M2424" s="15">
        <f t="shared" si="410"/>
        <v>1</v>
      </c>
      <c r="N2424" s="5" t="s">
        <v>347</v>
      </c>
      <c r="O2424" s="5" t="s">
        <v>347</v>
      </c>
      <c r="P2424" s="16">
        <v>0</v>
      </c>
      <c r="Q2424" s="16">
        <v>0</v>
      </c>
      <c r="R2424" s="5" t="str">
        <f t="shared" si="408"/>
        <v>254-2025-06-30</v>
      </c>
    </row>
    <row r="2425" spans="1:18" x14ac:dyDescent="0.3">
      <c r="A2425" s="5">
        <v>256</v>
      </c>
      <c r="B2425" s="5" t="s">
        <v>138</v>
      </c>
      <c r="C2425" s="5" t="s">
        <v>67</v>
      </c>
      <c r="D2425" s="5" t="s">
        <v>8</v>
      </c>
      <c r="E2425" s="5" t="s">
        <v>9</v>
      </c>
      <c r="F2425" s="6">
        <v>45838</v>
      </c>
      <c r="G2425" s="5">
        <f t="shared" si="391"/>
        <v>2025</v>
      </c>
      <c r="H2425" s="5" t="str">
        <f t="shared" si="392"/>
        <v>Junio</v>
      </c>
      <c r="I2425" s="6" t="str">
        <f t="shared" si="407"/>
        <v>2025-1</v>
      </c>
      <c r="J2425" s="5">
        <v>17</v>
      </c>
      <c r="K2425" s="5">
        <v>17</v>
      </c>
      <c r="L2425" s="8">
        <f>IFERROR(K2425/J2425,"")</f>
        <v>1</v>
      </c>
      <c r="M2425" s="15">
        <v>1.1765000000000001</v>
      </c>
      <c r="N2425" s="5" t="s">
        <v>490</v>
      </c>
      <c r="O2425" s="5" t="s">
        <v>490</v>
      </c>
      <c r="P2425" s="5">
        <v>0</v>
      </c>
      <c r="Q2425" s="5">
        <v>0</v>
      </c>
      <c r="R2425" s="5" t="str">
        <f t="shared" si="408"/>
        <v>256-2025-06-30</v>
      </c>
    </row>
    <row r="2426" spans="1:18" x14ac:dyDescent="0.3">
      <c r="A2426" s="5">
        <v>260</v>
      </c>
      <c r="B2426" s="5" t="s">
        <v>141</v>
      </c>
      <c r="C2426" s="5" t="s">
        <v>142</v>
      </c>
      <c r="D2426" s="5" t="s">
        <v>8</v>
      </c>
      <c r="E2426" s="5" t="s">
        <v>14</v>
      </c>
      <c r="F2426" s="6">
        <v>45838</v>
      </c>
      <c r="G2426" s="5">
        <f t="shared" si="391"/>
        <v>2025</v>
      </c>
      <c r="H2426" s="5" t="str">
        <f t="shared" si="392"/>
        <v>Junio</v>
      </c>
      <c r="I2426" s="6" t="str">
        <f t="shared" si="407"/>
        <v>2025-1</v>
      </c>
      <c r="J2426" s="5">
        <v>2.2000000000000002</v>
      </c>
      <c r="K2426" s="5">
        <v>1.9</v>
      </c>
      <c r="L2426" s="8">
        <f>IFERROR(IF(J2426/K2426&gt;1.3,1.3,J2426/K2426),"")</f>
        <v>1.1578947368421053</v>
      </c>
      <c r="M2426" s="8">
        <f>IFERROR(J2426/K2426,"")</f>
        <v>1.1578947368421053</v>
      </c>
      <c r="N2426" s="5" t="s">
        <v>478</v>
      </c>
      <c r="O2426" s="5" t="s">
        <v>478</v>
      </c>
      <c r="P2426" s="5">
        <v>1</v>
      </c>
      <c r="Q2426" s="5">
        <v>1</v>
      </c>
      <c r="R2426" s="5" t="str">
        <f t="shared" si="408"/>
        <v>260-2025-06-30</v>
      </c>
    </row>
    <row r="2427" spans="1:18" x14ac:dyDescent="0.3">
      <c r="A2427" s="5">
        <v>261</v>
      </c>
      <c r="B2427" s="5" t="s">
        <v>143</v>
      </c>
      <c r="C2427" s="5" t="s">
        <v>74</v>
      </c>
      <c r="D2427" s="5" t="s">
        <v>8</v>
      </c>
      <c r="E2427" s="5" t="s">
        <v>14</v>
      </c>
      <c r="F2427" s="6">
        <v>45838</v>
      </c>
      <c r="G2427" s="5">
        <f t="shared" si="391"/>
        <v>2025</v>
      </c>
      <c r="H2427" s="5" t="str">
        <f t="shared" si="392"/>
        <v>Junio</v>
      </c>
      <c r="I2427" s="6" t="str">
        <f t="shared" si="407"/>
        <v>2025-1</v>
      </c>
      <c r="J2427" s="5">
        <v>2.2000000000000002</v>
      </c>
      <c r="K2427" s="5">
        <v>2.2999999999999998</v>
      </c>
      <c r="L2427" s="8">
        <f>IFERROR(IF(J2427/K2427&gt;1.3,1.3,J2427/K2427),"")</f>
        <v>0.95652173913043492</v>
      </c>
      <c r="M2427" s="8">
        <f>IFERROR(J2427/K2427,"")</f>
        <v>0.95652173913043492</v>
      </c>
      <c r="N2427" s="5" t="s">
        <v>478</v>
      </c>
      <c r="O2427" s="5" t="s">
        <v>478</v>
      </c>
      <c r="P2427" s="5">
        <v>1</v>
      </c>
      <c r="Q2427" s="5">
        <v>1</v>
      </c>
      <c r="R2427" s="5" t="str">
        <f t="shared" si="408"/>
        <v>261-2025-06-30</v>
      </c>
    </row>
    <row r="2428" spans="1:18" x14ac:dyDescent="0.3">
      <c r="A2428" s="5">
        <v>262</v>
      </c>
      <c r="B2428" s="5" t="s">
        <v>494</v>
      </c>
      <c r="C2428" s="5" t="s">
        <v>145</v>
      </c>
      <c r="D2428" s="5" t="s">
        <v>8</v>
      </c>
      <c r="E2428" s="5" t="s">
        <v>14</v>
      </c>
      <c r="F2428" s="6">
        <v>45838</v>
      </c>
      <c r="G2428" s="5">
        <f t="shared" si="391"/>
        <v>2025</v>
      </c>
      <c r="H2428" s="5" t="str">
        <f t="shared" si="392"/>
        <v>Junio</v>
      </c>
      <c r="I2428" s="6" t="str">
        <f t="shared" si="407"/>
        <v>2025-1</v>
      </c>
      <c r="J2428" s="5">
        <v>10</v>
      </c>
      <c r="K2428" s="5">
        <v>0</v>
      </c>
      <c r="L2428" s="8">
        <v>1</v>
      </c>
      <c r="M2428" s="8">
        <v>1</v>
      </c>
      <c r="N2428" s="5" t="s">
        <v>347</v>
      </c>
      <c r="O2428" s="5" t="s">
        <v>347</v>
      </c>
      <c r="P2428" s="5">
        <v>0</v>
      </c>
      <c r="Q2428" s="5">
        <v>0</v>
      </c>
      <c r="R2428" s="5" t="str">
        <f t="shared" si="408"/>
        <v>262-2025-06-30</v>
      </c>
    </row>
    <row r="2429" spans="1:18" x14ac:dyDescent="0.3">
      <c r="A2429" s="26">
        <v>263</v>
      </c>
      <c r="B2429" s="5" t="s">
        <v>146</v>
      </c>
      <c r="C2429" s="5" t="s">
        <v>145</v>
      </c>
      <c r="D2429" s="5" t="s">
        <v>11</v>
      </c>
      <c r="E2429" s="5" t="s">
        <v>9</v>
      </c>
      <c r="F2429" s="6">
        <v>45747</v>
      </c>
      <c r="G2429" s="5">
        <f t="shared" si="391"/>
        <v>2025</v>
      </c>
      <c r="H2429" s="5" t="str">
        <f t="shared" si="392"/>
        <v>Marzo</v>
      </c>
      <c r="I2429" s="6" t="str">
        <f t="shared" si="407"/>
        <v>2025-1</v>
      </c>
      <c r="J2429" s="5">
        <v>100</v>
      </c>
      <c r="K2429" s="10">
        <v>100</v>
      </c>
      <c r="L2429" s="15">
        <f>IFERROR(IF((K2429/J2429)&gt;1.3,1.3,K2429/J2429),"")</f>
        <v>1</v>
      </c>
      <c r="M2429" s="15">
        <f t="shared" ref="M2429" si="411">IFERROR(IF((K2429/J2429)&gt;K2429/J2429,1.3,K2429/J2429),"")</f>
        <v>1</v>
      </c>
      <c r="N2429" s="5" t="s">
        <v>347</v>
      </c>
      <c r="O2429" s="5" t="s">
        <v>347</v>
      </c>
      <c r="P2429" s="16">
        <v>0</v>
      </c>
      <c r="Q2429" s="16">
        <v>0</v>
      </c>
      <c r="R2429" s="5" t="str">
        <f t="shared" si="408"/>
        <v>263-2025-03-31</v>
      </c>
    </row>
    <row r="2430" spans="1:18" x14ac:dyDescent="0.3">
      <c r="A2430" s="5">
        <v>263</v>
      </c>
      <c r="B2430" s="5" t="s">
        <v>146</v>
      </c>
      <c r="C2430" s="5" t="s">
        <v>145</v>
      </c>
      <c r="D2430" s="5" t="s">
        <v>11</v>
      </c>
      <c r="E2430" s="5" t="s">
        <v>9</v>
      </c>
      <c r="F2430" s="6">
        <v>45838</v>
      </c>
      <c r="G2430" s="5">
        <f t="shared" si="391"/>
        <v>2025</v>
      </c>
      <c r="H2430" s="5" t="str">
        <f t="shared" si="392"/>
        <v>Junio</v>
      </c>
      <c r="I2430" s="6" t="str">
        <f t="shared" si="407"/>
        <v>2025-1</v>
      </c>
      <c r="J2430" s="5">
        <v>100</v>
      </c>
      <c r="K2430" s="5">
        <v>100</v>
      </c>
      <c r="L2430" s="15">
        <v>1</v>
      </c>
      <c r="M2430" s="15">
        <v>1</v>
      </c>
      <c r="N2430" s="5" t="s">
        <v>347</v>
      </c>
      <c r="O2430" s="5" t="s">
        <v>347</v>
      </c>
      <c r="P2430" s="5">
        <v>0</v>
      </c>
      <c r="Q2430" s="5">
        <v>0</v>
      </c>
      <c r="R2430" s="5" t="str">
        <f t="shared" si="408"/>
        <v>263-2025-06-30</v>
      </c>
    </row>
    <row r="2431" spans="1:18" x14ac:dyDescent="0.3">
      <c r="A2431" s="5">
        <v>265</v>
      </c>
      <c r="B2431" s="5" t="s">
        <v>496</v>
      </c>
      <c r="C2431" s="5" t="s">
        <v>145</v>
      </c>
      <c r="D2431" s="5" t="s">
        <v>8</v>
      </c>
      <c r="E2431" s="5" t="s">
        <v>9</v>
      </c>
      <c r="F2431" s="6">
        <v>45838</v>
      </c>
      <c r="G2431" s="5">
        <f t="shared" si="391"/>
        <v>2025</v>
      </c>
      <c r="H2431" s="5" t="str">
        <f t="shared" si="392"/>
        <v>Junio</v>
      </c>
      <c r="I2431" s="6" t="str">
        <f t="shared" si="407"/>
        <v>2025-1</v>
      </c>
      <c r="J2431" s="5">
        <v>95</v>
      </c>
      <c r="K2431" s="5">
        <v>100</v>
      </c>
      <c r="L2431" s="15">
        <f>IFERROR(IF((K2431/J2431)&gt;1.3,1.3,K2431/J2431),"")</f>
        <v>1.0526315789473684</v>
      </c>
      <c r="M2431" s="15">
        <f>IFERROR(IF((K2431/J2431)&gt;K2431/J2431,1.3,K2431/J2431),"")</f>
        <v>1.0526315789473684</v>
      </c>
      <c r="N2431" s="5" t="s">
        <v>347</v>
      </c>
      <c r="O2431" s="5" t="s">
        <v>347</v>
      </c>
      <c r="P2431" s="5">
        <v>0</v>
      </c>
      <c r="Q2431" s="5">
        <v>0</v>
      </c>
      <c r="R2431" s="5" t="str">
        <f t="shared" si="408"/>
        <v>265-2025-06-30</v>
      </c>
    </row>
    <row r="2432" spans="1:18" x14ac:dyDescent="0.3">
      <c r="A2432" s="5">
        <v>266</v>
      </c>
      <c r="B2432" s="5" t="s">
        <v>149</v>
      </c>
      <c r="C2432" s="5" t="s">
        <v>145</v>
      </c>
      <c r="D2432" s="5" t="s">
        <v>8</v>
      </c>
      <c r="E2432" s="5" t="s">
        <v>9</v>
      </c>
      <c r="F2432" s="6">
        <v>45838</v>
      </c>
      <c r="G2432" s="5">
        <f t="shared" si="391"/>
        <v>2025</v>
      </c>
      <c r="H2432" s="5" t="str">
        <f t="shared" si="392"/>
        <v>Junio</v>
      </c>
      <c r="I2432" s="6" t="str">
        <f t="shared" si="407"/>
        <v>2025-1</v>
      </c>
      <c r="J2432" s="5">
        <v>95</v>
      </c>
      <c r="K2432" s="5">
        <v>53.15</v>
      </c>
      <c r="L2432" s="8">
        <f>IFERROR(K2432/J2432,"")</f>
        <v>0.55947368421052635</v>
      </c>
      <c r="M2432" s="15">
        <f>IFERROR(IF((K2432/J2432)&gt;K2432/J2432,1.3,K2432/J2432),"")</f>
        <v>0.55947368421052635</v>
      </c>
      <c r="N2432" s="5" t="s">
        <v>347</v>
      </c>
      <c r="O2432" s="5" t="s">
        <v>347</v>
      </c>
      <c r="P2432" s="5">
        <v>0</v>
      </c>
      <c r="Q2432" s="5">
        <v>0</v>
      </c>
      <c r="R2432" s="5" t="str">
        <f t="shared" si="408"/>
        <v>266-2025-06-30</v>
      </c>
    </row>
    <row r="2433" spans="1:18" x14ac:dyDescent="0.3">
      <c r="A2433" s="35">
        <v>274</v>
      </c>
      <c r="B2433" s="18" t="s">
        <v>159</v>
      </c>
      <c r="C2433" s="18" t="s">
        <v>142</v>
      </c>
      <c r="D2433" s="18" t="s">
        <v>8</v>
      </c>
      <c r="E2433" s="18" t="s">
        <v>9</v>
      </c>
      <c r="F2433" s="19">
        <v>45838</v>
      </c>
      <c r="G2433" s="5">
        <f t="shared" si="391"/>
        <v>2025</v>
      </c>
      <c r="H2433" s="5" t="str">
        <f t="shared" si="392"/>
        <v>Junio</v>
      </c>
      <c r="I2433" s="6" t="str">
        <f t="shared" si="407"/>
        <v>2025-1</v>
      </c>
      <c r="J2433" s="5">
        <v>40441</v>
      </c>
      <c r="K2433" s="5">
        <v>41436</v>
      </c>
      <c r="L2433" s="15">
        <f t="shared" ref="L2433" si="412">IFERROR(IF((K2433/J2433)&gt;1.3,1.3,K2433/J2433),"")</f>
        <v>1.0246037437254272</v>
      </c>
      <c r="M2433" s="15">
        <f t="shared" ref="M2433" si="413">IFERROR(IF((K2433/J2433)&gt;K2433/J2433,1.3,K2433/J2433),"")</f>
        <v>1.0246037437254272</v>
      </c>
      <c r="N2433" s="18" t="s">
        <v>490</v>
      </c>
      <c r="O2433" s="18" t="s">
        <v>490</v>
      </c>
      <c r="P2433" s="16">
        <v>0</v>
      </c>
      <c r="Q2433" s="16">
        <v>0</v>
      </c>
      <c r="R2433" s="5" t="str">
        <f t="shared" si="408"/>
        <v>274-2025-06-30</v>
      </c>
    </row>
    <row r="2434" spans="1:18" x14ac:dyDescent="0.3">
      <c r="A2434" s="5">
        <v>275</v>
      </c>
      <c r="B2434" s="5" t="s">
        <v>497</v>
      </c>
      <c r="C2434" s="5" t="s">
        <v>160</v>
      </c>
      <c r="D2434" s="5" t="s">
        <v>8</v>
      </c>
      <c r="E2434" s="5" t="s">
        <v>9</v>
      </c>
      <c r="F2434" s="6">
        <v>45838</v>
      </c>
      <c r="G2434" s="5">
        <f t="shared" si="391"/>
        <v>2025</v>
      </c>
      <c r="H2434" s="5" t="str">
        <f t="shared" si="392"/>
        <v>Junio</v>
      </c>
      <c r="I2434" s="6" t="str">
        <f t="shared" si="407"/>
        <v>2025-1</v>
      </c>
      <c r="J2434" s="5">
        <v>80</v>
      </c>
      <c r="K2434" s="5">
        <v>90</v>
      </c>
      <c r="L2434" s="15">
        <f>IFERROR(IF((K2434/J2434)&gt;1.3,1.3,K2434/J2434),"")</f>
        <v>1.125</v>
      </c>
      <c r="M2434" s="15">
        <f>IFERROR(IF((K2434/J2434)&gt;K2434/J2434,1.3,K2434/J2434),"")</f>
        <v>1.125</v>
      </c>
      <c r="N2434" s="5" t="s">
        <v>347</v>
      </c>
      <c r="O2434" s="5" t="s">
        <v>347</v>
      </c>
      <c r="P2434" s="5">
        <v>0</v>
      </c>
      <c r="Q2434" s="5">
        <v>0</v>
      </c>
      <c r="R2434" s="5" t="str">
        <f t="shared" si="408"/>
        <v>275-2025-06-30</v>
      </c>
    </row>
    <row r="2435" spans="1:18" x14ac:dyDescent="0.3">
      <c r="A2435" s="26">
        <v>277</v>
      </c>
      <c r="B2435" s="5" t="s">
        <v>163</v>
      </c>
      <c r="C2435" s="5" t="s">
        <v>162</v>
      </c>
      <c r="D2435" s="5" t="s">
        <v>8</v>
      </c>
      <c r="E2435" s="5" t="s">
        <v>14</v>
      </c>
      <c r="F2435" s="17">
        <v>45838</v>
      </c>
      <c r="G2435" s="5">
        <f t="shared" si="391"/>
        <v>2025</v>
      </c>
      <c r="H2435" s="5" t="str">
        <f t="shared" si="392"/>
        <v>Junio</v>
      </c>
      <c r="I2435" s="6" t="str">
        <f t="shared" si="407"/>
        <v>2025-1</v>
      </c>
      <c r="J2435" s="5">
        <v>71</v>
      </c>
      <c r="K2435" s="5">
        <v>69.39</v>
      </c>
      <c r="L2435" s="8">
        <f>IFERROR(J2435/K2435,"")</f>
        <v>1.0232021905173656</v>
      </c>
      <c r="M2435" s="8">
        <f>IFERROR(J2435/K2435,"")</f>
        <v>1.0232021905173656</v>
      </c>
      <c r="N2435" s="5" t="s">
        <v>478</v>
      </c>
      <c r="O2435" s="5" t="s">
        <v>478</v>
      </c>
      <c r="P2435" s="16">
        <v>0</v>
      </c>
      <c r="Q2435" s="16">
        <v>0</v>
      </c>
      <c r="R2435" s="5" t="str">
        <f t="shared" si="408"/>
        <v>277-2025-06-30</v>
      </c>
    </row>
    <row r="2436" spans="1:18" x14ac:dyDescent="0.3">
      <c r="A2436" s="5">
        <v>282</v>
      </c>
      <c r="B2436" s="5" t="s">
        <v>168</v>
      </c>
      <c r="C2436" s="5" t="s">
        <v>162</v>
      </c>
      <c r="D2436" s="5" t="s">
        <v>8</v>
      </c>
      <c r="E2436" s="5" t="s">
        <v>9</v>
      </c>
      <c r="F2436" s="6">
        <v>45838</v>
      </c>
      <c r="G2436" s="5">
        <f t="shared" si="391"/>
        <v>2025</v>
      </c>
      <c r="H2436" s="5" t="str">
        <f t="shared" si="392"/>
        <v>Junio</v>
      </c>
      <c r="I2436" s="6" t="str">
        <f t="shared" si="407"/>
        <v>2025-1</v>
      </c>
      <c r="J2436" s="5">
        <v>97</v>
      </c>
      <c r="K2436" s="5">
        <v>97.41</v>
      </c>
      <c r="L2436" s="15">
        <f>IFERROR(IF((K2436/J2436)&gt;1.3,1.3,K2436/J2436),"")</f>
        <v>1.0042268041237112</v>
      </c>
      <c r="M2436" s="15">
        <f>IFERROR(IF((K2436/J2436)&gt;K2436/J2436,1.3,K2436/J2436),"")</f>
        <v>1.0042268041237112</v>
      </c>
      <c r="N2436" s="5" t="s">
        <v>347</v>
      </c>
      <c r="O2436" s="5" t="s">
        <v>347</v>
      </c>
      <c r="P2436" s="5">
        <v>0</v>
      </c>
      <c r="Q2436" s="5">
        <v>0</v>
      </c>
      <c r="R2436" s="5" t="str">
        <f t="shared" si="408"/>
        <v>282-2025-06-30</v>
      </c>
    </row>
    <row r="2437" spans="1:18" x14ac:dyDescent="0.3">
      <c r="A2437" s="5">
        <v>285</v>
      </c>
      <c r="B2437" s="5" t="s">
        <v>171</v>
      </c>
      <c r="C2437" s="5" t="s">
        <v>162</v>
      </c>
      <c r="D2437" s="5" t="s">
        <v>8</v>
      </c>
      <c r="E2437" s="5" t="s">
        <v>9</v>
      </c>
      <c r="F2437" s="6">
        <v>45838</v>
      </c>
      <c r="G2437" s="5">
        <f t="shared" si="391"/>
        <v>2025</v>
      </c>
      <c r="H2437" s="5" t="str">
        <f t="shared" si="392"/>
        <v>Junio</v>
      </c>
      <c r="I2437" s="6" t="str">
        <f t="shared" si="407"/>
        <v>2025-1</v>
      </c>
      <c r="J2437" s="5">
        <v>100</v>
      </c>
      <c r="K2437" s="5">
        <v>100</v>
      </c>
      <c r="L2437" s="15">
        <v>1</v>
      </c>
      <c r="M2437" s="15">
        <v>1</v>
      </c>
      <c r="N2437" s="5" t="s">
        <v>347</v>
      </c>
      <c r="O2437" s="5" t="s">
        <v>347</v>
      </c>
      <c r="P2437" s="5">
        <v>0</v>
      </c>
      <c r="Q2437" s="5">
        <v>0</v>
      </c>
      <c r="R2437" s="5" t="str">
        <f t="shared" si="408"/>
        <v>285-2025-06-30</v>
      </c>
    </row>
    <row r="2438" spans="1:18" x14ac:dyDescent="0.3">
      <c r="A2438" s="5">
        <v>292</v>
      </c>
      <c r="B2438" s="5" t="s">
        <v>729</v>
      </c>
      <c r="C2438" s="5" t="s">
        <v>177</v>
      </c>
      <c r="D2438" s="5" t="s">
        <v>8</v>
      </c>
      <c r="E2438" s="5" t="s">
        <v>9</v>
      </c>
      <c r="F2438" s="6">
        <v>45838</v>
      </c>
      <c r="G2438" s="5">
        <f t="shared" si="391"/>
        <v>2025</v>
      </c>
      <c r="H2438" s="5" t="str">
        <f t="shared" si="392"/>
        <v>Junio</v>
      </c>
      <c r="I2438" s="6" t="str">
        <f t="shared" si="407"/>
        <v>2025-1</v>
      </c>
      <c r="J2438" s="5">
        <v>8</v>
      </c>
      <c r="K2438" s="5">
        <v>9.7899999999999991</v>
      </c>
      <c r="L2438" s="15">
        <f>IFERROR(IF((K2438/J2438)&gt;1.3,1.3,K2438/J2438),"")</f>
        <v>1.2237499999999999</v>
      </c>
      <c r="M2438" s="15">
        <f>IFERROR(IF((K2438/J2438)&gt;K2438/J2438,1.3,K2438/J2438),"")</f>
        <v>1.2237499999999999</v>
      </c>
      <c r="N2438" s="5" t="s">
        <v>347</v>
      </c>
      <c r="O2438" s="5" t="s">
        <v>347</v>
      </c>
      <c r="P2438" s="5">
        <v>0</v>
      </c>
      <c r="Q2438" s="5">
        <v>0</v>
      </c>
      <c r="R2438" s="5" t="str">
        <f t="shared" si="408"/>
        <v>292-2025-06-30</v>
      </c>
    </row>
    <row r="2439" spans="1:18" x14ac:dyDescent="0.3">
      <c r="A2439" s="26">
        <v>294</v>
      </c>
      <c r="B2439" s="5" t="s">
        <v>512</v>
      </c>
      <c r="C2439" s="5" t="s">
        <v>177</v>
      </c>
      <c r="D2439" s="5" t="s">
        <v>8</v>
      </c>
      <c r="E2439" s="5" t="s">
        <v>9</v>
      </c>
      <c r="F2439" s="6">
        <v>45838</v>
      </c>
      <c r="G2439" s="5">
        <f t="shared" si="391"/>
        <v>2025</v>
      </c>
      <c r="H2439" s="5" t="str">
        <f t="shared" si="392"/>
        <v>Junio</v>
      </c>
      <c r="I2439" s="6" t="str">
        <f t="shared" si="407"/>
        <v>2025-1</v>
      </c>
      <c r="J2439" s="5">
        <v>8</v>
      </c>
      <c r="K2439" s="10">
        <v>-9.19</v>
      </c>
      <c r="L2439" s="15">
        <v>0</v>
      </c>
      <c r="M2439" s="15">
        <v>0</v>
      </c>
      <c r="N2439" s="5" t="s">
        <v>347</v>
      </c>
      <c r="O2439" s="5" t="s">
        <v>347</v>
      </c>
      <c r="P2439" s="16">
        <v>0</v>
      </c>
      <c r="Q2439" s="16">
        <v>0</v>
      </c>
      <c r="R2439" s="5" t="str">
        <f t="shared" si="408"/>
        <v>294-2025-06-30</v>
      </c>
    </row>
    <row r="2440" spans="1:18" x14ac:dyDescent="0.3">
      <c r="A2440" s="26">
        <v>300</v>
      </c>
      <c r="B2440" s="5" t="s">
        <v>184</v>
      </c>
      <c r="C2440" s="5" t="s">
        <v>185</v>
      </c>
      <c r="D2440" s="5" t="s">
        <v>11</v>
      </c>
      <c r="E2440" s="5" t="s">
        <v>9</v>
      </c>
      <c r="F2440" s="6">
        <v>45747</v>
      </c>
      <c r="G2440" s="5">
        <f t="shared" si="391"/>
        <v>2025</v>
      </c>
      <c r="H2440" s="5" t="str">
        <f t="shared" si="392"/>
        <v>Marzo</v>
      </c>
      <c r="I2440" s="6" t="str">
        <f t="shared" si="407"/>
        <v>2025-1</v>
      </c>
      <c r="J2440" s="5">
        <v>100</v>
      </c>
      <c r="K2440" s="10">
        <v>100</v>
      </c>
      <c r="L2440" s="15">
        <f>IFERROR(IF((K2440/J2440)&gt;1.3,1.3,K2440/J2440),"")</f>
        <v>1</v>
      </c>
      <c r="M2440" s="15">
        <f>IFERROR(IF((K2440/J2440)&gt;K2440/J2440,1.3,K2440/J2440),"")</f>
        <v>1</v>
      </c>
      <c r="N2440" s="5" t="s">
        <v>347</v>
      </c>
      <c r="O2440" s="5" t="s">
        <v>347</v>
      </c>
      <c r="P2440" s="16">
        <v>0</v>
      </c>
      <c r="Q2440" s="16">
        <v>0</v>
      </c>
      <c r="R2440" s="5" t="str">
        <f t="shared" si="408"/>
        <v>300-2025-03-31</v>
      </c>
    </row>
    <row r="2441" spans="1:18" x14ac:dyDescent="0.3">
      <c r="A2441" s="5">
        <v>300</v>
      </c>
      <c r="B2441" s="5" t="s">
        <v>184</v>
      </c>
      <c r="C2441" s="5" t="s">
        <v>185</v>
      </c>
      <c r="D2441" s="5" t="s">
        <v>11</v>
      </c>
      <c r="E2441" s="5" t="s">
        <v>9</v>
      </c>
      <c r="F2441" s="6">
        <v>45838</v>
      </c>
      <c r="G2441" s="5">
        <f t="shared" si="391"/>
        <v>2025</v>
      </c>
      <c r="H2441" s="5" t="str">
        <f t="shared" si="392"/>
        <v>Junio</v>
      </c>
      <c r="I2441" s="6" t="str">
        <f t="shared" si="407"/>
        <v>2025-1</v>
      </c>
      <c r="J2441" s="5">
        <v>100</v>
      </c>
      <c r="K2441" s="5">
        <v>100</v>
      </c>
      <c r="L2441" s="15">
        <v>1</v>
      </c>
      <c r="M2441" s="15">
        <v>1</v>
      </c>
      <c r="N2441" s="5" t="s">
        <v>347</v>
      </c>
      <c r="O2441" s="5" t="s">
        <v>347</v>
      </c>
      <c r="P2441" s="5">
        <v>0</v>
      </c>
      <c r="Q2441" s="5">
        <v>0</v>
      </c>
      <c r="R2441" s="5" t="str">
        <f t="shared" si="408"/>
        <v>300-2025-06-30</v>
      </c>
    </row>
    <row r="2442" spans="1:18" x14ac:dyDescent="0.3">
      <c r="A2442" s="26">
        <v>301</v>
      </c>
      <c r="B2442" s="5" t="s">
        <v>186</v>
      </c>
      <c r="C2442" s="5" t="s">
        <v>185</v>
      </c>
      <c r="D2442" s="5" t="s">
        <v>11</v>
      </c>
      <c r="E2442" s="5" t="s">
        <v>9</v>
      </c>
      <c r="F2442" s="6">
        <v>45747</v>
      </c>
      <c r="G2442" s="5">
        <f t="shared" si="391"/>
        <v>2025</v>
      </c>
      <c r="H2442" s="5" t="str">
        <f t="shared" si="392"/>
        <v>Marzo</v>
      </c>
      <c r="I2442" s="6" t="str">
        <f t="shared" si="407"/>
        <v>2025-1</v>
      </c>
      <c r="J2442" s="5">
        <v>100</v>
      </c>
      <c r="K2442" s="10">
        <v>100</v>
      </c>
      <c r="L2442" s="15">
        <f>IFERROR(IF((K2442/J2442)&gt;1.3,1.3,K2442/J2442),"")</f>
        <v>1</v>
      </c>
      <c r="M2442" s="15">
        <f t="shared" ref="M2442" si="414">IFERROR(IF((K2442/J2442)&gt;K2442/J2442,1.3,K2442/J2442),"")</f>
        <v>1</v>
      </c>
      <c r="N2442" s="5" t="s">
        <v>347</v>
      </c>
      <c r="O2442" s="5" t="s">
        <v>347</v>
      </c>
      <c r="P2442" s="16">
        <v>0</v>
      </c>
      <c r="Q2442" s="16">
        <v>0</v>
      </c>
      <c r="R2442" s="5" t="str">
        <f t="shared" si="408"/>
        <v>301-2025-03-31</v>
      </c>
    </row>
    <row r="2443" spans="1:18" x14ac:dyDescent="0.3">
      <c r="A2443" s="5">
        <v>301</v>
      </c>
      <c r="B2443" s="5" t="s">
        <v>186</v>
      </c>
      <c r="C2443" s="5" t="s">
        <v>185</v>
      </c>
      <c r="D2443" s="5" t="s">
        <v>11</v>
      </c>
      <c r="E2443" s="5" t="s">
        <v>9</v>
      </c>
      <c r="F2443" s="6">
        <v>45838</v>
      </c>
      <c r="G2443" s="5">
        <f t="shared" si="391"/>
        <v>2025</v>
      </c>
      <c r="H2443" s="5" t="str">
        <f t="shared" si="392"/>
        <v>Junio</v>
      </c>
      <c r="I2443" s="6" t="str">
        <f t="shared" si="407"/>
        <v>2025-1</v>
      </c>
      <c r="J2443" s="5">
        <v>100</v>
      </c>
      <c r="K2443" s="5">
        <v>100</v>
      </c>
      <c r="L2443" s="15">
        <v>1</v>
      </c>
      <c r="M2443" s="15">
        <v>1</v>
      </c>
      <c r="N2443" s="5" t="s">
        <v>347</v>
      </c>
      <c r="O2443" s="5" t="s">
        <v>347</v>
      </c>
      <c r="P2443" s="5">
        <v>0</v>
      </c>
      <c r="Q2443" s="5">
        <v>0</v>
      </c>
      <c r="R2443" s="5" t="str">
        <f t="shared" si="408"/>
        <v>301-2025-06-30</v>
      </c>
    </row>
    <row r="2444" spans="1:18" x14ac:dyDescent="0.3">
      <c r="A2444" s="5">
        <v>303</v>
      </c>
      <c r="B2444" s="5" t="s">
        <v>188</v>
      </c>
      <c r="C2444" s="5" t="s">
        <v>189</v>
      </c>
      <c r="D2444" s="5" t="s">
        <v>8</v>
      </c>
      <c r="E2444" s="5" t="s">
        <v>9</v>
      </c>
      <c r="F2444" s="6">
        <v>45838</v>
      </c>
      <c r="G2444" s="5">
        <f t="shared" si="391"/>
        <v>2025</v>
      </c>
      <c r="H2444" s="5" t="str">
        <f t="shared" si="392"/>
        <v>Junio</v>
      </c>
      <c r="I2444" s="6" t="str">
        <f t="shared" si="407"/>
        <v>2025-1</v>
      </c>
      <c r="J2444" s="5">
        <v>95</v>
      </c>
      <c r="K2444" s="5">
        <v>90.21</v>
      </c>
      <c r="L2444" s="15">
        <f>IFERROR(IF((K2444/J2444)&gt;1.3,1.3,K2444/J2444),"")</f>
        <v>0.94957894736842097</v>
      </c>
      <c r="M2444" s="15">
        <f>IFERROR(IF((K2444/J2444)&gt;K2444/J2444,1.3,K2444/J2444),"")</f>
        <v>0.94957894736842097</v>
      </c>
      <c r="N2444" s="5" t="s">
        <v>347</v>
      </c>
      <c r="O2444" s="5" t="s">
        <v>347</v>
      </c>
      <c r="P2444" s="5">
        <v>0</v>
      </c>
      <c r="Q2444" s="5">
        <v>0</v>
      </c>
      <c r="R2444" s="5" t="str">
        <f t="shared" si="408"/>
        <v>303-2025-06-30</v>
      </c>
    </row>
    <row r="2445" spans="1:18" x14ac:dyDescent="0.3">
      <c r="A2445" s="5">
        <v>304</v>
      </c>
      <c r="B2445" s="5" t="s">
        <v>190</v>
      </c>
      <c r="C2445" s="5" t="s">
        <v>189</v>
      </c>
      <c r="D2445" s="5" t="s">
        <v>8</v>
      </c>
      <c r="E2445" s="5" t="s">
        <v>9</v>
      </c>
      <c r="F2445" s="6">
        <v>45838</v>
      </c>
      <c r="G2445" s="5">
        <f t="shared" si="391"/>
        <v>2025</v>
      </c>
      <c r="H2445" s="5" t="str">
        <f t="shared" si="392"/>
        <v>Junio</v>
      </c>
      <c r="I2445" s="6" t="str">
        <f t="shared" si="407"/>
        <v>2025-1</v>
      </c>
      <c r="J2445" s="5">
        <v>3400</v>
      </c>
      <c r="K2445" s="5">
        <v>3348</v>
      </c>
      <c r="L2445" s="15">
        <f>IFERROR(IF((K2445/J2445)&gt;1.3,1.3,K2445/J2445),"")</f>
        <v>0.98470588235294121</v>
      </c>
      <c r="M2445" s="15">
        <f t="shared" ref="M2445:M2446" si="415">IFERROR(IF((K2445/J2445)&gt;K2445/J2445,1.3,K2445/J2445),"")</f>
        <v>0.98470588235294121</v>
      </c>
      <c r="N2445" s="5" t="s">
        <v>490</v>
      </c>
      <c r="O2445" s="5" t="s">
        <v>490</v>
      </c>
      <c r="P2445" s="5">
        <v>0</v>
      </c>
      <c r="Q2445" s="5">
        <v>0</v>
      </c>
      <c r="R2445" s="5" t="str">
        <f t="shared" si="408"/>
        <v>304-2025-06-30</v>
      </c>
    </row>
    <row r="2446" spans="1:18" x14ac:dyDescent="0.3">
      <c r="A2446" s="26">
        <v>327</v>
      </c>
      <c r="B2446" s="5" t="s">
        <v>213</v>
      </c>
      <c r="C2446" s="5" t="s">
        <v>158</v>
      </c>
      <c r="D2446" s="5" t="s">
        <v>8</v>
      </c>
      <c r="E2446" s="5" t="s">
        <v>9</v>
      </c>
      <c r="F2446" s="17">
        <v>45838</v>
      </c>
      <c r="G2446" s="5">
        <f t="shared" si="391"/>
        <v>2025</v>
      </c>
      <c r="H2446" s="5" t="str">
        <f t="shared" si="392"/>
        <v>Junio</v>
      </c>
      <c r="I2446" s="6" t="str">
        <f t="shared" si="407"/>
        <v>2025-1</v>
      </c>
      <c r="J2446" s="5">
        <v>1</v>
      </c>
      <c r="K2446" s="9">
        <v>1</v>
      </c>
      <c r="L2446" s="8">
        <f>IFERROR(K2446/J2446,"")</f>
        <v>1</v>
      </c>
      <c r="M2446" s="15">
        <f t="shared" si="415"/>
        <v>1</v>
      </c>
      <c r="N2446" s="5" t="s">
        <v>490</v>
      </c>
      <c r="O2446" s="5" t="s">
        <v>490</v>
      </c>
      <c r="P2446" s="16">
        <v>0</v>
      </c>
      <c r="Q2446" s="16">
        <v>0</v>
      </c>
      <c r="R2446" s="5" t="str">
        <f t="shared" si="408"/>
        <v>327-2025-06-30</v>
      </c>
    </row>
    <row r="2447" spans="1:18" x14ac:dyDescent="0.3">
      <c r="A2447" s="26">
        <v>332</v>
      </c>
      <c r="B2447" s="5" t="s">
        <v>217</v>
      </c>
      <c r="C2447" s="5" t="s">
        <v>13</v>
      </c>
      <c r="D2447" s="5" t="s">
        <v>8</v>
      </c>
      <c r="E2447" s="5" t="s">
        <v>14</v>
      </c>
      <c r="F2447" s="17">
        <v>45838</v>
      </c>
      <c r="G2447" s="5">
        <f t="shared" si="391"/>
        <v>2025</v>
      </c>
      <c r="H2447" s="5" t="str">
        <f t="shared" si="392"/>
        <v>Junio</v>
      </c>
      <c r="I2447" s="6" t="str">
        <f t="shared" si="407"/>
        <v>2025-1</v>
      </c>
      <c r="J2447" s="5">
        <v>1.18</v>
      </c>
      <c r="K2447" s="12">
        <v>0.85</v>
      </c>
      <c r="L2447" s="15">
        <f>IFERROR(IF((J2447/K2447)&gt;1.3,1.3,J2447/K2447),"")</f>
        <v>1.3</v>
      </c>
      <c r="M2447" s="8">
        <f>IFERROR(J2447/K2447,"")</f>
        <v>1.388235294117647</v>
      </c>
      <c r="N2447" s="5" t="s">
        <v>347</v>
      </c>
      <c r="O2447" s="5" t="s">
        <v>347</v>
      </c>
      <c r="P2447" s="16">
        <v>2</v>
      </c>
      <c r="Q2447" s="16">
        <v>2</v>
      </c>
      <c r="R2447" s="5" t="str">
        <f t="shared" si="408"/>
        <v>332-2025-06-30</v>
      </c>
    </row>
    <row r="2448" spans="1:18" x14ac:dyDescent="0.3">
      <c r="A2448" s="5">
        <v>338</v>
      </c>
      <c r="B2448" s="5" t="s">
        <v>707</v>
      </c>
      <c r="C2448" s="5" t="s">
        <v>158</v>
      </c>
      <c r="D2448" s="5" t="s">
        <v>8</v>
      </c>
      <c r="E2448" s="5" t="s">
        <v>9</v>
      </c>
      <c r="F2448" s="6">
        <v>45838</v>
      </c>
      <c r="G2448" s="5">
        <f t="shared" si="391"/>
        <v>2025</v>
      </c>
      <c r="H2448" s="5" t="str">
        <f t="shared" si="392"/>
        <v>Junio</v>
      </c>
      <c r="I2448" s="6" t="str">
        <f t="shared" si="407"/>
        <v>2025-1</v>
      </c>
      <c r="J2448" s="5">
        <v>1</v>
      </c>
      <c r="K2448" s="5">
        <v>1</v>
      </c>
      <c r="L2448" s="15">
        <v>1</v>
      </c>
      <c r="M2448" s="15">
        <v>1</v>
      </c>
      <c r="N2448" s="5" t="s">
        <v>490</v>
      </c>
      <c r="O2448" s="5" t="s">
        <v>490</v>
      </c>
      <c r="P2448" s="5">
        <v>0</v>
      </c>
      <c r="Q2448" s="5">
        <v>0</v>
      </c>
      <c r="R2448" s="5" t="str">
        <f t="shared" si="408"/>
        <v>338-2025-06-30</v>
      </c>
    </row>
    <row r="2449" spans="1:18" x14ac:dyDescent="0.3">
      <c r="A2449" s="26">
        <v>340</v>
      </c>
      <c r="B2449" s="5" t="s">
        <v>225</v>
      </c>
      <c r="C2449" s="5" t="s">
        <v>43</v>
      </c>
      <c r="D2449" s="5" t="s">
        <v>11</v>
      </c>
      <c r="E2449" s="5" t="s">
        <v>9</v>
      </c>
      <c r="F2449" s="6">
        <v>45747</v>
      </c>
      <c r="G2449" s="5">
        <f t="shared" si="391"/>
        <v>2025</v>
      </c>
      <c r="H2449" s="5" t="str">
        <f t="shared" si="392"/>
        <v>Marzo</v>
      </c>
      <c r="I2449" s="6" t="str">
        <f t="shared" si="407"/>
        <v>2025-1</v>
      </c>
      <c r="J2449" s="5">
        <v>95</v>
      </c>
      <c r="K2449" s="10">
        <v>100</v>
      </c>
      <c r="L2449" s="15">
        <f>IFERROR(IF((K2449/J2449)&gt;1,1,K2449/J2449),"")</f>
        <v>1</v>
      </c>
      <c r="M2449" s="15">
        <f t="shared" ref="M2449:M2450" si="416">IFERROR(IF((K2449/J2449)&gt;1,1,K2449/J2449),"")</f>
        <v>1</v>
      </c>
      <c r="N2449" s="5" t="s">
        <v>347</v>
      </c>
      <c r="O2449" s="5" t="s">
        <v>347</v>
      </c>
      <c r="P2449" s="16">
        <v>0</v>
      </c>
      <c r="Q2449" s="16">
        <v>0</v>
      </c>
      <c r="R2449" s="5" t="str">
        <f t="shared" si="408"/>
        <v>340-2025-03-31</v>
      </c>
    </row>
    <row r="2450" spans="1:18" x14ac:dyDescent="0.3">
      <c r="A2450" s="5">
        <v>340</v>
      </c>
      <c r="B2450" s="5" t="s">
        <v>225</v>
      </c>
      <c r="C2450" s="5" t="s">
        <v>43</v>
      </c>
      <c r="D2450" s="5" t="s">
        <v>11</v>
      </c>
      <c r="E2450" s="5" t="s">
        <v>9</v>
      </c>
      <c r="F2450" s="6">
        <v>45838</v>
      </c>
      <c r="G2450" s="5">
        <f t="shared" si="391"/>
        <v>2025</v>
      </c>
      <c r="H2450" s="5" t="str">
        <f t="shared" si="392"/>
        <v>Junio</v>
      </c>
      <c r="I2450" s="6" t="str">
        <f t="shared" si="407"/>
        <v>2025-1</v>
      </c>
      <c r="J2450" s="5">
        <v>95</v>
      </c>
      <c r="K2450" s="5">
        <v>100</v>
      </c>
      <c r="L2450" s="15">
        <f>IFERROR(IF((K2450/J2450)&gt;1,1,K2450/J2450),"")</f>
        <v>1</v>
      </c>
      <c r="M2450" s="15">
        <f t="shared" si="416"/>
        <v>1</v>
      </c>
      <c r="N2450" s="5" t="s">
        <v>347</v>
      </c>
      <c r="O2450" s="5" t="s">
        <v>347</v>
      </c>
      <c r="P2450" s="5">
        <v>0</v>
      </c>
      <c r="Q2450" s="5">
        <v>0</v>
      </c>
      <c r="R2450" s="5" t="str">
        <f t="shared" si="408"/>
        <v>340-2025-06-30</v>
      </c>
    </row>
    <row r="2451" spans="1:18" x14ac:dyDescent="0.3">
      <c r="A2451" s="5">
        <v>341</v>
      </c>
      <c r="B2451" s="5" t="s">
        <v>501</v>
      </c>
      <c r="C2451" s="5" t="s">
        <v>7</v>
      </c>
      <c r="D2451" s="5" t="s">
        <v>8</v>
      </c>
      <c r="E2451" s="5" t="s">
        <v>9</v>
      </c>
      <c r="F2451" s="6">
        <v>45838</v>
      </c>
      <c r="G2451" s="5">
        <f t="shared" si="391"/>
        <v>2025</v>
      </c>
      <c r="H2451" s="5" t="str">
        <f t="shared" si="392"/>
        <v>Junio</v>
      </c>
      <c r="I2451" s="6" t="str">
        <f t="shared" si="407"/>
        <v>2025-1</v>
      </c>
      <c r="J2451" s="9">
        <v>900000000</v>
      </c>
      <c r="K2451" s="9">
        <v>920265122</v>
      </c>
      <c r="L2451" s="8">
        <f>IFERROR(IF(K2451/J2451&gt;1.3,1.3,K2451/J2451),"")</f>
        <v>1.0225168022222222</v>
      </c>
      <c r="M2451" s="15">
        <f>IFERROR(IF((K2451/J2451)&gt;K2451/J2451,1.3,K2451/J2451),"")</f>
        <v>1.0225168022222222</v>
      </c>
      <c r="N2451" s="5" t="s">
        <v>474</v>
      </c>
      <c r="O2451" s="5" t="s">
        <v>474</v>
      </c>
      <c r="P2451" s="5">
        <v>0</v>
      </c>
      <c r="Q2451" s="5">
        <v>0</v>
      </c>
      <c r="R2451" s="5" t="str">
        <f t="shared" si="408"/>
        <v>341-2025-06-30</v>
      </c>
    </row>
    <row r="2452" spans="1:18" x14ac:dyDescent="0.3">
      <c r="A2452" s="5">
        <v>344</v>
      </c>
      <c r="B2452" s="5" t="s">
        <v>227</v>
      </c>
      <c r="C2452" s="5" t="s">
        <v>13</v>
      </c>
      <c r="D2452" s="5" t="s">
        <v>8</v>
      </c>
      <c r="E2452" s="5" t="s">
        <v>9</v>
      </c>
      <c r="F2452" s="6">
        <v>45838</v>
      </c>
      <c r="G2452" s="5">
        <f t="shared" si="391"/>
        <v>2025</v>
      </c>
      <c r="H2452" s="5" t="str">
        <f t="shared" si="392"/>
        <v>Junio</v>
      </c>
      <c r="I2452" s="6" t="str">
        <f t="shared" si="407"/>
        <v>2025-1</v>
      </c>
      <c r="J2452" s="5">
        <v>93</v>
      </c>
      <c r="K2452" s="5">
        <v>99.43</v>
      </c>
      <c r="L2452" s="15">
        <v>1.0466666666666666</v>
      </c>
      <c r="M2452" s="15">
        <v>1.0466666666666666</v>
      </c>
      <c r="N2452" s="5" t="s">
        <v>347</v>
      </c>
      <c r="O2452" s="5" t="s">
        <v>347</v>
      </c>
      <c r="P2452" s="5">
        <v>0</v>
      </c>
      <c r="Q2452" s="5">
        <v>0</v>
      </c>
      <c r="R2452" s="5" t="str">
        <f t="shared" si="408"/>
        <v>344-2025-06-30</v>
      </c>
    </row>
    <row r="2453" spans="1:18" x14ac:dyDescent="0.3">
      <c r="A2453" s="26">
        <v>347</v>
      </c>
      <c r="B2453" s="5" t="s">
        <v>230</v>
      </c>
      <c r="C2453" s="5" t="s">
        <v>231</v>
      </c>
      <c r="D2453" s="5" t="s">
        <v>11</v>
      </c>
      <c r="E2453" s="5" t="s">
        <v>14</v>
      </c>
      <c r="F2453" s="6">
        <v>45747</v>
      </c>
      <c r="G2453" s="5">
        <f t="shared" ref="G2453:G2516" si="417">YEAR(F2453)</f>
        <v>2025</v>
      </c>
      <c r="H2453" s="5" t="str">
        <f t="shared" ref="H2453:H2516" si="418">PROPER(TEXT(F2453,"mmmm"))</f>
        <v>Marzo</v>
      </c>
      <c r="I2453" s="6" t="str">
        <f t="shared" si="407"/>
        <v>2025-1</v>
      </c>
      <c r="J2453" s="5">
        <v>5</v>
      </c>
      <c r="K2453" s="10">
        <v>1</v>
      </c>
      <c r="L2453" s="15">
        <f>IF(K2453&lt;J2453,1,0)</f>
        <v>1</v>
      </c>
      <c r="M2453" s="15">
        <f>IF(K2453&lt;J2453,1,0)</f>
        <v>1</v>
      </c>
      <c r="N2453" s="5" t="s">
        <v>490</v>
      </c>
      <c r="O2453" s="5" t="s">
        <v>490</v>
      </c>
      <c r="P2453" s="16">
        <v>0</v>
      </c>
      <c r="Q2453" s="16">
        <v>0</v>
      </c>
      <c r="R2453" s="5" t="str">
        <f t="shared" si="408"/>
        <v>347-2025-03-31</v>
      </c>
    </row>
    <row r="2454" spans="1:18" x14ac:dyDescent="0.3">
      <c r="A2454" s="5">
        <v>347</v>
      </c>
      <c r="B2454" s="5" t="s">
        <v>230</v>
      </c>
      <c r="C2454" s="5" t="s">
        <v>231</v>
      </c>
      <c r="D2454" s="5" t="s">
        <v>11</v>
      </c>
      <c r="E2454" s="5" t="s">
        <v>14</v>
      </c>
      <c r="F2454" s="6">
        <v>45838</v>
      </c>
      <c r="G2454" s="5">
        <f t="shared" si="417"/>
        <v>2025</v>
      </c>
      <c r="H2454" s="5" t="str">
        <f t="shared" si="418"/>
        <v>Junio</v>
      </c>
      <c r="I2454" s="6" t="str">
        <f t="shared" si="407"/>
        <v>2025-1</v>
      </c>
      <c r="J2454" s="5">
        <v>5</v>
      </c>
      <c r="K2454" s="5">
        <v>1</v>
      </c>
      <c r="L2454" s="15">
        <f>IF(K2454&lt;J2454,1,0)</f>
        <v>1</v>
      </c>
      <c r="M2454" s="15">
        <f>IF(K2454&lt;J2454,1,0)</f>
        <v>1</v>
      </c>
      <c r="N2454" s="5" t="s">
        <v>490</v>
      </c>
      <c r="O2454" s="5" t="s">
        <v>490</v>
      </c>
      <c r="P2454" s="5">
        <v>0</v>
      </c>
      <c r="Q2454" s="5">
        <v>0</v>
      </c>
      <c r="R2454" s="5" t="str">
        <f t="shared" si="408"/>
        <v>347-2025-06-30</v>
      </c>
    </row>
    <row r="2455" spans="1:18" x14ac:dyDescent="0.3">
      <c r="A2455" s="26">
        <v>348</v>
      </c>
      <c r="B2455" s="5" t="s">
        <v>232</v>
      </c>
      <c r="C2455" s="5" t="s">
        <v>231</v>
      </c>
      <c r="D2455" s="5" t="s">
        <v>11</v>
      </c>
      <c r="E2455" s="5" t="s">
        <v>9</v>
      </c>
      <c r="F2455" s="6">
        <v>45747</v>
      </c>
      <c r="G2455" s="5">
        <f t="shared" si="417"/>
        <v>2025</v>
      </c>
      <c r="H2455" s="5" t="str">
        <f t="shared" si="418"/>
        <v>Marzo</v>
      </c>
      <c r="I2455" s="6" t="str">
        <f t="shared" si="407"/>
        <v>2025-1</v>
      </c>
      <c r="J2455" s="5">
        <v>99</v>
      </c>
      <c r="K2455" s="10">
        <v>100</v>
      </c>
      <c r="L2455" s="15">
        <f>IFERROR(IF((K2455/J2455)&gt;1.3,1.3,K2455/J2455),"")</f>
        <v>1.0101010101010102</v>
      </c>
      <c r="M2455" s="15">
        <f t="shared" ref="M2455" si="419">IFERROR(IF((K2455/J2455)&gt;K2455/J2455,1.3,K2455/J2455),"")</f>
        <v>1.0101010101010102</v>
      </c>
      <c r="N2455" s="5" t="s">
        <v>347</v>
      </c>
      <c r="O2455" s="5" t="s">
        <v>347</v>
      </c>
      <c r="P2455" s="16">
        <v>0</v>
      </c>
      <c r="Q2455" s="16">
        <v>0</v>
      </c>
      <c r="R2455" s="5" t="str">
        <f t="shared" si="408"/>
        <v>348-2025-03-31</v>
      </c>
    </row>
    <row r="2456" spans="1:18" x14ac:dyDescent="0.3">
      <c r="A2456" s="5">
        <v>348</v>
      </c>
      <c r="B2456" s="5" t="s">
        <v>232</v>
      </c>
      <c r="C2456" s="5" t="s">
        <v>231</v>
      </c>
      <c r="D2456" s="5" t="s">
        <v>11</v>
      </c>
      <c r="E2456" s="5" t="s">
        <v>9</v>
      </c>
      <c r="F2456" s="6">
        <v>45838</v>
      </c>
      <c r="G2456" s="5">
        <f t="shared" si="417"/>
        <v>2025</v>
      </c>
      <c r="H2456" s="5" t="str">
        <f t="shared" si="418"/>
        <v>Junio</v>
      </c>
      <c r="I2456" s="6" t="str">
        <f t="shared" si="407"/>
        <v>2025-1</v>
      </c>
      <c r="J2456" s="5">
        <v>99</v>
      </c>
      <c r="K2456" s="5">
        <v>100</v>
      </c>
      <c r="L2456" s="15">
        <v>1.009090909090909</v>
      </c>
      <c r="M2456" s="15">
        <v>1.009090909090909</v>
      </c>
      <c r="N2456" s="5" t="s">
        <v>347</v>
      </c>
      <c r="O2456" s="5" t="s">
        <v>347</v>
      </c>
      <c r="P2456" s="5">
        <v>1</v>
      </c>
      <c r="Q2456" s="5">
        <v>1</v>
      </c>
      <c r="R2456" s="5" t="str">
        <f t="shared" si="408"/>
        <v>348-2025-06-30</v>
      </c>
    </row>
    <row r="2457" spans="1:18" x14ac:dyDescent="0.3">
      <c r="A2457" s="26">
        <v>351</v>
      </c>
      <c r="B2457" s="5" t="s">
        <v>235</v>
      </c>
      <c r="C2457" s="5" t="s">
        <v>231</v>
      </c>
      <c r="D2457" s="5" t="s">
        <v>11</v>
      </c>
      <c r="E2457" s="5" t="s">
        <v>14</v>
      </c>
      <c r="F2457" s="6">
        <v>45747</v>
      </c>
      <c r="G2457" s="5">
        <f t="shared" si="417"/>
        <v>2025</v>
      </c>
      <c r="H2457" s="5" t="str">
        <f t="shared" si="418"/>
        <v>Marzo</v>
      </c>
      <c r="I2457" s="6" t="str">
        <f t="shared" si="407"/>
        <v>2025-1</v>
      </c>
      <c r="J2457" s="5">
        <v>5</v>
      </c>
      <c r="K2457" s="10">
        <v>0.47</v>
      </c>
      <c r="L2457" s="15">
        <f>IFERROR(IF((K2457/J2457)&gt;1.3,1.3,K2457/J2457),"")</f>
        <v>9.4E-2</v>
      </c>
      <c r="M2457" s="15">
        <f>IFERROR(IF((K2457/J2457)&gt;K2457/J2457,1.3,K2457/J2457),"")</f>
        <v>9.4E-2</v>
      </c>
      <c r="N2457" s="5" t="s">
        <v>490</v>
      </c>
      <c r="O2457" s="5" t="s">
        <v>478</v>
      </c>
      <c r="P2457" s="16">
        <v>0</v>
      </c>
      <c r="Q2457" s="16">
        <v>0</v>
      </c>
      <c r="R2457" s="5" t="str">
        <f t="shared" si="408"/>
        <v>351-2025-03-31</v>
      </c>
    </row>
    <row r="2458" spans="1:18" x14ac:dyDescent="0.3">
      <c r="A2458" s="5">
        <v>351</v>
      </c>
      <c r="B2458" s="5" t="s">
        <v>235</v>
      </c>
      <c r="C2458" s="5" t="s">
        <v>231</v>
      </c>
      <c r="D2458" s="5" t="s">
        <v>11</v>
      </c>
      <c r="E2458" s="5" t="s">
        <v>14</v>
      </c>
      <c r="F2458" s="6">
        <v>45838</v>
      </c>
      <c r="G2458" s="5">
        <f t="shared" si="417"/>
        <v>2025</v>
      </c>
      <c r="H2458" s="5" t="str">
        <f t="shared" si="418"/>
        <v>Junio</v>
      </c>
      <c r="I2458" s="6" t="str">
        <f t="shared" si="407"/>
        <v>2025-1</v>
      </c>
      <c r="J2458" s="5">
        <v>5</v>
      </c>
      <c r="K2458" s="5">
        <v>0.65</v>
      </c>
      <c r="L2458" s="15">
        <f>1-(15-K2458)/15</f>
        <v>4.3333333333333335E-2</v>
      </c>
      <c r="M2458" s="15">
        <f>1-(15-K2458)/15</f>
        <v>4.3333333333333335E-2</v>
      </c>
      <c r="N2458" s="5" t="s">
        <v>490</v>
      </c>
      <c r="O2458" s="5" t="s">
        <v>478</v>
      </c>
      <c r="P2458" s="16">
        <v>0</v>
      </c>
      <c r="Q2458" s="5">
        <v>1</v>
      </c>
      <c r="R2458" s="5" t="str">
        <f t="shared" si="408"/>
        <v>351-2025-06-30</v>
      </c>
    </row>
    <row r="2459" spans="1:18" x14ac:dyDescent="0.3">
      <c r="A2459" s="26">
        <v>352</v>
      </c>
      <c r="B2459" s="5" t="s">
        <v>412</v>
      </c>
      <c r="C2459" s="5" t="s">
        <v>231</v>
      </c>
      <c r="D2459" s="5" t="s">
        <v>11</v>
      </c>
      <c r="E2459" s="5" t="s">
        <v>14</v>
      </c>
      <c r="F2459" s="6">
        <v>45747</v>
      </c>
      <c r="G2459" s="5">
        <f t="shared" si="417"/>
        <v>2025</v>
      </c>
      <c r="H2459" s="5" t="str">
        <f t="shared" si="418"/>
        <v>Marzo</v>
      </c>
      <c r="I2459" s="6" t="str">
        <f t="shared" si="407"/>
        <v>2025-1</v>
      </c>
      <c r="J2459" s="5">
        <v>0</v>
      </c>
      <c r="K2459" s="89">
        <v>0</v>
      </c>
      <c r="L2459" s="15">
        <f t="shared" ref="L2459:M2459" si="420">(100%)-(K2459/100)</f>
        <v>1</v>
      </c>
      <c r="M2459" s="15">
        <f t="shared" si="420"/>
        <v>0.99</v>
      </c>
      <c r="N2459" s="5" t="s">
        <v>347</v>
      </c>
      <c r="O2459" s="5" t="s">
        <v>347</v>
      </c>
      <c r="P2459" s="16">
        <v>0</v>
      </c>
      <c r="Q2459" s="16">
        <v>2</v>
      </c>
      <c r="R2459" s="5" t="str">
        <f t="shared" si="408"/>
        <v>352-2025-03-31</v>
      </c>
    </row>
    <row r="2460" spans="1:18" x14ac:dyDescent="0.3">
      <c r="A2460" s="5">
        <v>352</v>
      </c>
      <c r="B2460" s="5" t="s">
        <v>412</v>
      </c>
      <c r="C2460" s="5" t="s">
        <v>231</v>
      </c>
      <c r="D2460" s="5" t="s">
        <v>11</v>
      </c>
      <c r="E2460" s="5" t="s">
        <v>14</v>
      </c>
      <c r="F2460" s="6">
        <v>45838</v>
      </c>
      <c r="G2460" s="5">
        <f t="shared" si="417"/>
        <v>2025</v>
      </c>
      <c r="H2460" s="5" t="str">
        <f t="shared" si="418"/>
        <v>Junio</v>
      </c>
      <c r="I2460" s="6" t="str">
        <f t="shared" si="407"/>
        <v>2025-1</v>
      </c>
      <c r="J2460" s="5">
        <v>0</v>
      </c>
      <c r="K2460" s="89">
        <v>0.01</v>
      </c>
      <c r="L2460" s="15">
        <f t="shared" ref="L2460:M2460" si="421">(100%)-(K2460/100)</f>
        <v>0.99990000000000001</v>
      </c>
      <c r="M2460" s="15">
        <f t="shared" si="421"/>
        <v>0.99000100000000002</v>
      </c>
      <c r="N2460" s="5" t="s">
        <v>347</v>
      </c>
      <c r="O2460" s="5" t="s">
        <v>347</v>
      </c>
      <c r="P2460" s="16">
        <v>0</v>
      </c>
      <c r="Q2460" s="5">
        <v>2</v>
      </c>
      <c r="R2460" s="5" t="str">
        <f t="shared" si="408"/>
        <v>352-2025-06-30</v>
      </c>
    </row>
    <row r="2461" spans="1:18" x14ac:dyDescent="0.3">
      <c r="A2461" s="26">
        <v>356</v>
      </c>
      <c r="B2461" s="5" t="s">
        <v>241</v>
      </c>
      <c r="C2461" s="5" t="s">
        <v>240</v>
      </c>
      <c r="D2461" s="5" t="s">
        <v>8</v>
      </c>
      <c r="E2461" s="5" t="s">
        <v>14</v>
      </c>
      <c r="F2461" s="6">
        <v>45838</v>
      </c>
      <c r="G2461" s="5">
        <f t="shared" si="417"/>
        <v>2025</v>
      </c>
      <c r="H2461" s="5" t="str">
        <f t="shared" si="418"/>
        <v>Junio</v>
      </c>
      <c r="I2461" s="6" t="str">
        <f t="shared" si="407"/>
        <v>2025-1</v>
      </c>
      <c r="J2461" s="5">
        <v>60</v>
      </c>
      <c r="K2461" s="10">
        <v>49.14</v>
      </c>
      <c r="L2461" s="8">
        <f>J2461/K2461</f>
        <v>1.2210012210012209</v>
      </c>
      <c r="M2461" s="8">
        <f>IFERROR(J2461/K2461,"")</f>
        <v>1.2210012210012209</v>
      </c>
      <c r="N2461" s="11" t="s">
        <v>347</v>
      </c>
      <c r="O2461" s="11" t="s">
        <v>347</v>
      </c>
      <c r="P2461" s="16">
        <v>1</v>
      </c>
      <c r="Q2461" s="16">
        <v>1</v>
      </c>
      <c r="R2461" s="5" t="str">
        <f t="shared" si="408"/>
        <v>356-2025-06-30</v>
      </c>
    </row>
    <row r="2462" spans="1:18" x14ac:dyDescent="0.3">
      <c r="A2462" s="5">
        <v>357</v>
      </c>
      <c r="B2462" s="5" t="s">
        <v>242</v>
      </c>
      <c r="C2462" s="5" t="s">
        <v>240</v>
      </c>
      <c r="D2462" s="5" t="s">
        <v>8</v>
      </c>
      <c r="E2462" s="5" t="s">
        <v>9</v>
      </c>
      <c r="F2462" s="6">
        <v>45838</v>
      </c>
      <c r="G2462" s="5">
        <f t="shared" si="417"/>
        <v>2025</v>
      </c>
      <c r="H2462" s="5" t="str">
        <f t="shared" si="418"/>
        <v>Junio</v>
      </c>
      <c r="I2462" s="6" t="str">
        <f t="shared" si="407"/>
        <v>2025-1</v>
      </c>
      <c r="J2462" s="5"/>
      <c r="K2462" s="5">
        <v>0.85</v>
      </c>
      <c r="L2462" s="15" t="s">
        <v>417</v>
      </c>
      <c r="M2462" s="15" t="s">
        <v>417</v>
      </c>
      <c r="N2462" s="5" t="s">
        <v>728</v>
      </c>
      <c r="O2462" s="20" t="s">
        <v>478</v>
      </c>
      <c r="P2462" s="5">
        <v>2</v>
      </c>
      <c r="Q2462" s="5">
        <v>2</v>
      </c>
      <c r="R2462" s="5" t="str">
        <f t="shared" si="408"/>
        <v>357-2025-06-30</v>
      </c>
    </row>
    <row r="2463" spans="1:18" x14ac:dyDescent="0.3">
      <c r="A2463" s="26">
        <v>358</v>
      </c>
      <c r="B2463" s="5" t="s">
        <v>243</v>
      </c>
      <c r="C2463" s="5" t="s">
        <v>244</v>
      </c>
      <c r="D2463" s="5" t="s">
        <v>8</v>
      </c>
      <c r="E2463" s="5" t="s">
        <v>9</v>
      </c>
      <c r="F2463" s="6">
        <v>46022</v>
      </c>
      <c r="G2463" s="5">
        <f t="shared" si="417"/>
        <v>2025</v>
      </c>
      <c r="H2463" s="5" t="str">
        <f t="shared" si="418"/>
        <v>Diciembre</v>
      </c>
      <c r="I2463" s="6" t="str">
        <f t="shared" si="407"/>
        <v>2025-2</v>
      </c>
      <c r="J2463" s="5">
        <v>100</v>
      </c>
      <c r="K2463" s="10">
        <v>100</v>
      </c>
      <c r="L2463" s="15">
        <f>IFERROR(IF((K2463/J2463)&gt;1.3,1.3,K2463/J2463),"")</f>
        <v>1</v>
      </c>
      <c r="M2463" s="15">
        <f>IFERROR(IF((K2463/J2463)&gt;K2463/J2463,1.3,K2463/J2463),"")</f>
        <v>1</v>
      </c>
      <c r="N2463" s="5" t="s">
        <v>347</v>
      </c>
      <c r="O2463" s="5" t="s">
        <v>347</v>
      </c>
      <c r="P2463" s="16">
        <v>0</v>
      </c>
      <c r="Q2463" s="16">
        <v>0</v>
      </c>
      <c r="R2463" s="5" t="str">
        <f t="shared" si="408"/>
        <v>358-2025-12-31</v>
      </c>
    </row>
    <row r="2464" spans="1:18" x14ac:dyDescent="0.3">
      <c r="A2464" s="26">
        <v>359</v>
      </c>
      <c r="B2464" s="5" t="s">
        <v>502</v>
      </c>
      <c r="C2464" s="5" t="s">
        <v>160</v>
      </c>
      <c r="D2464" s="5" t="s">
        <v>8</v>
      </c>
      <c r="E2464" s="5" t="s">
        <v>9</v>
      </c>
      <c r="F2464" s="6">
        <v>45838</v>
      </c>
      <c r="G2464" s="5">
        <f t="shared" si="417"/>
        <v>2025</v>
      </c>
      <c r="H2464" s="5" t="str">
        <f t="shared" si="418"/>
        <v>Junio</v>
      </c>
      <c r="I2464" s="6" t="str">
        <f t="shared" si="407"/>
        <v>2025-1</v>
      </c>
      <c r="J2464" s="5">
        <v>80</v>
      </c>
      <c r="K2464" s="10">
        <v>90</v>
      </c>
      <c r="L2464" s="15">
        <f>IFERROR(IF((K2464/J2464)&gt;1.3,1.3,K2464/J2464),"")</f>
        <v>1.125</v>
      </c>
      <c r="M2464" s="15">
        <f t="shared" ref="M2464" si="422">IFERROR(IF((K2464/J2464)&gt;K2464/J2464,1.3,K2464/J2464),"")</f>
        <v>1.125</v>
      </c>
      <c r="N2464" s="5" t="s">
        <v>347</v>
      </c>
      <c r="O2464" s="5" t="s">
        <v>347</v>
      </c>
      <c r="P2464" s="16">
        <v>0</v>
      </c>
      <c r="Q2464" s="16">
        <v>0</v>
      </c>
      <c r="R2464" s="5" t="str">
        <f t="shared" si="408"/>
        <v>359-2025-06-30</v>
      </c>
    </row>
    <row r="2465" spans="1:18" x14ac:dyDescent="0.3">
      <c r="A2465" s="26">
        <v>362</v>
      </c>
      <c r="B2465" s="5" t="s">
        <v>460</v>
      </c>
      <c r="C2465" s="5" t="s">
        <v>762</v>
      </c>
      <c r="D2465" s="5" t="s">
        <v>8</v>
      </c>
      <c r="E2465" s="5" t="s">
        <v>9</v>
      </c>
      <c r="F2465" s="6">
        <v>45838</v>
      </c>
      <c r="G2465" s="5">
        <f t="shared" si="417"/>
        <v>2025</v>
      </c>
      <c r="H2465" s="5" t="str">
        <f t="shared" si="418"/>
        <v>Junio</v>
      </c>
      <c r="I2465" s="6" t="str">
        <f t="shared" si="407"/>
        <v>2025-1</v>
      </c>
      <c r="J2465" s="5">
        <v>98</v>
      </c>
      <c r="K2465" s="5">
        <v>99.63</v>
      </c>
      <c r="L2465" s="15">
        <f>IFERROR(IF((K2465/J2465)&gt;1.3,1.3,K2465/J2465),"")</f>
        <v>1.0166326530612244</v>
      </c>
      <c r="M2465" s="15">
        <f>IFERROR(IF((K2465/J2465)&gt;K2465/J2465,1.3,K2465/J2465),"")</f>
        <v>1.0166326530612244</v>
      </c>
      <c r="N2465" s="5" t="s">
        <v>347</v>
      </c>
      <c r="O2465" s="5" t="s">
        <v>347</v>
      </c>
      <c r="P2465" s="16">
        <v>0</v>
      </c>
      <c r="Q2465" s="16">
        <v>0</v>
      </c>
      <c r="R2465" s="5" t="str">
        <f t="shared" si="408"/>
        <v>362-2025-06-30</v>
      </c>
    </row>
    <row r="2466" spans="1:18" x14ac:dyDescent="0.3">
      <c r="A2466" s="26">
        <v>368</v>
      </c>
      <c r="B2466" s="5" t="s">
        <v>255</v>
      </c>
      <c r="C2466" s="5" t="s">
        <v>256</v>
      </c>
      <c r="D2466" s="5" t="s">
        <v>11</v>
      </c>
      <c r="E2466" s="5" t="s">
        <v>9</v>
      </c>
      <c r="F2466" s="6">
        <v>45747</v>
      </c>
      <c r="G2466" s="5">
        <f t="shared" si="417"/>
        <v>2025</v>
      </c>
      <c r="H2466" s="5" t="str">
        <f t="shared" si="418"/>
        <v>Marzo</v>
      </c>
      <c r="I2466" s="6" t="str">
        <f t="shared" si="407"/>
        <v>2025-1</v>
      </c>
      <c r="J2466" s="5">
        <v>93</v>
      </c>
      <c r="K2466" s="10">
        <v>94</v>
      </c>
      <c r="L2466" s="15">
        <f>IFERROR(IF((K2466/J2466)&gt;1.3,1.3,K2466/J2466),"")</f>
        <v>1.010752688172043</v>
      </c>
      <c r="M2466" s="15">
        <f t="shared" ref="M2466:M2467" si="423">IFERROR(IF((K2466/J2466)&gt;K2466/J2466,1.3,K2466/J2466),"")</f>
        <v>1.010752688172043</v>
      </c>
      <c r="N2466" s="5" t="s">
        <v>347</v>
      </c>
      <c r="O2466" s="5" t="s">
        <v>347</v>
      </c>
      <c r="P2466" s="16">
        <v>0</v>
      </c>
      <c r="Q2466" s="16">
        <v>0</v>
      </c>
      <c r="R2466" s="5" t="str">
        <f t="shared" si="408"/>
        <v>368-2025-03-31</v>
      </c>
    </row>
    <row r="2467" spans="1:18" x14ac:dyDescent="0.3">
      <c r="A2467" s="5">
        <v>368</v>
      </c>
      <c r="B2467" s="5" t="s">
        <v>255</v>
      </c>
      <c r="C2467" s="5" t="s">
        <v>256</v>
      </c>
      <c r="D2467" s="5" t="s">
        <v>11</v>
      </c>
      <c r="E2467" s="5" t="s">
        <v>9</v>
      </c>
      <c r="F2467" s="6">
        <v>45838</v>
      </c>
      <c r="G2467" s="5">
        <f t="shared" si="417"/>
        <v>2025</v>
      </c>
      <c r="H2467" s="5" t="str">
        <f t="shared" si="418"/>
        <v>Junio</v>
      </c>
      <c r="I2467" s="6" t="str">
        <f t="shared" si="407"/>
        <v>2025-1</v>
      </c>
      <c r="J2467" s="5">
        <v>93</v>
      </c>
      <c r="K2467" s="5">
        <v>96</v>
      </c>
      <c r="L2467" s="15">
        <f>IFERROR(IF((K2467/J2467)&gt;1.3,1.3,K2467/J2467),"")</f>
        <v>1.032258064516129</v>
      </c>
      <c r="M2467" s="15">
        <f t="shared" si="423"/>
        <v>1.032258064516129</v>
      </c>
      <c r="N2467" s="5" t="s">
        <v>347</v>
      </c>
      <c r="O2467" s="5" t="s">
        <v>347</v>
      </c>
      <c r="P2467" s="5">
        <v>0</v>
      </c>
      <c r="Q2467" s="5">
        <v>0</v>
      </c>
      <c r="R2467" s="5" t="str">
        <f t="shared" si="408"/>
        <v>368-2025-06-30</v>
      </c>
    </row>
    <row r="2468" spans="1:18" x14ac:dyDescent="0.3">
      <c r="A2468" s="26">
        <v>371</v>
      </c>
      <c r="B2468" s="5" t="s">
        <v>259</v>
      </c>
      <c r="C2468" s="5" t="s">
        <v>248</v>
      </c>
      <c r="D2468" s="5" t="s">
        <v>8</v>
      </c>
      <c r="E2468" s="5" t="s">
        <v>9</v>
      </c>
      <c r="F2468" s="6">
        <v>45838</v>
      </c>
      <c r="G2468" s="5">
        <f t="shared" si="417"/>
        <v>2025</v>
      </c>
      <c r="H2468" s="5" t="str">
        <f t="shared" si="418"/>
        <v>Junio</v>
      </c>
      <c r="I2468" s="6" t="str">
        <f t="shared" ref="I2468:I2480" si="424">IF(OR(H2468="Enero",H2468="Febrero",H2468="Marzo",H2468="Abril",H2468="Mayo",H2468="Junio"),G2468&amp;"-1",IF(OR(H2468="Julio",H2468="Agosto",H2468="Septiembre",H2468="Octubre",H2468="Noviembre",H2468="Diciembre"),G2468&amp;"-2"))</f>
        <v>2025-1</v>
      </c>
      <c r="J2468" s="34">
        <v>110800000</v>
      </c>
      <c r="K2468" s="10">
        <v>81647005</v>
      </c>
      <c r="L2468" s="8">
        <f>IF(IFERROR(K2468/J2468,"")&gt;130%,130%,K2468/J2468)</f>
        <v>0.73688632671480148</v>
      </c>
      <c r="M2468" s="15">
        <f t="shared" ref="M2468" si="425">IFERROR(IF((K2468/J2468)&gt;K2468/J2468,1.3,K2468/J2468),"")</f>
        <v>0.73688632671480148</v>
      </c>
      <c r="N2468" s="5" t="s">
        <v>474</v>
      </c>
      <c r="O2468" s="5" t="s">
        <v>474</v>
      </c>
      <c r="P2468" s="16">
        <v>0</v>
      </c>
      <c r="Q2468" s="16">
        <v>0</v>
      </c>
      <c r="R2468" s="5" t="str">
        <f t="shared" ref="R2468:R2480" si="426">A2468&amp;"-"&amp;YEAR(F2468)&amp;"-"&amp;IF(LEN(MONTH(F2468))=1,"0"&amp;MONTH(F2468),MONTH(F2468))&amp;"-"&amp;DAY(F2468)</f>
        <v>371-2025-06-30</v>
      </c>
    </row>
    <row r="2469" spans="1:18" x14ac:dyDescent="0.3">
      <c r="A2469" s="26">
        <v>372</v>
      </c>
      <c r="B2469" s="5" t="s">
        <v>260</v>
      </c>
      <c r="C2469" s="5" t="s">
        <v>256</v>
      </c>
      <c r="D2469" s="5" t="s">
        <v>11</v>
      </c>
      <c r="E2469" s="5" t="s">
        <v>9</v>
      </c>
      <c r="F2469" s="6">
        <v>45747</v>
      </c>
      <c r="G2469" s="5">
        <f t="shared" si="417"/>
        <v>2025</v>
      </c>
      <c r="H2469" s="5" t="str">
        <f t="shared" si="418"/>
        <v>Marzo</v>
      </c>
      <c r="I2469" s="6" t="str">
        <f t="shared" si="424"/>
        <v>2025-1</v>
      </c>
      <c r="J2469" s="5">
        <v>90</v>
      </c>
      <c r="K2469" s="10">
        <v>98</v>
      </c>
      <c r="L2469" s="15">
        <f>IFERROR(IF((K2469/J2469)&gt;1.3,1.3,K2469/J2469),"")</f>
        <v>1.0888888888888888</v>
      </c>
      <c r="M2469" s="15">
        <f>IFERROR(IF((K2469/J2469)&gt;K2469/J2469,1.3,K2469/J2469),"")</f>
        <v>1.0888888888888888</v>
      </c>
      <c r="N2469" s="5" t="s">
        <v>347</v>
      </c>
      <c r="O2469" s="5" t="s">
        <v>347</v>
      </c>
      <c r="P2469" s="16">
        <v>0</v>
      </c>
      <c r="Q2469" s="16">
        <v>0</v>
      </c>
      <c r="R2469" s="5" t="str">
        <f t="shared" si="426"/>
        <v>372-2025-03-31</v>
      </c>
    </row>
    <row r="2470" spans="1:18" x14ac:dyDescent="0.3">
      <c r="A2470" s="5">
        <v>372</v>
      </c>
      <c r="B2470" s="5" t="s">
        <v>260</v>
      </c>
      <c r="C2470" s="5" t="s">
        <v>256</v>
      </c>
      <c r="D2470" s="5" t="s">
        <v>11</v>
      </c>
      <c r="E2470" s="5" t="s">
        <v>9</v>
      </c>
      <c r="F2470" s="6">
        <v>45838</v>
      </c>
      <c r="G2470" s="5">
        <f t="shared" si="417"/>
        <v>2025</v>
      </c>
      <c r="H2470" s="5" t="str">
        <f t="shared" si="418"/>
        <v>Junio</v>
      </c>
      <c r="I2470" s="6" t="str">
        <f t="shared" si="424"/>
        <v>2025-1</v>
      </c>
      <c r="J2470" s="5">
        <v>90</v>
      </c>
      <c r="K2470" s="5">
        <v>90</v>
      </c>
      <c r="L2470" s="15">
        <f>IFERROR(IF((K2470/J2470)&gt;1.3,1.3,K2470/J2470),"")</f>
        <v>1</v>
      </c>
      <c r="M2470" s="15">
        <f>IFERROR(IF((K2470/J2470)&gt;K2470/J2470,1.3,K2470/J2470),"")</f>
        <v>1</v>
      </c>
      <c r="N2470" s="5" t="s">
        <v>347</v>
      </c>
      <c r="O2470" s="5" t="s">
        <v>347</v>
      </c>
      <c r="P2470" s="5">
        <v>0</v>
      </c>
      <c r="Q2470" s="5">
        <v>0</v>
      </c>
      <c r="R2470" s="5" t="str">
        <f t="shared" si="426"/>
        <v>372-2025-06-30</v>
      </c>
    </row>
    <row r="2471" spans="1:18" x14ac:dyDescent="0.3">
      <c r="A2471" s="5">
        <v>375</v>
      </c>
      <c r="B2471" s="5" t="s">
        <v>462</v>
      </c>
      <c r="C2471" s="5" t="s">
        <v>762</v>
      </c>
      <c r="D2471" s="5" t="s">
        <v>8</v>
      </c>
      <c r="E2471" s="5" t="s">
        <v>9</v>
      </c>
      <c r="F2471" s="6">
        <v>45838</v>
      </c>
      <c r="G2471" s="5">
        <f t="shared" si="417"/>
        <v>2025</v>
      </c>
      <c r="H2471" s="5" t="str">
        <f t="shared" si="418"/>
        <v>Junio</v>
      </c>
      <c r="I2471" s="6" t="str">
        <f t="shared" si="424"/>
        <v>2025-1</v>
      </c>
      <c r="J2471" s="5">
        <v>100</v>
      </c>
      <c r="K2471" s="5">
        <v>100</v>
      </c>
      <c r="L2471" s="15">
        <v>1</v>
      </c>
      <c r="M2471" s="15">
        <v>1</v>
      </c>
      <c r="N2471" s="5" t="s">
        <v>347</v>
      </c>
      <c r="O2471" s="5" t="s">
        <v>347</v>
      </c>
      <c r="P2471" s="16">
        <v>0</v>
      </c>
      <c r="Q2471" s="5">
        <v>0</v>
      </c>
      <c r="R2471" s="5" t="str">
        <f t="shared" si="426"/>
        <v>375-2025-06-30</v>
      </c>
    </row>
    <row r="2472" spans="1:18" x14ac:dyDescent="0.3">
      <c r="A2472" s="26">
        <v>376</v>
      </c>
      <c r="B2472" s="5" t="s">
        <v>732</v>
      </c>
      <c r="C2472" s="5" t="s">
        <v>84</v>
      </c>
      <c r="D2472" s="5" t="s">
        <v>8</v>
      </c>
      <c r="E2472" s="5" t="s">
        <v>9</v>
      </c>
      <c r="F2472" s="6">
        <v>45838</v>
      </c>
      <c r="G2472" s="5">
        <f t="shared" si="417"/>
        <v>2025</v>
      </c>
      <c r="H2472" s="5" t="str">
        <f t="shared" si="418"/>
        <v>Junio</v>
      </c>
      <c r="I2472" s="6" t="str">
        <f t="shared" si="424"/>
        <v>2025-1</v>
      </c>
      <c r="J2472" s="9">
        <f>18705796226/1000000</f>
        <v>18705.796225999999</v>
      </c>
      <c r="K2472" s="9">
        <f>22048226769/1000000</f>
        <v>22048.226769000001</v>
      </c>
      <c r="L2472" s="15">
        <f>IFERROR(IF((K2472/J2472)&gt;1.3,1.3,K2472/J2472),"")</f>
        <v>1.1786842165186324</v>
      </c>
      <c r="M2472" s="15">
        <f>IFERROR(IF((K2472/J2472)&gt;K2472/J2472,1.3,K2472/J2472),"")</f>
        <v>1.1786842165186324</v>
      </c>
      <c r="N2472" s="5" t="s">
        <v>474</v>
      </c>
      <c r="O2472" s="5" t="s">
        <v>474</v>
      </c>
      <c r="P2472" s="16">
        <v>0</v>
      </c>
      <c r="Q2472" s="16">
        <v>0</v>
      </c>
      <c r="R2472" s="5" t="str">
        <f t="shared" si="426"/>
        <v>376-2025-06-30</v>
      </c>
    </row>
    <row r="2473" spans="1:18" x14ac:dyDescent="0.3">
      <c r="A2473" s="26">
        <v>379</v>
      </c>
      <c r="B2473" s="5" t="s">
        <v>266</v>
      </c>
      <c r="C2473" s="5" t="s">
        <v>267</v>
      </c>
      <c r="D2473" s="5" t="s">
        <v>8</v>
      </c>
      <c r="E2473" s="5" t="s">
        <v>9</v>
      </c>
      <c r="F2473" s="6">
        <v>45838</v>
      </c>
      <c r="G2473" s="5">
        <f t="shared" si="417"/>
        <v>2025</v>
      </c>
      <c r="H2473" s="5" t="str">
        <f t="shared" si="418"/>
        <v>Junio</v>
      </c>
      <c r="I2473" s="6" t="str">
        <f t="shared" si="424"/>
        <v>2025-1</v>
      </c>
      <c r="J2473" s="5">
        <v>13609</v>
      </c>
      <c r="K2473" s="5">
        <v>14141</v>
      </c>
      <c r="L2473" s="15">
        <f t="shared" ref="L2473" si="427">IFERROR(IF((K2473/J2473)&gt;1.3,1.3,K2473/J2473),"")</f>
        <v>1.0390917775001838</v>
      </c>
      <c r="M2473" s="15">
        <f t="shared" ref="M2473" si="428">IFERROR(IF((K2473/J2473)&gt;K2473/J2473,1.3,K2473/J2473),"")</f>
        <v>1.0390917775001838</v>
      </c>
      <c r="N2473" s="5" t="s">
        <v>490</v>
      </c>
      <c r="O2473" s="5" t="s">
        <v>490</v>
      </c>
      <c r="P2473" s="16">
        <v>0</v>
      </c>
      <c r="Q2473" s="16">
        <v>0</v>
      </c>
      <c r="R2473" s="5" t="str">
        <f t="shared" si="426"/>
        <v>379-2025-06-30</v>
      </c>
    </row>
    <row r="2474" spans="1:18" x14ac:dyDescent="0.3">
      <c r="A2474" s="26">
        <v>381</v>
      </c>
      <c r="B2474" s="5" t="s">
        <v>269</v>
      </c>
      <c r="C2474" s="5" t="s">
        <v>267</v>
      </c>
      <c r="D2474" s="5" t="s">
        <v>8</v>
      </c>
      <c r="E2474" s="5" t="s">
        <v>9</v>
      </c>
      <c r="F2474" s="6">
        <v>45838</v>
      </c>
      <c r="G2474" s="5">
        <f t="shared" si="417"/>
        <v>2025</v>
      </c>
      <c r="H2474" s="5" t="str">
        <f t="shared" si="418"/>
        <v>Junio</v>
      </c>
      <c r="I2474" s="6" t="str">
        <f t="shared" si="424"/>
        <v>2025-1</v>
      </c>
      <c r="J2474" s="5">
        <v>1572</v>
      </c>
      <c r="K2474" s="5">
        <v>1544</v>
      </c>
      <c r="L2474" s="15">
        <f>IFERROR(IF((K2474/J2474)&gt;1.3,1.3,K2474/J2474),"")</f>
        <v>0.98218829516539441</v>
      </c>
      <c r="M2474" s="15">
        <f>IFERROR(IF((K2474/J2474)&gt;K2474/J2474,1.3,K2474/J2474),"")</f>
        <v>0.98218829516539441</v>
      </c>
      <c r="N2474" s="5" t="s">
        <v>490</v>
      </c>
      <c r="O2474" s="5" t="s">
        <v>490</v>
      </c>
      <c r="P2474" s="16">
        <v>0</v>
      </c>
      <c r="Q2474" s="16">
        <v>0</v>
      </c>
      <c r="R2474" s="5" t="str">
        <f t="shared" si="426"/>
        <v>381-2025-06-30</v>
      </c>
    </row>
    <row r="2475" spans="1:18" x14ac:dyDescent="0.3">
      <c r="A2475" s="5">
        <v>382</v>
      </c>
      <c r="B2475" s="5" t="s">
        <v>270</v>
      </c>
      <c r="C2475" s="5" t="s">
        <v>267</v>
      </c>
      <c r="D2475" s="5" t="s">
        <v>8</v>
      </c>
      <c r="E2475" s="5" t="s">
        <v>9</v>
      </c>
      <c r="F2475" s="17">
        <v>45838</v>
      </c>
      <c r="G2475" s="5">
        <f t="shared" si="417"/>
        <v>2025</v>
      </c>
      <c r="H2475" s="5" t="str">
        <f t="shared" si="418"/>
        <v>Junio</v>
      </c>
      <c r="I2475" s="6" t="str">
        <f t="shared" si="424"/>
        <v>2025-1</v>
      </c>
      <c r="J2475" s="5">
        <v>10067</v>
      </c>
      <c r="K2475" s="9">
        <v>10021</v>
      </c>
      <c r="L2475" s="15">
        <f>IFERROR(IF((K2475/J2475)&gt;1.3,1.3,K2475/J2475),"")</f>
        <v>0.99543061488030193</v>
      </c>
      <c r="M2475" s="15">
        <f>IFERROR(IF((K2475/J2475)&gt;K2475/J2475,1.3,K2475/J2475),"")</f>
        <v>0.99543061488030193</v>
      </c>
      <c r="N2475" s="5" t="s">
        <v>490</v>
      </c>
      <c r="O2475" s="5" t="s">
        <v>490</v>
      </c>
      <c r="P2475" s="16">
        <v>0</v>
      </c>
      <c r="Q2475" s="16">
        <v>0</v>
      </c>
      <c r="R2475" s="5" t="str">
        <f t="shared" si="426"/>
        <v>382-2025-06-30</v>
      </c>
    </row>
    <row r="2476" spans="1:18" x14ac:dyDescent="0.3">
      <c r="A2476" s="43">
        <v>383</v>
      </c>
      <c r="B2476" s="5" t="s">
        <v>271</v>
      </c>
      <c r="C2476" s="5" t="s">
        <v>267</v>
      </c>
      <c r="D2476" s="5" t="s">
        <v>8</v>
      </c>
      <c r="E2476" s="5" t="s">
        <v>9</v>
      </c>
      <c r="F2476" s="17">
        <v>45838</v>
      </c>
      <c r="G2476" s="5">
        <f t="shared" si="417"/>
        <v>2025</v>
      </c>
      <c r="H2476" s="5" t="str">
        <f t="shared" si="418"/>
        <v>Junio</v>
      </c>
      <c r="I2476" s="6" t="str">
        <f t="shared" si="424"/>
        <v>2025-1</v>
      </c>
      <c r="J2476" s="3">
        <v>1599</v>
      </c>
      <c r="K2476" s="9">
        <v>2165</v>
      </c>
      <c r="L2476" s="15">
        <f>IFERROR(IF((K2476/J2476)&gt;1.3,1.3,K2476/J2476),"")</f>
        <v>1.3</v>
      </c>
      <c r="M2476" s="15">
        <f>IFERROR(IF((K2476/J2476)&gt;K2476/J2476,1.3,K2476/J2476),"")</f>
        <v>1.3539712320200126</v>
      </c>
      <c r="N2476" s="5" t="s">
        <v>490</v>
      </c>
      <c r="O2476" s="5" t="s">
        <v>490</v>
      </c>
      <c r="P2476" s="16">
        <v>0</v>
      </c>
      <c r="Q2476" s="16">
        <v>0</v>
      </c>
      <c r="R2476" s="5" t="str">
        <f t="shared" si="426"/>
        <v>383-2025-06-30</v>
      </c>
    </row>
    <row r="2477" spans="1:18" x14ac:dyDescent="0.3">
      <c r="A2477" s="26">
        <v>384</v>
      </c>
      <c r="B2477" s="5" t="s">
        <v>272</v>
      </c>
      <c r="C2477" s="5" t="s">
        <v>267</v>
      </c>
      <c r="D2477" s="5" t="s">
        <v>8</v>
      </c>
      <c r="E2477" s="5" t="s">
        <v>9</v>
      </c>
      <c r="F2477" s="6">
        <v>45838</v>
      </c>
      <c r="G2477" s="5">
        <f t="shared" si="417"/>
        <v>2025</v>
      </c>
      <c r="H2477" s="5" t="str">
        <f t="shared" si="418"/>
        <v>Junio</v>
      </c>
      <c r="I2477" s="6" t="str">
        <f t="shared" si="424"/>
        <v>2025-1</v>
      </c>
      <c r="J2477" s="5">
        <v>371</v>
      </c>
      <c r="K2477" s="10">
        <v>380</v>
      </c>
      <c r="L2477" s="15">
        <f>IFERROR(IF((K2477/J2477)&gt;1.3,1.3,K2477/J2477),"")</f>
        <v>1.0242587601078168</v>
      </c>
      <c r="M2477" s="15">
        <f>IFERROR(IF((K2477/J2477)&gt;K2477/J2477,1.3,K2477/J2477),"")</f>
        <v>1.0242587601078168</v>
      </c>
      <c r="N2477" s="5" t="s">
        <v>490</v>
      </c>
      <c r="O2477" s="5" t="s">
        <v>490</v>
      </c>
      <c r="P2477" s="16">
        <v>0</v>
      </c>
      <c r="Q2477" s="16">
        <v>0</v>
      </c>
      <c r="R2477" s="5" t="str">
        <f t="shared" si="426"/>
        <v>384-2025-06-30</v>
      </c>
    </row>
    <row r="2478" spans="1:18" x14ac:dyDescent="0.3">
      <c r="A2478" s="43">
        <v>385</v>
      </c>
      <c r="B2478" s="5" t="s">
        <v>273</v>
      </c>
      <c r="C2478" s="5" t="s">
        <v>274</v>
      </c>
      <c r="D2478" s="5" t="s">
        <v>8</v>
      </c>
      <c r="E2478" s="5" t="s">
        <v>9</v>
      </c>
      <c r="F2478" s="6">
        <v>45838</v>
      </c>
      <c r="G2478" s="5">
        <f t="shared" si="417"/>
        <v>2025</v>
      </c>
      <c r="H2478" s="5" t="str">
        <f t="shared" si="418"/>
        <v>Junio</v>
      </c>
      <c r="I2478" s="6" t="str">
        <f t="shared" si="424"/>
        <v>2025-1</v>
      </c>
      <c r="J2478" s="5">
        <f>6845877310/1000000</f>
        <v>6845.8773099999999</v>
      </c>
      <c r="K2478" s="5">
        <v>8790.9481190000006</v>
      </c>
      <c r="L2478" s="15">
        <f t="shared" ref="L2478:L2479" si="429">IFERROR(IF((K2478/J2478)&gt;1.3,1.3,K2478/J2478),"")</f>
        <v>1.2841229430388377</v>
      </c>
      <c r="M2478" s="15">
        <f t="shared" ref="M2478:M2479" si="430">IFERROR(IF((K2478/J2478)&gt;K2478/J2478,1.3,K2478/J2478),"")</f>
        <v>1.2841229430388377</v>
      </c>
      <c r="N2478" s="5" t="s">
        <v>474</v>
      </c>
      <c r="O2478" s="5" t="s">
        <v>474</v>
      </c>
      <c r="P2478" s="16">
        <v>0</v>
      </c>
      <c r="Q2478" s="16">
        <v>0</v>
      </c>
      <c r="R2478" s="5" t="str">
        <f t="shared" si="426"/>
        <v>385-2025-06-30</v>
      </c>
    </row>
    <row r="2479" spans="1:18" x14ac:dyDescent="0.3">
      <c r="A2479" s="26">
        <v>386</v>
      </c>
      <c r="B2479" s="5" t="s">
        <v>275</v>
      </c>
      <c r="C2479" s="5" t="s">
        <v>274</v>
      </c>
      <c r="D2479" s="5" t="s">
        <v>8</v>
      </c>
      <c r="E2479" s="5" t="s">
        <v>9</v>
      </c>
      <c r="F2479" s="6">
        <v>45838</v>
      </c>
      <c r="G2479" s="5">
        <f t="shared" si="417"/>
        <v>2025</v>
      </c>
      <c r="H2479" s="5" t="str">
        <f t="shared" si="418"/>
        <v>Junio</v>
      </c>
      <c r="I2479" s="6" t="str">
        <f t="shared" si="424"/>
        <v>2025-1</v>
      </c>
      <c r="J2479" s="9">
        <f>6845877311/1000000</f>
        <v>6845.8773110000002</v>
      </c>
      <c r="K2479" s="9">
        <f>8141046202/1000000</f>
        <v>8141.0462020000004</v>
      </c>
      <c r="L2479" s="15">
        <f t="shared" si="429"/>
        <v>1.1891896147362901</v>
      </c>
      <c r="M2479" s="15">
        <f t="shared" si="430"/>
        <v>1.1891896147362901</v>
      </c>
      <c r="N2479" s="5" t="s">
        <v>474</v>
      </c>
      <c r="O2479" s="5" t="s">
        <v>474</v>
      </c>
      <c r="P2479" s="16">
        <v>0</v>
      </c>
      <c r="Q2479" s="16">
        <v>0</v>
      </c>
      <c r="R2479" s="5" t="str">
        <f t="shared" si="426"/>
        <v>386-2025-06-30</v>
      </c>
    </row>
    <row r="2480" spans="1:18" x14ac:dyDescent="0.3">
      <c r="A2480" s="26">
        <v>394</v>
      </c>
      <c r="B2480" s="5" t="s">
        <v>284</v>
      </c>
      <c r="C2480" s="5" t="s">
        <v>285</v>
      </c>
      <c r="D2480" s="5" t="s">
        <v>8</v>
      </c>
      <c r="E2480" s="5" t="s">
        <v>9</v>
      </c>
      <c r="F2480" s="6">
        <v>45747</v>
      </c>
      <c r="G2480" s="5">
        <f t="shared" si="417"/>
        <v>2025</v>
      </c>
      <c r="H2480" s="5" t="str">
        <f t="shared" si="418"/>
        <v>Marzo</v>
      </c>
      <c r="I2480" s="6" t="str">
        <f t="shared" si="424"/>
        <v>2025-1</v>
      </c>
      <c r="J2480" s="5">
        <v>200</v>
      </c>
      <c r="K2480" s="10">
        <v>455</v>
      </c>
      <c r="L2480" s="15">
        <f>IFERROR(IF((K2480/J2480)&gt;1.3,1.3,K2480/J2480),"")</f>
        <v>1.3</v>
      </c>
      <c r="M2480" s="15">
        <f>IFERROR(IF((K2480/J2480)&gt;K2480/J2480,1.3,K2480/J2480),"")</f>
        <v>2.2749999999999999</v>
      </c>
      <c r="N2480" s="5" t="s">
        <v>490</v>
      </c>
      <c r="O2480" s="5" t="s">
        <v>490</v>
      </c>
      <c r="P2480" s="16">
        <v>0</v>
      </c>
      <c r="Q2480" s="16">
        <v>0</v>
      </c>
      <c r="R2480" s="5" t="str">
        <f t="shared" si="426"/>
        <v>394-2025-03-31</v>
      </c>
    </row>
    <row r="2481" spans="1:18" x14ac:dyDescent="0.3">
      <c r="A2481" s="26">
        <v>394</v>
      </c>
      <c r="B2481" s="5" t="s">
        <v>284</v>
      </c>
      <c r="C2481" s="5" t="s">
        <v>285</v>
      </c>
      <c r="D2481" s="5" t="s">
        <v>8</v>
      </c>
      <c r="E2481" s="5" t="s">
        <v>9</v>
      </c>
      <c r="F2481" s="6">
        <v>45838</v>
      </c>
      <c r="G2481" s="5">
        <f t="shared" si="417"/>
        <v>2025</v>
      </c>
      <c r="H2481" s="5" t="str">
        <f t="shared" si="418"/>
        <v>Junio</v>
      </c>
      <c r="I2481" s="6" t="str">
        <f t="shared" ref="I2481:I2482" si="431">IF(OR(H2481="Enero",H2481="Febrero",H2481="Marzo",H2481="Abril",H2481="Mayo",H2481="Junio"),G2481&amp;"-1",IF(OR(H2481="Julio",H2481="Agosto",H2481="Septiembre",H2481="Octubre",H2481="Noviembre",H2481="Diciembre"),G2481&amp;"-2"))</f>
        <v>2025-1</v>
      </c>
      <c r="J2481" s="5">
        <v>350</v>
      </c>
      <c r="K2481" s="10">
        <v>339</v>
      </c>
      <c r="L2481" s="15">
        <f>IFERROR(IF((K2481/J2481)&gt;1.3,1.3,K2481/J2481),"")</f>
        <v>0.96857142857142853</v>
      </c>
      <c r="M2481" s="15">
        <f>IFERROR(IF((K2481/J2481)&gt;K2481/J2481,1.3,K2481/J2481),"")</f>
        <v>0.96857142857142853</v>
      </c>
      <c r="N2481" s="5" t="s">
        <v>490</v>
      </c>
      <c r="O2481" s="5" t="s">
        <v>490</v>
      </c>
      <c r="P2481" s="16">
        <v>0</v>
      </c>
      <c r="Q2481" s="16">
        <v>0</v>
      </c>
      <c r="R2481" s="5" t="str">
        <f t="shared" ref="R2481:R2482" si="432">A2481&amp;"-"&amp;YEAR(F2481)&amp;"-"&amp;IF(LEN(MONTH(F2481))=1,"0"&amp;MONTH(F2481),MONTH(F2481))&amp;"-"&amp;DAY(F2481)</f>
        <v>394-2025-06-30</v>
      </c>
    </row>
    <row r="2482" spans="1:18" x14ac:dyDescent="0.3">
      <c r="A2482" s="5">
        <v>395</v>
      </c>
      <c r="B2482" s="5" t="s">
        <v>505</v>
      </c>
      <c r="C2482" s="5" t="s">
        <v>285</v>
      </c>
      <c r="D2482" s="5" t="s">
        <v>8</v>
      </c>
      <c r="E2482" s="5" t="s">
        <v>9</v>
      </c>
      <c r="F2482" s="6">
        <v>45747</v>
      </c>
      <c r="G2482" s="5">
        <f t="shared" si="417"/>
        <v>2025</v>
      </c>
      <c r="H2482" s="5" t="str">
        <f t="shared" si="418"/>
        <v>Marzo</v>
      </c>
      <c r="I2482" s="6" t="str">
        <f t="shared" si="431"/>
        <v>2025-1</v>
      </c>
      <c r="J2482" s="5">
        <v>35</v>
      </c>
      <c r="K2482" s="5">
        <v>102</v>
      </c>
      <c r="L2482" s="8">
        <f>IF(IFERROR(K2482/J2482,"")&gt;130%,130%,K2482/J2482)</f>
        <v>1.3</v>
      </c>
      <c r="M2482" s="15">
        <f>IFERROR(IF((K2482/J2482)&gt;K2482/J2482,1.3,K2482/J2482),"")</f>
        <v>2.9142857142857141</v>
      </c>
      <c r="N2482" s="5" t="s">
        <v>490</v>
      </c>
      <c r="O2482" s="5" t="s">
        <v>490</v>
      </c>
      <c r="P2482" s="5">
        <v>0</v>
      </c>
      <c r="Q2482" s="5">
        <v>0</v>
      </c>
      <c r="R2482" s="5" t="str">
        <f t="shared" si="432"/>
        <v>395-2025-03-31</v>
      </c>
    </row>
    <row r="2483" spans="1:18" x14ac:dyDescent="0.3">
      <c r="A2483" s="5">
        <v>395</v>
      </c>
      <c r="B2483" s="5" t="s">
        <v>505</v>
      </c>
      <c r="C2483" s="5" t="s">
        <v>285</v>
      </c>
      <c r="D2483" s="5" t="s">
        <v>8</v>
      </c>
      <c r="E2483" s="5" t="s">
        <v>9</v>
      </c>
      <c r="F2483" s="6">
        <v>45838</v>
      </c>
      <c r="G2483" s="5">
        <f t="shared" si="417"/>
        <v>2025</v>
      </c>
      <c r="H2483" s="5" t="str">
        <f t="shared" si="418"/>
        <v>Junio</v>
      </c>
      <c r="I2483" s="6" t="str">
        <f t="shared" ref="I2483:I2495" si="433">IF(OR(H2483="Enero",H2483="Febrero",H2483="Marzo",H2483="Abril",H2483="Mayo",H2483="Junio"),G2483&amp;"-1",IF(OR(H2483="Julio",H2483="Agosto",H2483="Septiembre",H2483="Octubre",H2483="Noviembre",H2483="Diciembre"),G2483&amp;"-2"))</f>
        <v>2025-1</v>
      </c>
      <c r="J2483" s="5">
        <v>55</v>
      </c>
      <c r="K2483" s="5">
        <v>89</v>
      </c>
      <c r="L2483" s="8">
        <f>IF(IFERROR(K2483/J2483,"")&gt;130%,130%,K2483/J2483)</f>
        <v>1.3</v>
      </c>
      <c r="M2483" s="15">
        <f>IFERROR(IF((K2483/J2483)&gt;K2483/J2483,1.3,K2483/J2483),"")</f>
        <v>1.6181818181818182</v>
      </c>
      <c r="N2483" s="5" t="s">
        <v>490</v>
      </c>
      <c r="O2483" s="5" t="s">
        <v>490</v>
      </c>
      <c r="P2483" s="5">
        <v>0</v>
      </c>
      <c r="Q2483" s="5">
        <v>0</v>
      </c>
      <c r="R2483" s="5" t="str">
        <f t="shared" ref="R2483:R2495" si="434">A2483&amp;"-"&amp;YEAR(F2483)&amp;"-"&amp;IF(LEN(MONTH(F2483))=1,"0"&amp;MONTH(F2483),MONTH(F2483))&amp;"-"&amp;DAY(F2483)</f>
        <v>395-2025-06-30</v>
      </c>
    </row>
    <row r="2484" spans="1:18" x14ac:dyDescent="0.3">
      <c r="A2484" s="5">
        <v>397</v>
      </c>
      <c r="B2484" s="5" t="s">
        <v>288</v>
      </c>
      <c r="C2484" s="5" t="s">
        <v>506</v>
      </c>
      <c r="D2484" s="5" t="s">
        <v>8</v>
      </c>
      <c r="E2484" s="5" t="s">
        <v>9</v>
      </c>
      <c r="F2484" s="6">
        <v>45838</v>
      </c>
      <c r="G2484" s="5">
        <f t="shared" si="417"/>
        <v>2025</v>
      </c>
      <c r="H2484" s="5" t="str">
        <f t="shared" si="418"/>
        <v>Junio</v>
      </c>
      <c r="I2484" s="6" t="str">
        <f t="shared" si="433"/>
        <v>2025-1</v>
      </c>
      <c r="J2484" s="5">
        <v>90</v>
      </c>
      <c r="K2484" s="5">
        <v>95.26</v>
      </c>
      <c r="L2484" s="15">
        <f>IFERROR(IF((K2484/J2484)&gt;1.3,1.3,K2484/J2484),"")</f>
        <v>1.0584444444444445</v>
      </c>
      <c r="M2484" s="15">
        <f>+K2484/J2484</f>
        <v>1.0584444444444445</v>
      </c>
      <c r="N2484" s="5" t="s">
        <v>347</v>
      </c>
      <c r="O2484" s="5" t="s">
        <v>347</v>
      </c>
      <c r="P2484" s="5">
        <v>1</v>
      </c>
      <c r="Q2484" s="5">
        <v>1</v>
      </c>
      <c r="R2484" s="5" t="str">
        <f t="shared" si="434"/>
        <v>397-2025-06-30</v>
      </c>
    </row>
    <row r="2485" spans="1:18" x14ac:dyDescent="0.3">
      <c r="A2485" s="5">
        <v>398</v>
      </c>
      <c r="B2485" s="5" t="s">
        <v>289</v>
      </c>
      <c r="C2485" s="5" t="s">
        <v>290</v>
      </c>
      <c r="D2485" s="5" t="s">
        <v>8</v>
      </c>
      <c r="E2485" s="5" t="s">
        <v>9</v>
      </c>
      <c r="F2485" s="6">
        <v>45838</v>
      </c>
      <c r="G2485" s="5">
        <f t="shared" si="417"/>
        <v>2025</v>
      </c>
      <c r="H2485" s="5" t="str">
        <f t="shared" si="418"/>
        <v>Junio</v>
      </c>
      <c r="I2485" s="6" t="str">
        <f t="shared" si="433"/>
        <v>2025-1</v>
      </c>
      <c r="J2485" s="5">
        <v>1400</v>
      </c>
      <c r="K2485" s="5">
        <v>2233</v>
      </c>
      <c r="L2485" s="15">
        <f>IFERROR(IF((K2485/J2485)&gt;1.3,1.3,K2485/J2485),"")</f>
        <v>1.3</v>
      </c>
      <c r="M2485" s="15">
        <f>IFERROR(IF((K2485/J2485)&gt;K2485/J2485,1.3,K2485/J2485),"")</f>
        <v>1.595</v>
      </c>
      <c r="N2485" s="5" t="s">
        <v>490</v>
      </c>
      <c r="O2485" s="5" t="s">
        <v>490</v>
      </c>
      <c r="P2485" s="5">
        <v>0</v>
      </c>
      <c r="Q2485" s="5">
        <v>0</v>
      </c>
      <c r="R2485" s="5" t="str">
        <f t="shared" si="434"/>
        <v>398-2025-06-30</v>
      </c>
    </row>
    <row r="2486" spans="1:18" x14ac:dyDescent="0.3">
      <c r="A2486" s="5">
        <v>399</v>
      </c>
      <c r="B2486" s="5" t="s">
        <v>507</v>
      </c>
      <c r="C2486" s="5" t="s">
        <v>290</v>
      </c>
      <c r="D2486" s="5" t="s">
        <v>8</v>
      </c>
      <c r="E2486" s="5" t="s">
        <v>9</v>
      </c>
      <c r="F2486" s="6">
        <v>45838</v>
      </c>
      <c r="G2486" s="5">
        <f t="shared" si="417"/>
        <v>2025</v>
      </c>
      <c r="H2486" s="5" t="str">
        <f t="shared" si="418"/>
        <v>Junio</v>
      </c>
      <c r="I2486" s="6" t="str">
        <f t="shared" si="433"/>
        <v>2025-1</v>
      </c>
      <c r="J2486" s="5">
        <v>772</v>
      </c>
      <c r="K2486" s="5">
        <v>750</v>
      </c>
      <c r="L2486" s="15">
        <f>IFERROR(IF((K2486/J2486)&gt;1.3,1.3,K2486/J2486),"")</f>
        <v>0.97150259067357514</v>
      </c>
      <c r="M2486" s="15">
        <f>+K2486/J2486</f>
        <v>0.97150259067357514</v>
      </c>
      <c r="N2486" s="5" t="s">
        <v>490</v>
      </c>
      <c r="O2486" s="5" t="s">
        <v>490</v>
      </c>
      <c r="P2486" s="5">
        <v>0</v>
      </c>
      <c r="Q2486" s="5">
        <v>0</v>
      </c>
      <c r="R2486" s="5" t="str">
        <f t="shared" si="434"/>
        <v>399-2025-06-30</v>
      </c>
    </row>
    <row r="2487" spans="1:18" x14ac:dyDescent="0.3">
      <c r="A2487" s="26">
        <v>400</v>
      </c>
      <c r="B2487" s="5" t="s">
        <v>292</v>
      </c>
      <c r="C2487" s="5" t="s">
        <v>290</v>
      </c>
      <c r="D2487" s="5" t="s">
        <v>8</v>
      </c>
      <c r="E2487" s="5" t="s">
        <v>9</v>
      </c>
      <c r="F2487" s="6">
        <v>45838</v>
      </c>
      <c r="G2487" s="5">
        <f t="shared" si="417"/>
        <v>2025</v>
      </c>
      <c r="H2487" s="5" t="str">
        <f t="shared" si="418"/>
        <v>Junio</v>
      </c>
      <c r="I2487" s="6" t="str">
        <f t="shared" si="433"/>
        <v>2025-1</v>
      </c>
      <c r="J2487" s="5">
        <v>100</v>
      </c>
      <c r="K2487" s="10">
        <v>123</v>
      </c>
      <c r="L2487" s="15">
        <f>IFERROR(IF((K2487/J2487)&gt;1.3,1.3,K2487/J2487),"")</f>
        <v>1.23</v>
      </c>
      <c r="M2487" s="93">
        <f>IFERROR(IF((K2487/J2487)&gt;K2487/J2487,1.3,K2487/J2487),"")</f>
        <v>1.23</v>
      </c>
      <c r="N2487" s="5" t="s">
        <v>490</v>
      </c>
      <c r="O2487" s="5" t="s">
        <v>490</v>
      </c>
      <c r="P2487" s="16">
        <v>0</v>
      </c>
      <c r="Q2487" s="16">
        <v>0</v>
      </c>
      <c r="R2487" s="5" t="str">
        <f t="shared" si="434"/>
        <v>400-2025-06-30</v>
      </c>
    </row>
    <row r="2488" spans="1:18" x14ac:dyDescent="0.3">
      <c r="A2488" s="5">
        <v>401</v>
      </c>
      <c r="B2488" s="5" t="s">
        <v>293</v>
      </c>
      <c r="C2488" s="5" t="s">
        <v>294</v>
      </c>
      <c r="D2488" s="5" t="s">
        <v>8</v>
      </c>
      <c r="E2488" s="5" t="s">
        <v>9</v>
      </c>
      <c r="F2488" s="6">
        <v>45838</v>
      </c>
      <c r="G2488" s="5">
        <f t="shared" si="417"/>
        <v>2025</v>
      </c>
      <c r="H2488" s="5" t="str">
        <f t="shared" si="418"/>
        <v>Junio</v>
      </c>
      <c r="I2488" s="6" t="str">
        <f t="shared" si="433"/>
        <v>2025-1</v>
      </c>
      <c r="J2488" s="5">
        <v>8</v>
      </c>
      <c r="K2488" s="5">
        <v>8</v>
      </c>
      <c r="L2488" s="15">
        <f>IFERROR(IF((K2488/J2488)&gt;1.3,1.3,K2488/J2488),"")</f>
        <v>1</v>
      </c>
      <c r="M2488" s="15">
        <v>1</v>
      </c>
      <c r="N2488" s="5" t="s">
        <v>490</v>
      </c>
      <c r="O2488" s="5" t="s">
        <v>490</v>
      </c>
      <c r="P2488" s="5">
        <v>0</v>
      </c>
      <c r="Q2488" s="5">
        <v>0</v>
      </c>
      <c r="R2488" s="5" t="str">
        <f t="shared" si="434"/>
        <v>401-2025-06-30</v>
      </c>
    </row>
    <row r="2489" spans="1:18" x14ac:dyDescent="0.3">
      <c r="A2489" s="5">
        <v>403</v>
      </c>
      <c r="B2489" s="5" t="s">
        <v>296</v>
      </c>
      <c r="C2489" s="5" t="s">
        <v>294</v>
      </c>
      <c r="D2489" s="5" t="s">
        <v>8</v>
      </c>
      <c r="E2489" s="5" t="s">
        <v>9</v>
      </c>
      <c r="F2489" s="6">
        <v>45838</v>
      </c>
      <c r="G2489" s="5">
        <f t="shared" si="417"/>
        <v>2025</v>
      </c>
      <c r="H2489" s="5" t="str">
        <f t="shared" si="418"/>
        <v>Junio</v>
      </c>
      <c r="I2489" s="6" t="str">
        <f t="shared" si="433"/>
        <v>2025-1</v>
      </c>
      <c r="J2489" s="5"/>
      <c r="K2489" s="5">
        <v>14410</v>
      </c>
      <c r="L2489" s="15" t="s">
        <v>417</v>
      </c>
      <c r="M2489" s="15" t="s">
        <v>417</v>
      </c>
      <c r="N2489" s="5" t="s">
        <v>728</v>
      </c>
      <c r="O2489" s="5" t="s">
        <v>490</v>
      </c>
      <c r="P2489" s="5">
        <v>0</v>
      </c>
      <c r="Q2489" s="5">
        <v>0</v>
      </c>
      <c r="R2489" s="5" t="str">
        <f t="shared" si="434"/>
        <v>403-2025-06-30</v>
      </c>
    </row>
    <row r="2490" spans="1:18" x14ac:dyDescent="0.3">
      <c r="A2490" s="26">
        <v>488</v>
      </c>
      <c r="B2490" s="5" t="s">
        <v>747</v>
      </c>
      <c r="C2490" s="5" t="s">
        <v>45</v>
      </c>
      <c r="D2490" s="5" t="s">
        <v>18</v>
      </c>
      <c r="E2490" s="5" t="s">
        <v>9</v>
      </c>
      <c r="F2490" s="6">
        <v>45688</v>
      </c>
      <c r="G2490" s="5">
        <f t="shared" si="417"/>
        <v>2025</v>
      </c>
      <c r="H2490" s="5" t="str">
        <f t="shared" si="418"/>
        <v>Enero</v>
      </c>
      <c r="I2490" s="6" t="str">
        <f t="shared" si="433"/>
        <v>2025-1</v>
      </c>
      <c r="J2490" s="5">
        <v>85</v>
      </c>
      <c r="K2490" s="99">
        <v>78.05</v>
      </c>
      <c r="L2490" s="15">
        <f t="shared" ref="L2490:L2495" si="435">IFERROR(IF((K2490/J2490)&gt;1.3,1.3,K2490/J2490),"")</f>
        <v>0.91823529411764704</v>
      </c>
      <c r="M2490" s="15">
        <f t="shared" ref="M2490:M2495" si="436">IFERROR(IF((K2490/J2490)&gt;K2490/J2490,1.3,K2490/J2490),"")</f>
        <v>0.91823529411764704</v>
      </c>
      <c r="N2490" s="5" t="s">
        <v>347</v>
      </c>
      <c r="O2490" s="5" t="s">
        <v>347</v>
      </c>
      <c r="P2490" s="16">
        <v>0</v>
      </c>
      <c r="Q2490" s="16">
        <v>0</v>
      </c>
      <c r="R2490" s="5" t="str">
        <f t="shared" si="434"/>
        <v>488-2025-01-31</v>
      </c>
    </row>
    <row r="2491" spans="1:18" x14ac:dyDescent="0.3">
      <c r="A2491" s="26">
        <v>488</v>
      </c>
      <c r="B2491" s="5" t="s">
        <v>747</v>
      </c>
      <c r="C2491" s="5" t="s">
        <v>45</v>
      </c>
      <c r="D2491" s="5" t="s">
        <v>18</v>
      </c>
      <c r="E2491" s="5" t="s">
        <v>9</v>
      </c>
      <c r="F2491" s="6">
        <v>45716</v>
      </c>
      <c r="G2491" s="5">
        <f t="shared" si="417"/>
        <v>2025</v>
      </c>
      <c r="H2491" s="5" t="str">
        <f t="shared" si="418"/>
        <v>Febrero</v>
      </c>
      <c r="I2491" s="6" t="str">
        <f t="shared" si="433"/>
        <v>2025-1</v>
      </c>
      <c r="J2491" s="5">
        <v>85</v>
      </c>
      <c r="K2491" s="99">
        <v>77.209999999999994</v>
      </c>
      <c r="L2491" s="15">
        <f t="shared" si="435"/>
        <v>0.90835294117647047</v>
      </c>
      <c r="M2491" s="15">
        <f t="shared" si="436"/>
        <v>0.90835294117647047</v>
      </c>
      <c r="N2491" s="5" t="s">
        <v>347</v>
      </c>
      <c r="O2491" s="5" t="s">
        <v>347</v>
      </c>
      <c r="P2491" s="16">
        <v>0</v>
      </c>
      <c r="Q2491" s="16">
        <v>0</v>
      </c>
      <c r="R2491" s="5" t="str">
        <f t="shared" si="434"/>
        <v>488-2025-02-28</v>
      </c>
    </row>
    <row r="2492" spans="1:18" x14ac:dyDescent="0.3">
      <c r="A2492" s="26">
        <v>488</v>
      </c>
      <c r="B2492" s="5" t="s">
        <v>747</v>
      </c>
      <c r="C2492" s="5" t="s">
        <v>45</v>
      </c>
      <c r="D2492" s="5" t="s">
        <v>18</v>
      </c>
      <c r="E2492" s="5" t="s">
        <v>9</v>
      </c>
      <c r="F2492" s="6">
        <v>45777</v>
      </c>
      <c r="G2492" s="5">
        <f t="shared" si="417"/>
        <v>2025</v>
      </c>
      <c r="H2492" s="5" t="str">
        <f t="shared" si="418"/>
        <v>Abril</v>
      </c>
      <c r="I2492" s="6" t="str">
        <f t="shared" si="433"/>
        <v>2025-1</v>
      </c>
      <c r="J2492" s="5">
        <v>85</v>
      </c>
      <c r="K2492" s="99">
        <v>64.91</v>
      </c>
      <c r="L2492" s="15">
        <f t="shared" si="435"/>
        <v>0.76364705882352935</v>
      </c>
      <c r="M2492" s="15">
        <f t="shared" si="436"/>
        <v>0.76364705882352935</v>
      </c>
      <c r="N2492" s="5" t="s">
        <v>347</v>
      </c>
      <c r="O2492" s="5" t="s">
        <v>347</v>
      </c>
      <c r="P2492" s="16">
        <v>0</v>
      </c>
      <c r="Q2492" s="16">
        <v>0</v>
      </c>
      <c r="R2492" s="5" t="str">
        <f t="shared" si="434"/>
        <v>488-2025-04-30</v>
      </c>
    </row>
    <row r="2493" spans="1:18" x14ac:dyDescent="0.3">
      <c r="A2493" s="26">
        <v>488</v>
      </c>
      <c r="B2493" s="5" t="s">
        <v>747</v>
      </c>
      <c r="C2493" s="5" t="s">
        <v>45</v>
      </c>
      <c r="D2493" s="5" t="s">
        <v>18</v>
      </c>
      <c r="E2493" s="5" t="s">
        <v>9</v>
      </c>
      <c r="F2493" s="6">
        <v>45808</v>
      </c>
      <c r="G2493" s="5">
        <f t="shared" si="417"/>
        <v>2025</v>
      </c>
      <c r="H2493" s="5" t="str">
        <f t="shared" si="418"/>
        <v>Mayo</v>
      </c>
      <c r="I2493" s="6" t="str">
        <f t="shared" si="433"/>
        <v>2025-1</v>
      </c>
      <c r="J2493" s="5">
        <v>85</v>
      </c>
      <c r="K2493" s="99">
        <v>67.86</v>
      </c>
      <c r="L2493" s="15">
        <f t="shared" si="435"/>
        <v>0.7983529411764706</v>
      </c>
      <c r="M2493" s="15">
        <f t="shared" si="436"/>
        <v>0.7983529411764706</v>
      </c>
      <c r="N2493" s="5" t="s">
        <v>347</v>
      </c>
      <c r="O2493" s="5" t="s">
        <v>347</v>
      </c>
      <c r="P2493" s="16">
        <v>0</v>
      </c>
      <c r="Q2493" s="16">
        <v>0</v>
      </c>
      <c r="R2493" s="5" t="str">
        <f t="shared" si="434"/>
        <v>488-2025-05-31</v>
      </c>
    </row>
    <row r="2494" spans="1:18" x14ac:dyDescent="0.3">
      <c r="A2494" s="26">
        <v>488</v>
      </c>
      <c r="B2494" s="5" t="s">
        <v>747</v>
      </c>
      <c r="C2494" s="5" t="s">
        <v>45</v>
      </c>
      <c r="D2494" s="5" t="s">
        <v>18</v>
      </c>
      <c r="E2494" s="5" t="s">
        <v>9</v>
      </c>
      <c r="F2494" s="6">
        <v>45838</v>
      </c>
      <c r="G2494" s="5">
        <f t="shared" si="417"/>
        <v>2025</v>
      </c>
      <c r="H2494" s="5" t="str">
        <f t="shared" si="418"/>
        <v>Junio</v>
      </c>
      <c r="I2494" s="6" t="str">
        <f t="shared" si="433"/>
        <v>2025-1</v>
      </c>
      <c r="J2494" s="5">
        <v>85</v>
      </c>
      <c r="K2494" s="99">
        <v>72.41</v>
      </c>
      <c r="L2494" s="15">
        <f t="shared" si="435"/>
        <v>0.85188235294117642</v>
      </c>
      <c r="M2494" s="15">
        <f t="shared" si="436"/>
        <v>0.85188235294117642</v>
      </c>
      <c r="N2494" s="5" t="s">
        <v>347</v>
      </c>
      <c r="O2494" s="5" t="s">
        <v>347</v>
      </c>
      <c r="P2494" s="16">
        <v>0</v>
      </c>
      <c r="Q2494" s="16">
        <v>0</v>
      </c>
      <c r="R2494" s="5" t="str">
        <f t="shared" si="434"/>
        <v>488-2025-06-30</v>
      </c>
    </row>
    <row r="2495" spans="1:18" x14ac:dyDescent="0.3">
      <c r="A2495" s="26">
        <v>488</v>
      </c>
      <c r="B2495" s="5" t="s">
        <v>747</v>
      </c>
      <c r="C2495" s="5" t="s">
        <v>45</v>
      </c>
      <c r="D2495" s="5" t="s">
        <v>18</v>
      </c>
      <c r="E2495" s="5" t="s">
        <v>9</v>
      </c>
      <c r="F2495" s="6">
        <v>45869</v>
      </c>
      <c r="G2495" s="5">
        <f t="shared" si="417"/>
        <v>2025</v>
      </c>
      <c r="H2495" s="5" t="str">
        <f t="shared" si="418"/>
        <v>Julio</v>
      </c>
      <c r="I2495" s="6" t="str">
        <f t="shared" si="433"/>
        <v>2025-2</v>
      </c>
      <c r="J2495" s="5">
        <v>85</v>
      </c>
      <c r="K2495" s="99">
        <v>83.54</v>
      </c>
      <c r="L2495" s="15">
        <f t="shared" si="435"/>
        <v>0.98282352941176476</v>
      </c>
      <c r="M2495" s="15">
        <f t="shared" si="436"/>
        <v>0.98282352941176476</v>
      </c>
      <c r="N2495" s="5" t="s">
        <v>347</v>
      </c>
      <c r="O2495" s="5" t="s">
        <v>347</v>
      </c>
      <c r="P2495" s="16">
        <v>0</v>
      </c>
      <c r="Q2495" s="16">
        <v>0</v>
      </c>
      <c r="R2495" s="5" t="str">
        <f t="shared" si="434"/>
        <v>488-2025-07-31</v>
      </c>
    </row>
    <row r="2496" spans="1:18" x14ac:dyDescent="0.3">
      <c r="A2496" s="26">
        <v>488</v>
      </c>
      <c r="B2496" s="5" t="s">
        <v>747</v>
      </c>
      <c r="C2496" s="5" t="s">
        <v>45</v>
      </c>
      <c r="D2496" s="5" t="s">
        <v>18</v>
      </c>
      <c r="E2496" s="5" t="s">
        <v>9</v>
      </c>
      <c r="F2496" s="6">
        <v>45900</v>
      </c>
      <c r="G2496" s="5">
        <f t="shared" si="417"/>
        <v>2025</v>
      </c>
      <c r="H2496" s="5" t="str">
        <f t="shared" si="418"/>
        <v>Agosto</v>
      </c>
      <c r="I2496" s="6" t="str">
        <f t="shared" ref="I2496:I2497" si="437">IF(OR(H2496="Enero",H2496="Febrero",H2496="Marzo",H2496="Abril",H2496="Mayo",H2496="Junio"),G2496&amp;"-1",IF(OR(H2496="Julio",H2496="Agosto",H2496="Septiembre",H2496="Octubre",H2496="Noviembre",H2496="Diciembre"),G2496&amp;"-2"))</f>
        <v>2025-2</v>
      </c>
      <c r="J2496" s="5">
        <v>85</v>
      </c>
      <c r="K2496" s="99">
        <v>81.010000000000005</v>
      </c>
      <c r="L2496" s="15">
        <f t="shared" ref="L2496:L2497" si="438">IFERROR(IF((K2496/J2496)&gt;1.3,1.3,K2496/J2496),"")</f>
        <v>0.95305882352941185</v>
      </c>
      <c r="M2496" s="15">
        <f t="shared" ref="M2496:M2497" si="439">IFERROR(IF((K2496/J2496)&gt;K2496/J2496,1.3,K2496/J2496),"")</f>
        <v>0.95305882352941185</v>
      </c>
      <c r="N2496" s="5" t="s">
        <v>347</v>
      </c>
      <c r="O2496" s="5" t="s">
        <v>347</v>
      </c>
      <c r="P2496" s="16">
        <v>0</v>
      </c>
      <c r="Q2496" s="16">
        <v>0</v>
      </c>
      <c r="R2496" s="5" t="str">
        <f t="shared" ref="R2496:R2497" si="440">A2496&amp;"-"&amp;YEAR(F2496)&amp;"-"&amp;IF(LEN(MONTH(F2496))=1,"0"&amp;MONTH(F2496),MONTH(F2496))&amp;"-"&amp;DAY(F2496)</f>
        <v>488-2025-08-31</v>
      </c>
    </row>
    <row r="2497" spans="1:18" x14ac:dyDescent="0.3">
      <c r="A2497" s="26">
        <v>485</v>
      </c>
      <c r="B2497" s="5" t="s">
        <v>744</v>
      </c>
      <c r="C2497" s="5" t="s">
        <v>45</v>
      </c>
      <c r="D2497" s="5" t="s">
        <v>18</v>
      </c>
      <c r="E2497" s="5" t="s">
        <v>9</v>
      </c>
      <c r="F2497" s="6">
        <v>45688</v>
      </c>
      <c r="G2497" s="5">
        <f t="shared" si="417"/>
        <v>2025</v>
      </c>
      <c r="H2497" s="5" t="str">
        <f t="shared" si="418"/>
        <v>Enero</v>
      </c>
      <c r="I2497" s="6" t="str">
        <f t="shared" si="437"/>
        <v>2025-1</v>
      </c>
      <c r="J2497" s="5">
        <v>80</v>
      </c>
      <c r="K2497" s="10">
        <v>100</v>
      </c>
      <c r="L2497" s="15">
        <f t="shared" si="438"/>
        <v>1.25</v>
      </c>
      <c r="M2497" s="15">
        <f t="shared" si="439"/>
        <v>1.25</v>
      </c>
      <c r="N2497" s="5" t="s">
        <v>417</v>
      </c>
      <c r="O2497" s="5" t="s">
        <v>417</v>
      </c>
      <c r="P2497" s="16">
        <v>0</v>
      </c>
      <c r="Q2497" s="16">
        <v>0</v>
      </c>
      <c r="R2497" s="5" t="str">
        <f t="shared" si="440"/>
        <v>485-2025-01-31</v>
      </c>
    </row>
    <row r="2498" spans="1:18" x14ac:dyDescent="0.3">
      <c r="A2498" s="26">
        <v>485</v>
      </c>
      <c r="B2498" s="5" t="s">
        <v>744</v>
      </c>
      <c r="C2498" s="5" t="s">
        <v>45</v>
      </c>
      <c r="D2498" s="5" t="s">
        <v>18</v>
      </c>
      <c r="E2498" s="5" t="s">
        <v>9</v>
      </c>
      <c r="F2498" s="6">
        <v>45716</v>
      </c>
      <c r="G2498" s="5">
        <f t="shared" si="417"/>
        <v>2025</v>
      </c>
      <c r="H2498" s="5" t="str">
        <f t="shared" si="418"/>
        <v>Febrero</v>
      </c>
      <c r="I2498" s="6" t="str">
        <f t="shared" ref="I2498:I2499" si="441">IF(OR(H2498="Enero",H2498="Febrero",H2498="Marzo",H2498="Abril",H2498="Mayo",H2498="Junio"),G2498&amp;"-1",IF(OR(H2498="Julio",H2498="Agosto",H2498="Septiembre",H2498="Octubre",H2498="Noviembre",H2498="Diciembre"),G2498&amp;"-2"))</f>
        <v>2025-1</v>
      </c>
      <c r="J2498" s="5">
        <v>80</v>
      </c>
      <c r="K2498" s="10">
        <v>50</v>
      </c>
      <c r="L2498" s="15">
        <f t="shared" ref="L2498:L2499" si="442">IFERROR(IF((K2498/J2498)&gt;1.3,1.3,K2498/J2498),"")</f>
        <v>0.625</v>
      </c>
      <c r="M2498" s="15">
        <f t="shared" ref="M2498:M2499" si="443">IFERROR(IF((K2498/J2498)&gt;K2498/J2498,1.3,K2498/J2498),"")</f>
        <v>0.625</v>
      </c>
      <c r="N2498" s="5" t="s">
        <v>417</v>
      </c>
      <c r="O2498" s="5" t="s">
        <v>417</v>
      </c>
      <c r="P2498" s="16">
        <v>0</v>
      </c>
      <c r="Q2498" s="16">
        <v>0</v>
      </c>
      <c r="R2498" s="5" t="str">
        <f t="shared" ref="R2498:R2499" si="444">A2498&amp;"-"&amp;YEAR(F2498)&amp;"-"&amp;IF(LEN(MONTH(F2498))=1,"0"&amp;MONTH(F2498),MONTH(F2498))&amp;"-"&amp;DAY(F2498)</f>
        <v>485-2025-02-28</v>
      </c>
    </row>
    <row r="2499" spans="1:18" x14ac:dyDescent="0.3">
      <c r="A2499" s="26">
        <v>485</v>
      </c>
      <c r="B2499" s="5" t="s">
        <v>744</v>
      </c>
      <c r="C2499" s="5" t="s">
        <v>45</v>
      </c>
      <c r="D2499" s="5" t="s">
        <v>18</v>
      </c>
      <c r="E2499" s="5" t="s">
        <v>9</v>
      </c>
      <c r="F2499" s="6">
        <v>45747</v>
      </c>
      <c r="G2499" s="5">
        <f t="shared" si="417"/>
        <v>2025</v>
      </c>
      <c r="H2499" s="5" t="str">
        <f t="shared" si="418"/>
        <v>Marzo</v>
      </c>
      <c r="I2499" s="6" t="str">
        <f t="shared" si="441"/>
        <v>2025-1</v>
      </c>
      <c r="J2499" s="5">
        <v>80</v>
      </c>
      <c r="K2499" s="10">
        <v>100</v>
      </c>
      <c r="L2499" s="15">
        <f t="shared" si="442"/>
        <v>1.25</v>
      </c>
      <c r="M2499" s="15">
        <f t="shared" si="443"/>
        <v>1.25</v>
      </c>
      <c r="N2499" s="5" t="s">
        <v>417</v>
      </c>
      <c r="O2499" s="5" t="s">
        <v>417</v>
      </c>
      <c r="P2499" s="16">
        <v>0</v>
      </c>
      <c r="Q2499" s="16">
        <v>0</v>
      </c>
      <c r="R2499" s="5" t="str">
        <f t="shared" si="444"/>
        <v>485-2025-03-31</v>
      </c>
    </row>
    <row r="2500" spans="1:18" x14ac:dyDescent="0.3">
      <c r="A2500" s="26">
        <v>485</v>
      </c>
      <c r="B2500" s="5" t="s">
        <v>744</v>
      </c>
      <c r="C2500" s="5" t="s">
        <v>45</v>
      </c>
      <c r="D2500" s="5" t="s">
        <v>18</v>
      </c>
      <c r="E2500" s="5" t="s">
        <v>9</v>
      </c>
      <c r="F2500" s="6">
        <v>45777</v>
      </c>
      <c r="G2500" s="5">
        <f t="shared" si="417"/>
        <v>2025</v>
      </c>
      <c r="H2500" s="5" t="str">
        <f t="shared" si="418"/>
        <v>Abril</v>
      </c>
      <c r="I2500" s="6" t="str">
        <f t="shared" ref="I2500:I2501" si="445">IF(OR(H2500="Enero",H2500="Febrero",H2500="Marzo",H2500="Abril",H2500="Mayo",H2500="Junio"),G2500&amp;"-1",IF(OR(H2500="Julio",H2500="Agosto",H2500="Septiembre",H2500="Octubre",H2500="Noviembre",H2500="Diciembre"),G2500&amp;"-2"))</f>
        <v>2025-1</v>
      </c>
      <c r="J2500" s="5">
        <v>80</v>
      </c>
      <c r="K2500" s="10">
        <v>100</v>
      </c>
      <c r="L2500" s="15">
        <f t="shared" ref="L2500:L2501" si="446">IFERROR(IF((K2500/J2500)&gt;1.3,1.3,K2500/J2500),"")</f>
        <v>1.25</v>
      </c>
      <c r="M2500" s="15">
        <f t="shared" ref="M2500:M2501" si="447">IFERROR(IF((K2500/J2500)&gt;K2500/J2500,1.3,K2500/J2500),"")</f>
        <v>1.25</v>
      </c>
      <c r="N2500" s="5" t="s">
        <v>417</v>
      </c>
      <c r="O2500" s="5" t="s">
        <v>417</v>
      </c>
      <c r="P2500" s="16">
        <v>0</v>
      </c>
      <c r="Q2500" s="16">
        <v>0</v>
      </c>
      <c r="R2500" s="5" t="str">
        <f t="shared" ref="R2500:R2501" si="448">A2500&amp;"-"&amp;YEAR(F2500)&amp;"-"&amp;IF(LEN(MONTH(F2500))=1,"0"&amp;MONTH(F2500),MONTH(F2500))&amp;"-"&amp;DAY(F2500)</f>
        <v>485-2025-04-30</v>
      </c>
    </row>
    <row r="2501" spans="1:18" x14ac:dyDescent="0.3">
      <c r="A2501" s="26">
        <v>485</v>
      </c>
      <c r="B2501" s="5" t="s">
        <v>744</v>
      </c>
      <c r="C2501" s="5" t="s">
        <v>45</v>
      </c>
      <c r="D2501" s="5" t="s">
        <v>18</v>
      </c>
      <c r="E2501" s="5" t="s">
        <v>9</v>
      </c>
      <c r="F2501" s="6">
        <v>45808</v>
      </c>
      <c r="G2501" s="5">
        <f t="shared" si="417"/>
        <v>2025</v>
      </c>
      <c r="H2501" s="5" t="str">
        <f t="shared" si="418"/>
        <v>Mayo</v>
      </c>
      <c r="I2501" s="6" t="str">
        <f t="shared" si="445"/>
        <v>2025-1</v>
      </c>
      <c r="J2501" s="5">
        <v>80</v>
      </c>
      <c r="K2501" s="10">
        <v>100</v>
      </c>
      <c r="L2501" s="15">
        <f t="shared" si="446"/>
        <v>1.25</v>
      </c>
      <c r="M2501" s="15">
        <f t="shared" si="447"/>
        <v>1.25</v>
      </c>
      <c r="N2501" s="5" t="s">
        <v>417</v>
      </c>
      <c r="O2501" s="5" t="s">
        <v>417</v>
      </c>
      <c r="P2501" s="16">
        <v>0</v>
      </c>
      <c r="Q2501" s="16">
        <v>0</v>
      </c>
      <c r="R2501" s="5" t="str">
        <f t="shared" si="448"/>
        <v>485-2025-05-31</v>
      </c>
    </row>
    <row r="2502" spans="1:18" x14ac:dyDescent="0.3">
      <c r="A2502" s="26">
        <v>485</v>
      </c>
      <c r="B2502" s="5" t="s">
        <v>744</v>
      </c>
      <c r="C2502" s="5" t="s">
        <v>45</v>
      </c>
      <c r="D2502" s="5" t="s">
        <v>18</v>
      </c>
      <c r="E2502" s="5" t="s">
        <v>9</v>
      </c>
      <c r="F2502" s="6">
        <v>45838</v>
      </c>
      <c r="G2502" s="5">
        <f t="shared" si="417"/>
        <v>2025</v>
      </c>
      <c r="H2502" s="5" t="str">
        <f t="shared" si="418"/>
        <v>Junio</v>
      </c>
      <c r="I2502" s="6" t="str">
        <f t="shared" ref="I2502" si="449">IF(OR(H2502="Enero",H2502="Febrero",H2502="Marzo",H2502="Abril",H2502="Mayo",H2502="Junio"),G2502&amp;"-1",IF(OR(H2502="Julio",H2502="Agosto",H2502="Septiembre",H2502="Octubre",H2502="Noviembre",H2502="Diciembre"),G2502&amp;"-2"))</f>
        <v>2025-1</v>
      </c>
      <c r="J2502" s="5">
        <v>80</v>
      </c>
      <c r="K2502" s="10">
        <v>66.67</v>
      </c>
      <c r="L2502" s="15">
        <f t="shared" ref="L2502" si="450">IFERROR(IF((K2502/J2502)&gt;1.3,1.3,K2502/J2502),"")</f>
        <v>0.83337499999999998</v>
      </c>
      <c r="M2502" s="15">
        <f t="shared" ref="M2502" si="451">IFERROR(IF((K2502/J2502)&gt;K2502/J2502,1.3,K2502/J2502),"")</f>
        <v>0.83337499999999998</v>
      </c>
      <c r="N2502" s="5" t="s">
        <v>417</v>
      </c>
      <c r="O2502" s="5" t="s">
        <v>417</v>
      </c>
      <c r="P2502" s="16">
        <v>0</v>
      </c>
      <c r="Q2502" s="16">
        <v>0</v>
      </c>
      <c r="R2502" s="5" t="str">
        <f t="shared" ref="R2502" si="452">A2502&amp;"-"&amp;YEAR(F2502)&amp;"-"&amp;IF(LEN(MONTH(F2502))=1,"0"&amp;MONTH(F2502),MONTH(F2502))&amp;"-"&amp;DAY(F2502)</f>
        <v>485-2025-06-30</v>
      </c>
    </row>
    <row r="2503" spans="1:18" x14ac:dyDescent="0.3">
      <c r="A2503" s="26">
        <v>485</v>
      </c>
      <c r="B2503" s="5" t="s">
        <v>744</v>
      </c>
      <c r="C2503" s="5" t="s">
        <v>45</v>
      </c>
      <c r="D2503" s="5" t="s">
        <v>18</v>
      </c>
      <c r="E2503" s="5" t="s">
        <v>9</v>
      </c>
      <c r="F2503" s="6">
        <v>45869</v>
      </c>
      <c r="G2503" s="5">
        <f t="shared" si="417"/>
        <v>2025</v>
      </c>
      <c r="H2503" s="5" t="str">
        <f t="shared" si="418"/>
        <v>Julio</v>
      </c>
      <c r="I2503" s="6" t="str">
        <f t="shared" ref="I2503:I2507" si="453">IF(OR(H2503="Enero",H2503="Febrero",H2503="Marzo",H2503="Abril",H2503="Mayo",H2503="Junio"),G2503&amp;"-1",IF(OR(H2503="Julio",H2503="Agosto",H2503="Septiembre",H2503="Octubre",H2503="Noviembre",H2503="Diciembre"),G2503&amp;"-2"))</f>
        <v>2025-2</v>
      </c>
      <c r="J2503" s="5">
        <v>80</v>
      </c>
      <c r="K2503" s="10">
        <v>66.67</v>
      </c>
      <c r="L2503" s="15">
        <f t="shared" ref="L2503" si="454">IFERROR(IF((K2503/J2503)&gt;1.3,1.3,K2503/J2503),"")</f>
        <v>0.83337499999999998</v>
      </c>
      <c r="M2503" s="15">
        <f t="shared" ref="M2503" si="455">IFERROR(IF((K2503/J2503)&gt;K2503/J2503,1.3,K2503/J2503),"")</f>
        <v>0.83337499999999998</v>
      </c>
      <c r="N2503" s="5" t="s">
        <v>417</v>
      </c>
      <c r="O2503" s="5" t="s">
        <v>417</v>
      </c>
      <c r="P2503" s="16">
        <v>0</v>
      </c>
      <c r="Q2503" s="16">
        <v>0</v>
      </c>
      <c r="R2503" s="5" t="str">
        <f t="shared" ref="R2503:R2507" si="456">A2503&amp;"-"&amp;YEAR(F2503)&amp;"-"&amp;IF(LEN(MONTH(F2503))=1,"0"&amp;MONTH(F2503),MONTH(F2503))&amp;"-"&amp;DAY(F2503)</f>
        <v>485-2025-07-31</v>
      </c>
    </row>
    <row r="2504" spans="1:18" x14ac:dyDescent="0.3">
      <c r="A2504" s="26">
        <v>468</v>
      </c>
      <c r="B2504" s="5" t="s">
        <v>527</v>
      </c>
      <c r="C2504" s="5" t="s">
        <v>160</v>
      </c>
      <c r="D2504" s="5" t="s">
        <v>8</v>
      </c>
      <c r="E2504" s="5" t="s">
        <v>14</v>
      </c>
      <c r="F2504" s="6">
        <v>45838</v>
      </c>
      <c r="G2504" s="5">
        <f t="shared" si="417"/>
        <v>2025</v>
      </c>
      <c r="H2504" s="5" t="str">
        <f t="shared" si="418"/>
        <v>Junio</v>
      </c>
      <c r="I2504" s="6" t="str">
        <f t="shared" si="453"/>
        <v>2025-1</v>
      </c>
      <c r="J2504" s="5">
        <v>2.5</v>
      </c>
      <c r="K2504" s="10">
        <v>2.4</v>
      </c>
      <c r="L2504" s="15">
        <f>J2504/K2504</f>
        <v>1.0416666666666667</v>
      </c>
      <c r="M2504" s="15">
        <f>+J2504/K2504</f>
        <v>1.0416666666666667</v>
      </c>
      <c r="N2504" s="5" t="s">
        <v>478</v>
      </c>
      <c r="O2504" s="5" t="s">
        <v>478</v>
      </c>
      <c r="P2504" s="16">
        <v>1</v>
      </c>
      <c r="Q2504" s="16">
        <v>1</v>
      </c>
      <c r="R2504" s="5" t="str">
        <f t="shared" si="456"/>
        <v>468-2025-06-30</v>
      </c>
    </row>
    <row r="2505" spans="1:18" x14ac:dyDescent="0.3">
      <c r="A2505" s="26">
        <v>467</v>
      </c>
      <c r="B2505" s="5" t="s">
        <v>526</v>
      </c>
      <c r="C2505" s="5" t="s">
        <v>160</v>
      </c>
      <c r="D2505" s="5" t="s">
        <v>8</v>
      </c>
      <c r="E2505" s="5" t="s">
        <v>9</v>
      </c>
      <c r="F2505" s="6">
        <v>45838</v>
      </c>
      <c r="G2505" s="5">
        <f t="shared" si="417"/>
        <v>2025</v>
      </c>
      <c r="H2505" s="5" t="str">
        <f t="shared" si="418"/>
        <v>Junio</v>
      </c>
      <c r="I2505" s="6" t="str">
        <f t="shared" si="453"/>
        <v>2025-1</v>
      </c>
      <c r="J2505" s="5">
        <v>60</v>
      </c>
      <c r="K2505" s="10">
        <v>70.8</v>
      </c>
      <c r="L2505" s="15">
        <f t="shared" ref="L2505:L2516" si="457">IFERROR(IF((K2505/J2505)&gt;1.3,1.3,K2505/J2505),"")</f>
        <v>1.18</v>
      </c>
      <c r="M2505" s="15">
        <f t="shared" ref="M2505:M2516" si="458">IFERROR(IF((K2505/J2505)&gt;K2505/J2505,1.3,K2505/J2505),"")</f>
        <v>1.18</v>
      </c>
      <c r="N2505" s="5" t="s">
        <v>490</v>
      </c>
      <c r="O2505" s="5" t="s">
        <v>478</v>
      </c>
      <c r="P2505" s="16">
        <v>0</v>
      </c>
      <c r="Q2505" s="16">
        <v>1</v>
      </c>
      <c r="R2505" s="5" t="str">
        <f t="shared" si="456"/>
        <v>467-2025-06-30</v>
      </c>
    </row>
    <row r="2506" spans="1:18" x14ac:dyDescent="0.3">
      <c r="A2506" s="26">
        <v>466</v>
      </c>
      <c r="B2506" s="5" t="s">
        <v>525</v>
      </c>
      <c r="C2506" s="5" t="s">
        <v>160</v>
      </c>
      <c r="D2506" s="5" t="s">
        <v>8</v>
      </c>
      <c r="E2506" s="5" t="s">
        <v>9</v>
      </c>
      <c r="F2506" s="6">
        <v>45838</v>
      </c>
      <c r="G2506" s="5">
        <f t="shared" si="417"/>
        <v>2025</v>
      </c>
      <c r="H2506" s="5" t="str">
        <f t="shared" si="418"/>
        <v>Junio</v>
      </c>
      <c r="I2506" s="6" t="str">
        <f t="shared" si="453"/>
        <v>2025-1</v>
      </c>
      <c r="J2506" s="5">
        <v>50</v>
      </c>
      <c r="K2506" s="10">
        <v>48</v>
      </c>
      <c r="L2506" s="15">
        <f t="shared" si="457"/>
        <v>0.96</v>
      </c>
      <c r="M2506" s="15">
        <f t="shared" si="458"/>
        <v>0.96</v>
      </c>
      <c r="N2506" s="5" t="s">
        <v>490</v>
      </c>
      <c r="O2506" s="5" t="s">
        <v>490</v>
      </c>
      <c r="P2506" s="16">
        <v>0</v>
      </c>
      <c r="Q2506" s="16">
        <v>0</v>
      </c>
      <c r="R2506" s="5" t="str">
        <f t="shared" si="456"/>
        <v>466-2025-06-30</v>
      </c>
    </row>
    <row r="2507" spans="1:18" x14ac:dyDescent="0.3">
      <c r="A2507" s="26">
        <v>457</v>
      </c>
      <c r="B2507" s="5" t="s">
        <v>521</v>
      </c>
      <c r="C2507" s="5" t="s">
        <v>320</v>
      </c>
      <c r="D2507" s="5" t="s">
        <v>8</v>
      </c>
      <c r="E2507" s="5" t="s">
        <v>9</v>
      </c>
      <c r="F2507" s="6">
        <v>45747</v>
      </c>
      <c r="G2507" s="5">
        <f t="shared" si="417"/>
        <v>2025</v>
      </c>
      <c r="H2507" s="5" t="str">
        <f t="shared" si="418"/>
        <v>Marzo</v>
      </c>
      <c r="I2507" s="6" t="str">
        <f t="shared" si="453"/>
        <v>2025-1</v>
      </c>
      <c r="J2507" s="5">
        <v>100</v>
      </c>
      <c r="K2507" s="10">
        <v>200</v>
      </c>
      <c r="L2507" s="15">
        <f t="shared" si="457"/>
        <v>1.3</v>
      </c>
      <c r="M2507" s="15">
        <f t="shared" si="458"/>
        <v>2</v>
      </c>
      <c r="N2507" s="5" t="s">
        <v>347</v>
      </c>
      <c r="O2507" s="5" t="s">
        <v>347</v>
      </c>
      <c r="P2507" s="16">
        <v>0</v>
      </c>
      <c r="Q2507" s="16">
        <v>0</v>
      </c>
      <c r="R2507" s="5" t="str">
        <f t="shared" si="456"/>
        <v>457-2025-03-31</v>
      </c>
    </row>
    <row r="2508" spans="1:18" x14ac:dyDescent="0.3">
      <c r="A2508" s="26">
        <v>457</v>
      </c>
      <c r="B2508" s="5" t="s">
        <v>521</v>
      </c>
      <c r="C2508" s="5" t="s">
        <v>320</v>
      </c>
      <c r="D2508" s="5" t="s">
        <v>8</v>
      </c>
      <c r="E2508" s="5" t="s">
        <v>9</v>
      </c>
      <c r="F2508" s="6">
        <v>45838</v>
      </c>
      <c r="G2508" s="5">
        <f t="shared" si="417"/>
        <v>2025</v>
      </c>
      <c r="H2508" s="5" t="str">
        <f t="shared" si="418"/>
        <v>Junio</v>
      </c>
      <c r="I2508" s="6" t="str">
        <f t="shared" ref="I2508:I2509" si="459">IF(OR(H2508="Enero",H2508="Febrero",H2508="Marzo",H2508="Abril",H2508="Mayo",H2508="Junio"),G2508&amp;"-1",IF(OR(H2508="Julio",H2508="Agosto",H2508="Septiembre",H2508="Octubre",H2508="Noviembre",H2508="Diciembre"),G2508&amp;"-2"))</f>
        <v>2025-1</v>
      </c>
      <c r="J2508" s="5">
        <v>100</v>
      </c>
      <c r="K2508" s="10">
        <v>83.33</v>
      </c>
      <c r="L2508" s="15">
        <f t="shared" si="457"/>
        <v>0.83329999999999993</v>
      </c>
      <c r="M2508" s="15">
        <f t="shared" si="458"/>
        <v>0.83329999999999993</v>
      </c>
      <c r="N2508" s="5" t="s">
        <v>347</v>
      </c>
      <c r="O2508" s="5" t="s">
        <v>347</v>
      </c>
      <c r="P2508" s="16">
        <v>0</v>
      </c>
      <c r="Q2508" s="16">
        <v>0</v>
      </c>
      <c r="R2508" s="5" t="str">
        <f t="shared" ref="R2508:R2509" si="460">A2508&amp;"-"&amp;YEAR(F2508)&amp;"-"&amp;IF(LEN(MONTH(F2508))=1,"0"&amp;MONTH(F2508),MONTH(F2508))&amp;"-"&amp;DAY(F2508)</f>
        <v>457-2025-06-30</v>
      </c>
    </row>
    <row r="2509" spans="1:18" x14ac:dyDescent="0.3">
      <c r="A2509" s="26">
        <v>456</v>
      </c>
      <c r="B2509" s="5" t="s">
        <v>520</v>
      </c>
      <c r="C2509" s="5" t="s">
        <v>320</v>
      </c>
      <c r="D2509" s="5" t="s">
        <v>8</v>
      </c>
      <c r="E2509" s="5" t="s">
        <v>9</v>
      </c>
      <c r="F2509" s="6">
        <v>45747</v>
      </c>
      <c r="G2509" s="5">
        <f t="shared" si="417"/>
        <v>2025</v>
      </c>
      <c r="H2509" s="5" t="str">
        <f t="shared" si="418"/>
        <v>Marzo</v>
      </c>
      <c r="I2509" s="6" t="str">
        <f t="shared" si="459"/>
        <v>2025-1</v>
      </c>
      <c r="J2509" s="5">
        <v>100</v>
      </c>
      <c r="K2509" s="10">
        <v>106.25</v>
      </c>
      <c r="L2509" s="15">
        <f t="shared" si="457"/>
        <v>1.0625</v>
      </c>
      <c r="M2509" s="15">
        <f t="shared" si="458"/>
        <v>1.0625</v>
      </c>
      <c r="N2509" s="5" t="s">
        <v>347</v>
      </c>
      <c r="O2509" s="5" t="s">
        <v>347</v>
      </c>
      <c r="P2509" s="16">
        <v>0</v>
      </c>
      <c r="Q2509" s="16">
        <v>0</v>
      </c>
      <c r="R2509" s="5" t="str">
        <f t="shared" si="460"/>
        <v>456-2025-03-31</v>
      </c>
    </row>
    <row r="2510" spans="1:18" x14ac:dyDescent="0.3">
      <c r="A2510" s="26">
        <v>456</v>
      </c>
      <c r="B2510" s="5" t="s">
        <v>520</v>
      </c>
      <c r="C2510" s="5" t="s">
        <v>320</v>
      </c>
      <c r="D2510" s="5" t="s">
        <v>8</v>
      </c>
      <c r="E2510" s="5" t="s">
        <v>9</v>
      </c>
      <c r="F2510" s="6">
        <v>45838</v>
      </c>
      <c r="G2510" s="5">
        <f t="shared" si="417"/>
        <v>2025</v>
      </c>
      <c r="H2510" s="5" t="str">
        <f t="shared" si="418"/>
        <v>Junio</v>
      </c>
      <c r="I2510" s="6" t="str">
        <f t="shared" ref="I2510" si="461">IF(OR(H2510="Enero",H2510="Febrero",H2510="Marzo",H2510="Abril",H2510="Mayo",H2510="Junio"),G2510&amp;"-1",IF(OR(H2510="Julio",H2510="Agosto",H2510="Septiembre",H2510="Octubre",H2510="Noviembre",H2510="Diciembre"),G2510&amp;"-2"))</f>
        <v>2025-1</v>
      </c>
      <c r="J2510" s="5">
        <v>100</v>
      </c>
      <c r="K2510" s="10">
        <v>104.12</v>
      </c>
      <c r="L2510" s="15">
        <f t="shared" si="457"/>
        <v>1.0412000000000001</v>
      </c>
      <c r="M2510" s="15">
        <f t="shared" si="458"/>
        <v>1.0412000000000001</v>
      </c>
      <c r="N2510" s="5" t="s">
        <v>347</v>
      </c>
      <c r="O2510" s="5" t="s">
        <v>347</v>
      </c>
      <c r="P2510" s="16">
        <v>0</v>
      </c>
      <c r="Q2510" s="16">
        <v>0</v>
      </c>
      <c r="R2510" s="5" t="str">
        <f t="shared" ref="R2510" si="462">A2510&amp;"-"&amp;YEAR(F2510)&amp;"-"&amp;IF(LEN(MONTH(F2510))=1,"0"&amp;MONTH(F2510),MONTH(F2510))&amp;"-"&amp;DAY(F2510)</f>
        <v>456-2025-06-30</v>
      </c>
    </row>
    <row r="2511" spans="1:18" x14ac:dyDescent="0.3">
      <c r="A2511" s="26">
        <v>455</v>
      </c>
      <c r="B2511" s="5" t="s">
        <v>519</v>
      </c>
      <c r="C2511" s="5" t="s">
        <v>506</v>
      </c>
      <c r="D2511" s="5" t="s">
        <v>11</v>
      </c>
      <c r="E2511" s="5" t="s">
        <v>9</v>
      </c>
      <c r="F2511" s="6">
        <v>45838</v>
      </c>
      <c r="G2511" s="5">
        <f t="shared" si="417"/>
        <v>2025</v>
      </c>
      <c r="H2511" s="5" t="str">
        <f t="shared" si="418"/>
        <v>Junio</v>
      </c>
      <c r="I2511" s="6" t="str">
        <f t="shared" ref="I2511:I2512" si="463">IF(OR(H2511="Enero",H2511="Febrero",H2511="Marzo",H2511="Abril",H2511="Mayo",H2511="Junio"),G2511&amp;"-1",IF(OR(H2511="Julio",H2511="Agosto",H2511="Septiembre",H2511="Octubre",H2511="Noviembre",H2511="Diciembre"),G2511&amp;"-2"))</f>
        <v>2025-1</v>
      </c>
      <c r="J2511" s="5">
        <v>100</v>
      </c>
      <c r="K2511" s="10">
        <v>100</v>
      </c>
      <c r="L2511" s="15">
        <f t="shared" si="457"/>
        <v>1</v>
      </c>
      <c r="M2511" s="15">
        <f t="shared" si="458"/>
        <v>1</v>
      </c>
      <c r="N2511" s="5" t="s">
        <v>347</v>
      </c>
      <c r="O2511" s="5" t="s">
        <v>347</v>
      </c>
      <c r="P2511" s="16">
        <v>0</v>
      </c>
      <c r="Q2511" s="16">
        <v>0</v>
      </c>
      <c r="R2511" s="5" t="str">
        <f t="shared" ref="R2511:R2512" si="464">A2511&amp;"-"&amp;YEAR(F2511)&amp;"-"&amp;IF(LEN(MONTH(F2511))=1,"0"&amp;MONTH(F2511),MONTH(F2511))&amp;"-"&amp;DAY(F2511)</f>
        <v>455-2025-06-30</v>
      </c>
    </row>
    <row r="2512" spans="1:18" x14ac:dyDescent="0.3">
      <c r="A2512" s="26">
        <v>453</v>
      </c>
      <c r="B2512" s="5" t="s">
        <v>517</v>
      </c>
      <c r="C2512" s="5" t="s">
        <v>506</v>
      </c>
      <c r="D2512" s="5" t="s">
        <v>11</v>
      </c>
      <c r="E2512" s="5" t="s">
        <v>9</v>
      </c>
      <c r="F2512" s="6">
        <v>45747</v>
      </c>
      <c r="G2512" s="5">
        <f t="shared" si="417"/>
        <v>2025</v>
      </c>
      <c r="H2512" s="5" t="str">
        <f t="shared" si="418"/>
        <v>Marzo</v>
      </c>
      <c r="I2512" s="6" t="str">
        <f t="shared" si="463"/>
        <v>2025-1</v>
      </c>
      <c r="J2512" s="5">
        <v>25</v>
      </c>
      <c r="K2512" s="10">
        <v>12</v>
      </c>
      <c r="L2512" s="15">
        <f t="shared" si="457"/>
        <v>0.48</v>
      </c>
      <c r="M2512" s="15">
        <f t="shared" si="458"/>
        <v>0.48</v>
      </c>
      <c r="N2512" s="5"/>
      <c r="O2512" s="5"/>
      <c r="P2512" s="16">
        <v>0</v>
      </c>
      <c r="Q2512" s="16">
        <v>0</v>
      </c>
      <c r="R2512" s="5" t="str">
        <f t="shared" si="464"/>
        <v>453-2025-03-31</v>
      </c>
    </row>
    <row r="2513" spans="1:18" x14ac:dyDescent="0.3">
      <c r="A2513" s="26">
        <v>453</v>
      </c>
      <c r="B2513" s="5" t="s">
        <v>517</v>
      </c>
      <c r="C2513" s="5" t="s">
        <v>506</v>
      </c>
      <c r="D2513" s="5" t="s">
        <v>11</v>
      </c>
      <c r="E2513" s="5" t="s">
        <v>9</v>
      </c>
      <c r="F2513" s="6">
        <v>45838</v>
      </c>
      <c r="G2513" s="5">
        <f t="shared" si="417"/>
        <v>2025</v>
      </c>
      <c r="H2513" s="5" t="str">
        <f t="shared" si="418"/>
        <v>Junio</v>
      </c>
      <c r="I2513" s="6" t="str">
        <f t="shared" ref="I2513:I2520" si="465">IF(OR(H2513="Enero",H2513="Febrero",H2513="Marzo",H2513="Abril",H2513="Mayo",H2513="Junio"),G2513&amp;"-1",IF(OR(H2513="Julio",H2513="Agosto",H2513="Septiembre",H2513="Octubre",H2513="Noviembre",H2513="Diciembre"),G2513&amp;"-2"))</f>
        <v>2025-1</v>
      </c>
      <c r="J2513" s="5">
        <v>50</v>
      </c>
      <c r="K2513" s="10">
        <v>50</v>
      </c>
      <c r="L2513" s="15">
        <f t="shared" si="457"/>
        <v>1</v>
      </c>
      <c r="M2513" s="15">
        <f t="shared" si="458"/>
        <v>1</v>
      </c>
      <c r="N2513" s="5"/>
      <c r="O2513" s="5"/>
      <c r="P2513" s="16">
        <v>0</v>
      </c>
      <c r="Q2513" s="16">
        <v>0</v>
      </c>
      <c r="R2513" s="5" t="str">
        <f t="shared" ref="R2513:R2520" si="466">A2513&amp;"-"&amp;YEAR(F2513)&amp;"-"&amp;IF(LEN(MONTH(F2513))=1,"0"&amp;MONTH(F2513),MONTH(F2513))&amp;"-"&amp;DAY(F2513)</f>
        <v>453-2025-06-30</v>
      </c>
    </row>
    <row r="2514" spans="1:18" x14ac:dyDescent="0.3">
      <c r="A2514" s="26">
        <v>451</v>
      </c>
      <c r="B2514" s="5" t="s">
        <v>515</v>
      </c>
      <c r="C2514" s="5" t="s">
        <v>285</v>
      </c>
      <c r="D2514" s="5" t="s">
        <v>8</v>
      </c>
      <c r="E2514" s="5" t="s">
        <v>9</v>
      </c>
      <c r="F2514" s="6">
        <v>45838</v>
      </c>
      <c r="G2514" s="5">
        <f t="shared" si="417"/>
        <v>2025</v>
      </c>
      <c r="H2514" s="5" t="str">
        <f t="shared" si="418"/>
        <v>Junio</v>
      </c>
      <c r="I2514" s="6" t="str">
        <f t="shared" si="465"/>
        <v>2025-1</v>
      </c>
      <c r="J2514" s="5">
        <v>50</v>
      </c>
      <c r="K2514" s="10">
        <v>59.75</v>
      </c>
      <c r="L2514" s="15">
        <f t="shared" si="457"/>
        <v>1.1950000000000001</v>
      </c>
      <c r="M2514" s="15">
        <f t="shared" si="458"/>
        <v>1.1950000000000001</v>
      </c>
      <c r="N2514" s="5"/>
      <c r="O2514" s="5"/>
      <c r="P2514" s="16">
        <v>0</v>
      </c>
      <c r="Q2514" s="16">
        <v>0</v>
      </c>
      <c r="R2514" s="5" t="str">
        <f t="shared" si="466"/>
        <v>451-2025-06-30</v>
      </c>
    </row>
    <row r="2515" spans="1:18" x14ac:dyDescent="0.3">
      <c r="A2515" s="26">
        <v>448</v>
      </c>
      <c r="B2515" s="5" t="s">
        <v>513</v>
      </c>
      <c r="C2515" s="5" t="s">
        <v>55</v>
      </c>
      <c r="D2515" s="5" t="s">
        <v>8</v>
      </c>
      <c r="E2515" s="5" t="s">
        <v>9</v>
      </c>
      <c r="F2515" s="6">
        <v>45838</v>
      </c>
      <c r="G2515" s="5">
        <f t="shared" si="417"/>
        <v>2025</v>
      </c>
      <c r="H2515" s="5" t="str">
        <f t="shared" si="418"/>
        <v>Junio</v>
      </c>
      <c r="I2515" s="6" t="str">
        <f t="shared" si="465"/>
        <v>2025-1</v>
      </c>
      <c r="J2515" s="5">
        <v>17</v>
      </c>
      <c r="K2515" s="10">
        <v>18.73</v>
      </c>
      <c r="L2515" s="15">
        <f t="shared" si="457"/>
        <v>1.101764705882353</v>
      </c>
      <c r="M2515" s="15">
        <f t="shared" si="458"/>
        <v>1.101764705882353</v>
      </c>
      <c r="N2515" s="5" t="s">
        <v>347</v>
      </c>
      <c r="O2515" s="5" t="s">
        <v>347</v>
      </c>
      <c r="P2515" s="16">
        <v>0</v>
      </c>
      <c r="Q2515" s="16">
        <v>0</v>
      </c>
      <c r="R2515" s="5" t="str">
        <f t="shared" si="466"/>
        <v>448-2025-06-30</v>
      </c>
    </row>
    <row r="2516" spans="1:18" x14ac:dyDescent="0.3">
      <c r="A2516" s="26">
        <v>447</v>
      </c>
      <c r="B2516" s="5" t="s">
        <v>512</v>
      </c>
      <c r="C2516" s="5" t="s">
        <v>55</v>
      </c>
      <c r="D2516" s="5" t="s">
        <v>8</v>
      </c>
      <c r="E2516" s="5" t="s">
        <v>9</v>
      </c>
      <c r="F2516" s="6">
        <v>45838</v>
      </c>
      <c r="G2516" s="5">
        <f t="shared" si="417"/>
        <v>2025</v>
      </c>
      <c r="H2516" s="5" t="str">
        <f t="shared" si="418"/>
        <v>Junio</v>
      </c>
      <c r="I2516" s="6" t="str">
        <f t="shared" si="465"/>
        <v>2025-1</v>
      </c>
      <c r="J2516" s="5">
        <v>15</v>
      </c>
      <c r="K2516" s="10">
        <v>16.54</v>
      </c>
      <c r="L2516" s="15">
        <f t="shared" si="457"/>
        <v>1.1026666666666667</v>
      </c>
      <c r="M2516" s="15">
        <f t="shared" si="458"/>
        <v>1.1026666666666667</v>
      </c>
      <c r="N2516" s="5" t="s">
        <v>347</v>
      </c>
      <c r="O2516" s="5" t="s">
        <v>347</v>
      </c>
      <c r="P2516" s="16">
        <v>0</v>
      </c>
      <c r="Q2516" s="16">
        <v>0</v>
      </c>
      <c r="R2516" s="5" t="str">
        <f t="shared" si="466"/>
        <v>447-2025-06-30</v>
      </c>
    </row>
    <row r="2517" spans="1:18" x14ac:dyDescent="0.3">
      <c r="A2517" s="26">
        <v>444</v>
      </c>
      <c r="B2517" s="5" t="s">
        <v>511</v>
      </c>
      <c r="C2517" s="5" t="s">
        <v>126</v>
      </c>
      <c r="D2517" s="5" t="s">
        <v>8</v>
      </c>
      <c r="E2517" s="5" t="s">
        <v>9</v>
      </c>
      <c r="F2517" s="6">
        <v>45838</v>
      </c>
      <c r="G2517" s="5">
        <f t="shared" ref="G2517:G2551" si="467">YEAR(F2517)</f>
        <v>2025</v>
      </c>
      <c r="H2517" s="5" t="str">
        <f t="shared" ref="H2517:H2551" si="468">PROPER(TEXT(F2517,"mmmm"))</f>
        <v>Junio</v>
      </c>
      <c r="I2517" s="6" t="str">
        <f t="shared" si="465"/>
        <v>2025-1</v>
      </c>
      <c r="J2517" s="5">
        <v>3</v>
      </c>
      <c r="K2517" s="10">
        <v>1.6</v>
      </c>
      <c r="L2517" s="15">
        <f>+J2517/K2517</f>
        <v>1.875</v>
      </c>
      <c r="M2517" s="15">
        <f>+J2517/K2517</f>
        <v>1.875</v>
      </c>
      <c r="N2517" s="5" t="s">
        <v>478</v>
      </c>
      <c r="O2517" s="5" t="s">
        <v>478</v>
      </c>
      <c r="P2517" s="16">
        <v>0</v>
      </c>
      <c r="Q2517" s="16">
        <v>1</v>
      </c>
      <c r="R2517" s="5" t="str">
        <f t="shared" si="466"/>
        <v>444-2025-06-30</v>
      </c>
    </row>
    <row r="2518" spans="1:18" x14ac:dyDescent="0.3">
      <c r="A2518" s="26">
        <v>440</v>
      </c>
      <c r="B2518" s="5" t="s">
        <v>468</v>
      </c>
      <c r="C2518" s="5" t="s">
        <v>762</v>
      </c>
      <c r="D2518" s="5" t="s">
        <v>8</v>
      </c>
      <c r="E2518" s="5" t="s">
        <v>9</v>
      </c>
      <c r="F2518" s="6">
        <v>45838</v>
      </c>
      <c r="G2518" s="5">
        <f t="shared" si="467"/>
        <v>2025</v>
      </c>
      <c r="H2518" s="5" t="str">
        <f t="shared" si="468"/>
        <v>Junio</v>
      </c>
      <c r="I2518" s="6" t="str">
        <f t="shared" si="465"/>
        <v>2025-1</v>
      </c>
      <c r="J2518" s="5">
        <v>98</v>
      </c>
      <c r="K2518" s="10">
        <v>99.77</v>
      </c>
      <c r="L2518" s="15">
        <f t="shared" ref="L2518" si="469">IFERROR(IF((K2518/J2518)&gt;1.3,1.3,K2518/J2518),"")</f>
        <v>1.018061224489796</v>
      </c>
      <c r="M2518" s="15">
        <f t="shared" ref="M2518" si="470">IFERROR(IF((K2518/J2518)&gt;K2518/J2518,1.3,K2518/J2518),"")</f>
        <v>1.018061224489796</v>
      </c>
      <c r="N2518" s="5" t="s">
        <v>347</v>
      </c>
      <c r="O2518" s="5" t="s">
        <v>347</v>
      </c>
      <c r="P2518" s="16">
        <v>0</v>
      </c>
      <c r="Q2518" s="16">
        <v>1</v>
      </c>
      <c r="R2518" s="5" t="str">
        <f t="shared" si="466"/>
        <v>440-2025-06-30</v>
      </c>
    </row>
    <row r="2519" spans="1:18" x14ac:dyDescent="0.3">
      <c r="A2519" s="26">
        <v>439</v>
      </c>
      <c r="B2519" s="5" t="s">
        <v>467</v>
      </c>
      <c r="C2519" s="5" t="s">
        <v>762</v>
      </c>
      <c r="D2519" s="5" t="s">
        <v>8</v>
      </c>
      <c r="E2519" s="5" t="s">
        <v>9</v>
      </c>
      <c r="F2519" s="6">
        <v>45838</v>
      </c>
      <c r="G2519" s="5">
        <f t="shared" si="467"/>
        <v>2025</v>
      </c>
      <c r="H2519" s="5" t="str">
        <f t="shared" si="468"/>
        <v>Junio</v>
      </c>
      <c r="I2519" s="6" t="str">
        <f t="shared" si="465"/>
        <v>2025-1</v>
      </c>
      <c r="J2519" s="5">
        <v>100</v>
      </c>
      <c r="K2519" s="10">
        <v>100</v>
      </c>
      <c r="L2519" s="15">
        <f>IFERROR(IF((K2519/J2519)&gt;1.3,1.3,K2519/J2519),"")</f>
        <v>1</v>
      </c>
      <c r="M2519" s="15">
        <f>IFERROR(IF((K2519/J2519)&gt;K2519/J2519,1.3,K2519/J2519),"")</f>
        <v>1</v>
      </c>
      <c r="N2519" s="5" t="s">
        <v>347</v>
      </c>
      <c r="O2519" s="5" t="s">
        <v>347</v>
      </c>
      <c r="P2519" s="16">
        <v>0</v>
      </c>
      <c r="Q2519" s="16">
        <v>0</v>
      </c>
      <c r="R2519" s="5" t="str">
        <f t="shared" si="466"/>
        <v>439-2025-06-30</v>
      </c>
    </row>
    <row r="2520" spans="1:18" x14ac:dyDescent="0.3">
      <c r="A2520" s="26">
        <v>436</v>
      </c>
      <c r="B2520" s="5" t="s">
        <v>69</v>
      </c>
      <c r="C2520" s="5" t="s">
        <v>45</v>
      </c>
      <c r="D2520" s="5" t="s">
        <v>18</v>
      </c>
      <c r="E2520" s="5" t="s">
        <v>14</v>
      </c>
      <c r="F2520" s="6">
        <v>45688</v>
      </c>
      <c r="G2520" s="5">
        <f t="shared" si="467"/>
        <v>2025</v>
      </c>
      <c r="H2520" s="5" t="str">
        <f t="shared" si="468"/>
        <v>Enero</v>
      </c>
      <c r="I2520" s="6" t="str">
        <f t="shared" si="465"/>
        <v>2025-1</v>
      </c>
      <c r="J2520" s="5">
        <v>14</v>
      </c>
      <c r="K2520" s="10">
        <v>9.1999999999999993</v>
      </c>
      <c r="L2520" s="15">
        <f t="shared" ref="L2520:L2527" si="471">IFERROR(IF((J2520/K2520)&gt;1.3,1.3,J2520/K2520),"")</f>
        <v>1.3</v>
      </c>
      <c r="M2520" s="8">
        <f t="shared" ref="M2520:M2527" si="472">IFERROR(J2520/K2520,"")</f>
        <v>1.5217391304347827</v>
      </c>
      <c r="N2520" s="5" t="s">
        <v>479</v>
      </c>
      <c r="O2520" s="5" t="s">
        <v>479</v>
      </c>
      <c r="P2520" s="16">
        <v>0</v>
      </c>
      <c r="Q2520" s="16">
        <v>0</v>
      </c>
      <c r="R2520" s="5" t="str">
        <f t="shared" si="466"/>
        <v>436-2025-01-31</v>
      </c>
    </row>
    <row r="2521" spans="1:18" x14ac:dyDescent="0.3">
      <c r="A2521" s="26">
        <v>436</v>
      </c>
      <c r="B2521" s="5" t="s">
        <v>69</v>
      </c>
      <c r="C2521" s="5" t="s">
        <v>45</v>
      </c>
      <c r="D2521" s="5" t="s">
        <v>18</v>
      </c>
      <c r="E2521" s="5" t="s">
        <v>14</v>
      </c>
      <c r="F2521" s="6">
        <v>45716</v>
      </c>
      <c r="G2521" s="5">
        <f t="shared" si="467"/>
        <v>2025</v>
      </c>
      <c r="H2521" s="5" t="str">
        <f t="shared" si="468"/>
        <v>Febrero</v>
      </c>
      <c r="I2521" s="6" t="str">
        <f t="shared" ref="I2521" si="473">IF(OR(H2521="Enero",H2521="Febrero",H2521="Marzo",H2521="Abril",H2521="Mayo",H2521="Junio"),G2521&amp;"-1",IF(OR(H2521="Julio",H2521="Agosto",H2521="Septiembre",H2521="Octubre",H2521="Noviembre",H2521="Diciembre"),G2521&amp;"-2"))</f>
        <v>2025-1</v>
      </c>
      <c r="J2521" s="5">
        <v>14</v>
      </c>
      <c r="K2521" s="10">
        <v>3.34</v>
      </c>
      <c r="L2521" s="15">
        <f t="shared" si="471"/>
        <v>1.3</v>
      </c>
      <c r="M2521" s="8">
        <f t="shared" si="472"/>
        <v>4.1916167664670656</v>
      </c>
      <c r="N2521" s="5" t="s">
        <v>479</v>
      </c>
      <c r="O2521" s="5" t="s">
        <v>479</v>
      </c>
      <c r="P2521" s="16">
        <v>0</v>
      </c>
      <c r="Q2521" s="16">
        <v>0</v>
      </c>
      <c r="R2521" s="5" t="str">
        <f t="shared" ref="R2521" si="474">A2521&amp;"-"&amp;YEAR(F2521)&amp;"-"&amp;IF(LEN(MONTH(F2521))=1,"0"&amp;MONTH(F2521),MONTH(F2521))&amp;"-"&amp;DAY(F2521)</f>
        <v>436-2025-02-28</v>
      </c>
    </row>
    <row r="2522" spans="1:18" x14ac:dyDescent="0.3">
      <c r="A2522" s="26">
        <v>436</v>
      </c>
      <c r="B2522" s="5" t="s">
        <v>69</v>
      </c>
      <c r="C2522" s="5" t="s">
        <v>45</v>
      </c>
      <c r="D2522" s="5" t="s">
        <v>18</v>
      </c>
      <c r="E2522" s="5" t="s">
        <v>14</v>
      </c>
      <c r="F2522" s="6">
        <v>45747</v>
      </c>
      <c r="G2522" s="5">
        <f t="shared" si="467"/>
        <v>2025</v>
      </c>
      <c r="H2522" s="5" t="str">
        <f t="shared" si="468"/>
        <v>Marzo</v>
      </c>
      <c r="I2522" s="6" t="str">
        <f t="shared" ref="I2522" si="475">IF(OR(H2522="Enero",H2522="Febrero",H2522="Marzo",H2522="Abril",H2522="Mayo",H2522="Junio"),G2522&amp;"-1",IF(OR(H2522="Julio",H2522="Agosto",H2522="Septiembre",H2522="Octubre",H2522="Noviembre",H2522="Diciembre"),G2522&amp;"-2"))</f>
        <v>2025-1</v>
      </c>
      <c r="J2522" s="5">
        <v>14</v>
      </c>
      <c r="K2522" s="10">
        <v>10.6</v>
      </c>
      <c r="L2522" s="15">
        <f t="shared" si="471"/>
        <v>1.3</v>
      </c>
      <c r="M2522" s="8">
        <f t="shared" si="472"/>
        <v>1.3207547169811322</v>
      </c>
      <c r="N2522" s="5" t="s">
        <v>479</v>
      </c>
      <c r="O2522" s="5" t="s">
        <v>479</v>
      </c>
      <c r="P2522" s="16">
        <v>0</v>
      </c>
      <c r="Q2522" s="16">
        <v>0</v>
      </c>
      <c r="R2522" s="5" t="str">
        <f t="shared" ref="R2522" si="476">A2522&amp;"-"&amp;YEAR(F2522)&amp;"-"&amp;IF(LEN(MONTH(F2522))=1,"0"&amp;MONTH(F2522),MONTH(F2522))&amp;"-"&amp;DAY(F2522)</f>
        <v>436-2025-03-31</v>
      </c>
    </row>
    <row r="2523" spans="1:18" x14ac:dyDescent="0.3">
      <c r="A2523" s="26">
        <v>436</v>
      </c>
      <c r="B2523" s="5" t="s">
        <v>69</v>
      </c>
      <c r="C2523" s="5" t="s">
        <v>45</v>
      </c>
      <c r="D2523" s="5" t="s">
        <v>18</v>
      </c>
      <c r="E2523" s="5" t="s">
        <v>14</v>
      </c>
      <c r="F2523" s="6">
        <v>45777</v>
      </c>
      <c r="G2523" s="5">
        <f t="shared" si="467"/>
        <v>2025</v>
      </c>
      <c r="H2523" s="5" t="str">
        <f t="shared" si="468"/>
        <v>Abril</v>
      </c>
      <c r="I2523" s="6" t="str">
        <f t="shared" ref="I2523:I2526" si="477">IF(OR(H2523="Enero",H2523="Febrero",H2523="Marzo",H2523="Abril",H2523="Mayo",H2523="Junio"),G2523&amp;"-1",IF(OR(H2523="Julio",H2523="Agosto",H2523="Septiembre",H2523="Octubre",H2523="Noviembre",H2523="Diciembre"),G2523&amp;"-2"))</f>
        <v>2025-1</v>
      </c>
      <c r="J2523" s="5">
        <v>14</v>
      </c>
      <c r="K2523" s="10">
        <v>6.4</v>
      </c>
      <c r="L2523" s="15">
        <f t="shared" si="471"/>
        <v>1.3</v>
      </c>
      <c r="M2523" s="8">
        <f t="shared" si="472"/>
        <v>2.1875</v>
      </c>
      <c r="N2523" s="5" t="s">
        <v>479</v>
      </c>
      <c r="O2523" s="5" t="s">
        <v>479</v>
      </c>
      <c r="P2523" s="16">
        <v>0</v>
      </c>
      <c r="Q2523" s="16">
        <v>0</v>
      </c>
      <c r="R2523" s="5" t="str">
        <f t="shared" ref="R2523:R2526" si="478">A2523&amp;"-"&amp;YEAR(F2523)&amp;"-"&amp;IF(LEN(MONTH(F2523))=1,"0"&amp;MONTH(F2523),MONTH(F2523))&amp;"-"&amp;DAY(F2523)</f>
        <v>436-2025-04-30</v>
      </c>
    </row>
    <row r="2524" spans="1:18" x14ac:dyDescent="0.3">
      <c r="A2524" s="26">
        <v>436</v>
      </c>
      <c r="B2524" s="5" t="s">
        <v>69</v>
      </c>
      <c r="C2524" s="5" t="s">
        <v>45</v>
      </c>
      <c r="D2524" s="5" t="s">
        <v>18</v>
      </c>
      <c r="E2524" s="5" t="s">
        <v>14</v>
      </c>
      <c r="F2524" s="6">
        <v>45808</v>
      </c>
      <c r="G2524" s="5">
        <f t="shared" si="467"/>
        <v>2025</v>
      </c>
      <c r="H2524" s="5" t="str">
        <f t="shared" si="468"/>
        <v>Mayo</v>
      </c>
      <c r="I2524" s="6" t="str">
        <f t="shared" si="477"/>
        <v>2025-1</v>
      </c>
      <c r="J2524" s="5">
        <v>14</v>
      </c>
      <c r="K2524" s="10">
        <v>10.17</v>
      </c>
      <c r="L2524" s="15">
        <f t="shared" si="471"/>
        <v>1.3</v>
      </c>
      <c r="M2524" s="8">
        <f t="shared" si="472"/>
        <v>1.3765978367748279</v>
      </c>
      <c r="N2524" s="5" t="s">
        <v>479</v>
      </c>
      <c r="O2524" s="5" t="s">
        <v>479</v>
      </c>
      <c r="P2524" s="16">
        <v>0</v>
      </c>
      <c r="Q2524" s="16">
        <v>0</v>
      </c>
      <c r="R2524" s="5" t="str">
        <f t="shared" si="478"/>
        <v>436-2025-05-31</v>
      </c>
    </row>
    <row r="2525" spans="1:18" x14ac:dyDescent="0.3">
      <c r="A2525" s="26">
        <v>436</v>
      </c>
      <c r="B2525" s="5" t="s">
        <v>69</v>
      </c>
      <c r="C2525" s="5" t="s">
        <v>45</v>
      </c>
      <c r="D2525" s="5" t="s">
        <v>18</v>
      </c>
      <c r="E2525" s="5" t="s">
        <v>14</v>
      </c>
      <c r="F2525" s="6">
        <v>45838</v>
      </c>
      <c r="G2525" s="5">
        <f t="shared" si="467"/>
        <v>2025</v>
      </c>
      <c r="H2525" s="5" t="str">
        <f t="shared" si="468"/>
        <v>Junio</v>
      </c>
      <c r="I2525" s="6" t="str">
        <f t="shared" si="477"/>
        <v>2025-1</v>
      </c>
      <c r="J2525" s="5">
        <v>14</v>
      </c>
      <c r="K2525" s="10">
        <v>11.93</v>
      </c>
      <c r="L2525" s="15">
        <f t="shared" si="471"/>
        <v>1.173512154233026</v>
      </c>
      <c r="M2525" s="8">
        <f t="shared" si="472"/>
        <v>1.173512154233026</v>
      </c>
      <c r="N2525" s="5" t="s">
        <v>479</v>
      </c>
      <c r="O2525" s="5" t="s">
        <v>479</v>
      </c>
      <c r="P2525" s="16">
        <v>0</v>
      </c>
      <c r="Q2525" s="16">
        <v>0</v>
      </c>
      <c r="R2525" s="5" t="str">
        <f t="shared" si="478"/>
        <v>436-2025-06-30</v>
      </c>
    </row>
    <row r="2526" spans="1:18" x14ac:dyDescent="0.3">
      <c r="A2526" s="26">
        <v>436</v>
      </c>
      <c r="B2526" s="5" t="s">
        <v>69</v>
      </c>
      <c r="C2526" s="5" t="s">
        <v>45</v>
      </c>
      <c r="D2526" s="5" t="s">
        <v>18</v>
      </c>
      <c r="E2526" s="5" t="s">
        <v>14</v>
      </c>
      <c r="F2526" s="6">
        <v>45869</v>
      </c>
      <c r="G2526" s="5">
        <f t="shared" si="467"/>
        <v>2025</v>
      </c>
      <c r="H2526" s="5" t="str">
        <f t="shared" si="468"/>
        <v>Julio</v>
      </c>
      <c r="I2526" s="6" t="str">
        <f t="shared" si="477"/>
        <v>2025-2</v>
      </c>
      <c r="J2526" s="5">
        <v>14</v>
      </c>
      <c r="K2526" s="10">
        <v>13.41</v>
      </c>
      <c r="L2526" s="15">
        <f t="shared" si="471"/>
        <v>1.0439970171513795</v>
      </c>
      <c r="M2526" s="8">
        <f t="shared" si="472"/>
        <v>1.0439970171513795</v>
      </c>
      <c r="N2526" s="5" t="s">
        <v>479</v>
      </c>
      <c r="O2526" s="5" t="s">
        <v>479</v>
      </c>
      <c r="P2526" s="16">
        <v>0</v>
      </c>
      <c r="Q2526" s="16">
        <v>0</v>
      </c>
      <c r="R2526" s="5" t="str">
        <f t="shared" si="478"/>
        <v>436-2025-07-31</v>
      </c>
    </row>
    <row r="2527" spans="1:18" x14ac:dyDescent="0.3">
      <c r="A2527" s="26">
        <v>436</v>
      </c>
      <c r="B2527" s="5" t="s">
        <v>69</v>
      </c>
      <c r="C2527" s="5" t="s">
        <v>45</v>
      </c>
      <c r="D2527" s="5" t="s">
        <v>18</v>
      </c>
      <c r="E2527" s="5" t="s">
        <v>14</v>
      </c>
      <c r="F2527" s="6">
        <v>45900</v>
      </c>
      <c r="G2527" s="5">
        <f t="shared" si="467"/>
        <v>2025</v>
      </c>
      <c r="H2527" s="5" t="str">
        <f t="shared" si="468"/>
        <v>Agosto</v>
      </c>
      <c r="I2527" s="6" t="str">
        <f t="shared" ref="I2527:I2529" si="479">IF(OR(H2527="Enero",H2527="Febrero",H2527="Marzo",H2527="Abril",H2527="Mayo",H2527="Junio"),G2527&amp;"-1",IF(OR(H2527="Julio",H2527="Agosto",H2527="Septiembre",H2527="Octubre",H2527="Noviembre",H2527="Diciembre"),G2527&amp;"-2"))</f>
        <v>2025-2</v>
      </c>
      <c r="J2527" s="5">
        <v>14</v>
      </c>
      <c r="K2527" s="10">
        <v>14.17</v>
      </c>
      <c r="L2527" s="15">
        <f t="shared" si="471"/>
        <v>0.98800282286520824</v>
      </c>
      <c r="M2527" s="8">
        <f t="shared" si="472"/>
        <v>0.98800282286520824</v>
      </c>
      <c r="N2527" s="5" t="s">
        <v>479</v>
      </c>
      <c r="O2527" s="5" t="s">
        <v>479</v>
      </c>
      <c r="P2527" s="16">
        <v>0</v>
      </c>
      <c r="Q2527" s="16">
        <v>0</v>
      </c>
      <c r="R2527" s="5" t="str">
        <f t="shared" ref="R2527:R2529" si="480">A2527&amp;"-"&amp;YEAR(F2527)&amp;"-"&amp;IF(LEN(MONTH(F2527))=1,"0"&amp;MONTH(F2527),MONTH(F2527))&amp;"-"&amp;DAY(F2527)</f>
        <v>436-2025-08-31</v>
      </c>
    </row>
    <row r="2528" spans="1:18" x14ac:dyDescent="0.3">
      <c r="A2528" s="26">
        <v>435</v>
      </c>
      <c r="B2528" s="5" t="s">
        <v>464</v>
      </c>
      <c r="C2528" s="5" t="s">
        <v>90</v>
      </c>
      <c r="D2528" s="5" t="s">
        <v>8</v>
      </c>
      <c r="E2528" s="5" t="s">
        <v>9</v>
      </c>
      <c r="F2528" s="6">
        <v>45838</v>
      </c>
      <c r="G2528" s="5">
        <f t="shared" si="467"/>
        <v>2025</v>
      </c>
      <c r="H2528" s="5" t="str">
        <f t="shared" si="468"/>
        <v>Junio</v>
      </c>
      <c r="I2528" s="6" t="str">
        <f t="shared" si="479"/>
        <v>2025-1</v>
      </c>
      <c r="J2528" s="5">
        <v>100</v>
      </c>
      <c r="K2528" s="10">
        <v>96.09</v>
      </c>
      <c r="L2528" s="15">
        <f>IFERROR(IF((K2528/J2528)&gt;1.3,1.3,K2528/J2528),"")</f>
        <v>0.96090000000000009</v>
      </c>
      <c r="M2528" s="15">
        <f>IFERROR(IF((K2528/J2528)&gt;K2528/J2528,1.3,K2528/J2528),"")</f>
        <v>0.96090000000000009</v>
      </c>
      <c r="N2528" s="5" t="s">
        <v>347</v>
      </c>
      <c r="O2528" s="5" t="s">
        <v>347</v>
      </c>
      <c r="P2528" s="16">
        <v>2</v>
      </c>
      <c r="Q2528" s="16">
        <v>2</v>
      </c>
      <c r="R2528" s="5" t="str">
        <f t="shared" si="480"/>
        <v>435-2025-06-30</v>
      </c>
    </row>
    <row r="2529" spans="1:18" x14ac:dyDescent="0.3">
      <c r="A2529" s="26">
        <v>434</v>
      </c>
      <c r="B2529" s="5" t="s">
        <v>735</v>
      </c>
      <c r="C2529" s="5" t="s">
        <v>90</v>
      </c>
      <c r="D2529" s="5" t="s">
        <v>18</v>
      </c>
      <c r="E2529" s="5" t="s">
        <v>14</v>
      </c>
      <c r="F2529" s="6">
        <v>45688</v>
      </c>
      <c r="G2529" s="5">
        <f t="shared" si="467"/>
        <v>2025</v>
      </c>
      <c r="H2529" s="5" t="str">
        <f t="shared" si="468"/>
        <v>Enero</v>
      </c>
      <c r="I2529" s="6" t="str">
        <f t="shared" si="479"/>
        <v>2025-1</v>
      </c>
      <c r="J2529" s="5">
        <v>200</v>
      </c>
      <c r="K2529" s="10">
        <v>725.65</v>
      </c>
      <c r="L2529" s="15">
        <f t="shared" ref="L2529:L2534" si="481">IF(K2529&lt;J2529,1,IF(K2529&gt;J2529,0,J2529/K2529))</f>
        <v>0</v>
      </c>
      <c r="M2529" s="8">
        <f t="shared" ref="M2529:M2534" si="482">IF(K2529&lt;J2529,1,IF(K2529&gt;J2529,0,J2529/K2529))</f>
        <v>0</v>
      </c>
      <c r="N2529" s="5" t="s">
        <v>492</v>
      </c>
      <c r="O2529" s="5" t="s">
        <v>492</v>
      </c>
      <c r="P2529" s="16">
        <v>0</v>
      </c>
      <c r="Q2529" s="16">
        <v>1</v>
      </c>
      <c r="R2529" s="5" t="str">
        <f t="shared" si="480"/>
        <v>434-2025-01-31</v>
      </c>
    </row>
    <row r="2530" spans="1:18" x14ac:dyDescent="0.3">
      <c r="A2530" s="26">
        <v>434</v>
      </c>
      <c r="B2530" s="5" t="s">
        <v>735</v>
      </c>
      <c r="C2530" s="5" t="s">
        <v>90</v>
      </c>
      <c r="D2530" s="5" t="s">
        <v>18</v>
      </c>
      <c r="E2530" s="5" t="s">
        <v>14</v>
      </c>
      <c r="F2530" s="6">
        <v>45716</v>
      </c>
      <c r="G2530" s="5">
        <f t="shared" si="467"/>
        <v>2025</v>
      </c>
      <c r="H2530" s="5" t="str">
        <f t="shared" si="468"/>
        <v>Febrero</v>
      </c>
      <c r="I2530" s="6" t="str">
        <f t="shared" ref="I2530:I2531" si="483">IF(OR(H2530="Enero",H2530="Febrero",H2530="Marzo",H2530="Abril",H2530="Mayo",H2530="Junio"),G2530&amp;"-1",IF(OR(H2530="Julio",H2530="Agosto",H2530="Septiembre",H2530="Octubre",H2530="Noviembre",H2530="Diciembre"),G2530&amp;"-2"))</f>
        <v>2025-1</v>
      </c>
      <c r="J2530" s="5">
        <v>200</v>
      </c>
      <c r="K2530" s="10">
        <v>58.21</v>
      </c>
      <c r="L2530" s="15">
        <f t="shared" si="481"/>
        <v>1</v>
      </c>
      <c r="M2530" s="8">
        <f t="shared" si="482"/>
        <v>1</v>
      </c>
      <c r="N2530" s="5" t="s">
        <v>492</v>
      </c>
      <c r="O2530" s="5" t="s">
        <v>492</v>
      </c>
      <c r="P2530" s="16">
        <v>0</v>
      </c>
      <c r="Q2530" s="16">
        <v>1</v>
      </c>
      <c r="R2530" s="5" t="str">
        <f t="shared" ref="R2530:R2531" si="484">A2530&amp;"-"&amp;YEAR(F2530)&amp;"-"&amp;IF(LEN(MONTH(F2530))=1,"0"&amp;MONTH(F2530),MONTH(F2530))&amp;"-"&amp;DAY(F2530)</f>
        <v>434-2025-02-28</v>
      </c>
    </row>
    <row r="2531" spans="1:18" x14ac:dyDescent="0.3">
      <c r="A2531" s="26">
        <v>434</v>
      </c>
      <c r="B2531" s="5" t="s">
        <v>735</v>
      </c>
      <c r="C2531" s="5" t="s">
        <v>90</v>
      </c>
      <c r="D2531" s="5" t="s">
        <v>18</v>
      </c>
      <c r="E2531" s="5" t="s">
        <v>14</v>
      </c>
      <c r="F2531" s="6">
        <v>45747</v>
      </c>
      <c r="G2531" s="5">
        <f t="shared" si="467"/>
        <v>2025</v>
      </c>
      <c r="H2531" s="5" t="str">
        <f t="shared" si="468"/>
        <v>Marzo</v>
      </c>
      <c r="I2531" s="6" t="str">
        <f t="shared" si="483"/>
        <v>2025-1</v>
      </c>
      <c r="J2531" s="5">
        <v>200</v>
      </c>
      <c r="K2531" s="10">
        <v>49.83</v>
      </c>
      <c r="L2531" s="15">
        <f t="shared" si="481"/>
        <v>1</v>
      </c>
      <c r="M2531" s="8">
        <f t="shared" si="482"/>
        <v>1</v>
      </c>
      <c r="N2531" s="5" t="s">
        <v>492</v>
      </c>
      <c r="O2531" s="5" t="s">
        <v>492</v>
      </c>
      <c r="P2531" s="16">
        <v>0</v>
      </c>
      <c r="Q2531" s="16">
        <v>1</v>
      </c>
      <c r="R2531" s="5" t="str">
        <f t="shared" si="484"/>
        <v>434-2025-03-31</v>
      </c>
    </row>
    <row r="2532" spans="1:18" x14ac:dyDescent="0.3">
      <c r="A2532" s="26">
        <v>434</v>
      </c>
      <c r="B2532" s="5" t="s">
        <v>735</v>
      </c>
      <c r="C2532" s="5" t="s">
        <v>90</v>
      </c>
      <c r="D2532" s="5" t="s">
        <v>18</v>
      </c>
      <c r="E2532" s="5" t="s">
        <v>14</v>
      </c>
      <c r="F2532" s="6">
        <v>45777</v>
      </c>
      <c r="G2532" s="5">
        <f t="shared" si="467"/>
        <v>2025</v>
      </c>
      <c r="H2532" s="5" t="str">
        <f t="shared" si="468"/>
        <v>Abril</v>
      </c>
      <c r="I2532" s="6" t="str">
        <f t="shared" ref="I2532:I2533" si="485">IF(OR(H2532="Enero",H2532="Febrero",H2532="Marzo",H2532="Abril",H2532="Mayo",H2532="Junio"),G2532&amp;"-1",IF(OR(H2532="Julio",H2532="Agosto",H2532="Septiembre",H2532="Octubre",H2532="Noviembre",H2532="Diciembre"),G2532&amp;"-2"))</f>
        <v>2025-1</v>
      </c>
      <c r="J2532" s="5">
        <v>200</v>
      </c>
      <c r="K2532" s="10">
        <v>91.94</v>
      </c>
      <c r="L2532" s="15">
        <f t="shared" si="481"/>
        <v>1</v>
      </c>
      <c r="M2532" s="8">
        <f t="shared" si="482"/>
        <v>1</v>
      </c>
      <c r="N2532" s="5" t="s">
        <v>492</v>
      </c>
      <c r="O2532" s="5" t="s">
        <v>492</v>
      </c>
      <c r="P2532" s="16">
        <v>0</v>
      </c>
      <c r="Q2532" s="16">
        <v>1</v>
      </c>
      <c r="R2532" s="5" t="str">
        <f t="shared" ref="R2532:R2533" si="486">A2532&amp;"-"&amp;YEAR(F2532)&amp;"-"&amp;IF(LEN(MONTH(F2532))=1,"0"&amp;MONTH(F2532),MONTH(F2532))&amp;"-"&amp;DAY(F2532)</f>
        <v>434-2025-04-30</v>
      </c>
    </row>
    <row r="2533" spans="1:18" x14ac:dyDescent="0.3">
      <c r="A2533" s="26">
        <v>434</v>
      </c>
      <c r="B2533" s="5" t="s">
        <v>735</v>
      </c>
      <c r="C2533" s="5" t="s">
        <v>90</v>
      </c>
      <c r="D2533" s="5" t="s">
        <v>18</v>
      </c>
      <c r="E2533" s="5" t="s">
        <v>14</v>
      </c>
      <c r="F2533" s="6">
        <v>45808</v>
      </c>
      <c r="G2533" s="5">
        <f t="shared" si="467"/>
        <v>2025</v>
      </c>
      <c r="H2533" s="5" t="str">
        <f t="shared" si="468"/>
        <v>Mayo</v>
      </c>
      <c r="I2533" s="6" t="str">
        <f t="shared" si="485"/>
        <v>2025-1</v>
      </c>
      <c r="J2533" s="5">
        <v>200</v>
      </c>
      <c r="K2533" s="10">
        <v>47.4</v>
      </c>
      <c r="L2533" s="15">
        <f t="shared" si="481"/>
        <v>1</v>
      </c>
      <c r="M2533" s="8">
        <f t="shared" si="482"/>
        <v>1</v>
      </c>
      <c r="N2533" s="5" t="s">
        <v>492</v>
      </c>
      <c r="O2533" s="5" t="s">
        <v>492</v>
      </c>
      <c r="P2533" s="16">
        <v>0</v>
      </c>
      <c r="Q2533" s="16">
        <v>1</v>
      </c>
      <c r="R2533" s="5" t="str">
        <f t="shared" si="486"/>
        <v>434-2025-05-31</v>
      </c>
    </row>
    <row r="2534" spans="1:18" x14ac:dyDescent="0.3">
      <c r="A2534" s="26">
        <v>434</v>
      </c>
      <c r="B2534" s="5" t="s">
        <v>735</v>
      </c>
      <c r="C2534" s="5" t="s">
        <v>90</v>
      </c>
      <c r="D2534" s="5" t="s">
        <v>18</v>
      </c>
      <c r="E2534" s="5" t="s">
        <v>14</v>
      </c>
      <c r="F2534" s="6">
        <v>45838</v>
      </c>
      <c r="G2534" s="5">
        <f t="shared" si="467"/>
        <v>2025</v>
      </c>
      <c r="H2534" s="5" t="str">
        <f t="shared" si="468"/>
        <v>Junio</v>
      </c>
      <c r="I2534" s="6" t="str">
        <f t="shared" ref="I2534:I2542" si="487">IF(OR(H2534="Enero",H2534="Febrero",H2534="Marzo",H2534="Abril",H2534="Mayo",H2534="Junio"),G2534&amp;"-1",IF(OR(H2534="Julio",H2534="Agosto",H2534="Septiembre",H2534="Octubre",H2534="Noviembre",H2534="Diciembre"),G2534&amp;"-2"))</f>
        <v>2025-1</v>
      </c>
      <c r="J2534" s="5">
        <v>200</v>
      </c>
      <c r="K2534" s="10">
        <v>86.93</v>
      </c>
      <c r="L2534" s="15">
        <f t="shared" si="481"/>
        <v>1</v>
      </c>
      <c r="M2534" s="8">
        <f t="shared" si="482"/>
        <v>1</v>
      </c>
      <c r="N2534" s="5" t="s">
        <v>492</v>
      </c>
      <c r="O2534" s="5" t="s">
        <v>492</v>
      </c>
      <c r="P2534" s="16">
        <v>0</v>
      </c>
      <c r="Q2534" s="16">
        <v>1</v>
      </c>
      <c r="R2534" s="5" t="str">
        <f t="shared" ref="R2534:R2542" si="488">A2534&amp;"-"&amp;YEAR(F2534)&amp;"-"&amp;IF(LEN(MONTH(F2534))=1,"0"&amp;MONTH(F2534),MONTH(F2534))&amp;"-"&amp;DAY(F2534)</f>
        <v>434-2025-06-30</v>
      </c>
    </row>
    <row r="2535" spans="1:18" x14ac:dyDescent="0.3">
      <c r="A2535" s="26">
        <v>433</v>
      </c>
      <c r="B2535" s="5" t="s">
        <v>416</v>
      </c>
      <c r="C2535" s="5" t="s">
        <v>90</v>
      </c>
      <c r="D2535" s="5" t="s">
        <v>8</v>
      </c>
      <c r="E2535" s="5" t="s">
        <v>14</v>
      </c>
      <c r="F2535" s="6">
        <v>45838</v>
      </c>
      <c r="G2535" s="5">
        <f t="shared" si="467"/>
        <v>2025</v>
      </c>
      <c r="H2535" s="5" t="str">
        <f t="shared" si="468"/>
        <v>Junio</v>
      </c>
      <c r="I2535" s="6" t="str">
        <f t="shared" si="487"/>
        <v>2025-1</v>
      </c>
      <c r="J2535" s="5">
        <v>0.05</v>
      </c>
      <c r="K2535" s="10">
        <v>0.02</v>
      </c>
      <c r="L2535" s="8">
        <f>IF(K2535&lt;J2535,1,IF(K2535&gt;J2535,0,J2535/K2535))</f>
        <v>1</v>
      </c>
      <c r="M2535" s="8">
        <f>IF(K2535&lt;J2535,1,IF(K2535&gt;J2535,0,J2535/K2535))</f>
        <v>1</v>
      </c>
      <c r="N2535" s="5" t="s">
        <v>478</v>
      </c>
      <c r="O2535" s="5" t="s">
        <v>478</v>
      </c>
      <c r="P2535" s="16">
        <v>2</v>
      </c>
      <c r="Q2535" s="16">
        <v>2</v>
      </c>
      <c r="R2535" s="5" t="str">
        <f t="shared" si="488"/>
        <v>433-2025-06-30</v>
      </c>
    </row>
    <row r="2536" spans="1:18" x14ac:dyDescent="0.3">
      <c r="A2536" s="26">
        <v>430</v>
      </c>
      <c r="B2536" s="5" t="s">
        <v>324</v>
      </c>
      <c r="C2536" s="5" t="s">
        <v>84</v>
      </c>
      <c r="D2536" s="5" t="s">
        <v>8</v>
      </c>
      <c r="E2536" s="5" t="s">
        <v>9</v>
      </c>
      <c r="F2536" s="6">
        <v>45838</v>
      </c>
      <c r="G2536" s="5">
        <f t="shared" si="467"/>
        <v>2025</v>
      </c>
      <c r="H2536" s="5" t="str">
        <f t="shared" si="468"/>
        <v>Junio</v>
      </c>
      <c r="I2536" s="6" t="str">
        <f t="shared" si="487"/>
        <v>2025-1</v>
      </c>
      <c r="J2536" s="5">
        <v>95</v>
      </c>
      <c r="K2536" s="10">
        <v>110.79</v>
      </c>
      <c r="L2536" s="15">
        <f t="shared" ref="L2536" si="489">IFERROR(IF((K2536/J2536)&gt;1.3,1.3,K2536/J2536),"")</f>
        <v>1.1662105263157896</v>
      </c>
      <c r="M2536" s="15">
        <f t="shared" ref="M2536" si="490">IFERROR(IF((K2536/J2536)&gt;K2536/J2536,1.3,K2536/J2536),"")</f>
        <v>1.1662105263157896</v>
      </c>
      <c r="N2536" s="5" t="s">
        <v>347</v>
      </c>
      <c r="O2536" s="5" t="s">
        <v>347</v>
      </c>
      <c r="P2536" s="16">
        <v>0</v>
      </c>
      <c r="Q2536" s="16">
        <v>0</v>
      </c>
      <c r="R2536" s="5" t="str">
        <f t="shared" si="488"/>
        <v>430-2025-06-30</v>
      </c>
    </row>
    <row r="2537" spans="1:18" x14ac:dyDescent="0.3">
      <c r="A2537" s="26">
        <v>429</v>
      </c>
      <c r="B2537" s="5" t="s">
        <v>323</v>
      </c>
      <c r="C2537" s="5" t="s">
        <v>90</v>
      </c>
      <c r="D2537" s="5" t="s">
        <v>8</v>
      </c>
      <c r="E2537" s="5" t="s">
        <v>14</v>
      </c>
      <c r="F2537" s="6">
        <v>45838</v>
      </c>
      <c r="G2537" s="5">
        <f t="shared" si="467"/>
        <v>2025</v>
      </c>
      <c r="H2537" s="5" t="str">
        <f t="shared" si="468"/>
        <v>Junio</v>
      </c>
      <c r="I2537" s="6" t="str">
        <f t="shared" si="487"/>
        <v>2025-1</v>
      </c>
      <c r="J2537" s="5">
        <v>0.76</v>
      </c>
      <c r="K2537" s="10">
        <v>0.59</v>
      </c>
      <c r="L2537" s="8">
        <f>IF(K2537&lt;J2537,1,IF(K2537&gt;J2537,0,J2537/K2537))</f>
        <v>1</v>
      </c>
      <c r="M2537" s="8">
        <f>IF(K2537&lt;J2537,1,IF(K2537&gt;J2537,0,J2537/K2537))</f>
        <v>1</v>
      </c>
      <c r="N2537" s="5" t="s">
        <v>478</v>
      </c>
      <c r="O2537" s="5" t="s">
        <v>478</v>
      </c>
      <c r="P2537" s="16">
        <v>1</v>
      </c>
      <c r="Q2537" s="16">
        <v>1</v>
      </c>
      <c r="R2537" s="5" t="str">
        <f t="shared" si="488"/>
        <v>429-2025-06-30</v>
      </c>
    </row>
    <row r="2538" spans="1:18" x14ac:dyDescent="0.3">
      <c r="A2538" s="26">
        <v>428</v>
      </c>
      <c r="B2538" s="5" t="s">
        <v>322</v>
      </c>
      <c r="C2538" s="5" t="s">
        <v>90</v>
      </c>
      <c r="D2538" s="5" t="s">
        <v>8</v>
      </c>
      <c r="E2538" s="5" t="s">
        <v>14</v>
      </c>
      <c r="F2538" s="6">
        <v>45838</v>
      </c>
      <c r="G2538" s="5">
        <f t="shared" si="467"/>
        <v>2025</v>
      </c>
      <c r="H2538" s="5" t="str">
        <f t="shared" si="468"/>
        <v>Junio</v>
      </c>
      <c r="I2538" s="6" t="str">
        <f t="shared" si="487"/>
        <v>2025-1</v>
      </c>
      <c r="J2538" s="5">
        <v>20</v>
      </c>
      <c r="K2538" s="10">
        <v>15.12</v>
      </c>
      <c r="L2538" s="8">
        <f>IF(K2538&lt;=J2538,1,IF(K2538&gt;J2538,0,J2538/K2538))</f>
        <v>1</v>
      </c>
      <c r="M2538" s="8">
        <f>IF(K2538&lt;=J2538,1,IF(K2538&gt;J2538,0,J2538/K2538))</f>
        <v>1</v>
      </c>
      <c r="N2538" s="5" t="s">
        <v>362</v>
      </c>
      <c r="O2538" s="5" t="s">
        <v>362</v>
      </c>
      <c r="P2538" s="16">
        <v>0</v>
      </c>
      <c r="Q2538" s="16">
        <v>1</v>
      </c>
      <c r="R2538" s="5" t="str">
        <f t="shared" si="488"/>
        <v>428-2025-06-30</v>
      </c>
    </row>
    <row r="2539" spans="1:18" x14ac:dyDescent="0.3">
      <c r="A2539" s="26">
        <v>427</v>
      </c>
      <c r="B2539" s="5" t="s">
        <v>321</v>
      </c>
      <c r="C2539" s="5" t="s">
        <v>90</v>
      </c>
      <c r="D2539" s="5" t="s">
        <v>8</v>
      </c>
      <c r="E2539" s="5" t="s">
        <v>14</v>
      </c>
      <c r="F2539" s="6">
        <v>45838</v>
      </c>
      <c r="G2539" s="5">
        <f t="shared" si="467"/>
        <v>2025</v>
      </c>
      <c r="H2539" s="5" t="str">
        <f t="shared" si="468"/>
        <v>Junio</v>
      </c>
      <c r="I2539" s="6" t="str">
        <f t="shared" si="487"/>
        <v>2025-1</v>
      </c>
      <c r="J2539" s="5">
        <v>0.2</v>
      </c>
      <c r="K2539" s="10">
        <v>0.14000000000000001</v>
      </c>
      <c r="L2539" s="8">
        <f>IF(K2539&lt;=J2539,1,IF(K2539&gt;J2539,0,J2539/K2539))</f>
        <v>1</v>
      </c>
      <c r="M2539" s="8">
        <f>IF(K2539&lt;=J2539,1,IF(K2539&gt;J2539,0,J2539/K2539))</f>
        <v>1</v>
      </c>
      <c r="N2539" s="5" t="s">
        <v>478</v>
      </c>
      <c r="O2539" s="5" t="s">
        <v>478</v>
      </c>
      <c r="P2539" s="16">
        <v>1</v>
      </c>
      <c r="Q2539" s="16">
        <v>2</v>
      </c>
      <c r="R2539" s="5" t="str">
        <f t="shared" si="488"/>
        <v>427-2025-06-30</v>
      </c>
    </row>
    <row r="2540" spans="1:18" x14ac:dyDescent="0.3">
      <c r="A2540" s="26" t="s">
        <v>356</v>
      </c>
      <c r="B2540" s="23" t="s">
        <v>359</v>
      </c>
      <c r="C2540" s="5" t="s">
        <v>274</v>
      </c>
      <c r="D2540" s="5" t="s">
        <v>8</v>
      </c>
      <c r="E2540" s="5" t="s">
        <v>9</v>
      </c>
      <c r="F2540" s="6">
        <v>45657</v>
      </c>
      <c r="G2540" s="5">
        <f t="shared" si="467"/>
        <v>2024</v>
      </c>
      <c r="H2540" s="5" t="str">
        <f t="shared" si="468"/>
        <v>Diciembre</v>
      </c>
      <c r="I2540" s="6" t="str">
        <f t="shared" si="487"/>
        <v>2024-2</v>
      </c>
      <c r="J2540" s="11">
        <v>3424.2073961999995</v>
      </c>
      <c r="K2540" s="9">
        <v>4694.2130900000002</v>
      </c>
      <c r="L2540" s="15">
        <f t="shared" ref="L2540:L2542" si="491">IFERROR(IF((K2540/J2540)&gt;1.3,1.3,K2540/J2540),"")</f>
        <v>1.3</v>
      </c>
      <c r="M2540" s="15">
        <f t="shared" ref="M2540:M2542" si="492">IFERROR(IF((K2540/J2540)&gt;K2540/J2540,1.3,K2540/J2540),"")</f>
        <v>1.3708904125402521</v>
      </c>
      <c r="N2540" s="5" t="s">
        <v>474</v>
      </c>
      <c r="O2540" s="5" t="s">
        <v>474</v>
      </c>
      <c r="P2540" s="16">
        <v>0</v>
      </c>
      <c r="Q2540" s="16">
        <v>0</v>
      </c>
      <c r="R2540" s="5" t="str">
        <f t="shared" si="488"/>
        <v>386.1-2024-12-31</v>
      </c>
    </row>
    <row r="2541" spans="1:18" x14ac:dyDescent="0.3">
      <c r="A2541" s="26" t="s">
        <v>357</v>
      </c>
      <c r="B2541" s="23" t="s">
        <v>360</v>
      </c>
      <c r="C2541" s="5" t="s">
        <v>274</v>
      </c>
      <c r="D2541" s="5" t="s">
        <v>8</v>
      </c>
      <c r="E2541" s="5" t="s">
        <v>9</v>
      </c>
      <c r="F2541" s="6">
        <v>45657</v>
      </c>
      <c r="G2541" s="5">
        <f t="shared" si="467"/>
        <v>2024</v>
      </c>
      <c r="H2541" s="5" t="str">
        <f t="shared" si="468"/>
        <v>Diciembre</v>
      </c>
      <c r="I2541" s="6" t="str">
        <f t="shared" si="487"/>
        <v>2024-2</v>
      </c>
      <c r="J2541" s="11">
        <v>7711.1257611000001</v>
      </c>
      <c r="K2541" s="9">
        <v>4170.686009</v>
      </c>
      <c r="L2541" s="15">
        <f t="shared" si="491"/>
        <v>0.54086603411912804</v>
      </c>
      <c r="M2541" s="15">
        <f t="shared" si="492"/>
        <v>0.54086603411912804</v>
      </c>
      <c r="N2541" s="5" t="s">
        <v>474</v>
      </c>
      <c r="O2541" s="5" t="s">
        <v>474</v>
      </c>
      <c r="P2541" s="16">
        <v>0</v>
      </c>
      <c r="Q2541" s="16">
        <v>0</v>
      </c>
      <c r="R2541" s="5" t="str">
        <f t="shared" si="488"/>
        <v>386.2-2024-12-31</v>
      </c>
    </row>
    <row r="2542" spans="1:18" x14ac:dyDescent="0.3">
      <c r="A2542" s="26" t="s">
        <v>358</v>
      </c>
      <c r="B2542" s="23" t="s">
        <v>361</v>
      </c>
      <c r="C2542" s="5" t="s">
        <v>274</v>
      </c>
      <c r="D2542" s="5" t="s">
        <v>8</v>
      </c>
      <c r="E2542" s="5" t="s">
        <v>9</v>
      </c>
      <c r="F2542" s="6">
        <v>45657</v>
      </c>
      <c r="G2542" s="5">
        <f t="shared" si="467"/>
        <v>2024</v>
      </c>
      <c r="H2542" s="5" t="str">
        <f t="shared" si="468"/>
        <v>Diciembre</v>
      </c>
      <c r="I2542" s="6" t="str">
        <f t="shared" si="487"/>
        <v>2024-2</v>
      </c>
      <c r="J2542" s="11">
        <v>4372.1599426999992</v>
      </c>
      <c r="K2542" s="9">
        <v>4378.2397499999997</v>
      </c>
      <c r="L2542" s="15">
        <f t="shared" si="491"/>
        <v>1.0013905729387031</v>
      </c>
      <c r="M2542" s="15">
        <f t="shared" si="492"/>
        <v>1.0013905729387031</v>
      </c>
      <c r="N2542" s="5" t="s">
        <v>474</v>
      </c>
      <c r="O2542" s="5" t="s">
        <v>474</v>
      </c>
      <c r="P2542" s="16">
        <v>0</v>
      </c>
      <c r="Q2542" s="16">
        <v>0</v>
      </c>
      <c r="R2542" s="5" t="str">
        <f t="shared" si="488"/>
        <v>386.3-2024-12-31</v>
      </c>
    </row>
    <row r="2543" spans="1:18" x14ac:dyDescent="0.3">
      <c r="A2543" s="26" t="s">
        <v>356</v>
      </c>
      <c r="B2543" s="23" t="s">
        <v>359</v>
      </c>
      <c r="C2543" s="5" t="s">
        <v>274</v>
      </c>
      <c r="D2543" s="5" t="s">
        <v>8</v>
      </c>
      <c r="E2543" s="5" t="s">
        <v>9</v>
      </c>
      <c r="F2543" s="6">
        <v>45838</v>
      </c>
      <c r="G2543" s="5">
        <f t="shared" si="467"/>
        <v>2025</v>
      </c>
      <c r="H2543" s="5" t="str">
        <f t="shared" si="468"/>
        <v>Junio</v>
      </c>
      <c r="I2543" s="6" t="str">
        <f t="shared" ref="I2543:I2551" si="493">IF(OR(H2543="Enero",H2543="Febrero",H2543="Marzo",H2543="Abril",H2543="Mayo",H2543="Junio"),G2543&amp;"-1",IF(OR(H2543="Julio",H2543="Agosto",H2543="Septiembre",H2543="Octubre",H2543="Noviembre",H2543="Diciembre"),G2543&amp;"-2"))</f>
        <v>2025-1</v>
      </c>
      <c r="J2543" s="75">
        <v>1392.56187</v>
      </c>
      <c r="K2543" s="75">
        <v>1610.582185</v>
      </c>
      <c r="L2543" s="15">
        <f t="shared" ref="L2543:L2545" si="494">IFERROR(IF((K2543/J2543)&gt;1.3,1.3,K2543/J2543),"")</f>
        <v>1.1565605950419997</v>
      </c>
      <c r="M2543" s="15">
        <f t="shared" ref="M2543:M2545" si="495">IFERROR(IF((K2543/J2543)&gt;K2543/J2543,1.3,K2543/J2543),"")</f>
        <v>1.1565605950419997</v>
      </c>
      <c r="N2543" s="5" t="s">
        <v>474</v>
      </c>
      <c r="O2543" s="5" t="s">
        <v>474</v>
      </c>
      <c r="P2543" s="16">
        <v>0</v>
      </c>
      <c r="Q2543" s="16">
        <v>0</v>
      </c>
      <c r="R2543" s="5" t="str">
        <f t="shared" ref="R2543:R2551" si="496">A2543&amp;"-"&amp;YEAR(F2543)&amp;"-"&amp;IF(LEN(MONTH(F2543))=1,"0"&amp;MONTH(F2543),MONTH(F2543))&amp;"-"&amp;DAY(F2543)</f>
        <v>386.1-2025-06-30</v>
      </c>
    </row>
    <row r="2544" spans="1:18" x14ac:dyDescent="0.3">
      <c r="A2544" s="26" t="s">
        <v>357</v>
      </c>
      <c r="B2544" s="23" t="s">
        <v>360</v>
      </c>
      <c r="C2544" s="5" t="s">
        <v>274</v>
      </c>
      <c r="D2544" s="5" t="s">
        <v>8</v>
      </c>
      <c r="E2544" s="5" t="s">
        <v>9</v>
      </c>
      <c r="F2544" s="6">
        <v>45838</v>
      </c>
      <c r="G2544" s="5">
        <f t="shared" si="467"/>
        <v>2025</v>
      </c>
      <c r="H2544" s="5" t="str">
        <f t="shared" si="468"/>
        <v>Junio</v>
      </c>
      <c r="I2544" s="6" t="str">
        <f t="shared" si="493"/>
        <v>2025-1</v>
      </c>
      <c r="J2544" s="75">
        <v>2655.6515559999998</v>
      </c>
      <c r="K2544" s="75">
        <v>3358.9061839999999</v>
      </c>
      <c r="L2544" s="15">
        <f t="shared" si="494"/>
        <v>1.2648143452446214</v>
      </c>
      <c r="M2544" s="15">
        <f t="shared" si="495"/>
        <v>1.2648143452446214</v>
      </c>
      <c r="N2544" s="5" t="s">
        <v>474</v>
      </c>
      <c r="O2544" s="5" t="s">
        <v>474</v>
      </c>
      <c r="P2544" s="16">
        <v>0</v>
      </c>
      <c r="Q2544" s="16">
        <v>0</v>
      </c>
      <c r="R2544" s="5" t="str">
        <f t="shared" si="496"/>
        <v>386.2-2025-06-30</v>
      </c>
    </row>
    <row r="2545" spans="1:18" x14ac:dyDescent="0.3">
      <c r="A2545" s="26" t="s">
        <v>358</v>
      </c>
      <c r="B2545" s="23" t="s">
        <v>361</v>
      </c>
      <c r="C2545" s="5" t="s">
        <v>274</v>
      </c>
      <c r="D2545" s="5" t="s">
        <v>8</v>
      </c>
      <c r="E2545" s="5" t="s">
        <v>9</v>
      </c>
      <c r="F2545" s="6">
        <v>45838</v>
      </c>
      <c r="G2545" s="5">
        <f t="shared" si="467"/>
        <v>2025</v>
      </c>
      <c r="H2545" s="5" t="str">
        <f t="shared" si="468"/>
        <v>Junio</v>
      </c>
      <c r="I2545" s="6" t="str">
        <f t="shared" si="493"/>
        <v>2025-1</v>
      </c>
      <c r="J2545" s="75">
        <v>2797.6638859999998</v>
      </c>
      <c r="K2545" s="75">
        <v>3821.45975</v>
      </c>
      <c r="L2545" s="15">
        <f t="shared" si="494"/>
        <v>1.3</v>
      </c>
      <c r="M2545" s="15">
        <f t="shared" si="495"/>
        <v>1.3659466990024263</v>
      </c>
      <c r="N2545" s="5" t="s">
        <v>474</v>
      </c>
      <c r="O2545" s="5" t="s">
        <v>474</v>
      </c>
      <c r="P2545" s="16">
        <v>0</v>
      </c>
      <c r="Q2545" s="16">
        <v>0</v>
      </c>
      <c r="R2545" s="5" t="str">
        <f t="shared" si="496"/>
        <v>386.3-2025-06-30</v>
      </c>
    </row>
    <row r="2546" spans="1:18" x14ac:dyDescent="0.3">
      <c r="A2546" s="5" t="s">
        <v>407</v>
      </c>
      <c r="B2546" s="23" t="s">
        <v>388</v>
      </c>
      <c r="C2546" s="5" t="s">
        <v>410</v>
      </c>
      <c r="D2546" s="5" t="s">
        <v>8</v>
      </c>
      <c r="E2546" s="5" t="s">
        <v>9</v>
      </c>
      <c r="F2546" s="6">
        <v>45838</v>
      </c>
      <c r="G2546" s="5">
        <f t="shared" si="467"/>
        <v>2025</v>
      </c>
      <c r="H2546" s="5" t="str">
        <f t="shared" si="468"/>
        <v>Junio</v>
      </c>
      <c r="I2546" s="6" t="str">
        <f t="shared" si="493"/>
        <v>2025-1</v>
      </c>
      <c r="J2546" s="61">
        <v>69</v>
      </c>
      <c r="K2546" s="61">
        <v>47</v>
      </c>
      <c r="L2546" s="100">
        <v>0.6811594202898551</v>
      </c>
      <c r="M2546" s="59">
        <v>0.6811594202898551</v>
      </c>
      <c r="N2546" s="5" t="s">
        <v>347</v>
      </c>
      <c r="O2546" s="5" t="s">
        <v>347</v>
      </c>
      <c r="P2546" s="5">
        <v>0</v>
      </c>
      <c r="Q2546" s="5">
        <v>0</v>
      </c>
      <c r="R2546" s="5" t="str">
        <f t="shared" si="496"/>
        <v>Med 15-2025-06-30</v>
      </c>
    </row>
    <row r="2547" spans="1:18" x14ac:dyDescent="0.3">
      <c r="A2547" s="26" t="s">
        <v>411</v>
      </c>
      <c r="B2547" s="5" t="s">
        <v>363</v>
      </c>
      <c r="C2547" s="5" t="s">
        <v>410</v>
      </c>
      <c r="D2547" s="5" t="s">
        <v>8</v>
      </c>
      <c r="E2547" s="5" t="s">
        <v>9</v>
      </c>
      <c r="F2547" s="6">
        <v>45838</v>
      </c>
      <c r="G2547" s="5">
        <f t="shared" si="467"/>
        <v>2025</v>
      </c>
      <c r="H2547" s="5" t="str">
        <f t="shared" si="468"/>
        <v>Junio</v>
      </c>
      <c r="I2547" s="6" t="str">
        <f t="shared" si="493"/>
        <v>2025-1</v>
      </c>
      <c r="J2547" s="5">
        <v>2677</v>
      </c>
      <c r="K2547" s="5">
        <v>2764</v>
      </c>
      <c r="L2547" s="15">
        <v>1.0324990661187896</v>
      </c>
      <c r="M2547" s="15">
        <v>1.0324990661187896</v>
      </c>
      <c r="N2547" s="5" t="s">
        <v>490</v>
      </c>
      <c r="O2547" s="5" t="s">
        <v>490</v>
      </c>
      <c r="P2547" s="5">
        <v>0</v>
      </c>
      <c r="Q2547" s="5">
        <v>0</v>
      </c>
      <c r="R2547" s="5" t="str">
        <f t="shared" si="496"/>
        <v>Med 1-2025-06-30</v>
      </c>
    </row>
    <row r="2548" spans="1:18" x14ac:dyDescent="0.3">
      <c r="A2548" s="26" t="s">
        <v>370</v>
      </c>
      <c r="B2548" s="5" t="s">
        <v>366</v>
      </c>
      <c r="C2548" s="5" t="s">
        <v>410</v>
      </c>
      <c r="D2548" s="5" t="s">
        <v>8</v>
      </c>
      <c r="E2548" s="5" t="s">
        <v>9</v>
      </c>
      <c r="F2548" s="6">
        <v>45838</v>
      </c>
      <c r="G2548" s="5">
        <f t="shared" si="467"/>
        <v>2025</v>
      </c>
      <c r="H2548" s="5" t="str">
        <f t="shared" si="468"/>
        <v>Junio</v>
      </c>
      <c r="I2548" s="6" t="str">
        <f t="shared" si="493"/>
        <v>2025-1</v>
      </c>
      <c r="J2548" s="5">
        <v>582</v>
      </c>
      <c r="K2548" s="5">
        <v>562</v>
      </c>
      <c r="L2548" s="15">
        <v>0.96563573883161513</v>
      </c>
      <c r="M2548" s="15">
        <v>0.96563573883161513</v>
      </c>
      <c r="N2548" s="5" t="s">
        <v>490</v>
      </c>
      <c r="O2548" s="5" t="s">
        <v>490</v>
      </c>
      <c r="P2548" s="5">
        <v>0</v>
      </c>
      <c r="Q2548" s="5">
        <v>0</v>
      </c>
      <c r="R2548" s="5" t="str">
        <f t="shared" si="496"/>
        <v>Med 1.3-2025-06-30</v>
      </c>
    </row>
    <row r="2549" spans="1:18" x14ac:dyDescent="0.3">
      <c r="A2549" s="26" t="s">
        <v>371</v>
      </c>
      <c r="B2549" s="5" t="s">
        <v>817</v>
      </c>
      <c r="C2549" s="5" t="s">
        <v>410</v>
      </c>
      <c r="D2549" s="5" t="s">
        <v>8</v>
      </c>
      <c r="E2549" s="5" t="s">
        <v>9</v>
      </c>
      <c r="F2549" s="6">
        <v>45838</v>
      </c>
      <c r="G2549" s="5">
        <f t="shared" si="467"/>
        <v>2025</v>
      </c>
      <c r="H2549" s="5" t="str">
        <f t="shared" si="468"/>
        <v>Junio</v>
      </c>
      <c r="I2549" s="6" t="str">
        <f t="shared" si="493"/>
        <v>2025-1</v>
      </c>
      <c r="J2549" s="9">
        <v>2107</v>
      </c>
      <c r="K2549" s="9">
        <v>2219</v>
      </c>
      <c r="L2549" s="15">
        <v>1.0531561461794019</v>
      </c>
      <c r="M2549" s="15">
        <v>1.0531561461794019</v>
      </c>
      <c r="N2549" s="5" t="s">
        <v>490</v>
      </c>
      <c r="O2549" s="5" t="s">
        <v>490</v>
      </c>
      <c r="P2549" s="5">
        <v>0</v>
      </c>
      <c r="Q2549" s="5">
        <v>0</v>
      </c>
      <c r="R2549" s="5" t="str">
        <f t="shared" si="496"/>
        <v>Med 1.4-2025-06-30</v>
      </c>
    </row>
    <row r="2550" spans="1:18" x14ac:dyDescent="0.3">
      <c r="A2550" s="26" t="s">
        <v>403</v>
      </c>
      <c r="B2550" s="5" t="s">
        <v>384</v>
      </c>
      <c r="C2550" s="5" t="s">
        <v>410</v>
      </c>
      <c r="D2550" s="5" t="s">
        <v>8</v>
      </c>
      <c r="E2550" s="5" t="s">
        <v>9</v>
      </c>
      <c r="F2550" s="6">
        <v>45838</v>
      </c>
      <c r="G2550" s="5">
        <f t="shared" si="467"/>
        <v>2025</v>
      </c>
      <c r="H2550" s="5" t="str">
        <f t="shared" si="468"/>
        <v>Junio</v>
      </c>
      <c r="I2550" s="6" t="str">
        <f t="shared" si="493"/>
        <v>2025-1</v>
      </c>
      <c r="J2550" s="9">
        <v>100</v>
      </c>
      <c r="K2550" s="12">
        <v>107.61</v>
      </c>
      <c r="L2550" s="15">
        <v>1.0761000000000001</v>
      </c>
      <c r="M2550" s="15">
        <v>1.0761000000000001</v>
      </c>
      <c r="N2550" s="5" t="s">
        <v>347</v>
      </c>
      <c r="O2550" s="5" t="s">
        <v>347</v>
      </c>
      <c r="P2550" s="5">
        <v>0</v>
      </c>
      <c r="Q2550" s="5">
        <v>0</v>
      </c>
      <c r="R2550" s="5" t="str">
        <f t="shared" si="496"/>
        <v>Med 10-2025-06-30</v>
      </c>
    </row>
    <row r="2551" spans="1:18" x14ac:dyDescent="0.3">
      <c r="A2551" s="26" t="s">
        <v>404</v>
      </c>
      <c r="B2551" s="5" t="s">
        <v>385</v>
      </c>
      <c r="C2551" s="5" t="s">
        <v>410</v>
      </c>
      <c r="D2551" s="5" t="s">
        <v>8</v>
      </c>
      <c r="E2551" s="5" t="s">
        <v>9</v>
      </c>
      <c r="F2551" s="6">
        <v>45838</v>
      </c>
      <c r="G2551" s="5">
        <f t="shared" si="467"/>
        <v>2025</v>
      </c>
      <c r="H2551" s="5" t="str">
        <f t="shared" si="468"/>
        <v>Junio</v>
      </c>
      <c r="I2551" s="6" t="str">
        <f t="shared" si="493"/>
        <v>2025-1</v>
      </c>
      <c r="J2551" s="9">
        <v>100</v>
      </c>
      <c r="K2551" s="12">
        <v>143.04</v>
      </c>
      <c r="L2551" s="15">
        <v>1.3</v>
      </c>
      <c r="M2551" s="15">
        <v>1.4303999999999999</v>
      </c>
      <c r="N2551" s="5" t="s">
        <v>347</v>
      </c>
      <c r="O2551" s="5" t="s">
        <v>347</v>
      </c>
      <c r="P2551" s="5">
        <v>0</v>
      </c>
      <c r="Q2551" s="5">
        <v>0</v>
      </c>
      <c r="R2551" s="5" t="str">
        <f t="shared" si="496"/>
        <v>Med 11-2025-06-30</v>
      </c>
    </row>
  </sheetData>
  <sortState xmlns:xlrd2="http://schemas.microsoft.com/office/spreadsheetml/2017/richdata2" ref="A2:R2256">
    <sortCondition ref="A2:A2256"/>
    <sortCondition ref="F2:F2256"/>
  </sortState>
  <conditionalFormatting sqref="A367">
    <cfRule type="duplicateValues" dxfId="150" priority="43"/>
  </conditionalFormatting>
  <conditionalFormatting sqref="A369:A372">
    <cfRule type="duplicateValues" dxfId="149" priority="40"/>
  </conditionalFormatting>
  <conditionalFormatting sqref="A373:A382">
    <cfRule type="duplicateValues" dxfId="148" priority="58"/>
  </conditionalFormatting>
  <conditionalFormatting sqref="A383">
    <cfRule type="duplicateValues" dxfId="147" priority="44"/>
  </conditionalFormatting>
  <conditionalFormatting sqref="A384">
    <cfRule type="duplicateValues" dxfId="146" priority="45"/>
  </conditionalFormatting>
  <conditionalFormatting sqref="A385">
    <cfRule type="duplicateValues" dxfId="145" priority="46"/>
  </conditionalFormatting>
  <conditionalFormatting sqref="A386">
    <cfRule type="duplicateValues" dxfId="144" priority="47"/>
  </conditionalFormatting>
  <conditionalFormatting sqref="A387:A399">
    <cfRule type="duplicateValues" dxfId="143" priority="34"/>
  </conditionalFormatting>
  <conditionalFormatting sqref="A472:A475">
    <cfRule type="duplicateValues" dxfId="142" priority="33"/>
  </conditionalFormatting>
  <conditionalFormatting sqref="A820">
    <cfRule type="duplicateValues" dxfId="141" priority="48"/>
  </conditionalFormatting>
  <conditionalFormatting sqref="A821">
    <cfRule type="duplicateValues" dxfId="140" priority="49"/>
  </conditionalFormatting>
  <conditionalFormatting sqref="A883">
    <cfRule type="duplicateValues" dxfId="139" priority="50"/>
  </conditionalFormatting>
  <conditionalFormatting sqref="A952:A963">
    <cfRule type="duplicateValues" dxfId="138" priority="29"/>
  </conditionalFormatting>
  <conditionalFormatting sqref="A1136">
    <cfRule type="duplicateValues" dxfId="137" priority="51"/>
  </conditionalFormatting>
  <conditionalFormatting sqref="A1138:A1141">
    <cfRule type="duplicateValues" dxfId="136" priority="27"/>
  </conditionalFormatting>
  <conditionalFormatting sqref="A1142:A1145">
    <cfRule type="duplicateValues" dxfId="135" priority="26"/>
  </conditionalFormatting>
  <conditionalFormatting sqref="A1192">
    <cfRule type="duplicateValues" dxfId="134" priority="52"/>
  </conditionalFormatting>
  <conditionalFormatting sqref="A1218">
    <cfRule type="duplicateValues" dxfId="133" priority="53"/>
  </conditionalFormatting>
  <conditionalFormatting sqref="A1522">
    <cfRule type="duplicateValues" dxfId="132" priority="54"/>
    <cfRule type="duplicateValues" dxfId="131" priority="55"/>
    <cfRule type="duplicateValues" dxfId="130" priority="56"/>
    <cfRule type="duplicateValues" dxfId="129" priority="57"/>
  </conditionalFormatting>
  <conditionalFormatting sqref="A2314">
    <cfRule type="duplicateValues" dxfId="128" priority="12"/>
  </conditionalFormatting>
  <conditionalFormatting sqref="A2354:A2356">
    <cfRule type="duplicateValues" dxfId="127" priority="11"/>
  </conditionalFormatting>
  <conditionalFormatting sqref="A2357">
    <cfRule type="duplicateValues" dxfId="126" priority="8"/>
  </conditionalFormatting>
  <conditionalFormatting sqref="A2358">
    <cfRule type="duplicateValues" dxfId="125" priority="9"/>
  </conditionalFormatting>
  <conditionalFormatting sqref="A2359:A2360">
    <cfRule type="duplicateValues" dxfId="124" priority="10"/>
  </conditionalFormatting>
  <conditionalFormatting sqref="A2361:A2362">
    <cfRule type="duplicateValues" dxfId="123" priority="7"/>
  </conditionalFormatting>
  <conditionalFormatting sqref="A2410 A2412">
    <cfRule type="duplicateValues" dxfId="122" priority="6"/>
  </conditionalFormatting>
  <conditionalFormatting sqref="A2419">
    <cfRule type="duplicateValues" dxfId="121" priority="5"/>
  </conditionalFormatting>
  <conditionalFormatting sqref="A2420">
    <cfRule type="duplicateValues" dxfId="120" priority="4"/>
  </conditionalFormatting>
  <conditionalFormatting sqref="A2439">
    <cfRule type="duplicateValues" dxfId="119" priority="3"/>
  </conditionalFormatting>
  <conditionalFormatting sqref="A2546">
    <cfRule type="duplicateValues" dxfId="118" priority="1"/>
    <cfRule type="duplicateValues" dxfId="117" priority="2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A861-34BF-4E8B-AFFA-FE6ACD1D44AD}">
  <sheetPr codeName="Hoja3"/>
  <dimension ref="A1:R1577"/>
  <sheetViews>
    <sheetView zoomScale="85" zoomScaleNormal="85" workbookViewId="0">
      <pane ySplit="1" topLeftCell="A2" activePane="bottomLeft" state="frozen"/>
      <selection activeCell="O18" sqref="O18"/>
      <selection pane="bottomLeft" sqref="A1:R1"/>
    </sheetView>
  </sheetViews>
  <sheetFormatPr baseColWidth="10" defaultRowHeight="14.4" x14ac:dyDescent="0.3"/>
  <cols>
    <col min="2" max="2" width="85" bestFit="1" customWidth="1"/>
    <col min="3" max="3" width="41.5546875" customWidth="1"/>
    <col min="4" max="5" width="10.88671875" customWidth="1"/>
    <col min="6" max="6" width="11.21875" customWidth="1"/>
    <col min="7" max="9" width="10.88671875" customWidth="1"/>
    <col min="10" max="10" width="18.21875" customWidth="1"/>
    <col min="11" max="11" width="18.21875" bestFit="1" customWidth="1"/>
    <col min="12" max="12" width="12.88671875" bestFit="1" customWidth="1"/>
    <col min="13" max="13" width="12.88671875" customWidth="1"/>
  </cols>
  <sheetData>
    <row r="1" spans="1:18" ht="28.8" x14ac:dyDescent="0.3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327</v>
      </c>
      <c r="G1" s="49" t="s">
        <v>419</v>
      </c>
      <c r="H1" s="49" t="s">
        <v>420</v>
      </c>
      <c r="I1" s="49" t="s">
        <v>421</v>
      </c>
      <c r="J1" s="1" t="s">
        <v>5</v>
      </c>
      <c r="K1" s="1" t="s">
        <v>908</v>
      </c>
      <c r="L1" s="4" t="s">
        <v>328</v>
      </c>
      <c r="M1" s="4" t="s">
        <v>480</v>
      </c>
      <c r="N1" s="1" t="s">
        <v>906</v>
      </c>
      <c r="O1" s="1" t="s">
        <v>907</v>
      </c>
      <c r="P1" s="1" t="s">
        <v>767</v>
      </c>
      <c r="Q1" s="1" t="s">
        <v>768</v>
      </c>
      <c r="R1" s="1" t="s">
        <v>475</v>
      </c>
    </row>
    <row r="2" spans="1:18" x14ac:dyDescent="0.3">
      <c r="A2" s="13">
        <v>1</v>
      </c>
      <c r="B2" s="13" t="s">
        <v>330</v>
      </c>
      <c r="C2" s="13" t="s">
        <v>129</v>
      </c>
      <c r="D2" s="13" t="s">
        <v>18</v>
      </c>
      <c r="E2" s="13" t="s">
        <v>9</v>
      </c>
      <c r="F2" s="14">
        <v>45107</v>
      </c>
      <c r="G2" s="16">
        <f t="shared" ref="G2:G33" si="0">YEAR(F2)</f>
        <v>2023</v>
      </c>
      <c r="H2" s="6" t="str">
        <f t="shared" ref="H2:H65" si="1">PROPER(TEXT(F2,"mmmm"))</f>
        <v>Junio</v>
      </c>
      <c r="I2" s="6" t="str">
        <f t="shared" ref="I2:I42" si="2">IF(OR(H2="Enero",H2="Febrero",H2="Marzo",H2="Abril",H2="Mayo",H2="Junio"),G2&amp;"-1",IF(OR(H2="Julio",H2="Agosto",H2="Septiembre",H2="Octubre",H2="Noviembre",H2="Diciembre"),G2&amp;"-2"))</f>
        <v>2023-1</v>
      </c>
      <c r="J2" s="13">
        <v>93</v>
      </c>
      <c r="K2" s="13">
        <v>95</v>
      </c>
      <c r="L2" s="15">
        <f t="shared" ref="L2:L12" si="3">IFERROR(IF((K2/J2)&gt;1.3,1.3,K2/J2),"")</f>
        <v>1.021505376344086</v>
      </c>
      <c r="M2" s="15">
        <f t="shared" ref="M2:M17" si="4">IFERROR(K2/J2,"")</f>
        <v>1.021505376344086</v>
      </c>
      <c r="N2" s="5" t="s">
        <v>347</v>
      </c>
      <c r="O2" s="5" t="s">
        <v>347</v>
      </c>
      <c r="P2" s="5">
        <v>0</v>
      </c>
      <c r="Q2" s="5">
        <v>0</v>
      </c>
      <c r="R2" s="5" t="str">
        <f t="shared" ref="R2:R65" si="5">A2&amp;"-"&amp;YEAR(F2)&amp;"-"&amp;IF(LEN(MONTH(F2))=1,"0"&amp;MONTH(F2),MONTH(F2))&amp;"-"&amp;DAY(F2)</f>
        <v>1-2023-06-30</v>
      </c>
    </row>
    <row r="3" spans="1:18" x14ac:dyDescent="0.3">
      <c r="A3" s="13">
        <v>1</v>
      </c>
      <c r="B3" s="13" t="s">
        <v>330</v>
      </c>
      <c r="C3" s="13" t="s">
        <v>129</v>
      </c>
      <c r="D3" s="13" t="s">
        <v>18</v>
      </c>
      <c r="E3" s="13" t="s">
        <v>9</v>
      </c>
      <c r="F3" s="14">
        <v>45291</v>
      </c>
      <c r="G3" s="16">
        <f t="shared" si="0"/>
        <v>2023</v>
      </c>
      <c r="H3" s="6" t="str">
        <f t="shared" si="1"/>
        <v>Diciembre</v>
      </c>
      <c r="I3" s="6" t="str">
        <f t="shared" si="2"/>
        <v>2023-2</v>
      </c>
      <c r="J3" s="13">
        <v>100</v>
      </c>
      <c r="K3" s="13">
        <v>100</v>
      </c>
      <c r="L3" s="15">
        <f t="shared" si="3"/>
        <v>1</v>
      </c>
      <c r="M3" s="15">
        <f t="shared" si="4"/>
        <v>1</v>
      </c>
      <c r="N3" s="5" t="s">
        <v>347</v>
      </c>
      <c r="O3" s="5" t="s">
        <v>347</v>
      </c>
      <c r="P3" s="5">
        <v>0</v>
      </c>
      <c r="Q3" s="5">
        <v>0</v>
      </c>
      <c r="R3" s="5" t="str">
        <f t="shared" si="5"/>
        <v>1-2023-12-31</v>
      </c>
    </row>
    <row r="4" spans="1:18" x14ac:dyDescent="0.3">
      <c r="A4" s="5">
        <v>2</v>
      </c>
      <c r="B4" s="5" t="s">
        <v>331</v>
      </c>
      <c r="C4" s="5" t="s">
        <v>117</v>
      </c>
      <c r="D4" s="5" t="s">
        <v>18</v>
      </c>
      <c r="E4" s="5" t="s">
        <v>9</v>
      </c>
      <c r="F4" s="6">
        <v>44742</v>
      </c>
      <c r="G4" s="16">
        <f t="shared" si="0"/>
        <v>2022</v>
      </c>
      <c r="H4" s="6" t="str">
        <f t="shared" si="1"/>
        <v>Junio</v>
      </c>
      <c r="I4" s="6" t="str">
        <f t="shared" si="2"/>
        <v>2022-1</v>
      </c>
      <c r="J4" s="5">
        <v>33</v>
      </c>
      <c r="K4" s="5">
        <v>33</v>
      </c>
      <c r="L4" s="15">
        <f t="shared" si="3"/>
        <v>1</v>
      </c>
      <c r="M4" s="15">
        <f t="shared" si="4"/>
        <v>1</v>
      </c>
      <c r="N4" s="5" t="s">
        <v>347</v>
      </c>
      <c r="O4" s="5" t="s">
        <v>347</v>
      </c>
      <c r="P4" s="5">
        <v>0</v>
      </c>
      <c r="Q4" s="5">
        <v>0</v>
      </c>
      <c r="R4" s="5" t="str">
        <f t="shared" si="5"/>
        <v>2-2022-06-30</v>
      </c>
    </row>
    <row r="5" spans="1:18" x14ac:dyDescent="0.3">
      <c r="A5" s="5">
        <v>2</v>
      </c>
      <c r="B5" s="5" t="s">
        <v>331</v>
      </c>
      <c r="C5" s="5" t="s">
        <v>117</v>
      </c>
      <c r="D5" s="5" t="s">
        <v>18</v>
      </c>
      <c r="E5" s="5" t="s">
        <v>9</v>
      </c>
      <c r="F5" s="6">
        <v>44926</v>
      </c>
      <c r="G5" s="16">
        <f t="shared" si="0"/>
        <v>2022</v>
      </c>
      <c r="H5" s="6" t="str">
        <f t="shared" si="1"/>
        <v>Diciembre</v>
      </c>
      <c r="I5" s="6" t="str">
        <f t="shared" si="2"/>
        <v>2022-2</v>
      </c>
      <c r="J5" s="5">
        <v>66</v>
      </c>
      <c r="K5" s="5">
        <v>69</v>
      </c>
      <c r="L5" s="15">
        <f t="shared" si="3"/>
        <v>1.0454545454545454</v>
      </c>
      <c r="M5" s="15">
        <f t="shared" si="4"/>
        <v>1.0454545454545454</v>
      </c>
      <c r="N5" s="5" t="s">
        <v>347</v>
      </c>
      <c r="O5" s="5" t="s">
        <v>347</v>
      </c>
      <c r="P5" s="5">
        <v>0</v>
      </c>
      <c r="Q5" s="5">
        <v>0</v>
      </c>
      <c r="R5" s="5" t="str">
        <f t="shared" si="5"/>
        <v>2-2022-12-31</v>
      </c>
    </row>
    <row r="6" spans="1:18" x14ac:dyDescent="0.3">
      <c r="A6" s="5">
        <v>2</v>
      </c>
      <c r="B6" s="5" t="s">
        <v>331</v>
      </c>
      <c r="C6" s="5" t="s">
        <v>117</v>
      </c>
      <c r="D6" s="5" t="s">
        <v>18</v>
      </c>
      <c r="E6" s="5" t="s">
        <v>9</v>
      </c>
      <c r="F6" s="6">
        <v>45107</v>
      </c>
      <c r="G6" s="16">
        <f t="shared" si="0"/>
        <v>2023</v>
      </c>
      <c r="H6" s="6" t="str">
        <f t="shared" si="1"/>
        <v>Junio</v>
      </c>
      <c r="I6" s="6" t="str">
        <f t="shared" si="2"/>
        <v>2023-1</v>
      </c>
      <c r="J6" s="5">
        <v>97</v>
      </c>
      <c r="K6" s="5">
        <v>94</v>
      </c>
      <c r="L6" s="15">
        <f t="shared" si="3"/>
        <v>0.96907216494845361</v>
      </c>
      <c r="M6" s="15">
        <f t="shared" si="4"/>
        <v>0.96907216494845361</v>
      </c>
      <c r="N6" s="5" t="s">
        <v>347</v>
      </c>
      <c r="O6" s="5" t="s">
        <v>347</v>
      </c>
      <c r="P6" s="5">
        <v>0</v>
      </c>
      <c r="Q6" s="5">
        <v>0</v>
      </c>
      <c r="R6" s="5" t="str">
        <f t="shared" si="5"/>
        <v>2-2023-06-30</v>
      </c>
    </row>
    <row r="7" spans="1:18" x14ac:dyDescent="0.3">
      <c r="A7" s="5">
        <v>2</v>
      </c>
      <c r="B7" s="5" t="s">
        <v>331</v>
      </c>
      <c r="C7" s="5" t="s">
        <v>117</v>
      </c>
      <c r="D7" s="5" t="s">
        <v>18</v>
      </c>
      <c r="E7" s="5" t="s">
        <v>9</v>
      </c>
      <c r="F7" s="6">
        <v>45291</v>
      </c>
      <c r="G7" s="16">
        <f t="shared" si="0"/>
        <v>2023</v>
      </c>
      <c r="H7" s="6" t="str">
        <f t="shared" si="1"/>
        <v>Diciembre</v>
      </c>
      <c r="I7" s="6" t="str">
        <f t="shared" si="2"/>
        <v>2023-2</v>
      </c>
      <c r="J7" s="5">
        <v>100</v>
      </c>
      <c r="K7" s="5">
        <v>100</v>
      </c>
      <c r="L7" s="15">
        <f t="shared" si="3"/>
        <v>1</v>
      </c>
      <c r="M7" s="15">
        <f t="shared" si="4"/>
        <v>1</v>
      </c>
      <c r="N7" s="5" t="s">
        <v>347</v>
      </c>
      <c r="O7" s="5" t="s">
        <v>347</v>
      </c>
      <c r="P7" s="5">
        <v>0</v>
      </c>
      <c r="Q7" s="5">
        <v>0</v>
      </c>
      <c r="R7" s="5" t="str">
        <f t="shared" si="5"/>
        <v>2-2023-12-31</v>
      </c>
    </row>
    <row r="8" spans="1:18" x14ac:dyDescent="0.3">
      <c r="A8" s="5">
        <v>3</v>
      </c>
      <c r="B8" s="5" t="s">
        <v>332</v>
      </c>
      <c r="C8" s="5" t="s">
        <v>117</v>
      </c>
      <c r="D8" s="5" t="s">
        <v>18</v>
      </c>
      <c r="E8" s="5" t="s">
        <v>9</v>
      </c>
      <c r="F8" s="6">
        <v>45107</v>
      </c>
      <c r="G8" s="16">
        <f t="shared" si="0"/>
        <v>2023</v>
      </c>
      <c r="H8" s="6" t="str">
        <f t="shared" si="1"/>
        <v>Junio</v>
      </c>
      <c r="I8" s="6" t="str">
        <f t="shared" si="2"/>
        <v>2023-1</v>
      </c>
      <c r="J8" s="5">
        <v>69</v>
      </c>
      <c r="K8" s="5">
        <v>71</v>
      </c>
      <c r="L8" s="15">
        <f t="shared" si="3"/>
        <v>1.0289855072463767</v>
      </c>
      <c r="M8" s="15">
        <f t="shared" si="4"/>
        <v>1.0289855072463767</v>
      </c>
      <c r="N8" s="5" t="s">
        <v>347</v>
      </c>
      <c r="O8" s="5" t="s">
        <v>347</v>
      </c>
      <c r="P8" s="5">
        <v>0</v>
      </c>
      <c r="Q8" s="5">
        <v>0</v>
      </c>
      <c r="R8" s="5" t="str">
        <f t="shared" si="5"/>
        <v>3-2023-06-30</v>
      </c>
    </row>
    <row r="9" spans="1:18" x14ac:dyDescent="0.3">
      <c r="A9" s="13">
        <v>3</v>
      </c>
      <c r="B9" s="13" t="s">
        <v>332</v>
      </c>
      <c r="C9" s="13" t="s">
        <v>45</v>
      </c>
      <c r="D9" s="13" t="s">
        <v>18</v>
      </c>
      <c r="E9" s="13" t="s">
        <v>9</v>
      </c>
      <c r="F9" s="14">
        <v>45291</v>
      </c>
      <c r="G9" s="16">
        <f t="shared" si="0"/>
        <v>2023</v>
      </c>
      <c r="H9" s="6" t="str">
        <f t="shared" si="1"/>
        <v>Diciembre</v>
      </c>
      <c r="I9" s="6" t="str">
        <f t="shared" si="2"/>
        <v>2023-2</v>
      </c>
      <c r="J9" s="13">
        <v>100</v>
      </c>
      <c r="K9" s="13">
        <v>99</v>
      </c>
      <c r="L9" s="15">
        <f t="shared" si="3"/>
        <v>0.99</v>
      </c>
      <c r="M9" s="15">
        <f t="shared" si="4"/>
        <v>0.99</v>
      </c>
      <c r="N9" s="5" t="s">
        <v>347</v>
      </c>
      <c r="O9" s="5" t="s">
        <v>347</v>
      </c>
      <c r="P9" s="5">
        <v>0</v>
      </c>
      <c r="Q9" s="5">
        <v>0</v>
      </c>
      <c r="R9" s="5" t="str">
        <f t="shared" si="5"/>
        <v>3-2023-12-31</v>
      </c>
    </row>
    <row r="10" spans="1:18" x14ac:dyDescent="0.3">
      <c r="A10" s="5">
        <v>4</v>
      </c>
      <c r="B10" s="5" t="s">
        <v>333</v>
      </c>
      <c r="C10" s="5" t="s">
        <v>117</v>
      </c>
      <c r="D10" s="5" t="s">
        <v>18</v>
      </c>
      <c r="E10" s="5" t="s">
        <v>9</v>
      </c>
      <c r="F10" s="6">
        <v>44926</v>
      </c>
      <c r="G10" s="16">
        <f t="shared" si="0"/>
        <v>2022</v>
      </c>
      <c r="H10" s="6" t="str">
        <f t="shared" si="1"/>
        <v>Diciembre</v>
      </c>
      <c r="I10" s="6" t="str">
        <f t="shared" si="2"/>
        <v>2022-2</v>
      </c>
      <c r="J10" s="5">
        <v>39</v>
      </c>
      <c r="K10" s="5">
        <v>37</v>
      </c>
      <c r="L10" s="15">
        <f t="shared" si="3"/>
        <v>0.94871794871794868</v>
      </c>
      <c r="M10" s="15">
        <f t="shared" si="4"/>
        <v>0.94871794871794868</v>
      </c>
      <c r="N10" s="5" t="s">
        <v>347</v>
      </c>
      <c r="O10" s="5" t="s">
        <v>347</v>
      </c>
      <c r="P10" s="5">
        <v>0</v>
      </c>
      <c r="Q10" s="5">
        <v>0</v>
      </c>
      <c r="R10" s="5" t="str">
        <f t="shared" si="5"/>
        <v>4-2022-12-31</v>
      </c>
    </row>
    <row r="11" spans="1:18" x14ac:dyDescent="0.3">
      <c r="A11" s="5">
        <v>4</v>
      </c>
      <c r="B11" s="5" t="s">
        <v>333</v>
      </c>
      <c r="C11" s="5" t="s">
        <v>117</v>
      </c>
      <c r="D11" s="5" t="s">
        <v>18</v>
      </c>
      <c r="E11" s="5" t="s">
        <v>9</v>
      </c>
      <c r="F11" s="6">
        <v>45107</v>
      </c>
      <c r="G11" s="16">
        <f t="shared" si="0"/>
        <v>2023</v>
      </c>
      <c r="H11" s="6" t="str">
        <f t="shared" si="1"/>
        <v>Junio</v>
      </c>
      <c r="I11" s="6" t="str">
        <f t="shared" si="2"/>
        <v>2023-1</v>
      </c>
      <c r="J11" s="5">
        <v>95</v>
      </c>
      <c r="K11" s="5">
        <v>93</v>
      </c>
      <c r="L11" s="15">
        <f t="shared" si="3"/>
        <v>0.97894736842105268</v>
      </c>
      <c r="M11" s="15">
        <f t="shared" si="4"/>
        <v>0.97894736842105268</v>
      </c>
      <c r="N11" s="5" t="s">
        <v>347</v>
      </c>
      <c r="O11" s="5" t="s">
        <v>347</v>
      </c>
      <c r="P11" s="5">
        <v>0</v>
      </c>
      <c r="Q11" s="5">
        <v>0</v>
      </c>
      <c r="R11" s="5" t="str">
        <f t="shared" si="5"/>
        <v>4-2023-06-30</v>
      </c>
    </row>
    <row r="12" spans="1:18" x14ac:dyDescent="0.3">
      <c r="A12" s="13">
        <v>4</v>
      </c>
      <c r="B12" s="13" t="s">
        <v>333</v>
      </c>
      <c r="C12" s="13" t="s">
        <v>342</v>
      </c>
      <c r="D12" s="13" t="s">
        <v>18</v>
      </c>
      <c r="E12" s="13" t="s">
        <v>9</v>
      </c>
      <c r="F12" s="14">
        <v>45291</v>
      </c>
      <c r="G12" s="16">
        <f t="shared" si="0"/>
        <v>2023</v>
      </c>
      <c r="H12" s="6" t="str">
        <f t="shared" si="1"/>
        <v>Diciembre</v>
      </c>
      <c r="I12" s="6" t="str">
        <f t="shared" si="2"/>
        <v>2023-2</v>
      </c>
      <c r="J12" s="13">
        <v>100</v>
      </c>
      <c r="K12" s="13">
        <v>100</v>
      </c>
      <c r="L12" s="15">
        <f t="shared" si="3"/>
        <v>1</v>
      </c>
      <c r="M12" s="15">
        <f t="shared" si="4"/>
        <v>1</v>
      </c>
      <c r="N12" s="5" t="s">
        <v>347</v>
      </c>
      <c r="O12" s="5" t="s">
        <v>347</v>
      </c>
      <c r="P12" s="5">
        <v>0</v>
      </c>
      <c r="Q12" s="5">
        <v>0</v>
      </c>
      <c r="R12" s="5" t="str">
        <f t="shared" si="5"/>
        <v>4-2023-12-31</v>
      </c>
    </row>
    <row r="13" spans="1:18" x14ac:dyDescent="0.3">
      <c r="A13" s="13">
        <v>5</v>
      </c>
      <c r="B13" s="13" t="s">
        <v>334</v>
      </c>
      <c r="C13" s="13" t="s">
        <v>248</v>
      </c>
      <c r="D13" s="13" t="s">
        <v>18</v>
      </c>
      <c r="E13" s="13" t="s">
        <v>9</v>
      </c>
      <c r="F13" s="14">
        <v>45107</v>
      </c>
      <c r="G13" s="16">
        <f t="shared" si="0"/>
        <v>2023</v>
      </c>
      <c r="H13" s="6" t="str">
        <f t="shared" si="1"/>
        <v>Junio</v>
      </c>
      <c r="I13" s="6" t="str">
        <f t="shared" si="2"/>
        <v>2023-1</v>
      </c>
      <c r="J13" s="13">
        <v>64</v>
      </c>
      <c r="K13" s="13">
        <v>64</v>
      </c>
      <c r="L13" s="21">
        <f>IFERROR(K13/J13,"")</f>
        <v>1</v>
      </c>
      <c r="M13" s="15">
        <f t="shared" si="4"/>
        <v>1</v>
      </c>
      <c r="N13" s="5" t="s">
        <v>347</v>
      </c>
      <c r="O13" s="5" t="s">
        <v>347</v>
      </c>
      <c r="P13" s="5">
        <v>0</v>
      </c>
      <c r="Q13" s="5">
        <v>0</v>
      </c>
      <c r="R13" s="5" t="str">
        <f t="shared" si="5"/>
        <v>5-2023-06-30</v>
      </c>
    </row>
    <row r="14" spans="1:18" x14ac:dyDescent="0.3">
      <c r="A14" s="13">
        <v>5</v>
      </c>
      <c r="B14" s="13" t="s">
        <v>334</v>
      </c>
      <c r="C14" s="13" t="s">
        <v>248</v>
      </c>
      <c r="D14" s="13" t="s">
        <v>18</v>
      </c>
      <c r="E14" s="13" t="s">
        <v>9</v>
      </c>
      <c r="F14" s="14">
        <v>45291</v>
      </c>
      <c r="G14" s="16">
        <f t="shared" si="0"/>
        <v>2023</v>
      </c>
      <c r="H14" s="6" t="str">
        <f t="shared" si="1"/>
        <v>Diciembre</v>
      </c>
      <c r="I14" s="6" t="str">
        <f t="shared" si="2"/>
        <v>2023-2</v>
      </c>
      <c r="J14" s="13">
        <v>78</v>
      </c>
      <c r="K14" s="13">
        <v>74</v>
      </c>
      <c r="L14" s="21">
        <f>IFERROR(K14/J14,"")</f>
        <v>0.94871794871794868</v>
      </c>
      <c r="M14" s="15">
        <f t="shared" si="4"/>
        <v>0.94871794871794868</v>
      </c>
      <c r="N14" s="5" t="s">
        <v>347</v>
      </c>
      <c r="O14" s="5" t="s">
        <v>347</v>
      </c>
      <c r="P14" s="5">
        <v>0</v>
      </c>
      <c r="Q14" s="5">
        <v>0</v>
      </c>
      <c r="R14" s="5" t="str">
        <f t="shared" si="5"/>
        <v>5-2023-12-31</v>
      </c>
    </row>
    <row r="15" spans="1:18" x14ac:dyDescent="0.3">
      <c r="A15" s="13">
        <v>5</v>
      </c>
      <c r="B15" s="13" t="s">
        <v>334</v>
      </c>
      <c r="C15" s="13" t="s">
        <v>248</v>
      </c>
      <c r="D15" s="13" t="s">
        <v>18</v>
      </c>
      <c r="E15" s="13" t="s">
        <v>9</v>
      </c>
      <c r="F15" s="14">
        <v>45473</v>
      </c>
      <c r="G15" s="16">
        <f t="shared" si="0"/>
        <v>2024</v>
      </c>
      <c r="H15" s="6" t="str">
        <f t="shared" si="1"/>
        <v>Junio</v>
      </c>
      <c r="I15" s="6" t="str">
        <f t="shared" si="2"/>
        <v>2024-1</v>
      </c>
      <c r="J15" s="5">
        <v>100</v>
      </c>
      <c r="K15" s="5">
        <v>100</v>
      </c>
      <c r="L15" s="21">
        <f>IFERROR(K15/J15,"")</f>
        <v>1</v>
      </c>
      <c r="M15" s="15">
        <f t="shared" si="4"/>
        <v>1</v>
      </c>
      <c r="N15" s="5" t="s">
        <v>347</v>
      </c>
      <c r="O15" s="5" t="s">
        <v>347</v>
      </c>
      <c r="P15" s="5">
        <v>0</v>
      </c>
      <c r="Q15" s="5">
        <v>0</v>
      </c>
      <c r="R15" s="5" t="str">
        <f t="shared" si="5"/>
        <v>5-2024-06-30</v>
      </c>
    </row>
    <row r="16" spans="1:18" x14ac:dyDescent="0.3">
      <c r="A16" s="5">
        <v>6</v>
      </c>
      <c r="B16" s="5" t="s">
        <v>335</v>
      </c>
      <c r="C16" s="13" t="s">
        <v>343</v>
      </c>
      <c r="D16" s="5" t="s">
        <v>18</v>
      </c>
      <c r="E16" s="5" t="s">
        <v>9</v>
      </c>
      <c r="F16" s="6">
        <v>45107</v>
      </c>
      <c r="G16" s="16">
        <f t="shared" si="0"/>
        <v>2023</v>
      </c>
      <c r="H16" s="6" t="str">
        <f t="shared" si="1"/>
        <v>Junio</v>
      </c>
      <c r="I16" s="6" t="str">
        <f t="shared" si="2"/>
        <v>2023-1</v>
      </c>
      <c r="J16" s="5">
        <v>20</v>
      </c>
      <c r="K16" s="5">
        <v>11</v>
      </c>
      <c r="L16" s="15">
        <f>IFERROR(IF((K16/J16)&gt;1.3,1.3,K16/J16),"")</f>
        <v>0.55000000000000004</v>
      </c>
      <c r="M16" s="15">
        <f t="shared" si="4"/>
        <v>0.55000000000000004</v>
      </c>
      <c r="N16" s="5" t="s">
        <v>347</v>
      </c>
      <c r="O16" s="5" t="s">
        <v>347</v>
      </c>
      <c r="P16" s="5">
        <v>0</v>
      </c>
      <c r="Q16" s="5">
        <v>0</v>
      </c>
      <c r="R16" s="5" t="str">
        <f t="shared" si="5"/>
        <v>6-2023-06-30</v>
      </c>
    </row>
    <row r="17" spans="1:18" x14ac:dyDescent="0.3">
      <c r="A17" s="13">
        <v>6</v>
      </c>
      <c r="B17" s="13" t="s">
        <v>335</v>
      </c>
      <c r="C17" s="13" t="s">
        <v>343</v>
      </c>
      <c r="D17" s="13" t="s">
        <v>18</v>
      </c>
      <c r="E17" s="13" t="s">
        <v>9</v>
      </c>
      <c r="F17" s="14">
        <v>45291</v>
      </c>
      <c r="G17" s="16">
        <f t="shared" si="0"/>
        <v>2023</v>
      </c>
      <c r="H17" s="6" t="str">
        <f t="shared" si="1"/>
        <v>Diciembre</v>
      </c>
      <c r="I17" s="6" t="str">
        <f t="shared" si="2"/>
        <v>2023-2</v>
      </c>
      <c r="J17" s="13">
        <v>98</v>
      </c>
      <c r="K17" s="13">
        <v>95</v>
      </c>
      <c r="L17" s="15">
        <f>IFERROR(IF((K17/J17)&gt;1.3,1.3,K17/J17),"")</f>
        <v>0.96938775510204078</v>
      </c>
      <c r="M17" s="15">
        <f t="shared" si="4"/>
        <v>0.96938775510204078</v>
      </c>
      <c r="N17" s="5" t="s">
        <v>347</v>
      </c>
      <c r="O17" s="5" t="s">
        <v>347</v>
      </c>
      <c r="P17" s="5">
        <v>0</v>
      </c>
      <c r="Q17" s="5">
        <v>0</v>
      </c>
      <c r="R17" s="5" t="str">
        <f t="shared" si="5"/>
        <v>6-2023-12-31</v>
      </c>
    </row>
    <row r="18" spans="1:18" x14ac:dyDescent="0.3">
      <c r="A18" s="13">
        <v>6</v>
      </c>
      <c r="B18" s="13" t="s">
        <v>335</v>
      </c>
      <c r="C18" s="13" t="s">
        <v>343</v>
      </c>
      <c r="D18" s="13" t="s">
        <v>18</v>
      </c>
      <c r="E18" s="13" t="s">
        <v>9</v>
      </c>
      <c r="F18" s="14">
        <v>45473</v>
      </c>
      <c r="G18" s="5">
        <f t="shared" si="0"/>
        <v>2024</v>
      </c>
      <c r="H18" s="5" t="str">
        <f t="shared" si="1"/>
        <v>Junio</v>
      </c>
      <c r="I18" s="6" t="str">
        <f t="shared" si="2"/>
        <v>2024-1</v>
      </c>
      <c r="J18" s="13">
        <v>100</v>
      </c>
      <c r="K18" s="13">
        <v>99</v>
      </c>
      <c r="L18" s="15">
        <v>0.99</v>
      </c>
      <c r="M18" s="15">
        <v>0.99</v>
      </c>
      <c r="N18" s="5" t="s">
        <v>347</v>
      </c>
      <c r="O18" s="5" t="s">
        <v>347</v>
      </c>
      <c r="P18" s="5">
        <v>0</v>
      </c>
      <c r="Q18" s="5">
        <v>0</v>
      </c>
      <c r="R18" s="5" t="str">
        <f t="shared" si="5"/>
        <v>6-2024-06-30</v>
      </c>
    </row>
    <row r="19" spans="1:18" x14ac:dyDescent="0.3">
      <c r="A19" s="13">
        <v>6</v>
      </c>
      <c r="B19" s="13" t="s">
        <v>335</v>
      </c>
      <c r="C19" s="13" t="s">
        <v>343</v>
      </c>
      <c r="D19" s="13" t="s">
        <v>18</v>
      </c>
      <c r="E19" s="13" t="s">
        <v>9</v>
      </c>
      <c r="F19" s="14">
        <v>45657</v>
      </c>
      <c r="G19" s="16">
        <f t="shared" si="0"/>
        <v>2024</v>
      </c>
      <c r="H19" s="6" t="str">
        <f t="shared" si="1"/>
        <v>Diciembre</v>
      </c>
      <c r="I19" s="6" t="str">
        <f t="shared" si="2"/>
        <v>2024-2</v>
      </c>
      <c r="J19" s="13">
        <v>100</v>
      </c>
      <c r="K19" s="13">
        <v>100</v>
      </c>
      <c r="L19" s="15">
        <f>IFERROR(IF((K19/J19)&gt;1.3,1.3,K19/J19),"")</f>
        <v>1</v>
      </c>
      <c r="M19" s="15">
        <f t="shared" ref="M19:M27" si="6">IFERROR(K19/J19,"")</f>
        <v>1</v>
      </c>
      <c r="N19" s="5" t="s">
        <v>347</v>
      </c>
      <c r="O19" s="5" t="s">
        <v>347</v>
      </c>
      <c r="P19" s="5">
        <v>0</v>
      </c>
      <c r="Q19" s="5">
        <v>0</v>
      </c>
      <c r="R19" s="5" t="str">
        <f t="shared" si="5"/>
        <v>6-2024-12-31</v>
      </c>
    </row>
    <row r="20" spans="1:18" x14ac:dyDescent="0.3">
      <c r="A20" s="5">
        <v>7</v>
      </c>
      <c r="B20" s="5" t="s">
        <v>336</v>
      </c>
      <c r="C20" s="5" t="s">
        <v>117</v>
      </c>
      <c r="D20" s="5" t="s">
        <v>18</v>
      </c>
      <c r="E20" s="5" t="s">
        <v>9</v>
      </c>
      <c r="F20" s="6">
        <v>45107</v>
      </c>
      <c r="G20" s="16">
        <f t="shared" si="0"/>
        <v>2023</v>
      </c>
      <c r="H20" s="6" t="str">
        <f t="shared" si="1"/>
        <v>Junio</v>
      </c>
      <c r="I20" s="6" t="str">
        <f t="shared" si="2"/>
        <v>2023-1</v>
      </c>
      <c r="J20" s="5">
        <v>81</v>
      </c>
      <c r="K20" s="5">
        <v>70</v>
      </c>
      <c r="L20" s="15">
        <f>IFERROR(IF((K20/J20)&gt;1.3,1.3,K20/J20),"")</f>
        <v>0.86419753086419748</v>
      </c>
      <c r="M20" s="15">
        <f t="shared" si="6"/>
        <v>0.86419753086419748</v>
      </c>
      <c r="N20" s="5" t="s">
        <v>347</v>
      </c>
      <c r="O20" s="5" t="s">
        <v>347</v>
      </c>
      <c r="P20" s="5">
        <v>0</v>
      </c>
      <c r="Q20" s="5">
        <v>0</v>
      </c>
      <c r="R20" s="5" t="str">
        <f t="shared" si="5"/>
        <v>7-2023-06-30</v>
      </c>
    </row>
    <row r="21" spans="1:18" x14ac:dyDescent="0.3">
      <c r="A21" s="13">
        <v>7</v>
      </c>
      <c r="B21" s="13" t="s">
        <v>336</v>
      </c>
      <c r="C21" s="13" t="s">
        <v>343</v>
      </c>
      <c r="D21" s="13" t="s">
        <v>18</v>
      </c>
      <c r="E21" s="13" t="s">
        <v>9</v>
      </c>
      <c r="F21" s="14">
        <v>45291</v>
      </c>
      <c r="G21" s="16">
        <f t="shared" si="0"/>
        <v>2023</v>
      </c>
      <c r="H21" s="6" t="str">
        <f t="shared" si="1"/>
        <v>Diciembre</v>
      </c>
      <c r="I21" s="6" t="str">
        <f t="shared" si="2"/>
        <v>2023-2</v>
      </c>
      <c r="J21" s="13">
        <v>98</v>
      </c>
      <c r="K21" s="13">
        <v>84</v>
      </c>
      <c r="L21" s="15">
        <f>IFERROR(IF((K21/J21)&gt;1.3,1.3,K21/J21),"")</f>
        <v>0.8571428571428571</v>
      </c>
      <c r="M21" s="15">
        <f t="shared" si="6"/>
        <v>0.8571428571428571</v>
      </c>
      <c r="N21" s="5" t="s">
        <v>347</v>
      </c>
      <c r="O21" s="5" t="s">
        <v>347</v>
      </c>
      <c r="P21" s="5">
        <v>0</v>
      </c>
      <c r="Q21" s="5">
        <v>0</v>
      </c>
      <c r="R21" s="5" t="str">
        <f t="shared" si="5"/>
        <v>7-2023-12-31</v>
      </c>
    </row>
    <row r="22" spans="1:18" x14ac:dyDescent="0.3">
      <c r="A22" s="13">
        <v>7</v>
      </c>
      <c r="B22" s="13" t="s">
        <v>336</v>
      </c>
      <c r="C22" s="13" t="s">
        <v>343</v>
      </c>
      <c r="D22" s="13" t="s">
        <v>18</v>
      </c>
      <c r="E22" s="13" t="s">
        <v>9</v>
      </c>
      <c r="F22" s="14">
        <v>45473</v>
      </c>
      <c r="G22" s="5">
        <f t="shared" si="0"/>
        <v>2024</v>
      </c>
      <c r="H22" s="5" t="str">
        <f t="shared" si="1"/>
        <v>Junio</v>
      </c>
      <c r="I22" s="6" t="str">
        <f t="shared" si="2"/>
        <v>2024-1</v>
      </c>
      <c r="J22" s="13">
        <v>100</v>
      </c>
      <c r="K22" s="13">
        <v>91</v>
      </c>
      <c r="L22" s="15">
        <f>IFERROR(IF((K22/J22)&gt;1.3,1.3,K22/J22),"")</f>
        <v>0.91</v>
      </c>
      <c r="M22" s="15">
        <f t="shared" si="6"/>
        <v>0.91</v>
      </c>
      <c r="N22" s="5" t="s">
        <v>347</v>
      </c>
      <c r="O22" s="5" t="s">
        <v>347</v>
      </c>
      <c r="P22" s="5">
        <v>0</v>
      </c>
      <c r="Q22" s="5">
        <v>0</v>
      </c>
      <c r="R22" s="5" t="str">
        <f t="shared" si="5"/>
        <v>7-2024-06-30</v>
      </c>
    </row>
    <row r="23" spans="1:18" x14ac:dyDescent="0.3">
      <c r="A23" s="13">
        <v>7</v>
      </c>
      <c r="B23" s="13" t="s">
        <v>336</v>
      </c>
      <c r="C23" s="13" t="s">
        <v>343</v>
      </c>
      <c r="D23" s="13" t="s">
        <v>18</v>
      </c>
      <c r="E23" s="13" t="s">
        <v>9</v>
      </c>
      <c r="F23" s="14">
        <v>45657</v>
      </c>
      <c r="G23" s="5">
        <f t="shared" si="0"/>
        <v>2024</v>
      </c>
      <c r="H23" s="5" t="str">
        <f t="shared" si="1"/>
        <v>Diciembre</v>
      </c>
      <c r="I23" s="6" t="str">
        <f t="shared" si="2"/>
        <v>2024-2</v>
      </c>
      <c r="J23" s="13">
        <v>100</v>
      </c>
      <c r="K23" s="13">
        <v>100</v>
      </c>
      <c r="L23" s="15">
        <f>IFERROR(IF((K23/J23)&gt;1.3,1.3,K23/J23),"")</f>
        <v>1</v>
      </c>
      <c r="M23" s="15">
        <f t="shared" si="6"/>
        <v>1</v>
      </c>
      <c r="N23" s="5" t="s">
        <v>347</v>
      </c>
      <c r="O23" s="5" t="s">
        <v>347</v>
      </c>
      <c r="P23" s="5">
        <v>0</v>
      </c>
      <c r="Q23" s="5">
        <v>0</v>
      </c>
      <c r="R23" s="5" t="str">
        <f t="shared" si="5"/>
        <v>7-2024-12-31</v>
      </c>
    </row>
    <row r="24" spans="1:18" x14ac:dyDescent="0.3">
      <c r="A24" s="13">
        <v>8</v>
      </c>
      <c r="B24" s="13" t="s">
        <v>337</v>
      </c>
      <c r="C24" s="13" t="s">
        <v>129</v>
      </c>
      <c r="D24" s="13" t="s">
        <v>18</v>
      </c>
      <c r="E24" s="13" t="s">
        <v>9</v>
      </c>
      <c r="F24" s="14">
        <v>45107</v>
      </c>
      <c r="G24" s="16">
        <f t="shared" si="0"/>
        <v>2023</v>
      </c>
      <c r="H24" s="6" t="str">
        <f t="shared" si="1"/>
        <v>Junio</v>
      </c>
      <c r="I24" s="6" t="str">
        <f t="shared" si="2"/>
        <v>2023-1</v>
      </c>
      <c r="J24" s="13">
        <v>65</v>
      </c>
      <c r="K24" s="13">
        <v>75</v>
      </c>
      <c r="L24" s="21">
        <f>IFERROR(K24/J24,"")</f>
        <v>1.1538461538461537</v>
      </c>
      <c r="M24" s="15">
        <f t="shared" si="6"/>
        <v>1.1538461538461537</v>
      </c>
      <c r="N24" s="5" t="s">
        <v>347</v>
      </c>
      <c r="O24" s="5" t="s">
        <v>347</v>
      </c>
      <c r="P24" s="5">
        <v>0</v>
      </c>
      <c r="Q24" s="5">
        <v>0</v>
      </c>
      <c r="R24" s="5" t="str">
        <f t="shared" si="5"/>
        <v>8-2023-06-30</v>
      </c>
    </row>
    <row r="25" spans="1:18" x14ac:dyDescent="0.3">
      <c r="A25" s="13">
        <v>8</v>
      </c>
      <c r="B25" s="13" t="s">
        <v>337</v>
      </c>
      <c r="C25" s="13" t="s">
        <v>129</v>
      </c>
      <c r="D25" s="13" t="s">
        <v>18</v>
      </c>
      <c r="E25" s="13" t="s">
        <v>9</v>
      </c>
      <c r="F25" s="14">
        <v>45291</v>
      </c>
      <c r="G25" s="16">
        <f t="shared" si="0"/>
        <v>2023</v>
      </c>
      <c r="H25" s="6" t="str">
        <f t="shared" si="1"/>
        <v>Diciembre</v>
      </c>
      <c r="I25" s="6" t="str">
        <f t="shared" si="2"/>
        <v>2023-2</v>
      </c>
      <c r="J25" s="13">
        <v>100</v>
      </c>
      <c r="K25" s="13">
        <v>100</v>
      </c>
      <c r="L25" s="21">
        <f>IFERROR(K25/J25,"")</f>
        <v>1</v>
      </c>
      <c r="M25" s="15">
        <f t="shared" si="6"/>
        <v>1</v>
      </c>
      <c r="N25" s="5" t="s">
        <v>347</v>
      </c>
      <c r="O25" s="5" t="s">
        <v>347</v>
      </c>
      <c r="P25" s="5">
        <v>0</v>
      </c>
      <c r="Q25" s="5">
        <v>0</v>
      </c>
      <c r="R25" s="5" t="str">
        <f t="shared" si="5"/>
        <v>8-2023-12-31</v>
      </c>
    </row>
    <row r="26" spans="1:18" x14ac:dyDescent="0.3">
      <c r="A26" s="5">
        <v>9</v>
      </c>
      <c r="B26" s="5" t="s">
        <v>338</v>
      </c>
      <c r="C26" s="5" t="s">
        <v>117</v>
      </c>
      <c r="D26" s="5" t="s">
        <v>18</v>
      </c>
      <c r="E26" s="5" t="s">
        <v>9</v>
      </c>
      <c r="F26" s="6">
        <v>45107</v>
      </c>
      <c r="G26" s="16">
        <f t="shared" si="0"/>
        <v>2023</v>
      </c>
      <c r="H26" s="6" t="str">
        <f t="shared" si="1"/>
        <v>Junio</v>
      </c>
      <c r="I26" s="6" t="str">
        <f t="shared" si="2"/>
        <v>2023-1</v>
      </c>
      <c r="J26" s="5">
        <v>50</v>
      </c>
      <c r="K26" s="5">
        <v>36</v>
      </c>
      <c r="L26" s="15">
        <f>IFERROR(IF((K26/J26)&gt;1.3,1.3,K26/J26),"")</f>
        <v>0.72</v>
      </c>
      <c r="M26" s="15">
        <f t="shared" si="6"/>
        <v>0.72</v>
      </c>
      <c r="N26" s="5" t="s">
        <v>347</v>
      </c>
      <c r="O26" s="5" t="s">
        <v>347</v>
      </c>
      <c r="P26" s="5">
        <v>0</v>
      </c>
      <c r="Q26" s="5">
        <v>0</v>
      </c>
      <c r="R26" s="5" t="str">
        <f t="shared" si="5"/>
        <v>9-2023-06-30</v>
      </c>
    </row>
    <row r="27" spans="1:18" x14ac:dyDescent="0.3">
      <c r="A27" s="13">
        <v>9</v>
      </c>
      <c r="B27" s="13" t="s">
        <v>338</v>
      </c>
      <c r="C27" s="13" t="s">
        <v>343</v>
      </c>
      <c r="D27" s="13" t="s">
        <v>18</v>
      </c>
      <c r="E27" s="13" t="s">
        <v>9</v>
      </c>
      <c r="F27" s="14">
        <v>45291</v>
      </c>
      <c r="G27" s="16">
        <f t="shared" si="0"/>
        <v>2023</v>
      </c>
      <c r="H27" s="6" t="str">
        <f t="shared" si="1"/>
        <v>Diciembre</v>
      </c>
      <c r="I27" s="6" t="str">
        <f t="shared" si="2"/>
        <v>2023-2</v>
      </c>
      <c r="J27" s="13">
        <v>98</v>
      </c>
      <c r="K27" s="13">
        <v>95</v>
      </c>
      <c r="L27" s="15">
        <f>IFERROR(IF((K27/J27)&gt;1.3,1.3,K27/J27),"")</f>
        <v>0.96938775510204078</v>
      </c>
      <c r="M27" s="15">
        <f t="shared" si="6"/>
        <v>0.96938775510204078</v>
      </c>
      <c r="N27" s="5" t="s">
        <v>347</v>
      </c>
      <c r="O27" s="5" t="s">
        <v>347</v>
      </c>
      <c r="P27" s="5">
        <v>0</v>
      </c>
      <c r="Q27" s="5">
        <v>0</v>
      </c>
      <c r="R27" s="5" t="str">
        <f t="shared" si="5"/>
        <v>9-2023-12-31</v>
      </c>
    </row>
    <row r="28" spans="1:18" x14ac:dyDescent="0.3">
      <c r="A28" s="13">
        <v>9</v>
      </c>
      <c r="B28" s="13" t="s">
        <v>338</v>
      </c>
      <c r="C28" s="13" t="s">
        <v>343</v>
      </c>
      <c r="D28" s="13" t="s">
        <v>18</v>
      </c>
      <c r="E28" s="13" t="s">
        <v>9</v>
      </c>
      <c r="F28" s="14">
        <v>45473</v>
      </c>
      <c r="G28" s="5">
        <f t="shared" si="0"/>
        <v>2024</v>
      </c>
      <c r="H28" s="5" t="str">
        <f t="shared" si="1"/>
        <v>Junio</v>
      </c>
      <c r="I28" s="6" t="str">
        <f t="shared" si="2"/>
        <v>2024-1</v>
      </c>
      <c r="J28" s="13">
        <v>100</v>
      </c>
      <c r="K28" s="13">
        <v>100</v>
      </c>
      <c r="L28" s="15">
        <v>1</v>
      </c>
      <c r="M28" s="15">
        <v>1</v>
      </c>
      <c r="N28" s="5" t="s">
        <v>347</v>
      </c>
      <c r="O28" s="5" t="s">
        <v>347</v>
      </c>
      <c r="P28" s="5">
        <v>0</v>
      </c>
      <c r="Q28" s="5">
        <v>0</v>
      </c>
      <c r="R28" s="5" t="str">
        <f t="shared" si="5"/>
        <v>9-2024-06-30</v>
      </c>
    </row>
    <row r="29" spans="1:18" x14ac:dyDescent="0.3">
      <c r="A29" s="5">
        <v>10</v>
      </c>
      <c r="B29" s="5" t="s">
        <v>339</v>
      </c>
      <c r="C29" s="5" t="s">
        <v>117</v>
      </c>
      <c r="D29" s="5" t="s">
        <v>18</v>
      </c>
      <c r="E29" s="5" t="s">
        <v>9</v>
      </c>
      <c r="F29" s="6">
        <v>45107</v>
      </c>
      <c r="G29" s="16">
        <f t="shared" si="0"/>
        <v>2023</v>
      </c>
      <c r="H29" s="6" t="str">
        <f t="shared" si="1"/>
        <v>Junio</v>
      </c>
      <c r="I29" s="6" t="str">
        <f t="shared" si="2"/>
        <v>2023-1</v>
      </c>
      <c r="J29" s="5">
        <v>35</v>
      </c>
      <c r="K29" s="5">
        <v>32</v>
      </c>
      <c r="L29" s="15">
        <f>IFERROR(IF((K29/J29)&gt;1.3,1.3,K29/J29),"")</f>
        <v>0.91428571428571426</v>
      </c>
      <c r="M29" s="15">
        <f>IFERROR(K29/J29,"")</f>
        <v>0.91428571428571426</v>
      </c>
      <c r="N29" s="5" t="s">
        <v>347</v>
      </c>
      <c r="O29" s="5" t="s">
        <v>347</v>
      </c>
      <c r="P29" s="5">
        <v>0</v>
      </c>
      <c r="Q29" s="5">
        <v>0</v>
      </c>
      <c r="R29" s="5" t="str">
        <f t="shared" si="5"/>
        <v>10-2023-06-30</v>
      </c>
    </row>
    <row r="30" spans="1:18" x14ac:dyDescent="0.3">
      <c r="A30" s="13">
        <v>10</v>
      </c>
      <c r="B30" s="13" t="s">
        <v>339</v>
      </c>
      <c r="C30" s="13" t="s">
        <v>209</v>
      </c>
      <c r="D30" s="13" t="s">
        <v>18</v>
      </c>
      <c r="E30" s="13" t="s">
        <v>9</v>
      </c>
      <c r="F30" s="14">
        <v>45291</v>
      </c>
      <c r="G30" s="16">
        <f t="shared" si="0"/>
        <v>2023</v>
      </c>
      <c r="H30" s="6" t="str">
        <f t="shared" si="1"/>
        <v>Diciembre</v>
      </c>
      <c r="I30" s="6" t="str">
        <f t="shared" si="2"/>
        <v>2023-2</v>
      </c>
      <c r="J30" s="13">
        <v>47</v>
      </c>
      <c r="K30" s="13">
        <v>47</v>
      </c>
      <c r="L30" s="15">
        <f>IFERROR(IF((K30/J30)&gt;1.3,1.3,K30/J30),"")</f>
        <v>1</v>
      </c>
      <c r="M30" s="15">
        <f>IFERROR(K30/J30,"")</f>
        <v>1</v>
      </c>
      <c r="N30" s="5" t="s">
        <v>347</v>
      </c>
      <c r="O30" s="5" t="s">
        <v>347</v>
      </c>
      <c r="P30" s="5">
        <v>0</v>
      </c>
      <c r="Q30" s="5">
        <v>0</v>
      </c>
      <c r="R30" s="5" t="str">
        <f t="shared" si="5"/>
        <v>10-2023-12-31</v>
      </c>
    </row>
    <row r="31" spans="1:18" x14ac:dyDescent="0.3">
      <c r="A31" s="13">
        <v>10</v>
      </c>
      <c r="B31" s="13" t="s">
        <v>339</v>
      </c>
      <c r="C31" s="13" t="s">
        <v>209</v>
      </c>
      <c r="D31" s="13" t="s">
        <v>18</v>
      </c>
      <c r="E31" s="13" t="s">
        <v>9</v>
      </c>
      <c r="F31" s="14">
        <v>45473</v>
      </c>
      <c r="G31" s="5">
        <f t="shared" si="0"/>
        <v>2024</v>
      </c>
      <c r="H31" s="5" t="str">
        <f t="shared" si="1"/>
        <v>Junio</v>
      </c>
      <c r="I31" s="6" t="str">
        <f t="shared" si="2"/>
        <v>2024-1</v>
      </c>
      <c r="J31" s="13">
        <v>69</v>
      </c>
      <c r="K31" s="13">
        <v>69</v>
      </c>
      <c r="L31" s="15">
        <v>1</v>
      </c>
      <c r="M31" s="15">
        <v>1</v>
      </c>
      <c r="N31" s="5" t="s">
        <v>347</v>
      </c>
      <c r="O31" s="5" t="s">
        <v>347</v>
      </c>
      <c r="P31" s="5">
        <v>0</v>
      </c>
      <c r="Q31" s="5">
        <v>0</v>
      </c>
      <c r="R31" s="5" t="str">
        <f t="shared" si="5"/>
        <v>10-2024-06-30</v>
      </c>
    </row>
    <row r="32" spans="1:18" x14ac:dyDescent="0.3">
      <c r="A32" s="13">
        <v>10</v>
      </c>
      <c r="B32" s="13" t="s">
        <v>339</v>
      </c>
      <c r="C32" s="13" t="s">
        <v>209</v>
      </c>
      <c r="D32" s="13" t="s">
        <v>18</v>
      </c>
      <c r="E32" s="13" t="s">
        <v>9</v>
      </c>
      <c r="F32" s="14">
        <v>45657</v>
      </c>
      <c r="G32" s="5">
        <f t="shared" si="0"/>
        <v>2024</v>
      </c>
      <c r="H32" s="5" t="str">
        <f t="shared" si="1"/>
        <v>Diciembre</v>
      </c>
      <c r="I32" s="6" t="str">
        <f t="shared" si="2"/>
        <v>2024-2</v>
      </c>
      <c r="J32" s="13">
        <v>100</v>
      </c>
      <c r="K32" s="13">
        <v>100</v>
      </c>
      <c r="L32" s="15">
        <v>1</v>
      </c>
      <c r="M32" s="15">
        <v>1</v>
      </c>
      <c r="N32" s="5" t="s">
        <v>347</v>
      </c>
      <c r="O32" s="5" t="s">
        <v>347</v>
      </c>
      <c r="P32" s="5">
        <v>0</v>
      </c>
      <c r="Q32" s="5">
        <v>0</v>
      </c>
      <c r="R32" s="5" t="str">
        <f t="shared" si="5"/>
        <v>10-2024-12-31</v>
      </c>
    </row>
    <row r="33" spans="1:18" x14ac:dyDescent="0.3">
      <c r="A33" s="5">
        <v>11</v>
      </c>
      <c r="B33" s="5" t="s">
        <v>540</v>
      </c>
      <c r="C33" s="5" t="s">
        <v>145</v>
      </c>
      <c r="D33" s="5" t="s">
        <v>18</v>
      </c>
      <c r="E33" s="5" t="s">
        <v>9</v>
      </c>
      <c r="F33" s="6">
        <v>45107</v>
      </c>
      <c r="G33" s="16">
        <f t="shared" si="0"/>
        <v>2023</v>
      </c>
      <c r="H33" s="6" t="str">
        <f t="shared" si="1"/>
        <v>Junio</v>
      </c>
      <c r="I33" s="6" t="str">
        <f t="shared" si="2"/>
        <v>2023-1</v>
      </c>
      <c r="J33" s="5">
        <v>67</v>
      </c>
      <c r="K33" s="5">
        <v>58</v>
      </c>
      <c r="L33" s="15">
        <f t="shared" ref="L33:L41" si="7">IFERROR(IF((K33/J33)&gt;1.3,1.3,K33/J33),"")</f>
        <v>0.86567164179104472</v>
      </c>
      <c r="M33" s="15">
        <f t="shared" ref="M33:M41" si="8">IFERROR(K33/J33,"")</f>
        <v>0.86567164179104472</v>
      </c>
      <c r="N33" s="5" t="s">
        <v>347</v>
      </c>
      <c r="O33" s="5" t="s">
        <v>347</v>
      </c>
      <c r="P33" s="5">
        <v>0</v>
      </c>
      <c r="Q33" s="5">
        <v>0</v>
      </c>
      <c r="R33" s="5" t="str">
        <f t="shared" si="5"/>
        <v>11-2023-06-30</v>
      </c>
    </row>
    <row r="34" spans="1:18" x14ac:dyDescent="0.3">
      <c r="A34" s="13">
        <v>11</v>
      </c>
      <c r="B34" s="13" t="s">
        <v>541</v>
      </c>
      <c r="C34" s="13" t="s">
        <v>145</v>
      </c>
      <c r="D34" s="13" t="s">
        <v>18</v>
      </c>
      <c r="E34" s="13" t="s">
        <v>9</v>
      </c>
      <c r="F34" s="14">
        <v>45291</v>
      </c>
      <c r="G34" s="16">
        <f t="shared" ref="G34:G65" si="9">YEAR(F34)</f>
        <v>2023</v>
      </c>
      <c r="H34" s="6" t="str">
        <f t="shared" si="1"/>
        <v>Diciembre</v>
      </c>
      <c r="I34" s="6" t="str">
        <f t="shared" si="2"/>
        <v>2023-2</v>
      </c>
      <c r="J34" s="13">
        <v>81</v>
      </c>
      <c r="K34" s="13">
        <v>67</v>
      </c>
      <c r="L34" s="15">
        <f t="shared" si="7"/>
        <v>0.8271604938271605</v>
      </c>
      <c r="M34" s="15">
        <f t="shared" si="8"/>
        <v>0.8271604938271605</v>
      </c>
      <c r="N34" s="5" t="s">
        <v>347</v>
      </c>
      <c r="O34" s="5" t="s">
        <v>347</v>
      </c>
      <c r="P34" s="5">
        <v>0</v>
      </c>
      <c r="Q34" s="5">
        <v>0</v>
      </c>
      <c r="R34" s="5" t="str">
        <f t="shared" si="5"/>
        <v>11-2023-12-31</v>
      </c>
    </row>
    <row r="35" spans="1:18" x14ac:dyDescent="0.3">
      <c r="A35" s="13">
        <v>11</v>
      </c>
      <c r="B35" s="13" t="s">
        <v>541</v>
      </c>
      <c r="C35" s="13" t="s">
        <v>145</v>
      </c>
      <c r="D35" s="13" t="s">
        <v>18</v>
      </c>
      <c r="E35" s="13" t="s">
        <v>9</v>
      </c>
      <c r="F35" s="14">
        <v>45473</v>
      </c>
      <c r="G35" s="5">
        <f t="shared" si="9"/>
        <v>2024</v>
      </c>
      <c r="H35" s="5" t="str">
        <f t="shared" si="1"/>
        <v>Junio</v>
      </c>
      <c r="I35" s="6" t="str">
        <f t="shared" si="2"/>
        <v>2024-1</v>
      </c>
      <c r="J35" s="13">
        <v>97</v>
      </c>
      <c r="K35" s="13">
        <v>93</v>
      </c>
      <c r="L35" s="15">
        <f t="shared" si="7"/>
        <v>0.95876288659793818</v>
      </c>
      <c r="M35" s="15">
        <f t="shared" si="8"/>
        <v>0.95876288659793818</v>
      </c>
      <c r="N35" s="5" t="s">
        <v>347</v>
      </c>
      <c r="O35" s="5" t="s">
        <v>347</v>
      </c>
      <c r="P35" s="5">
        <v>0</v>
      </c>
      <c r="Q35" s="5">
        <v>0</v>
      </c>
      <c r="R35" s="5" t="str">
        <f t="shared" si="5"/>
        <v>11-2024-06-30</v>
      </c>
    </row>
    <row r="36" spans="1:18" x14ac:dyDescent="0.3">
      <c r="A36" s="13">
        <v>11</v>
      </c>
      <c r="B36" s="13" t="s">
        <v>541</v>
      </c>
      <c r="C36" s="13" t="s">
        <v>145</v>
      </c>
      <c r="D36" s="13" t="s">
        <v>18</v>
      </c>
      <c r="E36" s="13" t="s">
        <v>9</v>
      </c>
      <c r="F36" s="14">
        <v>45473</v>
      </c>
      <c r="G36" s="5">
        <f t="shared" si="9"/>
        <v>2024</v>
      </c>
      <c r="H36" s="5" t="str">
        <f t="shared" si="1"/>
        <v>Junio</v>
      </c>
      <c r="I36" s="6" t="str">
        <f t="shared" si="2"/>
        <v>2024-1</v>
      </c>
      <c r="J36" s="13">
        <v>56</v>
      </c>
      <c r="K36" s="13">
        <v>56</v>
      </c>
      <c r="L36" s="15">
        <f t="shared" si="7"/>
        <v>1</v>
      </c>
      <c r="M36" s="15">
        <f t="shared" si="8"/>
        <v>1</v>
      </c>
      <c r="N36" s="5" t="s">
        <v>347</v>
      </c>
      <c r="O36" s="5" t="s">
        <v>347</v>
      </c>
      <c r="P36" s="5">
        <v>0</v>
      </c>
      <c r="Q36" s="5">
        <v>0</v>
      </c>
      <c r="R36" s="5" t="str">
        <f t="shared" si="5"/>
        <v>11-2024-06-30</v>
      </c>
    </row>
    <row r="37" spans="1:18" x14ac:dyDescent="0.3">
      <c r="A37" s="5">
        <v>12</v>
      </c>
      <c r="B37" s="5" t="s">
        <v>542</v>
      </c>
      <c r="C37" s="5" t="s">
        <v>145</v>
      </c>
      <c r="D37" s="5" t="s">
        <v>18</v>
      </c>
      <c r="E37" s="5" t="s">
        <v>9</v>
      </c>
      <c r="F37" s="6">
        <v>45291</v>
      </c>
      <c r="G37" s="16">
        <f t="shared" si="9"/>
        <v>2023</v>
      </c>
      <c r="H37" s="6" t="str">
        <f t="shared" si="1"/>
        <v>Diciembre</v>
      </c>
      <c r="I37" s="6" t="str">
        <f t="shared" si="2"/>
        <v>2023-2</v>
      </c>
      <c r="J37" s="5">
        <v>65</v>
      </c>
      <c r="K37" s="5">
        <v>51</v>
      </c>
      <c r="L37" s="15">
        <f t="shared" si="7"/>
        <v>0.7846153846153846</v>
      </c>
      <c r="M37" s="15">
        <f t="shared" si="8"/>
        <v>0.7846153846153846</v>
      </c>
      <c r="N37" s="5" t="s">
        <v>347</v>
      </c>
      <c r="O37" s="5" t="s">
        <v>347</v>
      </c>
      <c r="P37" s="5">
        <v>0</v>
      </c>
      <c r="Q37" s="5">
        <v>0</v>
      </c>
      <c r="R37" s="5" t="str">
        <f t="shared" si="5"/>
        <v>12-2023-12-31</v>
      </c>
    </row>
    <row r="38" spans="1:18" x14ac:dyDescent="0.3">
      <c r="A38" s="5">
        <v>12</v>
      </c>
      <c r="B38" s="5" t="s">
        <v>542</v>
      </c>
      <c r="C38" s="5" t="s">
        <v>145</v>
      </c>
      <c r="D38" s="5" t="s">
        <v>18</v>
      </c>
      <c r="E38" s="5" t="s">
        <v>9</v>
      </c>
      <c r="F38" s="14">
        <v>45473</v>
      </c>
      <c r="G38" s="5">
        <f t="shared" si="9"/>
        <v>2024</v>
      </c>
      <c r="H38" s="5" t="str">
        <f t="shared" si="1"/>
        <v>Junio</v>
      </c>
      <c r="I38" s="6" t="str">
        <f t="shared" si="2"/>
        <v>2024-1</v>
      </c>
      <c r="J38" s="13">
        <v>89</v>
      </c>
      <c r="K38" s="13">
        <v>91</v>
      </c>
      <c r="L38" s="15">
        <f t="shared" si="7"/>
        <v>1.0224719101123596</v>
      </c>
      <c r="M38" s="15">
        <f t="shared" si="8"/>
        <v>1.0224719101123596</v>
      </c>
      <c r="N38" s="5" t="s">
        <v>347</v>
      </c>
      <c r="O38" s="5" t="s">
        <v>347</v>
      </c>
      <c r="P38" s="5">
        <v>0</v>
      </c>
      <c r="Q38" s="5">
        <v>0</v>
      </c>
      <c r="R38" s="5" t="str">
        <f t="shared" si="5"/>
        <v>12-2024-06-30</v>
      </c>
    </row>
    <row r="39" spans="1:18" x14ac:dyDescent="0.3">
      <c r="A39" s="5">
        <v>12</v>
      </c>
      <c r="B39" s="5" t="s">
        <v>542</v>
      </c>
      <c r="C39" s="5" t="s">
        <v>145</v>
      </c>
      <c r="D39" s="5" t="s">
        <v>18</v>
      </c>
      <c r="E39" s="5" t="s">
        <v>9</v>
      </c>
      <c r="F39" s="14">
        <v>45657</v>
      </c>
      <c r="G39" s="5">
        <f t="shared" si="9"/>
        <v>2024</v>
      </c>
      <c r="H39" s="5" t="str">
        <f t="shared" si="1"/>
        <v>Diciembre</v>
      </c>
      <c r="I39" s="6" t="str">
        <f t="shared" si="2"/>
        <v>2024-2</v>
      </c>
      <c r="J39" s="13">
        <v>76</v>
      </c>
      <c r="K39" s="13">
        <v>56</v>
      </c>
      <c r="L39" s="15">
        <f t="shared" si="7"/>
        <v>0.73684210526315785</v>
      </c>
      <c r="M39" s="15">
        <f t="shared" si="8"/>
        <v>0.73684210526315785</v>
      </c>
      <c r="N39" s="5" t="s">
        <v>347</v>
      </c>
      <c r="O39" s="5" t="s">
        <v>347</v>
      </c>
      <c r="P39" s="5">
        <v>0</v>
      </c>
      <c r="Q39" s="5">
        <v>0</v>
      </c>
      <c r="R39" s="5" t="str">
        <f t="shared" si="5"/>
        <v>12-2024-12-31</v>
      </c>
    </row>
    <row r="40" spans="1:18" x14ac:dyDescent="0.3">
      <c r="A40" s="5">
        <v>13</v>
      </c>
      <c r="B40" s="5" t="s">
        <v>340</v>
      </c>
      <c r="C40" s="5" t="s">
        <v>117</v>
      </c>
      <c r="D40" s="5" t="s">
        <v>18</v>
      </c>
      <c r="E40" s="5" t="s">
        <v>9</v>
      </c>
      <c r="F40" s="14">
        <v>45107</v>
      </c>
      <c r="G40" s="16">
        <f t="shared" si="9"/>
        <v>2023</v>
      </c>
      <c r="H40" s="6" t="str">
        <f t="shared" si="1"/>
        <v>Junio</v>
      </c>
      <c r="I40" s="6" t="str">
        <f t="shared" si="2"/>
        <v>2023-1</v>
      </c>
      <c r="J40" s="5">
        <v>22</v>
      </c>
      <c r="K40" s="5">
        <v>20</v>
      </c>
      <c r="L40" s="15">
        <f t="shared" si="7"/>
        <v>0.90909090909090906</v>
      </c>
      <c r="M40" s="15">
        <f t="shared" si="8"/>
        <v>0.90909090909090906</v>
      </c>
      <c r="N40" s="5" t="s">
        <v>347</v>
      </c>
      <c r="O40" s="5" t="s">
        <v>347</v>
      </c>
      <c r="P40" s="5">
        <v>0</v>
      </c>
      <c r="Q40" s="5">
        <v>0</v>
      </c>
      <c r="R40" s="5" t="str">
        <f t="shared" si="5"/>
        <v>13-2023-06-30</v>
      </c>
    </row>
    <row r="41" spans="1:18" x14ac:dyDescent="0.3">
      <c r="A41" s="13">
        <v>13</v>
      </c>
      <c r="B41" s="13" t="s">
        <v>340</v>
      </c>
      <c r="C41" s="13" t="s">
        <v>344</v>
      </c>
      <c r="D41" s="13" t="s">
        <v>18</v>
      </c>
      <c r="E41" s="13" t="s">
        <v>9</v>
      </c>
      <c r="F41" s="14">
        <v>45291</v>
      </c>
      <c r="G41" s="16">
        <f t="shared" si="9"/>
        <v>2023</v>
      </c>
      <c r="H41" s="6" t="str">
        <f t="shared" si="1"/>
        <v>Diciembre</v>
      </c>
      <c r="I41" s="6" t="str">
        <f t="shared" si="2"/>
        <v>2023-2</v>
      </c>
      <c r="J41" s="5">
        <v>100</v>
      </c>
      <c r="K41" s="5">
        <v>99</v>
      </c>
      <c r="L41" s="15">
        <f t="shared" si="7"/>
        <v>0.99</v>
      </c>
      <c r="M41" s="15">
        <f t="shared" si="8"/>
        <v>0.99</v>
      </c>
      <c r="N41" s="5" t="s">
        <v>347</v>
      </c>
      <c r="O41" s="5" t="s">
        <v>347</v>
      </c>
      <c r="P41" s="5">
        <v>0</v>
      </c>
      <c r="Q41" s="5">
        <v>0</v>
      </c>
      <c r="R41" s="5" t="str">
        <f t="shared" si="5"/>
        <v>13-2023-12-31</v>
      </c>
    </row>
    <row r="42" spans="1:18" x14ac:dyDescent="0.3">
      <c r="A42" s="13">
        <v>13</v>
      </c>
      <c r="B42" s="13" t="s">
        <v>340</v>
      </c>
      <c r="C42" s="13" t="s">
        <v>344</v>
      </c>
      <c r="D42" s="13" t="s">
        <v>18</v>
      </c>
      <c r="E42" s="13" t="s">
        <v>9</v>
      </c>
      <c r="F42" s="14">
        <v>45473</v>
      </c>
      <c r="G42" s="5">
        <f t="shared" si="9"/>
        <v>2024</v>
      </c>
      <c r="H42" s="5" t="str">
        <f t="shared" si="1"/>
        <v>Junio</v>
      </c>
      <c r="I42" s="6" t="str">
        <f t="shared" si="2"/>
        <v>2024-1</v>
      </c>
      <c r="J42" s="5">
        <v>100</v>
      </c>
      <c r="K42" s="5">
        <v>100</v>
      </c>
      <c r="L42" s="15">
        <v>1</v>
      </c>
      <c r="M42" s="15">
        <v>1</v>
      </c>
      <c r="N42" s="5" t="s">
        <v>347</v>
      </c>
      <c r="O42" s="5" t="s">
        <v>347</v>
      </c>
      <c r="P42" s="5">
        <v>0</v>
      </c>
      <c r="Q42" s="5">
        <v>0</v>
      </c>
      <c r="R42" s="5" t="str">
        <f t="shared" si="5"/>
        <v>13-2024-06-30</v>
      </c>
    </row>
    <row r="43" spans="1:18" x14ac:dyDescent="0.3">
      <c r="A43" s="5">
        <v>14</v>
      </c>
      <c r="B43" s="5" t="s">
        <v>341</v>
      </c>
      <c r="C43" s="5" t="s">
        <v>74</v>
      </c>
      <c r="D43" s="5" t="s">
        <v>8</v>
      </c>
      <c r="E43" s="5" t="s">
        <v>9</v>
      </c>
      <c r="F43" s="6">
        <v>44742</v>
      </c>
      <c r="G43" s="16">
        <f t="shared" si="9"/>
        <v>2022</v>
      </c>
      <c r="H43" s="6" t="str">
        <f t="shared" si="1"/>
        <v>Junio</v>
      </c>
      <c r="I43" s="41" t="s">
        <v>426</v>
      </c>
      <c r="J43" s="9">
        <v>49004</v>
      </c>
      <c r="K43" s="60">
        <v>51012</v>
      </c>
      <c r="L43" s="15">
        <f t="shared" ref="L43:L74" si="10">IFERROR(IF((K43/J43)&gt;1.3,1.3,K43/J43),"")</f>
        <v>1.040976246836993</v>
      </c>
      <c r="M43" s="15">
        <f t="shared" ref="M43:M74" si="11">IFERROR(K43/J43,"")</f>
        <v>1.040976246836993</v>
      </c>
      <c r="N43" s="5" t="s">
        <v>490</v>
      </c>
      <c r="O43" s="5" t="s">
        <v>490</v>
      </c>
      <c r="P43" s="5">
        <v>0</v>
      </c>
      <c r="Q43" s="5">
        <v>0</v>
      </c>
      <c r="R43" s="5" t="str">
        <f t="shared" si="5"/>
        <v>14-2022-06-30</v>
      </c>
    </row>
    <row r="44" spans="1:18" x14ac:dyDescent="0.3">
      <c r="A44" s="5">
        <v>14</v>
      </c>
      <c r="B44" s="5" t="s">
        <v>341</v>
      </c>
      <c r="C44" s="5" t="s">
        <v>74</v>
      </c>
      <c r="D44" s="5" t="s">
        <v>8</v>
      </c>
      <c r="E44" s="5" t="s">
        <v>9</v>
      </c>
      <c r="F44" s="17">
        <v>44926</v>
      </c>
      <c r="G44" s="16">
        <f t="shared" si="9"/>
        <v>2022</v>
      </c>
      <c r="H44" s="6" t="str">
        <f t="shared" si="1"/>
        <v>Diciembre</v>
      </c>
      <c r="I44" s="41" t="s">
        <v>423</v>
      </c>
      <c r="J44" s="9">
        <v>50430</v>
      </c>
      <c r="K44" s="9">
        <v>50241</v>
      </c>
      <c r="L44" s="15">
        <f t="shared" si="10"/>
        <v>0.99625223081499104</v>
      </c>
      <c r="M44" s="15">
        <f t="shared" si="11"/>
        <v>0.99625223081499104</v>
      </c>
      <c r="N44" s="5" t="s">
        <v>490</v>
      </c>
      <c r="O44" s="5" t="s">
        <v>490</v>
      </c>
      <c r="P44" s="5">
        <v>0</v>
      </c>
      <c r="Q44" s="5">
        <v>0</v>
      </c>
      <c r="R44" s="5" t="str">
        <f t="shared" si="5"/>
        <v>14-2022-12-31</v>
      </c>
    </row>
    <row r="45" spans="1:18" x14ac:dyDescent="0.3">
      <c r="A45" s="5">
        <v>14</v>
      </c>
      <c r="B45" s="5" t="s">
        <v>341</v>
      </c>
      <c r="C45" s="5" t="s">
        <v>74</v>
      </c>
      <c r="D45" s="5" t="s">
        <v>8</v>
      </c>
      <c r="E45" s="5" t="s">
        <v>9</v>
      </c>
      <c r="F45" s="6">
        <v>45107</v>
      </c>
      <c r="G45" s="16">
        <f t="shared" si="9"/>
        <v>2023</v>
      </c>
      <c r="H45" s="6" t="str">
        <f t="shared" si="1"/>
        <v>Junio</v>
      </c>
      <c r="I45" s="41" t="s">
        <v>422</v>
      </c>
      <c r="J45" s="9">
        <v>52177</v>
      </c>
      <c r="K45" s="9">
        <v>51473</v>
      </c>
      <c r="L45" s="15">
        <f t="shared" si="10"/>
        <v>0.98650746497498898</v>
      </c>
      <c r="M45" s="15">
        <f t="shared" si="11"/>
        <v>0.98650746497498898</v>
      </c>
      <c r="N45" s="5" t="s">
        <v>490</v>
      </c>
      <c r="O45" s="5" t="s">
        <v>490</v>
      </c>
      <c r="P45" s="5">
        <v>0</v>
      </c>
      <c r="Q45" s="5">
        <v>0</v>
      </c>
      <c r="R45" s="5" t="str">
        <f t="shared" si="5"/>
        <v>14-2023-06-30</v>
      </c>
    </row>
    <row r="46" spans="1:18" x14ac:dyDescent="0.3">
      <c r="A46" s="5">
        <v>14</v>
      </c>
      <c r="B46" s="5" t="s">
        <v>341</v>
      </c>
      <c r="C46" s="5" t="s">
        <v>74</v>
      </c>
      <c r="D46" s="5" t="s">
        <v>8</v>
      </c>
      <c r="E46" s="5" t="s">
        <v>9</v>
      </c>
      <c r="F46" s="6">
        <v>45291</v>
      </c>
      <c r="G46" s="16">
        <f t="shared" si="9"/>
        <v>2023</v>
      </c>
      <c r="H46" s="6" t="str">
        <f t="shared" si="1"/>
        <v>Diciembre</v>
      </c>
      <c r="I46" s="41" t="s">
        <v>434</v>
      </c>
      <c r="J46" s="9">
        <v>51687</v>
      </c>
      <c r="K46" s="9">
        <v>51375</v>
      </c>
      <c r="L46" s="15">
        <f t="shared" si="10"/>
        <v>0.99396366591212493</v>
      </c>
      <c r="M46" s="15">
        <f t="shared" si="11"/>
        <v>0.99396366591212493</v>
      </c>
      <c r="N46" s="5" t="s">
        <v>490</v>
      </c>
      <c r="O46" s="5" t="s">
        <v>490</v>
      </c>
      <c r="P46" s="5">
        <v>0</v>
      </c>
      <c r="Q46" s="5">
        <v>0</v>
      </c>
      <c r="R46" s="5" t="str">
        <f t="shared" si="5"/>
        <v>14-2023-12-31</v>
      </c>
    </row>
    <row r="47" spans="1:18" x14ac:dyDescent="0.3">
      <c r="A47" s="5">
        <v>14</v>
      </c>
      <c r="B47" s="5" t="s">
        <v>341</v>
      </c>
      <c r="C47" s="5" t="s">
        <v>74</v>
      </c>
      <c r="D47" s="5" t="s">
        <v>8</v>
      </c>
      <c r="E47" s="5" t="s">
        <v>9</v>
      </c>
      <c r="F47" s="6">
        <v>45473</v>
      </c>
      <c r="G47" s="5">
        <f t="shared" si="9"/>
        <v>2024</v>
      </c>
      <c r="H47" s="5" t="str">
        <f t="shared" si="1"/>
        <v>Junio</v>
      </c>
      <c r="I47" s="6" t="str">
        <f t="shared" ref="I47:I78" si="12">IF(OR(H47="Enero",H47="Febrero",H47="Marzo",H47="Abril",H47="Mayo",H47="Junio"),G47&amp;"-1",IF(OR(H47="Julio",H47="Agosto",H47="Septiembre",H47="Octubre",H47="Noviembre",H47="Diciembre"),G47&amp;"-2"))</f>
        <v>2024-1</v>
      </c>
      <c r="J47" s="9">
        <v>52403.186118801452</v>
      </c>
      <c r="K47" s="9">
        <v>52585</v>
      </c>
      <c r="L47" s="15">
        <f t="shared" si="10"/>
        <v>1.0034695195972696</v>
      </c>
      <c r="M47" s="15">
        <f t="shared" si="11"/>
        <v>1.0034695195972696</v>
      </c>
      <c r="N47" s="5" t="s">
        <v>490</v>
      </c>
      <c r="O47" s="5" t="s">
        <v>490</v>
      </c>
      <c r="P47" s="5">
        <v>0</v>
      </c>
      <c r="Q47" s="5">
        <v>0</v>
      </c>
      <c r="R47" s="5" t="str">
        <f t="shared" si="5"/>
        <v>14-2024-06-30</v>
      </c>
    </row>
    <row r="48" spans="1:18" x14ac:dyDescent="0.3">
      <c r="A48" s="5">
        <v>14</v>
      </c>
      <c r="B48" s="5" t="s">
        <v>341</v>
      </c>
      <c r="C48" s="5" t="s">
        <v>74</v>
      </c>
      <c r="D48" s="5" t="s">
        <v>8</v>
      </c>
      <c r="E48" s="5" t="s">
        <v>9</v>
      </c>
      <c r="F48" s="6">
        <v>45657</v>
      </c>
      <c r="G48" s="5">
        <f t="shared" si="9"/>
        <v>2024</v>
      </c>
      <c r="H48" s="5" t="str">
        <f t="shared" si="1"/>
        <v>Diciembre</v>
      </c>
      <c r="I48" s="6" t="str">
        <f t="shared" si="12"/>
        <v>2024-2</v>
      </c>
      <c r="J48" s="82">
        <v>51116.334115206948</v>
      </c>
      <c r="K48" s="9">
        <v>52005</v>
      </c>
      <c r="L48" s="15">
        <f t="shared" si="10"/>
        <v>1.0173851646479608</v>
      </c>
      <c r="M48" s="15">
        <f t="shared" si="11"/>
        <v>1.0173851646479608</v>
      </c>
      <c r="N48" s="5" t="s">
        <v>490</v>
      </c>
      <c r="O48" s="5" t="s">
        <v>490</v>
      </c>
      <c r="P48" s="5">
        <v>0</v>
      </c>
      <c r="Q48" s="5">
        <v>0</v>
      </c>
      <c r="R48" s="5" t="str">
        <f t="shared" si="5"/>
        <v>14-2024-12-31</v>
      </c>
    </row>
    <row r="49" spans="1:18" x14ac:dyDescent="0.3">
      <c r="A49" s="26">
        <v>15</v>
      </c>
      <c r="B49" s="23" t="s">
        <v>548</v>
      </c>
      <c r="C49" s="5" t="s">
        <v>345</v>
      </c>
      <c r="D49" s="5" t="s">
        <v>11</v>
      </c>
      <c r="E49" s="5" t="s">
        <v>9</v>
      </c>
      <c r="F49" s="6">
        <v>45107</v>
      </c>
      <c r="G49" s="5">
        <f t="shared" si="9"/>
        <v>2023</v>
      </c>
      <c r="H49" s="5" t="str">
        <f t="shared" si="1"/>
        <v>Junio</v>
      </c>
      <c r="I49" s="6" t="str">
        <f t="shared" si="12"/>
        <v>2023-1</v>
      </c>
      <c r="J49" s="5">
        <v>62.74</v>
      </c>
      <c r="K49" s="5">
        <v>66</v>
      </c>
      <c r="L49" s="15">
        <f t="shared" si="10"/>
        <v>1.0519604717883329</v>
      </c>
      <c r="M49" s="15">
        <f t="shared" si="11"/>
        <v>1.0519604717883329</v>
      </c>
      <c r="N49" s="5" t="s">
        <v>347</v>
      </c>
      <c r="O49" s="5" t="s">
        <v>347</v>
      </c>
      <c r="P49" s="5">
        <v>0</v>
      </c>
      <c r="Q49" s="5">
        <v>0</v>
      </c>
      <c r="R49" s="5" t="str">
        <f t="shared" si="5"/>
        <v>15-2023-06-30</v>
      </c>
    </row>
    <row r="50" spans="1:18" x14ac:dyDescent="0.3">
      <c r="A50" s="26">
        <v>15</v>
      </c>
      <c r="B50" s="23" t="s">
        <v>548</v>
      </c>
      <c r="C50" s="5" t="s">
        <v>345</v>
      </c>
      <c r="D50" s="5" t="s">
        <v>11</v>
      </c>
      <c r="E50" s="5" t="s">
        <v>9</v>
      </c>
      <c r="F50" s="6">
        <v>45291</v>
      </c>
      <c r="G50" s="5">
        <f t="shared" si="9"/>
        <v>2023</v>
      </c>
      <c r="H50" s="5" t="str">
        <f t="shared" si="1"/>
        <v>Diciembre</v>
      </c>
      <c r="I50" s="6" t="str">
        <f t="shared" si="12"/>
        <v>2023-2</v>
      </c>
      <c r="J50" s="5">
        <v>100</v>
      </c>
      <c r="K50" s="5">
        <v>100</v>
      </c>
      <c r="L50" s="15">
        <f t="shared" si="10"/>
        <v>1</v>
      </c>
      <c r="M50" s="15">
        <f t="shared" si="11"/>
        <v>1</v>
      </c>
      <c r="N50" s="5" t="s">
        <v>347</v>
      </c>
      <c r="O50" s="5" t="s">
        <v>347</v>
      </c>
      <c r="P50" s="5">
        <v>0</v>
      </c>
      <c r="Q50" s="5">
        <v>0</v>
      </c>
      <c r="R50" s="5" t="str">
        <f t="shared" si="5"/>
        <v>15-2023-12-31</v>
      </c>
    </row>
    <row r="51" spans="1:18" x14ac:dyDescent="0.3">
      <c r="A51" s="26">
        <v>16</v>
      </c>
      <c r="B51" s="23" t="s">
        <v>549</v>
      </c>
      <c r="C51" s="5" t="s">
        <v>345</v>
      </c>
      <c r="D51" s="5" t="s">
        <v>11</v>
      </c>
      <c r="E51" s="5" t="s">
        <v>9</v>
      </c>
      <c r="F51" s="6">
        <v>45107</v>
      </c>
      <c r="G51" s="5">
        <f t="shared" si="9"/>
        <v>2023</v>
      </c>
      <c r="H51" s="5" t="str">
        <f t="shared" si="1"/>
        <v>Junio</v>
      </c>
      <c r="I51" s="6" t="str">
        <f t="shared" si="12"/>
        <v>2023-1</v>
      </c>
      <c r="J51" s="5">
        <v>66.319999999999993</v>
      </c>
      <c r="K51" s="5">
        <v>73</v>
      </c>
      <c r="L51" s="15">
        <f t="shared" si="10"/>
        <v>1.1007237635705671</v>
      </c>
      <c r="M51" s="15">
        <f t="shared" si="11"/>
        <v>1.1007237635705671</v>
      </c>
      <c r="N51" s="5" t="s">
        <v>347</v>
      </c>
      <c r="O51" s="5" t="s">
        <v>347</v>
      </c>
      <c r="P51" s="5">
        <v>0</v>
      </c>
      <c r="Q51" s="5">
        <v>0</v>
      </c>
      <c r="R51" s="5" t="str">
        <f t="shared" si="5"/>
        <v>16-2023-06-30</v>
      </c>
    </row>
    <row r="52" spans="1:18" x14ac:dyDescent="0.3">
      <c r="A52" s="26">
        <v>16</v>
      </c>
      <c r="B52" s="23" t="s">
        <v>549</v>
      </c>
      <c r="C52" s="5" t="s">
        <v>345</v>
      </c>
      <c r="D52" s="5" t="s">
        <v>11</v>
      </c>
      <c r="E52" s="5" t="s">
        <v>9</v>
      </c>
      <c r="F52" s="6">
        <v>45291</v>
      </c>
      <c r="G52" s="5">
        <f t="shared" si="9"/>
        <v>2023</v>
      </c>
      <c r="H52" s="5" t="str">
        <f t="shared" si="1"/>
        <v>Diciembre</v>
      </c>
      <c r="I52" s="6" t="str">
        <f t="shared" si="12"/>
        <v>2023-2</v>
      </c>
      <c r="J52" s="5">
        <v>100</v>
      </c>
      <c r="K52" s="5">
        <v>100</v>
      </c>
      <c r="L52" s="15">
        <f t="shared" si="10"/>
        <v>1</v>
      </c>
      <c r="M52" s="15">
        <f t="shared" si="11"/>
        <v>1</v>
      </c>
      <c r="N52" s="5" t="s">
        <v>347</v>
      </c>
      <c r="O52" s="5" t="s">
        <v>347</v>
      </c>
      <c r="P52" s="5">
        <v>0</v>
      </c>
      <c r="Q52" s="5">
        <v>0</v>
      </c>
      <c r="R52" s="5" t="str">
        <f t="shared" si="5"/>
        <v>16-2023-12-31</v>
      </c>
    </row>
    <row r="53" spans="1:18" x14ac:dyDescent="0.3">
      <c r="A53" s="26">
        <v>17</v>
      </c>
      <c r="B53" s="23" t="s">
        <v>550</v>
      </c>
      <c r="C53" s="5" t="s">
        <v>345</v>
      </c>
      <c r="D53" s="5" t="s">
        <v>11</v>
      </c>
      <c r="E53" s="5" t="s">
        <v>9</v>
      </c>
      <c r="F53" s="6">
        <v>45107</v>
      </c>
      <c r="G53" s="5">
        <f t="shared" si="9"/>
        <v>2023</v>
      </c>
      <c r="H53" s="5" t="str">
        <f t="shared" si="1"/>
        <v>Junio</v>
      </c>
      <c r="I53" s="6" t="str">
        <f t="shared" si="12"/>
        <v>2023-1</v>
      </c>
      <c r="J53" s="5">
        <v>67.81</v>
      </c>
      <c r="K53" s="5">
        <v>77.5</v>
      </c>
      <c r="L53" s="15">
        <f t="shared" si="10"/>
        <v>1.1428992773927149</v>
      </c>
      <c r="M53" s="15">
        <f t="shared" si="11"/>
        <v>1.1428992773927149</v>
      </c>
      <c r="N53" s="5" t="s">
        <v>347</v>
      </c>
      <c r="O53" s="5" t="s">
        <v>347</v>
      </c>
      <c r="P53" s="5">
        <v>1</v>
      </c>
      <c r="Q53" s="5">
        <v>1</v>
      </c>
      <c r="R53" s="5" t="str">
        <f t="shared" si="5"/>
        <v>17-2023-06-30</v>
      </c>
    </row>
    <row r="54" spans="1:18" x14ac:dyDescent="0.3">
      <c r="A54" s="26">
        <v>17</v>
      </c>
      <c r="B54" s="23" t="s">
        <v>550</v>
      </c>
      <c r="C54" s="5" t="s">
        <v>345</v>
      </c>
      <c r="D54" s="5" t="s">
        <v>11</v>
      </c>
      <c r="E54" s="5" t="s">
        <v>9</v>
      </c>
      <c r="F54" s="6">
        <v>45291</v>
      </c>
      <c r="G54" s="5">
        <f t="shared" si="9"/>
        <v>2023</v>
      </c>
      <c r="H54" s="5" t="str">
        <f t="shared" si="1"/>
        <v>Diciembre</v>
      </c>
      <c r="I54" s="6" t="str">
        <f t="shared" si="12"/>
        <v>2023-2</v>
      </c>
      <c r="J54" s="5">
        <v>100</v>
      </c>
      <c r="K54" s="5">
        <v>99.38</v>
      </c>
      <c r="L54" s="15">
        <f t="shared" si="10"/>
        <v>0.99379999999999991</v>
      </c>
      <c r="M54" s="15">
        <f t="shared" si="11"/>
        <v>0.99379999999999991</v>
      </c>
      <c r="N54" s="5" t="s">
        <v>347</v>
      </c>
      <c r="O54" s="5" t="s">
        <v>347</v>
      </c>
      <c r="P54" s="5">
        <v>1</v>
      </c>
      <c r="Q54" s="5">
        <v>1</v>
      </c>
      <c r="R54" s="5" t="str">
        <f t="shared" si="5"/>
        <v>17-2023-12-31</v>
      </c>
    </row>
    <row r="55" spans="1:18" x14ac:dyDescent="0.3">
      <c r="A55" s="26">
        <v>18</v>
      </c>
      <c r="B55" s="23" t="s">
        <v>551</v>
      </c>
      <c r="C55" s="5" t="s">
        <v>345</v>
      </c>
      <c r="D55" s="5" t="s">
        <v>11</v>
      </c>
      <c r="E55" s="5" t="s">
        <v>9</v>
      </c>
      <c r="F55" s="6">
        <v>45107</v>
      </c>
      <c r="G55" s="5">
        <f t="shared" si="9"/>
        <v>2023</v>
      </c>
      <c r="H55" s="5" t="str">
        <f t="shared" si="1"/>
        <v>Junio</v>
      </c>
      <c r="I55" s="6" t="str">
        <f t="shared" si="12"/>
        <v>2023-1</v>
      </c>
      <c r="J55" s="5">
        <v>64.88</v>
      </c>
      <c r="K55" s="5">
        <v>78.33</v>
      </c>
      <c r="L55" s="15">
        <f t="shared" si="10"/>
        <v>1.2073057953144266</v>
      </c>
      <c r="M55" s="15">
        <f t="shared" si="11"/>
        <v>1.2073057953144266</v>
      </c>
      <c r="N55" s="5" t="s">
        <v>347</v>
      </c>
      <c r="O55" s="5" t="s">
        <v>347</v>
      </c>
      <c r="P55" s="5">
        <v>0</v>
      </c>
      <c r="Q55" s="5">
        <v>0</v>
      </c>
      <c r="R55" s="5" t="str">
        <f t="shared" si="5"/>
        <v>18-2023-06-30</v>
      </c>
    </row>
    <row r="56" spans="1:18" x14ac:dyDescent="0.3">
      <c r="A56" s="26">
        <v>18</v>
      </c>
      <c r="B56" s="23" t="s">
        <v>551</v>
      </c>
      <c r="C56" s="5" t="s">
        <v>345</v>
      </c>
      <c r="D56" s="5" t="s">
        <v>11</v>
      </c>
      <c r="E56" s="5" t="s">
        <v>9</v>
      </c>
      <c r="F56" s="6">
        <v>45291</v>
      </c>
      <c r="G56" s="5">
        <f t="shared" si="9"/>
        <v>2023</v>
      </c>
      <c r="H56" s="5" t="str">
        <f t="shared" si="1"/>
        <v>Diciembre</v>
      </c>
      <c r="I56" s="6" t="str">
        <f t="shared" si="12"/>
        <v>2023-2</v>
      </c>
      <c r="J56" s="5">
        <v>100</v>
      </c>
      <c r="K56" s="5">
        <v>100</v>
      </c>
      <c r="L56" s="15">
        <f t="shared" si="10"/>
        <v>1</v>
      </c>
      <c r="M56" s="15">
        <f t="shared" si="11"/>
        <v>1</v>
      </c>
      <c r="N56" s="5" t="s">
        <v>347</v>
      </c>
      <c r="O56" s="5" t="s">
        <v>347</v>
      </c>
      <c r="P56" s="5">
        <v>0</v>
      </c>
      <c r="Q56" s="5">
        <v>0</v>
      </c>
      <c r="R56" s="5" t="str">
        <f t="shared" si="5"/>
        <v>18-2023-12-31</v>
      </c>
    </row>
    <row r="57" spans="1:18" x14ac:dyDescent="0.3">
      <c r="A57" s="26">
        <v>19</v>
      </c>
      <c r="B57" s="23" t="s">
        <v>552</v>
      </c>
      <c r="C57" s="5" t="s">
        <v>345</v>
      </c>
      <c r="D57" s="5" t="s">
        <v>11</v>
      </c>
      <c r="E57" s="5" t="s">
        <v>9</v>
      </c>
      <c r="F57" s="6">
        <v>45107</v>
      </c>
      <c r="G57" s="5">
        <f t="shared" si="9"/>
        <v>2023</v>
      </c>
      <c r="H57" s="5" t="str">
        <f t="shared" si="1"/>
        <v>Junio</v>
      </c>
      <c r="I57" s="6" t="str">
        <f t="shared" si="12"/>
        <v>2023-1</v>
      </c>
      <c r="J57" s="5">
        <v>51.39</v>
      </c>
      <c r="K57" s="5">
        <v>53.93</v>
      </c>
      <c r="L57" s="15">
        <f t="shared" si="10"/>
        <v>1.0494259583576571</v>
      </c>
      <c r="M57" s="15">
        <f t="shared" si="11"/>
        <v>1.0494259583576571</v>
      </c>
      <c r="N57" s="5" t="s">
        <v>347</v>
      </c>
      <c r="O57" s="5" t="s">
        <v>347</v>
      </c>
      <c r="P57" s="5">
        <v>0</v>
      </c>
      <c r="Q57" s="5">
        <v>0</v>
      </c>
      <c r="R57" s="5" t="str">
        <f t="shared" si="5"/>
        <v>19-2023-06-30</v>
      </c>
    </row>
    <row r="58" spans="1:18" x14ac:dyDescent="0.3">
      <c r="A58" s="26">
        <v>19</v>
      </c>
      <c r="B58" s="23" t="s">
        <v>552</v>
      </c>
      <c r="C58" s="5" t="s">
        <v>345</v>
      </c>
      <c r="D58" s="5" t="s">
        <v>11</v>
      </c>
      <c r="E58" s="5" t="s">
        <v>9</v>
      </c>
      <c r="F58" s="6">
        <v>45291</v>
      </c>
      <c r="G58" s="5">
        <f t="shared" si="9"/>
        <v>2023</v>
      </c>
      <c r="H58" s="5" t="str">
        <f t="shared" si="1"/>
        <v>Diciembre</v>
      </c>
      <c r="I58" s="6" t="str">
        <f t="shared" si="12"/>
        <v>2023-2</v>
      </c>
      <c r="J58" s="5">
        <v>100</v>
      </c>
      <c r="K58" s="5">
        <v>92.86</v>
      </c>
      <c r="L58" s="15">
        <f t="shared" si="10"/>
        <v>0.92859999999999998</v>
      </c>
      <c r="M58" s="15">
        <f t="shared" si="11"/>
        <v>0.92859999999999998</v>
      </c>
      <c r="N58" s="5" t="s">
        <v>347</v>
      </c>
      <c r="O58" s="5" t="s">
        <v>347</v>
      </c>
      <c r="P58" s="5">
        <v>0</v>
      </c>
      <c r="Q58" s="5">
        <v>0</v>
      </c>
      <c r="R58" s="5" t="str">
        <f t="shared" si="5"/>
        <v>19-2023-12-31</v>
      </c>
    </row>
    <row r="59" spans="1:18" x14ac:dyDescent="0.3">
      <c r="A59" s="26">
        <v>20</v>
      </c>
      <c r="B59" s="23" t="s">
        <v>553</v>
      </c>
      <c r="C59" s="5" t="s">
        <v>345</v>
      </c>
      <c r="D59" s="5" t="s">
        <v>11</v>
      </c>
      <c r="E59" s="5" t="s">
        <v>9</v>
      </c>
      <c r="F59" s="6">
        <v>45107</v>
      </c>
      <c r="G59" s="5">
        <f t="shared" si="9"/>
        <v>2023</v>
      </c>
      <c r="H59" s="5" t="str">
        <f t="shared" si="1"/>
        <v>Junio</v>
      </c>
      <c r="I59" s="6" t="str">
        <f t="shared" si="12"/>
        <v>2023-1</v>
      </c>
      <c r="J59" s="5">
        <v>54.33</v>
      </c>
      <c r="K59" s="5">
        <v>67</v>
      </c>
      <c r="L59" s="15">
        <f t="shared" si="10"/>
        <v>1.233204491073072</v>
      </c>
      <c r="M59" s="15">
        <f t="shared" si="11"/>
        <v>1.233204491073072</v>
      </c>
      <c r="N59" s="5" t="s">
        <v>347</v>
      </c>
      <c r="O59" s="5" t="s">
        <v>347</v>
      </c>
      <c r="P59" s="5">
        <v>0</v>
      </c>
      <c r="Q59" s="5">
        <v>0</v>
      </c>
      <c r="R59" s="5" t="str">
        <f t="shared" si="5"/>
        <v>20-2023-06-30</v>
      </c>
    </row>
    <row r="60" spans="1:18" x14ac:dyDescent="0.3">
      <c r="A60" s="26">
        <v>20</v>
      </c>
      <c r="B60" s="23" t="s">
        <v>553</v>
      </c>
      <c r="C60" s="5" t="s">
        <v>345</v>
      </c>
      <c r="D60" s="5" t="s">
        <v>11</v>
      </c>
      <c r="E60" s="5" t="s">
        <v>9</v>
      </c>
      <c r="F60" s="6">
        <v>45291</v>
      </c>
      <c r="G60" s="5">
        <f t="shared" si="9"/>
        <v>2023</v>
      </c>
      <c r="H60" s="5" t="str">
        <f t="shared" si="1"/>
        <v>Diciembre</v>
      </c>
      <c r="I60" s="6" t="str">
        <f t="shared" si="12"/>
        <v>2023-2</v>
      </c>
      <c r="J60" s="5">
        <v>100</v>
      </c>
      <c r="K60" s="5">
        <v>100</v>
      </c>
      <c r="L60" s="15">
        <f t="shared" si="10"/>
        <v>1</v>
      </c>
      <c r="M60" s="15">
        <f t="shared" si="11"/>
        <v>1</v>
      </c>
      <c r="N60" s="5" t="s">
        <v>347</v>
      </c>
      <c r="O60" s="5" t="s">
        <v>347</v>
      </c>
      <c r="P60" s="5">
        <v>0</v>
      </c>
      <c r="Q60" s="5">
        <v>0</v>
      </c>
      <c r="R60" s="5" t="str">
        <f t="shared" si="5"/>
        <v>20-2023-12-31</v>
      </c>
    </row>
    <row r="61" spans="1:18" x14ac:dyDescent="0.3">
      <c r="A61" s="26">
        <v>21</v>
      </c>
      <c r="B61" s="23" t="s">
        <v>554</v>
      </c>
      <c r="C61" s="5" t="s">
        <v>345</v>
      </c>
      <c r="D61" s="5" t="s">
        <v>11</v>
      </c>
      <c r="E61" s="5" t="s">
        <v>9</v>
      </c>
      <c r="F61" s="6">
        <v>45107</v>
      </c>
      <c r="G61" s="5">
        <f t="shared" si="9"/>
        <v>2023</v>
      </c>
      <c r="H61" s="5" t="str">
        <f t="shared" si="1"/>
        <v>Junio</v>
      </c>
      <c r="I61" s="6" t="str">
        <f t="shared" si="12"/>
        <v>2023-1</v>
      </c>
      <c r="J61" s="5">
        <v>60.38</v>
      </c>
      <c r="K61" s="5">
        <v>73.06</v>
      </c>
      <c r="L61" s="15">
        <f t="shared" si="10"/>
        <v>1.2100033123550844</v>
      </c>
      <c r="M61" s="15">
        <f t="shared" si="11"/>
        <v>1.2100033123550844</v>
      </c>
      <c r="N61" s="5" t="s">
        <v>347</v>
      </c>
      <c r="O61" s="5" t="s">
        <v>347</v>
      </c>
      <c r="P61" s="5">
        <v>0</v>
      </c>
      <c r="Q61" s="5">
        <v>0</v>
      </c>
      <c r="R61" s="5" t="str">
        <f t="shared" si="5"/>
        <v>21-2023-06-30</v>
      </c>
    </row>
    <row r="62" spans="1:18" x14ac:dyDescent="0.3">
      <c r="A62" s="26">
        <v>21</v>
      </c>
      <c r="B62" s="23" t="s">
        <v>554</v>
      </c>
      <c r="C62" s="5" t="s">
        <v>345</v>
      </c>
      <c r="D62" s="5" t="s">
        <v>11</v>
      </c>
      <c r="E62" s="5" t="s">
        <v>9</v>
      </c>
      <c r="F62" s="6">
        <v>45291</v>
      </c>
      <c r="G62" s="5">
        <f t="shared" si="9"/>
        <v>2023</v>
      </c>
      <c r="H62" s="5" t="str">
        <f t="shared" si="1"/>
        <v>Diciembre</v>
      </c>
      <c r="I62" s="6" t="str">
        <f t="shared" si="12"/>
        <v>2023-2</v>
      </c>
      <c r="J62" s="5">
        <v>100</v>
      </c>
      <c r="K62" s="5">
        <v>100</v>
      </c>
      <c r="L62" s="15">
        <f t="shared" si="10"/>
        <v>1</v>
      </c>
      <c r="M62" s="15">
        <f t="shared" si="11"/>
        <v>1</v>
      </c>
      <c r="N62" s="5" t="s">
        <v>347</v>
      </c>
      <c r="O62" s="5" t="s">
        <v>347</v>
      </c>
      <c r="P62" s="5">
        <v>0</v>
      </c>
      <c r="Q62" s="5">
        <v>0</v>
      </c>
      <c r="R62" s="5" t="str">
        <f t="shared" si="5"/>
        <v>21-2023-12-31</v>
      </c>
    </row>
    <row r="63" spans="1:18" x14ac:dyDescent="0.3">
      <c r="A63" s="26">
        <v>22</v>
      </c>
      <c r="B63" s="23" t="s">
        <v>555</v>
      </c>
      <c r="C63" s="5" t="s">
        <v>345</v>
      </c>
      <c r="D63" s="5" t="s">
        <v>11</v>
      </c>
      <c r="E63" s="5" t="s">
        <v>9</v>
      </c>
      <c r="F63" s="6">
        <v>45107</v>
      </c>
      <c r="G63" s="5">
        <f t="shared" si="9"/>
        <v>2023</v>
      </c>
      <c r="H63" s="5" t="str">
        <f t="shared" si="1"/>
        <v>Junio</v>
      </c>
      <c r="I63" s="6" t="str">
        <f t="shared" si="12"/>
        <v>2023-1</v>
      </c>
      <c r="J63" s="5">
        <v>69.650000000000006</v>
      </c>
      <c r="K63" s="5">
        <v>68.75</v>
      </c>
      <c r="L63" s="15">
        <f t="shared" si="10"/>
        <v>0.98707824838478098</v>
      </c>
      <c r="M63" s="15">
        <f t="shared" si="11"/>
        <v>0.98707824838478098</v>
      </c>
      <c r="N63" s="5" t="s">
        <v>347</v>
      </c>
      <c r="O63" s="5" t="s">
        <v>347</v>
      </c>
      <c r="P63" s="5">
        <v>0</v>
      </c>
      <c r="Q63" s="5">
        <v>0</v>
      </c>
      <c r="R63" s="5" t="str">
        <f t="shared" si="5"/>
        <v>22-2023-06-30</v>
      </c>
    </row>
    <row r="64" spans="1:18" x14ac:dyDescent="0.3">
      <c r="A64" s="26">
        <v>22</v>
      </c>
      <c r="B64" s="23" t="s">
        <v>555</v>
      </c>
      <c r="C64" s="5" t="s">
        <v>345</v>
      </c>
      <c r="D64" s="5" t="s">
        <v>11</v>
      </c>
      <c r="E64" s="5" t="s">
        <v>9</v>
      </c>
      <c r="F64" s="6">
        <v>45291</v>
      </c>
      <c r="G64" s="5">
        <f t="shared" si="9"/>
        <v>2023</v>
      </c>
      <c r="H64" s="5" t="str">
        <f t="shared" si="1"/>
        <v>Diciembre</v>
      </c>
      <c r="I64" s="6" t="str">
        <f t="shared" si="12"/>
        <v>2023-2</v>
      </c>
      <c r="J64" s="5">
        <v>100</v>
      </c>
      <c r="K64" s="5">
        <v>100</v>
      </c>
      <c r="L64" s="15">
        <f t="shared" si="10"/>
        <v>1</v>
      </c>
      <c r="M64" s="15">
        <f t="shared" si="11"/>
        <v>1</v>
      </c>
      <c r="N64" s="5" t="s">
        <v>347</v>
      </c>
      <c r="O64" s="5" t="s">
        <v>347</v>
      </c>
      <c r="P64" s="5">
        <v>0</v>
      </c>
      <c r="Q64" s="5">
        <v>0</v>
      </c>
      <c r="R64" s="5" t="str">
        <f t="shared" si="5"/>
        <v>22-2023-12-31</v>
      </c>
    </row>
    <row r="65" spans="1:18" x14ac:dyDescent="0.3">
      <c r="A65" s="26">
        <v>23</v>
      </c>
      <c r="B65" s="23" t="s">
        <v>556</v>
      </c>
      <c r="C65" s="5" t="s">
        <v>345</v>
      </c>
      <c r="D65" s="5" t="s">
        <v>11</v>
      </c>
      <c r="E65" s="5" t="s">
        <v>9</v>
      </c>
      <c r="F65" s="6">
        <v>45107</v>
      </c>
      <c r="G65" s="5">
        <f t="shared" si="9"/>
        <v>2023</v>
      </c>
      <c r="H65" s="5" t="str">
        <f t="shared" si="1"/>
        <v>Junio</v>
      </c>
      <c r="I65" s="6" t="str">
        <f t="shared" si="12"/>
        <v>2023-1</v>
      </c>
      <c r="J65" s="5">
        <v>61.42</v>
      </c>
      <c r="K65" s="5">
        <v>67.67</v>
      </c>
      <c r="L65" s="15">
        <f t="shared" si="10"/>
        <v>1.1017583848909149</v>
      </c>
      <c r="M65" s="15">
        <f t="shared" si="11"/>
        <v>1.1017583848909149</v>
      </c>
      <c r="N65" s="5" t="s">
        <v>347</v>
      </c>
      <c r="O65" s="5" t="s">
        <v>347</v>
      </c>
      <c r="P65" s="5">
        <v>0</v>
      </c>
      <c r="Q65" s="5">
        <v>0</v>
      </c>
      <c r="R65" s="5" t="str">
        <f t="shared" si="5"/>
        <v>23-2023-06-30</v>
      </c>
    </row>
    <row r="66" spans="1:18" x14ac:dyDescent="0.3">
      <c r="A66" s="26">
        <v>23</v>
      </c>
      <c r="B66" s="23" t="s">
        <v>556</v>
      </c>
      <c r="C66" s="5" t="s">
        <v>345</v>
      </c>
      <c r="D66" s="5" t="s">
        <v>11</v>
      </c>
      <c r="E66" s="5" t="s">
        <v>9</v>
      </c>
      <c r="F66" s="6">
        <v>45291</v>
      </c>
      <c r="G66" s="5">
        <f t="shared" ref="G66:G97" si="13">YEAR(F66)</f>
        <v>2023</v>
      </c>
      <c r="H66" s="5" t="str">
        <f t="shared" ref="H66:H129" si="14">PROPER(TEXT(F66,"mmmm"))</f>
        <v>Diciembre</v>
      </c>
      <c r="I66" s="6" t="str">
        <f t="shared" si="12"/>
        <v>2023-2</v>
      </c>
      <c r="J66" s="5">
        <v>100</v>
      </c>
      <c r="K66" s="5">
        <v>100</v>
      </c>
      <c r="L66" s="15">
        <f t="shared" si="10"/>
        <v>1</v>
      </c>
      <c r="M66" s="15">
        <f t="shared" si="11"/>
        <v>1</v>
      </c>
      <c r="N66" s="5" t="s">
        <v>347</v>
      </c>
      <c r="O66" s="5" t="s">
        <v>347</v>
      </c>
      <c r="P66" s="5">
        <v>0</v>
      </c>
      <c r="Q66" s="5">
        <v>0</v>
      </c>
      <c r="R66" s="5" t="str">
        <f t="shared" ref="R66:R129" si="15">A66&amp;"-"&amp;YEAR(F66)&amp;"-"&amp;IF(LEN(MONTH(F66))=1,"0"&amp;MONTH(F66),MONTH(F66))&amp;"-"&amp;DAY(F66)</f>
        <v>23-2023-12-31</v>
      </c>
    </row>
    <row r="67" spans="1:18" x14ac:dyDescent="0.3">
      <c r="A67" s="26">
        <v>24</v>
      </c>
      <c r="B67" s="23" t="s">
        <v>557</v>
      </c>
      <c r="C67" s="5" t="s">
        <v>345</v>
      </c>
      <c r="D67" s="5" t="s">
        <v>11</v>
      </c>
      <c r="E67" s="5" t="s">
        <v>9</v>
      </c>
      <c r="F67" s="6">
        <v>45107</v>
      </c>
      <c r="G67" s="5">
        <f t="shared" si="13"/>
        <v>2023</v>
      </c>
      <c r="H67" s="5" t="str">
        <f t="shared" si="14"/>
        <v>Junio</v>
      </c>
      <c r="I67" s="6" t="str">
        <f t="shared" si="12"/>
        <v>2023-1</v>
      </c>
      <c r="J67" s="5">
        <v>51.82</v>
      </c>
      <c r="K67" s="5">
        <v>58.57</v>
      </c>
      <c r="L67" s="15">
        <f t="shared" si="10"/>
        <v>1.1302585874179853</v>
      </c>
      <c r="M67" s="15">
        <f t="shared" si="11"/>
        <v>1.1302585874179853</v>
      </c>
      <c r="N67" s="5" t="s">
        <v>347</v>
      </c>
      <c r="O67" s="5" t="s">
        <v>347</v>
      </c>
      <c r="P67" s="5">
        <v>0</v>
      </c>
      <c r="Q67" s="5">
        <v>0</v>
      </c>
      <c r="R67" s="5" t="str">
        <f t="shared" si="15"/>
        <v>24-2023-06-30</v>
      </c>
    </row>
    <row r="68" spans="1:18" x14ac:dyDescent="0.3">
      <c r="A68" s="26">
        <v>24</v>
      </c>
      <c r="B68" s="23" t="s">
        <v>557</v>
      </c>
      <c r="C68" s="5" t="s">
        <v>345</v>
      </c>
      <c r="D68" s="5" t="s">
        <v>11</v>
      </c>
      <c r="E68" s="5" t="s">
        <v>9</v>
      </c>
      <c r="F68" s="6">
        <v>45291</v>
      </c>
      <c r="G68" s="5">
        <f t="shared" si="13"/>
        <v>2023</v>
      </c>
      <c r="H68" s="5" t="str">
        <f t="shared" si="14"/>
        <v>Diciembre</v>
      </c>
      <c r="I68" s="6" t="str">
        <f t="shared" si="12"/>
        <v>2023-2</v>
      </c>
      <c r="J68" s="5">
        <v>100</v>
      </c>
      <c r="K68" s="5">
        <v>100</v>
      </c>
      <c r="L68" s="15">
        <f t="shared" si="10"/>
        <v>1</v>
      </c>
      <c r="M68" s="15">
        <f t="shared" si="11"/>
        <v>1</v>
      </c>
      <c r="N68" s="5" t="s">
        <v>347</v>
      </c>
      <c r="O68" s="5" t="s">
        <v>347</v>
      </c>
      <c r="P68" s="5">
        <v>0</v>
      </c>
      <c r="Q68" s="5">
        <v>0</v>
      </c>
      <c r="R68" s="5" t="str">
        <f t="shared" si="15"/>
        <v>24-2023-12-31</v>
      </c>
    </row>
    <row r="69" spans="1:18" x14ac:dyDescent="0.3">
      <c r="A69" s="26">
        <v>25</v>
      </c>
      <c r="B69" s="23" t="s">
        <v>558</v>
      </c>
      <c r="C69" s="5" t="s">
        <v>345</v>
      </c>
      <c r="D69" s="5" t="s">
        <v>11</v>
      </c>
      <c r="E69" s="5" t="s">
        <v>9</v>
      </c>
      <c r="F69" s="6">
        <v>45107</v>
      </c>
      <c r="G69" s="5">
        <f t="shared" si="13"/>
        <v>2023</v>
      </c>
      <c r="H69" s="5" t="str">
        <f t="shared" si="14"/>
        <v>Junio</v>
      </c>
      <c r="I69" s="6" t="str">
        <f t="shared" si="12"/>
        <v>2023-1</v>
      </c>
      <c r="J69" s="5">
        <v>69.58</v>
      </c>
      <c r="K69" s="5">
        <v>73.75</v>
      </c>
      <c r="L69" s="15">
        <f t="shared" si="10"/>
        <v>1.059931014659385</v>
      </c>
      <c r="M69" s="15">
        <f t="shared" si="11"/>
        <v>1.059931014659385</v>
      </c>
      <c r="N69" s="5" t="s">
        <v>347</v>
      </c>
      <c r="O69" s="5" t="s">
        <v>347</v>
      </c>
      <c r="P69" s="5">
        <v>0</v>
      </c>
      <c r="Q69" s="5">
        <v>0</v>
      </c>
      <c r="R69" s="5" t="str">
        <f t="shared" si="15"/>
        <v>25-2023-06-30</v>
      </c>
    </row>
    <row r="70" spans="1:18" x14ac:dyDescent="0.3">
      <c r="A70" s="26">
        <v>25</v>
      </c>
      <c r="B70" s="23" t="s">
        <v>558</v>
      </c>
      <c r="C70" s="5" t="s">
        <v>345</v>
      </c>
      <c r="D70" s="5" t="s">
        <v>11</v>
      </c>
      <c r="E70" s="5" t="s">
        <v>9</v>
      </c>
      <c r="F70" s="6">
        <v>45291</v>
      </c>
      <c r="G70" s="5">
        <f t="shared" si="13"/>
        <v>2023</v>
      </c>
      <c r="H70" s="5" t="str">
        <f t="shared" si="14"/>
        <v>Diciembre</v>
      </c>
      <c r="I70" s="6" t="str">
        <f t="shared" si="12"/>
        <v>2023-2</v>
      </c>
      <c r="J70" s="5">
        <v>100</v>
      </c>
      <c r="K70" s="5">
        <v>98.75</v>
      </c>
      <c r="L70" s="15">
        <f t="shared" si="10"/>
        <v>0.98750000000000004</v>
      </c>
      <c r="M70" s="15">
        <f t="shared" si="11"/>
        <v>0.98750000000000004</v>
      </c>
      <c r="N70" s="5" t="s">
        <v>347</v>
      </c>
      <c r="O70" s="5" t="s">
        <v>347</v>
      </c>
      <c r="P70" s="5">
        <v>0</v>
      </c>
      <c r="Q70" s="5">
        <v>0</v>
      </c>
      <c r="R70" s="5" t="str">
        <f t="shared" si="15"/>
        <v>25-2023-12-31</v>
      </c>
    </row>
    <row r="71" spans="1:18" x14ac:dyDescent="0.3">
      <c r="A71" s="26">
        <v>26</v>
      </c>
      <c r="B71" s="23" t="s">
        <v>559</v>
      </c>
      <c r="C71" s="5" t="s">
        <v>345</v>
      </c>
      <c r="D71" s="5" t="s">
        <v>11</v>
      </c>
      <c r="E71" s="5" t="s">
        <v>9</v>
      </c>
      <c r="F71" s="6">
        <v>45107</v>
      </c>
      <c r="G71" s="5">
        <f t="shared" si="13"/>
        <v>2023</v>
      </c>
      <c r="H71" s="5" t="str">
        <f t="shared" si="14"/>
        <v>Junio</v>
      </c>
      <c r="I71" s="6" t="str">
        <f t="shared" si="12"/>
        <v>2023-1</v>
      </c>
      <c r="J71" s="5">
        <v>72.27</v>
      </c>
      <c r="K71" s="5">
        <v>70.209999999999994</v>
      </c>
      <c r="L71" s="15">
        <f t="shared" si="10"/>
        <v>0.97149577971495782</v>
      </c>
      <c r="M71" s="15">
        <f t="shared" si="11"/>
        <v>0.97149577971495782</v>
      </c>
      <c r="N71" s="5" t="s">
        <v>347</v>
      </c>
      <c r="O71" s="5" t="s">
        <v>347</v>
      </c>
      <c r="P71" s="5">
        <v>0</v>
      </c>
      <c r="Q71" s="5">
        <v>0</v>
      </c>
      <c r="R71" s="5" t="str">
        <f t="shared" si="15"/>
        <v>26-2023-06-30</v>
      </c>
    </row>
    <row r="72" spans="1:18" x14ac:dyDescent="0.3">
      <c r="A72" s="26">
        <v>26</v>
      </c>
      <c r="B72" s="23" t="s">
        <v>559</v>
      </c>
      <c r="C72" s="5" t="s">
        <v>345</v>
      </c>
      <c r="D72" s="5" t="s">
        <v>11</v>
      </c>
      <c r="E72" s="5" t="s">
        <v>9</v>
      </c>
      <c r="F72" s="6">
        <v>45291</v>
      </c>
      <c r="G72" s="5">
        <f t="shared" si="13"/>
        <v>2023</v>
      </c>
      <c r="H72" s="5" t="str">
        <f t="shared" si="14"/>
        <v>Diciembre</v>
      </c>
      <c r="I72" s="6" t="str">
        <f t="shared" si="12"/>
        <v>2023-2</v>
      </c>
      <c r="J72" s="5">
        <v>100</v>
      </c>
      <c r="K72" s="5">
        <v>100</v>
      </c>
      <c r="L72" s="15">
        <f t="shared" si="10"/>
        <v>1</v>
      </c>
      <c r="M72" s="15">
        <f t="shared" si="11"/>
        <v>1</v>
      </c>
      <c r="N72" s="5" t="s">
        <v>347</v>
      </c>
      <c r="O72" s="5" t="s">
        <v>347</v>
      </c>
      <c r="P72" s="5">
        <v>0</v>
      </c>
      <c r="Q72" s="5">
        <v>0</v>
      </c>
      <c r="R72" s="5" t="str">
        <f t="shared" si="15"/>
        <v>26-2023-12-31</v>
      </c>
    </row>
    <row r="73" spans="1:18" x14ac:dyDescent="0.3">
      <c r="A73" s="26">
        <v>27</v>
      </c>
      <c r="B73" s="23" t="s">
        <v>560</v>
      </c>
      <c r="C73" s="5" t="s">
        <v>345</v>
      </c>
      <c r="D73" s="5" t="s">
        <v>11</v>
      </c>
      <c r="E73" s="5" t="s">
        <v>9</v>
      </c>
      <c r="F73" s="6">
        <v>45107</v>
      </c>
      <c r="G73" s="5">
        <f t="shared" si="13"/>
        <v>2023</v>
      </c>
      <c r="H73" s="5" t="str">
        <f t="shared" si="14"/>
        <v>Junio</v>
      </c>
      <c r="I73" s="6" t="str">
        <f t="shared" si="12"/>
        <v>2023-1</v>
      </c>
      <c r="J73" s="5">
        <v>71</v>
      </c>
      <c r="K73" s="5">
        <v>78</v>
      </c>
      <c r="L73" s="15">
        <f t="shared" si="10"/>
        <v>1.0985915492957747</v>
      </c>
      <c r="M73" s="15">
        <f t="shared" si="11"/>
        <v>1.0985915492957747</v>
      </c>
      <c r="N73" s="5" t="s">
        <v>347</v>
      </c>
      <c r="O73" s="5" t="s">
        <v>347</v>
      </c>
      <c r="P73" s="5">
        <v>0</v>
      </c>
      <c r="Q73" s="5">
        <v>0</v>
      </c>
      <c r="R73" s="5" t="str">
        <f t="shared" si="15"/>
        <v>27-2023-06-30</v>
      </c>
    </row>
    <row r="74" spans="1:18" x14ac:dyDescent="0.3">
      <c r="A74" s="26">
        <v>27</v>
      </c>
      <c r="B74" s="23" t="s">
        <v>560</v>
      </c>
      <c r="C74" s="5" t="s">
        <v>345</v>
      </c>
      <c r="D74" s="5" t="s">
        <v>11</v>
      </c>
      <c r="E74" s="5" t="s">
        <v>9</v>
      </c>
      <c r="F74" s="6">
        <v>45291</v>
      </c>
      <c r="G74" s="5">
        <f t="shared" si="13"/>
        <v>2023</v>
      </c>
      <c r="H74" s="5" t="str">
        <f t="shared" si="14"/>
        <v>Diciembre</v>
      </c>
      <c r="I74" s="6" t="str">
        <f t="shared" si="12"/>
        <v>2023-2</v>
      </c>
      <c r="J74" s="5">
        <v>100</v>
      </c>
      <c r="K74" s="5">
        <v>99.75</v>
      </c>
      <c r="L74" s="15">
        <f t="shared" si="10"/>
        <v>0.99750000000000005</v>
      </c>
      <c r="M74" s="15">
        <f t="shared" si="11"/>
        <v>0.99750000000000005</v>
      </c>
      <c r="N74" s="5" t="s">
        <v>347</v>
      </c>
      <c r="O74" s="5" t="s">
        <v>347</v>
      </c>
      <c r="P74" s="5">
        <v>0</v>
      </c>
      <c r="Q74" s="5">
        <v>0</v>
      </c>
      <c r="R74" s="5" t="str">
        <f t="shared" si="15"/>
        <v>27-2023-12-31</v>
      </c>
    </row>
    <row r="75" spans="1:18" x14ac:dyDescent="0.3">
      <c r="A75" s="26">
        <v>28</v>
      </c>
      <c r="B75" s="23" t="s">
        <v>561</v>
      </c>
      <c r="C75" s="5" t="s">
        <v>345</v>
      </c>
      <c r="D75" s="5" t="s">
        <v>11</v>
      </c>
      <c r="E75" s="5" t="s">
        <v>9</v>
      </c>
      <c r="F75" s="6">
        <v>45107</v>
      </c>
      <c r="G75" s="5">
        <f t="shared" si="13"/>
        <v>2023</v>
      </c>
      <c r="H75" s="5" t="str">
        <f t="shared" si="14"/>
        <v>Junio</v>
      </c>
      <c r="I75" s="6" t="str">
        <f t="shared" si="12"/>
        <v>2023-1</v>
      </c>
      <c r="J75" s="5">
        <v>74</v>
      </c>
      <c r="K75" s="5">
        <v>45</v>
      </c>
      <c r="L75" s="15">
        <f t="shared" ref="L75:L106" si="16">IFERROR(IF((K75/J75)&gt;1.3,1.3,K75/J75),"")</f>
        <v>0.60810810810810811</v>
      </c>
      <c r="M75" s="15">
        <f t="shared" ref="M75:M106" si="17">IFERROR(K75/J75,"")</f>
        <v>0.60810810810810811</v>
      </c>
      <c r="N75" s="5" t="s">
        <v>347</v>
      </c>
      <c r="O75" s="5" t="s">
        <v>347</v>
      </c>
      <c r="P75" s="5">
        <v>0</v>
      </c>
      <c r="Q75" s="5">
        <v>0</v>
      </c>
      <c r="R75" s="5" t="str">
        <f t="shared" si="15"/>
        <v>28-2023-06-30</v>
      </c>
    </row>
    <row r="76" spans="1:18" x14ac:dyDescent="0.3">
      <c r="A76" s="26">
        <v>28</v>
      </c>
      <c r="B76" s="23" t="s">
        <v>561</v>
      </c>
      <c r="C76" s="5" t="s">
        <v>345</v>
      </c>
      <c r="D76" s="5" t="s">
        <v>11</v>
      </c>
      <c r="E76" s="5" t="s">
        <v>9</v>
      </c>
      <c r="F76" s="6">
        <v>45291</v>
      </c>
      <c r="G76" s="5">
        <f t="shared" si="13"/>
        <v>2023</v>
      </c>
      <c r="H76" s="5" t="str">
        <f t="shared" si="14"/>
        <v>Diciembre</v>
      </c>
      <c r="I76" s="6" t="str">
        <f t="shared" si="12"/>
        <v>2023-2</v>
      </c>
      <c r="J76" s="5">
        <v>100</v>
      </c>
      <c r="K76" s="5">
        <v>97.4</v>
      </c>
      <c r="L76" s="15">
        <f t="shared" si="16"/>
        <v>0.97400000000000009</v>
      </c>
      <c r="M76" s="15">
        <f t="shared" si="17"/>
        <v>0.97400000000000009</v>
      </c>
      <c r="N76" s="5" t="s">
        <v>347</v>
      </c>
      <c r="O76" s="5" t="s">
        <v>347</v>
      </c>
      <c r="P76" s="5">
        <v>0</v>
      </c>
      <c r="Q76" s="5">
        <v>0</v>
      </c>
      <c r="R76" s="5" t="str">
        <f t="shared" si="15"/>
        <v>28-2023-12-31</v>
      </c>
    </row>
    <row r="77" spans="1:18" x14ac:dyDescent="0.3">
      <c r="A77" s="26">
        <v>29</v>
      </c>
      <c r="B77" s="23" t="s">
        <v>562</v>
      </c>
      <c r="C77" s="5" t="s">
        <v>345</v>
      </c>
      <c r="D77" s="5" t="s">
        <v>11</v>
      </c>
      <c r="E77" s="5" t="s">
        <v>9</v>
      </c>
      <c r="F77" s="6">
        <v>45107</v>
      </c>
      <c r="G77" s="5">
        <f t="shared" si="13"/>
        <v>2023</v>
      </c>
      <c r="H77" s="5" t="str">
        <f t="shared" si="14"/>
        <v>Junio</v>
      </c>
      <c r="I77" s="6" t="str">
        <f t="shared" si="12"/>
        <v>2023-1</v>
      </c>
      <c r="J77" s="5">
        <v>52</v>
      </c>
      <c r="K77" s="5">
        <v>65</v>
      </c>
      <c r="L77" s="15">
        <f t="shared" si="16"/>
        <v>1.25</v>
      </c>
      <c r="M77" s="15">
        <f t="shared" si="17"/>
        <v>1.25</v>
      </c>
      <c r="N77" s="5" t="s">
        <v>347</v>
      </c>
      <c r="O77" s="5" t="s">
        <v>347</v>
      </c>
      <c r="P77" s="5">
        <v>0</v>
      </c>
      <c r="Q77" s="5">
        <v>0</v>
      </c>
      <c r="R77" s="5" t="str">
        <f t="shared" si="15"/>
        <v>29-2023-06-30</v>
      </c>
    </row>
    <row r="78" spans="1:18" x14ac:dyDescent="0.3">
      <c r="A78" s="26">
        <v>29</v>
      </c>
      <c r="B78" s="23" t="s">
        <v>562</v>
      </c>
      <c r="C78" s="5" t="s">
        <v>345</v>
      </c>
      <c r="D78" s="5" t="s">
        <v>11</v>
      </c>
      <c r="E78" s="5" t="s">
        <v>9</v>
      </c>
      <c r="F78" s="6">
        <v>45291</v>
      </c>
      <c r="G78" s="5">
        <f t="shared" si="13"/>
        <v>2023</v>
      </c>
      <c r="H78" s="5" t="str">
        <f t="shared" si="14"/>
        <v>Diciembre</v>
      </c>
      <c r="I78" s="6" t="str">
        <f t="shared" si="12"/>
        <v>2023-2</v>
      </c>
      <c r="J78" s="5">
        <v>100</v>
      </c>
      <c r="K78" s="5">
        <v>98.83</v>
      </c>
      <c r="L78" s="15">
        <f t="shared" si="16"/>
        <v>0.98829999999999996</v>
      </c>
      <c r="M78" s="15">
        <f t="shared" si="17"/>
        <v>0.98829999999999996</v>
      </c>
      <c r="N78" s="5" t="s">
        <v>347</v>
      </c>
      <c r="O78" s="5" t="s">
        <v>347</v>
      </c>
      <c r="P78" s="5">
        <v>0</v>
      </c>
      <c r="Q78" s="5">
        <v>0</v>
      </c>
      <c r="R78" s="5" t="str">
        <f t="shared" si="15"/>
        <v>29-2023-12-31</v>
      </c>
    </row>
    <row r="79" spans="1:18" x14ac:dyDescent="0.3">
      <c r="A79" s="26">
        <v>30</v>
      </c>
      <c r="B79" s="23" t="s">
        <v>563</v>
      </c>
      <c r="C79" s="5" t="s">
        <v>345</v>
      </c>
      <c r="D79" s="5" t="s">
        <v>11</v>
      </c>
      <c r="E79" s="5" t="s">
        <v>9</v>
      </c>
      <c r="F79" s="6">
        <v>45107</v>
      </c>
      <c r="G79" s="5">
        <f t="shared" si="13"/>
        <v>2023</v>
      </c>
      <c r="H79" s="5" t="str">
        <f t="shared" si="14"/>
        <v>Junio</v>
      </c>
      <c r="I79" s="6" t="str">
        <f t="shared" ref="I79:I110" si="18">IF(OR(H79="Enero",H79="Febrero",H79="Marzo",H79="Abril",H79="Mayo",H79="Junio"),G79&amp;"-1",IF(OR(H79="Julio",H79="Agosto",H79="Septiembre",H79="Octubre",H79="Noviembre",H79="Diciembre"),G79&amp;"-2"))</f>
        <v>2023-1</v>
      </c>
      <c r="J79" s="5">
        <v>70</v>
      </c>
      <c r="K79" s="5">
        <v>84</v>
      </c>
      <c r="L79" s="15">
        <f t="shared" si="16"/>
        <v>1.2</v>
      </c>
      <c r="M79" s="15">
        <f t="shared" si="17"/>
        <v>1.2</v>
      </c>
      <c r="N79" s="5" t="s">
        <v>347</v>
      </c>
      <c r="O79" s="5" t="s">
        <v>347</v>
      </c>
      <c r="P79" s="5">
        <v>0</v>
      </c>
      <c r="Q79" s="5">
        <v>0</v>
      </c>
      <c r="R79" s="5" t="str">
        <f t="shared" si="15"/>
        <v>30-2023-06-30</v>
      </c>
    </row>
    <row r="80" spans="1:18" x14ac:dyDescent="0.3">
      <c r="A80" s="26">
        <v>30</v>
      </c>
      <c r="B80" s="23" t="s">
        <v>563</v>
      </c>
      <c r="C80" s="5" t="s">
        <v>345</v>
      </c>
      <c r="D80" s="5" t="s">
        <v>11</v>
      </c>
      <c r="E80" s="5" t="s">
        <v>9</v>
      </c>
      <c r="F80" s="6">
        <v>45291</v>
      </c>
      <c r="G80" s="5">
        <f t="shared" si="13"/>
        <v>2023</v>
      </c>
      <c r="H80" s="5" t="str">
        <f t="shared" si="14"/>
        <v>Diciembre</v>
      </c>
      <c r="I80" s="6" t="str">
        <f t="shared" si="18"/>
        <v>2023-2</v>
      </c>
      <c r="J80" s="5">
        <v>100</v>
      </c>
      <c r="K80" s="5">
        <v>98.75</v>
      </c>
      <c r="L80" s="15">
        <f t="shared" si="16"/>
        <v>0.98750000000000004</v>
      </c>
      <c r="M80" s="15">
        <f t="shared" si="17"/>
        <v>0.98750000000000004</v>
      </c>
      <c r="N80" s="5" t="s">
        <v>347</v>
      </c>
      <c r="O80" s="5" t="s">
        <v>347</v>
      </c>
      <c r="P80" s="5">
        <v>0</v>
      </c>
      <c r="Q80" s="5">
        <v>0</v>
      </c>
      <c r="R80" s="5" t="str">
        <f t="shared" si="15"/>
        <v>30-2023-12-31</v>
      </c>
    </row>
    <row r="81" spans="1:18" x14ac:dyDescent="0.3">
      <c r="A81" s="26">
        <v>31</v>
      </c>
      <c r="B81" s="23" t="s">
        <v>564</v>
      </c>
      <c r="C81" s="5"/>
      <c r="D81" s="5" t="s">
        <v>11</v>
      </c>
      <c r="E81" s="5" t="s">
        <v>9</v>
      </c>
      <c r="F81" s="6">
        <v>45107</v>
      </c>
      <c r="G81" s="5">
        <f t="shared" si="13"/>
        <v>2023</v>
      </c>
      <c r="H81" s="5" t="str">
        <f t="shared" si="14"/>
        <v>Junio</v>
      </c>
      <c r="I81" s="6" t="str">
        <f t="shared" si="18"/>
        <v>2023-1</v>
      </c>
      <c r="J81" s="5">
        <v>41</v>
      </c>
      <c r="K81" s="5">
        <v>54</v>
      </c>
      <c r="L81" s="15">
        <f t="shared" si="16"/>
        <v>1.3</v>
      </c>
      <c r="M81" s="15">
        <f t="shared" si="17"/>
        <v>1.3170731707317074</v>
      </c>
      <c r="N81" s="5" t="s">
        <v>347</v>
      </c>
      <c r="O81" s="5" t="s">
        <v>347</v>
      </c>
      <c r="P81" s="5">
        <v>0</v>
      </c>
      <c r="Q81" s="5">
        <v>0</v>
      </c>
      <c r="R81" s="5" t="str">
        <f t="shared" si="15"/>
        <v>31-2023-06-30</v>
      </c>
    </row>
    <row r="82" spans="1:18" x14ac:dyDescent="0.3">
      <c r="A82" s="26">
        <v>31</v>
      </c>
      <c r="B82" s="23" t="s">
        <v>564</v>
      </c>
      <c r="C82" s="5"/>
      <c r="D82" s="5" t="s">
        <v>11</v>
      </c>
      <c r="E82" s="5" t="s">
        <v>9</v>
      </c>
      <c r="F82" s="6">
        <v>45291</v>
      </c>
      <c r="G82" s="5">
        <f t="shared" si="13"/>
        <v>2023</v>
      </c>
      <c r="H82" s="5" t="str">
        <f t="shared" si="14"/>
        <v>Diciembre</v>
      </c>
      <c r="I82" s="6" t="str">
        <f t="shared" si="18"/>
        <v>2023-2</v>
      </c>
      <c r="J82" s="5">
        <v>100</v>
      </c>
      <c r="K82" s="5">
        <v>100</v>
      </c>
      <c r="L82" s="15">
        <f t="shared" si="16"/>
        <v>1</v>
      </c>
      <c r="M82" s="15">
        <f t="shared" si="17"/>
        <v>1</v>
      </c>
      <c r="N82" s="5" t="s">
        <v>347</v>
      </c>
      <c r="O82" s="5" t="s">
        <v>347</v>
      </c>
      <c r="P82" s="5">
        <v>0</v>
      </c>
      <c r="Q82" s="5">
        <v>0</v>
      </c>
      <c r="R82" s="5" t="str">
        <f t="shared" si="15"/>
        <v>31-2023-12-31</v>
      </c>
    </row>
    <row r="83" spans="1:18" x14ac:dyDescent="0.3">
      <c r="A83" s="26">
        <v>32</v>
      </c>
      <c r="B83" s="23" t="s">
        <v>565</v>
      </c>
      <c r="C83" s="5" t="s">
        <v>13</v>
      </c>
      <c r="D83" s="5" t="s">
        <v>11</v>
      </c>
      <c r="E83" s="5" t="s">
        <v>9</v>
      </c>
      <c r="F83" s="6">
        <v>45107</v>
      </c>
      <c r="G83" s="5">
        <f t="shared" si="13"/>
        <v>2023</v>
      </c>
      <c r="H83" s="5" t="str">
        <f t="shared" si="14"/>
        <v>Junio</v>
      </c>
      <c r="I83" s="6" t="str">
        <f t="shared" si="18"/>
        <v>2023-1</v>
      </c>
      <c r="J83" s="5">
        <v>56</v>
      </c>
      <c r="K83" s="5">
        <v>70</v>
      </c>
      <c r="L83" s="15">
        <f t="shared" si="16"/>
        <v>1.25</v>
      </c>
      <c r="M83" s="15">
        <f t="shared" si="17"/>
        <v>1.25</v>
      </c>
      <c r="N83" s="5" t="s">
        <v>347</v>
      </c>
      <c r="O83" s="5" t="s">
        <v>347</v>
      </c>
      <c r="P83" s="5">
        <v>0</v>
      </c>
      <c r="Q83" s="5">
        <v>0</v>
      </c>
      <c r="R83" s="5" t="str">
        <f t="shared" si="15"/>
        <v>32-2023-06-30</v>
      </c>
    </row>
    <row r="84" spans="1:18" x14ac:dyDescent="0.3">
      <c r="A84" s="26">
        <v>32</v>
      </c>
      <c r="B84" s="23" t="s">
        <v>565</v>
      </c>
      <c r="C84" s="5" t="s">
        <v>13</v>
      </c>
      <c r="D84" s="5" t="s">
        <v>11</v>
      </c>
      <c r="E84" s="5" t="s">
        <v>9</v>
      </c>
      <c r="F84" s="6">
        <v>45291</v>
      </c>
      <c r="G84" s="5">
        <f t="shared" si="13"/>
        <v>2023</v>
      </c>
      <c r="H84" s="5" t="str">
        <f t="shared" si="14"/>
        <v>Diciembre</v>
      </c>
      <c r="I84" s="6" t="str">
        <f t="shared" si="18"/>
        <v>2023-2</v>
      </c>
      <c r="J84" s="5">
        <v>100</v>
      </c>
      <c r="K84" s="5">
        <v>94.51</v>
      </c>
      <c r="L84" s="15">
        <f t="shared" si="16"/>
        <v>0.94510000000000005</v>
      </c>
      <c r="M84" s="15">
        <f t="shared" si="17"/>
        <v>0.94510000000000005</v>
      </c>
      <c r="N84" s="5" t="s">
        <v>347</v>
      </c>
      <c r="O84" s="5" t="s">
        <v>347</v>
      </c>
      <c r="P84" s="5">
        <v>0</v>
      </c>
      <c r="Q84" s="5">
        <v>0</v>
      </c>
      <c r="R84" s="5" t="str">
        <f t="shared" si="15"/>
        <v>32-2023-12-31</v>
      </c>
    </row>
    <row r="85" spans="1:18" x14ac:dyDescent="0.3">
      <c r="A85" s="26">
        <v>33</v>
      </c>
      <c r="B85" s="23" t="s">
        <v>566</v>
      </c>
      <c r="C85" s="5" t="s">
        <v>410</v>
      </c>
      <c r="D85" s="5" t="s">
        <v>11</v>
      </c>
      <c r="E85" s="5" t="s">
        <v>9</v>
      </c>
      <c r="F85" s="6">
        <v>45107</v>
      </c>
      <c r="G85" s="5">
        <f t="shared" si="13"/>
        <v>2023</v>
      </c>
      <c r="H85" s="5" t="str">
        <f t="shared" si="14"/>
        <v>Junio</v>
      </c>
      <c r="I85" s="6" t="str">
        <f t="shared" si="18"/>
        <v>2023-1</v>
      </c>
      <c r="J85" s="5">
        <v>52</v>
      </c>
      <c r="K85" s="5">
        <v>56</v>
      </c>
      <c r="L85" s="15">
        <f t="shared" si="16"/>
        <v>1.0769230769230769</v>
      </c>
      <c r="M85" s="15">
        <f t="shared" si="17"/>
        <v>1.0769230769230769</v>
      </c>
      <c r="N85" s="5" t="s">
        <v>347</v>
      </c>
      <c r="O85" s="5" t="s">
        <v>347</v>
      </c>
      <c r="P85" s="5">
        <v>0</v>
      </c>
      <c r="Q85" s="5">
        <v>0</v>
      </c>
      <c r="R85" s="5" t="str">
        <f t="shared" si="15"/>
        <v>33-2023-06-30</v>
      </c>
    </row>
    <row r="86" spans="1:18" x14ac:dyDescent="0.3">
      <c r="A86" s="26">
        <v>33</v>
      </c>
      <c r="B86" s="23" t="s">
        <v>566</v>
      </c>
      <c r="C86" s="5" t="s">
        <v>410</v>
      </c>
      <c r="D86" s="5" t="s">
        <v>11</v>
      </c>
      <c r="E86" s="5" t="s">
        <v>9</v>
      </c>
      <c r="F86" s="6">
        <v>45291</v>
      </c>
      <c r="G86" s="5">
        <f t="shared" si="13"/>
        <v>2023</v>
      </c>
      <c r="H86" s="5" t="str">
        <f t="shared" si="14"/>
        <v>Diciembre</v>
      </c>
      <c r="I86" s="6" t="str">
        <f t="shared" si="18"/>
        <v>2023-2</v>
      </c>
      <c r="J86" s="5">
        <v>100</v>
      </c>
      <c r="K86" s="5">
        <v>86.53</v>
      </c>
      <c r="L86" s="15">
        <f t="shared" si="16"/>
        <v>0.86529999999999996</v>
      </c>
      <c r="M86" s="15">
        <f t="shared" si="17"/>
        <v>0.86529999999999996</v>
      </c>
      <c r="N86" s="5" t="s">
        <v>347</v>
      </c>
      <c r="O86" s="5" t="s">
        <v>347</v>
      </c>
      <c r="P86" s="5">
        <v>0</v>
      </c>
      <c r="Q86" s="5">
        <v>0</v>
      </c>
      <c r="R86" s="5" t="str">
        <f t="shared" si="15"/>
        <v>33-2023-12-31</v>
      </c>
    </row>
    <row r="87" spans="1:18" x14ac:dyDescent="0.3">
      <c r="A87" s="26">
        <v>34</v>
      </c>
      <c r="B87" s="23" t="s">
        <v>567</v>
      </c>
      <c r="C87" s="5" t="s">
        <v>145</v>
      </c>
      <c r="D87" s="5" t="s">
        <v>11</v>
      </c>
      <c r="E87" s="5" t="s">
        <v>9</v>
      </c>
      <c r="F87" s="6">
        <v>45107</v>
      </c>
      <c r="G87" s="5">
        <f t="shared" si="13"/>
        <v>2023</v>
      </c>
      <c r="H87" s="5" t="str">
        <f t="shared" si="14"/>
        <v>Junio</v>
      </c>
      <c r="I87" s="6" t="str">
        <f t="shared" si="18"/>
        <v>2023-1</v>
      </c>
      <c r="J87" s="5">
        <v>66</v>
      </c>
      <c r="K87" s="5">
        <v>66</v>
      </c>
      <c r="L87" s="15">
        <f t="shared" si="16"/>
        <v>1</v>
      </c>
      <c r="M87" s="15">
        <f t="shared" si="17"/>
        <v>1</v>
      </c>
      <c r="N87" s="5" t="s">
        <v>347</v>
      </c>
      <c r="O87" s="5" t="s">
        <v>347</v>
      </c>
      <c r="P87" s="5">
        <v>0</v>
      </c>
      <c r="Q87" s="5">
        <v>0</v>
      </c>
      <c r="R87" s="5" t="str">
        <f t="shared" si="15"/>
        <v>34-2023-06-30</v>
      </c>
    </row>
    <row r="88" spans="1:18" x14ac:dyDescent="0.3">
      <c r="A88" s="26">
        <v>34</v>
      </c>
      <c r="B88" s="23" t="s">
        <v>567</v>
      </c>
      <c r="C88" s="5" t="s">
        <v>145</v>
      </c>
      <c r="D88" s="5" t="s">
        <v>11</v>
      </c>
      <c r="E88" s="5" t="s">
        <v>9</v>
      </c>
      <c r="F88" s="6">
        <v>45291</v>
      </c>
      <c r="G88" s="5">
        <f t="shared" si="13"/>
        <v>2023</v>
      </c>
      <c r="H88" s="5" t="str">
        <f t="shared" si="14"/>
        <v>Diciembre</v>
      </c>
      <c r="I88" s="6" t="str">
        <f t="shared" si="18"/>
        <v>2023-2</v>
      </c>
      <c r="J88" s="5">
        <v>100</v>
      </c>
      <c r="K88" s="5">
        <v>94.6</v>
      </c>
      <c r="L88" s="15">
        <f t="shared" si="16"/>
        <v>0.94599999999999995</v>
      </c>
      <c r="M88" s="15">
        <f t="shared" si="17"/>
        <v>0.94599999999999995</v>
      </c>
      <c r="N88" s="5" t="s">
        <v>347</v>
      </c>
      <c r="O88" s="5" t="s">
        <v>347</v>
      </c>
      <c r="P88" s="5">
        <v>0</v>
      </c>
      <c r="Q88" s="5">
        <v>0</v>
      </c>
      <c r="R88" s="5" t="str">
        <f t="shared" si="15"/>
        <v>34-2023-12-31</v>
      </c>
    </row>
    <row r="89" spans="1:18" x14ac:dyDescent="0.3">
      <c r="A89" s="26">
        <v>35</v>
      </c>
      <c r="B89" s="23" t="s">
        <v>568</v>
      </c>
      <c r="C89" s="5" t="s">
        <v>249</v>
      </c>
      <c r="D89" s="5" t="s">
        <v>11</v>
      </c>
      <c r="E89" s="5" t="s">
        <v>9</v>
      </c>
      <c r="F89" s="6">
        <v>45107</v>
      </c>
      <c r="G89" s="5">
        <f t="shared" si="13"/>
        <v>2023</v>
      </c>
      <c r="H89" s="5" t="str">
        <f t="shared" si="14"/>
        <v>Junio</v>
      </c>
      <c r="I89" s="6" t="str">
        <f t="shared" si="18"/>
        <v>2023-1</v>
      </c>
      <c r="J89" s="5">
        <v>63</v>
      </c>
      <c r="K89" s="5">
        <v>52</v>
      </c>
      <c r="L89" s="15">
        <f t="shared" si="16"/>
        <v>0.82539682539682535</v>
      </c>
      <c r="M89" s="15">
        <f t="shared" si="17"/>
        <v>0.82539682539682535</v>
      </c>
      <c r="N89" s="5" t="s">
        <v>347</v>
      </c>
      <c r="O89" s="5" t="s">
        <v>347</v>
      </c>
      <c r="P89" s="5">
        <v>0</v>
      </c>
      <c r="Q89" s="5">
        <v>0</v>
      </c>
      <c r="R89" s="5" t="str">
        <f t="shared" si="15"/>
        <v>35-2023-06-30</v>
      </c>
    </row>
    <row r="90" spans="1:18" x14ac:dyDescent="0.3">
      <c r="A90" s="26">
        <v>35</v>
      </c>
      <c r="B90" s="23" t="s">
        <v>568</v>
      </c>
      <c r="C90" s="5" t="s">
        <v>249</v>
      </c>
      <c r="D90" s="5" t="s">
        <v>11</v>
      </c>
      <c r="E90" s="5" t="s">
        <v>9</v>
      </c>
      <c r="F90" s="6">
        <v>45291</v>
      </c>
      <c r="G90" s="5">
        <f t="shared" si="13"/>
        <v>2023</v>
      </c>
      <c r="H90" s="5" t="str">
        <f t="shared" si="14"/>
        <v>Diciembre</v>
      </c>
      <c r="I90" s="6" t="str">
        <f t="shared" si="18"/>
        <v>2023-2</v>
      </c>
      <c r="J90" s="5">
        <v>100</v>
      </c>
      <c r="K90" s="5">
        <v>99.86</v>
      </c>
      <c r="L90" s="15">
        <f t="shared" si="16"/>
        <v>0.99860000000000004</v>
      </c>
      <c r="M90" s="15">
        <f t="shared" si="17"/>
        <v>0.99860000000000004</v>
      </c>
      <c r="N90" s="5" t="s">
        <v>347</v>
      </c>
      <c r="O90" s="5" t="s">
        <v>347</v>
      </c>
      <c r="P90" s="5">
        <v>0</v>
      </c>
      <c r="Q90" s="5">
        <v>0</v>
      </c>
      <c r="R90" s="5" t="str">
        <f t="shared" si="15"/>
        <v>35-2023-12-31</v>
      </c>
    </row>
    <row r="91" spans="1:18" x14ac:dyDescent="0.3">
      <c r="A91" s="26">
        <v>36</v>
      </c>
      <c r="B91" s="23" t="s">
        <v>569</v>
      </c>
      <c r="C91" s="5" t="s">
        <v>74</v>
      </c>
      <c r="D91" s="5" t="s">
        <v>11</v>
      </c>
      <c r="E91" s="5" t="s">
        <v>9</v>
      </c>
      <c r="F91" s="6">
        <v>45107</v>
      </c>
      <c r="G91" s="5">
        <f t="shared" si="13"/>
        <v>2023</v>
      </c>
      <c r="H91" s="5" t="str">
        <f t="shared" si="14"/>
        <v>Junio</v>
      </c>
      <c r="I91" s="6" t="str">
        <f t="shared" si="18"/>
        <v>2023-1</v>
      </c>
      <c r="J91" s="5">
        <v>88</v>
      </c>
      <c r="K91" s="5">
        <v>94</v>
      </c>
      <c r="L91" s="15">
        <f t="shared" si="16"/>
        <v>1.0681818181818181</v>
      </c>
      <c r="M91" s="15">
        <f t="shared" si="17"/>
        <v>1.0681818181818181</v>
      </c>
      <c r="N91" s="5" t="s">
        <v>347</v>
      </c>
      <c r="O91" s="5" t="s">
        <v>347</v>
      </c>
      <c r="P91" s="5">
        <v>0</v>
      </c>
      <c r="Q91" s="5">
        <v>0</v>
      </c>
      <c r="R91" s="5" t="str">
        <f t="shared" si="15"/>
        <v>36-2023-06-30</v>
      </c>
    </row>
    <row r="92" spans="1:18" x14ac:dyDescent="0.3">
      <c r="A92" s="26">
        <v>36</v>
      </c>
      <c r="B92" s="23" t="s">
        <v>569</v>
      </c>
      <c r="C92" s="5" t="s">
        <v>74</v>
      </c>
      <c r="D92" s="5" t="s">
        <v>11</v>
      </c>
      <c r="E92" s="5" t="s">
        <v>9</v>
      </c>
      <c r="F92" s="6">
        <v>45291</v>
      </c>
      <c r="G92" s="5">
        <f t="shared" si="13"/>
        <v>2023</v>
      </c>
      <c r="H92" s="5" t="str">
        <f t="shared" si="14"/>
        <v>Diciembre</v>
      </c>
      <c r="I92" s="6" t="str">
        <f t="shared" si="18"/>
        <v>2023-2</v>
      </c>
      <c r="J92" s="5">
        <v>100</v>
      </c>
      <c r="K92" s="5">
        <v>100</v>
      </c>
      <c r="L92" s="15">
        <f t="shared" si="16"/>
        <v>1</v>
      </c>
      <c r="M92" s="15">
        <f t="shared" si="17"/>
        <v>1</v>
      </c>
      <c r="N92" s="5" t="s">
        <v>347</v>
      </c>
      <c r="O92" s="5" t="s">
        <v>347</v>
      </c>
      <c r="P92" s="5">
        <v>0</v>
      </c>
      <c r="Q92" s="5">
        <v>0</v>
      </c>
      <c r="R92" s="5" t="str">
        <f t="shared" si="15"/>
        <v>36-2023-12-31</v>
      </c>
    </row>
    <row r="93" spans="1:18" x14ac:dyDescent="0.3">
      <c r="A93" s="26">
        <v>37</v>
      </c>
      <c r="B93" s="23" t="s">
        <v>570</v>
      </c>
      <c r="C93" s="5" t="s">
        <v>343</v>
      </c>
      <c r="D93" s="5" t="s">
        <v>11</v>
      </c>
      <c r="E93" s="5" t="s">
        <v>9</v>
      </c>
      <c r="F93" s="6">
        <v>45107</v>
      </c>
      <c r="G93" s="5">
        <f t="shared" si="13"/>
        <v>2023</v>
      </c>
      <c r="H93" s="5" t="str">
        <f t="shared" si="14"/>
        <v>Junio</v>
      </c>
      <c r="I93" s="6" t="str">
        <f t="shared" si="18"/>
        <v>2023-1</v>
      </c>
      <c r="J93" s="5">
        <v>58</v>
      </c>
      <c r="K93" s="5">
        <v>37</v>
      </c>
      <c r="L93" s="15">
        <f t="shared" si="16"/>
        <v>0.63793103448275867</v>
      </c>
      <c r="M93" s="15">
        <f t="shared" si="17"/>
        <v>0.63793103448275867</v>
      </c>
      <c r="N93" s="5" t="s">
        <v>347</v>
      </c>
      <c r="O93" s="5" t="s">
        <v>347</v>
      </c>
      <c r="P93" s="5">
        <v>0</v>
      </c>
      <c r="Q93" s="5">
        <v>0</v>
      </c>
      <c r="R93" s="5" t="str">
        <f t="shared" si="15"/>
        <v>37-2023-06-30</v>
      </c>
    </row>
    <row r="94" spans="1:18" x14ac:dyDescent="0.3">
      <c r="A94" s="26">
        <v>37</v>
      </c>
      <c r="B94" s="23" t="s">
        <v>570</v>
      </c>
      <c r="C94" s="5" t="s">
        <v>343</v>
      </c>
      <c r="D94" s="5" t="s">
        <v>11</v>
      </c>
      <c r="E94" s="5" t="s">
        <v>9</v>
      </c>
      <c r="F94" s="6">
        <v>45291</v>
      </c>
      <c r="G94" s="5">
        <f t="shared" si="13"/>
        <v>2023</v>
      </c>
      <c r="H94" s="5" t="str">
        <f t="shared" si="14"/>
        <v>Diciembre</v>
      </c>
      <c r="I94" s="6" t="str">
        <f t="shared" si="18"/>
        <v>2023-2</v>
      </c>
      <c r="J94" s="5">
        <v>100</v>
      </c>
      <c r="K94" s="5">
        <v>84.33</v>
      </c>
      <c r="L94" s="15">
        <f t="shared" si="16"/>
        <v>0.84329999999999994</v>
      </c>
      <c r="M94" s="15">
        <f t="shared" si="17"/>
        <v>0.84329999999999994</v>
      </c>
      <c r="N94" s="5" t="s">
        <v>347</v>
      </c>
      <c r="O94" s="5" t="s">
        <v>347</v>
      </c>
      <c r="P94" s="5">
        <v>0</v>
      </c>
      <c r="Q94" s="5">
        <v>0</v>
      </c>
      <c r="R94" s="5" t="str">
        <f t="shared" si="15"/>
        <v>37-2023-12-31</v>
      </c>
    </row>
    <row r="95" spans="1:18" x14ac:dyDescent="0.3">
      <c r="A95" s="26">
        <v>38</v>
      </c>
      <c r="B95" s="23" t="s">
        <v>571</v>
      </c>
      <c r="C95" s="5" t="s">
        <v>237</v>
      </c>
      <c r="D95" s="5" t="s">
        <v>11</v>
      </c>
      <c r="E95" s="5" t="s">
        <v>9</v>
      </c>
      <c r="F95" s="6">
        <v>45107</v>
      </c>
      <c r="G95" s="5">
        <f t="shared" si="13"/>
        <v>2023</v>
      </c>
      <c r="H95" s="5" t="str">
        <f t="shared" si="14"/>
        <v>Junio</v>
      </c>
      <c r="I95" s="6" t="str">
        <f t="shared" si="18"/>
        <v>2023-1</v>
      </c>
      <c r="J95" s="5">
        <v>58</v>
      </c>
      <c r="K95" s="5">
        <v>50</v>
      </c>
      <c r="L95" s="15">
        <f t="shared" si="16"/>
        <v>0.86206896551724133</v>
      </c>
      <c r="M95" s="15">
        <f t="shared" si="17"/>
        <v>0.86206896551724133</v>
      </c>
      <c r="N95" s="5" t="s">
        <v>347</v>
      </c>
      <c r="O95" s="5" t="s">
        <v>347</v>
      </c>
      <c r="P95" s="5">
        <v>0</v>
      </c>
      <c r="Q95" s="5">
        <v>0</v>
      </c>
      <c r="R95" s="5" t="str">
        <f t="shared" si="15"/>
        <v>38-2023-06-30</v>
      </c>
    </row>
    <row r="96" spans="1:18" x14ac:dyDescent="0.3">
      <c r="A96" s="26">
        <v>38</v>
      </c>
      <c r="B96" s="23" t="s">
        <v>571</v>
      </c>
      <c r="C96" s="5" t="s">
        <v>237</v>
      </c>
      <c r="D96" s="5" t="s">
        <v>11</v>
      </c>
      <c r="E96" s="5" t="s">
        <v>9</v>
      </c>
      <c r="F96" s="6">
        <v>45291</v>
      </c>
      <c r="G96" s="5">
        <f t="shared" si="13"/>
        <v>2023</v>
      </c>
      <c r="H96" s="5" t="str">
        <f t="shared" si="14"/>
        <v>Diciembre</v>
      </c>
      <c r="I96" s="6" t="str">
        <f t="shared" si="18"/>
        <v>2023-2</v>
      </c>
      <c r="J96" s="5">
        <v>100</v>
      </c>
      <c r="K96" s="5">
        <v>98</v>
      </c>
      <c r="L96" s="15">
        <f t="shared" si="16"/>
        <v>0.98</v>
      </c>
      <c r="M96" s="15">
        <f t="shared" si="17"/>
        <v>0.98</v>
      </c>
      <c r="N96" s="5" t="s">
        <v>347</v>
      </c>
      <c r="O96" s="5" t="s">
        <v>347</v>
      </c>
      <c r="P96" s="5">
        <v>0</v>
      </c>
      <c r="Q96" s="5">
        <v>0</v>
      </c>
      <c r="R96" s="5" t="str">
        <f t="shared" si="15"/>
        <v>38-2023-12-31</v>
      </c>
    </row>
    <row r="97" spans="1:18" x14ac:dyDescent="0.3">
      <c r="A97" s="26">
        <v>39</v>
      </c>
      <c r="B97" s="23" t="s">
        <v>572</v>
      </c>
      <c r="C97" s="5" t="s">
        <v>126</v>
      </c>
      <c r="D97" s="5" t="s">
        <v>11</v>
      </c>
      <c r="E97" s="5" t="s">
        <v>9</v>
      </c>
      <c r="F97" s="6">
        <v>45107</v>
      </c>
      <c r="G97" s="5">
        <f t="shared" si="13"/>
        <v>2023</v>
      </c>
      <c r="H97" s="5" t="str">
        <f t="shared" si="14"/>
        <v>Junio</v>
      </c>
      <c r="I97" s="6" t="str">
        <f t="shared" si="18"/>
        <v>2023-1</v>
      </c>
      <c r="J97" s="5">
        <v>20</v>
      </c>
      <c r="K97" s="5">
        <v>24</v>
      </c>
      <c r="L97" s="15">
        <f t="shared" si="16"/>
        <v>1.2</v>
      </c>
      <c r="M97" s="15">
        <f t="shared" si="17"/>
        <v>1.2</v>
      </c>
      <c r="N97" s="5" t="s">
        <v>347</v>
      </c>
      <c r="O97" s="5" t="s">
        <v>347</v>
      </c>
      <c r="P97" s="5">
        <v>0</v>
      </c>
      <c r="Q97" s="5">
        <v>0</v>
      </c>
      <c r="R97" s="5" t="str">
        <f t="shared" si="15"/>
        <v>39-2023-06-30</v>
      </c>
    </row>
    <row r="98" spans="1:18" x14ac:dyDescent="0.3">
      <c r="A98" s="26">
        <v>39</v>
      </c>
      <c r="B98" s="23" t="s">
        <v>572</v>
      </c>
      <c r="C98" s="5" t="s">
        <v>126</v>
      </c>
      <c r="D98" s="5" t="s">
        <v>11</v>
      </c>
      <c r="E98" s="5" t="s">
        <v>9</v>
      </c>
      <c r="F98" s="6">
        <v>45291</v>
      </c>
      <c r="G98" s="5">
        <f t="shared" ref="G98:G129" si="19">YEAR(F98)</f>
        <v>2023</v>
      </c>
      <c r="H98" s="5" t="str">
        <f t="shared" si="14"/>
        <v>Diciembre</v>
      </c>
      <c r="I98" s="6" t="str">
        <f t="shared" si="18"/>
        <v>2023-2</v>
      </c>
      <c r="J98" s="5">
        <v>100</v>
      </c>
      <c r="K98" s="5">
        <v>100</v>
      </c>
      <c r="L98" s="15">
        <f t="shared" si="16"/>
        <v>1</v>
      </c>
      <c r="M98" s="15">
        <f t="shared" si="17"/>
        <v>1</v>
      </c>
      <c r="N98" s="5" t="s">
        <v>347</v>
      </c>
      <c r="O98" s="5" t="s">
        <v>347</v>
      </c>
      <c r="P98" s="5">
        <v>0</v>
      </c>
      <c r="Q98" s="5">
        <v>0</v>
      </c>
      <c r="R98" s="5" t="str">
        <f t="shared" si="15"/>
        <v>39-2023-12-31</v>
      </c>
    </row>
    <row r="99" spans="1:18" x14ac:dyDescent="0.3">
      <c r="A99" s="26">
        <v>40</v>
      </c>
      <c r="B99" s="23" t="s">
        <v>573</v>
      </c>
      <c r="C99" s="5" t="s">
        <v>344</v>
      </c>
      <c r="D99" s="5" t="s">
        <v>11</v>
      </c>
      <c r="E99" s="5" t="s">
        <v>9</v>
      </c>
      <c r="F99" s="6">
        <v>45107</v>
      </c>
      <c r="G99" s="5">
        <f t="shared" si="19"/>
        <v>2023</v>
      </c>
      <c r="H99" s="5" t="str">
        <f t="shared" si="14"/>
        <v>Junio</v>
      </c>
      <c r="I99" s="6" t="str">
        <f t="shared" si="18"/>
        <v>2023-1</v>
      </c>
      <c r="J99" s="5">
        <v>54</v>
      </c>
      <c r="K99" s="5">
        <v>63</v>
      </c>
      <c r="L99" s="15">
        <f t="shared" si="16"/>
        <v>1.1666666666666667</v>
      </c>
      <c r="M99" s="15">
        <f t="shared" si="17"/>
        <v>1.1666666666666667</v>
      </c>
      <c r="N99" s="5" t="s">
        <v>347</v>
      </c>
      <c r="O99" s="5" t="s">
        <v>347</v>
      </c>
      <c r="P99" s="5">
        <v>0</v>
      </c>
      <c r="Q99" s="5">
        <v>0</v>
      </c>
      <c r="R99" s="5" t="str">
        <f t="shared" si="15"/>
        <v>40-2023-06-30</v>
      </c>
    </row>
    <row r="100" spans="1:18" x14ac:dyDescent="0.3">
      <c r="A100" s="26">
        <v>40</v>
      </c>
      <c r="B100" s="23" t="s">
        <v>573</v>
      </c>
      <c r="C100" s="5" t="s">
        <v>344</v>
      </c>
      <c r="D100" s="5" t="s">
        <v>11</v>
      </c>
      <c r="E100" s="5" t="s">
        <v>9</v>
      </c>
      <c r="F100" s="6">
        <v>45291</v>
      </c>
      <c r="G100" s="5">
        <f t="shared" si="19"/>
        <v>2023</v>
      </c>
      <c r="H100" s="5" t="str">
        <f t="shared" si="14"/>
        <v>Diciembre</v>
      </c>
      <c r="I100" s="6" t="str">
        <f t="shared" si="18"/>
        <v>2023-2</v>
      </c>
      <c r="J100" s="5">
        <v>100</v>
      </c>
      <c r="K100" s="5">
        <v>90</v>
      </c>
      <c r="L100" s="15">
        <f t="shared" si="16"/>
        <v>0.9</v>
      </c>
      <c r="M100" s="15">
        <f t="shared" si="17"/>
        <v>0.9</v>
      </c>
      <c r="N100" s="5" t="s">
        <v>347</v>
      </c>
      <c r="O100" s="5" t="s">
        <v>347</v>
      </c>
      <c r="P100" s="5">
        <v>0</v>
      </c>
      <c r="Q100" s="5">
        <v>0</v>
      </c>
      <c r="R100" s="5" t="str">
        <f t="shared" si="15"/>
        <v>40-2023-12-31</v>
      </c>
    </row>
    <row r="101" spans="1:18" x14ac:dyDescent="0.3">
      <c r="A101" s="26">
        <v>41</v>
      </c>
      <c r="B101" s="23" t="s">
        <v>574</v>
      </c>
      <c r="C101" s="5" t="s">
        <v>248</v>
      </c>
      <c r="D101" s="5" t="s">
        <v>11</v>
      </c>
      <c r="E101" s="5" t="s">
        <v>9</v>
      </c>
      <c r="F101" s="6">
        <v>45107</v>
      </c>
      <c r="G101" s="5">
        <f t="shared" si="19"/>
        <v>2023</v>
      </c>
      <c r="H101" s="5" t="str">
        <f t="shared" si="14"/>
        <v>Junio</v>
      </c>
      <c r="I101" s="6" t="str">
        <f t="shared" si="18"/>
        <v>2023-1</v>
      </c>
      <c r="J101" s="5">
        <v>62</v>
      </c>
      <c r="K101" s="5">
        <v>51</v>
      </c>
      <c r="L101" s="15">
        <f t="shared" si="16"/>
        <v>0.82258064516129037</v>
      </c>
      <c r="M101" s="15">
        <f t="shared" si="17"/>
        <v>0.82258064516129037</v>
      </c>
      <c r="N101" s="5" t="s">
        <v>347</v>
      </c>
      <c r="O101" s="5" t="s">
        <v>347</v>
      </c>
      <c r="P101" s="5">
        <v>0</v>
      </c>
      <c r="Q101" s="5">
        <v>0</v>
      </c>
      <c r="R101" s="5" t="str">
        <f t="shared" si="15"/>
        <v>41-2023-06-30</v>
      </c>
    </row>
    <row r="102" spans="1:18" x14ac:dyDescent="0.3">
      <c r="A102" s="26">
        <v>41</v>
      </c>
      <c r="B102" s="23" t="s">
        <v>574</v>
      </c>
      <c r="C102" s="5" t="s">
        <v>248</v>
      </c>
      <c r="D102" s="5" t="s">
        <v>11</v>
      </c>
      <c r="E102" s="5" t="s">
        <v>9</v>
      </c>
      <c r="F102" s="6">
        <v>45291</v>
      </c>
      <c r="G102" s="5">
        <f t="shared" si="19"/>
        <v>2023</v>
      </c>
      <c r="H102" s="5" t="str">
        <f t="shared" si="14"/>
        <v>Diciembre</v>
      </c>
      <c r="I102" s="6" t="str">
        <f t="shared" si="18"/>
        <v>2023-2</v>
      </c>
      <c r="J102" s="5">
        <v>100</v>
      </c>
      <c r="K102" s="5">
        <v>100</v>
      </c>
      <c r="L102" s="15">
        <f t="shared" si="16"/>
        <v>1</v>
      </c>
      <c r="M102" s="15">
        <f t="shared" si="17"/>
        <v>1</v>
      </c>
      <c r="N102" s="5" t="s">
        <v>347</v>
      </c>
      <c r="O102" s="5" t="s">
        <v>347</v>
      </c>
      <c r="P102" s="5">
        <v>0</v>
      </c>
      <c r="Q102" s="5">
        <v>0</v>
      </c>
      <c r="R102" s="5" t="str">
        <f t="shared" si="15"/>
        <v>41-2023-12-31</v>
      </c>
    </row>
    <row r="103" spans="1:18" x14ac:dyDescent="0.3">
      <c r="A103" s="26">
        <v>42</v>
      </c>
      <c r="B103" s="23" t="s">
        <v>575</v>
      </c>
      <c r="C103" s="5" t="s">
        <v>267</v>
      </c>
      <c r="D103" s="5" t="s">
        <v>11</v>
      </c>
      <c r="E103" s="5" t="s">
        <v>9</v>
      </c>
      <c r="F103" s="6">
        <v>45107</v>
      </c>
      <c r="G103" s="5">
        <f t="shared" si="19"/>
        <v>2023</v>
      </c>
      <c r="H103" s="5" t="str">
        <f t="shared" si="14"/>
        <v>Junio</v>
      </c>
      <c r="I103" s="6" t="str">
        <f t="shared" si="18"/>
        <v>2023-1</v>
      </c>
      <c r="J103" s="5">
        <v>63</v>
      </c>
      <c r="K103" s="5">
        <v>62</v>
      </c>
      <c r="L103" s="15">
        <f t="shared" si="16"/>
        <v>0.98412698412698407</v>
      </c>
      <c r="M103" s="15">
        <f t="shared" si="17"/>
        <v>0.98412698412698407</v>
      </c>
      <c r="N103" s="5" t="s">
        <v>347</v>
      </c>
      <c r="O103" s="5" t="s">
        <v>347</v>
      </c>
      <c r="P103" s="5">
        <v>0</v>
      </c>
      <c r="Q103" s="5">
        <v>0</v>
      </c>
      <c r="R103" s="5" t="str">
        <f t="shared" si="15"/>
        <v>42-2023-06-30</v>
      </c>
    </row>
    <row r="104" spans="1:18" x14ac:dyDescent="0.3">
      <c r="A104" s="26">
        <v>42</v>
      </c>
      <c r="B104" s="23" t="s">
        <v>575</v>
      </c>
      <c r="C104" s="5" t="s">
        <v>267</v>
      </c>
      <c r="D104" s="5" t="s">
        <v>11</v>
      </c>
      <c r="E104" s="5" t="s">
        <v>9</v>
      </c>
      <c r="F104" s="6">
        <v>45291</v>
      </c>
      <c r="G104" s="5">
        <f t="shared" si="19"/>
        <v>2023</v>
      </c>
      <c r="H104" s="5" t="str">
        <f t="shared" si="14"/>
        <v>Diciembre</v>
      </c>
      <c r="I104" s="6" t="str">
        <f t="shared" si="18"/>
        <v>2023-2</v>
      </c>
      <c r="J104" s="5">
        <v>100</v>
      </c>
      <c r="K104" s="5">
        <v>100</v>
      </c>
      <c r="L104" s="15">
        <f t="shared" si="16"/>
        <v>1</v>
      </c>
      <c r="M104" s="15">
        <f t="shared" si="17"/>
        <v>1</v>
      </c>
      <c r="N104" s="5" t="s">
        <v>347</v>
      </c>
      <c r="O104" s="5" t="s">
        <v>347</v>
      </c>
      <c r="P104" s="5">
        <v>0</v>
      </c>
      <c r="Q104" s="5">
        <v>0</v>
      </c>
      <c r="R104" s="5" t="str">
        <f t="shared" si="15"/>
        <v>42-2023-12-31</v>
      </c>
    </row>
    <row r="105" spans="1:18" x14ac:dyDescent="0.3">
      <c r="A105" s="26">
        <v>43</v>
      </c>
      <c r="B105" s="23" t="s">
        <v>576</v>
      </c>
      <c r="C105" s="5" t="s">
        <v>315</v>
      </c>
      <c r="D105" s="5" t="s">
        <v>11</v>
      </c>
      <c r="E105" s="5" t="s">
        <v>9</v>
      </c>
      <c r="F105" s="6">
        <v>45107</v>
      </c>
      <c r="G105" s="5">
        <f t="shared" si="19"/>
        <v>2023</v>
      </c>
      <c r="H105" s="5" t="str">
        <f t="shared" si="14"/>
        <v>Junio</v>
      </c>
      <c r="I105" s="6" t="str">
        <f t="shared" si="18"/>
        <v>2023-1</v>
      </c>
      <c r="J105" s="5">
        <v>78</v>
      </c>
      <c r="K105" s="5">
        <v>73</v>
      </c>
      <c r="L105" s="15">
        <f t="shared" si="16"/>
        <v>0.9358974358974359</v>
      </c>
      <c r="M105" s="15">
        <f t="shared" si="17"/>
        <v>0.9358974358974359</v>
      </c>
      <c r="N105" s="5" t="s">
        <v>347</v>
      </c>
      <c r="O105" s="5" t="s">
        <v>347</v>
      </c>
      <c r="P105" s="5">
        <v>0</v>
      </c>
      <c r="Q105" s="5">
        <v>0</v>
      </c>
      <c r="R105" s="5" t="str">
        <f t="shared" si="15"/>
        <v>43-2023-06-30</v>
      </c>
    </row>
    <row r="106" spans="1:18" x14ac:dyDescent="0.3">
      <c r="A106" s="26">
        <v>43</v>
      </c>
      <c r="B106" s="23" t="s">
        <v>576</v>
      </c>
      <c r="C106" s="5" t="s">
        <v>315</v>
      </c>
      <c r="D106" s="5" t="s">
        <v>11</v>
      </c>
      <c r="E106" s="5" t="s">
        <v>9</v>
      </c>
      <c r="F106" s="6">
        <v>45291</v>
      </c>
      <c r="G106" s="5">
        <f t="shared" si="19"/>
        <v>2023</v>
      </c>
      <c r="H106" s="5" t="str">
        <f t="shared" si="14"/>
        <v>Diciembre</v>
      </c>
      <c r="I106" s="6" t="str">
        <f t="shared" si="18"/>
        <v>2023-2</v>
      </c>
      <c r="J106" s="5">
        <v>100</v>
      </c>
      <c r="K106" s="5">
        <v>96</v>
      </c>
      <c r="L106" s="15">
        <f t="shared" si="16"/>
        <v>0.96</v>
      </c>
      <c r="M106" s="15">
        <f t="shared" si="17"/>
        <v>0.96</v>
      </c>
      <c r="N106" s="5" t="s">
        <v>347</v>
      </c>
      <c r="O106" s="5" t="s">
        <v>347</v>
      </c>
      <c r="P106" s="5">
        <v>0</v>
      </c>
      <c r="Q106" s="5">
        <v>0</v>
      </c>
      <c r="R106" s="5" t="str">
        <f t="shared" si="15"/>
        <v>43-2023-12-31</v>
      </c>
    </row>
    <row r="107" spans="1:18" x14ac:dyDescent="0.3">
      <c r="A107" s="26">
        <v>44</v>
      </c>
      <c r="B107" s="23" t="s">
        <v>577</v>
      </c>
      <c r="C107" s="5" t="s">
        <v>231</v>
      </c>
      <c r="D107" s="5" t="s">
        <v>11</v>
      </c>
      <c r="E107" s="5" t="s">
        <v>9</v>
      </c>
      <c r="F107" s="6">
        <v>45107</v>
      </c>
      <c r="G107" s="5">
        <f t="shared" si="19"/>
        <v>2023</v>
      </c>
      <c r="H107" s="5" t="str">
        <f t="shared" si="14"/>
        <v>Junio</v>
      </c>
      <c r="I107" s="6" t="str">
        <f t="shared" si="18"/>
        <v>2023-1</v>
      </c>
      <c r="J107" s="5">
        <v>50</v>
      </c>
      <c r="K107" s="5">
        <v>56</v>
      </c>
      <c r="L107" s="15">
        <f t="shared" ref="L107:L138" si="20">IFERROR(IF((K107/J107)&gt;1.3,1.3,K107/J107),"")</f>
        <v>1.1200000000000001</v>
      </c>
      <c r="M107" s="15">
        <f t="shared" ref="M107:M138" si="21">IFERROR(K107/J107,"")</f>
        <v>1.1200000000000001</v>
      </c>
      <c r="N107" s="5" t="s">
        <v>347</v>
      </c>
      <c r="O107" s="5" t="s">
        <v>347</v>
      </c>
      <c r="P107" s="5">
        <v>0</v>
      </c>
      <c r="Q107" s="5">
        <v>0</v>
      </c>
      <c r="R107" s="5" t="str">
        <f t="shared" si="15"/>
        <v>44-2023-06-30</v>
      </c>
    </row>
    <row r="108" spans="1:18" x14ac:dyDescent="0.3">
      <c r="A108" s="26">
        <v>44</v>
      </c>
      <c r="B108" s="23" t="s">
        <v>577</v>
      </c>
      <c r="C108" s="5" t="s">
        <v>231</v>
      </c>
      <c r="D108" s="5" t="s">
        <v>11</v>
      </c>
      <c r="E108" s="5" t="s">
        <v>9</v>
      </c>
      <c r="F108" s="6">
        <v>45291</v>
      </c>
      <c r="G108" s="5">
        <f t="shared" si="19"/>
        <v>2023</v>
      </c>
      <c r="H108" s="5" t="str">
        <f t="shared" si="14"/>
        <v>Diciembre</v>
      </c>
      <c r="I108" s="6" t="str">
        <f t="shared" si="18"/>
        <v>2023-2</v>
      </c>
      <c r="J108" s="5">
        <v>100</v>
      </c>
      <c r="K108" s="5">
        <v>94</v>
      </c>
      <c r="L108" s="15">
        <f t="shared" si="20"/>
        <v>0.94</v>
      </c>
      <c r="M108" s="15">
        <f t="shared" si="21"/>
        <v>0.94</v>
      </c>
      <c r="N108" s="5" t="s">
        <v>347</v>
      </c>
      <c r="O108" s="5" t="s">
        <v>347</v>
      </c>
      <c r="P108" s="5">
        <v>0</v>
      </c>
      <c r="Q108" s="5">
        <v>0</v>
      </c>
      <c r="R108" s="5" t="str">
        <f t="shared" si="15"/>
        <v>44-2023-12-31</v>
      </c>
    </row>
    <row r="109" spans="1:18" x14ac:dyDescent="0.3">
      <c r="A109" s="26">
        <v>45</v>
      </c>
      <c r="B109" s="23" t="s">
        <v>578</v>
      </c>
      <c r="C109" s="5" t="s">
        <v>43</v>
      </c>
      <c r="D109" s="5" t="s">
        <v>11</v>
      </c>
      <c r="E109" s="5" t="s">
        <v>9</v>
      </c>
      <c r="F109" s="6">
        <v>45107</v>
      </c>
      <c r="G109" s="5">
        <f t="shared" si="19"/>
        <v>2023</v>
      </c>
      <c r="H109" s="5" t="str">
        <f t="shared" si="14"/>
        <v>Junio</v>
      </c>
      <c r="I109" s="6" t="str">
        <f t="shared" si="18"/>
        <v>2023-1</v>
      </c>
      <c r="J109" s="5">
        <v>63</v>
      </c>
      <c r="K109" s="5">
        <v>53</v>
      </c>
      <c r="L109" s="15">
        <f t="shared" si="20"/>
        <v>0.84126984126984128</v>
      </c>
      <c r="M109" s="15">
        <f t="shared" si="21"/>
        <v>0.84126984126984128</v>
      </c>
      <c r="N109" s="5" t="s">
        <v>347</v>
      </c>
      <c r="O109" s="5" t="s">
        <v>347</v>
      </c>
      <c r="P109" s="5">
        <v>0</v>
      </c>
      <c r="Q109" s="5">
        <v>0</v>
      </c>
      <c r="R109" s="5" t="str">
        <f t="shared" si="15"/>
        <v>45-2023-06-30</v>
      </c>
    </row>
    <row r="110" spans="1:18" x14ac:dyDescent="0.3">
      <c r="A110" s="26">
        <v>45</v>
      </c>
      <c r="B110" s="23" t="s">
        <v>578</v>
      </c>
      <c r="C110" s="5" t="s">
        <v>43</v>
      </c>
      <c r="D110" s="5" t="s">
        <v>11</v>
      </c>
      <c r="E110" s="5" t="s">
        <v>9</v>
      </c>
      <c r="F110" s="6">
        <v>45291</v>
      </c>
      <c r="G110" s="5">
        <f t="shared" si="19"/>
        <v>2023</v>
      </c>
      <c r="H110" s="5" t="str">
        <f t="shared" si="14"/>
        <v>Diciembre</v>
      </c>
      <c r="I110" s="6" t="str">
        <f t="shared" si="18"/>
        <v>2023-2</v>
      </c>
      <c r="J110" s="5">
        <v>100</v>
      </c>
      <c r="K110" s="5">
        <v>86.67</v>
      </c>
      <c r="L110" s="15">
        <f t="shared" si="20"/>
        <v>0.86670000000000003</v>
      </c>
      <c r="M110" s="15">
        <f t="shared" si="21"/>
        <v>0.86670000000000003</v>
      </c>
      <c r="N110" s="5" t="s">
        <v>347</v>
      </c>
      <c r="O110" s="5" t="s">
        <v>347</v>
      </c>
      <c r="P110" s="5">
        <v>0</v>
      </c>
      <c r="Q110" s="5">
        <v>0</v>
      </c>
      <c r="R110" s="5" t="str">
        <f t="shared" si="15"/>
        <v>45-2023-12-31</v>
      </c>
    </row>
    <row r="111" spans="1:18" x14ac:dyDescent="0.3">
      <c r="A111" s="26">
        <v>46</v>
      </c>
      <c r="B111" s="23" t="s">
        <v>579</v>
      </c>
      <c r="C111" s="5" t="s">
        <v>84</v>
      </c>
      <c r="D111" s="5" t="s">
        <v>11</v>
      </c>
      <c r="E111" s="5" t="s">
        <v>9</v>
      </c>
      <c r="F111" s="6">
        <v>45107</v>
      </c>
      <c r="G111" s="5">
        <f t="shared" si="19"/>
        <v>2023</v>
      </c>
      <c r="H111" s="5" t="str">
        <f t="shared" si="14"/>
        <v>Junio</v>
      </c>
      <c r="I111" s="6" t="str">
        <f t="shared" ref="I111:I142" si="22">IF(OR(H111="Enero",H111="Febrero",H111="Marzo",H111="Abril",H111="Mayo",H111="Junio"),G111&amp;"-1",IF(OR(H111="Julio",H111="Agosto",H111="Septiembre",H111="Octubre",H111="Noviembre",H111="Diciembre"),G111&amp;"-2"))</f>
        <v>2023-1</v>
      </c>
      <c r="J111" s="5">
        <v>56</v>
      </c>
      <c r="K111" s="5">
        <v>74</v>
      </c>
      <c r="L111" s="15">
        <f t="shared" si="20"/>
        <v>1.3</v>
      </c>
      <c r="M111" s="15">
        <f t="shared" si="21"/>
        <v>1.3214285714285714</v>
      </c>
      <c r="N111" s="5" t="s">
        <v>347</v>
      </c>
      <c r="O111" s="5" t="s">
        <v>347</v>
      </c>
      <c r="P111" s="5">
        <v>0</v>
      </c>
      <c r="Q111" s="5">
        <v>0</v>
      </c>
      <c r="R111" s="5" t="str">
        <f t="shared" si="15"/>
        <v>46-2023-06-30</v>
      </c>
    </row>
    <row r="112" spans="1:18" x14ac:dyDescent="0.3">
      <c r="A112" s="26">
        <v>46</v>
      </c>
      <c r="B112" s="23" t="s">
        <v>579</v>
      </c>
      <c r="C112" s="5" t="s">
        <v>84</v>
      </c>
      <c r="D112" s="5" t="s">
        <v>11</v>
      </c>
      <c r="E112" s="5" t="s">
        <v>9</v>
      </c>
      <c r="F112" s="6">
        <v>45291</v>
      </c>
      <c r="G112" s="5">
        <f t="shared" si="19"/>
        <v>2023</v>
      </c>
      <c r="H112" s="5" t="str">
        <f t="shared" si="14"/>
        <v>Diciembre</v>
      </c>
      <c r="I112" s="6" t="str">
        <f t="shared" si="22"/>
        <v>2023-2</v>
      </c>
      <c r="J112" s="5">
        <v>100</v>
      </c>
      <c r="K112" s="5">
        <v>93.75</v>
      </c>
      <c r="L112" s="15">
        <f t="shared" si="20"/>
        <v>0.9375</v>
      </c>
      <c r="M112" s="15">
        <f t="shared" si="21"/>
        <v>0.9375</v>
      </c>
      <c r="N112" s="5" t="s">
        <v>347</v>
      </c>
      <c r="O112" s="5" t="s">
        <v>347</v>
      </c>
      <c r="P112" s="5">
        <v>0</v>
      </c>
      <c r="Q112" s="5">
        <v>0</v>
      </c>
      <c r="R112" s="5" t="str">
        <f t="shared" si="15"/>
        <v>46-2023-12-31</v>
      </c>
    </row>
    <row r="113" spans="1:18" x14ac:dyDescent="0.3">
      <c r="A113" s="26">
        <v>47</v>
      </c>
      <c r="B113" s="23" t="s">
        <v>580</v>
      </c>
      <c r="C113" s="5"/>
      <c r="D113" s="5" t="s">
        <v>11</v>
      </c>
      <c r="E113" s="5" t="s">
        <v>9</v>
      </c>
      <c r="F113" s="6">
        <v>45107</v>
      </c>
      <c r="G113" s="5">
        <f t="shared" si="19"/>
        <v>2023</v>
      </c>
      <c r="H113" s="5" t="str">
        <f t="shared" si="14"/>
        <v>Junio</v>
      </c>
      <c r="I113" s="6" t="str">
        <f t="shared" si="22"/>
        <v>2023-1</v>
      </c>
      <c r="J113" s="5">
        <v>52</v>
      </c>
      <c r="K113" s="5">
        <v>63</v>
      </c>
      <c r="L113" s="15">
        <f t="shared" si="20"/>
        <v>1.2115384615384615</v>
      </c>
      <c r="M113" s="15">
        <f t="shared" si="21"/>
        <v>1.2115384615384615</v>
      </c>
      <c r="N113" s="5" t="s">
        <v>347</v>
      </c>
      <c r="O113" s="5" t="s">
        <v>347</v>
      </c>
      <c r="P113" s="5">
        <v>0</v>
      </c>
      <c r="Q113" s="5">
        <v>0</v>
      </c>
      <c r="R113" s="5" t="str">
        <f t="shared" si="15"/>
        <v>47-2023-06-30</v>
      </c>
    </row>
    <row r="114" spans="1:18" x14ac:dyDescent="0.3">
      <c r="A114" s="26">
        <v>47</v>
      </c>
      <c r="B114" s="23" t="s">
        <v>580</v>
      </c>
      <c r="C114" s="5"/>
      <c r="D114" s="5" t="s">
        <v>11</v>
      </c>
      <c r="E114" s="5" t="s">
        <v>9</v>
      </c>
      <c r="F114" s="6">
        <v>45291</v>
      </c>
      <c r="G114" s="5">
        <f t="shared" si="19"/>
        <v>2023</v>
      </c>
      <c r="H114" s="5" t="str">
        <f t="shared" si="14"/>
        <v>Diciembre</v>
      </c>
      <c r="I114" s="6" t="str">
        <f t="shared" si="22"/>
        <v>2023-2</v>
      </c>
      <c r="J114" s="5">
        <v>100</v>
      </c>
      <c r="K114" s="5">
        <v>98.75</v>
      </c>
      <c r="L114" s="15">
        <f t="shared" si="20"/>
        <v>0.98750000000000004</v>
      </c>
      <c r="M114" s="15">
        <f t="shared" si="21"/>
        <v>0.98750000000000004</v>
      </c>
      <c r="N114" s="5" t="s">
        <v>347</v>
      </c>
      <c r="O114" s="5" t="s">
        <v>347</v>
      </c>
      <c r="P114" s="5">
        <v>0</v>
      </c>
      <c r="Q114" s="5">
        <v>0</v>
      </c>
      <c r="R114" s="5" t="str">
        <f t="shared" si="15"/>
        <v>47-2023-12-31</v>
      </c>
    </row>
    <row r="115" spans="1:18" x14ac:dyDescent="0.3">
      <c r="A115" s="26">
        <v>48</v>
      </c>
      <c r="B115" s="23" t="s">
        <v>581</v>
      </c>
      <c r="C115" s="5" t="s">
        <v>185</v>
      </c>
      <c r="D115" s="5" t="s">
        <v>11</v>
      </c>
      <c r="E115" s="5" t="s">
        <v>9</v>
      </c>
      <c r="F115" s="6">
        <v>45107</v>
      </c>
      <c r="G115" s="5">
        <f t="shared" si="19"/>
        <v>2023</v>
      </c>
      <c r="H115" s="5" t="str">
        <f t="shared" si="14"/>
        <v>Junio</v>
      </c>
      <c r="I115" s="6" t="str">
        <f t="shared" si="22"/>
        <v>2023-1</v>
      </c>
      <c r="J115" s="5">
        <v>44</v>
      </c>
      <c r="K115" s="5">
        <v>49</v>
      </c>
      <c r="L115" s="15">
        <f t="shared" si="20"/>
        <v>1.1136363636363635</v>
      </c>
      <c r="M115" s="15">
        <f t="shared" si="21"/>
        <v>1.1136363636363635</v>
      </c>
      <c r="N115" s="5" t="s">
        <v>347</v>
      </c>
      <c r="O115" s="5" t="s">
        <v>347</v>
      </c>
      <c r="P115" s="5">
        <v>0</v>
      </c>
      <c r="Q115" s="5">
        <v>0</v>
      </c>
      <c r="R115" s="5" t="str">
        <f t="shared" si="15"/>
        <v>48-2023-06-30</v>
      </c>
    </row>
    <row r="116" spans="1:18" x14ac:dyDescent="0.3">
      <c r="A116" s="26">
        <v>48</v>
      </c>
      <c r="B116" s="23" t="s">
        <v>581</v>
      </c>
      <c r="C116" s="5" t="s">
        <v>185</v>
      </c>
      <c r="D116" s="5" t="s">
        <v>11</v>
      </c>
      <c r="E116" s="5" t="s">
        <v>9</v>
      </c>
      <c r="F116" s="6">
        <v>45291</v>
      </c>
      <c r="G116" s="5">
        <f t="shared" si="19"/>
        <v>2023</v>
      </c>
      <c r="H116" s="5" t="str">
        <f t="shared" si="14"/>
        <v>Diciembre</v>
      </c>
      <c r="I116" s="6" t="str">
        <f t="shared" si="22"/>
        <v>2023-2</v>
      </c>
      <c r="J116" s="5">
        <v>100</v>
      </c>
      <c r="K116" s="5">
        <v>94.17</v>
      </c>
      <c r="L116" s="15">
        <f t="shared" si="20"/>
        <v>0.94169999999999998</v>
      </c>
      <c r="M116" s="15">
        <f t="shared" si="21"/>
        <v>0.94169999999999998</v>
      </c>
      <c r="N116" s="5" t="s">
        <v>347</v>
      </c>
      <c r="O116" s="5" t="s">
        <v>347</v>
      </c>
      <c r="P116" s="5">
        <v>0</v>
      </c>
      <c r="Q116" s="5">
        <v>0</v>
      </c>
      <c r="R116" s="5" t="str">
        <f t="shared" si="15"/>
        <v>48-2023-12-31</v>
      </c>
    </row>
    <row r="117" spans="1:18" x14ac:dyDescent="0.3">
      <c r="A117" s="26">
        <v>49</v>
      </c>
      <c r="B117" s="23" t="s">
        <v>582</v>
      </c>
      <c r="C117" s="5" t="s">
        <v>7</v>
      </c>
      <c r="D117" s="5" t="s">
        <v>11</v>
      </c>
      <c r="E117" s="5" t="s">
        <v>9</v>
      </c>
      <c r="F117" s="6">
        <v>45107</v>
      </c>
      <c r="G117" s="5">
        <f t="shared" si="19"/>
        <v>2023</v>
      </c>
      <c r="H117" s="5" t="str">
        <f t="shared" si="14"/>
        <v>Junio</v>
      </c>
      <c r="I117" s="6" t="str">
        <f t="shared" si="22"/>
        <v>2023-1</v>
      </c>
      <c r="J117" s="5">
        <v>62</v>
      </c>
      <c r="K117" s="5">
        <v>64</v>
      </c>
      <c r="L117" s="15">
        <f t="shared" si="20"/>
        <v>1.032258064516129</v>
      </c>
      <c r="M117" s="15">
        <f t="shared" si="21"/>
        <v>1.032258064516129</v>
      </c>
      <c r="N117" s="5" t="s">
        <v>347</v>
      </c>
      <c r="O117" s="5" t="s">
        <v>347</v>
      </c>
      <c r="P117" s="5">
        <v>0</v>
      </c>
      <c r="Q117" s="5">
        <v>0</v>
      </c>
      <c r="R117" s="5" t="str">
        <f t="shared" si="15"/>
        <v>49-2023-06-30</v>
      </c>
    </row>
    <row r="118" spans="1:18" x14ac:dyDescent="0.3">
      <c r="A118" s="26">
        <v>49</v>
      </c>
      <c r="B118" s="23" t="s">
        <v>582</v>
      </c>
      <c r="C118" s="5" t="s">
        <v>7</v>
      </c>
      <c r="D118" s="5" t="s">
        <v>11</v>
      </c>
      <c r="E118" s="5" t="s">
        <v>9</v>
      </c>
      <c r="F118" s="6">
        <v>45291</v>
      </c>
      <c r="G118" s="5">
        <f t="shared" si="19"/>
        <v>2023</v>
      </c>
      <c r="H118" s="5" t="str">
        <f t="shared" si="14"/>
        <v>Diciembre</v>
      </c>
      <c r="I118" s="6" t="str">
        <f t="shared" si="22"/>
        <v>2023-2</v>
      </c>
      <c r="J118" s="5">
        <v>100</v>
      </c>
      <c r="K118" s="5">
        <v>99</v>
      </c>
      <c r="L118" s="15">
        <f t="shared" si="20"/>
        <v>0.99</v>
      </c>
      <c r="M118" s="15">
        <f t="shared" si="21"/>
        <v>0.99</v>
      </c>
      <c r="N118" s="5" t="s">
        <v>347</v>
      </c>
      <c r="O118" s="5" t="s">
        <v>347</v>
      </c>
      <c r="P118" s="5">
        <v>0</v>
      </c>
      <c r="Q118" s="5">
        <v>0</v>
      </c>
      <c r="R118" s="5" t="str">
        <f t="shared" si="15"/>
        <v>49-2023-12-31</v>
      </c>
    </row>
    <row r="119" spans="1:18" x14ac:dyDescent="0.3">
      <c r="A119" s="26">
        <v>50</v>
      </c>
      <c r="B119" s="23" t="s">
        <v>583</v>
      </c>
      <c r="C119" s="5" t="s">
        <v>209</v>
      </c>
      <c r="D119" s="5" t="s">
        <v>11</v>
      </c>
      <c r="E119" s="5" t="s">
        <v>9</v>
      </c>
      <c r="F119" s="6">
        <v>45107</v>
      </c>
      <c r="G119" s="5">
        <f t="shared" si="19"/>
        <v>2023</v>
      </c>
      <c r="H119" s="5" t="str">
        <f t="shared" si="14"/>
        <v>Junio</v>
      </c>
      <c r="I119" s="6" t="str">
        <f t="shared" si="22"/>
        <v>2023-1</v>
      </c>
      <c r="J119" s="5">
        <v>43</v>
      </c>
      <c r="K119" s="5">
        <v>46</v>
      </c>
      <c r="L119" s="15">
        <f t="shared" si="20"/>
        <v>1.069767441860465</v>
      </c>
      <c r="M119" s="15">
        <f t="shared" si="21"/>
        <v>1.069767441860465</v>
      </c>
      <c r="N119" s="5" t="s">
        <v>347</v>
      </c>
      <c r="O119" s="5" t="s">
        <v>347</v>
      </c>
      <c r="P119" s="5">
        <v>0</v>
      </c>
      <c r="Q119" s="5">
        <v>0</v>
      </c>
      <c r="R119" s="5" t="str">
        <f t="shared" si="15"/>
        <v>50-2023-06-30</v>
      </c>
    </row>
    <row r="120" spans="1:18" x14ac:dyDescent="0.3">
      <c r="A120" s="26">
        <v>50</v>
      </c>
      <c r="B120" s="23" t="s">
        <v>583</v>
      </c>
      <c r="C120" s="5" t="s">
        <v>209</v>
      </c>
      <c r="D120" s="5" t="s">
        <v>11</v>
      </c>
      <c r="E120" s="5" t="s">
        <v>9</v>
      </c>
      <c r="F120" s="6">
        <v>45291</v>
      </c>
      <c r="G120" s="5">
        <f t="shared" si="19"/>
        <v>2023</v>
      </c>
      <c r="H120" s="5" t="str">
        <f t="shared" si="14"/>
        <v>Diciembre</v>
      </c>
      <c r="I120" s="6" t="str">
        <f t="shared" si="22"/>
        <v>2023-2</v>
      </c>
      <c r="J120" s="5">
        <v>100</v>
      </c>
      <c r="K120" s="5">
        <v>87.5</v>
      </c>
      <c r="L120" s="15">
        <f t="shared" si="20"/>
        <v>0.875</v>
      </c>
      <c r="M120" s="15">
        <f t="shared" si="21"/>
        <v>0.875</v>
      </c>
      <c r="N120" s="5" t="s">
        <v>347</v>
      </c>
      <c r="O120" s="5" t="s">
        <v>347</v>
      </c>
      <c r="P120" s="5">
        <v>0</v>
      </c>
      <c r="Q120" s="5">
        <v>0</v>
      </c>
      <c r="R120" s="5" t="str">
        <f t="shared" si="15"/>
        <v>50-2023-12-31</v>
      </c>
    </row>
    <row r="121" spans="1:18" x14ac:dyDescent="0.3">
      <c r="A121" s="26">
        <v>51</v>
      </c>
      <c r="B121" s="23" t="s">
        <v>584</v>
      </c>
      <c r="C121" s="5" t="s">
        <v>59</v>
      </c>
      <c r="D121" s="5" t="s">
        <v>11</v>
      </c>
      <c r="E121" s="5" t="s">
        <v>9</v>
      </c>
      <c r="F121" s="6">
        <v>45107</v>
      </c>
      <c r="G121" s="5">
        <f t="shared" si="19"/>
        <v>2023</v>
      </c>
      <c r="H121" s="5" t="str">
        <f t="shared" si="14"/>
        <v>Junio</v>
      </c>
      <c r="I121" s="6" t="str">
        <f t="shared" si="22"/>
        <v>2023-1</v>
      </c>
      <c r="J121" s="5">
        <v>39</v>
      </c>
      <c r="K121" s="5">
        <v>20</v>
      </c>
      <c r="L121" s="15">
        <f t="shared" si="20"/>
        <v>0.51282051282051277</v>
      </c>
      <c r="M121" s="15">
        <f t="shared" si="21"/>
        <v>0.51282051282051277</v>
      </c>
      <c r="N121" s="5" t="s">
        <v>347</v>
      </c>
      <c r="O121" s="5" t="s">
        <v>347</v>
      </c>
      <c r="P121" s="5">
        <v>0</v>
      </c>
      <c r="Q121" s="5">
        <v>0</v>
      </c>
      <c r="R121" s="5" t="str">
        <f t="shared" si="15"/>
        <v>51-2023-06-30</v>
      </c>
    </row>
    <row r="122" spans="1:18" x14ac:dyDescent="0.3">
      <c r="A122" s="26">
        <v>51</v>
      </c>
      <c r="B122" s="23" t="s">
        <v>584</v>
      </c>
      <c r="C122" s="5" t="s">
        <v>59</v>
      </c>
      <c r="D122" s="5" t="s">
        <v>11</v>
      </c>
      <c r="E122" s="5" t="s">
        <v>9</v>
      </c>
      <c r="F122" s="6">
        <v>45291</v>
      </c>
      <c r="G122" s="5">
        <f t="shared" si="19"/>
        <v>2023</v>
      </c>
      <c r="H122" s="5" t="str">
        <f t="shared" si="14"/>
        <v>Diciembre</v>
      </c>
      <c r="I122" s="6" t="str">
        <f t="shared" si="22"/>
        <v>2023-2</v>
      </c>
      <c r="J122" s="5">
        <v>100</v>
      </c>
      <c r="K122" s="5">
        <v>86.25</v>
      </c>
      <c r="L122" s="15">
        <f t="shared" si="20"/>
        <v>0.86250000000000004</v>
      </c>
      <c r="M122" s="15">
        <f t="shared" si="21"/>
        <v>0.86250000000000004</v>
      </c>
      <c r="N122" s="5" t="s">
        <v>347</v>
      </c>
      <c r="O122" s="5" t="s">
        <v>347</v>
      </c>
      <c r="P122" s="5">
        <v>0</v>
      </c>
      <c r="Q122" s="5">
        <v>0</v>
      </c>
      <c r="R122" s="5" t="str">
        <f t="shared" si="15"/>
        <v>51-2023-12-31</v>
      </c>
    </row>
    <row r="123" spans="1:18" x14ac:dyDescent="0.3">
      <c r="A123" s="26">
        <v>52</v>
      </c>
      <c r="B123" s="23" t="s">
        <v>585</v>
      </c>
      <c r="C123" s="5" t="s">
        <v>53</v>
      </c>
      <c r="D123" s="5" t="s">
        <v>11</v>
      </c>
      <c r="E123" s="5" t="s">
        <v>9</v>
      </c>
      <c r="F123" s="6">
        <v>45107</v>
      </c>
      <c r="G123" s="5">
        <f t="shared" si="19"/>
        <v>2023</v>
      </c>
      <c r="H123" s="5" t="str">
        <f t="shared" si="14"/>
        <v>Junio</v>
      </c>
      <c r="I123" s="6" t="str">
        <f t="shared" si="22"/>
        <v>2023-1</v>
      </c>
      <c r="J123" s="5">
        <v>56</v>
      </c>
      <c r="K123" s="5">
        <v>63</v>
      </c>
      <c r="L123" s="15">
        <f t="shared" si="20"/>
        <v>1.125</v>
      </c>
      <c r="M123" s="15">
        <f t="shared" si="21"/>
        <v>1.125</v>
      </c>
      <c r="N123" s="5" t="s">
        <v>347</v>
      </c>
      <c r="O123" s="5" t="s">
        <v>347</v>
      </c>
      <c r="P123" s="5">
        <v>0</v>
      </c>
      <c r="Q123" s="5">
        <v>0</v>
      </c>
      <c r="R123" s="5" t="str">
        <f t="shared" si="15"/>
        <v>52-2023-06-30</v>
      </c>
    </row>
    <row r="124" spans="1:18" x14ac:dyDescent="0.3">
      <c r="A124" s="26">
        <v>52</v>
      </c>
      <c r="B124" s="23" t="s">
        <v>585</v>
      </c>
      <c r="C124" s="5" t="s">
        <v>53</v>
      </c>
      <c r="D124" s="5" t="s">
        <v>11</v>
      </c>
      <c r="E124" s="5" t="s">
        <v>9</v>
      </c>
      <c r="F124" s="6">
        <v>45291</v>
      </c>
      <c r="G124" s="5">
        <f t="shared" si="19"/>
        <v>2023</v>
      </c>
      <c r="H124" s="5" t="str">
        <f t="shared" si="14"/>
        <v>Diciembre</v>
      </c>
      <c r="I124" s="6" t="str">
        <f t="shared" si="22"/>
        <v>2023-2</v>
      </c>
      <c r="J124" s="5">
        <v>100</v>
      </c>
      <c r="K124" s="5">
        <v>90.95</v>
      </c>
      <c r="L124" s="15">
        <f t="shared" si="20"/>
        <v>0.90949999999999998</v>
      </c>
      <c r="M124" s="15">
        <f t="shared" si="21"/>
        <v>0.90949999999999998</v>
      </c>
      <c r="N124" s="5" t="s">
        <v>347</v>
      </c>
      <c r="O124" s="5" t="s">
        <v>347</v>
      </c>
      <c r="P124" s="5">
        <v>0</v>
      </c>
      <c r="Q124" s="5">
        <v>0</v>
      </c>
      <c r="R124" s="5" t="str">
        <f t="shared" si="15"/>
        <v>52-2023-12-31</v>
      </c>
    </row>
    <row r="125" spans="1:18" x14ac:dyDescent="0.3">
      <c r="A125" s="26">
        <v>53</v>
      </c>
      <c r="B125" s="23" t="s">
        <v>586</v>
      </c>
      <c r="C125" s="5" t="s">
        <v>67</v>
      </c>
      <c r="D125" s="5" t="s">
        <v>11</v>
      </c>
      <c r="E125" s="5" t="s">
        <v>9</v>
      </c>
      <c r="F125" s="6">
        <v>45107</v>
      </c>
      <c r="G125" s="5">
        <f t="shared" si="19"/>
        <v>2023</v>
      </c>
      <c r="H125" s="5" t="str">
        <f t="shared" si="14"/>
        <v>Junio</v>
      </c>
      <c r="I125" s="6" t="str">
        <f t="shared" si="22"/>
        <v>2023-1</v>
      </c>
      <c r="J125" s="5">
        <v>67</v>
      </c>
      <c r="K125" s="5">
        <v>61</v>
      </c>
      <c r="L125" s="15">
        <f t="shared" si="20"/>
        <v>0.91044776119402981</v>
      </c>
      <c r="M125" s="15">
        <f t="shared" si="21"/>
        <v>0.91044776119402981</v>
      </c>
      <c r="N125" s="5" t="s">
        <v>347</v>
      </c>
      <c r="O125" s="5" t="s">
        <v>347</v>
      </c>
      <c r="P125" s="5">
        <v>0</v>
      </c>
      <c r="Q125" s="5">
        <v>0</v>
      </c>
      <c r="R125" s="5" t="str">
        <f t="shared" si="15"/>
        <v>53-2023-06-30</v>
      </c>
    </row>
    <row r="126" spans="1:18" x14ac:dyDescent="0.3">
      <c r="A126" s="26">
        <v>53</v>
      </c>
      <c r="B126" s="23" t="s">
        <v>586</v>
      </c>
      <c r="C126" s="5" t="s">
        <v>67</v>
      </c>
      <c r="D126" s="5" t="s">
        <v>11</v>
      </c>
      <c r="E126" s="5" t="s">
        <v>9</v>
      </c>
      <c r="F126" s="6">
        <v>45291</v>
      </c>
      <c r="G126" s="5">
        <f t="shared" si="19"/>
        <v>2023</v>
      </c>
      <c r="H126" s="5" t="str">
        <f t="shared" si="14"/>
        <v>Diciembre</v>
      </c>
      <c r="I126" s="6" t="str">
        <f t="shared" si="22"/>
        <v>2023-2</v>
      </c>
      <c r="J126" s="5">
        <v>100</v>
      </c>
      <c r="K126" s="5">
        <v>99.78</v>
      </c>
      <c r="L126" s="15">
        <f t="shared" si="20"/>
        <v>0.99780000000000002</v>
      </c>
      <c r="M126" s="15">
        <f t="shared" si="21"/>
        <v>0.99780000000000002</v>
      </c>
      <c r="N126" s="5" t="s">
        <v>347</v>
      </c>
      <c r="O126" s="5" t="s">
        <v>347</v>
      </c>
      <c r="P126" s="5">
        <v>0</v>
      </c>
      <c r="Q126" s="5">
        <v>0</v>
      </c>
      <c r="R126" s="5" t="str">
        <f t="shared" si="15"/>
        <v>53-2023-12-31</v>
      </c>
    </row>
    <row r="127" spans="1:18" x14ac:dyDescent="0.3">
      <c r="A127" s="26">
        <v>54</v>
      </c>
      <c r="B127" s="23" t="s">
        <v>587</v>
      </c>
      <c r="C127" s="5" t="s">
        <v>162</v>
      </c>
      <c r="D127" s="5" t="s">
        <v>11</v>
      </c>
      <c r="E127" s="5" t="s">
        <v>9</v>
      </c>
      <c r="F127" s="6">
        <v>45107</v>
      </c>
      <c r="G127" s="5">
        <f t="shared" si="19"/>
        <v>2023</v>
      </c>
      <c r="H127" s="5" t="str">
        <f t="shared" si="14"/>
        <v>Junio</v>
      </c>
      <c r="I127" s="6" t="str">
        <f t="shared" si="22"/>
        <v>2023-1</v>
      </c>
      <c r="J127" s="5">
        <v>56</v>
      </c>
      <c r="K127" s="5">
        <v>70</v>
      </c>
      <c r="L127" s="15">
        <f t="shared" si="20"/>
        <v>1.25</v>
      </c>
      <c r="M127" s="15">
        <f t="shared" si="21"/>
        <v>1.25</v>
      </c>
      <c r="N127" s="5" t="s">
        <v>347</v>
      </c>
      <c r="O127" s="5" t="s">
        <v>347</v>
      </c>
      <c r="P127" s="5">
        <v>0</v>
      </c>
      <c r="Q127" s="5">
        <v>0</v>
      </c>
      <c r="R127" s="5" t="str">
        <f t="shared" si="15"/>
        <v>54-2023-06-30</v>
      </c>
    </row>
    <row r="128" spans="1:18" x14ac:dyDescent="0.3">
      <c r="A128" s="26">
        <v>54</v>
      </c>
      <c r="B128" s="23" t="s">
        <v>587</v>
      </c>
      <c r="C128" s="5" t="s">
        <v>162</v>
      </c>
      <c r="D128" s="5" t="s">
        <v>11</v>
      </c>
      <c r="E128" s="5" t="s">
        <v>9</v>
      </c>
      <c r="F128" s="6">
        <v>45291</v>
      </c>
      <c r="G128" s="5">
        <f t="shared" si="19"/>
        <v>2023</v>
      </c>
      <c r="H128" s="5" t="str">
        <f t="shared" si="14"/>
        <v>Diciembre</v>
      </c>
      <c r="I128" s="6" t="str">
        <f t="shared" si="22"/>
        <v>2023-2</v>
      </c>
      <c r="J128" s="5">
        <v>100</v>
      </c>
      <c r="K128" s="5">
        <v>100</v>
      </c>
      <c r="L128" s="15">
        <f t="shared" si="20"/>
        <v>1</v>
      </c>
      <c r="M128" s="15">
        <f t="shared" si="21"/>
        <v>1</v>
      </c>
      <c r="N128" s="5" t="s">
        <v>347</v>
      </c>
      <c r="O128" s="5" t="s">
        <v>347</v>
      </c>
      <c r="P128" s="5">
        <v>0</v>
      </c>
      <c r="Q128" s="5">
        <v>0</v>
      </c>
      <c r="R128" s="5" t="str">
        <f t="shared" si="15"/>
        <v>54-2023-12-31</v>
      </c>
    </row>
    <row r="129" spans="1:18" x14ac:dyDescent="0.3">
      <c r="A129" s="26">
        <v>55</v>
      </c>
      <c r="B129" s="23" t="s">
        <v>588</v>
      </c>
      <c r="C129" s="5" t="s">
        <v>129</v>
      </c>
      <c r="D129" s="5" t="s">
        <v>11</v>
      </c>
      <c r="E129" s="5" t="s">
        <v>9</v>
      </c>
      <c r="F129" s="6">
        <v>45107</v>
      </c>
      <c r="G129" s="5">
        <f t="shared" si="19"/>
        <v>2023</v>
      </c>
      <c r="H129" s="5" t="str">
        <f t="shared" si="14"/>
        <v>Junio</v>
      </c>
      <c r="I129" s="6" t="str">
        <f t="shared" si="22"/>
        <v>2023-1</v>
      </c>
      <c r="J129" s="5">
        <v>56</v>
      </c>
      <c r="K129" s="5">
        <v>66</v>
      </c>
      <c r="L129" s="15">
        <f t="shared" si="20"/>
        <v>1.1785714285714286</v>
      </c>
      <c r="M129" s="15">
        <f t="shared" si="21"/>
        <v>1.1785714285714286</v>
      </c>
      <c r="N129" s="5" t="s">
        <v>347</v>
      </c>
      <c r="O129" s="5" t="s">
        <v>347</v>
      </c>
      <c r="P129" s="5">
        <v>0</v>
      </c>
      <c r="Q129" s="5">
        <v>0</v>
      </c>
      <c r="R129" s="5" t="str">
        <f t="shared" si="15"/>
        <v>55-2023-06-30</v>
      </c>
    </row>
    <row r="130" spans="1:18" x14ac:dyDescent="0.3">
      <c r="A130" s="26">
        <v>55</v>
      </c>
      <c r="B130" s="23" t="s">
        <v>588</v>
      </c>
      <c r="C130" s="5" t="s">
        <v>129</v>
      </c>
      <c r="D130" s="5" t="s">
        <v>11</v>
      </c>
      <c r="E130" s="5" t="s">
        <v>9</v>
      </c>
      <c r="F130" s="6">
        <v>45291</v>
      </c>
      <c r="G130" s="5">
        <f t="shared" ref="G130:G161" si="23">YEAR(F130)</f>
        <v>2023</v>
      </c>
      <c r="H130" s="5" t="str">
        <f t="shared" ref="H130:H193" si="24">PROPER(TEXT(F130,"mmmm"))</f>
        <v>Diciembre</v>
      </c>
      <c r="I130" s="6" t="str">
        <f t="shared" si="22"/>
        <v>2023-2</v>
      </c>
      <c r="J130" s="5">
        <v>100</v>
      </c>
      <c r="K130" s="5">
        <v>100</v>
      </c>
      <c r="L130" s="15">
        <f t="shared" si="20"/>
        <v>1</v>
      </c>
      <c r="M130" s="15">
        <f t="shared" si="21"/>
        <v>1</v>
      </c>
      <c r="N130" s="5" t="s">
        <v>347</v>
      </c>
      <c r="O130" s="5" t="s">
        <v>347</v>
      </c>
      <c r="P130" s="5">
        <v>0</v>
      </c>
      <c r="Q130" s="5">
        <v>0</v>
      </c>
      <c r="R130" s="5" t="str">
        <f t="shared" ref="R130:R193" si="25">A130&amp;"-"&amp;YEAR(F130)&amp;"-"&amp;IF(LEN(MONTH(F130))=1,"0"&amp;MONTH(F130),MONTH(F130))&amp;"-"&amp;DAY(F130)</f>
        <v>55-2023-12-31</v>
      </c>
    </row>
    <row r="131" spans="1:18" x14ac:dyDescent="0.3">
      <c r="A131" s="26">
        <v>56</v>
      </c>
      <c r="B131" s="23" t="s">
        <v>589</v>
      </c>
      <c r="C131" s="5" t="s">
        <v>345</v>
      </c>
      <c r="D131" s="5" t="s">
        <v>11</v>
      </c>
      <c r="E131" s="5" t="s">
        <v>9</v>
      </c>
      <c r="F131" s="6">
        <v>45107</v>
      </c>
      <c r="G131" s="5">
        <f t="shared" si="23"/>
        <v>2023</v>
      </c>
      <c r="H131" s="5" t="str">
        <f t="shared" si="24"/>
        <v>Junio</v>
      </c>
      <c r="I131" s="6" t="str">
        <f t="shared" si="22"/>
        <v>2023-1</v>
      </c>
      <c r="J131" s="5">
        <v>61</v>
      </c>
      <c r="K131" s="5">
        <v>69</v>
      </c>
      <c r="L131" s="15">
        <f t="shared" si="20"/>
        <v>1.1311475409836065</v>
      </c>
      <c r="M131" s="15">
        <f t="shared" si="21"/>
        <v>1.1311475409836065</v>
      </c>
      <c r="N131" s="5" t="s">
        <v>347</v>
      </c>
      <c r="O131" s="5" t="s">
        <v>347</v>
      </c>
      <c r="P131" s="5">
        <v>0</v>
      </c>
      <c r="Q131" s="5">
        <v>0</v>
      </c>
      <c r="R131" s="5" t="str">
        <f t="shared" si="25"/>
        <v>56-2023-06-30</v>
      </c>
    </row>
    <row r="132" spans="1:18" x14ac:dyDescent="0.3">
      <c r="A132" s="26">
        <v>56</v>
      </c>
      <c r="B132" s="23" t="s">
        <v>589</v>
      </c>
      <c r="C132" s="5" t="s">
        <v>345</v>
      </c>
      <c r="D132" s="5" t="s">
        <v>11</v>
      </c>
      <c r="E132" s="5" t="s">
        <v>9</v>
      </c>
      <c r="F132" s="6">
        <v>45291</v>
      </c>
      <c r="G132" s="5">
        <f t="shared" si="23"/>
        <v>2023</v>
      </c>
      <c r="H132" s="5" t="str">
        <f t="shared" si="24"/>
        <v>Diciembre</v>
      </c>
      <c r="I132" s="6" t="str">
        <f t="shared" si="22"/>
        <v>2023-2</v>
      </c>
      <c r="J132" s="5">
        <v>100</v>
      </c>
      <c r="K132" s="5">
        <v>100</v>
      </c>
      <c r="L132" s="15">
        <f t="shared" si="20"/>
        <v>1</v>
      </c>
      <c r="M132" s="15">
        <f t="shared" si="21"/>
        <v>1</v>
      </c>
      <c r="N132" s="5" t="s">
        <v>347</v>
      </c>
      <c r="O132" s="5" t="s">
        <v>347</v>
      </c>
      <c r="P132" s="5">
        <v>0</v>
      </c>
      <c r="Q132" s="5">
        <v>0</v>
      </c>
      <c r="R132" s="5" t="str">
        <f t="shared" si="25"/>
        <v>56-2023-12-31</v>
      </c>
    </row>
    <row r="133" spans="1:18" x14ac:dyDescent="0.3">
      <c r="A133" s="26">
        <v>57</v>
      </c>
      <c r="B133" s="23" t="s">
        <v>590</v>
      </c>
      <c r="C133" s="5" t="s">
        <v>345</v>
      </c>
      <c r="D133" s="5" t="s">
        <v>11</v>
      </c>
      <c r="E133" s="5" t="s">
        <v>9</v>
      </c>
      <c r="F133" s="6">
        <v>45107</v>
      </c>
      <c r="G133" s="5">
        <f t="shared" si="23"/>
        <v>2023</v>
      </c>
      <c r="H133" s="5" t="str">
        <f t="shared" si="24"/>
        <v>Junio</v>
      </c>
      <c r="I133" s="6" t="str">
        <f t="shared" si="22"/>
        <v>2023-1</v>
      </c>
      <c r="J133" s="5">
        <v>64</v>
      </c>
      <c r="K133" s="5">
        <v>66</v>
      </c>
      <c r="L133" s="15">
        <f t="shared" si="20"/>
        <v>1.03125</v>
      </c>
      <c r="M133" s="15">
        <f t="shared" si="21"/>
        <v>1.03125</v>
      </c>
      <c r="N133" s="5" t="s">
        <v>347</v>
      </c>
      <c r="O133" s="5" t="s">
        <v>347</v>
      </c>
      <c r="P133" s="5">
        <v>0</v>
      </c>
      <c r="Q133" s="5">
        <v>0</v>
      </c>
      <c r="R133" s="5" t="str">
        <f t="shared" si="25"/>
        <v>57-2023-06-30</v>
      </c>
    </row>
    <row r="134" spans="1:18" x14ac:dyDescent="0.3">
      <c r="A134" s="26">
        <v>57</v>
      </c>
      <c r="B134" s="23" t="s">
        <v>590</v>
      </c>
      <c r="C134" s="5" t="s">
        <v>345</v>
      </c>
      <c r="D134" s="5" t="s">
        <v>11</v>
      </c>
      <c r="E134" s="5" t="s">
        <v>9</v>
      </c>
      <c r="F134" s="6">
        <v>45291</v>
      </c>
      <c r="G134" s="5">
        <f t="shared" si="23"/>
        <v>2023</v>
      </c>
      <c r="H134" s="5" t="str">
        <f t="shared" si="24"/>
        <v>Diciembre</v>
      </c>
      <c r="I134" s="6" t="str">
        <f t="shared" si="22"/>
        <v>2023-2</v>
      </c>
      <c r="J134" s="5">
        <v>100</v>
      </c>
      <c r="K134" s="5">
        <v>97.74</v>
      </c>
      <c r="L134" s="15">
        <f t="shared" si="20"/>
        <v>0.97739999999999994</v>
      </c>
      <c r="M134" s="15">
        <f t="shared" si="21"/>
        <v>0.97739999999999994</v>
      </c>
      <c r="N134" s="5" t="s">
        <v>347</v>
      </c>
      <c r="O134" s="5" t="s">
        <v>347</v>
      </c>
      <c r="P134" s="5">
        <v>0</v>
      </c>
      <c r="Q134" s="5">
        <v>0</v>
      </c>
      <c r="R134" s="5" t="str">
        <f t="shared" si="25"/>
        <v>57-2023-12-31</v>
      </c>
    </row>
    <row r="135" spans="1:18" x14ac:dyDescent="0.3">
      <c r="A135" s="26">
        <v>58</v>
      </c>
      <c r="B135" s="23" t="s">
        <v>591</v>
      </c>
      <c r="C135" s="5" t="s">
        <v>345</v>
      </c>
      <c r="D135" s="5" t="s">
        <v>11</v>
      </c>
      <c r="E135" s="5" t="s">
        <v>9</v>
      </c>
      <c r="F135" s="6">
        <v>45107</v>
      </c>
      <c r="G135" s="5">
        <f t="shared" si="23"/>
        <v>2023</v>
      </c>
      <c r="H135" s="5" t="str">
        <f t="shared" si="24"/>
        <v>Junio</v>
      </c>
      <c r="I135" s="6" t="str">
        <f t="shared" si="22"/>
        <v>2023-1</v>
      </c>
      <c r="J135" s="5">
        <v>71</v>
      </c>
      <c r="K135" s="5">
        <v>84</v>
      </c>
      <c r="L135" s="15">
        <f t="shared" si="20"/>
        <v>1.1830985915492958</v>
      </c>
      <c r="M135" s="15">
        <f t="shared" si="21"/>
        <v>1.1830985915492958</v>
      </c>
      <c r="N135" s="5" t="s">
        <v>347</v>
      </c>
      <c r="O135" s="5" t="s">
        <v>347</v>
      </c>
      <c r="P135" s="5">
        <v>0</v>
      </c>
      <c r="Q135" s="5">
        <v>0</v>
      </c>
      <c r="R135" s="5" t="str">
        <f t="shared" si="25"/>
        <v>58-2023-06-30</v>
      </c>
    </row>
    <row r="136" spans="1:18" x14ac:dyDescent="0.3">
      <c r="A136" s="26">
        <v>58</v>
      </c>
      <c r="B136" s="23" t="s">
        <v>591</v>
      </c>
      <c r="C136" s="5" t="s">
        <v>345</v>
      </c>
      <c r="D136" s="5" t="s">
        <v>11</v>
      </c>
      <c r="E136" s="5" t="s">
        <v>9</v>
      </c>
      <c r="F136" s="6">
        <v>45291</v>
      </c>
      <c r="G136" s="5">
        <f t="shared" si="23"/>
        <v>2023</v>
      </c>
      <c r="H136" s="5" t="str">
        <f t="shared" si="24"/>
        <v>Diciembre</v>
      </c>
      <c r="I136" s="6" t="str">
        <f t="shared" si="22"/>
        <v>2023-2</v>
      </c>
      <c r="J136" s="5">
        <v>100</v>
      </c>
      <c r="K136" s="5">
        <v>100</v>
      </c>
      <c r="L136" s="15">
        <f t="shared" si="20"/>
        <v>1</v>
      </c>
      <c r="M136" s="15">
        <f t="shared" si="21"/>
        <v>1</v>
      </c>
      <c r="N136" s="5" t="s">
        <v>347</v>
      </c>
      <c r="O136" s="5" t="s">
        <v>347</v>
      </c>
      <c r="P136" s="5">
        <v>0</v>
      </c>
      <c r="Q136" s="5">
        <v>0</v>
      </c>
      <c r="R136" s="5" t="str">
        <f t="shared" si="25"/>
        <v>58-2023-12-31</v>
      </c>
    </row>
    <row r="137" spans="1:18" x14ac:dyDescent="0.3">
      <c r="A137" s="26">
        <v>59</v>
      </c>
      <c r="B137" s="23" t="s">
        <v>592</v>
      </c>
      <c r="C137" s="5" t="s">
        <v>345</v>
      </c>
      <c r="D137" s="5" t="s">
        <v>11</v>
      </c>
      <c r="E137" s="5" t="s">
        <v>9</v>
      </c>
      <c r="F137" s="6">
        <v>45107</v>
      </c>
      <c r="G137" s="5">
        <f t="shared" si="23"/>
        <v>2023</v>
      </c>
      <c r="H137" s="5" t="str">
        <f t="shared" si="24"/>
        <v>Junio</v>
      </c>
      <c r="I137" s="6" t="str">
        <f t="shared" si="22"/>
        <v>2023-1</v>
      </c>
      <c r="J137" s="5">
        <v>54</v>
      </c>
      <c r="K137" s="5">
        <v>70</v>
      </c>
      <c r="L137" s="15">
        <f t="shared" si="20"/>
        <v>1.2962962962962963</v>
      </c>
      <c r="M137" s="15">
        <f t="shared" si="21"/>
        <v>1.2962962962962963</v>
      </c>
      <c r="N137" s="5" t="s">
        <v>347</v>
      </c>
      <c r="O137" s="5" t="s">
        <v>347</v>
      </c>
      <c r="P137" s="5">
        <v>0</v>
      </c>
      <c r="Q137" s="5">
        <v>0</v>
      </c>
      <c r="R137" s="5" t="str">
        <f t="shared" si="25"/>
        <v>59-2023-06-30</v>
      </c>
    </row>
    <row r="138" spans="1:18" x14ac:dyDescent="0.3">
      <c r="A138" s="26">
        <v>59</v>
      </c>
      <c r="B138" s="23" t="s">
        <v>592</v>
      </c>
      <c r="C138" s="5" t="s">
        <v>345</v>
      </c>
      <c r="D138" s="5" t="s">
        <v>11</v>
      </c>
      <c r="E138" s="5" t="s">
        <v>9</v>
      </c>
      <c r="F138" s="6">
        <v>45291</v>
      </c>
      <c r="G138" s="5">
        <f t="shared" si="23"/>
        <v>2023</v>
      </c>
      <c r="H138" s="5" t="str">
        <f t="shared" si="24"/>
        <v>Diciembre</v>
      </c>
      <c r="I138" s="6" t="str">
        <f t="shared" si="22"/>
        <v>2023-2</v>
      </c>
      <c r="J138" s="5">
        <v>100</v>
      </c>
      <c r="K138" s="5">
        <v>98.4</v>
      </c>
      <c r="L138" s="15">
        <f t="shared" si="20"/>
        <v>0.9840000000000001</v>
      </c>
      <c r="M138" s="15">
        <f t="shared" si="21"/>
        <v>0.9840000000000001</v>
      </c>
      <c r="N138" s="5" t="s">
        <v>347</v>
      </c>
      <c r="O138" s="5" t="s">
        <v>347</v>
      </c>
      <c r="P138" s="5">
        <v>0</v>
      </c>
      <c r="Q138" s="5">
        <v>0</v>
      </c>
      <c r="R138" s="5" t="str">
        <f t="shared" si="25"/>
        <v>59-2023-12-31</v>
      </c>
    </row>
    <row r="139" spans="1:18" x14ac:dyDescent="0.3">
      <c r="A139" s="26">
        <v>60</v>
      </c>
      <c r="B139" s="23" t="s">
        <v>593</v>
      </c>
      <c r="C139" s="5" t="s">
        <v>345</v>
      </c>
      <c r="D139" s="5" t="s">
        <v>11</v>
      </c>
      <c r="E139" s="5" t="s">
        <v>9</v>
      </c>
      <c r="F139" s="6">
        <v>45107</v>
      </c>
      <c r="G139" s="5">
        <f t="shared" si="23"/>
        <v>2023</v>
      </c>
      <c r="H139" s="5" t="str">
        <f t="shared" si="24"/>
        <v>Junio</v>
      </c>
      <c r="I139" s="6" t="str">
        <f t="shared" si="22"/>
        <v>2023-1</v>
      </c>
      <c r="J139" s="5">
        <v>53</v>
      </c>
      <c r="K139" s="5">
        <v>33</v>
      </c>
      <c r="L139" s="15">
        <f t="shared" ref="L139:L154" si="26">IFERROR(IF((K139/J139)&gt;1.3,1.3,K139/J139),"")</f>
        <v>0.62264150943396224</v>
      </c>
      <c r="M139" s="15">
        <f t="shared" ref="M139:M168" si="27">IFERROR(K139/J139,"")</f>
        <v>0.62264150943396224</v>
      </c>
      <c r="N139" s="5" t="s">
        <v>347</v>
      </c>
      <c r="O139" s="5" t="s">
        <v>347</v>
      </c>
      <c r="P139" s="5">
        <v>0</v>
      </c>
      <c r="Q139" s="5">
        <v>0</v>
      </c>
      <c r="R139" s="5" t="str">
        <f t="shared" si="25"/>
        <v>60-2023-06-30</v>
      </c>
    </row>
    <row r="140" spans="1:18" x14ac:dyDescent="0.3">
      <c r="A140" s="26">
        <v>60</v>
      </c>
      <c r="B140" s="23" t="s">
        <v>593</v>
      </c>
      <c r="C140" s="5" t="s">
        <v>345</v>
      </c>
      <c r="D140" s="5" t="s">
        <v>11</v>
      </c>
      <c r="E140" s="5" t="s">
        <v>9</v>
      </c>
      <c r="F140" s="6">
        <v>45291</v>
      </c>
      <c r="G140" s="5">
        <f t="shared" si="23"/>
        <v>2023</v>
      </c>
      <c r="H140" s="5" t="str">
        <f t="shared" si="24"/>
        <v>Diciembre</v>
      </c>
      <c r="I140" s="6" t="str">
        <f t="shared" si="22"/>
        <v>2023-2</v>
      </c>
      <c r="J140" s="5">
        <v>100</v>
      </c>
      <c r="K140" s="5">
        <v>55</v>
      </c>
      <c r="L140" s="15">
        <f t="shared" si="26"/>
        <v>0.55000000000000004</v>
      </c>
      <c r="M140" s="15">
        <f t="shared" si="27"/>
        <v>0.55000000000000004</v>
      </c>
      <c r="N140" s="5" t="s">
        <v>347</v>
      </c>
      <c r="O140" s="5" t="s">
        <v>347</v>
      </c>
      <c r="P140" s="5">
        <v>0</v>
      </c>
      <c r="Q140" s="5">
        <v>0</v>
      </c>
      <c r="R140" s="5" t="str">
        <f t="shared" si="25"/>
        <v>60-2023-12-31</v>
      </c>
    </row>
    <row r="141" spans="1:18" x14ac:dyDescent="0.3">
      <c r="A141" s="26">
        <v>61</v>
      </c>
      <c r="B141" s="23" t="s">
        <v>594</v>
      </c>
      <c r="C141" s="5" t="s">
        <v>345</v>
      </c>
      <c r="D141" s="5" t="s">
        <v>11</v>
      </c>
      <c r="E141" s="5" t="s">
        <v>9</v>
      </c>
      <c r="F141" s="6">
        <v>45107</v>
      </c>
      <c r="G141" s="5">
        <f t="shared" si="23"/>
        <v>2023</v>
      </c>
      <c r="H141" s="5" t="str">
        <f t="shared" si="24"/>
        <v>Junio</v>
      </c>
      <c r="I141" s="6" t="str">
        <f t="shared" si="22"/>
        <v>2023-1</v>
      </c>
      <c r="J141" s="5">
        <v>63</v>
      </c>
      <c r="K141" s="5">
        <v>50</v>
      </c>
      <c r="L141" s="15">
        <f t="shared" si="26"/>
        <v>0.79365079365079361</v>
      </c>
      <c r="M141" s="15">
        <f t="shared" si="27"/>
        <v>0.79365079365079361</v>
      </c>
      <c r="N141" s="5" t="s">
        <v>347</v>
      </c>
      <c r="O141" s="5" t="s">
        <v>347</v>
      </c>
      <c r="P141" s="5">
        <v>0</v>
      </c>
      <c r="Q141" s="5">
        <v>0</v>
      </c>
      <c r="R141" s="5" t="str">
        <f t="shared" si="25"/>
        <v>61-2023-06-30</v>
      </c>
    </row>
    <row r="142" spans="1:18" x14ac:dyDescent="0.3">
      <c r="A142" s="26">
        <v>61</v>
      </c>
      <c r="B142" s="23" t="s">
        <v>594</v>
      </c>
      <c r="C142" s="5" t="s">
        <v>345</v>
      </c>
      <c r="D142" s="5" t="s">
        <v>11</v>
      </c>
      <c r="E142" s="5" t="s">
        <v>9</v>
      </c>
      <c r="F142" s="6">
        <v>45291</v>
      </c>
      <c r="G142" s="5">
        <f t="shared" si="23"/>
        <v>2023</v>
      </c>
      <c r="H142" s="5" t="str">
        <f t="shared" si="24"/>
        <v>Diciembre</v>
      </c>
      <c r="I142" s="6" t="str">
        <f t="shared" si="22"/>
        <v>2023-2</v>
      </c>
      <c r="J142" s="5">
        <v>100</v>
      </c>
      <c r="K142" s="5">
        <v>83.33</v>
      </c>
      <c r="L142" s="15">
        <f t="shared" si="26"/>
        <v>0.83329999999999993</v>
      </c>
      <c r="M142" s="15">
        <f t="shared" si="27"/>
        <v>0.83329999999999993</v>
      </c>
      <c r="N142" s="5" t="s">
        <v>347</v>
      </c>
      <c r="O142" s="5" t="s">
        <v>347</v>
      </c>
      <c r="P142" s="5">
        <v>0</v>
      </c>
      <c r="Q142" s="5">
        <v>0</v>
      </c>
      <c r="R142" s="5" t="str">
        <f t="shared" si="25"/>
        <v>61-2023-12-31</v>
      </c>
    </row>
    <row r="143" spans="1:18" x14ac:dyDescent="0.3">
      <c r="A143" s="26">
        <v>62</v>
      </c>
      <c r="B143" s="23" t="s">
        <v>595</v>
      </c>
      <c r="C143" s="5" t="s">
        <v>345</v>
      </c>
      <c r="D143" s="5" t="s">
        <v>11</v>
      </c>
      <c r="E143" s="5" t="s">
        <v>9</v>
      </c>
      <c r="F143" s="6">
        <v>45107</v>
      </c>
      <c r="G143" s="5">
        <f t="shared" si="23"/>
        <v>2023</v>
      </c>
      <c r="H143" s="5" t="str">
        <f t="shared" si="24"/>
        <v>Junio</v>
      </c>
      <c r="I143" s="6" t="str">
        <f t="shared" ref="I143:I174" si="28">IF(OR(H143="Enero",H143="Febrero",H143="Marzo",H143="Abril",H143="Mayo",H143="Junio"),G143&amp;"-1",IF(OR(H143="Julio",H143="Agosto",H143="Septiembre",H143="Octubre",H143="Noviembre",H143="Diciembre"),G143&amp;"-2"))</f>
        <v>2023-1</v>
      </c>
      <c r="J143" s="5">
        <v>50</v>
      </c>
      <c r="K143" s="5">
        <v>78</v>
      </c>
      <c r="L143" s="15">
        <f t="shared" si="26"/>
        <v>1.3</v>
      </c>
      <c r="M143" s="15">
        <f t="shared" si="27"/>
        <v>1.56</v>
      </c>
      <c r="N143" s="5" t="s">
        <v>347</v>
      </c>
      <c r="O143" s="5" t="s">
        <v>347</v>
      </c>
      <c r="P143" s="5">
        <v>0</v>
      </c>
      <c r="Q143" s="5">
        <v>0</v>
      </c>
      <c r="R143" s="5" t="str">
        <f t="shared" si="25"/>
        <v>62-2023-06-30</v>
      </c>
    </row>
    <row r="144" spans="1:18" x14ac:dyDescent="0.3">
      <c r="A144" s="26">
        <v>62</v>
      </c>
      <c r="B144" s="23" t="s">
        <v>595</v>
      </c>
      <c r="C144" s="5" t="s">
        <v>345</v>
      </c>
      <c r="D144" s="5" t="s">
        <v>11</v>
      </c>
      <c r="E144" s="5" t="s">
        <v>9</v>
      </c>
      <c r="F144" s="6">
        <v>45291</v>
      </c>
      <c r="G144" s="5">
        <f t="shared" si="23"/>
        <v>2023</v>
      </c>
      <c r="H144" s="5" t="str">
        <f t="shared" si="24"/>
        <v>Diciembre</v>
      </c>
      <c r="I144" s="6" t="str">
        <f t="shared" si="28"/>
        <v>2023-2</v>
      </c>
      <c r="J144" s="5">
        <v>100</v>
      </c>
      <c r="K144" s="5">
        <v>100</v>
      </c>
      <c r="L144" s="15">
        <f t="shared" si="26"/>
        <v>1</v>
      </c>
      <c r="M144" s="15">
        <f t="shared" si="27"/>
        <v>1</v>
      </c>
      <c r="N144" s="5" t="s">
        <v>347</v>
      </c>
      <c r="O144" s="5" t="s">
        <v>347</v>
      </c>
      <c r="P144" s="5">
        <v>0</v>
      </c>
      <c r="Q144" s="5">
        <v>0</v>
      </c>
      <c r="R144" s="5" t="str">
        <f t="shared" si="25"/>
        <v>62-2023-12-31</v>
      </c>
    </row>
    <row r="145" spans="1:18" x14ac:dyDescent="0.3">
      <c r="A145" s="26">
        <v>63</v>
      </c>
      <c r="B145" s="23" t="s">
        <v>596</v>
      </c>
      <c r="C145" s="5" t="s">
        <v>345</v>
      </c>
      <c r="D145" s="5" t="s">
        <v>11</v>
      </c>
      <c r="E145" s="5" t="s">
        <v>9</v>
      </c>
      <c r="F145" s="6">
        <v>45107</v>
      </c>
      <c r="G145" s="5">
        <f t="shared" si="23"/>
        <v>2023</v>
      </c>
      <c r="H145" s="5" t="str">
        <f t="shared" si="24"/>
        <v>Junio</v>
      </c>
      <c r="I145" s="6" t="str">
        <f t="shared" si="28"/>
        <v>2023-1</v>
      </c>
      <c r="J145" s="5">
        <v>68</v>
      </c>
      <c r="K145" s="5">
        <v>71</v>
      </c>
      <c r="L145" s="15">
        <f t="shared" si="26"/>
        <v>1.0441176470588236</v>
      </c>
      <c r="M145" s="15">
        <f t="shared" si="27"/>
        <v>1.0441176470588236</v>
      </c>
      <c r="N145" s="5" t="s">
        <v>347</v>
      </c>
      <c r="O145" s="5" t="s">
        <v>347</v>
      </c>
      <c r="P145" s="5">
        <v>0</v>
      </c>
      <c r="Q145" s="5">
        <v>0</v>
      </c>
      <c r="R145" s="5" t="str">
        <f t="shared" si="25"/>
        <v>63-2023-06-30</v>
      </c>
    </row>
    <row r="146" spans="1:18" x14ac:dyDescent="0.3">
      <c r="A146" s="26">
        <v>63</v>
      </c>
      <c r="B146" s="23" t="s">
        <v>596</v>
      </c>
      <c r="C146" s="5" t="s">
        <v>345</v>
      </c>
      <c r="D146" s="5" t="s">
        <v>11</v>
      </c>
      <c r="E146" s="5" t="s">
        <v>9</v>
      </c>
      <c r="F146" s="6">
        <v>45291</v>
      </c>
      <c r="G146" s="5">
        <f t="shared" si="23"/>
        <v>2023</v>
      </c>
      <c r="H146" s="5" t="str">
        <f t="shared" si="24"/>
        <v>Diciembre</v>
      </c>
      <c r="I146" s="6" t="str">
        <f t="shared" si="28"/>
        <v>2023-2</v>
      </c>
      <c r="J146" s="5">
        <v>100</v>
      </c>
      <c r="K146" s="5">
        <v>100</v>
      </c>
      <c r="L146" s="15">
        <f t="shared" si="26"/>
        <v>1</v>
      </c>
      <c r="M146" s="15">
        <f t="shared" si="27"/>
        <v>1</v>
      </c>
      <c r="N146" s="5" t="s">
        <v>347</v>
      </c>
      <c r="O146" s="5" t="s">
        <v>347</v>
      </c>
      <c r="P146" s="5">
        <v>0</v>
      </c>
      <c r="Q146" s="5">
        <v>0</v>
      </c>
      <c r="R146" s="5" t="str">
        <f t="shared" si="25"/>
        <v>63-2023-12-31</v>
      </c>
    </row>
    <row r="147" spans="1:18" x14ac:dyDescent="0.3">
      <c r="A147" s="26">
        <v>64</v>
      </c>
      <c r="B147" s="23" t="s">
        <v>597</v>
      </c>
      <c r="C147" s="5" t="s">
        <v>345</v>
      </c>
      <c r="D147" s="5" t="s">
        <v>11</v>
      </c>
      <c r="E147" s="5" t="s">
        <v>9</v>
      </c>
      <c r="F147" s="6">
        <v>45107</v>
      </c>
      <c r="G147" s="5">
        <f t="shared" si="23"/>
        <v>2023</v>
      </c>
      <c r="H147" s="5" t="str">
        <f t="shared" si="24"/>
        <v>Junio</v>
      </c>
      <c r="I147" s="6" t="str">
        <f t="shared" si="28"/>
        <v>2023-1</v>
      </c>
      <c r="J147" s="5">
        <v>53</v>
      </c>
      <c r="K147" s="5">
        <v>63</v>
      </c>
      <c r="L147" s="15">
        <f t="shared" si="26"/>
        <v>1.1886792452830188</v>
      </c>
      <c r="M147" s="15">
        <f t="shared" si="27"/>
        <v>1.1886792452830188</v>
      </c>
      <c r="N147" s="5" t="s">
        <v>347</v>
      </c>
      <c r="O147" s="5" t="s">
        <v>347</v>
      </c>
      <c r="P147" s="5">
        <v>0</v>
      </c>
      <c r="Q147" s="5">
        <v>0</v>
      </c>
      <c r="R147" s="5" t="str">
        <f t="shared" si="25"/>
        <v>64-2023-06-30</v>
      </c>
    </row>
    <row r="148" spans="1:18" x14ac:dyDescent="0.3">
      <c r="A148" s="26">
        <v>64</v>
      </c>
      <c r="B148" s="23" t="s">
        <v>597</v>
      </c>
      <c r="C148" s="5" t="s">
        <v>345</v>
      </c>
      <c r="D148" s="5" t="s">
        <v>11</v>
      </c>
      <c r="E148" s="5" t="s">
        <v>9</v>
      </c>
      <c r="F148" s="6">
        <v>45291</v>
      </c>
      <c r="G148" s="5">
        <f t="shared" si="23"/>
        <v>2023</v>
      </c>
      <c r="H148" s="5" t="str">
        <f t="shared" si="24"/>
        <v>Diciembre</v>
      </c>
      <c r="I148" s="6" t="str">
        <f t="shared" si="28"/>
        <v>2023-2</v>
      </c>
      <c r="J148" s="5">
        <v>100</v>
      </c>
      <c r="K148" s="5">
        <v>100</v>
      </c>
      <c r="L148" s="15">
        <f t="shared" si="26"/>
        <v>1</v>
      </c>
      <c r="M148" s="15">
        <f t="shared" si="27"/>
        <v>1</v>
      </c>
      <c r="N148" s="5" t="s">
        <v>347</v>
      </c>
      <c r="O148" s="5" t="s">
        <v>347</v>
      </c>
      <c r="P148" s="5">
        <v>0</v>
      </c>
      <c r="Q148" s="5">
        <v>0</v>
      </c>
      <c r="R148" s="5" t="str">
        <f t="shared" si="25"/>
        <v>64-2023-12-31</v>
      </c>
    </row>
    <row r="149" spans="1:18" x14ac:dyDescent="0.3">
      <c r="A149" s="26">
        <v>65</v>
      </c>
      <c r="B149" s="23" t="s">
        <v>598</v>
      </c>
      <c r="C149" s="5" t="s">
        <v>345</v>
      </c>
      <c r="D149" s="5" t="s">
        <v>11</v>
      </c>
      <c r="E149" s="5" t="s">
        <v>9</v>
      </c>
      <c r="F149" s="6">
        <v>45107</v>
      </c>
      <c r="G149" s="5">
        <f t="shared" si="23"/>
        <v>2023</v>
      </c>
      <c r="H149" s="5" t="str">
        <f t="shared" si="24"/>
        <v>Junio</v>
      </c>
      <c r="I149" s="6" t="str">
        <f t="shared" si="28"/>
        <v>2023-1</v>
      </c>
      <c r="J149" s="5">
        <v>65</v>
      </c>
      <c r="K149" s="5">
        <v>67</v>
      </c>
      <c r="L149" s="15">
        <f t="shared" si="26"/>
        <v>1.0307692307692307</v>
      </c>
      <c r="M149" s="15">
        <f t="shared" si="27"/>
        <v>1.0307692307692307</v>
      </c>
      <c r="N149" s="5" t="s">
        <v>347</v>
      </c>
      <c r="O149" s="5" t="s">
        <v>347</v>
      </c>
      <c r="P149" s="5">
        <v>0</v>
      </c>
      <c r="Q149" s="5">
        <v>0</v>
      </c>
      <c r="R149" s="5" t="str">
        <f t="shared" si="25"/>
        <v>65-2023-06-30</v>
      </c>
    </row>
    <row r="150" spans="1:18" x14ac:dyDescent="0.3">
      <c r="A150" s="26">
        <v>65</v>
      </c>
      <c r="B150" s="23" t="s">
        <v>598</v>
      </c>
      <c r="C150" s="5" t="s">
        <v>345</v>
      </c>
      <c r="D150" s="5" t="s">
        <v>11</v>
      </c>
      <c r="E150" s="5" t="s">
        <v>9</v>
      </c>
      <c r="F150" s="6">
        <v>45291</v>
      </c>
      <c r="G150" s="5">
        <f t="shared" si="23"/>
        <v>2023</v>
      </c>
      <c r="H150" s="5" t="str">
        <f t="shared" si="24"/>
        <v>Diciembre</v>
      </c>
      <c r="I150" s="6" t="str">
        <f t="shared" si="28"/>
        <v>2023-2</v>
      </c>
      <c r="J150" s="5">
        <v>100</v>
      </c>
      <c r="K150" s="5">
        <v>100</v>
      </c>
      <c r="L150" s="15">
        <f t="shared" si="26"/>
        <v>1</v>
      </c>
      <c r="M150" s="15">
        <f t="shared" si="27"/>
        <v>1</v>
      </c>
      <c r="N150" s="5" t="s">
        <v>347</v>
      </c>
      <c r="O150" s="5" t="s">
        <v>347</v>
      </c>
      <c r="P150" s="5">
        <v>0</v>
      </c>
      <c r="Q150" s="5">
        <v>0</v>
      </c>
      <c r="R150" s="5" t="str">
        <f t="shared" si="25"/>
        <v>65-2023-12-31</v>
      </c>
    </row>
    <row r="151" spans="1:18" x14ac:dyDescent="0.3">
      <c r="A151" s="26">
        <v>66</v>
      </c>
      <c r="B151" s="23" t="s">
        <v>599</v>
      </c>
      <c r="C151" s="5" t="s">
        <v>345</v>
      </c>
      <c r="D151" s="5" t="s">
        <v>11</v>
      </c>
      <c r="E151" s="5" t="s">
        <v>9</v>
      </c>
      <c r="F151" s="6">
        <v>45107</v>
      </c>
      <c r="G151" s="5">
        <f t="shared" si="23"/>
        <v>2023</v>
      </c>
      <c r="H151" s="5" t="str">
        <f t="shared" si="24"/>
        <v>Junio</v>
      </c>
      <c r="I151" s="6" t="str">
        <f t="shared" si="28"/>
        <v>2023-1</v>
      </c>
      <c r="J151" s="5">
        <v>52</v>
      </c>
      <c r="K151" s="5">
        <v>67</v>
      </c>
      <c r="L151" s="15">
        <f t="shared" si="26"/>
        <v>1.2884615384615385</v>
      </c>
      <c r="M151" s="15">
        <f t="shared" si="27"/>
        <v>1.2884615384615385</v>
      </c>
      <c r="N151" s="5" t="s">
        <v>347</v>
      </c>
      <c r="O151" s="5" t="s">
        <v>347</v>
      </c>
      <c r="P151" s="5">
        <v>0</v>
      </c>
      <c r="Q151" s="5">
        <v>0</v>
      </c>
      <c r="R151" s="5" t="str">
        <f t="shared" si="25"/>
        <v>66-2023-06-30</v>
      </c>
    </row>
    <row r="152" spans="1:18" x14ac:dyDescent="0.3">
      <c r="A152" s="26">
        <v>66</v>
      </c>
      <c r="B152" s="23" t="s">
        <v>599</v>
      </c>
      <c r="C152" s="5" t="s">
        <v>345</v>
      </c>
      <c r="D152" s="5" t="s">
        <v>11</v>
      </c>
      <c r="E152" s="5" t="s">
        <v>9</v>
      </c>
      <c r="F152" s="6">
        <v>45291</v>
      </c>
      <c r="G152" s="5">
        <f t="shared" si="23"/>
        <v>2023</v>
      </c>
      <c r="H152" s="5" t="str">
        <f t="shared" si="24"/>
        <v>Diciembre</v>
      </c>
      <c r="I152" s="6" t="str">
        <f t="shared" si="28"/>
        <v>2023-2</v>
      </c>
      <c r="J152" s="5">
        <v>100</v>
      </c>
      <c r="K152" s="5">
        <v>100</v>
      </c>
      <c r="L152" s="15">
        <f t="shared" si="26"/>
        <v>1</v>
      </c>
      <c r="M152" s="15">
        <f t="shared" si="27"/>
        <v>1</v>
      </c>
      <c r="N152" s="5" t="s">
        <v>347</v>
      </c>
      <c r="O152" s="5" t="s">
        <v>347</v>
      </c>
      <c r="P152" s="5">
        <v>0</v>
      </c>
      <c r="Q152" s="5">
        <v>0</v>
      </c>
      <c r="R152" s="5" t="str">
        <f t="shared" si="25"/>
        <v>66-2023-12-31</v>
      </c>
    </row>
    <row r="153" spans="1:18" x14ac:dyDescent="0.3">
      <c r="A153" s="26">
        <v>67</v>
      </c>
      <c r="B153" s="23" t="s">
        <v>600</v>
      </c>
      <c r="C153" s="5" t="s">
        <v>410</v>
      </c>
      <c r="D153" s="5" t="s">
        <v>11</v>
      </c>
      <c r="E153" s="5" t="s">
        <v>9</v>
      </c>
      <c r="F153" s="6">
        <v>45107</v>
      </c>
      <c r="G153" s="5">
        <f t="shared" si="23"/>
        <v>2023</v>
      </c>
      <c r="H153" s="5" t="str">
        <f t="shared" si="24"/>
        <v>Junio</v>
      </c>
      <c r="I153" s="6" t="str">
        <f t="shared" si="28"/>
        <v>2023-1</v>
      </c>
      <c r="J153" s="5">
        <v>59</v>
      </c>
      <c r="K153" s="5">
        <v>62</v>
      </c>
      <c r="L153" s="15">
        <f t="shared" si="26"/>
        <v>1.0508474576271187</v>
      </c>
      <c r="M153" s="15">
        <f t="shared" si="27"/>
        <v>1.0508474576271187</v>
      </c>
      <c r="N153" s="5" t="s">
        <v>347</v>
      </c>
      <c r="O153" s="5" t="s">
        <v>347</v>
      </c>
      <c r="P153" s="5">
        <v>0</v>
      </c>
      <c r="Q153" s="5">
        <v>0</v>
      </c>
      <c r="R153" s="5" t="str">
        <f t="shared" si="25"/>
        <v>67-2023-06-30</v>
      </c>
    </row>
    <row r="154" spans="1:18" x14ac:dyDescent="0.3">
      <c r="A154" s="26">
        <v>67</v>
      </c>
      <c r="B154" s="23" t="s">
        <v>600</v>
      </c>
      <c r="C154" s="5" t="s">
        <v>410</v>
      </c>
      <c r="D154" s="5" t="s">
        <v>11</v>
      </c>
      <c r="E154" s="5" t="s">
        <v>9</v>
      </c>
      <c r="F154" s="6">
        <v>45291</v>
      </c>
      <c r="G154" s="5">
        <f t="shared" si="23"/>
        <v>2023</v>
      </c>
      <c r="H154" s="5" t="str">
        <f t="shared" si="24"/>
        <v>Diciembre</v>
      </c>
      <c r="I154" s="6" t="str">
        <f t="shared" si="28"/>
        <v>2023-2</v>
      </c>
      <c r="J154" s="5">
        <v>100</v>
      </c>
      <c r="K154" s="5">
        <v>100</v>
      </c>
      <c r="L154" s="15">
        <f t="shared" si="26"/>
        <v>1</v>
      </c>
      <c r="M154" s="15">
        <f t="shared" si="27"/>
        <v>1</v>
      </c>
      <c r="N154" s="5" t="s">
        <v>347</v>
      </c>
      <c r="O154" s="5" t="s">
        <v>347</v>
      </c>
      <c r="P154" s="5">
        <v>0</v>
      </c>
      <c r="Q154" s="5">
        <v>0</v>
      </c>
      <c r="R154" s="5" t="str">
        <f t="shared" si="25"/>
        <v>67-2023-12-31</v>
      </c>
    </row>
    <row r="155" spans="1:18" x14ac:dyDescent="0.3">
      <c r="A155" s="43">
        <v>68</v>
      </c>
      <c r="B155" s="5" t="s">
        <v>6</v>
      </c>
      <c r="C155" s="5" t="s">
        <v>7</v>
      </c>
      <c r="D155" s="5" t="s">
        <v>8</v>
      </c>
      <c r="E155" s="5" t="s">
        <v>9</v>
      </c>
      <c r="F155" s="6">
        <v>45107</v>
      </c>
      <c r="G155" s="5">
        <f t="shared" si="23"/>
        <v>2023</v>
      </c>
      <c r="H155" s="5" t="str">
        <f t="shared" si="24"/>
        <v>Junio</v>
      </c>
      <c r="I155" s="6" t="str">
        <f t="shared" si="28"/>
        <v>2023-1</v>
      </c>
      <c r="J155" s="5">
        <v>80</v>
      </c>
      <c r="K155" s="5">
        <v>91.5</v>
      </c>
      <c r="L155" s="21">
        <f>IFERROR(K155/J155,"")</f>
        <v>1.14375</v>
      </c>
      <c r="M155" s="15">
        <f t="shared" si="27"/>
        <v>1.14375</v>
      </c>
      <c r="N155" s="5" t="s">
        <v>347</v>
      </c>
      <c r="O155" s="5" t="s">
        <v>347</v>
      </c>
      <c r="P155" s="5">
        <v>1</v>
      </c>
      <c r="Q155" s="5">
        <v>1</v>
      </c>
      <c r="R155" s="5" t="str">
        <f t="shared" si="25"/>
        <v>68-2023-06-30</v>
      </c>
    </row>
    <row r="156" spans="1:18" x14ac:dyDescent="0.3">
      <c r="A156" s="39">
        <v>68</v>
      </c>
      <c r="B156" s="5" t="s">
        <v>6</v>
      </c>
      <c r="C156" s="5" t="s">
        <v>7</v>
      </c>
      <c r="D156" s="5" t="s">
        <v>8</v>
      </c>
      <c r="E156" s="5" t="s">
        <v>9</v>
      </c>
      <c r="F156" s="6">
        <v>45291</v>
      </c>
      <c r="G156" s="5">
        <f t="shared" si="23"/>
        <v>2023</v>
      </c>
      <c r="H156" s="5" t="str">
        <f t="shared" si="24"/>
        <v>Diciembre</v>
      </c>
      <c r="I156" s="6" t="str">
        <f t="shared" si="28"/>
        <v>2023-2</v>
      </c>
      <c r="J156" s="5">
        <v>80</v>
      </c>
      <c r="K156" s="5">
        <v>85</v>
      </c>
      <c r="L156" s="21">
        <f>IFERROR(K156/J156,"")</f>
        <v>1.0625</v>
      </c>
      <c r="M156" s="15">
        <f t="shared" si="27"/>
        <v>1.0625</v>
      </c>
      <c r="N156" s="5" t="s">
        <v>347</v>
      </c>
      <c r="O156" s="5" t="s">
        <v>347</v>
      </c>
      <c r="P156" s="5">
        <v>1</v>
      </c>
      <c r="Q156" s="5">
        <v>0</v>
      </c>
      <c r="R156" s="5" t="str">
        <f t="shared" si="25"/>
        <v>68-2023-12-31</v>
      </c>
    </row>
    <row r="157" spans="1:18" x14ac:dyDescent="0.3">
      <c r="A157" s="5">
        <v>68</v>
      </c>
      <c r="B157" s="5" t="s">
        <v>6</v>
      </c>
      <c r="C157" s="5" t="s">
        <v>7</v>
      </c>
      <c r="D157" s="5" t="s">
        <v>8</v>
      </c>
      <c r="E157" s="5" t="s">
        <v>9</v>
      </c>
      <c r="F157" s="6">
        <v>45473</v>
      </c>
      <c r="G157" s="5">
        <f t="shared" si="23"/>
        <v>2024</v>
      </c>
      <c r="H157" s="5" t="str">
        <f t="shared" si="24"/>
        <v>Junio</v>
      </c>
      <c r="I157" s="6" t="str">
        <f t="shared" si="28"/>
        <v>2024-1</v>
      </c>
      <c r="J157" s="5">
        <v>80</v>
      </c>
      <c r="K157" s="5">
        <v>86</v>
      </c>
      <c r="L157" s="15">
        <f>IFERROR(IF((K157/J157)&gt;1.3,1.3,K157/J157),"")</f>
        <v>1.075</v>
      </c>
      <c r="M157" s="15">
        <f t="shared" si="27"/>
        <v>1.075</v>
      </c>
      <c r="N157" s="5" t="s">
        <v>347</v>
      </c>
      <c r="O157" s="5" t="s">
        <v>347</v>
      </c>
      <c r="P157" s="5">
        <v>1</v>
      </c>
      <c r="Q157" s="5">
        <v>0</v>
      </c>
      <c r="R157" s="5" t="str">
        <f t="shared" si="25"/>
        <v>68-2024-06-30</v>
      </c>
    </row>
    <row r="158" spans="1:18" x14ac:dyDescent="0.3">
      <c r="A158" s="5">
        <v>68</v>
      </c>
      <c r="B158" s="5" t="s">
        <v>6</v>
      </c>
      <c r="C158" s="5" t="s">
        <v>7</v>
      </c>
      <c r="D158" s="5" t="s">
        <v>8</v>
      </c>
      <c r="E158" s="5" t="s">
        <v>9</v>
      </c>
      <c r="F158" s="6">
        <v>45657</v>
      </c>
      <c r="G158" s="5">
        <f t="shared" si="23"/>
        <v>2024</v>
      </c>
      <c r="H158" s="5" t="str">
        <f t="shared" si="24"/>
        <v>Diciembre</v>
      </c>
      <c r="I158" s="6" t="str">
        <f t="shared" si="28"/>
        <v>2024-2</v>
      </c>
      <c r="J158" s="5">
        <v>80</v>
      </c>
      <c r="K158" s="10">
        <v>87.5</v>
      </c>
      <c r="L158" s="15">
        <f>IFERROR(IF((K158/J158)&gt;1.3,1.3,K158/J158),"")</f>
        <v>1.09375</v>
      </c>
      <c r="M158" s="15">
        <f t="shared" si="27"/>
        <v>1.09375</v>
      </c>
      <c r="N158" s="5" t="s">
        <v>347</v>
      </c>
      <c r="O158" s="5" t="s">
        <v>347</v>
      </c>
      <c r="P158" s="5">
        <v>1</v>
      </c>
      <c r="Q158" s="5">
        <v>1</v>
      </c>
      <c r="R158" s="5" t="str">
        <f t="shared" si="25"/>
        <v>68-2024-12-31</v>
      </c>
    </row>
    <row r="159" spans="1:18" x14ac:dyDescent="0.3">
      <c r="A159" s="39">
        <v>69</v>
      </c>
      <c r="B159" s="5" t="s">
        <v>10</v>
      </c>
      <c r="C159" s="5" t="s">
        <v>7</v>
      </c>
      <c r="D159" s="5" t="s">
        <v>11</v>
      </c>
      <c r="E159" s="5" t="s">
        <v>9</v>
      </c>
      <c r="F159" s="6">
        <v>45107</v>
      </c>
      <c r="G159" s="5">
        <f t="shared" si="23"/>
        <v>2023</v>
      </c>
      <c r="H159" s="5" t="str">
        <f t="shared" si="24"/>
        <v>Junio</v>
      </c>
      <c r="I159" s="6" t="str">
        <f t="shared" si="28"/>
        <v>2023-1</v>
      </c>
      <c r="J159" s="5">
        <v>90</v>
      </c>
      <c r="K159" s="5">
        <v>90.469726806910501</v>
      </c>
      <c r="L159" s="21">
        <f>IFERROR(K159/J159,"")</f>
        <v>1.0052191867434499</v>
      </c>
      <c r="M159" s="15">
        <f t="shared" si="27"/>
        <v>1.0052191867434499</v>
      </c>
      <c r="N159" s="5" t="s">
        <v>347</v>
      </c>
      <c r="O159" s="5" t="s">
        <v>347</v>
      </c>
      <c r="P159" s="5">
        <v>0</v>
      </c>
      <c r="Q159" s="5">
        <v>0</v>
      </c>
      <c r="R159" s="5" t="str">
        <f t="shared" si="25"/>
        <v>69-2023-06-30</v>
      </c>
    </row>
    <row r="160" spans="1:18" x14ac:dyDescent="0.3">
      <c r="A160" s="39">
        <v>69</v>
      </c>
      <c r="B160" s="5" t="s">
        <v>10</v>
      </c>
      <c r="C160" s="5" t="s">
        <v>7</v>
      </c>
      <c r="D160" s="5" t="s">
        <v>11</v>
      </c>
      <c r="E160" s="5" t="s">
        <v>9</v>
      </c>
      <c r="F160" s="6">
        <v>45291</v>
      </c>
      <c r="G160" s="5">
        <f t="shared" si="23"/>
        <v>2023</v>
      </c>
      <c r="H160" s="5" t="str">
        <f t="shared" si="24"/>
        <v>Diciembre</v>
      </c>
      <c r="I160" s="6" t="str">
        <f t="shared" si="28"/>
        <v>2023-2</v>
      </c>
      <c r="J160" s="5">
        <v>90</v>
      </c>
      <c r="K160" s="5">
        <v>92.84</v>
      </c>
      <c r="L160" s="21">
        <f>IFERROR(K160/J160,"")</f>
        <v>1.0315555555555556</v>
      </c>
      <c r="M160" s="15">
        <f t="shared" si="27"/>
        <v>1.0315555555555556</v>
      </c>
      <c r="N160" s="5" t="s">
        <v>347</v>
      </c>
      <c r="O160" s="5" t="s">
        <v>347</v>
      </c>
      <c r="P160" s="5">
        <v>0</v>
      </c>
      <c r="Q160" s="5">
        <v>0</v>
      </c>
      <c r="R160" s="5" t="str">
        <f t="shared" si="25"/>
        <v>69-2023-12-31</v>
      </c>
    </row>
    <row r="161" spans="1:18" x14ac:dyDescent="0.3">
      <c r="A161" s="5">
        <v>69</v>
      </c>
      <c r="B161" s="5" t="s">
        <v>10</v>
      </c>
      <c r="C161" s="5" t="s">
        <v>7</v>
      </c>
      <c r="D161" s="5" t="s">
        <v>11</v>
      </c>
      <c r="E161" s="5" t="s">
        <v>9</v>
      </c>
      <c r="F161" s="6">
        <v>45473</v>
      </c>
      <c r="G161" s="5">
        <f t="shared" si="23"/>
        <v>2024</v>
      </c>
      <c r="H161" s="5" t="str">
        <f t="shared" si="24"/>
        <v>Junio</v>
      </c>
      <c r="I161" s="6" t="str">
        <f t="shared" si="28"/>
        <v>2024-1</v>
      </c>
      <c r="J161" s="5">
        <v>90</v>
      </c>
      <c r="K161" s="5">
        <v>91.324999999999989</v>
      </c>
      <c r="L161" s="15">
        <f t="shared" ref="L161:L168" si="29">IFERROR(IF((K161/J161)&gt;1.3,1.3,K161/J161),"")</f>
        <v>1.0147222222222221</v>
      </c>
      <c r="M161" s="15">
        <f t="shared" si="27"/>
        <v>1.0147222222222221</v>
      </c>
      <c r="N161" s="5" t="s">
        <v>347</v>
      </c>
      <c r="O161" s="5" t="s">
        <v>347</v>
      </c>
      <c r="P161" s="5">
        <v>0</v>
      </c>
      <c r="Q161" s="5">
        <v>0</v>
      </c>
      <c r="R161" s="5" t="str">
        <f t="shared" si="25"/>
        <v>69-2024-06-30</v>
      </c>
    </row>
    <row r="162" spans="1:18" x14ac:dyDescent="0.3">
      <c r="A162" s="5">
        <v>69</v>
      </c>
      <c r="B162" s="5" t="s">
        <v>10</v>
      </c>
      <c r="C162" s="5" t="s">
        <v>7</v>
      </c>
      <c r="D162" s="5" t="s">
        <v>11</v>
      </c>
      <c r="E162" s="5" t="s">
        <v>9</v>
      </c>
      <c r="F162" s="6">
        <v>45657</v>
      </c>
      <c r="G162" s="5">
        <f t="shared" ref="G162:G180" si="30">YEAR(F162)</f>
        <v>2024</v>
      </c>
      <c r="H162" s="5" t="str">
        <f t="shared" si="24"/>
        <v>Diciembre</v>
      </c>
      <c r="I162" s="6" t="str">
        <f t="shared" si="28"/>
        <v>2024-2</v>
      </c>
      <c r="J162" s="5">
        <v>90</v>
      </c>
      <c r="K162" s="5">
        <v>91.085000000000008</v>
      </c>
      <c r="L162" s="15">
        <f t="shared" si="29"/>
        <v>1.0120555555555557</v>
      </c>
      <c r="M162" s="15">
        <f t="shared" si="27"/>
        <v>1.0120555555555557</v>
      </c>
      <c r="N162" s="5" t="s">
        <v>347</v>
      </c>
      <c r="O162" s="5" t="s">
        <v>347</v>
      </c>
      <c r="P162" s="5">
        <v>0</v>
      </c>
      <c r="Q162" s="5">
        <v>0</v>
      </c>
      <c r="R162" s="5" t="str">
        <f t="shared" si="25"/>
        <v>69-2024-12-31</v>
      </c>
    </row>
    <row r="163" spans="1:18" x14ac:dyDescent="0.3">
      <c r="A163" s="26">
        <v>70</v>
      </c>
      <c r="B163" s="23" t="s">
        <v>601</v>
      </c>
      <c r="C163" s="5" t="s">
        <v>45</v>
      </c>
      <c r="D163" s="5" t="s">
        <v>11</v>
      </c>
      <c r="E163" s="5" t="s">
        <v>9</v>
      </c>
      <c r="F163" s="6">
        <v>45107</v>
      </c>
      <c r="G163" s="5">
        <f t="shared" si="30"/>
        <v>2023</v>
      </c>
      <c r="H163" s="5" t="str">
        <f t="shared" si="24"/>
        <v>Junio</v>
      </c>
      <c r="I163" s="6" t="str">
        <f t="shared" si="28"/>
        <v>2023-1</v>
      </c>
      <c r="J163" s="5">
        <v>50.8</v>
      </c>
      <c r="K163" s="5">
        <v>47.47</v>
      </c>
      <c r="L163" s="15">
        <f t="shared" si="29"/>
        <v>0.93444881889763787</v>
      </c>
      <c r="M163" s="15">
        <f t="shared" si="27"/>
        <v>0.93444881889763787</v>
      </c>
      <c r="N163" s="5" t="s">
        <v>347</v>
      </c>
      <c r="O163" s="5" t="s">
        <v>347</v>
      </c>
      <c r="P163" s="5">
        <v>0</v>
      </c>
      <c r="Q163" s="5">
        <v>0</v>
      </c>
      <c r="R163" s="5" t="str">
        <f t="shared" si="25"/>
        <v>70-2023-06-30</v>
      </c>
    </row>
    <row r="164" spans="1:18" x14ac:dyDescent="0.3">
      <c r="A164" s="26">
        <v>70</v>
      </c>
      <c r="B164" s="23" t="s">
        <v>601</v>
      </c>
      <c r="C164" s="5" t="s">
        <v>45</v>
      </c>
      <c r="D164" s="5" t="s">
        <v>11</v>
      </c>
      <c r="E164" s="5" t="s">
        <v>9</v>
      </c>
      <c r="F164" s="6">
        <v>45291</v>
      </c>
      <c r="G164" s="5">
        <f t="shared" si="30"/>
        <v>2023</v>
      </c>
      <c r="H164" s="5" t="str">
        <f t="shared" si="24"/>
        <v>Diciembre</v>
      </c>
      <c r="I164" s="6" t="str">
        <f t="shared" si="28"/>
        <v>2023-2</v>
      </c>
      <c r="J164" s="5">
        <v>100</v>
      </c>
      <c r="K164" s="5">
        <v>100</v>
      </c>
      <c r="L164" s="15">
        <f t="shared" si="29"/>
        <v>1</v>
      </c>
      <c r="M164" s="15">
        <f t="shared" si="27"/>
        <v>1</v>
      </c>
      <c r="N164" s="5" t="s">
        <v>347</v>
      </c>
      <c r="O164" s="5" t="s">
        <v>347</v>
      </c>
      <c r="P164" s="5">
        <v>0</v>
      </c>
      <c r="Q164" s="5">
        <v>0</v>
      </c>
      <c r="R164" s="5" t="str">
        <f t="shared" si="25"/>
        <v>70-2023-12-31</v>
      </c>
    </row>
    <row r="165" spans="1:18" x14ac:dyDescent="0.3">
      <c r="A165" s="36">
        <v>71</v>
      </c>
      <c r="B165" s="30" t="s">
        <v>602</v>
      </c>
      <c r="C165" s="5" t="s">
        <v>90</v>
      </c>
      <c r="D165" s="5" t="s">
        <v>11</v>
      </c>
      <c r="E165" s="5" t="s">
        <v>9</v>
      </c>
      <c r="F165" s="6">
        <v>45107</v>
      </c>
      <c r="G165" s="5">
        <f t="shared" si="30"/>
        <v>2023</v>
      </c>
      <c r="H165" s="5" t="str">
        <f t="shared" si="24"/>
        <v>Junio</v>
      </c>
      <c r="I165" s="6" t="str">
        <f t="shared" si="28"/>
        <v>2023-1</v>
      </c>
      <c r="J165" s="5">
        <v>31.86</v>
      </c>
      <c r="K165" s="5">
        <v>54</v>
      </c>
      <c r="L165" s="15">
        <f t="shared" si="29"/>
        <v>1.3</v>
      </c>
      <c r="M165" s="15">
        <f t="shared" si="27"/>
        <v>1.6949152542372881</v>
      </c>
      <c r="N165" s="5" t="s">
        <v>347</v>
      </c>
      <c r="O165" s="5" t="s">
        <v>347</v>
      </c>
      <c r="P165" s="5">
        <v>0</v>
      </c>
      <c r="Q165" s="5">
        <v>0</v>
      </c>
      <c r="R165" s="5" t="str">
        <f t="shared" si="25"/>
        <v>71-2023-06-30</v>
      </c>
    </row>
    <row r="166" spans="1:18" x14ac:dyDescent="0.3">
      <c r="A166" s="36">
        <v>71</v>
      </c>
      <c r="B166" s="30" t="s">
        <v>602</v>
      </c>
      <c r="C166" s="5" t="s">
        <v>90</v>
      </c>
      <c r="D166" s="5" t="s">
        <v>11</v>
      </c>
      <c r="E166" s="5" t="s">
        <v>9</v>
      </c>
      <c r="F166" s="6">
        <v>45291</v>
      </c>
      <c r="G166" s="5">
        <f t="shared" si="30"/>
        <v>2023</v>
      </c>
      <c r="H166" s="5" t="str">
        <f t="shared" si="24"/>
        <v>Diciembre</v>
      </c>
      <c r="I166" s="6" t="str">
        <f t="shared" si="28"/>
        <v>2023-2</v>
      </c>
      <c r="J166" s="5">
        <v>100</v>
      </c>
      <c r="K166" s="5">
        <v>100</v>
      </c>
      <c r="L166" s="15">
        <f t="shared" si="29"/>
        <v>1</v>
      </c>
      <c r="M166" s="15">
        <f t="shared" si="27"/>
        <v>1</v>
      </c>
      <c r="N166" s="5" t="s">
        <v>347</v>
      </c>
      <c r="O166" s="5" t="s">
        <v>347</v>
      </c>
      <c r="P166" s="5">
        <v>0</v>
      </c>
      <c r="Q166" s="5">
        <v>0</v>
      </c>
      <c r="R166" s="5" t="str">
        <f t="shared" si="25"/>
        <v>71-2023-12-31</v>
      </c>
    </row>
    <row r="167" spans="1:18" x14ac:dyDescent="0.3">
      <c r="A167" s="26">
        <v>72</v>
      </c>
      <c r="B167" s="23" t="s">
        <v>603</v>
      </c>
      <c r="C167" s="5" t="s">
        <v>182</v>
      </c>
      <c r="D167" s="5" t="s">
        <v>11</v>
      </c>
      <c r="E167" s="5" t="s">
        <v>9</v>
      </c>
      <c r="F167" s="6">
        <v>45107</v>
      </c>
      <c r="G167" s="5">
        <f t="shared" si="30"/>
        <v>2023</v>
      </c>
      <c r="H167" s="5" t="str">
        <f t="shared" si="24"/>
        <v>Junio</v>
      </c>
      <c r="I167" s="6" t="str">
        <f t="shared" si="28"/>
        <v>2023-1</v>
      </c>
      <c r="J167" s="5">
        <v>15.06</v>
      </c>
      <c r="K167" s="5">
        <v>17.3</v>
      </c>
      <c r="L167" s="15">
        <f t="shared" si="29"/>
        <v>1.1487383798140771</v>
      </c>
      <c r="M167" s="15">
        <f t="shared" si="27"/>
        <v>1.1487383798140771</v>
      </c>
      <c r="N167" s="5" t="s">
        <v>347</v>
      </c>
      <c r="O167" s="5" t="s">
        <v>347</v>
      </c>
      <c r="P167" s="5">
        <v>1</v>
      </c>
      <c r="Q167" s="5">
        <v>1</v>
      </c>
      <c r="R167" s="5" t="str">
        <f t="shared" si="25"/>
        <v>72-2023-06-30</v>
      </c>
    </row>
    <row r="168" spans="1:18" x14ac:dyDescent="0.3">
      <c r="A168" s="26">
        <v>72</v>
      </c>
      <c r="B168" s="23" t="s">
        <v>603</v>
      </c>
      <c r="C168" s="5" t="s">
        <v>182</v>
      </c>
      <c r="D168" s="5" t="s">
        <v>11</v>
      </c>
      <c r="E168" s="5" t="s">
        <v>9</v>
      </c>
      <c r="F168" s="6">
        <v>45291</v>
      </c>
      <c r="G168" s="5">
        <f t="shared" si="30"/>
        <v>2023</v>
      </c>
      <c r="H168" s="5" t="str">
        <f t="shared" si="24"/>
        <v>Diciembre</v>
      </c>
      <c r="I168" s="6" t="str">
        <f t="shared" si="28"/>
        <v>2023-2</v>
      </c>
      <c r="J168" s="5">
        <v>100</v>
      </c>
      <c r="K168" s="5">
        <v>100</v>
      </c>
      <c r="L168" s="15">
        <f t="shared" si="29"/>
        <v>1</v>
      </c>
      <c r="M168" s="15">
        <f t="shared" si="27"/>
        <v>1</v>
      </c>
      <c r="N168" s="5" t="s">
        <v>347</v>
      </c>
      <c r="O168" s="5" t="s">
        <v>347</v>
      </c>
      <c r="P168" s="5">
        <v>1</v>
      </c>
      <c r="Q168" s="5">
        <v>1</v>
      </c>
      <c r="R168" s="5" t="str">
        <f t="shared" si="25"/>
        <v>72-2023-12-31</v>
      </c>
    </row>
    <row r="169" spans="1:18" x14ac:dyDescent="0.3">
      <c r="A169" s="43">
        <v>73</v>
      </c>
      <c r="B169" s="5" t="s">
        <v>12</v>
      </c>
      <c r="C169" s="5" t="s">
        <v>13</v>
      </c>
      <c r="D169" s="5" t="s">
        <v>8</v>
      </c>
      <c r="E169" s="5" t="s">
        <v>14</v>
      </c>
      <c r="F169" s="6">
        <v>45107</v>
      </c>
      <c r="G169" s="5">
        <f t="shared" si="30"/>
        <v>2023</v>
      </c>
      <c r="H169" s="5" t="str">
        <f t="shared" si="24"/>
        <v>Junio</v>
      </c>
      <c r="I169" s="6" t="str">
        <f t="shared" si="28"/>
        <v>2023-1</v>
      </c>
      <c r="J169" s="5">
        <v>20</v>
      </c>
      <c r="K169" s="5">
        <v>19</v>
      </c>
      <c r="L169" s="15">
        <f>IFERROR(IF((J169/K169)&gt;1.3,1.3,J169/K169),"")</f>
        <v>1.0526315789473684</v>
      </c>
      <c r="M169" s="15">
        <f>IFERROR(J169/K169,"")</f>
        <v>1.0526315789473684</v>
      </c>
      <c r="N169" s="5" t="s">
        <v>479</v>
      </c>
      <c r="O169" s="5" t="s">
        <v>479</v>
      </c>
      <c r="P169" s="5">
        <v>0</v>
      </c>
      <c r="Q169" s="5">
        <v>0</v>
      </c>
      <c r="R169" s="5" t="str">
        <f t="shared" si="25"/>
        <v>73-2023-06-30</v>
      </c>
    </row>
    <row r="170" spans="1:18" x14ac:dyDescent="0.3">
      <c r="A170" s="39">
        <v>73</v>
      </c>
      <c r="B170" s="5" t="s">
        <v>12</v>
      </c>
      <c r="C170" s="5" t="s">
        <v>13</v>
      </c>
      <c r="D170" s="5" t="s">
        <v>8</v>
      </c>
      <c r="E170" s="5" t="s">
        <v>14</v>
      </c>
      <c r="F170" s="6">
        <v>45291</v>
      </c>
      <c r="G170" s="5">
        <f t="shared" si="30"/>
        <v>2023</v>
      </c>
      <c r="H170" s="5" t="str">
        <f t="shared" si="24"/>
        <v>Diciembre</v>
      </c>
      <c r="I170" s="6" t="str">
        <f t="shared" si="28"/>
        <v>2023-2</v>
      </c>
      <c r="J170" s="5">
        <v>20</v>
      </c>
      <c r="K170" s="5">
        <v>17</v>
      </c>
      <c r="L170" s="15">
        <f>IFERROR(IF((J170/K170)&gt;1.3,1.3,J170/K170),"")</f>
        <v>1.1764705882352942</v>
      </c>
      <c r="M170" s="15">
        <f>IFERROR(J170/K170,"")</f>
        <v>1.1764705882352942</v>
      </c>
      <c r="N170" s="5" t="s">
        <v>479</v>
      </c>
      <c r="O170" s="5" t="s">
        <v>479</v>
      </c>
      <c r="P170" s="5">
        <v>0</v>
      </c>
      <c r="Q170" s="5">
        <v>0</v>
      </c>
      <c r="R170" s="5" t="str">
        <f t="shared" si="25"/>
        <v>73-2023-12-31</v>
      </c>
    </row>
    <row r="171" spans="1:18" x14ac:dyDescent="0.3">
      <c r="A171" s="5">
        <v>73</v>
      </c>
      <c r="B171" s="5" t="s">
        <v>12</v>
      </c>
      <c r="C171" s="5" t="s">
        <v>13</v>
      </c>
      <c r="D171" s="5" t="s">
        <v>8</v>
      </c>
      <c r="E171" s="5" t="s">
        <v>14</v>
      </c>
      <c r="F171" s="6">
        <v>45473</v>
      </c>
      <c r="G171" s="5">
        <f t="shared" si="30"/>
        <v>2024</v>
      </c>
      <c r="H171" s="5" t="str">
        <f t="shared" si="24"/>
        <v>Junio</v>
      </c>
      <c r="I171" s="6" t="str">
        <f t="shared" si="28"/>
        <v>2024-1</v>
      </c>
      <c r="J171" s="5">
        <v>20</v>
      </c>
      <c r="K171" s="5">
        <v>20</v>
      </c>
      <c r="L171" s="15">
        <f>IFERROR(IF((J171/K171)&gt;1.3,1.3,J171/K171),"")</f>
        <v>1</v>
      </c>
      <c r="M171" s="15">
        <f>IFERROR(J171/K171,"")</f>
        <v>1</v>
      </c>
      <c r="N171" s="5" t="s">
        <v>479</v>
      </c>
      <c r="O171" s="5" t="s">
        <v>479</v>
      </c>
      <c r="P171" s="5">
        <v>0</v>
      </c>
      <c r="Q171" s="5">
        <v>0</v>
      </c>
      <c r="R171" s="5" t="str">
        <f t="shared" si="25"/>
        <v>73-2024-06-30</v>
      </c>
    </row>
    <row r="172" spans="1:18" x14ac:dyDescent="0.3">
      <c r="A172" s="5">
        <v>73</v>
      </c>
      <c r="B172" s="5" t="s">
        <v>12</v>
      </c>
      <c r="C172" s="5" t="s">
        <v>13</v>
      </c>
      <c r="D172" s="5" t="s">
        <v>8</v>
      </c>
      <c r="E172" s="5" t="s">
        <v>14</v>
      </c>
      <c r="F172" s="6">
        <v>45657</v>
      </c>
      <c r="G172" s="5">
        <f t="shared" si="30"/>
        <v>2024</v>
      </c>
      <c r="H172" s="5" t="str">
        <f t="shared" si="24"/>
        <v>Diciembre</v>
      </c>
      <c r="I172" s="6" t="str">
        <f t="shared" si="28"/>
        <v>2024-2</v>
      </c>
      <c r="J172" s="5">
        <v>20</v>
      </c>
      <c r="K172" s="10">
        <v>17</v>
      </c>
      <c r="L172" s="15">
        <f>IFERROR(IF((J172/K172)&gt;1.3,1.3,J172/K172),"")</f>
        <v>1.1764705882352942</v>
      </c>
      <c r="M172" s="15">
        <f>IFERROR(J172/K172,"")</f>
        <v>1.1764705882352942</v>
      </c>
      <c r="N172" s="5" t="s">
        <v>479</v>
      </c>
      <c r="O172" s="5" t="s">
        <v>479</v>
      </c>
      <c r="P172" s="5">
        <v>0</v>
      </c>
      <c r="Q172" s="5">
        <v>0</v>
      </c>
      <c r="R172" s="5" t="str">
        <f t="shared" si="25"/>
        <v>73-2024-12-31</v>
      </c>
    </row>
    <row r="173" spans="1:18" x14ac:dyDescent="0.3">
      <c r="A173" s="43">
        <v>74</v>
      </c>
      <c r="B173" s="5" t="s">
        <v>15</v>
      </c>
      <c r="C173" s="5" t="s">
        <v>13</v>
      </c>
      <c r="D173" s="5" t="s">
        <v>8</v>
      </c>
      <c r="E173" s="5" t="s">
        <v>9</v>
      </c>
      <c r="F173" s="6">
        <v>45107</v>
      </c>
      <c r="G173" s="5">
        <f t="shared" si="30"/>
        <v>2023</v>
      </c>
      <c r="H173" s="5" t="str">
        <f t="shared" si="24"/>
        <v>Junio</v>
      </c>
      <c r="I173" s="6" t="str">
        <f t="shared" si="28"/>
        <v>2023-1</v>
      </c>
      <c r="J173" s="5">
        <v>80</v>
      </c>
      <c r="K173" s="5">
        <v>87.18</v>
      </c>
      <c r="L173" s="21">
        <f>IFERROR(K173/J173,"")</f>
        <v>1.08975</v>
      </c>
      <c r="M173" s="15">
        <f t="shared" ref="M173:M204" si="31">IFERROR(K173/J173,"")</f>
        <v>1.08975</v>
      </c>
      <c r="N173" s="5" t="s">
        <v>347</v>
      </c>
      <c r="O173" s="5" t="s">
        <v>347</v>
      </c>
      <c r="P173" s="5">
        <v>0</v>
      </c>
      <c r="Q173" s="5">
        <v>0</v>
      </c>
      <c r="R173" s="5" t="str">
        <f t="shared" si="25"/>
        <v>74-2023-06-30</v>
      </c>
    </row>
    <row r="174" spans="1:18" x14ac:dyDescent="0.3">
      <c r="A174" s="39">
        <v>74</v>
      </c>
      <c r="B174" s="5" t="s">
        <v>15</v>
      </c>
      <c r="C174" s="5" t="s">
        <v>13</v>
      </c>
      <c r="D174" s="5" t="s">
        <v>8</v>
      </c>
      <c r="E174" s="5" t="s">
        <v>9</v>
      </c>
      <c r="F174" s="6">
        <v>45291</v>
      </c>
      <c r="G174" s="5">
        <f t="shared" si="30"/>
        <v>2023</v>
      </c>
      <c r="H174" s="5" t="str">
        <f t="shared" si="24"/>
        <v>Diciembre</v>
      </c>
      <c r="I174" s="6" t="str">
        <f t="shared" si="28"/>
        <v>2023-2</v>
      </c>
      <c r="J174" s="5">
        <v>80</v>
      </c>
      <c r="K174" s="5">
        <v>94.64</v>
      </c>
      <c r="L174" s="21">
        <f>IFERROR(K174/J174,"")</f>
        <v>1.1830000000000001</v>
      </c>
      <c r="M174" s="15">
        <f t="shared" si="31"/>
        <v>1.1830000000000001</v>
      </c>
      <c r="N174" s="5" t="s">
        <v>347</v>
      </c>
      <c r="O174" s="5" t="s">
        <v>347</v>
      </c>
      <c r="P174" s="5">
        <v>0</v>
      </c>
      <c r="Q174" s="5">
        <v>0</v>
      </c>
      <c r="R174" s="5" t="str">
        <f t="shared" si="25"/>
        <v>74-2023-12-31</v>
      </c>
    </row>
    <row r="175" spans="1:18" x14ac:dyDescent="0.3">
      <c r="A175" s="5">
        <v>74</v>
      </c>
      <c r="B175" s="5" t="s">
        <v>15</v>
      </c>
      <c r="C175" s="5" t="s">
        <v>13</v>
      </c>
      <c r="D175" s="5" t="s">
        <v>8</v>
      </c>
      <c r="E175" s="5" t="s">
        <v>9</v>
      </c>
      <c r="F175" s="6">
        <v>45473</v>
      </c>
      <c r="G175" s="5">
        <f t="shared" si="30"/>
        <v>2024</v>
      </c>
      <c r="H175" s="5" t="str">
        <f t="shared" si="24"/>
        <v>Junio</v>
      </c>
      <c r="I175" s="6" t="str">
        <f t="shared" ref="I175:I189" si="32">IF(OR(H175="Enero",H175="Febrero",H175="Marzo",H175="Abril",H175="Mayo",H175="Junio"),G175&amp;"-1",IF(OR(H175="Julio",H175="Agosto",H175="Septiembre",H175="Octubre",H175="Noviembre",H175="Diciembre"),G175&amp;"-2"))</f>
        <v>2024-1</v>
      </c>
      <c r="J175" s="5">
        <v>80</v>
      </c>
      <c r="K175" s="5">
        <v>91.53</v>
      </c>
      <c r="L175" s="15">
        <f t="shared" ref="L175:L184" si="33">IFERROR(IF((K175/J175)&gt;1.3,1.3,K175/J175),"")</f>
        <v>1.1441250000000001</v>
      </c>
      <c r="M175" s="15">
        <f t="shared" si="31"/>
        <v>1.1441250000000001</v>
      </c>
      <c r="N175" s="5" t="s">
        <v>347</v>
      </c>
      <c r="O175" s="5" t="s">
        <v>347</v>
      </c>
      <c r="P175" s="5">
        <v>0</v>
      </c>
      <c r="Q175" s="5">
        <v>0</v>
      </c>
      <c r="R175" s="5" t="str">
        <f t="shared" si="25"/>
        <v>74-2024-06-30</v>
      </c>
    </row>
    <row r="176" spans="1:18" x14ac:dyDescent="0.3">
      <c r="A176" s="5">
        <v>74</v>
      </c>
      <c r="B176" s="5" t="s">
        <v>15</v>
      </c>
      <c r="C176" s="5" t="s">
        <v>13</v>
      </c>
      <c r="D176" s="5" t="s">
        <v>8</v>
      </c>
      <c r="E176" s="5" t="s">
        <v>9</v>
      </c>
      <c r="F176" s="6">
        <v>45657</v>
      </c>
      <c r="G176" s="5">
        <f t="shared" si="30"/>
        <v>2024</v>
      </c>
      <c r="H176" s="5" t="str">
        <f t="shared" si="24"/>
        <v>Diciembre</v>
      </c>
      <c r="I176" s="6" t="str">
        <f t="shared" si="32"/>
        <v>2024-2</v>
      </c>
      <c r="J176" s="5">
        <v>80</v>
      </c>
      <c r="K176" s="10">
        <v>95.45</v>
      </c>
      <c r="L176" s="15">
        <f t="shared" si="33"/>
        <v>1.193125</v>
      </c>
      <c r="M176" s="15">
        <f t="shared" si="31"/>
        <v>1.193125</v>
      </c>
      <c r="N176" s="5" t="s">
        <v>347</v>
      </c>
      <c r="O176" s="5" t="s">
        <v>347</v>
      </c>
      <c r="P176" s="5">
        <v>0</v>
      </c>
      <c r="Q176" s="5">
        <v>0</v>
      </c>
      <c r="R176" s="5" t="str">
        <f t="shared" si="25"/>
        <v>74-2024-12-31</v>
      </c>
    </row>
    <row r="177" spans="1:18" x14ac:dyDescent="0.3">
      <c r="A177" s="26">
        <v>75</v>
      </c>
      <c r="B177" s="23" t="s">
        <v>604</v>
      </c>
      <c r="C177" s="5" t="s">
        <v>274</v>
      </c>
      <c r="D177" s="5" t="s">
        <v>11</v>
      </c>
      <c r="E177" s="5" t="s">
        <v>9</v>
      </c>
      <c r="F177" s="6">
        <v>45107</v>
      </c>
      <c r="G177" s="5">
        <f t="shared" si="30"/>
        <v>2023</v>
      </c>
      <c r="H177" s="5" t="str">
        <f t="shared" si="24"/>
        <v>Junio</v>
      </c>
      <c r="I177" s="6" t="str">
        <f t="shared" si="32"/>
        <v>2023-1</v>
      </c>
      <c r="J177" s="5">
        <v>58</v>
      </c>
      <c r="K177" s="5">
        <v>62</v>
      </c>
      <c r="L177" s="15">
        <f t="shared" si="33"/>
        <v>1.0689655172413792</v>
      </c>
      <c r="M177" s="15">
        <f t="shared" si="31"/>
        <v>1.0689655172413792</v>
      </c>
      <c r="N177" s="5" t="s">
        <v>347</v>
      </c>
      <c r="O177" s="5" t="s">
        <v>347</v>
      </c>
      <c r="P177" s="5">
        <v>0</v>
      </c>
      <c r="Q177" s="5">
        <v>0</v>
      </c>
      <c r="R177" s="5" t="str">
        <f t="shared" si="25"/>
        <v>75-2023-06-30</v>
      </c>
    </row>
    <row r="178" spans="1:18" x14ac:dyDescent="0.3">
      <c r="A178" s="26">
        <v>75</v>
      </c>
      <c r="B178" s="23" t="s">
        <v>604</v>
      </c>
      <c r="C178" s="5" t="s">
        <v>274</v>
      </c>
      <c r="D178" s="5" t="s">
        <v>11</v>
      </c>
      <c r="E178" s="5" t="s">
        <v>9</v>
      </c>
      <c r="F178" s="6">
        <v>45291</v>
      </c>
      <c r="G178" s="5">
        <f t="shared" si="30"/>
        <v>2023</v>
      </c>
      <c r="H178" s="5" t="str">
        <f t="shared" si="24"/>
        <v>Diciembre</v>
      </c>
      <c r="I178" s="6" t="str">
        <f t="shared" si="32"/>
        <v>2023-2</v>
      </c>
      <c r="J178" s="5">
        <v>100</v>
      </c>
      <c r="K178" s="5">
        <v>92.5</v>
      </c>
      <c r="L178" s="15">
        <f t="shared" si="33"/>
        <v>0.92500000000000004</v>
      </c>
      <c r="M178" s="15">
        <f t="shared" si="31"/>
        <v>0.92500000000000004</v>
      </c>
      <c r="N178" s="5" t="s">
        <v>347</v>
      </c>
      <c r="O178" s="5" t="s">
        <v>347</v>
      </c>
      <c r="P178" s="5">
        <v>0</v>
      </c>
      <c r="Q178" s="5">
        <v>0</v>
      </c>
      <c r="R178" s="5" t="str">
        <f t="shared" si="25"/>
        <v>75-2023-12-31</v>
      </c>
    </row>
    <row r="179" spans="1:18" x14ac:dyDescent="0.3">
      <c r="A179" s="26">
        <v>76</v>
      </c>
      <c r="B179" s="23" t="s">
        <v>605</v>
      </c>
      <c r="C179" s="5" t="s">
        <v>74</v>
      </c>
      <c r="D179" s="5" t="s">
        <v>11</v>
      </c>
      <c r="E179" s="5" t="s">
        <v>9</v>
      </c>
      <c r="F179" s="6">
        <v>45107</v>
      </c>
      <c r="G179" s="5">
        <f t="shared" si="30"/>
        <v>2023</v>
      </c>
      <c r="H179" s="5" t="str">
        <f t="shared" si="24"/>
        <v>Junio</v>
      </c>
      <c r="I179" s="6" t="str">
        <f t="shared" si="32"/>
        <v>2023-1</v>
      </c>
      <c r="J179" s="5">
        <v>94</v>
      </c>
      <c r="K179" s="5">
        <v>91</v>
      </c>
      <c r="L179" s="15">
        <f t="shared" si="33"/>
        <v>0.96808510638297873</v>
      </c>
      <c r="M179" s="15">
        <f t="shared" si="31"/>
        <v>0.96808510638297873</v>
      </c>
      <c r="N179" s="5" t="s">
        <v>347</v>
      </c>
      <c r="O179" s="5" t="s">
        <v>347</v>
      </c>
      <c r="P179" s="5">
        <v>0</v>
      </c>
      <c r="Q179" s="5">
        <v>0</v>
      </c>
      <c r="R179" s="5" t="str">
        <f t="shared" si="25"/>
        <v>76-2023-06-30</v>
      </c>
    </row>
    <row r="180" spans="1:18" x14ac:dyDescent="0.3">
      <c r="A180" s="26">
        <v>76</v>
      </c>
      <c r="B180" s="23" t="s">
        <v>605</v>
      </c>
      <c r="C180" s="26" t="s">
        <v>410</v>
      </c>
      <c r="D180" s="5" t="s">
        <v>11</v>
      </c>
      <c r="E180" s="5" t="s">
        <v>9</v>
      </c>
      <c r="F180" s="6">
        <v>45291</v>
      </c>
      <c r="G180" s="5">
        <f t="shared" si="30"/>
        <v>2023</v>
      </c>
      <c r="H180" s="5" t="str">
        <f t="shared" si="24"/>
        <v>Diciembre</v>
      </c>
      <c r="I180" s="6" t="str">
        <f t="shared" si="32"/>
        <v>2023-2</v>
      </c>
      <c r="J180" s="5">
        <v>100</v>
      </c>
      <c r="K180" s="5">
        <v>99.88</v>
      </c>
      <c r="L180" s="15">
        <f t="shared" si="33"/>
        <v>0.99879999999999991</v>
      </c>
      <c r="M180" s="15">
        <f t="shared" si="31"/>
        <v>0.99879999999999991</v>
      </c>
      <c r="N180" s="5" t="s">
        <v>347</v>
      </c>
      <c r="O180" s="5" t="s">
        <v>347</v>
      </c>
      <c r="P180" s="5">
        <v>0</v>
      </c>
      <c r="Q180" s="5">
        <v>0</v>
      </c>
      <c r="R180" s="5" t="str">
        <f t="shared" si="25"/>
        <v>76-2023-12-31</v>
      </c>
    </row>
    <row r="181" spans="1:18" x14ac:dyDescent="0.3">
      <c r="A181" s="5">
        <v>77</v>
      </c>
      <c r="B181" s="5" t="s">
        <v>16</v>
      </c>
      <c r="C181" s="5" t="s">
        <v>17</v>
      </c>
      <c r="D181" s="5" t="s">
        <v>18</v>
      </c>
      <c r="E181" s="5" t="s">
        <v>9</v>
      </c>
      <c r="F181" s="6">
        <v>44742</v>
      </c>
      <c r="G181" s="16">
        <v>2022</v>
      </c>
      <c r="H181" s="6" t="str">
        <f t="shared" si="24"/>
        <v>Junio</v>
      </c>
      <c r="I181" s="6" t="str">
        <f t="shared" si="32"/>
        <v>2022-1</v>
      </c>
      <c r="J181" s="5">
        <v>97</v>
      </c>
      <c r="K181" s="5">
        <v>97.683333333333323</v>
      </c>
      <c r="L181" s="15">
        <f t="shared" si="33"/>
        <v>1.0070446735395189</v>
      </c>
      <c r="M181" s="15">
        <f t="shared" si="31"/>
        <v>1.0070446735395189</v>
      </c>
      <c r="N181" s="5" t="s">
        <v>347</v>
      </c>
      <c r="O181" s="5" t="s">
        <v>347</v>
      </c>
      <c r="P181" s="5">
        <v>1</v>
      </c>
      <c r="Q181" s="5">
        <v>1</v>
      </c>
      <c r="R181" s="5" t="str">
        <f t="shared" si="25"/>
        <v>77-2022-06-30</v>
      </c>
    </row>
    <row r="182" spans="1:18" x14ac:dyDescent="0.3">
      <c r="A182" s="5">
        <v>77</v>
      </c>
      <c r="B182" s="5" t="s">
        <v>16</v>
      </c>
      <c r="C182" s="5" t="s">
        <v>17</v>
      </c>
      <c r="D182" s="5" t="s">
        <v>18</v>
      </c>
      <c r="E182" s="5" t="s">
        <v>9</v>
      </c>
      <c r="F182" s="6">
        <v>44926</v>
      </c>
      <c r="G182" s="16">
        <v>2022</v>
      </c>
      <c r="H182" s="6" t="str">
        <f t="shared" si="24"/>
        <v>Diciembre</v>
      </c>
      <c r="I182" s="6" t="str">
        <f t="shared" si="32"/>
        <v>2022-2</v>
      </c>
      <c r="J182" s="5">
        <v>97</v>
      </c>
      <c r="K182" s="5">
        <v>98.116666666666674</v>
      </c>
      <c r="L182" s="15">
        <f t="shared" si="33"/>
        <v>1.0115120274914091</v>
      </c>
      <c r="M182" s="15">
        <f t="shared" si="31"/>
        <v>1.0115120274914091</v>
      </c>
      <c r="N182" s="5" t="s">
        <v>347</v>
      </c>
      <c r="O182" s="5" t="s">
        <v>347</v>
      </c>
      <c r="P182" s="5">
        <v>1</v>
      </c>
      <c r="Q182" s="5">
        <v>1</v>
      </c>
      <c r="R182" s="5" t="str">
        <f t="shared" si="25"/>
        <v>77-2022-12-31</v>
      </c>
    </row>
    <row r="183" spans="1:18" x14ac:dyDescent="0.3">
      <c r="A183" s="5">
        <v>77</v>
      </c>
      <c r="B183" s="5" t="s">
        <v>16</v>
      </c>
      <c r="C183" s="5" t="s">
        <v>17</v>
      </c>
      <c r="D183" s="5" t="s">
        <v>18</v>
      </c>
      <c r="E183" s="5" t="s">
        <v>9</v>
      </c>
      <c r="F183" s="6">
        <v>45107</v>
      </c>
      <c r="G183" s="16">
        <f t="shared" ref="G183:G214" si="34">YEAR(F183)</f>
        <v>2023</v>
      </c>
      <c r="H183" s="6" t="str">
        <f t="shared" si="24"/>
        <v>Junio</v>
      </c>
      <c r="I183" s="6" t="str">
        <f t="shared" si="32"/>
        <v>2023-1</v>
      </c>
      <c r="J183" s="5">
        <v>97</v>
      </c>
      <c r="K183" s="10">
        <v>97.683333333333337</v>
      </c>
      <c r="L183" s="15">
        <f t="shared" si="33"/>
        <v>1.0070446735395189</v>
      </c>
      <c r="M183" s="15">
        <f t="shared" si="31"/>
        <v>1.0070446735395189</v>
      </c>
      <c r="N183" s="5" t="s">
        <v>347</v>
      </c>
      <c r="O183" s="5" t="s">
        <v>347</v>
      </c>
      <c r="P183" s="5">
        <v>1</v>
      </c>
      <c r="Q183" s="5">
        <v>1</v>
      </c>
      <c r="R183" s="5" t="str">
        <f t="shared" si="25"/>
        <v>77-2023-06-30</v>
      </c>
    </row>
    <row r="184" spans="1:18" x14ac:dyDescent="0.3">
      <c r="A184" s="5">
        <v>77</v>
      </c>
      <c r="B184" s="5" t="s">
        <v>16</v>
      </c>
      <c r="C184" s="5" t="s">
        <v>17</v>
      </c>
      <c r="D184" s="5" t="s">
        <v>18</v>
      </c>
      <c r="E184" s="5" t="s">
        <v>9</v>
      </c>
      <c r="F184" s="6">
        <v>45291</v>
      </c>
      <c r="G184" s="5">
        <f t="shared" si="34"/>
        <v>2023</v>
      </c>
      <c r="H184" s="5" t="str">
        <f t="shared" si="24"/>
        <v>Diciembre</v>
      </c>
      <c r="I184" s="6" t="str">
        <f t="shared" si="32"/>
        <v>2023-2</v>
      </c>
      <c r="J184" s="5">
        <v>97</v>
      </c>
      <c r="K184" s="10">
        <v>97.583333333333329</v>
      </c>
      <c r="L184" s="15">
        <f t="shared" si="33"/>
        <v>1.0060137457044673</v>
      </c>
      <c r="M184" s="15">
        <f t="shared" si="31"/>
        <v>1.0060137457044673</v>
      </c>
      <c r="N184" s="5" t="s">
        <v>347</v>
      </c>
      <c r="O184" s="5" t="s">
        <v>347</v>
      </c>
      <c r="P184" s="5">
        <v>1</v>
      </c>
      <c r="Q184" s="5">
        <v>1</v>
      </c>
      <c r="R184" s="5" t="str">
        <f t="shared" si="25"/>
        <v>77-2023-12-31</v>
      </c>
    </row>
    <row r="185" spans="1:18" x14ac:dyDescent="0.3">
      <c r="A185" s="39">
        <v>78</v>
      </c>
      <c r="B185" s="5" t="s">
        <v>19</v>
      </c>
      <c r="C185" s="5" t="s">
        <v>20</v>
      </c>
      <c r="D185" s="5" t="s">
        <v>21</v>
      </c>
      <c r="E185" s="5" t="s">
        <v>9</v>
      </c>
      <c r="F185" s="6">
        <v>45107</v>
      </c>
      <c r="G185" s="5">
        <f t="shared" si="34"/>
        <v>2023</v>
      </c>
      <c r="H185" s="5" t="str">
        <f t="shared" si="24"/>
        <v>Junio</v>
      </c>
      <c r="I185" s="6" t="str">
        <f t="shared" si="32"/>
        <v>2023-1</v>
      </c>
      <c r="J185" s="5">
        <v>100</v>
      </c>
      <c r="K185" s="5">
        <v>100</v>
      </c>
      <c r="L185" s="21">
        <f>IFERROR(K185/J185,"")</f>
        <v>1</v>
      </c>
      <c r="M185" s="15">
        <f t="shared" si="31"/>
        <v>1</v>
      </c>
      <c r="N185" s="5" t="s">
        <v>347</v>
      </c>
      <c r="O185" s="5" t="s">
        <v>347</v>
      </c>
      <c r="P185" s="5">
        <v>0</v>
      </c>
      <c r="Q185" s="5">
        <v>0</v>
      </c>
      <c r="R185" s="5" t="str">
        <f t="shared" si="25"/>
        <v>78-2023-06-30</v>
      </c>
    </row>
    <row r="186" spans="1:18" x14ac:dyDescent="0.3">
      <c r="A186" s="39">
        <v>78</v>
      </c>
      <c r="B186" s="5" t="s">
        <v>19</v>
      </c>
      <c r="C186" s="5" t="s">
        <v>20</v>
      </c>
      <c r="D186" s="5" t="s">
        <v>21</v>
      </c>
      <c r="E186" s="5" t="s">
        <v>9</v>
      </c>
      <c r="F186" s="6">
        <v>45291</v>
      </c>
      <c r="G186" s="5">
        <f t="shared" si="34"/>
        <v>2023</v>
      </c>
      <c r="H186" s="5" t="str">
        <f t="shared" si="24"/>
        <v>Diciembre</v>
      </c>
      <c r="I186" s="6" t="str">
        <f t="shared" si="32"/>
        <v>2023-2</v>
      </c>
      <c r="J186" s="5">
        <v>100</v>
      </c>
      <c r="K186" s="5">
        <v>122</v>
      </c>
      <c r="L186" s="21">
        <f>IFERROR(K186/J186,"")</f>
        <v>1.22</v>
      </c>
      <c r="M186" s="15">
        <f t="shared" si="31"/>
        <v>1.22</v>
      </c>
      <c r="N186" s="5" t="s">
        <v>347</v>
      </c>
      <c r="O186" s="5" t="s">
        <v>347</v>
      </c>
      <c r="P186" s="5">
        <v>0</v>
      </c>
      <c r="Q186" s="5">
        <v>0</v>
      </c>
      <c r="R186" s="5" t="str">
        <f t="shared" si="25"/>
        <v>78-2023-12-31</v>
      </c>
    </row>
    <row r="187" spans="1:18" x14ac:dyDescent="0.3">
      <c r="A187" s="5">
        <v>78</v>
      </c>
      <c r="B187" s="5" t="s">
        <v>19</v>
      </c>
      <c r="C187" s="5" t="s">
        <v>20</v>
      </c>
      <c r="D187" s="5" t="s">
        <v>21</v>
      </c>
      <c r="E187" s="5" t="s">
        <v>9</v>
      </c>
      <c r="F187" s="6">
        <v>45473</v>
      </c>
      <c r="G187" s="5">
        <f t="shared" si="34"/>
        <v>2024</v>
      </c>
      <c r="H187" s="5" t="str">
        <f t="shared" si="24"/>
        <v>Junio</v>
      </c>
      <c r="I187" s="6" t="str">
        <f t="shared" si="32"/>
        <v>2024-1</v>
      </c>
      <c r="J187" s="5">
        <v>100</v>
      </c>
      <c r="K187" s="5">
        <v>80</v>
      </c>
      <c r="L187" s="15">
        <f>IFERROR(IF((K187/J187)&gt;1.3,1.3,K187/J187),"")</f>
        <v>0.8</v>
      </c>
      <c r="M187" s="15">
        <f t="shared" si="31"/>
        <v>0.8</v>
      </c>
      <c r="N187" s="5"/>
      <c r="O187" s="5"/>
      <c r="P187" s="5">
        <v>0</v>
      </c>
      <c r="Q187" s="5">
        <v>0</v>
      </c>
      <c r="R187" s="5" t="str">
        <f t="shared" si="25"/>
        <v>78-2024-06-30</v>
      </c>
    </row>
    <row r="188" spans="1:18" x14ac:dyDescent="0.3">
      <c r="A188" s="5">
        <v>78</v>
      </c>
      <c r="B188" s="5" t="s">
        <v>19</v>
      </c>
      <c r="C188" s="5" t="s">
        <v>20</v>
      </c>
      <c r="D188" s="5" t="s">
        <v>21</v>
      </c>
      <c r="E188" s="5" t="s">
        <v>9</v>
      </c>
      <c r="F188" s="6">
        <v>45657</v>
      </c>
      <c r="G188" s="5">
        <f t="shared" si="34"/>
        <v>2024</v>
      </c>
      <c r="H188" s="5" t="str">
        <f t="shared" si="24"/>
        <v>Diciembre</v>
      </c>
      <c r="I188" s="6" t="str">
        <f t="shared" si="32"/>
        <v>2024-2</v>
      </c>
      <c r="J188" s="5">
        <v>100</v>
      </c>
      <c r="K188" s="10">
        <v>112.5</v>
      </c>
      <c r="L188" s="15">
        <f>IFERROR(IF((K188/J188)&gt;1.3,1.3,K188/J188),"")</f>
        <v>1.125</v>
      </c>
      <c r="M188" s="15">
        <f t="shared" si="31"/>
        <v>1.125</v>
      </c>
      <c r="N188" s="5"/>
      <c r="O188" s="5"/>
      <c r="P188" s="5">
        <v>0</v>
      </c>
      <c r="Q188" s="5">
        <v>0</v>
      </c>
      <c r="R188" s="5" t="str">
        <f t="shared" si="25"/>
        <v>78-2024-12-31</v>
      </c>
    </row>
    <row r="189" spans="1:18" x14ac:dyDescent="0.3">
      <c r="A189" s="39">
        <v>79</v>
      </c>
      <c r="B189" s="5" t="s">
        <v>22</v>
      </c>
      <c r="C189" s="5" t="s">
        <v>20</v>
      </c>
      <c r="D189" s="5" t="s">
        <v>21</v>
      </c>
      <c r="E189" s="5" t="s">
        <v>9</v>
      </c>
      <c r="F189" s="6">
        <v>45107</v>
      </c>
      <c r="G189" s="5">
        <f t="shared" si="34"/>
        <v>2023</v>
      </c>
      <c r="H189" s="5" t="str">
        <f t="shared" si="24"/>
        <v>Junio</v>
      </c>
      <c r="I189" s="6" t="str">
        <f t="shared" si="32"/>
        <v>2023-1</v>
      </c>
      <c r="J189" s="5">
        <v>85</v>
      </c>
      <c r="K189" s="5">
        <v>100</v>
      </c>
      <c r="L189" s="21">
        <f>IFERROR(K189/J189,"")</f>
        <v>1.1764705882352942</v>
      </c>
      <c r="M189" s="15">
        <f t="shared" si="31"/>
        <v>1.1764705882352942</v>
      </c>
      <c r="N189" s="5" t="s">
        <v>347</v>
      </c>
      <c r="O189" s="5" t="s">
        <v>347</v>
      </c>
      <c r="P189" s="5">
        <v>0</v>
      </c>
      <c r="Q189" s="5">
        <v>0</v>
      </c>
      <c r="R189" s="5" t="str">
        <f t="shared" si="25"/>
        <v>79-2023-06-30</v>
      </c>
    </row>
    <row r="190" spans="1:18" x14ac:dyDescent="0.3">
      <c r="A190" s="5">
        <v>79</v>
      </c>
      <c r="B190" s="5" t="s">
        <v>22</v>
      </c>
      <c r="C190" s="5" t="s">
        <v>20</v>
      </c>
      <c r="D190" s="5" t="s">
        <v>21</v>
      </c>
      <c r="E190" s="5" t="s">
        <v>9</v>
      </c>
      <c r="F190" s="17">
        <v>45169</v>
      </c>
      <c r="G190" s="16">
        <f t="shared" si="34"/>
        <v>2023</v>
      </c>
      <c r="H190" s="6" t="str">
        <f t="shared" si="24"/>
        <v>Agosto</v>
      </c>
      <c r="I190" s="6" t="s">
        <v>434</v>
      </c>
      <c r="J190" s="5">
        <v>85</v>
      </c>
      <c r="K190" s="5">
        <v>100</v>
      </c>
      <c r="L190" s="21">
        <v>1.1764705882352942</v>
      </c>
      <c r="M190" s="15">
        <f t="shared" si="31"/>
        <v>1.1764705882352942</v>
      </c>
      <c r="N190" s="5" t="s">
        <v>347</v>
      </c>
      <c r="O190" s="5" t="s">
        <v>347</v>
      </c>
      <c r="P190" s="5">
        <v>0</v>
      </c>
      <c r="Q190" s="5">
        <v>0</v>
      </c>
      <c r="R190" s="5" t="str">
        <f t="shared" si="25"/>
        <v>79-2023-08-31</v>
      </c>
    </row>
    <row r="191" spans="1:18" x14ac:dyDescent="0.3">
      <c r="A191" s="39">
        <v>79</v>
      </c>
      <c r="B191" s="5" t="s">
        <v>22</v>
      </c>
      <c r="C191" s="5" t="s">
        <v>20</v>
      </c>
      <c r="D191" s="5" t="s">
        <v>21</v>
      </c>
      <c r="E191" s="5" t="s">
        <v>9</v>
      </c>
      <c r="F191" s="6">
        <v>45230</v>
      </c>
      <c r="G191" s="5">
        <f t="shared" si="34"/>
        <v>2023</v>
      </c>
      <c r="H191" s="5" t="str">
        <f t="shared" si="24"/>
        <v>Octubre</v>
      </c>
      <c r="I191" s="6" t="str">
        <f t="shared" ref="I191:I234" si="35">IF(OR(H191="Enero",H191="Febrero",H191="Marzo",H191="Abril",H191="Mayo",H191="Junio"),G191&amp;"-1",IF(OR(H191="Julio",H191="Agosto",H191="Septiembre",H191="Octubre",H191="Noviembre",H191="Diciembre"),G191&amp;"-2"))</f>
        <v>2023-2</v>
      </c>
      <c r="J191" s="5">
        <v>85</v>
      </c>
      <c r="K191" s="5">
        <v>100</v>
      </c>
      <c r="L191" s="21">
        <f>IFERROR(K191/J191,"")</f>
        <v>1.1764705882352942</v>
      </c>
      <c r="M191" s="15">
        <f t="shared" si="31"/>
        <v>1.1764705882352942</v>
      </c>
      <c r="N191" s="5" t="s">
        <v>347</v>
      </c>
      <c r="O191" s="5" t="s">
        <v>347</v>
      </c>
      <c r="P191" s="5">
        <v>0</v>
      </c>
      <c r="Q191" s="5">
        <v>0</v>
      </c>
      <c r="R191" s="5" t="str">
        <f t="shared" si="25"/>
        <v>79-2023-10-31</v>
      </c>
    </row>
    <row r="192" spans="1:18" x14ac:dyDescent="0.3">
      <c r="A192" s="39">
        <v>79</v>
      </c>
      <c r="B192" s="5" t="s">
        <v>22</v>
      </c>
      <c r="C192" s="5" t="s">
        <v>20</v>
      </c>
      <c r="D192" s="5" t="s">
        <v>21</v>
      </c>
      <c r="E192" s="5" t="s">
        <v>9</v>
      </c>
      <c r="F192" s="6">
        <v>45291</v>
      </c>
      <c r="G192" s="5">
        <f t="shared" si="34"/>
        <v>2023</v>
      </c>
      <c r="H192" s="5" t="str">
        <f t="shared" si="24"/>
        <v>Diciembre</v>
      </c>
      <c r="I192" s="6" t="str">
        <f t="shared" si="35"/>
        <v>2023-2</v>
      </c>
      <c r="J192" s="5">
        <v>85</v>
      </c>
      <c r="K192" s="5">
        <v>95.45</v>
      </c>
      <c r="L192" s="21">
        <f>IFERROR(K192/J192,"")</f>
        <v>1.1229411764705883</v>
      </c>
      <c r="M192" s="15">
        <f t="shared" si="31"/>
        <v>1.1229411764705883</v>
      </c>
      <c r="N192" s="5" t="s">
        <v>347</v>
      </c>
      <c r="O192" s="5" t="s">
        <v>347</v>
      </c>
      <c r="P192" s="5">
        <v>0</v>
      </c>
      <c r="Q192" s="5">
        <v>0</v>
      </c>
      <c r="R192" s="5" t="str">
        <f t="shared" si="25"/>
        <v>79-2023-12-31</v>
      </c>
    </row>
    <row r="193" spans="1:18" x14ac:dyDescent="0.3">
      <c r="A193" s="26">
        <v>80</v>
      </c>
      <c r="B193" s="23" t="s">
        <v>606</v>
      </c>
      <c r="C193" s="5" t="s">
        <v>20</v>
      </c>
      <c r="D193" s="5" t="s">
        <v>11</v>
      </c>
      <c r="E193" s="5" t="s">
        <v>9</v>
      </c>
      <c r="F193" s="6">
        <v>45107</v>
      </c>
      <c r="G193" s="5">
        <f t="shared" si="34"/>
        <v>2023</v>
      </c>
      <c r="H193" s="5" t="str">
        <f t="shared" si="24"/>
        <v>Junio</v>
      </c>
      <c r="I193" s="6" t="str">
        <f t="shared" si="35"/>
        <v>2023-1</v>
      </c>
      <c r="J193" s="5">
        <v>57.83</v>
      </c>
      <c r="K193" s="5">
        <v>47.72</v>
      </c>
      <c r="L193" s="15">
        <f>IFERROR(IF((K193/J193)&gt;1.3,1.3,K193/J193),"")</f>
        <v>0.82517724364516687</v>
      </c>
      <c r="M193" s="15">
        <f t="shared" si="31"/>
        <v>0.82517724364516687</v>
      </c>
      <c r="N193" s="5" t="s">
        <v>347</v>
      </c>
      <c r="O193" s="5" t="s">
        <v>347</v>
      </c>
      <c r="P193" s="5">
        <v>0</v>
      </c>
      <c r="Q193" s="5">
        <v>0</v>
      </c>
      <c r="R193" s="5" t="str">
        <f t="shared" si="25"/>
        <v>80-2023-06-30</v>
      </c>
    </row>
    <row r="194" spans="1:18" x14ac:dyDescent="0.3">
      <c r="A194" s="26">
        <v>80</v>
      </c>
      <c r="B194" s="23" t="s">
        <v>606</v>
      </c>
      <c r="C194" s="5" t="s">
        <v>20</v>
      </c>
      <c r="D194" s="5" t="s">
        <v>11</v>
      </c>
      <c r="E194" s="5" t="s">
        <v>9</v>
      </c>
      <c r="F194" s="6">
        <v>45291</v>
      </c>
      <c r="G194" s="5">
        <f t="shared" si="34"/>
        <v>2023</v>
      </c>
      <c r="H194" s="5" t="str">
        <f t="shared" ref="H194:H257" si="36">PROPER(TEXT(F194,"mmmm"))</f>
        <v>Diciembre</v>
      </c>
      <c r="I194" s="6" t="str">
        <f t="shared" si="35"/>
        <v>2023-2</v>
      </c>
      <c r="J194" s="5">
        <v>100</v>
      </c>
      <c r="K194" s="5">
        <v>100</v>
      </c>
      <c r="L194" s="15">
        <f>IFERROR(IF((K194/J194)&gt;1.3,1.3,K194/J194),"")</f>
        <v>1</v>
      </c>
      <c r="M194" s="15">
        <f t="shared" si="31"/>
        <v>1</v>
      </c>
      <c r="N194" s="5" t="s">
        <v>347</v>
      </c>
      <c r="O194" s="5" t="s">
        <v>347</v>
      </c>
      <c r="P194" s="5">
        <v>0</v>
      </c>
      <c r="Q194" s="5">
        <v>0</v>
      </c>
      <c r="R194" s="5" t="str">
        <f t="shared" ref="R194:R257" si="37">A194&amp;"-"&amp;YEAR(F194)&amp;"-"&amp;IF(LEN(MONTH(F194))=1,"0"&amp;MONTH(F194),MONTH(F194))&amp;"-"&amp;DAY(F194)</f>
        <v>80-2023-12-31</v>
      </c>
    </row>
    <row r="195" spans="1:18" x14ac:dyDescent="0.3">
      <c r="A195" s="26">
        <v>81</v>
      </c>
      <c r="B195" s="23" t="s">
        <v>607</v>
      </c>
      <c r="C195" s="5" t="s">
        <v>131</v>
      </c>
      <c r="D195" s="5" t="s">
        <v>11</v>
      </c>
      <c r="E195" s="5" t="s">
        <v>9</v>
      </c>
      <c r="F195" s="6">
        <v>45107</v>
      </c>
      <c r="G195" s="5">
        <f t="shared" si="34"/>
        <v>2023</v>
      </c>
      <c r="H195" s="5" t="str">
        <f t="shared" si="36"/>
        <v>Junio</v>
      </c>
      <c r="I195" s="6" t="str">
        <f t="shared" si="35"/>
        <v>2023-1</v>
      </c>
      <c r="J195" s="5">
        <v>39.369999999999997</v>
      </c>
      <c r="K195" s="5">
        <v>41.15</v>
      </c>
      <c r="L195" s="15">
        <f>IFERROR(IF((K195/J195)&gt;1.3,1.3,K195/J195),"")</f>
        <v>1.0452120904241808</v>
      </c>
      <c r="M195" s="15">
        <f t="shared" si="31"/>
        <v>1.0452120904241808</v>
      </c>
      <c r="N195" s="5" t="s">
        <v>347</v>
      </c>
      <c r="O195" s="5" t="s">
        <v>347</v>
      </c>
      <c r="P195" s="5">
        <v>0</v>
      </c>
      <c r="Q195" s="5">
        <v>0</v>
      </c>
      <c r="R195" s="5" t="str">
        <f t="shared" si="37"/>
        <v>81-2023-06-30</v>
      </c>
    </row>
    <row r="196" spans="1:18" x14ac:dyDescent="0.3">
      <c r="A196" s="26">
        <v>81</v>
      </c>
      <c r="B196" s="23" t="s">
        <v>607</v>
      </c>
      <c r="C196" s="5" t="s">
        <v>131</v>
      </c>
      <c r="D196" s="5" t="s">
        <v>11</v>
      </c>
      <c r="E196" s="5" t="s">
        <v>9</v>
      </c>
      <c r="F196" s="6">
        <v>45291</v>
      </c>
      <c r="G196" s="5">
        <f t="shared" si="34"/>
        <v>2023</v>
      </c>
      <c r="H196" s="5" t="str">
        <f t="shared" si="36"/>
        <v>Diciembre</v>
      </c>
      <c r="I196" s="6" t="str">
        <f t="shared" si="35"/>
        <v>2023-2</v>
      </c>
      <c r="J196" s="5">
        <v>100</v>
      </c>
      <c r="K196" s="5">
        <v>100</v>
      </c>
      <c r="L196" s="15">
        <f>IFERROR(IF((K196/J196)&gt;1.3,1.3,K196/J196),"")</f>
        <v>1</v>
      </c>
      <c r="M196" s="15">
        <f t="shared" si="31"/>
        <v>1</v>
      </c>
      <c r="N196" s="5" t="s">
        <v>347</v>
      </c>
      <c r="O196" s="5" t="s">
        <v>347</v>
      </c>
      <c r="P196" s="5">
        <v>0</v>
      </c>
      <c r="Q196" s="5">
        <v>0</v>
      </c>
      <c r="R196" s="5" t="str">
        <f t="shared" si="37"/>
        <v>81-2023-12-31</v>
      </c>
    </row>
    <row r="197" spans="1:18" x14ac:dyDescent="0.3">
      <c r="A197" s="39">
        <v>84</v>
      </c>
      <c r="B197" s="5" t="s">
        <v>23</v>
      </c>
      <c r="C197" s="5" t="s">
        <v>24</v>
      </c>
      <c r="D197" s="5" t="s">
        <v>25</v>
      </c>
      <c r="E197" s="5" t="s">
        <v>9</v>
      </c>
      <c r="F197" s="6">
        <v>45291</v>
      </c>
      <c r="G197" s="5">
        <f t="shared" si="34"/>
        <v>2023</v>
      </c>
      <c r="H197" s="5" t="str">
        <f t="shared" si="36"/>
        <v>Diciembre</v>
      </c>
      <c r="I197" s="6" t="str">
        <f t="shared" si="35"/>
        <v>2023-2</v>
      </c>
      <c r="J197" s="5">
        <v>100</v>
      </c>
      <c r="K197" s="5">
        <v>100</v>
      </c>
      <c r="L197" s="21">
        <f>IFERROR(K197/J197,"")</f>
        <v>1</v>
      </c>
      <c r="M197" s="15">
        <f t="shared" si="31"/>
        <v>1</v>
      </c>
      <c r="N197" s="5" t="s">
        <v>347</v>
      </c>
      <c r="O197" s="5" t="s">
        <v>347</v>
      </c>
      <c r="P197" s="5">
        <v>0</v>
      </c>
      <c r="Q197" s="5">
        <v>0</v>
      </c>
      <c r="R197" s="5" t="str">
        <f t="shared" si="37"/>
        <v>84-2023-12-31</v>
      </c>
    </row>
    <row r="198" spans="1:18" x14ac:dyDescent="0.3">
      <c r="A198" s="5">
        <v>84</v>
      </c>
      <c r="B198" s="5" t="s">
        <v>23</v>
      </c>
      <c r="C198" s="5" t="s">
        <v>24</v>
      </c>
      <c r="D198" s="5" t="s">
        <v>25</v>
      </c>
      <c r="E198" s="5" t="s">
        <v>9</v>
      </c>
      <c r="F198" s="6">
        <v>45657</v>
      </c>
      <c r="G198" s="5">
        <f t="shared" si="34"/>
        <v>2024</v>
      </c>
      <c r="H198" s="5" t="str">
        <f t="shared" si="36"/>
        <v>Diciembre</v>
      </c>
      <c r="I198" s="6" t="str">
        <f t="shared" si="35"/>
        <v>2024-2</v>
      </c>
      <c r="J198" s="5">
        <v>100</v>
      </c>
      <c r="K198" s="5">
        <v>100</v>
      </c>
      <c r="L198" s="15">
        <f>IFERROR(IF((K198/J198)&gt;1.3,1.3,K198/J198),"")</f>
        <v>1</v>
      </c>
      <c r="M198" s="15">
        <f t="shared" si="31"/>
        <v>1</v>
      </c>
      <c r="N198" s="5" t="s">
        <v>347</v>
      </c>
      <c r="O198" s="5" t="s">
        <v>347</v>
      </c>
      <c r="P198" s="5">
        <v>0</v>
      </c>
      <c r="Q198" s="5">
        <v>0</v>
      </c>
      <c r="R198" s="5" t="str">
        <f t="shared" si="37"/>
        <v>84-2024-12-31</v>
      </c>
    </row>
    <row r="199" spans="1:18" x14ac:dyDescent="0.3">
      <c r="A199" s="39">
        <v>85</v>
      </c>
      <c r="B199" s="5" t="s">
        <v>26</v>
      </c>
      <c r="C199" s="5" t="s">
        <v>24</v>
      </c>
      <c r="D199" s="5" t="s">
        <v>25</v>
      </c>
      <c r="E199" s="5" t="s">
        <v>9</v>
      </c>
      <c r="F199" s="6">
        <v>45291</v>
      </c>
      <c r="G199" s="5">
        <f t="shared" si="34"/>
        <v>2023</v>
      </c>
      <c r="H199" s="5" t="str">
        <f t="shared" si="36"/>
        <v>Diciembre</v>
      </c>
      <c r="I199" s="6" t="str">
        <f t="shared" si="35"/>
        <v>2023-2</v>
      </c>
      <c r="J199" s="5">
        <v>100</v>
      </c>
      <c r="K199" s="5">
        <v>100</v>
      </c>
      <c r="L199" s="21">
        <f>IFERROR(K199/J199,"")</f>
        <v>1</v>
      </c>
      <c r="M199" s="15">
        <f t="shared" si="31"/>
        <v>1</v>
      </c>
      <c r="N199" s="5" t="s">
        <v>347</v>
      </c>
      <c r="O199" s="5" t="s">
        <v>347</v>
      </c>
      <c r="P199" s="5">
        <v>0</v>
      </c>
      <c r="Q199" s="5">
        <v>0</v>
      </c>
      <c r="R199" s="5" t="str">
        <f t="shared" si="37"/>
        <v>85-2023-12-31</v>
      </c>
    </row>
    <row r="200" spans="1:18" x14ac:dyDescent="0.3">
      <c r="A200" s="5">
        <v>85</v>
      </c>
      <c r="B200" s="5" t="s">
        <v>26</v>
      </c>
      <c r="C200" s="5" t="s">
        <v>24</v>
      </c>
      <c r="D200" s="5" t="s">
        <v>25</v>
      </c>
      <c r="E200" s="5" t="s">
        <v>9</v>
      </c>
      <c r="F200" s="6">
        <v>45657</v>
      </c>
      <c r="G200" s="5">
        <f t="shared" si="34"/>
        <v>2024</v>
      </c>
      <c r="H200" s="5" t="str">
        <f t="shared" si="36"/>
        <v>Diciembre</v>
      </c>
      <c r="I200" s="6" t="str">
        <f t="shared" si="35"/>
        <v>2024-2</v>
      </c>
      <c r="J200" s="5">
        <v>100</v>
      </c>
      <c r="K200" s="5">
        <v>100</v>
      </c>
      <c r="L200" s="15">
        <f>IFERROR(IF((K200/J200)&gt;1.3,1.3,K200/J200),"")</f>
        <v>1</v>
      </c>
      <c r="M200" s="15">
        <f t="shared" si="31"/>
        <v>1</v>
      </c>
      <c r="N200" s="5" t="s">
        <v>347</v>
      </c>
      <c r="O200" s="5" t="s">
        <v>347</v>
      </c>
      <c r="P200" s="5">
        <v>0</v>
      </c>
      <c r="Q200" s="5">
        <v>0</v>
      </c>
      <c r="R200" s="5" t="str">
        <f t="shared" si="37"/>
        <v>85-2024-12-31</v>
      </c>
    </row>
    <row r="201" spans="1:18" x14ac:dyDescent="0.3">
      <c r="A201" s="43">
        <v>86</v>
      </c>
      <c r="B201" s="5" t="s">
        <v>27</v>
      </c>
      <c r="C201" s="5" t="s">
        <v>24</v>
      </c>
      <c r="D201" s="5" t="s">
        <v>8</v>
      </c>
      <c r="E201" s="5" t="s">
        <v>9</v>
      </c>
      <c r="F201" s="6">
        <v>45107</v>
      </c>
      <c r="G201" s="5">
        <f t="shared" si="34"/>
        <v>2023</v>
      </c>
      <c r="H201" s="5" t="str">
        <f t="shared" si="36"/>
        <v>Junio</v>
      </c>
      <c r="I201" s="6" t="str">
        <f t="shared" si="35"/>
        <v>2023-1</v>
      </c>
      <c r="J201" s="5">
        <v>100</v>
      </c>
      <c r="K201" s="5">
        <v>100</v>
      </c>
      <c r="L201" s="21">
        <f>IFERROR(K201/J201,"")</f>
        <v>1</v>
      </c>
      <c r="M201" s="15">
        <f t="shared" si="31"/>
        <v>1</v>
      </c>
      <c r="N201" s="5" t="s">
        <v>347</v>
      </c>
      <c r="O201" s="5" t="s">
        <v>347</v>
      </c>
      <c r="P201" s="5">
        <v>0</v>
      </c>
      <c r="Q201" s="5">
        <v>0</v>
      </c>
      <c r="R201" s="5" t="str">
        <f t="shared" si="37"/>
        <v>86-2023-06-30</v>
      </c>
    </row>
    <row r="202" spans="1:18" x14ac:dyDescent="0.3">
      <c r="A202" s="39">
        <v>86</v>
      </c>
      <c r="B202" s="5" t="s">
        <v>27</v>
      </c>
      <c r="C202" s="5" t="s">
        <v>24</v>
      </c>
      <c r="D202" s="5" t="s">
        <v>8</v>
      </c>
      <c r="E202" s="5" t="s">
        <v>9</v>
      </c>
      <c r="F202" s="6">
        <v>45291</v>
      </c>
      <c r="G202" s="5">
        <f t="shared" si="34"/>
        <v>2023</v>
      </c>
      <c r="H202" s="5" t="str">
        <f t="shared" si="36"/>
        <v>Diciembre</v>
      </c>
      <c r="I202" s="6" t="str">
        <f t="shared" si="35"/>
        <v>2023-2</v>
      </c>
      <c r="J202" s="5">
        <v>100</v>
      </c>
      <c r="K202" s="5">
        <v>100</v>
      </c>
      <c r="L202" s="21">
        <f>IFERROR(K202/J202,"")</f>
        <v>1</v>
      </c>
      <c r="M202" s="15">
        <f t="shared" si="31"/>
        <v>1</v>
      </c>
      <c r="N202" s="5" t="s">
        <v>347</v>
      </c>
      <c r="O202" s="5" t="s">
        <v>347</v>
      </c>
      <c r="P202" s="5">
        <v>0</v>
      </c>
      <c r="Q202" s="5">
        <v>0</v>
      </c>
      <c r="R202" s="5" t="str">
        <f t="shared" si="37"/>
        <v>86-2023-12-31</v>
      </c>
    </row>
    <row r="203" spans="1:18" x14ac:dyDescent="0.3">
      <c r="A203" s="5">
        <v>86</v>
      </c>
      <c r="B203" s="5" t="s">
        <v>27</v>
      </c>
      <c r="C203" s="5" t="s">
        <v>24</v>
      </c>
      <c r="D203" s="5" t="s">
        <v>8</v>
      </c>
      <c r="E203" s="5" t="s">
        <v>9</v>
      </c>
      <c r="F203" s="6">
        <v>45473</v>
      </c>
      <c r="G203" s="5">
        <f t="shared" si="34"/>
        <v>2024</v>
      </c>
      <c r="H203" s="5" t="str">
        <f t="shared" si="36"/>
        <v>Junio</v>
      </c>
      <c r="I203" s="6" t="str">
        <f t="shared" si="35"/>
        <v>2024-1</v>
      </c>
      <c r="J203" s="5">
        <v>100</v>
      </c>
      <c r="K203" s="5">
        <v>100</v>
      </c>
      <c r="L203" s="15">
        <f>IFERROR(IF((K203/J203)&gt;1.3,1.3,K203/J203),"")</f>
        <v>1</v>
      </c>
      <c r="M203" s="15">
        <f t="shared" si="31"/>
        <v>1</v>
      </c>
      <c r="N203" s="5" t="s">
        <v>347</v>
      </c>
      <c r="O203" s="5" t="s">
        <v>347</v>
      </c>
      <c r="P203" s="5">
        <v>0</v>
      </c>
      <c r="Q203" s="5">
        <v>0</v>
      </c>
      <c r="R203" s="5" t="str">
        <f t="shared" si="37"/>
        <v>86-2024-06-30</v>
      </c>
    </row>
    <row r="204" spans="1:18" x14ac:dyDescent="0.3">
      <c r="A204" s="5">
        <v>86</v>
      </c>
      <c r="B204" s="5" t="s">
        <v>27</v>
      </c>
      <c r="C204" s="5" t="s">
        <v>24</v>
      </c>
      <c r="D204" s="5" t="s">
        <v>8</v>
      </c>
      <c r="E204" s="5" t="s">
        <v>9</v>
      </c>
      <c r="F204" s="6">
        <v>45657</v>
      </c>
      <c r="G204" s="5">
        <f t="shared" si="34"/>
        <v>2024</v>
      </c>
      <c r="H204" s="5" t="str">
        <f t="shared" si="36"/>
        <v>Diciembre</v>
      </c>
      <c r="I204" s="6" t="str">
        <f t="shared" si="35"/>
        <v>2024-2</v>
      </c>
      <c r="J204" s="5">
        <v>100</v>
      </c>
      <c r="K204" s="5">
        <v>100</v>
      </c>
      <c r="L204" s="15">
        <f>IFERROR(IF((K204/J204)&gt;1.3,1.3,K204/J204),"")</f>
        <v>1</v>
      </c>
      <c r="M204" s="15">
        <f t="shared" si="31"/>
        <v>1</v>
      </c>
      <c r="N204" s="5" t="s">
        <v>347</v>
      </c>
      <c r="O204" s="5" t="s">
        <v>347</v>
      </c>
      <c r="P204" s="5">
        <v>0</v>
      </c>
      <c r="Q204" s="5">
        <v>0</v>
      </c>
      <c r="R204" s="5" t="str">
        <f t="shared" si="37"/>
        <v>86-2024-12-31</v>
      </c>
    </row>
    <row r="205" spans="1:18" x14ac:dyDescent="0.3">
      <c r="A205" s="39">
        <v>87</v>
      </c>
      <c r="B205" s="5" t="s">
        <v>28</v>
      </c>
      <c r="C205" s="5" t="s">
        <v>24</v>
      </c>
      <c r="D205" s="5" t="s">
        <v>25</v>
      </c>
      <c r="E205" s="5" t="s">
        <v>9</v>
      </c>
      <c r="F205" s="6">
        <v>45291</v>
      </c>
      <c r="G205" s="5">
        <f t="shared" si="34"/>
        <v>2023</v>
      </c>
      <c r="H205" s="5" t="str">
        <f t="shared" si="36"/>
        <v>Diciembre</v>
      </c>
      <c r="I205" s="6" t="str">
        <f t="shared" si="35"/>
        <v>2023-2</v>
      </c>
      <c r="J205" s="5">
        <v>90</v>
      </c>
      <c r="K205" s="5">
        <v>100</v>
      </c>
      <c r="L205" s="21">
        <f>IFERROR(K205/J205,"")</f>
        <v>1.1111111111111112</v>
      </c>
      <c r="M205" s="15">
        <f t="shared" ref="M205:M236" si="38">IFERROR(K205/J205,"")</f>
        <v>1.1111111111111112</v>
      </c>
      <c r="N205" s="5" t="s">
        <v>347</v>
      </c>
      <c r="O205" s="5" t="s">
        <v>347</v>
      </c>
      <c r="P205" s="5">
        <v>0</v>
      </c>
      <c r="Q205" s="5">
        <v>0</v>
      </c>
      <c r="R205" s="5" t="str">
        <f t="shared" si="37"/>
        <v>87-2023-12-31</v>
      </c>
    </row>
    <row r="206" spans="1:18" x14ac:dyDescent="0.3">
      <c r="A206" s="5">
        <v>87</v>
      </c>
      <c r="B206" s="5" t="s">
        <v>28</v>
      </c>
      <c r="C206" s="5" t="s">
        <v>24</v>
      </c>
      <c r="D206" s="5" t="s">
        <v>25</v>
      </c>
      <c r="E206" s="5" t="s">
        <v>9</v>
      </c>
      <c r="F206" s="6">
        <v>45657</v>
      </c>
      <c r="G206" s="5">
        <f t="shared" si="34"/>
        <v>2024</v>
      </c>
      <c r="H206" s="5" t="str">
        <f t="shared" si="36"/>
        <v>Diciembre</v>
      </c>
      <c r="I206" s="6" t="str">
        <f t="shared" si="35"/>
        <v>2024-2</v>
      </c>
      <c r="J206" s="5"/>
      <c r="K206" s="5"/>
      <c r="L206" s="15" t="str">
        <f>IFERROR(IF((K206/J206)&gt;1.3,1.3,K206/J206),"")</f>
        <v/>
      </c>
      <c r="M206" s="15" t="str">
        <f t="shared" si="38"/>
        <v/>
      </c>
      <c r="N206" s="5"/>
      <c r="O206" s="5"/>
      <c r="P206" s="5">
        <v>0</v>
      </c>
      <c r="Q206" s="5">
        <v>0</v>
      </c>
      <c r="R206" s="5" t="str">
        <f t="shared" si="37"/>
        <v>87-2024-12-31</v>
      </c>
    </row>
    <row r="207" spans="1:18" x14ac:dyDescent="0.3">
      <c r="A207" s="39">
        <v>88</v>
      </c>
      <c r="B207" s="5" t="s">
        <v>29</v>
      </c>
      <c r="C207" s="5" t="s">
        <v>24</v>
      </c>
      <c r="D207" s="5" t="s">
        <v>25</v>
      </c>
      <c r="E207" s="5" t="s">
        <v>9</v>
      </c>
      <c r="F207" s="6">
        <v>45291</v>
      </c>
      <c r="G207" s="5">
        <f t="shared" si="34"/>
        <v>2023</v>
      </c>
      <c r="H207" s="5" t="str">
        <f t="shared" si="36"/>
        <v>Diciembre</v>
      </c>
      <c r="I207" s="6" t="str">
        <f t="shared" si="35"/>
        <v>2023-2</v>
      </c>
      <c r="J207" s="5">
        <v>100</v>
      </c>
      <c r="K207" s="5">
        <v>100</v>
      </c>
      <c r="L207" s="21">
        <f>IFERROR(K207/J207,"")</f>
        <v>1</v>
      </c>
      <c r="M207" s="15">
        <f t="shared" si="38"/>
        <v>1</v>
      </c>
      <c r="N207" s="5" t="s">
        <v>347</v>
      </c>
      <c r="O207" s="5" t="s">
        <v>347</v>
      </c>
      <c r="P207" s="5">
        <v>0</v>
      </c>
      <c r="Q207" s="5">
        <v>0</v>
      </c>
      <c r="R207" s="5" t="str">
        <f t="shared" si="37"/>
        <v>88-2023-12-31</v>
      </c>
    </row>
    <row r="208" spans="1:18" x14ac:dyDescent="0.3">
      <c r="A208" s="5">
        <v>88</v>
      </c>
      <c r="B208" s="5" t="s">
        <v>29</v>
      </c>
      <c r="C208" s="5" t="s">
        <v>24</v>
      </c>
      <c r="D208" s="5" t="s">
        <v>25</v>
      </c>
      <c r="E208" s="5" t="s">
        <v>9</v>
      </c>
      <c r="F208" s="6">
        <v>45657</v>
      </c>
      <c r="G208" s="5">
        <f t="shared" si="34"/>
        <v>2024</v>
      </c>
      <c r="H208" s="5" t="str">
        <f t="shared" si="36"/>
        <v>Diciembre</v>
      </c>
      <c r="I208" s="6" t="str">
        <f t="shared" si="35"/>
        <v>2024-2</v>
      </c>
      <c r="J208" s="5">
        <v>100</v>
      </c>
      <c r="K208" s="5">
        <v>100</v>
      </c>
      <c r="L208" s="21">
        <f>IFERROR(K208/J208,"")</f>
        <v>1</v>
      </c>
      <c r="M208" s="15">
        <f t="shared" si="38"/>
        <v>1</v>
      </c>
      <c r="N208" s="5" t="s">
        <v>347</v>
      </c>
      <c r="O208" s="5" t="s">
        <v>347</v>
      </c>
      <c r="P208" s="5">
        <v>0</v>
      </c>
      <c r="Q208" s="5">
        <v>0</v>
      </c>
      <c r="R208" s="5" t="str">
        <f t="shared" si="37"/>
        <v>88-2024-12-31</v>
      </c>
    </row>
    <row r="209" spans="1:18" x14ac:dyDescent="0.3">
      <c r="A209" s="39">
        <v>89</v>
      </c>
      <c r="B209" s="5" t="s">
        <v>30</v>
      </c>
      <c r="C209" s="5" t="s">
        <v>24</v>
      </c>
      <c r="D209" s="5" t="s">
        <v>25</v>
      </c>
      <c r="E209" s="5" t="s">
        <v>9</v>
      </c>
      <c r="F209" s="6">
        <v>45291</v>
      </c>
      <c r="G209" s="5">
        <f t="shared" si="34"/>
        <v>2023</v>
      </c>
      <c r="H209" s="5" t="str">
        <f t="shared" si="36"/>
        <v>Diciembre</v>
      </c>
      <c r="I209" s="6" t="str">
        <f t="shared" si="35"/>
        <v>2023-2</v>
      </c>
      <c r="J209" s="5">
        <v>100</v>
      </c>
      <c r="K209" s="5">
        <v>100</v>
      </c>
      <c r="L209" s="21">
        <f>IFERROR(K209/J209,"")</f>
        <v>1</v>
      </c>
      <c r="M209" s="15">
        <f t="shared" si="38"/>
        <v>1</v>
      </c>
      <c r="N209" s="5" t="s">
        <v>347</v>
      </c>
      <c r="O209" s="5" t="s">
        <v>347</v>
      </c>
      <c r="P209" s="5">
        <v>0</v>
      </c>
      <c r="Q209" s="5">
        <v>0</v>
      </c>
      <c r="R209" s="5" t="str">
        <f t="shared" si="37"/>
        <v>89-2023-12-31</v>
      </c>
    </row>
    <row r="210" spans="1:18" x14ac:dyDescent="0.3">
      <c r="A210" s="5">
        <v>89</v>
      </c>
      <c r="B210" s="5" t="s">
        <v>30</v>
      </c>
      <c r="C210" s="5" t="s">
        <v>24</v>
      </c>
      <c r="D210" s="5" t="s">
        <v>25</v>
      </c>
      <c r="E210" s="5" t="s">
        <v>9</v>
      </c>
      <c r="F210" s="6">
        <v>45657</v>
      </c>
      <c r="G210" s="5">
        <f t="shared" si="34"/>
        <v>2024</v>
      </c>
      <c r="H210" s="5" t="str">
        <f t="shared" si="36"/>
        <v>Diciembre</v>
      </c>
      <c r="I210" s="6" t="str">
        <f t="shared" si="35"/>
        <v>2024-2</v>
      </c>
      <c r="J210" s="5">
        <v>100</v>
      </c>
      <c r="K210" s="5">
        <v>100</v>
      </c>
      <c r="L210" s="15">
        <f>IFERROR(IF((K210/J210)&gt;1.3,1.3,K210/J210),"")</f>
        <v>1</v>
      </c>
      <c r="M210" s="15">
        <f t="shared" si="38"/>
        <v>1</v>
      </c>
      <c r="N210" s="5" t="s">
        <v>347</v>
      </c>
      <c r="O210" s="5" t="s">
        <v>347</v>
      </c>
      <c r="P210" s="5">
        <v>0</v>
      </c>
      <c r="Q210" s="5">
        <v>0</v>
      </c>
      <c r="R210" s="5" t="str">
        <f t="shared" si="37"/>
        <v>89-2024-12-31</v>
      </c>
    </row>
    <row r="211" spans="1:18" x14ac:dyDescent="0.3">
      <c r="A211" s="39">
        <v>90</v>
      </c>
      <c r="B211" s="5" t="s">
        <v>31</v>
      </c>
      <c r="C211" s="5" t="s">
        <v>24</v>
      </c>
      <c r="D211" s="5" t="s">
        <v>25</v>
      </c>
      <c r="E211" s="5" t="s">
        <v>9</v>
      </c>
      <c r="F211" s="6">
        <v>45291</v>
      </c>
      <c r="G211" s="5">
        <f t="shared" si="34"/>
        <v>2023</v>
      </c>
      <c r="H211" s="5" t="str">
        <f t="shared" si="36"/>
        <v>Diciembre</v>
      </c>
      <c r="I211" s="6" t="str">
        <f t="shared" si="35"/>
        <v>2023-2</v>
      </c>
      <c r="J211" s="5">
        <v>100</v>
      </c>
      <c r="K211" s="5">
        <v>100</v>
      </c>
      <c r="L211" s="21">
        <f>IFERROR(K211/J211,"")</f>
        <v>1</v>
      </c>
      <c r="M211" s="15">
        <f t="shared" si="38"/>
        <v>1</v>
      </c>
      <c r="N211" s="5" t="s">
        <v>347</v>
      </c>
      <c r="O211" s="5" t="s">
        <v>347</v>
      </c>
      <c r="P211" s="5">
        <v>0</v>
      </c>
      <c r="Q211" s="5">
        <v>0</v>
      </c>
      <c r="R211" s="5" t="str">
        <f t="shared" si="37"/>
        <v>90-2023-12-31</v>
      </c>
    </row>
    <row r="212" spans="1:18" x14ac:dyDescent="0.3">
      <c r="A212" s="5">
        <v>90</v>
      </c>
      <c r="B212" s="5" t="s">
        <v>31</v>
      </c>
      <c r="C212" s="5" t="s">
        <v>24</v>
      </c>
      <c r="D212" s="5" t="s">
        <v>25</v>
      </c>
      <c r="E212" s="5" t="s">
        <v>9</v>
      </c>
      <c r="F212" s="6">
        <v>45657</v>
      </c>
      <c r="G212" s="5">
        <f t="shared" si="34"/>
        <v>2024</v>
      </c>
      <c r="H212" s="5" t="str">
        <f t="shared" si="36"/>
        <v>Diciembre</v>
      </c>
      <c r="I212" s="6" t="str">
        <f t="shared" si="35"/>
        <v>2024-2</v>
      </c>
      <c r="J212" s="5">
        <v>100</v>
      </c>
      <c r="K212" s="5">
        <v>100</v>
      </c>
      <c r="L212" s="15">
        <f>IFERROR(IF((K212/J212)&gt;1.3,1.3,K212/J212),"")</f>
        <v>1</v>
      </c>
      <c r="M212" s="15">
        <f t="shared" si="38"/>
        <v>1</v>
      </c>
      <c r="N212" s="5" t="s">
        <v>347</v>
      </c>
      <c r="O212" s="5" t="s">
        <v>347</v>
      </c>
      <c r="P212" s="5">
        <v>0</v>
      </c>
      <c r="Q212" s="5">
        <v>0</v>
      </c>
      <c r="R212" s="5" t="str">
        <f t="shared" si="37"/>
        <v>90-2024-12-31</v>
      </c>
    </row>
    <row r="213" spans="1:18" x14ac:dyDescent="0.3">
      <c r="A213" s="39">
        <v>91</v>
      </c>
      <c r="B213" s="5" t="s">
        <v>32</v>
      </c>
      <c r="C213" s="5" t="s">
        <v>24</v>
      </c>
      <c r="D213" s="5" t="s">
        <v>25</v>
      </c>
      <c r="E213" s="5" t="s">
        <v>9</v>
      </c>
      <c r="F213" s="6">
        <v>45291</v>
      </c>
      <c r="G213" s="5">
        <f t="shared" si="34"/>
        <v>2023</v>
      </c>
      <c r="H213" s="5" t="str">
        <f t="shared" si="36"/>
        <v>Diciembre</v>
      </c>
      <c r="I213" s="6" t="str">
        <f t="shared" si="35"/>
        <v>2023-2</v>
      </c>
      <c r="J213" s="5">
        <v>100</v>
      </c>
      <c r="K213" s="5">
        <v>100</v>
      </c>
      <c r="L213" s="21">
        <f>IFERROR(K213/J213,"")</f>
        <v>1</v>
      </c>
      <c r="M213" s="15">
        <f t="shared" si="38"/>
        <v>1</v>
      </c>
      <c r="N213" s="5" t="s">
        <v>347</v>
      </c>
      <c r="O213" s="5" t="s">
        <v>347</v>
      </c>
      <c r="P213" s="5">
        <v>0</v>
      </c>
      <c r="Q213" s="5">
        <v>0</v>
      </c>
      <c r="R213" s="5" t="str">
        <f t="shared" si="37"/>
        <v>91-2023-12-31</v>
      </c>
    </row>
    <row r="214" spans="1:18" x14ac:dyDescent="0.3">
      <c r="A214" s="5">
        <v>91</v>
      </c>
      <c r="B214" s="5" t="s">
        <v>32</v>
      </c>
      <c r="C214" s="5" t="s">
        <v>24</v>
      </c>
      <c r="D214" s="5" t="s">
        <v>25</v>
      </c>
      <c r="E214" s="5" t="s">
        <v>9</v>
      </c>
      <c r="F214" s="6">
        <v>45657</v>
      </c>
      <c r="G214" s="5">
        <f t="shared" si="34"/>
        <v>2024</v>
      </c>
      <c r="H214" s="5" t="str">
        <f t="shared" si="36"/>
        <v>Diciembre</v>
      </c>
      <c r="I214" s="6" t="str">
        <f t="shared" si="35"/>
        <v>2024-2</v>
      </c>
      <c r="J214" s="5">
        <v>100</v>
      </c>
      <c r="K214" s="5">
        <v>100</v>
      </c>
      <c r="L214" s="15">
        <f>IFERROR(IF((K214/J214)&gt;1.3,1.3,K214/J214),"")</f>
        <v>1</v>
      </c>
      <c r="M214" s="15">
        <f t="shared" si="38"/>
        <v>1</v>
      </c>
      <c r="N214" s="5" t="s">
        <v>347</v>
      </c>
      <c r="O214" s="5" t="s">
        <v>347</v>
      </c>
      <c r="P214" s="5">
        <v>0</v>
      </c>
      <c r="Q214" s="5">
        <v>0</v>
      </c>
      <c r="R214" s="5" t="str">
        <f t="shared" si="37"/>
        <v>91-2024-12-31</v>
      </c>
    </row>
    <row r="215" spans="1:18" x14ac:dyDescent="0.3">
      <c r="A215" s="39">
        <v>92</v>
      </c>
      <c r="B215" s="5" t="s">
        <v>33</v>
      </c>
      <c r="C215" s="5" t="s">
        <v>24</v>
      </c>
      <c r="D215" s="5" t="s">
        <v>25</v>
      </c>
      <c r="E215" s="5" t="s">
        <v>9</v>
      </c>
      <c r="F215" s="6">
        <v>45291</v>
      </c>
      <c r="G215" s="5">
        <f t="shared" ref="G215:G244" si="39">YEAR(F215)</f>
        <v>2023</v>
      </c>
      <c r="H215" s="5" t="str">
        <f t="shared" si="36"/>
        <v>Diciembre</v>
      </c>
      <c r="I215" s="6" t="str">
        <f t="shared" si="35"/>
        <v>2023-2</v>
      </c>
      <c r="J215" s="5">
        <v>100</v>
      </c>
      <c r="K215" s="5">
        <v>100</v>
      </c>
      <c r="L215" s="21">
        <f>IFERROR(K215/J215,"")</f>
        <v>1</v>
      </c>
      <c r="M215" s="15">
        <f t="shared" si="38"/>
        <v>1</v>
      </c>
      <c r="N215" s="5" t="s">
        <v>347</v>
      </c>
      <c r="O215" s="5" t="s">
        <v>347</v>
      </c>
      <c r="P215" s="5">
        <v>0</v>
      </c>
      <c r="Q215" s="5">
        <v>0</v>
      </c>
      <c r="R215" s="5" t="str">
        <f t="shared" si="37"/>
        <v>92-2023-12-31</v>
      </c>
    </row>
    <row r="216" spans="1:18" x14ac:dyDescent="0.3">
      <c r="A216" s="5">
        <v>92</v>
      </c>
      <c r="B216" s="5" t="s">
        <v>33</v>
      </c>
      <c r="C216" s="5" t="s">
        <v>24</v>
      </c>
      <c r="D216" s="5" t="s">
        <v>25</v>
      </c>
      <c r="E216" s="5" t="s">
        <v>9</v>
      </c>
      <c r="F216" s="6">
        <v>45657</v>
      </c>
      <c r="G216" s="5">
        <f t="shared" si="39"/>
        <v>2024</v>
      </c>
      <c r="H216" s="5" t="str">
        <f t="shared" si="36"/>
        <v>Diciembre</v>
      </c>
      <c r="I216" s="6" t="str">
        <f t="shared" si="35"/>
        <v>2024-2</v>
      </c>
      <c r="J216" s="5">
        <v>98</v>
      </c>
      <c r="K216" s="5">
        <v>100</v>
      </c>
      <c r="L216" s="15">
        <f>IFERROR(IF((K216/J216)&gt;1.3,1.3,K216/J216),"")</f>
        <v>1.0204081632653061</v>
      </c>
      <c r="M216" s="15">
        <f t="shared" si="38"/>
        <v>1.0204081632653061</v>
      </c>
      <c r="N216" s="5" t="s">
        <v>347</v>
      </c>
      <c r="O216" s="5" t="s">
        <v>347</v>
      </c>
      <c r="P216" s="5">
        <v>0</v>
      </c>
      <c r="Q216" s="5">
        <v>0</v>
      </c>
      <c r="R216" s="5" t="str">
        <f t="shared" si="37"/>
        <v>92-2024-12-31</v>
      </c>
    </row>
    <row r="217" spans="1:18" x14ac:dyDescent="0.3">
      <c r="A217" s="39">
        <v>94</v>
      </c>
      <c r="B217" s="5" t="s">
        <v>34</v>
      </c>
      <c r="C217" s="5" t="s">
        <v>24</v>
      </c>
      <c r="D217" s="5" t="s">
        <v>25</v>
      </c>
      <c r="E217" s="5" t="s">
        <v>9</v>
      </c>
      <c r="F217" s="6">
        <v>45291</v>
      </c>
      <c r="G217" s="5">
        <f t="shared" si="39"/>
        <v>2023</v>
      </c>
      <c r="H217" s="5" t="str">
        <f t="shared" si="36"/>
        <v>Diciembre</v>
      </c>
      <c r="I217" s="6" t="str">
        <f t="shared" si="35"/>
        <v>2023-2</v>
      </c>
      <c r="J217" s="5">
        <v>100</v>
      </c>
      <c r="K217" s="5">
        <v>100</v>
      </c>
      <c r="L217" s="21">
        <f t="shared" ref="L217:L222" si="40">IFERROR(K217/J217,"")</f>
        <v>1</v>
      </c>
      <c r="M217" s="15">
        <f t="shared" si="38"/>
        <v>1</v>
      </c>
      <c r="N217" s="5" t="s">
        <v>347</v>
      </c>
      <c r="O217" s="5" t="s">
        <v>347</v>
      </c>
      <c r="P217" s="5">
        <v>0</v>
      </c>
      <c r="Q217" s="5">
        <v>0</v>
      </c>
      <c r="R217" s="5" t="str">
        <f t="shared" si="37"/>
        <v>94-2023-12-31</v>
      </c>
    </row>
    <row r="218" spans="1:18" x14ac:dyDescent="0.3">
      <c r="A218" s="5">
        <v>94</v>
      </c>
      <c r="B218" s="5" t="s">
        <v>34</v>
      </c>
      <c r="C218" s="5" t="s">
        <v>24</v>
      </c>
      <c r="D218" s="5" t="s">
        <v>25</v>
      </c>
      <c r="E218" s="5" t="s">
        <v>9</v>
      </c>
      <c r="F218" s="6">
        <v>45657</v>
      </c>
      <c r="G218" s="5">
        <f t="shared" si="39"/>
        <v>2024</v>
      </c>
      <c r="H218" s="5" t="str">
        <f t="shared" si="36"/>
        <v>Diciembre</v>
      </c>
      <c r="I218" s="6" t="str">
        <f t="shared" si="35"/>
        <v>2024-2</v>
      </c>
      <c r="J218" s="5">
        <v>100</v>
      </c>
      <c r="K218" s="5">
        <v>100</v>
      </c>
      <c r="L218" s="21">
        <f t="shared" si="40"/>
        <v>1</v>
      </c>
      <c r="M218" s="15">
        <f t="shared" si="38"/>
        <v>1</v>
      </c>
      <c r="N218" s="5" t="s">
        <v>347</v>
      </c>
      <c r="O218" s="5" t="s">
        <v>347</v>
      </c>
      <c r="P218" s="5">
        <v>0</v>
      </c>
      <c r="Q218" s="5">
        <v>0</v>
      </c>
      <c r="R218" s="5" t="str">
        <f t="shared" si="37"/>
        <v>94-2024-12-31</v>
      </c>
    </row>
    <row r="219" spans="1:18" x14ac:dyDescent="0.3">
      <c r="A219" s="43">
        <v>95</v>
      </c>
      <c r="B219" s="5" t="s">
        <v>35</v>
      </c>
      <c r="C219" s="5" t="s">
        <v>24</v>
      </c>
      <c r="D219" s="5" t="s">
        <v>8</v>
      </c>
      <c r="E219" s="5" t="s">
        <v>9</v>
      </c>
      <c r="F219" s="6">
        <v>45107</v>
      </c>
      <c r="G219" s="5">
        <f t="shared" si="39"/>
        <v>2023</v>
      </c>
      <c r="H219" s="5" t="str">
        <f t="shared" si="36"/>
        <v>Junio</v>
      </c>
      <c r="I219" s="6" t="str">
        <f t="shared" si="35"/>
        <v>2023-1</v>
      </c>
      <c r="J219" s="5">
        <v>100</v>
      </c>
      <c r="K219" s="5">
        <v>100</v>
      </c>
      <c r="L219" s="21">
        <f t="shared" si="40"/>
        <v>1</v>
      </c>
      <c r="M219" s="15">
        <f t="shared" si="38"/>
        <v>1</v>
      </c>
      <c r="N219" s="5" t="s">
        <v>347</v>
      </c>
      <c r="O219" s="5" t="s">
        <v>347</v>
      </c>
      <c r="P219" s="5">
        <v>0</v>
      </c>
      <c r="Q219" s="5">
        <v>0</v>
      </c>
      <c r="R219" s="5" t="str">
        <f t="shared" si="37"/>
        <v>95-2023-06-30</v>
      </c>
    </row>
    <row r="220" spans="1:18" x14ac:dyDescent="0.3">
      <c r="A220" s="39">
        <v>95</v>
      </c>
      <c r="B220" s="5" t="s">
        <v>35</v>
      </c>
      <c r="C220" s="5" t="s">
        <v>24</v>
      </c>
      <c r="D220" s="5" t="s">
        <v>8</v>
      </c>
      <c r="E220" s="5" t="s">
        <v>9</v>
      </c>
      <c r="F220" s="6">
        <v>45291</v>
      </c>
      <c r="G220" s="5">
        <f t="shared" si="39"/>
        <v>2023</v>
      </c>
      <c r="H220" s="5" t="str">
        <f t="shared" si="36"/>
        <v>Diciembre</v>
      </c>
      <c r="I220" s="6" t="str">
        <f t="shared" si="35"/>
        <v>2023-2</v>
      </c>
      <c r="J220" s="5">
        <v>100</v>
      </c>
      <c r="K220" s="5">
        <v>100</v>
      </c>
      <c r="L220" s="21">
        <f t="shared" si="40"/>
        <v>1</v>
      </c>
      <c r="M220" s="15">
        <f t="shared" si="38"/>
        <v>1</v>
      </c>
      <c r="N220" s="5" t="s">
        <v>347</v>
      </c>
      <c r="O220" s="5" t="s">
        <v>347</v>
      </c>
      <c r="P220" s="5">
        <v>0</v>
      </c>
      <c r="Q220" s="5">
        <v>0</v>
      </c>
      <c r="R220" s="5" t="str">
        <f t="shared" si="37"/>
        <v>95-2023-12-31</v>
      </c>
    </row>
    <row r="221" spans="1:18" x14ac:dyDescent="0.3">
      <c r="A221" s="5">
        <v>95</v>
      </c>
      <c r="B221" s="5" t="s">
        <v>35</v>
      </c>
      <c r="C221" s="5" t="s">
        <v>24</v>
      </c>
      <c r="D221" s="5" t="s">
        <v>8</v>
      </c>
      <c r="E221" s="5" t="s">
        <v>9</v>
      </c>
      <c r="F221" s="6">
        <v>45473</v>
      </c>
      <c r="G221" s="5">
        <f t="shared" si="39"/>
        <v>2024</v>
      </c>
      <c r="H221" s="5" t="str">
        <f t="shared" si="36"/>
        <v>Junio</v>
      </c>
      <c r="I221" s="6" t="str">
        <f t="shared" si="35"/>
        <v>2024-1</v>
      </c>
      <c r="J221" s="5">
        <v>100</v>
      </c>
      <c r="K221" s="5">
        <v>100</v>
      </c>
      <c r="L221" s="21">
        <f t="shared" si="40"/>
        <v>1</v>
      </c>
      <c r="M221" s="15">
        <f t="shared" si="38"/>
        <v>1</v>
      </c>
      <c r="N221" s="5" t="s">
        <v>347</v>
      </c>
      <c r="O221" s="5" t="s">
        <v>347</v>
      </c>
      <c r="P221" s="5">
        <v>0</v>
      </c>
      <c r="Q221" s="5">
        <v>0</v>
      </c>
      <c r="R221" s="5" t="str">
        <f t="shared" si="37"/>
        <v>95-2024-06-30</v>
      </c>
    </row>
    <row r="222" spans="1:18" x14ac:dyDescent="0.3">
      <c r="A222" s="5">
        <v>95</v>
      </c>
      <c r="B222" s="5" t="s">
        <v>35</v>
      </c>
      <c r="C222" s="5" t="s">
        <v>24</v>
      </c>
      <c r="D222" s="5" t="s">
        <v>8</v>
      </c>
      <c r="E222" s="5" t="s">
        <v>9</v>
      </c>
      <c r="F222" s="6">
        <v>45657</v>
      </c>
      <c r="G222" s="5">
        <f t="shared" si="39"/>
        <v>2024</v>
      </c>
      <c r="H222" s="5" t="str">
        <f t="shared" si="36"/>
        <v>Diciembre</v>
      </c>
      <c r="I222" s="6" t="str">
        <f t="shared" si="35"/>
        <v>2024-2</v>
      </c>
      <c r="J222" s="5">
        <v>100</v>
      </c>
      <c r="K222" s="5">
        <v>100</v>
      </c>
      <c r="L222" s="21">
        <f t="shared" si="40"/>
        <v>1</v>
      </c>
      <c r="M222" s="15">
        <f t="shared" si="38"/>
        <v>1</v>
      </c>
      <c r="N222" s="5" t="s">
        <v>347</v>
      </c>
      <c r="O222" s="5" t="s">
        <v>347</v>
      </c>
      <c r="P222" s="5">
        <v>0</v>
      </c>
      <c r="Q222" s="5">
        <v>0</v>
      </c>
      <c r="R222" s="5" t="str">
        <f t="shared" si="37"/>
        <v>95-2024-12-31</v>
      </c>
    </row>
    <row r="223" spans="1:18" x14ac:dyDescent="0.3">
      <c r="A223" s="5">
        <v>96</v>
      </c>
      <c r="B223" s="23" t="s">
        <v>346</v>
      </c>
      <c r="C223" s="5" t="s">
        <v>59</v>
      </c>
      <c r="D223" s="5" t="s">
        <v>8</v>
      </c>
      <c r="E223" s="5" t="s">
        <v>9</v>
      </c>
      <c r="F223" s="6">
        <v>44926</v>
      </c>
      <c r="G223" s="16">
        <f t="shared" si="39"/>
        <v>2022</v>
      </c>
      <c r="H223" s="6" t="str">
        <f t="shared" si="36"/>
        <v>Diciembre</v>
      </c>
      <c r="I223" s="6" t="str">
        <f t="shared" si="35"/>
        <v>2022-2</v>
      </c>
      <c r="J223" s="5">
        <v>509</v>
      </c>
      <c r="K223" s="5">
        <v>566</v>
      </c>
      <c r="L223" s="15">
        <f t="shared" ref="L223:L234" si="41">IFERROR(IF((K223/J223)&gt;1.3,1.3,K223/J223),"")</f>
        <v>1.111984282907662</v>
      </c>
      <c r="M223" s="15">
        <f t="shared" si="38"/>
        <v>1.111984282907662</v>
      </c>
      <c r="N223" s="5" t="s">
        <v>490</v>
      </c>
      <c r="O223" s="5" t="s">
        <v>490</v>
      </c>
      <c r="P223" s="5">
        <v>0</v>
      </c>
      <c r="Q223" s="5">
        <v>0</v>
      </c>
      <c r="R223" s="5" t="str">
        <f t="shared" si="37"/>
        <v>96-2022-12-31</v>
      </c>
    </row>
    <row r="224" spans="1:18" x14ac:dyDescent="0.3">
      <c r="A224" s="5">
        <v>96</v>
      </c>
      <c r="B224" s="23" t="s">
        <v>346</v>
      </c>
      <c r="C224" s="5" t="s">
        <v>59</v>
      </c>
      <c r="D224" s="5" t="s">
        <v>8</v>
      </c>
      <c r="E224" s="5" t="s">
        <v>9</v>
      </c>
      <c r="F224" s="6">
        <v>45107</v>
      </c>
      <c r="G224" s="16">
        <f t="shared" si="39"/>
        <v>2023</v>
      </c>
      <c r="H224" s="6" t="str">
        <f t="shared" si="36"/>
        <v>Junio</v>
      </c>
      <c r="I224" s="6" t="str">
        <f t="shared" si="35"/>
        <v>2023-1</v>
      </c>
      <c r="J224" s="5">
        <v>305</v>
      </c>
      <c r="K224" s="5">
        <v>209</v>
      </c>
      <c r="L224" s="15">
        <f t="shared" si="41"/>
        <v>0.68524590163934429</v>
      </c>
      <c r="M224" s="15">
        <f t="shared" si="38"/>
        <v>0.68524590163934429</v>
      </c>
      <c r="N224" s="5" t="s">
        <v>490</v>
      </c>
      <c r="O224" s="5" t="s">
        <v>490</v>
      </c>
      <c r="P224" s="5">
        <v>0</v>
      </c>
      <c r="Q224" s="5">
        <v>0</v>
      </c>
      <c r="R224" s="5" t="str">
        <f t="shared" si="37"/>
        <v>96-2023-06-30</v>
      </c>
    </row>
    <row r="225" spans="1:18" x14ac:dyDescent="0.3">
      <c r="A225" s="5">
        <v>96</v>
      </c>
      <c r="B225" s="23" t="s">
        <v>346</v>
      </c>
      <c r="C225" s="5" t="s">
        <v>59</v>
      </c>
      <c r="D225" s="5" t="s">
        <v>8</v>
      </c>
      <c r="E225" s="5" t="s">
        <v>9</v>
      </c>
      <c r="F225" s="6">
        <v>45291</v>
      </c>
      <c r="G225" s="16">
        <f t="shared" si="39"/>
        <v>2023</v>
      </c>
      <c r="H225" s="6" t="str">
        <f t="shared" si="36"/>
        <v>Diciembre</v>
      </c>
      <c r="I225" s="6" t="str">
        <f t="shared" si="35"/>
        <v>2023-2</v>
      </c>
      <c r="J225" s="5">
        <v>306</v>
      </c>
      <c r="K225" s="5">
        <v>496</v>
      </c>
      <c r="L225" s="15">
        <f t="shared" si="41"/>
        <v>1.3</v>
      </c>
      <c r="M225" s="15">
        <f t="shared" si="38"/>
        <v>1.6209150326797386</v>
      </c>
      <c r="N225" s="5" t="s">
        <v>490</v>
      </c>
      <c r="O225" s="5" t="s">
        <v>490</v>
      </c>
      <c r="P225" s="5">
        <v>0</v>
      </c>
      <c r="Q225" s="5">
        <v>0</v>
      </c>
      <c r="R225" s="5" t="str">
        <f t="shared" si="37"/>
        <v>96-2023-12-31</v>
      </c>
    </row>
    <row r="226" spans="1:18" x14ac:dyDescent="0.3">
      <c r="A226" s="5">
        <v>96</v>
      </c>
      <c r="B226" s="23" t="s">
        <v>346</v>
      </c>
      <c r="C226" s="5" t="s">
        <v>59</v>
      </c>
      <c r="D226" s="5" t="s">
        <v>8</v>
      </c>
      <c r="E226" s="5" t="s">
        <v>9</v>
      </c>
      <c r="F226" s="6">
        <v>45473</v>
      </c>
      <c r="G226" s="5">
        <f t="shared" si="39"/>
        <v>2024</v>
      </c>
      <c r="H226" s="5" t="str">
        <f t="shared" si="36"/>
        <v>Junio</v>
      </c>
      <c r="I226" s="6" t="str">
        <f t="shared" si="35"/>
        <v>2024-1</v>
      </c>
      <c r="J226" s="5">
        <v>336</v>
      </c>
      <c r="K226" s="5">
        <v>143</v>
      </c>
      <c r="L226" s="15">
        <f t="shared" si="41"/>
        <v>0.42559523809523808</v>
      </c>
      <c r="M226" s="15">
        <f t="shared" si="38"/>
        <v>0.42559523809523808</v>
      </c>
      <c r="N226" s="5" t="s">
        <v>490</v>
      </c>
      <c r="O226" s="5" t="s">
        <v>490</v>
      </c>
      <c r="P226" s="5">
        <v>0</v>
      </c>
      <c r="Q226" s="5">
        <v>0</v>
      </c>
      <c r="R226" s="5" t="str">
        <f t="shared" si="37"/>
        <v>96-2024-06-30</v>
      </c>
    </row>
    <row r="227" spans="1:18" x14ac:dyDescent="0.3">
      <c r="A227" s="5">
        <v>97</v>
      </c>
      <c r="B227" s="5" t="s">
        <v>430</v>
      </c>
      <c r="C227" s="5" t="s">
        <v>315</v>
      </c>
      <c r="D227" s="5" t="s">
        <v>8</v>
      </c>
      <c r="E227" s="5" t="s">
        <v>9</v>
      </c>
      <c r="F227" s="17">
        <v>44742</v>
      </c>
      <c r="G227" s="16">
        <f t="shared" si="39"/>
        <v>2022</v>
      </c>
      <c r="H227" s="6" t="str">
        <f t="shared" si="36"/>
        <v>Junio</v>
      </c>
      <c r="I227" s="6" t="str">
        <f t="shared" si="35"/>
        <v>2022-1</v>
      </c>
      <c r="J227" s="5">
        <v>2</v>
      </c>
      <c r="K227" s="5">
        <v>2</v>
      </c>
      <c r="L227" s="15">
        <f t="shared" si="41"/>
        <v>1</v>
      </c>
      <c r="M227" s="15">
        <f t="shared" si="38"/>
        <v>1</v>
      </c>
      <c r="N227" s="5" t="s">
        <v>417</v>
      </c>
      <c r="O227" s="5" t="s">
        <v>417</v>
      </c>
      <c r="P227" s="5">
        <v>0</v>
      </c>
      <c r="Q227" s="5">
        <v>0</v>
      </c>
      <c r="R227" s="5" t="str">
        <f t="shared" si="37"/>
        <v>97-2022-06-30</v>
      </c>
    </row>
    <row r="228" spans="1:18" x14ac:dyDescent="0.3">
      <c r="A228" s="5">
        <v>97</v>
      </c>
      <c r="B228" s="5" t="s">
        <v>430</v>
      </c>
      <c r="C228" s="5" t="s">
        <v>315</v>
      </c>
      <c r="D228" s="5" t="s">
        <v>8</v>
      </c>
      <c r="E228" s="5" t="s">
        <v>9</v>
      </c>
      <c r="F228" s="17">
        <v>44926</v>
      </c>
      <c r="G228" s="16">
        <f t="shared" si="39"/>
        <v>2022</v>
      </c>
      <c r="H228" s="6" t="str">
        <f t="shared" si="36"/>
        <v>Diciembre</v>
      </c>
      <c r="I228" s="6" t="str">
        <f t="shared" si="35"/>
        <v>2022-2</v>
      </c>
      <c r="J228" s="5">
        <v>1</v>
      </c>
      <c r="K228" s="5">
        <v>1</v>
      </c>
      <c r="L228" s="15">
        <f t="shared" si="41"/>
        <v>1</v>
      </c>
      <c r="M228" s="15">
        <f t="shared" si="38"/>
        <v>1</v>
      </c>
      <c r="N228" s="5" t="s">
        <v>417</v>
      </c>
      <c r="O228" s="5" t="s">
        <v>417</v>
      </c>
      <c r="P228" s="5">
        <v>0</v>
      </c>
      <c r="Q228" s="5">
        <v>0</v>
      </c>
      <c r="R228" s="5" t="str">
        <f t="shared" si="37"/>
        <v>97-2022-12-31</v>
      </c>
    </row>
    <row r="229" spans="1:18" x14ac:dyDescent="0.3">
      <c r="A229" s="5">
        <v>97</v>
      </c>
      <c r="B229" s="5" t="s">
        <v>430</v>
      </c>
      <c r="C229" s="5" t="s">
        <v>315</v>
      </c>
      <c r="D229" s="5" t="s">
        <v>8</v>
      </c>
      <c r="E229" s="5" t="s">
        <v>9</v>
      </c>
      <c r="F229" s="17">
        <v>45107</v>
      </c>
      <c r="G229" s="16">
        <f t="shared" si="39"/>
        <v>2023</v>
      </c>
      <c r="H229" s="6" t="str">
        <f t="shared" si="36"/>
        <v>Junio</v>
      </c>
      <c r="I229" s="6" t="str">
        <f t="shared" si="35"/>
        <v>2023-1</v>
      </c>
      <c r="J229" s="5">
        <v>0</v>
      </c>
      <c r="K229" s="5">
        <v>0</v>
      </c>
      <c r="L229" s="15" t="str">
        <f t="shared" si="41"/>
        <v/>
      </c>
      <c r="M229" s="15" t="str">
        <f t="shared" si="38"/>
        <v/>
      </c>
      <c r="N229" s="5" t="s">
        <v>417</v>
      </c>
      <c r="O229" s="5" t="s">
        <v>417</v>
      </c>
      <c r="P229" s="5">
        <v>0</v>
      </c>
      <c r="Q229" s="5">
        <v>0</v>
      </c>
      <c r="R229" s="5" t="str">
        <f t="shared" si="37"/>
        <v>97-2023-06-30</v>
      </c>
    </row>
    <row r="230" spans="1:18" x14ac:dyDescent="0.3">
      <c r="A230" s="5">
        <v>97</v>
      </c>
      <c r="B230" s="5" t="s">
        <v>430</v>
      </c>
      <c r="C230" s="5" t="s">
        <v>315</v>
      </c>
      <c r="D230" s="5" t="s">
        <v>8</v>
      </c>
      <c r="E230" s="5" t="s">
        <v>9</v>
      </c>
      <c r="F230" s="17">
        <v>45291</v>
      </c>
      <c r="G230" s="16">
        <f t="shared" si="39"/>
        <v>2023</v>
      </c>
      <c r="H230" s="6" t="str">
        <f t="shared" si="36"/>
        <v>Diciembre</v>
      </c>
      <c r="I230" s="6" t="str">
        <f t="shared" si="35"/>
        <v>2023-2</v>
      </c>
      <c r="J230" s="5">
        <v>1</v>
      </c>
      <c r="K230" s="5">
        <v>1</v>
      </c>
      <c r="L230" s="15">
        <f t="shared" si="41"/>
        <v>1</v>
      </c>
      <c r="M230" s="15">
        <f t="shared" si="38"/>
        <v>1</v>
      </c>
      <c r="N230" s="5" t="s">
        <v>417</v>
      </c>
      <c r="O230" s="5" t="s">
        <v>417</v>
      </c>
      <c r="P230" s="5">
        <v>0</v>
      </c>
      <c r="Q230" s="5">
        <v>0</v>
      </c>
      <c r="R230" s="5" t="str">
        <f t="shared" si="37"/>
        <v>97-2023-12-31</v>
      </c>
    </row>
    <row r="231" spans="1:18" x14ac:dyDescent="0.3">
      <c r="A231" s="5">
        <v>98</v>
      </c>
      <c r="B231" s="5" t="s">
        <v>432</v>
      </c>
      <c r="C231" s="5" t="s">
        <v>315</v>
      </c>
      <c r="D231" s="5" t="s">
        <v>8</v>
      </c>
      <c r="E231" s="5" t="s">
        <v>9</v>
      </c>
      <c r="F231" s="17">
        <v>44742</v>
      </c>
      <c r="G231" s="16">
        <f t="shared" si="39"/>
        <v>2022</v>
      </c>
      <c r="H231" s="6" t="str">
        <f t="shared" si="36"/>
        <v>Junio</v>
      </c>
      <c r="I231" s="6" t="str">
        <f t="shared" si="35"/>
        <v>2022-1</v>
      </c>
      <c r="J231" s="5">
        <v>2</v>
      </c>
      <c r="K231" s="5">
        <v>2</v>
      </c>
      <c r="L231" s="15">
        <f t="shared" si="41"/>
        <v>1</v>
      </c>
      <c r="M231" s="15">
        <f t="shared" si="38"/>
        <v>1</v>
      </c>
      <c r="N231" s="5" t="s">
        <v>490</v>
      </c>
      <c r="O231" s="5" t="s">
        <v>490</v>
      </c>
      <c r="P231" s="5">
        <v>0</v>
      </c>
      <c r="Q231" s="5">
        <v>0</v>
      </c>
      <c r="R231" s="5" t="str">
        <f t="shared" si="37"/>
        <v>98-2022-06-30</v>
      </c>
    </row>
    <row r="232" spans="1:18" x14ac:dyDescent="0.3">
      <c r="A232" s="5">
        <v>98</v>
      </c>
      <c r="B232" s="5" t="s">
        <v>432</v>
      </c>
      <c r="C232" s="5" t="s">
        <v>315</v>
      </c>
      <c r="D232" s="5" t="s">
        <v>8</v>
      </c>
      <c r="E232" s="5" t="s">
        <v>9</v>
      </c>
      <c r="F232" s="17">
        <v>44926</v>
      </c>
      <c r="G232" s="16">
        <f t="shared" si="39"/>
        <v>2022</v>
      </c>
      <c r="H232" s="6" t="str">
        <f t="shared" si="36"/>
        <v>Diciembre</v>
      </c>
      <c r="I232" s="6" t="str">
        <f t="shared" si="35"/>
        <v>2022-2</v>
      </c>
      <c r="J232" s="5">
        <v>2</v>
      </c>
      <c r="K232" s="5">
        <v>2</v>
      </c>
      <c r="L232" s="15">
        <f t="shared" si="41"/>
        <v>1</v>
      </c>
      <c r="M232" s="15">
        <f t="shared" si="38"/>
        <v>1</v>
      </c>
      <c r="N232" s="5" t="s">
        <v>490</v>
      </c>
      <c r="O232" s="5" t="s">
        <v>490</v>
      </c>
      <c r="P232" s="5">
        <v>0</v>
      </c>
      <c r="Q232" s="5">
        <v>0</v>
      </c>
      <c r="R232" s="5" t="str">
        <f t="shared" si="37"/>
        <v>98-2022-12-31</v>
      </c>
    </row>
    <row r="233" spans="1:18" x14ac:dyDescent="0.3">
      <c r="A233" s="5">
        <v>98</v>
      </c>
      <c r="B233" s="5" t="s">
        <v>432</v>
      </c>
      <c r="C233" s="5" t="s">
        <v>315</v>
      </c>
      <c r="D233" s="5" t="s">
        <v>8</v>
      </c>
      <c r="E233" s="5" t="s">
        <v>9</v>
      </c>
      <c r="F233" s="17">
        <v>45107</v>
      </c>
      <c r="G233" s="16">
        <f t="shared" si="39"/>
        <v>2023</v>
      </c>
      <c r="H233" s="6" t="str">
        <f t="shared" si="36"/>
        <v>Junio</v>
      </c>
      <c r="I233" s="6" t="str">
        <f t="shared" si="35"/>
        <v>2023-1</v>
      </c>
      <c r="J233" s="5">
        <v>0</v>
      </c>
      <c r="K233" s="5">
        <v>0</v>
      </c>
      <c r="L233" s="15" t="str">
        <f t="shared" si="41"/>
        <v/>
      </c>
      <c r="M233" s="15" t="str">
        <f t="shared" si="38"/>
        <v/>
      </c>
      <c r="N233" s="5" t="s">
        <v>490</v>
      </c>
      <c r="O233" s="5" t="s">
        <v>490</v>
      </c>
      <c r="P233" s="5">
        <v>0</v>
      </c>
      <c r="Q233" s="5">
        <v>0</v>
      </c>
      <c r="R233" s="5" t="str">
        <f t="shared" si="37"/>
        <v>98-2023-06-30</v>
      </c>
    </row>
    <row r="234" spans="1:18" x14ac:dyDescent="0.3">
      <c r="A234" s="5">
        <v>98</v>
      </c>
      <c r="B234" s="5" t="s">
        <v>432</v>
      </c>
      <c r="C234" s="5" t="s">
        <v>315</v>
      </c>
      <c r="D234" s="5" t="s">
        <v>8</v>
      </c>
      <c r="E234" s="5" t="s">
        <v>9</v>
      </c>
      <c r="F234" s="17">
        <v>45291</v>
      </c>
      <c r="G234" s="16">
        <f t="shared" si="39"/>
        <v>2023</v>
      </c>
      <c r="H234" s="6" t="str">
        <f t="shared" si="36"/>
        <v>Diciembre</v>
      </c>
      <c r="I234" s="6" t="str">
        <f t="shared" si="35"/>
        <v>2023-2</v>
      </c>
      <c r="J234" s="5">
        <v>1</v>
      </c>
      <c r="K234" s="5">
        <v>1</v>
      </c>
      <c r="L234" s="15">
        <f t="shared" si="41"/>
        <v>1</v>
      </c>
      <c r="M234" s="15">
        <f t="shared" si="38"/>
        <v>1</v>
      </c>
      <c r="N234" s="5" t="s">
        <v>490</v>
      </c>
      <c r="O234" s="5" t="s">
        <v>490</v>
      </c>
      <c r="P234" s="5">
        <v>0</v>
      </c>
      <c r="Q234" s="5">
        <v>0</v>
      </c>
      <c r="R234" s="5" t="str">
        <f t="shared" si="37"/>
        <v>98-2023-12-31</v>
      </c>
    </row>
    <row r="235" spans="1:18" x14ac:dyDescent="0.3">
      <c r="A235" s="39">
        <v>100</v>
      </c>
      <c r="B235" s="5" t="s">
        <v>36</v>
      </c>
      <c r="C235" s="5" t="s">
        <v>24</v>
      </c>
      <c r="D235" s="5" t="s">
        <v>25</v>
      </c>
      <c r="E235" s="5" t="s">
        <v>9</v>
      </c>
      <c r="F235" s="6">
        <v>45291</v>
      </c>
      <c r="G235" s="5">
        <f t="shared" si="39"/>
        <v>2023</v>
      </c>
      <c r="H235" s="5" t="str">
        <f t="shared" si="36"/>
        <v>Diciembre</v>
      </c>
      <c r="I235" s="6" t="str">
        <f t="shared" ref="I235:I262" si="42">IF(OR(H235="Enero",H235="Febrero",H235="Marzo",H235="Abril",H235="Mayo",H235="Junio"),G235&amp;"-1",IF(OR(H235="Julio",H235="Agosto",H235="Septiembre",H235="Octubre",H235="Noviembre",H235="Diciembre"),G235&amp;"-2"))</f>
        <v>2023-2</v>
      </c>
      <c r="J235" s="5">
        <v>100</v>
      </c>
      <c r="K235" s="5">
        <v>99</v>
      </c>
      <c r="L235" s="21">
        <f>IFERROR(K235/J235,"")</f>
        <v>0.99</v>
      </c>
      <c r="M235" s="15">
        <f t="shared" si="38"/>
        <v>0.99</v>
      </c>
      <c r="N235" s="5" t="s">
        <v>347</v>
      </c>
      <c r="O235" s="5" t="s">
        <v>347</v>
      </c>
      <c r="P235" s="5">
        <v>0</v>
      </c>
      <c r="Q235" s="5">
        <v>0</v>
      </c>
      <c r="R235" s="5" t="str">
        <f t="shared" si="37"/>
        <v>100-2023-12-31</v>
      </c>
    </row>
    <row r="236" spans="1:18" x14ac:dyDescent="0.3">
      <c r="A236" s="5">
        <v>100</v>
      </c>
      <c r="B236" s="5" t="s">
        <v>36</v>
      </c>
      <c r="C236" s="5" t="s">
        <v>24</v>
      </c>
      <c r="D236" s="5" t="s">
        <v>25</v>
      </c>
      <c r="E236" s="5" t="s">
        <v>9</v>
      </c>
      <c r="F236" s="6">
        <v>45657</v>
      </c>
      <c r="G236" s="5">
        <f t="shared" si="39"/>
        <v>2024</v>
      </c>
      <c r="H236" s="5" t="str">
        <f t="shared" si="36"/>
        <v>Diciembre</v>
      </c>
      <c r="I236" s="6" t="str">
        <f t="shared" si="42"/>
        <v>2024-2</v>
      </c>
      <c r="J236" s="5">
        <v>100</v>
      </c>
      <c r="K236" s="5">
        <v>99</v>
      </c>
      <c r="L236" s="15">
        <f>IFERROR(IF((K236/J236)&gt;1.3,1.3,K236/J236),"")</f>
        <v>0.99</v>
      </c>
      <c r="M236" s="15">
        <f t="shared" si="38"/>
        <v>0.99</v>
      </c>
      <c r="N236" s="5" t="s">
        <v>347</v>
      </c>
      <c r="O236" s="5" t="s">
        <v>347</v>
      </c>
      <c r="P236" s="5">
        <v>0</v>
      </c>
      <c r="Q236" s="5">
        <v>0</v>
      </c>
      <c r="R236" s="5" t="str">
        <f t="shared" si="37"/>
        <v>100-2024-12-31</v>
      </c>
    </row>
    <row r="237" spans="1:18" x14ac:dyDescent="0.3">
      <c r="A237" s="39">
        <v>104</v>
      </c>
      <c r="B237" s="5" t="s">
        <v>37</v>
      </c>
      <c r="C237" s="5" t="s">
        <v>24</v>
      </c>
      <c r="D237" s="5" t="s">
        <v>25</v>
      </c>
      <c r="E237" s="5" t="s">
        <v>14</v>
      </c>
      <c r="F237" s="6">
        <v>45291</v>
      </c>
      <c r="G237" s="5">
        <f t="shared" si="39"/>
        <v>2023</v>
      </c>
      <c r="H237" s="5" t="str">
        <f t="shared" si="36"/>
        <v>Diciembre</v>
      </c>
      <c r="I237" s="6" t="str">
        <f t="shared" si="42"/>
        <v>2023-2</v>
      </c>
      <c r="J237" s="5">
        <v>2.14</v>
      </c>
      <c r="K237" s="5">
        <v>0.47</v>
      </c>
      <c r="L237" s="8">
        <v>1</v>
      </c>
      <c r="M237" s="8">
        <v>1</v>
      </c>
      <c r="N237" s="5" t="s">
        <v>478</v>
      </c>
      <c r="O237" s="5" t="s">
        <v>478</v>
      </c>
      <c r="P237" s="5">
        <v>2</v>
      </c>
      <c r="Q237" s="5">
        <v>2</v>
      </c>
      <c r="R237" s="5" t="str">
        <f t="shared" si="37"/>
        <v>104-2023-12-31</v>
      </c>
    </row>
    <row r="238" spans="1:18" x14ac:dyDescent="0.3">
      <c r="A238" s="5">
        <v>104</v>
      </c>
      <c r="B238" s="5" t="s">
        <v>37</v>
      </c>
      <c r="C238" s="5" t="s">
        <v>24</v>
      </c>
      <c r="D238" s="5" t="s">
        <v>25</v>
      </c>
      <c r="E238" s="5" t="s">
        <v>14</v>
      </c>
      <c r="F238" s="6">
        <v>45657</v>
      </c>
      <c r="G238" s="5">
        <f t="shared" si="39"/>
        <v>2024</v>
      </c>
      <c r="H238" s="5" t="str">
        <f t="shared" si="36"/>
        <v>Diciembre</v>
      </c>
      <c r="I238" s="6" t="str">
        <f t="shared" si="42"/>
        <v>2024-2</v>
      </c>
      <c r="J238" s="5">
        <v>1.2</v>
      </c>
      <c r="K238" s="10">
        <v>0.11</v>
      </c>
      <c r="L238" s="8">
        <v>1</v>
      </c>
      <c r="M238" s="8">
        <v>1</v>
      </c>
      <c r="N238" s="5" t="s">
        <v>478</v>
      </c>
      <c r="O238" s="5" t="s">
        <v>478</v>
      </c>
      <c r="P238" s="5">
        <v>1</v>
      </c>
      <c r="Q238" s="5">
        <v>2</v>
      </c>
      <c r="R238" s="5" t="str">
        <f t="shared" si="37"/>
        <v>104-2024-12-31</v>
      </c>
    </row>
    <row r="239" spans="1:18" x14ac:dyDescent="0.3">
      <c r="A239" s="39">
        <v>106</v>
      </c>
      <c r="B239" s="5" t="s">
        <v>38</v>
      </c>
      <c r="C239" s="5" t="s">
        <v>24</v>
      </c>
      <c r="D239" s="5" t="s">
        <v>25</v>
      </c>
      <c r="E239" s="5" t="s">
        <v>14</v>
      </c>
      <c r="F239" s="6">
        <v>45291</v>
      </c>
      <c r="G239" s="5">
        <f t="shared" si="39"/>
        <v>2023</v>
      </c>
      <c r="H239" s="5" t="str">
        <f t="shared" si="36"/>
        <v>Diciembre</v>
      </c>
      <c r="I239" s="6" t="str">
        <f t="shared" si="42"/>
        <v>2023-2</v>
      </c>
      <c r="J239" s="9">
        <v>1.0000000000000001E-5</v>
      </c>
      <c r="K239" s="9">
        <v>1.0000000000000001E-5</v>
      </c>
      <c r="L239" s="15">
        <v>1</v>
      </c>
      <c r="M239" s="15">
        <f>IFERROR(J239/K239,"")</f>
        <v>1</v>
      </c>
      <c r="N239" s="5" t="s">
        <v>490</v>
      </c>
      <c r="O239" s="5" t="s">
        <v>490</v>
      </c>
      <c r="P239" s="5">
        <v>0</v>
      </c>
      <c r="Q239" s="5">
        <v>0</v>
      </c>
      <c r="R239" s="5" t="str">
        <f t="shared" si="37"/>
        <v>106-2023-12-31</v>
      </c>
    </row>
    <row r="240" spans="1:18" x14ac:dyDescent="0.3">
      <c r="A240" s="5">
        <v>106</v>
      </c>
      <c r="B240" s="5" t="s">
        <v>38</v>
      </c>
      <c r="C240" s="5" t="s">
        <v>24</v>
      </c>
      <c r="D240" s="5" t="s">
        <v>25</v>
      </c>
      <c r="E240" s="5" t="s">
        <v>14</v>
      </c>
      <c r="F240" s="6">
        <v>45657</v>
      </c>
      <c r="G240" s="5">
        <f t="shared" si="39"/>
        <v>2024</v>
      </c>
      <c r="H240" s="5" t="str">
        <f t="shared" si="36"/>
        <v>Diciembre</v>
      </c>
      <c r="I240" s="6" t="str">
        <f t="shared" si="42"/>
        <v>2024-2</v>
      </c>
      <c r="J240" s="9">
        <v>1.0000000000000001E-5</v>
      </c>
      <c r="K240" s="9">
        <v>1.0000000000000001E-5</v>
      </c>
      <c r="L240" s="15">
        <f>IFERROR(IF((K240/J240)&gt;1.3,1.3,K240/J240),"")</f>
        <v>1</v>
      </c>
      <c r="M240" s="15">
        <f t="shared" ref="M240:M272" si="43">IFERROR(K240/J240,"")</f>
        <v>1</v>
      </c>
      <c r="N240" s="5" t="s">
        <v>490</v>
      </c>
      <c r="O240" s="5" t="s">
        <v>490</v>
      </c>
      <c r="P240" s="5">
        <v>0</v>
      </c>
      <c r="Q240" s="5">
        <v>0</v>
      </c>
      <c r="R240" s="5" t="str">
        <f t="shared" si="37"/>
        <v>106-2024-12-31</v>
      </c>
    </row>
    <row r="241" spans="1:18" x14ac:dyDescent="0.3">
      <c r="A241" s="39">
        <v>108</v>
      </c>
      <c r="B241" s="5" t="s">
        <v>39</v>
      </c>
      <c r="C241" s="5" t="s">
        <v>40</v>
      </c>
      <c r="D241" s="5" t="s">
        <v>25</v>
      </c>
      <c r="E241" s="5" t="s">
        <v>9</v>
      </c>
      <c r="F241" s="6">
        <v>45291</v>
      </c>
      <c r="G241" s="5">
        <f t="shared" si="39"/>
        <v>2023</v>
      </c>
      <c r="H241" s="5" t="str">
        <f t="shared" si="36"/>
        <v>Diciembre</v>
      </c>
      <c r="I241" s="6" t="str">
        <f t="shared" si="42"/>
        <v>2023-2</v>
      </c>
      <c r="J241" s="5" t="s">
        <v>417</v>
      </c>
      <c r="K241" s="5" t="s">
        <v>417</v>
      </c>
      <c r="L241" s="21" t="str">
        <f>IFERROR(K241/J241,"")</f>
        <v/>
      </c>
      <c r="M241" s="15" t="str">
        <f t="shared" si="43"/>
        <v/>
      </c>
      <c r="N241" s="5" t="s">
        <v>417</v>
      </c>
      <c r="O241" s="5" t="s">
        <v>417</v>
      </c>
      <c r="P241" s="5">
        <v>0</v>
      </c>
      <c r="Q241" s="5">
        <v>0</v>
      </c>
      <c r="R241" s="5" t="str">
        <f t="shared" si="37"/>
        <v>108-2023-12-31</v>
      </c>
    </row>
    <row r="242" spans="1:18" x14ac:dyDescent="0.3">
      <c r="A242" s="5">
        <v>108</v>
      </c>
      <c r="B242" s="5" t="s">
        <v>39</v>
      </c>
      <c r="C242" s="5" t="s">
        <v>40</v>
      </c>
      <c r="D242" s="5" t="s">
        <v>25</v>
      </c>
      <c r="E242" s="5" t="s">
        <v>9</v>
      </c>
      <c r="F242" s="6">
        <v>45657</v>
      </c>
      <c r="G242" s="5">
        <f t="shared" si="39"/>
        <v>2024</v>
      </c>
      <c r="H242" s="5" t="str">
        <f t="shared" si="36"/>
        <v>Diciembre</v>
      </c>
      <c r="I242" s="6" t="str">
        <f t="shared" si="42"/>
        <v>2024-2</v>
      </c>
      <c r="J242" s="5"/>
      <c r="K242" s="5"/>
      <c r="L242" s="15" t="str">
        <f>IFERROR(IF((K242/J242)&gt;1.3,1.3,K242/J242),"")</f>
        <v/>
      </c>
      <c r="M242" s="15" t="str">
        <f t="shared" si="43"/>
        <v/>
      </c>
      <c r="N242" s="5"/>
      <c r="O242" s="5"/>
      <c r="P242" s="5">
        <v>0</v>
      </c>
      <c r="Q242" s="5">
        <v>0</v>
      </c>
      <c r="R242" s="5" t="str">
        <f t="shared" si="37"/>
        <v>108-2024-12-31</v>
      </c>
    </row>
    <row r="243" spans="1:18" x14ac:dyDescent="0.3">
      <c r="A243" s="39">
        <v>109</v>
      </c>
      <c r="B243" s="5" t="s">
        <v>39</v>
      </c>
      <c r="C243" s="5" t="s">
        <v>41</v>
      </c>
      <c r="D243" s="5" t="s">
        <v>25</v>
      </c>
      <c r="E243" s="5" t="s">
        <v>9</v>
      </c>
      <c r="F243" s="6">
        <v>45291</v>
      </c>
      <c r="G243" s="5">
        <f t="shared" si="39"/>
        <v>2023</v>
      </c>
      <c r="H243" s="5" t="str">
        <f t="shared" si="36"/>
        <v>Diciembre</v>
      </c>
      <c r="I243" s="6" t="str">
        <f t="shared" si="42"/>
        <v>2023-2</v>
      </c>
      <c r="J243" s="5" t="s">
        <v>417</v>
      </c>
      <c r="K243" s="5" t="s">
        <v>417</v>
      </c>
      <c r="L243" s="21" t="str">
        <f>IFERROR(K243/J243,"")</f>
        <v/>
      </c>
      <c r="M243" s="15" t="str">
        <f t="shared" si="43"/>
        <v/>
      </c>
      <c r="N243" s="5" t="s">
        <v>417</v>
      </c>
      <c r="O243" s="5" t="s">
        <v>417</v>
      </c>
      <c r="P243" s="5">
        <v>0</v>
      </c>
      <c r="Q243" s="5">
        <v>0</v>
      </c>
      <c r="R243" s="5" t="str">
        <f t="shared" si="37"/>
        <v>109-2023-12-31</v>
      </c>
    </row>
    <row r="244" spans="1:18" x14ac:dyDescent="0.3">
      <c r="A244" s="5">
        <v>109</v>
      </c>
      <c r="B244" s="5" t="s">
        <v>39</v>
      </c>
      <c r="C244" s="5" t="s">
        <v>320</v>
      </c>
      <c r="D244" s="5" t="s">
        <v>25</v>
      </c>
      <c r="E244" s="5" t="s">
        <v>9</v>
      </c>
      <c r="F244" s="6">
        <v>45657</v>
      </c>
      <c r="G244" s="5">
        <f t="shared" si="39"/>
        <v>2024</v>
      </c>
      <c r="H244" s="5" t="str">
        <f t="shared" si="36"/>
        <v>Diciembre</v>
      </c>
      <c r="I244" s="6" t="str">
        <f t="shared" si="42"/>
        <v>2024-2</v>
      </c>
      <c r="J244" s="5"/>
      <c r="K244" s="5"/>
      <c r="L244" s="15" t="str">
        <f>IFERROR(IF((K244/J244)&gt;1.3,1.3,K244/J244),"")</f>
        <v/>
      </c>
      <c r="M244" s="15" t="str">
        <f t="shared" si="43"/>
        <v/>
      </c>
      <c r="N244" s="5"/>
      <c r="O244" s="5"/>
      <c r="P244" s="5">
        <v>0</v>
      </c>
      <c r="Q244" s="5">
        <v>0</v>
      </c>
      <c r="R244" s="5" t="str">
        <f t="shared" si="37"/>
        <v>109-2024-12-31</v>
      </c>
    </row>
    <row r="245" spans="1:18" x14ac:dyDescent="0.3">
      <c r="A245" s="5">
        <v>110</v>
      </c>
      <c r="B245" s="5" t="s">
        <v>39</v>
      </c>
      <c r="C245" s="5" t="s">
        <v>84</v>
      </c>
      <c r="D245" s="5" t="s">
        <v>25</v>
      </c>
      <c r="E245" s="5" t="s">
        <v>9</v>
      </c>
      <c r="F245" s="6">
        <v>44865</v>
      </c>
      <c r="G245" s="5">
        <v>2022</v>
      </c>
      <c r="H245" s="5" t="str">
        <f t="shared" si="36"/>
        <v>Octubre</v>
      </c>
      <c r="I245" s="6" t="str">
        <f t="shared" si="42"/>
        <v>2022-2</v>
      </c>
      <c r="J245" s="5">
        <v>80</v>
      </c>
      <c r="K245" s="5">
        <v>73.401915113871596</v>
      </c>
      <c r="L245" s="21">
        <f>IFERROR(K245/J245,"")</f>
        <v>0.9175239389233949</v>
      </c>
      <c r="M245" s="15">
        <f t="shared" si="43"/>
        <v>0.9175239389233949</v>
      </c>
      <c r="N245" s="5" t="s">
        <v>347</v>
      </c>
      <c r="O245" s="5" t="s">
        <v>347</v>
      </c>
      <c r="P245" s="5">
        <v>0</v>
      </c>
      <c r="Q245" s="5">
        <v>0</v>
      </c>
      <c r="R245" s="5" t="str">
        <f t="shared" si="37"/>
        <v>110-2022-10-31</v>
      </c>
    </row>
    <row r="246" spans="1:18" x14ac:dyDescent="0.3">
      <c r="A246" s="5">
        <v>110</v>
      </c>
      <c r="B246" s="5" t="s">
        <v>39</v>
      </c>
      <c r="C246" s="5" t="s">
        <v>84</v>
      </c>
      <c r="D246" s="5" t="s">
        <v>25</v>
      </c>
      <c r="E246" s="5" t="s">
        <v>9</v>
      </c>
      <c r="F246" s="6">
        <v>45291</v>
      </c>
      <c r="G246" s="5">
        <v>2023</v>
      </c>
      <c r="H246" s="5" t="str">
        <f t="shared" si="36"/>
        <v>Diciembre</v>
      </c>
      <c r="I246" s="6" t="str">
        <f t="shared" si="42"/>
        <v>2023-2</v>
      </c>
      <c r="J246" s="5">
        <v>80</v>
      </c>
      <c r="K246" s="5">
        <v>78</v>
      </c>
      <c r="L246" s="21">
        <f>IFERROR(K246/J246,"")</f>
        <v>0.97499999999999998</v>
      </c>
      <c r="M246" s="15">
        <f t="shared" si="43"/>
        <v>0.97499999999999998</v>
      </c>
      <c r="N246" s="5" t="s">
        <v>347</v>
      </c>
      <c r="O246" s="5" t="s">
        <v>347</v>
      </c>
      <c r="P246" s="5">
        <v>0</v>
      </c>
      <c r="Q246" s="5">
        <v>0</v>
      </c>
      <c r="R246" s="5" t="str">
        <f t="shared" si="37"/>
        <v>110-2023-12-31</v>
      </c>
    </row>
    <row r="247" spans="1:18" x14ac:dyDescent="0.3">
      <c r="A247" s="5">
        <v>110</v>
      </c>
      <c r="B247" s="5" t="s">
        <v>39</v>
      </c>
      <c r="C247" s="5" t="s">
        <v>42</v>
      </c>
      <c r="D247" s="5" t="s">
        <v>25</v>
      </c>
      <c r="E247" s="5" t="s">
        <v>9</v>
      </c>
      <c r="F247" s="6">
        <v>45657</v>
      </c>
      <c r="G247" s="5">
        <f>YEAR(F247)</f>
        <v>2024</v>
      </c>
      <c r="H247" s="5" t="str">
        <f t="shared" si="36"/>
        <v>Diciembre</v>
      </c>
      <c r="I247" s="6" t="str">
        <f t="shared" si="42"/>
        <v>2024-2</v>
      </c>
      <c r="J247" s="5"/>
      <c r="K247" s="5"/>
      <c r="L247" s="15" t="str">
        <f>IFERROR(IF((K247/J247)&gt;1.3,1.3,K247/J247),"")</f>
        <v/>
      </c>
      <c r="M247" s="15" t="str">
        <f t="shared" si="43"/>
        <v/>
      </c>
      <c r="N247" s="5"/>
      <c r="O247" s="5"/>
      <c r="P247" s="5">
        <v>0</v>
      </c>
      <c r="Q247" s="5">
        <v>0</v>
      </c>
      <c r="R247" s="5" t="str">
        <f t="shared" si="37"/>
        <v>110-2024-12-31</v>
      </c>
    </row>
    <row r="248" spans="1:18" x14ac:dyDescent="0.3">
      <c r="A248" s="39">
        <v>111</v>
      </c>
      <c r="B248" s="5" t="s">
        <v>39</v>
      </c>
      <c r="C248" s="5" t="s">
        <v>7</v>
      </c>
      <c r="D248" s="5" t="s">
        <v>11</v>
      </c>
      <c r="E248" s="5" t="s">
        <v>9</v>
      </c>
      <c r="F248" s="6">
        <v>45107</v>
      </c>
      <c r="G248" s="5">
        <f>YEAR(F248)</f>
        <v>2023</v>
      </c>
      <c r="H248" s="5" t="str">
        <f t="shared" si="36"/>
        <v>Junio</v>
      </c>
      <c r="I248" s="6" t="str">
        <f t="shared" si="42"/>
        <v>2023-1</v>
      </c>
      <c r="J248" s="5">
        <v>80</v>
      </c>
      <c r="K248" s="10">
        <v>88.5</v>
      </c>
      <c r="L248" s="21">
        <f>IFERROR(K248/J248,"")</f>
        <v>1.10625</v>
      </c>
      <c r="M248" s="15">
        <f t="shared" si="43"/>
        <v>1.10625</v>
      </c>
      <c r="N248" s="5" t="s">
        <v>347</v>
      </c>
      <c r="O248" s="5" t="s">
        <v>347</v>
      </c>
      <c r="P248" s="5">
        <v>0</v>
      </c>
      <c r="Q248" s="5">
        <v>0</v>
      </c>
      <c r="R248" s="5" t="str">
        <f t="shared" si="37"/>
        <v>111-2023-06-30</v>
      </c>
    </row>
    <row r="249" spans="1:18" x14ac:dyDescent="0.3">
      <c r="A249" s="39">
        <v>111</v>
      </c>
      <c r="B249" s="5" t="s">
        <v>39</v>
      </c>
      <c r="C249" s="5" t="s">
        <v>7</v>
      </c>
      <c r="D249" s="5" t="s">
        <v>11</v>
      </c>
      <c r="E249" s="5" t="s">
        <v>9</v>
      </c>
      <c r="F249" s="6">
        <v>45291</v>
      </c>
      <c r="G249" s="5">
        <f>YEAR(F249)</f>
        <v>2023</v>
      </c>
      <c r="H249" s="5" t="str">
        <f t="shared" si="36"/>
        <v>Diciembre</v>
      </c>
      <c r="I249" s="6" t="str">
        <f t="shared" si="42"/>
        <v>2023-2</v>
      </c>
      <c r="J249" s="5">
        <v>80</v>
      </c>
      <c r="K249" s="10">
        <v>94.5</v>
      </c>
      <c r="L249" s="21">
        <f>IFERROR(K249/J249,"")</f>
        <v>1.1812499999999999</v>
      </c>
      <c r="M249" s="15">
        <f t="shared" si="43"/>
        <v>1.1812499999999999</v>
      </c>
      <c r="N249" s="5" t="s">
        <v>347</v>
      </c>
      <c r="O249" s="5" t="s">
        <v>347</v>
      </c>
      <c r="P249" s="5">
        <v>0</v>
      </c>
      <c r="Q249" s="5">
        <v>0</v>
      </c>
      <c r="R249" s="5" t="str">
        <f t="shared" si="37"/>
        <v>111-2023-12-31</v>
      </c>
    </row>
    <row r="250" spans="1:18" x14ac:dyDescent="0.3">
      <c r="A250" s="5">
        <v>111</v>
      </c>
      <c r="B250" s="5" t="s">
        <v>39</v>
      </c>
      <c r="C250" s="5" t="s">
        <v>7</v>
      </c>
      <c r="D250" s="5" t="s">
        <v>11</v>
      </c>
      <c r="E250" s="5" t="s">
        <v>9</v>
      </c>
      <c r="F250" s="6">
        <v>45473</v>
      </c>
      <c r="G250" s="5">
        <f>YEAR(F250)</f>
        <v>2024</v>
      </c>
      <c r="H250" s="5" t="str">
        <f t="shared" si="36"/>
        <v>Junio</v>
      </c>
      <c r="I250" s="6" t="str">
        <f t="shared" si="42"/>
        <v>2024-1</v>
      </c>
      <c r="J250" s="5">
        <v>80</v>
      </c>
      <c r="K250" s="10">
        <v>96</v>
      </c>
      <c r="L250" s="15">
        <f>IFERROR(IF((K250/J250)&gt;1.3,1.3,K250/J250),"")</f>
        <v>1.2</v>
      </c>
      <c r="M250" s="15">
        <f t="shared" si="43"/>
        <v>1.2</v>
      </c>
      <c r="N250" s="5" t="s">
        <v>347</v>
      </c>
      <c r="O250" s="5" t="s">
        <v>347</v>
      </c>
      <c r="P250" s="5">
        <v>0</v>
      </c>
      <c r="Q250" s="5">
        <v>0</v>
      </c>
      <c r="R250" s="5" t="str">
        <f t="shared" si="37"/>
        <v>111-2024-06-30</v>
      </c>
    </row>
    <row r="251" spans="1:18" x14ac:dyDescent="0.3">
      <c r="A251" s="5">
        <v>111</v>
      </c>
      <c r="B251" s="5" t="s">
        <v>39</v>
      </c>
      <c r="C251" s="5" t="s">
        <v>7</v>
      </c>
      <c r="D251" s="5" t="s">
        <v>11</v>
      </c>
      <c r="E251" s="5" t="s">
        <v>9</v>
      </c>
      <c r="F251" s="6">
        <v>45657</v>
      </c>
      <c r="G251" s="5">
        <f>YEAR(F251)</f>
        <v>2024</v>
      </c>
      <c r="H251" s="5" t="str">
        <f t="shared" si="36"/>
        <v>Diciembre</v>
      </c>
      <c r="I251" s="6" t="str">
        <f t="shared" si="42"/>
        <v>2024-2</v>
      </c>
      <c r="J251" s="5">
        <v>80</v>
      </c>
      <c r="K251" s="10">
        <v>89.35</v>
      </c>
      <c r="L251" s="15">
        <f>IFERROR(IF((K251/J251)&gt;1.3,1.3,K251/J251),"")</f>
        <v>1.1168749999999998</v>
      </c>
      <c r="M251" s="15">
        <f t="shared" si="43"/>
        <v>1.1168749999999998</v>
      </c>
      <c r="N251" s="5" t="s">
        <v>347</v>
      </c>
      <c r="O251" s="5" t="s">
        <v>347</v>
      </c>
      <c r="P251" s="5">
        <v>0</v>
      </c>
      <c r="Q251" s="5">
        <v>0</v>
      </c>
      <c r="R251" s="5" t="str">
        <f t="shared" si="37"/>
        <v>111-2024-12-31</v>
      </c>
    </row>
    <row r="252" spans="1:18" x14ac:dyDescent="0.3">
      <c r="A252" s="5">
        <v>112</v>
      </c>
      <c r="B252" s="5" t="s">
        <v>39</v>
      </c>
      <c r="C252" s="5" t="s">
        <v>43</v>
      </c>
      <c r="D252" s="5" t="s">
        <v>25</v>
      </c>
      <c r="E252" s="5" t="s">
        <v>9</v>
      </c>
      <c r="F252" s="6">
        <v>44865</v>
      </c>
      <c r="G252" s="5">
        <v>2022</v>
      </c>
      <c r="H252" s="5" t="str">
        <f t="shared" si="36"/>
        <v>Octubre</v>
      </c>
      <c r="I252" s="6" t="str">
        <f t="shared" si="42"/>
        <v>2022-2</v>
      </c>
      <c r="J252" s="5">
        <v>80</v>
      </c>
      <c r="K252" s="5">
        <v>74.166215125198292</v>
      </c>
      <c r="L252" s="21">
        <f>IFERROR(K252/J252,"")</f>
        <v>0.92707768906497867</v>
      </c>
      <c r="M252" s="15">
        <f t="shared" si="43"/>
        <v>0.92707768906497867</v>
      </c>
      <c r="N252" s="5" t="s">
        <v>347</v>
      </c>
      <c r="O252" s="5" t="s">
        <v>347</v>
      </c>
      <c r="P252" s="5">
        <v>0</v>
      </c>
      <c r="Q252" s="5">
        <v>0</v>
      </c>
      <c r="R252" s="5" t="str">
        <f t="shared" si="37"/>
        <v>112-2022-10-31</v>
      </c>
    </row>
    <row r="253" spans="1:18" x14ac:dyDescent="0.3">
      <c r="A253" s="5">
        <v>112</v>
      </c>
      <c r="B253" s="5" t="s">
        <v>39</v>
      </c>
      <c r="C253" s="5" t="s">
        <v>43</v>
      </c>
      <c r="D253" s="5" t="s">
        <v>25</v>
      </c>
      <c r="E253" s="5" t="s">
        <v>9</v>
      </c>
      <c r="F253" s="6">
        <v>45291</v>
      </c>
      <c r="G253" s="5">
        <v>2023</v>
      </c>
      <c r="H253" s="5" t="str">
        <f t="shared" si="36"/>
        <v>Diciembre</v>
      </c>
      <c r="I253" s="6" t="str">
        <f t="shared" si="42"/>
        <v>2023-2</v>
      </c>
      <c r="J253" s="5">
        <v>80</v>
      </c>
      <c r="K253" s="5">
        <v>89.603847284377991</v>
      </c>
      <c r="L253" s="21">
        <f>IFERROR(K253/J253,"")</f>
        <v>1.1200480910547248</v>
      </c>
      <c r="M253" s="15">
        <f t="shared" si="43"/>
        <v>1.1200480910547248</v>
      </c>
      <c r="N253" s="5" t="s">
        <v>347</v>
      </c>
      <c r="O253" s="5" t="s">
        <v>347</v>
      </c>
      <c r="P253" s="5">
        <v>0</v>
      </c>
      <c r="Q253" s="5">
        <v>0</v>
      </c>
      <c r="R253" s="5" t="str">
        <f t="shared" si="37"/>
        <v>112-2023-12-31</v>
      </c>
    </row>
    <row r="254" spans="1:18" x14ac:dyDescent="0.3">
      <c r="A254" s="5">
        <v>112</v>
      </c>
      <c r="B254" s="5" t="s">
        <v>39</v>
      </c>
      <c r="C254" s="5" t="s">
        <v>43</v>
      </c>
      <c r="D254" s="5" t="s">
        <v>25</v>
      </c>
      <c r="E254" s="5" t="s">
        <v>9</v>
      </c>
      <c r="F254" s="6">
        <v>45657</v>
      </c>
      <c r="G254" s="5">
        <f>YEAR(F254)</f>
        <v>2024</v>
      </c>
      <c r="H254" s="5" t="str">
        <f t="shared" si="36"/>
        <v>Diciembre</v>
      </c>
      <c r="I254" s="6" t="str">
        <f t="shared" si="42"/>
        <v>2024-2</v>
      </c>
      <c r="J254" s="5">
        <v>80</v>
      </c>
      <c r="K254" s="5">
        <v>90</v>
      </c>
      <c r="L254" s="15">
        <f>IFERROR(IF((K254/J254)&gt;1.3,1.3,K254/J254),"")</f>
        <v>1.125</v>
      </c>
      <c r="M254" s="15">
        <f t="shared" si="43"/>
        <v>1.125</v>
      </c>
      <c r="N254" s="5" t="s">
        <v>347</v>
      </c>
      <c r="O254" s="5" t="s">
        <v>347</v>
      </c>
      <c r="P254" s="5">
        <v>0</v>
      </c>
      <c r="Q254" s="5">
        <v>0</v>
      </c>
      <c r="R254" s="5" t="str">
        <f t="shared" si="37"/>
        <v>112-2024-12-31</v>
      </c>
    </row>
    <row r="255" spans="1:18" x14ac:dyDescent="0.3">
      <c r="A255" s="5">
        <v>113</v>
      </c>
      <c r="B255" s="5" t="s">
        <v>39</v>
      </c>
      <c r="C255" s="5" t="s">
        <v>438</v>
      </c>
      <c r="D255" s="5" t="s">
        <v>25</v>
      </c>
      <c r="E255" s="5" t="s">
        <v>9</v>
      </c>
      <c r="F255" s="6">
        <v>44865</v>
      </c>
      <c r="G255" s="5">
        <v>2022</v>
      </c>
      <c r="H255" s="5" t="str">
        <f t="shared" si="36"/>
        <v>Octubre</v>
      </c>
      <c r="I255" s="6" t="str">
        <f t="shared" si="42"/>
        <v>2022-2</v>
      </c>
      <c r="J255" s="5">
        <v>80</v>
      </c>
      <c r="K255" s="5">
        <v>76.616718813056906</v>
      </c>
      <c r="L255" s="21">
        <f>IFERROR(K255/J255,"")</f>
        <v>0.95770898516321135</v>
      </c>
      <c r="M255" s="15">
        <f t="shared" si="43"/>
        <v>0.95770898516321135</v>
      </c>
      <c r="N255" s="5" t="s">
        <v>347</v>
      </c>
      <c r="O255" s="5" t="s">
        <v>347</v>
      </c>
      <c r="P255" s="5">
        <v>0</v>
      </c>
      <c r="Q255" s="5">
        <v>0</v>
      </c>
      <c r="R255" s="5" t="str">
        <f t="shared" si="37"/>
        <v>113-2022-10-31</v>
      </c>
    </row>
    <row r="256" spans="1:18" x14ac:dyDescent="0.3">
      <c r="A256" s="5">
        <v>113</v>
      </c>
      <c r="B256" s="5" t="s">
        <v>39</v>
      </c>
      <c r="C256" s="5" t="s">
        <v>438</v>
      </c>
      <c r="D256" s="5" t="s">
        <v>25</v>
      </c>
      <c r="E256" s="5" t="s">
        <v>9</v>
      </c>
      <c r="F256" s="6">
        <v>45230</v>
      </c>
      <c r="G256" s="5">
        <v>2023</v>
      </c>
      <c r="H256" s="5" t="str">
        <f t="shared" si="36"/>
        <v>Octubre</v>
      </c>
      <c r="I256" s="6" t="str">
        <f t="shared" si="42"/>
        <v>2023-2</v>
      </c>
      <c r="J256" s="5">
        <v>80</v>
      </c>
      <c r="K256" s="5">
        <v>88.101513502306503</v>
      </c>
      <c r="L256" s="21">
        <f>IFERROR(K256/J256,"")</f>
        <v>1.1012689187788314</v>
      </c>
      <c r="M256" s="15">
        <f t="shared" si="43"/>
        <v>1.1012689187788314</v>
      </c>
      <c r="N256" s="5" t="s">
        <v>347</v>
      </c>
      <c r="O256" s="5" t="s">
        <v>347</v>
      </c>
      <c r="P256" s="5">
        <v>0</v>
      </c>
      <c r="Q256" s="5">
        <v>0</v>
      </c>
      <c r="R256" s="5" t="str">
        <f t="shared" si="37"/>
        <v>113-2023-10-31</v>
      </c>
    </row>
    <row r="257" spans="1:18" x14ac:dyDescent="0.3">
      <c r="A257" s="5">
        <v>113</v>
      </c>
      <c r="B257" s="5" t="s">
        <v>39</v>
      </c>
      <c r="C257" s="5" t="s">
        <v>438</v>
      </c>
      <c r="D257" s="5" t="s">
        <v>25</v>
      </c>
      <c r="E257" s="5" t="s">
        <v>9</v>
      </c>
      <c r="F257" s="6">
        <v>45596</v>
      </c>
      <c r="G257" s="5">
        <f>YEAR(F257)</f>
        <v>2024</v>
      </c>
      <c r="H257" s="5" t="str">
        <f t="shared" si="36"/>
        <v>Octubre</v>
      </c>
      <c r="I257" s="6" t="str">
        <f t="shared" si="42"/>
        <v>2024-2</v>
      </c>
      <c r="J257" s="5">
        <v>80</v>
      </c>
      <c r="K257" s="5">
        <v>88</v>
      </c>
      <c r="L257" s="15">
        <f>IFERROR(IF((K257/J257)&gt;1.3,1.3,K257/J257),"")</f>
        <v>1.1000000000000001</v>
      </c>
      <c r="M257" s="15">
        <f t="shared" si="43"/>
        <v>1.1000000000000001</v>
      </c>
      <c r="N257" s="5" t="s">
        <v>347</v>
      </c>
      <c r="O257" s="5" t="s">
        <v>347</v>
      </c>
      <c r="P257" s="5">
        <v>0</v>
      </c>
      <c r="Q257" s="5">
        <v>0</v>
      </c>
      <c r="R257" s="5" t="str">
        <f t="shared" si="37"/>
        <v>113-2024-10-31</v>
      </c>
    </row>
    <row r="258" spans="1:18" x14ac:dyDescent="0.3">
      <c r="A258" s="5">
        <v>114</v>
      </c>
      <c r="B258" s="5" t="s">
        <v>39</v>
      </c>
      <c r="C258" s="5" t="s">
        <v>343</v>
      </c>
      <c r="D258" s="5" t="s">
        <v>25</v>
      </c>
      <c r="E258" s="5" t="s">
        <v>9</v>
      </c>
      <c r="F258" s="6">
        <v>44865</v>
      </c>
      <c r="G258" s="5">
        <v>2022</v>
      </c>
      <c r="H258" s="5" t="str">
        <f t="shared" ref="H258:H320" si="44">PROPER(TEXT(F258,"mmmm"))</f>
        <v>Octubre</v>
      </c>
      <c r="I258" s="6" t="str">
        <f t="shared" si="42"/>
        <v>2022-2</v>
      </c>
      <c r="J258" s="5">
        <v>80</v>
      </c>
      <c r="K258" s="5">
        <v>79.427055947965997</v>
      </c>
      <c r="L258" s="21">
        <f>IFERROR(K258/J258,"")</f>
        <v>0.99283819934957496</v>
      </c>
      <c r="M258" s="15">
        <f t="shared" si="43"/>
        <v>0.99283819934957496</v>
      </c>
      <c r="N258" s="5" t="s">
        <v>347</v>
      </c>
      <c r="O258" s="5" t="s">
        <v>347</v>
      </c>
      <c r="P258" s="5">
        <v>0</v>
      </c>
      <c r="Q258" s="5">
        <v>0</v>
      </c>
      <c r="R258" s="5" t="str">
        <f t="shared" ref="R258:R321" si="45">A258&amp;"-"&amp;YEAR(F258)&amp;"-"&amp;IF(LEN(MONTH(F258))=1,"0"&amp;MONTH(F258),MONTH(F258))&amp;"-"&amp;DAY(F258)</f>
        <v>114-2022-10-31</v>
      </c>
    </row>
    <row r="259" spans="1:18" x14ac:dyDescent="0.3">
      <c r="A259" s="5">
        <v>114</v>
      </c>
      <c r="B259" s="5" t="s">
        <v>39</v>
      </c>
      <c r="C259" s="5" t="s">
        <v>343</v>
      </c>
      <c r="D259" s="5" t="s">
        <v>25</v>
      </c>
      <c r="E259" s="5" t="s">
        <v>9</v>
      </c>
      <c r="F259" s="6">
        <v>45230</v>
      </c>
      <c r="G259" s="5">
        <v>2023</v>
      </c>
      <c r="H259" s="5" t="str">
        <f t="shared" si="44"/>
        <v>Octubre</v>
      </c>
      <c r="I259" s="6" t="str">
        <f t="shared" si="42"/>
        <v>2023-2</v>
      </c>
      <c r="J259" s="5">
        <v>80</v>
      </c>
      <c r="K259" s="5">
        <v>86.20923251499039</v>
      </c>
      <c r="L259" s="21">
        <f>IFERROR(K259/J259,"")</f>
        <v>1.07761540643738</v>
      </c>
      <c r="M259" s="15">
        <f t="shared" si="43"/>
        <v>1.07761540643738</v>
      </c>
      <c r="N259" s="5" t="s">
        <v>347</v>
      </c>
      <c r="O259" s="5" t="s">
        <v>347</v>
      </c>
      <c r="P259" s="5">
        <v>0</v>
      </c>
      <c r="Q259" s="5">
        <v>0</v>
      </c>
      <c r="R259" s="5" t="str">
        <f t="shared" si="45"/>
        <v>114-2023-10-31</v>
      </c>
    </row>
    <row r="260" spans="1:18" x14ac:dyDescent="0.3">
      <c r="A260" s="5">
        <v>114</v>
      </c>
      <c r="B260" s="5" t="s">
        <v>39</v>
      </c>
      <c r="C260" s="5" t="s">
        <v>343</v>
      </c>
      <c r="D260" s="5" t="s">
        <v>25</v>
      </c>
      <c r="E260" s="5" t="s">
        <v>9</v>
      </c>
      <c r="F260" s="6">
        <v>45596</v>
      </c>
      <c r="G260" s="5">
        <f t="shared" ref="G260:G266" si="46">YEAR(F260)</f>
        <v>2024</v>
      </c>
      <c r="H260" s="5" t="str">
        <f t="shared" si="44"/>
        <v>Octubre</v>
      </c>
      <c r="I260" s="6" t="str">
        <f t="shared" si="42"/>
        <v>2024-2</v>
      </c>
      <c r="J260" s="5">
        <v>80</v>
      </c>
      <c r="K260" s="5">
        <v>81</v>
      </c>
      <c r="L260" s="15">
        <f>IFERROR(IF((K260/J260)&gt;1.3,1.3,K260/J260),"")</f>
        <v>1.0125</v>
      </c>
      <c r="M260" s="15">
        <f t="shared" si="43"/>
        <v>1.0125</v>
      </c>
      <c r="N260" s="5" t="s">
        <v>347</v>
      </c>
      <c r="O260" s="5" t="s">
        <v>347</v>
      </c>
      <c r="P260" s="5">
        <v>0</v>
      </c>
      <c r="Q260" s="5">
        <v>0</v>
      </c>
      <c r="R260" s="5" t="str">
        <f t="shared" si="45"/>
        <v>114-2024-10-31</v>
      </c>
    </row>
    <row r="261" spans="1:18" x14ac:dyDescent="0.3">
      <c r="A261" s="39">
        <v>115</v>
      </c>
      <c r="B261" s="5" t="s">
        <v>39</v>
      </c>
      <c r="C261" s="5" t="s">
        <v>24</v>
      </c>
      <c r="D261" s="5" t="s">
        <v>25</v>
      </c>
      <c r="E261" s="5" t="s">
        <v>9</v>
      </c>
      <c r="F261" s="6">
        <v>45291</v>
      </c>
      <c r="G261" s="5">
        <f t="shared" si="46"/>
        <v>2023</v>
      </c>
      <c r="H261" s="5" t="str">
        <f t="shared" si="44"/>
        <v>Diciembre</v>
      </c>
      <c r="I261" s="6" t="str">
        <f t="shared" si="42"/>
        <v>2023-2</v>
      </c>
      <c r="J261" s="5">
        <v>80</v>
      </c>
      <c r="K261" s="5">
        <v>90.789405483854196</v>
      </c>
      <c r="L261" s="21">
        <f>IFERROR(K261/J261,"")</f>
        <v>1.1348675685481775</v>
      </c>
      <c r="M261" s="15">
        <f t="shared" si="43"/>
        <v>1.1348675685481775</v>
      </c>
      <c r="N261" s="5" t="s">
        <v>347</v>
      </c>
      <c r="O261" s="5" t="s">
        <v>347</v>
      </c>
      <c r="P261" s="5">
        <v>0</v>
      </c>
      <c r="Q261" s="5">
        <v>0</v>
      </c>
      <c r="R261" s="5" t="str">
        <f t="shared" si="45"/>
        <v>115-2023-12-31</v>
      </c>
    </row>
    <row r="262" spans="1:18" x14ac:dyDescent="0.3">
      <c r="A262" s="5">
        <v>115</v>
      </c>
      <c r="B262" s="5" t="s">
        <v>39</v>
      </c>
      <c r="C262" s="5" t="s">
        <v>24</v>
      </c>
      <c r="D262" s="5" t="s">
        <v>25</v>
      </c>
      <c r="E262" s="5" t="s">
        <v>9</v>
      </c>
      <c r="F262" s="6">
        <v>45657</v>
      </c>
      <c r="G262" s="5">
        <f t="shared" si="46"/>
        <v>2024</v>
      </c>
      <c r="H262" s="5" t="str">
        <f t="shared" si="44"/>
        <v>Diciembre</v>
      </c>
      <c r="I262" s="6" t="str">
        <f t="shared" si="42"/>
        <v>2024-2</v>
      </c>
      <c r="J262" s="5"/>
      <c r="K262" s="5"/>
      <c r="L262" s="15" t="str">
        <f>IFERROR(IF((K262/J262)&gt;1.3,1.3,K262/J262),"")</f>
        <v/>
      </c>
      <c r="M262" s="15" t="str">
        <f t="shared" si="43"/>
        <v/>
      </c>
      <c r="N262" s="5"/>
      <c r="O262" s="5"/>
      <c r="P262" s="5">
        <v>0</v>
      </c>
      <c r="Q262" s="5">
        <v>0</v>
      </c>
      <c r="R262" s="5" t="str">
        <f t="shared" si="45"/>
        <v>115-2024-12-31</v>
      </c>
    </row>
    <row r="263" spans="1:18" x14ac:dyDescent="0.3">
      <c r="A263" s="5">
        <v>116</v>
      </c>
      <c r="B263" s="5" t="s">
        <v>39</v>
      </c>
      <c r="C263" s="5" t="s">
        <v>20</v>
      </c>
      <c r="D263" s="5" t="s">
        <v>21</v>
      </c>
      <c r="E263" s="5" t="s">
        <v>9</v>
      </c>
      <c r="F263" s="6">
        <v>45107</v>
      </c>
      <c r="G263" s="16">
        <f t="shared" si="46"/>
        <v>2023</v>
      </c>
      <c r="H263" s="6" t="str">
        <f t="shared" si="44"/>
        <v>Junio</v>
      </c>
      <c r="I263" s="6" t="s">
        <v>434</v>
      </c>
      <c r="J263" s="5">
        <v>80</v>
      </c>
      <c r="K263" s="5">
        <v>83.5</v>
      </c>
      <c r="L263" s="21">
        <f>IFERROR(K263/J263,"")</f>
        <v>1.04375</v>
      </c>
      <c r="M263" s="15">
        <f t="shared" si="43"/>
        <v>1.04375</v>
      </c>
      <c r="N263" s="5" t="s">
        <v>347</v>
      </c>
      <c r="O263" s="5" t="s">
        <v>347</v>
      </c>
      <c r="P263" s="5">
        <v>0</v>
      </c>
      <c r="Q263" s="5">
        <v>0</v>
      </c>
      <c r="R263" s="5" t="str">
        <f t="shared" si="45"/>
        <v>116-2023-06-30</v>
      </c>
    </row>
    <row r="264" spans="1:18" x14ac:dyDescent="0.3">
      <c r="A264" s="39">
        <v>116</v>
      </c>
      <c r="B264" s="5" t="s">
        <v>39</v>
      </c>
      <c r="C264" s="5" t="s">
        <v>20</v>
      </c>
      <c r="D264" s="5" t="s">
        <v>21</v>
      </c>
      <c r="E264" s="5" t="s">
        <v>9</v>
      </c>
      <c r="F264" s="6">
        <v>45291</v>
      </c>
      <c r="G264" s="5">
        <f t="shared" si="46"/>
        <v>2023</v>
      </c>
      <c r="H264" s="5" t="str">
        <f t="shared" si="44"/>
        <v>Diciembre</v>
      </c>
      <c r="I264" s="6" t="str">
        <f t="shared" ref="I264:I275" si="47">IF(OR(H264="Enero",H264="Febrero",H264="Marzo",H264="Abril",H264="Mayo",H264="Junio"),G264&amp;"-1",IF(OR(H264="Julio",H264="Agosto",H264="Septiembre",H264="Octubre",H264="Noviembre",H264="Diciembre"),G264&amp;"-2"))</f>
        <v>2023-2</v>
      </c>
      <c r="J264" s="5">
        <v>80</v>
      </c>
      <c r="K264" s="5">
        <v>86.67</v>
      </c>
      <c r="L264" s="21">
        <f>IFERROR(K264/J264,"")</f>
        <v>1.083375</v>
      </c>
      <c r="M264" s="15">
        <f t="shared" si="43"/>
        <v>1.083375</v>
      </c>
      <c r="N264" s="5" t="s">
        <v>347</v>
      </c>
      <c r="O264" s="5" t="s">
        <v>347</v>
      </c>
      <c r="P264" s="5">
        <v>0</v>
      </c>
      <c r="Q264" s="5">
        <v>0</v>
      </c>
      <c r="R264" s="5" t="str">
        <f t="shared" si="45"/>
        <v>116-2023-12-31</v>
      </c>
    </row>
    <row r="265" spans="1:18" x14ac:dyDescent="0.3">
      <c r="A265" s="5">
        <v>116</v>
      </c>
      <c r="B265" s="5" t="s">
        <v>39</v>
      </c>
      <c r="C265" s="5" t="s">
        <v>20</v>
      </c>
      <c r="D265" s="5" t="s">
        <v>21</v>
      </c>
      <c r="E265" s="5" t="s">
        <v>9</v>
      </c>
      <c r="F265" s="6">
        <v>45473</v>
      </c>
      <c r="G265" s="5">
        <f t="shared" si="46"/>
        <v>2024</v>
      </c>
      <c r="H265" s="5" t="str">
        <f t="shared" si="44"/>
        <v>Junio</v>
      </c>
      <c r="I265" s="6" t="str">
        <f t="shared" si="47"/>
        <v>2024-1</v>
      </c>
      <c r="J265" s="5"/>
      <c r="K265" s="5"/>
      <c r="L265" s="15" t="str">
        <f>IFERROR(IF((K265/J265)&gt;1.3,1.3,K265/J265),"")</f>
        <v/>
      </c>
      <c r="M265" s="15" t="str">
        <f t="shared" si="43"/>
        <v/>
      </c>
      <c r="N265" s="5" t="s">
        <v>81</v>
      </c>
      <c r="O265" s="5" t="s">
        <v>81</v>
      </c>
      <c r="P265" s="5">
        <v>0</v>
      </c>
      <c r="Q265" s="5">
        <v>0</v>
      </c>
      <c r="R265" s="5" t="str">
        <f t="shared" si="45"/>
        <v>116-2024-06-30</v>
      </c>
    </row>
    <row r="266" spans="1:18" x14ac:dyDescent="0.3">
      <c r="A266" s="5">
        <v>116</v>
      </c>
      <c r="B266" s="5" t="s">
        <v>39</v>
      </c>
      <c r="C266" s="5" t="s">
        <v>20</v>
      </c>
      <c r="D266" s="5" t="s">
        <v>21</v>
      </c>
      <c r="E266" s="5" t="s">
        <v>9</v>
      </c>
      <c r="F266" s="6">
        <v>45657</v>
      </c>
      <c r="G266" s="5">
        <f t="shared" si="46"/>
        <v>2024</v>
      </c>
      <c r="H266" s="5" t="str">
        <f t="shared" si="44"/>
        <v>Diciembre</v>
      </c>
      <c r="I266" s="6" t="str">
        <f t="shared" si="47"/>
        <v>2024-2</v>
      </c>
      <c r="J266" s="5">
        <v>80</v>
      </c>
      <c r="K266" s="5">
        <v>88</v>
      </c>
      <c r="L266" s="15">
        <f>IFERROR(IF((K266/J266)&gt;1.3,1.3,K266/J266),"")</f>
        <v>1.1000000000000001</v>
      </c>
      <c r="M266" s="15">
        <f t="shared" si="43"/>
        <v>1.1000000000000001</v>
      </c>
      <c r="N266" s="5" t="s">
        <v>347</v>
      </c>
      <c r="O266" s="5" t="s">
        <v>347</v>
      </c>
      <c r="P266" s="5">
        <v>0</v>
      </c>
      <c r="Q266" s="5">
        <v>0</v>
      </c>
      <c r="R266" s="5" t="str">
        <f t="shared" si="45"/>
        <v>116-2024-12-31</v>
      </c>
    </row>
    <row r="267" spans="1:18" x14ac:dyDescent="0.3">
      <c r="A267" s="5">
        <v>117</v>
      </c>
      <c r="B267" s="5" t="s">
        <v>39</v>
      </c>
      <c r="C267" s="5" t="s">
        <v>90</v>
      </c>
      <c r="D267" s="5" t="s">
        <v>25</v>
      </c>
      <c r="E267" s="5" t="s">
        <v>9</v>
      </c>
      <c r="F267" s="6">
        <v>44865</v>
      </c>
      <c r="G267" s="5">
        <v>2022</v>
      </c>
      <c r="H267" s="5" t="str">
        <f t="shared" si="44"/>
        <v>Octubre</v>
      </c>
      <c r="I267" s="6" t="str">
        <f t="shared" si="47"/>
        <v>2022-2</v>
      </c>
      <c r="J267" s="5">
        <v>80</v>
      </c>
      <c r="K267" s="5">
        <v>86.602201544730292</v>
      </c>
      <c r="L267" s="21">
        <f>IFERROR(K267/J267,"")</f>
        <v>1.0825275193091286</v>
      </c>
      <c r="M267" s="15">
        <f t="shared" si="43"/>
        <v>1.0825275193091286</v>
      </c>
      <c r="N267" s="5" t="s">
        <v>347</v>
      </c>
      <c r="O267" s="5" t="s">
        <v>347</v>
      </c>
      <c r="P267" s="5">
        <v>0</v>
      </c>
      <c r="Q267" s="5">
        <v>0</v>
      </c>
      <c r="R267" s="5" t="str">
        <f t="shared" si="45"/>
        <v>117-2022-10-31</v>
      </c>
    </row>
    <row r="268" spans="1:18" x14ac:dyDescent="0.3">
      <c r="A268" s="5">
        <v>117</v>
      </c>
      <c r="B268" s="5" t="s">
        <v>39</v>
      </c>
      <c r="C268" s="5" t="s">
        <v>90</v>
      </c>
      <c r="D268" s="5" t="s">
        <v>25</v>
      </c>
      <c r="E268" s="5" t="s">
        <v>9</v>
      </c>
      <c r="F268" s="6">
        <v>45230</v>
      </c>
      <c r="G268" s="5">
        <v>2023</v>
      </c>
      <c r="H268" s="5" t="str">
        <f t="shared" si="44"/>
        <v>Octubre</v>
      </c>
      <c r="I268" s="6" t="str">
        <f t="shared" si="47"/>
        <v>2023-2</v>
      </c>
      <c r="J268" s="5">
        <v>80</v>
      </c>
      <c r="K268" s="5">
        <v>90.107415856608498</v>
      </c>
      <c r="L268" s="21">
        <f>IFERROR(K268/J268,"")</f>
        <v>1.1263426982076061</v>
      </c>
      <c r="M268" s="15">
        <f t="shared" si="43"/>
        <v>1.1263426982076061</v>
      </c>
      <c r="N268" s="5" t="s">
        <v>347</v>
      </c>
      <c r="O268" s="5" t="s">
        <v>347</v>
      </c>
      <c r="P268" s="5">
        <v>0</v>
      </c>
      <c r="Q268" s="5">
        <v>0</v>
      </c>
      <c r="R268" s="5" t="str">
        <f t="shared" si="45"/>
        <v>117-2023-10-31</v>
      </c>
    </row>
    <row r="269" spans="1:18" x14ac:dyDescent="0.3">
      <c r="A269" s="5">
        <v>117</v>
      </c>
      <c r="B269" s="5" t="s">
        <v>39</v>
      </c>
      <c r="C269" s="5" t="s">
        <v>90</v>
      </c>
      <c r="D269" s="5" t="s">
        <v>25</v>
      </c>
      <c r="E269" s="5" t="s">
        <v>9</v>
      </c>
      <c r="F269" s="6">
        <v>45657</v>
      </c>
      <c r="G269" s="5">
        <f>YEAR(F269)</f>
        <v>2024</v>
      </c>
      <c r="H269" s="5" t="str">
        <f t="shared" si="44"/>
        <v>Diciembre</v>
      </c>
      <c r="I269" s="6" t="str">
        <f t="shared" si="47"/>
        <v>2024-2</v>
      </c>
      <c r="J269" s="5">
        <v>80</v>
      </c>
      <c r="K269" s="5">
        <v>89</v>
      </c>
      <c r="L269" s="15">
        <f>IFERROR(IF((K269/J269)&gt;1.3,1.3,K269/J269),"")</f>
        <v>1.1125</v>
      </c>
      <c r="M269" s="15">
        <f t="shared" si="43"/>
        <v>1.1125</v>
      </c>
      <c r="N269" s="5" t="s">
        <v>347</v>
      </c>
      <c r="O269" s="5" t="s">
        <v>347</v>
      </c>
      <c r="P269" s="5">
        <v>0</v>
      </c>
      <c r="Q269" s="5">
        <v>0</v>
      </c>
      <c r="R269" s="5" t="str">
        <f t="shared" si="45"/>
        <v>117-2024-12-31</v>
      </c>
    </row>
    <row r="270" spans="1:18" x14ac:dyDescent="0.3">
      <c r="A270" s="5">
        <v>118</v>
      </c>
      <c r="B270" s="5" t="s">
        <v>39</v>
      </c>
      <c r="C270" s="5" t="s">
        <v>440</v>
      </c>
      <c r="D270" s="5" t="s">
        <v>25</v>
      </c>
      <c r="E270" s="5" t="s">
        <v>9</v>
      </c>
      <c r="F270" s="6">
        <v>44865</v>
      </c>
      <c r="G270" s="5">
        <v>2022</v>
      </c>
      <c r="H270" s="5" t="str">
        <f t="shared" si="44"/>
        <v>Octubre</v>
      </c>
      <c r="I270" s="6" t="str">
        <f t="shared" si="47"/>
        <v>2022-2</v>
      </c>
      <c r="J270" s="5">
        <v>80</v>
      </c>
      <c r="K270" s="5">
        <v>88.120620620620599</v>
      </c>
      <c r="L270" s="21">
        <f>IFERROR(K270/J270,"")</f>
        <v>1.1015077577577574</v>
      </c>
      <c r="M270" s="15">
        <f t="shared" si="43"/>
        <v>1.1015077577577574</v>
      </c>
      <c r="N270" s="5" t="s">
        <v>347</v>
      </c>
      <c r="O270" s="5" t="s">
        <v>347</v>
      </c>
      <c r="P270" s="5">
        <v>0</v>
      </c>
      <c r="Q270" s="5">
        <v>0</v>
      </c>
      <c r="R270" s="5" t="str">
        <f t="shared" si="45"/>
        <v>118-2022-10-31</v>
      </c>
    </row>
    <row r="271" spans="1:18" x14ac:dyDescent="0.3">
      <c r="A271" s="5">
        <v>118</v>
      </c>
      <c r="B271" s="5" t="s">
        <v>39</v>
      </c>
      <c r="C271" s="5" t="s">
        <v>440</v>
      </c>
      <c r="D271" s="5" t="s">
        <v>25</v>
      </c>
      <c r="E271" s="5" t="s">
        <v>9</v>
      </c>
      <c r="F271" s="6">
        <v>45291</v>
      </c>
      <c r="G271" s="5">
        <v>2023</v>
      </c>
      <c r="H271" s="5" t="str">
        <f t="shared" si="44"/>
        <v>Diciembre</v>
      </c>
      <c r="I271" s="6" t="str">
        <f t="shared" si="47"/>
        <v>2023-2</v>
      </c>
      <c r="J271" s="5">
        <v>80</v>
      </c>
      <c r="K271" s="5">
        <v>94.138576779026195</v>
      </c>
      <c r="L271" s="21">
        <f>IFERROR(K271/J271,"")</f>
        <v>1.1767322097378274</v>
      </c>
      <c r="M271" s="15">
        <f t="shared" si="43"/>
        <v>1.1767322097378274</v>
      </c>
      <c r="N271" s="5" t="s">
        <v>347</v>
      </c>
      <c r="O271" s="5" t="s">
        <v>347</v>
      </c>
      <c r="P271" s="5">
        <v>0</v>
      </c>
      <c r="Q271" s="5">
        <v>0</v>
      </c>
      <c r="R271" s="5" t="str">
        <f t="shared" si="45"/>
        <v>118-2023-12-31</v>
      </c>
    </row>
    <row r="272" spans="1:18" x14ac:dyDescent="0.3">
      <c r="A272" s="5">
        <v>118</v>
      </c>
      <c r="B272" s="5" t="s">
        <v>44</v>
      </c>
      <c r="C272" s="5" t="s">
        <v>45</v>
      </c>
      <c r="D272" s="5" t="s">
        <v>25</v>
      </c>
      <c r="E272" s="5" t="s">
        <v>9</v>
      </c>
      <c r="F272" s="6">
        <v>45657</v>
      </c>
      <c r="G272" s="5">
        <f t="shared" ref="G272:G306" si="48">YEAR(F272)</f>
        <v>2024</v>
      </c>
      <c r="H272" s="5" t="str">
        <f t="shared" si="44"/>
        <v>Diciembre</v>
      </c>
      <c r="I272" s="6" t="str">
        <f t="shared" si="47"/>
        <v>2024-2</v>
      </c>
      <c r="J272" s="5">
        <v>80</v>
      </c>
      <c r="K272" s="5">
        <v>86</v>
      </c>
      <c r="L272" s="15">
        <f>IFERROR(IF((K272/J272)&gt;1.3,1.3,K272/J272),"")</f>
        <v>1.075</v>
      </c>
      <c r="M272" s="15">
        <f t="shared" si="43"/>
        <v>1.075</v>
      </c>
      <c r="N272" s="5" t="s">
        <v>347</v>
      </c>
      <c r="O272" s="5" t="s">
        <v>347</v>
      </c>
      <c r="P272" s="5">
        <v>0</v>
      </c>
      <c r="Q272" s="5">
        <v>0</v>
      </c>
      <c r="R272" s="5" t="str">
        <f t="shared" si="45"/>
        <v>118-2024-12-31</v>
      </c>
    </row>
    <row r="273" spans="1:18" x14ac:dyDescent="0.3">
      <c r="A273" s="5">
        <v>121</v>
      </c>
      <c r="B273" s="5" t="s">
        <v>46</v>
      </c>
      <c r="C273" s="5" t="s">
        <v>13</v>
      </c>
      <c r="D273" s="5" t="s">
        <v>18</v>
      </c>
      <c r="E273" s="5" t="s">
        <v>14</v>
      </c>
      <c r="F273" s="6">
        <v>44742</v>
      </c>
      <c r="G273" s="16">
        <f t="shared" si="48"/>
        <v>2022</v>
      </c>
      <c r="H273" s="6" t="str">
        <f t="shared" si="44"/>
        <v>Junio</v>
      </c>
      <c r="I273" s="6" t="str">
        <f t="shared" si="47"/>
        <v>2022-1</v>
      </c>
      <c r="J273" s="9">
        <v>52112928</v>
      </c>
      <c r="K273" s="9">
        <v>52119221</v>
      </c>
      <c r="L273" s="15">
        <f>IFERROR(IF((J273/K273)&gt;1.3,1.3,J273/K273),"")</f>
        <v>0.99987925759673191</v>
      </c>
      <c r="M273" s="15">
        <f t="shared" ref="M273:M278" si="49">IFERROR(J273/K273,"")</f>
        <v>0.99987925759673191</v>
      </c>
      <c r="N273" s="9" t="s">
        <v>474</v>
      </c>
      <c r="O273" s="9" t="s">
        <v>474</v>
      </c>
      <c r="P273" s="5">
        <v>0</v>
      </c>
      <c r="Q273" s="5">
        <v>0</v>
      </c>
      <c r="R273" s="5" t="str">
        <f t="shared" si="45"/>
        <v>121-2022-06-30</v>
      </c>
    </row>
    <row r="274" spans="1:18" x14ac:dyDescent="0.3">
      <c r="A274" s="5">
        <v>121</v>
      </c>
      <c r="B274" s="5" t="s">
        <v>46</v>
      </c>
      <c r="C274" s="5" t="s">
        <v>13</v>
      </c>
      <c r="D274" s="5" t="s">
        <v>18</v>
      </c>
      <c r="E274" s="5" t="s">
        <v>14</v>
      </c>
      <c r="F274" s="6">
        <v>44926</v>
      </c>
      <c r="G274" s="16">
        <f t="shared" si="48"/>
        <v>2022</v>
      </c>
      <c r="H274" s="6" t="str">
        <f t="shared" si="44"/>
        <v>Diciembre</v>
      </c>
      <c r="I274" s="6" t="str">
        <f t="shared" si="47"/>
        <v>2022-2</v>
      </c>
      <c r="J274" s="9">
        <v>99442439</v>
      </c>
      <c r="K274" s="9">
        <v>99311458</v>
      </c>
      <c r="L274" s="15">
        <f t="shared" ref="L274:L278" si="50">IFERROR(IF((J274/K274)&gt;1.3,1.3,J274/K274),"")</f>
        <v>1.0013188911192905</v>
      </c>
      <c r="M274" s="15">
        <f t="shared" si="49"/>
        <v>1.0013188911192905</v>
      </c>
      <c r="N274" s="9" t="s">
        <v>474</v>
      </c>
      <c r="O274" s="9" t="s">
        <v>474</v>
      </c>
      <c r="P274" s="5">
        <v>0</v>
      </c>
      <c r="Q274" s="5">
        <v>0</v>
      </c>
      <c r="R274" s="5" t="str">
        <f t="shared" si="45"/>
        <v>121-2022-12-31</v>
      </c>
    </row>
    <row r="275" spans="1:18" x14ac:dyDescent="0.3">
      <c r="A275" s="5">
        <v>121</v>
      </c>
      <c r="B275" s="5" t="s">
        <v>46</v>
      </c>
      <c r="C275" s="5" t="s">
        <v>13</v>
      </c>
      <c r="D275" s="5" t="s">
        <v>18</v>
      </c>
      <c r="E275" s="5" t="s">
        <v>14</v>
      </c>
      <c r="F275" s="6">
        <v>45107</v>
      </c>
      <c r="G275" s="16">
        <f t="shared" si="48"/>
        <v>2023</v>
      </c>
      <c r="H275" s="6" t="str">
        <f t="shared" si="44"/>
        <v>Junio</v>
      </c>
      <c r="I275" s="6" t="str">
        <f t="shared" si="47"/>
        <v>2023-1</v>
      </c>
      <c r="J275" s="9">
        <v>59906689</v>
      </c>
      <c r="K275" s="9">
        <v>61361410</v>
      </c>
      <c r="L275" s="15">
        <f t="shared" si="50"/>
        <v>0.97629257541506953</v>
      </c>
      <c r="M275" s="15">
        <f t="shared" si="49"/>
        <v>0.97629257541506953</v>
      </c>
      <c r="N275" s="9" t="s">
        <v>474</v>
      </c>
      <c r="O275" s="9" t="s">
        <v>474</v>
      </c>
      <c r="P275" s="5">
        <v>0</v>
      </c>
      <c r="Q275" s="5">
        <v>0</v>
      </c>
      <c r="R275" s="5" t="str">
        <f t="shared" si="45"/>
        <v>121-2023-06-30</v>
      </c>
    </row>
    <row r="276" spans="1:18" x14ac:dyDescent="0.3">
      <c r="A276" s="39">
        <v>121</v>
      </c>
      <c r="B276" s="5" t="s">
        <v>46</v>
      </c>
      <c r="C276" s="5" t="s">
        <v>13</v>
      </c>
      <c r="D276" s="5" t="s">
        <v>18</v>
      </c>
      <c r="E276" s="5" t="s">
        <v>14</v>
      </c>
      <c r="F276" s="6">
        <v>45291</v>
      </c>
      <c r="G276" s="5">
        <f t="shared" si="48"/>
        <v>2023</v>
      </c>
      <c r="H276" s="5" t="str">
        <f t="shared" si="44"/>
        <v>Diciembre</v>
      </c>
      <c r="I276" s="6" t="str">
        <f t="shared" ref="I276:I279" si="51">IF(OR(H276="Enero",H276="Febrero",H276="Marzo",H276="Abril",H276="Mayo",H276="Junio"),G276&amp;"-1",IF(OR(H276="Julio",H276="Agosto",H276="Septiembre",H276="Octubre",H276="Noviembre",H276="Diciembre"),G276&amp;"-2"))</f>
        <v>2023-2</v>
      </c>
      <c r="J276" s="9">
        <v>110049104</v>
      </c>
      <c r="K276" s="9">
        <v>122487832</v>
      </c>
      <c r="L276" s="15">
        <f t="shared" si="50"/>
        <v>0.89844927616973413</v>
      </c>
      <c r="M276" s="15">
        <f t="shared" si="49"/>
        <v>0.89844927616973413</v>
      </c>
      <c r="N276" s="9" t="s">
        <v>474</v>
      </c>
      <c r="O276" s="9" t="s">
        <v>474</v>
      </c>
      <c r="P276" s="5">
        <v>0</v>
      </c>
      <c r="Q276" s="5">
        <v>0</v>
      </c>
      <c r="R276" s="5" t="str">
        <f t="shared" si="45"/>
        <v>121-2023-12-31</v>
      </c>
    </row>
    <row r="277" spans="1:18" x14ac:dyDescent="0.3">
      <c r="A277" s="5">
        <v>121</v>
      </c>
      <c r="B277" s="5" t="s">
        <v>46</v>
      </c>
      <c r="C277" s="5" t="s">
        <v>13</v>
      </c>
      <c r="D277" s="5" t="s">
        <v>18</v>
      </c>
      <c r="E277" s="5" t="s">
        <v>14</v>
      </c>
      <c r="F277" s="6">
        <v>45473</v>
      </c>
      <c r="G277" s="5">
        <f t="shared" si="48"/>
        <v>2024</v>
      </c>
      <c r="H277" s="5" t="str">
        <f t="shared" si="44"/>
        <v>Junio</v>
      </c>
      <c r="I277" s="6" t="str">
        <f t="shared" si="51"/>
        <v>2024-1</v>
      </c>
      <c r="J277" s="9">
        <v>63722202</v>
      </c>
      <c r="K277" s="9">
        <v>64925860</v>
      </c>
      <c r="L277" s="15">
        <f t="shared" si="50"/>
        <v>0.98146103879101487</v>
      </c>
      <c r="M277" s="15">
        <f t="shared" si="49"/>
        <v>0.98146103879101487</v>
      </c>
      <c r="N277" s="9" t="s">
        <v>474</v>
      </c>
      <c r="O277" s="9" t="s">
        <v>474</v>
      </c>
      <c r="P277" s="5">
        <v>0</v>
      </c>
      <c r="Q277" s="5">
        <v>0</v>
      </c>
      <c r="R277" s="5" t="str">
        <f t="shared" si="45"/>
        <v>121-2024-06-30</v>
      </c>
    </row>
    <row r="278" spans="1:18" x14ac:dyDescent="0.3">
      <c r="A278" s="5">
        <v>121</v>
      </c>
      <c r="B278" s="5" t="s">
        <v>46</v>
      </c>
      <c r="C278" s="5" t="s">
        <v>13</v>
      </c>
      <c r="D278" s="5" t="s">
        <v>18</v>
      </c>
      <c r="E278" s="5" t="s">
        <v>14</v>
      </c>
      <c r="F278" s="6">
        <v>45657</v>
      </c>
      <c r="G278" s="5">
        <f t="shared" si="48"/>
        <v>2024</v>
      </c>
      <c r="H278" s="5" t="str">
        <f t="shared" si="44"/>
        <v>Diciembre</v>
      </c>
      <c r="I278" s="6" t="str">
        <f t="shared" si="51"/>
        <v>2024-2</v>
      </c>
      <c r="J278" s="9">
        <v>122326052</v>
      </c>
      <c r="K278" s="9">
        <v>122528282</v>
      </c>
      <c r="L278" s="15">
        <f t="shared" si="50"/>
        <v>0.99834952390828424</v>
      </c>
      <c r="M278" s="15">
        <f t="shared" si="49"/>
        <v>0.99834952390828424</v>
      </c>
      <c r="N278" s="9" t="s">
        <v>474</v>
      </c>
      <c r="O278" s="9" t="s">
        <v>474</v>
      </c>
      <c r="P278" s="5">
        <v>0</v>
      </c>
      <c r="Q278" s="5">
        <v>0</v>
      </c>
      <c r="R278" s="5" t="str">
        <f t="shared" si="45"/>
        <v>121-2024-12-31</v>
      </c>
    </row>
    <row r="279" spans="1:18" x14ac:dyDescent="0.3">
      <c r="A279" s="39">
        <v>122</v>
      </c>
      <c r="B279" s="5" t="s">
        <v>47</v>
      </c>
      <c r="C279" s="5" t="s">
        <v>45</v>
      </c>
      <c r="D279" s="5" t="s">
        <v>21</v>
      </c>
      <c r="E279" s="5" t="s">
        <v>9</v>
      </c>
      <c r="F279" s="6">
        <v>45107</v>
      </c>
      <c r="G279" s="5">
        <f t="shared" si="48"/>
        <v>2023</v>
      </c>
      <c r="H279" s="5" t="str">
        <f t="shared" si="44"/>
        <v>Junio</v>
      </c>
      <c r="I279" s="6" t="str">
        <f t="shared" si="51"/>
        <v>2023-1</v>
      </c>
      <c r="J279" s="5">
        <v>80</v>
      </c>
      <c r="K279" s="5">
        <v>91.67</v>
      </c>
      <c r="L279" s="21">
        <f>IFERROR(K279/J279,"")</f>
        <v>1.145875</v>
      </c>
      <c r="M279" s="15">
        <f t="shared" ref="M279:M282" si="52">IFERROR(K279/J279,"")</f>
        <v>1.145875</v>
      </c>
      <c r="N279" s="5" t="s">
        <v>347</v>
      </c>
      <c r="O279" s="5" t="s">
        <v>347</v>
      </c>
      <c r="P279" s="5">
        <v>0</v>
      </c>
      <c r="Q279" s="5">
        <v>0</v>
      </c>
      <c r="R279" s="5" t="str">
        <f t="shared" si="45"/>
        <v>122-2023-06-30</v>
      </c>
    </row>
    <row r="280" spans="1:18" x14ac:dyDescent="0.3">
      <c r="A280" s="5">
        <v>122</v>
      </c>
      <c r="B280" s="5" t="s">
        <v>47</v>
      </c>
      <c r="C280" s="5" t="s">
        <v>45</v>
      </c>
      <c r="D280" s="5" t="s">
        <v>21</v>
      </c>
      <c r="E280" s="5" t="s">
        <v>9</v>
      </c>
      <c r="F280" s="6">
        <v>45291</v>
      </c>
      <c r="G280" s="16">
        <f t="shared" si="48"/>
        <v>2023</v>
      </c>
      <c r="H280" s="6" t="str">
        <f t="shared" si="44"/>
        <v>Diciembre</v>
      </c>
      <c r="I280" s="6" t="s">
        <v>434</v>
      </c>
      <c r="J280" s="5">
        <v>80</v>
      </c>
      <c r="K280" s="5">
        <v>90.3</v>
      </c>
      <c r="L280" s="21">
        <f>IFERROR(K280/J280,"")</f>
        <v>1.1287499999999999</v>
      </c>
      <c r="M280" s="15">
        <f t="shared" si="52"/>
        <v>1.1287499999999999</v>
      </c>
      <c r="N280" s="5" t="s">
        <v>347</v>
      </c>
      <c r="O280" s="5" t="s">
        <v>347</v>
      </c>
      <c r="P280" s="5">
        <v>0</v>
      </c>
      <c r="Q280" s="5">
        <v>0</v>
      </c>
      <c r="R280" s="5" t="str">
        <f t="shared" si="45"/>
        <v>122-2023-12-31</v>
      </c>
    </row>
    <row r="281" spans="1:18" x14ac:dyDescent="0.3">
      <c r="A281" s="5">
        <v>122</v>
      </c>
      <c r="B281" s="5" t="s">
        <v>47</v>
      </c>
      <c r="C281" s="5" t="s">
        <v>45</v>
      </c>
      <c r="D281" s="5" t="s">
        <v>21</v>
      </c>
      <c r="E281" s="5" t="s">
        <v>9</v>
      </c>
      <c r="F281" s="6">
        <v>45473</v>
      </c>
      <c r="G281" s="5">
        <f t="shared" si="48"/>
        <v>2024</v>
      </c>
      <c r="H281" s="5" t="str">
        <f t="shared" si="44"/>
        <v>Junio</v>
      </c>
      <c r="I281" s="6" t="str">
        <f t="shared" ref="I281:I333" si="53">IF(OR(H281="Enero",H281="Febrero",H281="Marzo",H281="Abril",H281="Mayo",H281="Junio"),G281&amp;"-1",IF(OR(H281="Julio",H281="Agosto",H281="Septiembre",H281="Octubre",H281="Noviembre",H281="Diciembre"),G281&amp;"-2"))</f>
        <v>2024-1</v>
      </c>
      <c r="J281" s="5">
        <v>80</v>
      </c>
      <c r="K281" s="5">
        <v>96.45</v>
      </c>
      <c r="L281" s="15">
        <f>IFERROR(IF((K281/J281)&gt;1.3,1.3,K281/J281),"")</f>
        <v>1.2056249999999999</v>
      </c>
      <c r="M281" s="15">
        <f t="shared" si="52"/>
        <v>1.2056249999999999</v>
      </c>
      <c r="N281" s="5" t="s">
        <v>347</v>
      </c>
      <c r="O281" s="5" t="s">
        <v>347</v>
      </c>
      <c r="P281" s="5">
        <v>0</v>
      </c>
      <c r="Q281" s="5">
        <v>0</v>
      </c>
      <c r="R281" s="5" t="str">
        <f t="shared" si="45"/>
        <v>122-2024-06-30</v>
      </c>
    </row>
    <row r="282" spans="1:18" x14ac:dyDescent="0.3">
      <c r="A282" s="5">
        <v>122</v>
      </c>
      <c r="B282" s="5" t="s">
        <v>47</v>
      </c>
      <c r="C282" s="5" t="s">
        <v>45</v>
      </c>
      <c r="D282" s="5" t="s">
        <v>21</v>
      </c>
      <c r="E282" s="5" t="s">
        <v>9</v>
      </c>
      <c r="F282" s="6">
        <v>45657</v>
      </c>
      <c r="G282" s="5">
        <f t="shared" si="48"/>
        <v>2024</v>
      </c>
      <c r="H282" s="5" t="str">
        <f t="shared" si="44"/>
        <v>Diciembre</v>
      </c>
      <c r="I282" s="6" t="str">
        <f t="shared" si="53"/>
        <v>2024-2</v>
      </c>
      <c r="J282" s="5">
        <v>80</v>
      </c>
      <c r="K282" s="5">
        <v>92.19</v>
      </c>
      <c r="L282" s="15">
        <f>IFERROR(IF((K282/J282)&gt;1.3,1.3,K282/J282),"")</f>
        <v>1.1523749999999999</v>
      </c>
      <c r="M282" s="15">
        <f t="shared" si="52"/>
        <v>1.1523749999999999</v>
      </c>
      <c r="N282" s="5" t="s">
        <v>347</v>
      </c>
      <c r="O282" s="5" t="s">
        <v>347</v>
      </c>
      <c r="P282" s="5">
        <v>0</v>
      </c>
      <c r="Q282" s="5">
        <v>0</v>
      </c>
      <c r="R282" s="5" t="str">
        <f t="shared" si="45"/>
        <v>122-2024-12-31</v>
      </c>
    </row>
    <row r="283" spans="1:18" x14ac:dyDescent="0.3">
      <c r="A283" s="39">
        <v>124</v>
      </c>
      <c r="B283" s="5" t="s">
        <v>48</v>
      </c>
      <c r="C283" s="5" t="s">
        <v>24</v>
      </c>
      <c r="D283" s="5" t="s">
        <v>18</v>
      </c>
      <c r="E283" s="5" t="s">
        <v>14</v>
      </c>
      <c r="F283" s="6">
        <v>44742</v>
      </c>
      <c r="G283" s="5">
        <f t="shared" si="48"/>
        <v>2022</v>
      </c>
      <c r="H283" s="5" t="str">
        <f t="shared" si="44"/>
        <v>Junio</v>
      </c>
      <c r="I283" s="6" t="str">
        <f t="shared" si="53"/>
        <v>2022-1</v>
      </c>
      <c r="J283" s="5">
        <v>1.6</v>
      </c>
      <c r="K283" s="10">
        <v>0.02</v>
      </c>
      <c r="L283" s="15">
        <v>1</v>
      </c>
      <c r="M283" s="15">
        <v>1</v>
      </c>
      <c r="N283" s="5" t="s">
        <v>478</v>
      </c>
      <c r="O283" s="5" t="s">
        <v>478</v>
      </c>
      <c r="P283" s="5">
        <v>1</v>
      </c>
      <c r="Q283" s="5">
        <v>2</v>
      </c>
      <c r="R283" s="5" t="str">
        <f t="shared" si="45"/>
        <v>124-2022-06-30</v>
      </c>
    </row>
    <row r="284" spans="1:18" x14ac:dyDescent="0.3">
      <c r="A284" s="39">
        <v>124</v>
      </c>
      <c r="B284" s="5" t="s">
        <v>48</v>
      </c>
      <c r="C284" s="5" t="s">
        <v>24</v>
      </c>
      <c r="D284" s="5" t="s">
        <v>18</v>
      </c>
      <c r="E284" s="5" t="s">
        <v>14</v>
      </c>
      <c r="F284" s="6">
        <v>44926</v>
      </c>
      <c r="G284" s="5">
        <f t="shared" si="48"/>
        <v>2022</v>
      </c>
      <c r="H284" s="5" t="str">
        <f t="shared" ref="H284" si="54">PROPER(TEXT(F284,"mmmm"))</f>
        <v>Diciembre</v>
      </c>
      <c r="I284" s="6" t="str">
        <f t="shared" ref="I284" si="55">IF(OR(H284="Enero",H284="Febrero",H284="Marzo",H284="Abril",H284="Mayo",H284="Junio"),G284&amp;"-1",IF(OR(H284="Julio",H284="Agosto",H284="Septiembre",H284="Octubre",H284="Noviembre",H284="Diciembre"),G284&amp;"-2"))</f>
        <v>2022-2</v>
      </c>
      <c r="J284" s="5">
        <v>1.6</v>
      </c>
      <c r="K284" s="5">
        <v>0.04</v>
      </c>
      <c r="L284" s="15">
        <v>1</v>
      </c>
      <c r="M284" s="15">
        <v>1</v>
      </c>
      <c r="N284" s="5" t="s">
        <v>478</v>
      </c>
      <c r="O284" s="5" t="s">
        <v>478</v>
      </c>
      <c r="P284" s="5">
        <v>1</v>
      </c>
      <c r="Q284" s="5">
        <v>2</v>
      </c>
      <c r="R284" s="5" t="str">
        <f t="shared" si="45"/>
        <v>124-2022-12-31</v>
      </c>
    </row>
    <row r="285" spans="1:18" x14ac:dyDescent="0.3">
      <c r="A285" s="39">
        <v>124</v>
      </c>
      <c r="B285" s="5" t="s">
        <v>48</v>
      </c>
      <c r="C285" s="5" t="s">
        <v>24</v>
      </c>
      <c r="D285" s="5" t="s">
        <v>18</v>
      </c>
      <c r="E285" s="5" t="s">
        <v>14</v>
      </c>
      <c r="F285" s="6">
        <v>45107</v>
      </c>
      <c r="G285" s="5">
        <f t="shared" si="48"/>
        <v>2023</v>
      </c>
      <c r="H285" s="5" t="str">
        <f t="shared" ref="H285" si="56">PROPER(TEXT(F285,"mmmm"))</f>
        <v>Junio</v>
      </c>
      <c r="I285" s="6" t="str">
        <f t="shared" ref="I285" si="57">IF(OR(H285="Enero",H285="Febrero",H285="Marzo",H285="Abril",H285="Mayo",H285="Junio"),G285&amp;"-1",IF(OR(H285="Julio",H285="Agosto",H285="Septiembre",H285="Octubre",H285="Noviembre",H285="Diciembre"),G285&amp;"-2"))</f>
        <v>2023-1</v>
      </c>
      <c r="J285" s="5">
        <v>1.6</v>
      </c>
      <c r="K285" s="10">
        <v>2.5000000000000001E-2</v>
      </c>
      <c r="L285" s="15">
        <v>1</v>
      </c>
      <c r="M285" s="15">
        <v>1</v>
      </c>
      <c r="N285" s="5" t="s">
        <v>478</v>
      </c>
      <c r="O285" s="5" t="s">
        <v>478</v>
      </c>
      <c r="P285" s="5">
        <v>1</v>
      </c>
      <c r="Q285" s="5">
        <v>2</v>
      </c>
      <c r="R285" s="5" t="str">
        <f t="shared" si="45"/>
        <v>124-2023-06-30</v>
      </c>
    </row>
    <row r="286" spans="1:18" x14ac:dyDescent="0.3">
      <c r="A286" s="39">
        <v>124</v>
      </c>
      <c r="B286" s="5" t="s">
        <v>48</v>
      </c>
      <c r="C286" s="5" t="s">
        <v>24</v>
      </c>
      <c r="D286" s="5" t="s">
        <v>18</v>
      </c>
      <c r="E286" s="5" t="s">
        <v>14</v>
      </c>
      <c r="F286" s="6">
        <v>45291</v>
      </c>
      <c r="G286" s="5">
        <f t="shared" si="48"/>
        <v>2023</v>
      </c>
      <c r="H286" s="5" t="str">
        <f t="shared" si="44"/>
        <v>Diciembre</v>
      </c>
      <c r="I286" s="6" t="str">
        <f t="shared" si="53"/>
        <v>2023-2</v>
      </c>
      <c r="J286" s="5">
        <v>1.6</v>
      </c>
      <c r="K286" s="5">
        <v>0.03</v>
      </c>
      <c r="L286" s="15">
        <v>1</v>
      </c>
      <c r="M286" s="15">
        <v>1</v>
      </c>
      <c r="N286" s="5" t="s">
        <v>478</v>
      </c>
      <c r="O286" s="5" t="s">
        <v>478</v>
      </c>
      <c r="P286" s="5">
        <v>1</v>
      </c>
      <c r="Q286" s="5">
        <v>2</v>
      </c>
      <c r="R286" s="5" t="str">
        <f t="shared" si="45"/>
        <v>124-2023-12-31</v>
      </c>
    </row>
    <row r="287" spans="1:18" x14ac:dyDescent="0.3">
      <c r="A287" s="5">
        <v>124</v>
      </c>
      <c r="B287" s="5" t="s">
        <v>48</v>
      </c>
      <c r="C287" s="5" t="s">
        <v>24</v>
      </c>
      <c r="D287" s="5" t="s">
        <v>18</v>
      </c>
      <c r="E287" s="5" t="s">
        <v>14</v>
      </c>
      <c r="F287" s="6">
        <v>45473</v>
      </c>
      <c r="G287" s="5">
        <f t="shared" si="48"/>
        <v>2024</v>
      </c>
      <c r="H287" s="5" t="str">
        <f t="shared" si="44"/>
        <v>Junio</v>
      </c>
      <c r="I287" s="6" t="str">
        <f t="shared" si="53"/>
        <v>2024-1</v>
      </c>
      <c r="J287" s="5">
        <v>0.2</v>
      </c>
      <c r="K287" s="5">
        <v>6.7000000000000002E-3</v>
      </c>
      <c r="L287" s="15">
        <v>1</v>
      </c>
      <c r="M287" s="15">
        <v>1</v>
      </c>
      <c r="N287" s="5" t="s">
        <v>478</v>
      </c>
      <c r="O287" s="5" t="s">
        <v>478</v>
      </c>
      <c r="P287" s="5">
        <v>1</v>
      </c>
      <c r="Q287" s="5">
        <v>3</v>
      </c>
      <c r="R287" s="5" t="str">
        <f t="shared" si="45"/>
        <v>124-2024-06-30</v>
      </c>
    </row>
    <row r="288" spans="1:18" x14ac:dyDescent="0.3">
      <c r="A288" s="5">
        <v>124</v>
      </c>
      <c r="B288" s="5" t="s">
        <v>48</v>
      </c>
      <c r="C288" s="5" t="s">
        <v>24</v>
      </c>
      <c r="D288" s="5" t="s">
        <v>18</v>
      </c>
      <c r="E288" s="5" t="s">
        <v>14</v>
      </c>
      <c r="F288" s="6">
        <v>45657</v>
      </c>
      <c r="G288" s="5">
        <f t="shared" si="48"/>
        <v>2024</v>
      </c>
      <c r="H288" s="5" t="str">
        <f t="shared" si="44"/>
        <v>Diciembre</v>
      </c>
      <c r="I288" s="6" t="str">
        <f t="shared" si="53"/>
        <v>2024-2</v>
      </c>
      <c r="J288" s="5">
        <v>0.2</v>
      </c>
      <c r="K288" s="5">
        <v>1.7999999999999999E-2</v>
      </c>
      <c r="L288" s="15">
        <v>1</v>
      </c>
      <c r="M288" s="15">
        <v>1</v>
      </c>
      <c r="N288" s="5" t="s">
        <v>478</v>
      </c>
      <c r="O288" s="5" t="s">
        <v>478</v>
      </c>
      <c r="P288" s="5">
        <v>1</v>
      </c>
      <c r="Q288" s="5">
        <v>2</v>
      </c>
      <c r="R288" s="5" t="str">
        <f t="shared" si="45"/>
        <v>124-2024-12-31</v>
      </c>
    </row>
    <row r="289" spans="1:18" x14ac:dyDescent="0.3">
      <c r="A289" s="39">
        <v>125</v>
      </c>
      <c r="B289" s="5" t="s">
        <v>49</v>
      </c>
      <c r="C289" s="5" t="s">
        <v>24</v>
      </c>
      <c r="D289" s="5" t="s">
        <v>18</v>
      </c>
      <c r="E289" s="5" t="s">
        <v>14</v>
      </c>
      <c r="F289" s="6">
        <v>44742</v>
      </c>
      <c r="G289" s="5">
        <f t="shared" si="48"/>
        <v>2022</v>
      </c>
      <c r="H289" s="5" t="str">
        <f t="shared" si="44"/>
        <v>Junio</v>
      </c>
      <c r="I289" s="6" t="str">
        <f t="shared" si="53"/>
        <v>2022-1</v>
      </c>
      <c r="J289" s="5">
        <v>4.7</v>
      </c>
      <c r="K289" s="5">
        <v>0.08</v>
      </c>
      <c r="L289" s="8">
        <f t="shared" ref="L289:L299" si="58">IF(K289&lt;=J289,100%,J289/K289)</f>
        <v>1</v>
      </c>
      <c r="M289" s="15">
        <f t="shared" ref="M289:M299" si="59">IF(K289&lt;=J289,100%,J289/K289)</f>
        <v>1</v>
      </c>
      <c r="N289" s="5" t="s">
        <v>478</v>
      </c>
      <c r="O289" s="5" t="s">
        <v>478</v>
      </c>
      <c r="P289" s="5">
        <v>1</v>
      </c>
      <c r="Q289" s="5">
        <v>2</v>
      </c>
      <c r="R289" s="5" t="str">
        <f t="shared" si="45"/>
        <v>125-2022-06-30</v>
      </c>
    </row>
    <row r="290" spans="1:18" x14ac:dyDescent="0.3">
      <c r="A290" s="39">
        <v>125</v>
      </c>
      <c r="B290" s="5" t="s">
        <v>49</v>
      </c>
      <c r="C290" s="5" t="s">
        <v>24</v>
      </c>
      <c r="D290" s="5" t="s">
        <v>18</v>
      </c>
      <c r="E290" s="5" t="s">
        <v>14</v>
      </c>
      <c r="F290" s="6">
        <v>44926</v>
      </c>
      <c r="G290" s="5">
        <f t="shared" si="48"/>
        <v>2022</v>
      </c>
      <c r="H290" s="5" t="str">
        <f t="shared" si="44"/>
        <v>Diciembre</v>
      </c>
      <c r="I290" s="6" t="str">
        <f t="shared" si="53"/>
        <v>2022-2</v>
      </c>
      <c r="J290" s="5">
        <v>4.7</v>
      </c>
      <c r="K290" s="5">
        <v>0.08</v>
      </c>
      <c r="L290" s="8">
        <f t="shared" si="58"/>
        <v>1</v>
      </c>
      <c r="M290" s="15">
        <f t="shared" si="59"/>
        <v>1</v>
      </c>
      <c r="N290" s="5" t="s">
        <v>478</v>
      </c>
      <c r="O290" s="5" t="s">
        <v>478</v>
      </c>
      <c r="P290" s="5">
        <v>1</v>
      </c>
      <c r="Q290" s="5">
        <v>2</v>
      </c>
      <c r="R290" s="5" t="str">
        <f t="shared" si="45"/>
        <v>125-2022-12-31</v>
      </c>
    </row>
    <row r="291" spans="1:18" x14ac:dyDescent="0.3">
      <c r="A291" s="39">
        <v>125</v>
      </c>
      <c r="B291" s="5" t="s">
        <v>49</v>
      </c>
      <c r="C291" s="5" t="s">
        <v>24</v>
      </c>
      <c r="D291" s="5" t="s">
        <v>18</v>
      </c>
      <c r="E291" s="5" t="s">
        <v>14</v>
      </c>
      <c r="F291" s="6">
        <v>45107</v>
      </c>
      <c r="G291" s="5">
        <f t="shared" si="48"/>
        <v>2023</v>
      </c>
      <c r="H291" s="5" t="str">
        <f t="shared" ref="H291" si="60">PROPER(TEXT(F291,"mmmm"))</f>
        <v>Junio</v>
      </c>
      <c r="I291" s="6" t="str">
        <f t="shared" ref="I291" si="61">IF(OR(H291="Enero",H291="Febrero",H291="Marzo",H291="Abril",H291="Mayo",H291="Junio"),G291&amp;"-1",IF(OR(H291="Julio",H291="Agosto",H291="Septiembre",H291="Octubre",H291="Noviembre",H291="Diciembre"),G291&amp;"-2"))</f>
        <v>2023-1</v>
      </c>
      <c r="J291" s="5">
        <v>4.7</v>
      </c>
      <c r="K291" s="5">
        <v>0.02</v>
      </c>
      <c r="L291" s="8">
        <f t="shared" si="58"/>
        <v>1</v>
      </c>
      <c r="M291" s="15">
        <f t="shared" si="59"/>
        <v>1</v>
      </c>
      <c r="N291" s="5" t="s">
        <v>478</v>
      </c>
      <c r="O291" s="5" t="s">
        <v>478</v>
      </c>
      <c r="P291" s="5">
        <v>1</v>
      </c>
      <c r="Q291" s="5">
        <v>2</v>
      </c>
      <c r="R291" s="5" t="str">
        <f t="shared" si="45"/>
        <v>125-2023-06-30</v>
      </c>
    </row>
    <row r="292" spans="1:18" x14ac:dyDescent="0.3">
      <c r="A292" s="39">
        <v>125</v>
      </c>
      <c r="B292" s="5" t="s">
        <v>49</v>
      </c>
      <c r="C292" s="5" t="s">
        <v>24</v>
      </c>
      <c r="D292" s="5" t="s">
        <v>18</v>
      </c>
      <c r="E292" s="5" t="s">
        <v>14</v>
      </c>
      <c r="F292" s="6">
        <v>45291</v>
      </c>
      <c r="G292" s="5">
        <f t="shared" si="48"/>
        <v>2023</v>
      </c>
      <c r="H292" s="5" t="str">
        <f t="shared" si="44"/>
        <v>Diciembre</v>
      </c>
      <c r="I292" s="6" t="str">
        <f t="shared" si="53"/>
        <v>2023-2</v>
      </c>
      <c r="J292" s="5">
        <v>4.7</v>
      </c>
      <c r="K292" s="5">
        <v>0.33</v>
      </c>
      <c r="L292" s="8">
        <f t="shared" si="58"/>
        <v>1</v>
      </c>
      <c r="M292" s="15">
        <f t="shared" si="59"/>
        <v>1</v>
      </c>
      <c r="N292" s="5" t="s">
        <v>478</v>
      </c>
      <c r="O292" s="5" t="s">
        <v>478</v>
      </c>
      <c r="P292" s="5">
        <v>1</v>
      </c>
      <c r="Q292" s="5">
        <v>2</v>
      </c>
      <c r="R292" s="5" t="str">
        <f t="shared" si="45"/>
        <v>125-2023-12-31</v>
      </c>
    </row>
    <row r="293" spans="1:18" x14ac:dyDescent="0.3">
      <c r="A293" s="5">
        <v>125</v>
      </c>
      <c r="B293" s="5" t="s">
        <v>49</v>
      </c>
      <c r="C293" s="5" t="s">
        <v>24</v>
      </c>
      <c r="D293" s="5" t="s">
        <v>18</v>
      </c>
      <c r="E293" s="5" t="s">
        <v>14</v>
      </c>
      <c r="F293" s="6">
        <v>45473</v>
      </c>
      <c r="G293" s="5">
        <f t="shared" si="48"/>
        <v>2024</v>
      </c>
      <c r="H293" s="5" t="str">
        <f t="shared" si="44"/>
        <v>Junio</v>
      </c>
      <c r="I293" s="6" t="str">
        <f t="shared" si="53"/>
        <v>2024-1</v>
      </c>
      <c r="J293" s="5">
        <v>1.9</v>
      </c>
      <c r="K293" s="5">
        <v>0.04</v>
      </c>
      <c r="L293" s="8">
        <f t="shared" si="58"/>
        <v>1</v>
      </c>
      <c r="M293" s="15">
        <f t="shared" si="59"/>
        <v>1</v>
      </c>
      <c r="N293" s="5" t="s">
        <v>478</v>
      </c>
      <c r="O293" s="5" t="s">
        <v>478</v>
      </c>
      <c r="P293" s="5">
        <v>1</v>
      </c>
      <c r="Q293" s="5">
        <v>2</v>
      </c>
      <c r="R293" s="5" t="str">
        <f t="shared" si="45"/>
        <v>125-2024-06-30</v>
      </c>
    </row>
    <row r="294" spans="1:18" x14ac:dyDescent="0.3">
      <c r="A294" s="5">
        <v>125</v>
      </c>
      <c r="B294" s="5" t="s">
        <v>49</v>
      </c>
      <c r="C294" s="5" t="s">
        <v>24</v>
      </c>
      <c r="D294" s="5" t="s">
        <v>18</v>
      </c>
      <c r="E294" s="5" t="s">
        <v>14</v>
      </c>
      <c r="F294" s="6">
        <v>45657</v>
      </c>
      <c r="G294" s="5">
        <f t="shared" si="48"/>
        <v>2024</v>
      </c>
      <c r="H294" s="5" t="str">
        <f t="shared" si="44"/>
        <v>Diciembre</v>
      </c>
      <c r="I294" s="6" t="str">
        <f t="shared" si="53"/>
        <v>2024-2</v>
      </c>
      <c r="J294" s="5">
        <v>1.9</v>
      </c>
      <c r="K294" s="5">
        <v>0.15</v>
      </c>
      <c r="L294" s="8">
        <f t="shared" si="58"/>
        <v>1</v>
      </c>
      <c r="M294" s="15">
        <f t="shared" si="59"/>
        <v>1</v>
      </c>
      <c r="N294" s="5" t="s">
        <v>478</v>
      </c>
      <c r="O294" s="5" t="s">
        <v>478</v>
      </c>
      <c r="P294" s="5">
        <v>1</v>
      </c>
      <c r="Q294" s="5">
        <v>2</v>
      </c>
      <c r="R294" s="5" t="str">
        <f t="shared" si="45"/>
        <v>125-2024-12-31</v>
      </c>
    </row>
    <row r="295" spans="1:18" x14ac:dyDescent="0.3">
      <c r="A295" s="39">
        <v>126</v>
      </c>
      <c r="B295" s="5" t="s">
        <v>50</v>
      </c>
      <c r="C295" s="5" t="s">
        <v>24</v>
      </c>
      <c r="D295" s="5" t="s">
        <v>25</v>
      </c>
      <c r="E295" s="5" t="s">
        <v>14</v>
      </c>
      <c r="F295" s="6">
        <v>44926</v>
      </c>
      <c r="G295" s="5">
        <f>YEAR(F295)</f>
        <v>2022</v>
      </c>
      <c r="H295" s="5" t="str">
        <f t="shared" si="44"/>
        <v>Diciembre</v>
      </c>
      <c r="I295" s="6" t="str">
        <f t="shared" si="53"/>
        <v>2022-2</v>
      </c>
      <c r="J295" s="5">
        <v>2</v>
      </c>
      <c r="K295" s="5">
        <v>0.12</v>
      </c>
      <c r="L295" s="8">
        <f t="shared" si="58"/>
        <v>1</v>
      </c>
      <c r="M295" s="15">
        <f t="shared" si="59"/>
        <v>1</v>
      </c>
      <c r="N295" s="5" t="s">
        <v>478</v>
      </c>
      <c r="O295" s="5" t="s">
        <v>478</v>
      </c>
      <c r="P295" s="5">
        <v>0</v>
      </c>
      <c r="Q295" s="5">
        <v>2</v>
      </c>
      <c r="R295" s="5" t="str">
        <f t="shared" si="45"/>
        <v>126-2022-12-31</v>
      </c>
    </row>
    <row r="296" spans="1:18" x14ac:dyDescent="0.3">
      <c r="A296" s="39">
        <v>126</v>
      </c>
      <c r="B296" s="5" t="s">
        <v>50</v>
      </c>
      <c r="C296" s="5" t="s">
        <v>24</v>
      </c>
      <c r="D296" s="5" t="s">
        <v>25</v>
      </c>
      <c r="E296" s="5" t="s">
        <v>14</v>
      </c>
      <c r="F296" s="6">
        <v>45291</v>
      </c>
      <c r="G296" s="5">
        <f t="shared" si="48"/>
        <v>2023</v>
      </c>
      <c r="H296" s="5" t="str">
        <f t="shared" ref="H296" si="62">PROPER(TEXT(F296,"mmmm"))</f>
        <v>Diciembre</v>
      </c>
      <c r="I296" s="6" t="str">
        <f t="shared" ref="I296" si="63">IF(OR(H296="Enero",H296="Febrero",H296="Marzo",H296="Abril",H296="Mayo",H296="Junio"),G296&amp;"-1",IF(OR(H296="Julio",H296="Agosto",H296="Septiembre",H296="Octubre",H296="Noviembre",H296="Diciembre"),G296&amp;"-2"))</f>
        <v>2023-2</v>
      </c>
      <c r="J296" s="5">
        <v>2</v>
      </c>
      <c r="K296" s="5">
        <v>0.12</v>
      </c>
      <c r="L296" s="8">
        <f t="shared" si="58"/>
        <v>1</v>
      </c>
      <c r="M296" s="15">
        <f t="shared" si="59"/>
        <v>1</v>
      </c>
      <c r="N296" s="5" t="s">
        <v>478</v>
      </c>
      <c r="O296" s="5" t="s">
        <v>478</v>
      </c>
      <c r="P296" s="5">
        <v>0</v>
      </c>
      <c r="Q296" s="5">
        <v>2</v>
      </c>
      <c r="R296" s="5" t="str">
        <f t="shared" si="45"/>
        <v>126-2023-12-31</v>
      </c>
    </row>
    <row r="297" spans="1:18" x14ac:dyDescent="0.3">
      <c r="A297" s="5">
        <v>126</v>
      </c>
      <c r="B297" s="5" t="s">
        <v>50</v>
      </c>
      <c r="C297" s="5" t="s">
        <v>24</v>
      </c>
      <c r="D297" s="5" t="s">
        <v>25</v>
      </c>
      <c r="E297" s="5" t="s">
        <v>14</v>
      </c>
      <c r="F297" s="6">
        <v>45657</v>
      </c>
      <c r="G297" s="5">
        <f t="shared" si="48"/>
        <v>2024</v>
      </c>
      <c r="H297" s="5" t="str">
        <f t="shared" si="44"/>
        <v>Diciembre</v>
      </c>
      <c r="I297" s="6" t="str">
        <f t="shared" si="53"/>
        <v>2024-2</v>
      </c>
      <c r="J297" s="5">
        <v>2</v>
      </c>
      <c r="K297" s="5">
        <v>0.1</v>
      </c>
      <c r="L297" s="8">
        <f t="shared" si="58"/>
        <v>1</v>
      </c>
      <c r="M297" s="15">
        <f t="shared" si="59"/>
        <v>1</v>
      </c>
      <c r="N297" s="5" t="s">
        <v>478</v>
      </c>
      <c r="O297" s="5" t="s">
        <v>478</v>
      </c>
      <c r="P297" s="5">
        <v>0</v>
      </c>
      <c r="Q297" s="5">
        <v>1</v>
      </c>
      <c r="R297" s="5" t="str">
        <f t="shared" si="45"/>
        <v>126-2024-12-31</v>
      </c>
    </row>
    <row r="298" spans="1:18" x14ac:dyDescent="0.3">
      <c r="A298" s="39">
        <v>127</v>
      </c>
      <c r="B298" s="5" t="s">
        <v>51</v>
      </c>
      <c r="C298" s="5" t="s">
        <v>24</v>
      </c>
      <c r="D298" s="5" t="s">
        <v>25</v>
      </c>
      <c r="E298" s="5" t="s">
        <v>14</v>
      </c>
      <c r="F298" s="6">
        <v>44926</v>
      </c>
      <c r="G298" s="5">
        <f t="shared" si="48"/>
        <v>2022</v>
      </c>
      <c r="H298" s="5" t="str">
        <f t="shared" ref="H298" si="64">PROPER(TEXT(F298,"mmmm"))</f>
        <v>Diciembre</v>
      </c>
      <c r="I298" s="6" t="str">
        <f t="shared" ref="I298" si="65">IF(OR(H298="Enero",H298="Febrero",H298="Marzo",H298="Abril",H298="Mayo",H298="Junio"),G298&amp;"-1",IF(OR(H298="Julio",H298="Agosto",H298="Septiembre",H298="Octubre",H298="Noviembre",H298="Diciembre"),G298&amp;"-2"))</f>
        <v>2022-2</v>
      </c>
      <c r="J298" s="16">
        <v>1E-8</v>
      </c>
      <c r="K298" s="16">
        <v>1E-8</v>
      </c>
      <c r="L298" s="8">
        <f t="shared" si="58"/>
        <v>1</v>
      </c>
      <c r="M298" s="15">
        <f t="shared" si="59"/>
        <v>1</v>
      </c>
      <c r="N298" s="5" t="s">
        <v>490</v>
      </c>
      <c r="O298" s="5" t="s">
        <v>490</v>
      </c>
      <c r="P298" s="5">
        <v>0</v>
      </c>
      <c r="Q298" s="5">
        <v>0</v>
      </c>
      <c r="R298" s="5" t="str">
        <f t="shared" si="45"/>
        <v>127-2022-12-31</v>
      </c>
    </row>
    <row r="299" spans="1:18" x14ac:dyDescent="0.3">
      <c r="A299" s="39">
        <v>127</v>
      </c>
      <c r="B299" s="5" t="s">
        <v>51</v>
      </c>
      <c r="C299" s="5" t="s">
        <v>24</v>
      </c>
      <c r="D299" s="5" t="s">
        <v>25</v>
      </c>
      <c r="E299" s="5" t="s">
        <v>14</v>
      </c>
      <c r="F299" s="6">
        <v>45291</v>
      </c>
      <c r="G299" s="5">
        <f t="shared" si="48"/>
        <v>2023</v>
      </c>
      <c r="H299" s="5" t="str">
        <f t="shared" si="44"/>
        <v>Diciembre</v>
      </c>
      <c r="I299" s="6" t="str">
        <f t="shared" si="53"/>
        <v>2023-2</v>
      </c>
      <c r="J299" s="16">
        <v>1E-8</v>
      </c>
      <c r="K299" s="16">
        <v>1E-8</v>
      </c>
      <c r="L299" s="8">
        <f t="shared" si="58"/>
        <v>1</v>
      </c>
      <c r="M299" s="15">
        <f t="shared" si="59"/>
        <v>1</v>
      </c>
      <c r="N299" s="5" t="s">
        <v>490</v>
      </c>
      <c r="O299" s="5" t="s">
        <v>490</v>
      </c>
      <c r="P299" s="5">
        <v>0</v>
      </c>
      <c r="Q299" s="5">
        <v>0</v>
      </c>
      <c r="R299" s="5" t="str">
        <f t="shared" si="45"/>
        <v>127-2023-12-31</v>
      </c>
    </row>
    <row r="300" spans="1:18" x14ac:dyDescent="0.3">
      <c r="A300" s="5">
        <v>127</v>
      </c>
      <c r="B300" s="5" t="s">
        <v>51</v>
      </c>
      <c r="C300" s="5" t="s">
        <v>24</v>
      </c>
      <c r="D300" s="5" t="s">
        <v>25</v>
      </c>
      <c r="E300" s="5" t="s">
        <v>14</v>
      </c>
      <c r="F300" s="6">
        <v>45657</v>
      </c>
      <c r="G300" s="5">
        <f t="shared" si="48"/>
        <v>2024</v>
      </c>
      <c r="H300" s="5" t="str">
        <f t="shared" si="44"/>
        <v>Diciembre</v>
      </c>
      <c r="I300" s="6" t="str">
        <f t="shared" si="53"/>
        <v>2024-2</v>
      </c>
      <c r="J300" s="16">
        <v>1E-8</v>
      </c>
      <c r="K300" s="16">
        <v>1E-8</v>
      </c>
      <c r="L300" s="15">
        <f>IFERROR(IF((K300/J300)&gt;1.3,1.3,K300/J300),"")</f>
        <v>1</v>
      </c>
      <c r="M300" s="15">
        <f>IFERROR(K300/J300,"")</f>
        <v>1</v>
      </c>
      <c r="N300" s="5" t="s">
        <v>490</v>
      </c>
      <c r="O300" s="5" t="s">
        <v>490</v>
      </c>
      <c r="P300" s="5">
        <v>0</v>
      </c>
      <c r="Q300" s="5">
        <v>0</v>
      </c>
      <c r="R300" s="5" t="str">
        <f t="shared" si="45"/>
        <v>127-2024-12-31</v>
      </c>
    </row>
    <row r="301" spans="1:18" x14ac:dyDescent="0.3">
      <c r="A301" s="5">
        <v>128</v>
      </c>
      <c r="B301" s="5" t="s">
        <v>52</v>
      </c>
      <c r="C301" s="5" t="s">
        <v>24</v>
      </c>
      <c r="D301" s="5" t="s">
        <v>18</v>
      </c>
      <c r="E301" s="5" t="s">
        <v>14</v>
      </c>
      <c r="F301" s="6">
        <v>44742</v>
      </c>
      <c r="G301" s="5">
        <f t="shared" si="48"/>
        <v>2022</v>
      </c>
      <c r="H301" s="5" t="str">
        <f t="shared" ref="H301:H302" si="66">PROPER(TEXT(F301,"mmmm"))</f>
        <v>Junio</v>
      </c>
      <c r="I301" s="6" t="str">
        <f t="shared" ref="I301:I302" si="67">IF(OR(H301="Enero",H301="Febrero",H301="Marzo",H301="Abril",H301="Mayo",H301="Junio"),G301&amp;"-1",IF(OR(H301="Julio",H301="Agosto",H301="Septiembre",H301="Octubre",H301="Noviembre",H301="Diciembre"),G301&amp;"-2"))</f>
        <v>2022-1</v>
      </c>
      <c r="J301" s="5">
        <v>1</v>
      </c>
      <c r="K301" s="5">
        <v>0.72</v>
      </c>
      <c r="L301" s="15">
        <f>IFERROR(IF((J301/K301)&gt;1,1,J301/K301),"")</f>
        <v>1</v>
      </c>
      <c r="M301" s="15">
        <f>IFERROR(IF((J301/K301)&gt;1,1,J301/K301),"")</f>
        <v>1</v>
      </c>
      <c r="N301" s="5" t="s">
        <v>490</v>
      </c>
      <c r="O301" s="5" t="s">
        <v>478</v>
      </c>
      <c r="P301" s="5">
        <v>0</v>
      </c>
      <c r="Q301" s="5">
        <v>2</v>
      </c>
      <c r="R301" s="5" t="str">
        <f t="shared" si="45"/>
        <v>128-2022-06-30</v>
      </c>
    </row>
    <row r="302" spans="1:18" x14ac:dyDescent="0.3">
      <c r="A302" s="39">
        <v>128</v>
      </c>
      <c r="B302" s="5" t="s">
        <v>52</v>
      </c>
      <c r="C302" s="5" t="s">
        <v>24</v>
      </c>
      <c r="D302" s="5" t="s">
        <v>18</v>
      </c>
      <c r="E302" s="5" t="s">
        <v>14</v>
      </c>
      <c r="F302" s="6">
        <v>44926</v>
      </c>
      <c r="G302" s="5">
        <f t="shared" si="48"/>
        <v>2022</v>
      </c>
      <c r="H302" s="5" t="str">
        <f t="shared" si="66"/>
        <v>Diciembre</v>
      </c>
      <c r="I302" s="6" t="str">
        <f t="shared" si="67"/>
        <v>2022-2</v>
      </c>
      <c r="J302" s="5">
        <v>1</v>
      </c>
      <c r="K302" s="5">
        <v>0.85</v>
      </c>
      <c r="L302" s="15">
        <f t="shared" ref="L302:L306" si="68">IFERROR(IF((J302/K302)&gt;1,1,J302/K302),"")</f>
        <v>1</v>
      </c>
      <c r="M302" s="15">
        <f t="shared" ref="M302:M306" si="69">IFERROR(IF((J302/K302)&gt;1,1,J302/K302),"")</f>
        <v>1</v>
      </c>
      <c r="N302" s="5" t="s">
        <v>490</v>
      </c>
      <c r="O302" s="5" t="s">
        <v>478</v>
      </c>
      <c r="P302" s="5">
        <v>0</v>
      </c>
      <c r="Q302" s="5">
        <v>2</v>
      </c>
      <c r="R302" s="5" t="str">
        <f t="shared" si="45"/>
        <v>128-2022-12-31</v>
      </c>
    </row>
    <row r="303" spans="1:18" x14ac:dyDescent="0.3">
      <c r="A303" s="5">
        <v>128</v>
      </c>
      <c r="B303" s="5" t="s">
        <v>52</v>
      </c>
      <c r="C303" s="5" t="s">
        <v>24</v>
      </c>
      <c r="D303" s="5" t="s">
        <v>18</v>
      </c>
      <c r="E303" s="5" t="s">
        <v>14</v>
      </c>
      <c r="F303" s="6">
        <v>45107</v>
      </c>
      <c r="G303" s="5">
        <f t="shared" si="48"/>
        <v>2023</v>
      </c>
      <c r="H303" s="5" t="str">
        <f t="shared" si="44"/>
        <v>Junio</v>
      </c>
      <c r="I303" s="6" t="str">
        <f t="shared" si="53"/>
        <v>2023-1</v>
      </c>
      <c r="J303" s="5">
        <v>1</v>
      </c>
      <c r="K303" s="5">
        <v>0.94499999999999995</v>
      </c>
      <c r="L303" s="15">
        <f t="shared" si="68"/>
        <v>1</v>
      </c>
      <c r="M303" s="15">
        <f t="shared" si="69"/>
        <v>1</v>
      </c>
      <c r="N303" s="5" t="s">
        <v>490</v>
      </c>
      <c r="O303" s="5" t="s">
        <v>478</v>
      </c>
      <c r="P303" s="5">
        <v>0</v>
      </c>
      <c r="Q303" s="5">
        <v>2</v>
      </c>
      <c r="R303" s="5" t="str">
        <f t="shared" si="45"/>
        <v>128-2023-06-30</v>
      </c>
    </row>
    <row r="304" spans="1:18" x14ac:dyDescent="0.3">
      <c r="A304" s="39">
        <v>128</v>
      </c>
      <c r="B304" s="5" t="s">
        <v>52</v>
      </c>
      <c r="C304" s="5" t="s">
        <v>24</v>
      </c>
      <c r="D304" s="5" t="s">
        <v>18</v>
      </c>
      <c r="E304" s="5" t="s">
        <v>14</v>
      </c>
      <c r="F304" s="6">
        <v>45291</v>
      </c>
      <c r="G304" s="5">
        <f t="shared" si="48"/>
        <v>2023</v>
      </c>
      <c r="H304" s="5" t="str">
        <f t="shared" si="44"/>
        <v>Diciembre</v>
      </c>
      <c r="I304" s="6" t="str">
        <f t="shared" si="53"/>
        <v>2023-2</v>
      </c>
      <c r="J304" s="5">
        <v>1</v>
      </c>
      <c r="K304" s="5">
        <v>0.75</v>
      </c>
      <c r="L304" s="15">
        <f t="shared" si="68"/>
        <v>1</v>
      </c>
      <c r="M304" s="15">
        <f t="shared" si="69"/>
        <v>1</v>
      </c>
      <c r="N304" s="5" t="s">
        <v>490</v>
      </c>
      <c r="O304" s="5" t="s">
        <v>478</v>
      </c>
      <c r="P304" s="5">
        <v>0</v>
      </c>
      <c r="Q304" s="5">
        <v>2</v>
      </c>
      <c r="R304" s="5" t="str">
        <f t="shared" si="45"/>
        <v>128-2023-12-31</v>
      </c>
    </row>
    <row r="305" spans="1:18" x14ac:dyDescent="0.3">
      <c r="A305" s="5">
        <v>128</v>
      </c>
      <c r="B305" s="5" t="s">
        <v>52</v>
      </c>
      <c r="C305" s="5" t="s">
        <v>24</v>
      </c>
      <c r="D305" s="5" t="s">
        <v>18</v>
      </c>
      <c r="E305" s="5" t="s">
        <v>14</v>
      </c>
      <c r="F305" s="6">
        <v>45473</v>
      </c>
      <c r="G305" s="5">
        <f t="shared" si="48"/>
        <v>2024</v>
      </c>
      <c r="H305" s="5" t="str">
        <f t="shared" si="44"/>
        <v>Junio</v>
      </c>
      <c r="I305" s="6" t="str">
        <f t="shared" si="53"/>
        <v>2024-1</v>
      </c>
      <c r="J305" s="5">
        <v>1</v>
      </c>
      <c r="K305" s="5">
        <v>0.66</v>
      </c>
      <c r="L305" s="15">
        <f t="shared" si="68"/>
        <v>1</v>
      </c>
      <c r="M305" s="15">
        <f t="shared" si="69"/>
        <v>1</v>
      </c>
      <c r="N305" s="5" t="s">
        <v>490</v>
      </c>
      <c r="O305" s="5" t="s">
        <v>478</v>
      </c>
      <c r="P305" s="5">
        <v>0</v>
      </c>
      <c r="Q305" s="5">
        <v>2</v>
      </c>
      <c r="R305" s="5" t="str">
        <f t="shared" si="45"/>
        <v>128-2024-06-30</v>
      </c>
    </row>
    <row r="306" spans="1:18" x14ac:dyDescent="0.3">
      <c r="A306" s="5">
        <v>128</v>
      </c>
      <c r="B306" s="5" t="s">
        <v>52</v>
      </c>
      <c r="C306" s="5" t="s">
        <v>24</v>
      </c>
      <c r="D306" s="5" t="s">
        <v>18</v>
      </c>
      <c r="E306" s="5" t="s">
        <v>14</v>
      </c>
      <c r="F306" s="6">
        <v>45657</v>
      </c>
      <c r="G306" s="5">
        <f t="shared" si="48"/>
        <v>2024</v>
      </c>
      <c r="H306" s="5" t="str">
        <f t="shared" si="44"/>
        <v>Diciembre</v>
      </c>
      <c r="I306" s="6" t="str">
        <f t="shared" si="53"/>
        <v>2024-2</v>
      </c>
      <c r="J306" s="5">
        <v>1</v>
      </c>
      <c r="K306" s="5">
        <v>0.7</v>
      </c>
      <c r="L306" s="15">
        <f t="shared" si="68"/>
        <v>1</v>
      </c>
      <c r="M306" s="15">
        <f t="shared" si="69"/>
        <v>1</v>
      </c>
      <c r="N306" s="5" t="s">
        <v>490</v>
      </c>
      <c r="O306" s="5" t="s">
        <v>478</v>
      </c>
      <c r="P306" s="5">
        <v>0</v>
      </c>
      <c r="Q306" s="5">
        <v>2</v>
      </c>
      <c r="R306" s="5" t="str">
        <f t="shared" si="45"/>
        <v>128-2024-12-31</v>
      </c>
    </row>
    <row r="307" spans="1:18" x14ac:dyDescent="0.3">
      <c r="A307" s="5">
        <v>133</v>
      </c>
      <c r="B307" s="5" t="s">
        <v>39</v>
      </c>
      <c r="C307" s="5" t="s">
        <v>53</v>
      </c>
      <c r="D307" s="5" t="s">
        <v>25</v>
      </c>
      <c r="E307" s="5" t="s">
        <v>9</v>
      </c>
      <c r="F307" s="6">
        <v>44865</v>
      </c>
      <c r="G307" s="5">
        <v>2022</v>
      </c>
      <c r="H307" s="5" t="str">
        <f t="shared" si="44"/>
        <v>Octubre</v>
      </c>
      <c r="I307" s="6" t="str">
        <f t="shared" si="53"/>
        <v>2022-2</v>
      </c>
      <c r="J307" s="5">
        <v>80</v>
      </c>
      <c r="K307" s="5">
        <v>84.895356277709197</v>
      </c>
      <c r="L307" s="21">
        <f>IFERROR(K307/J307,"")</f>
        <v>1.061191953471365</v>
      </c>
      <c r="M307" s="15">
        <f t="shared" ref="M307:M313" si="70">IFERROR(K307/J307,"")</f>
        <v>1.061191953471365</v>
      </c>
      <c r="N307" s="5" t="s">
        <v>347</v>
      </c>
      <c r="O307" s="5" t="s">
        <v>347</v>
      </c>
      <c r="P307" s="5">
        <v>0</v>
      </c>
      <c r="Q307" s="5">
        <v>0</v>
      </c>
      <c r="R307" s="5" t="str">
        <f t="shared" si="45"/>
        <v>133-2022-10-31</v>
      </c>
    </row>
    <row r="308" spans="1:18" x14ac:dyDescent="0.3">
      <c r="A308" s="5">
        <v>133</v>
      </c>
      <c r="B308" s="5" t="s">
        <v>39</v>
      </c>
      <c r="C308" s="5" t="s">
        <v>53</v>
      </c>
      <c r="D308" s="5" t="s">
        <v>25</v>
      </c>
      <c r="E308" s="5" t="s">
        <v>9</v>
      </c>
      <c r="F308" s="6">
        <v>45291</v>
      </c>
      <c r="G308" s="5">
        <v>2023</v>
      </c>
      <c r="H308" s="5" t="str">
        <f t="shared" si="44"/>
        <v>Diciembre</v>
      </c>
      <c r="I308" s="6" t="str">
        <f t="shared" si="53"/>
        <v>2023-2</v>
      </c>
      <c r="J308" s="5">
        <v>80</v>
      </c>
      <c r="K308" s="5">
        <v>92.789115646258509</v>
      </c>
      <c r="L308" s="21">
        <f>IFERROR(K308/J308,"")</f>
        <v>1.1598639455782314</v>
      </c>
      <c r="M308" s="15">
        <f t="shared" si="70"/>
        <v>1.1598639455782314</v>
      </c>
      <c r="N308" s="5" t="s">
        <v>347</v>
      </c>
      <c r="O308" s="5" t="s">
        <v>347</v>
      </c>
      <c r="P308" s="5">
        <v>0</v>
      </c>
      <c r="Q308" s="5">
        <v>0</v>
      </c>
      <c r="R308" s="5" t="str">
        <f t="shared" si="45"/>
        <v>133-2023-12-31</v>
      </c>
    </row>
    <row r="309" spans="1:18" x14ac:dyDescent="0.3">
      <c r="A309" s="5">
        <v>133</v>
      </c>
      <c r="B309" s="5" t="s">
        <v>39</v>
      </c>
      <c r="C309" s="5" t="s">
        <v>53</v>
      </c>
      <c r="D309" s="5" t="s">
        <v>25</v>
      </c>
      <c r="E309" s="5" t="s">
        <v>9</v>
      </c>
      <c r="F309" s="6">
        <v>45657</v>
      </c>
      <c r="G309" s="5">
        <f t="shared" ref="G309:G337" si="71">YEAR(F309)</f>
        <v>2024</v>
      </c>
      <c r="H309" s="5" t="str">
        <f t="shared" si="44"/>
        <v>Diciembre</v>
      </c>
      <c r="I309" s="6" t="str">
        <f t="shared" si="53"/>
        <v>2024-2</v>
      </c>
      <c r="J309" s="5">
        <v>80</v>
      </c>
      <c r="K309" s="5">
        <v>91</v>
      </c>
      <c r="L309" s="15">
        <f>IFERROR(IF((K309/J309)&gt;1.3,1.3,K309/J309),"")</f>
        <v>1.1375</v>
      </c>
      <c r="M309" s="15">
        <f t="shared" si="70"/>
        <v>1.1375</v>
      </c>
      <c r="N309" s="5" t="s">
        <v>347</v>
      </c>
      <c r="O309" s="5" t="s">
        <v>347</v>
      </c>
      <c r="P309" s="5">
        <v>0</v>
      </c>
      <c r="Q309" s="5">
        <v>0</v>
      </c>
      <c r="R309" s="5" t="str">
        <f t="shared" si="45"/>
        <v>133-2024-12-31</v>
      </c>
    </row>
    <row r="310" spans="1:18" x14ac:dyDescent="0.3">
      <c r="A310" s="43">
        <v>136</v>
      </c>
      <c r="B310" s="5" t="s">
        <v>54</v>
      </c>
      <c r="C310" s="5" t="s">
        <v>55</v>
      </c>
      <c r="D310" s="5" t="s">
        <v>8</v>
      </c>
      <c r="E310" s="5" t="s">
        <v>9</v>
      </c>
      <c r="F310" s="6">
        <v>45107</v>
      </c>
      <c r="G310" s="5">
        <f t="shared" si="71"/>
        <v>2023</v>
      </c>
      <c r="H310" s="5" t="str">
        <f t="shared" si="44"/>
        <v>Junio</v>
      </c>
      <c r="I310" s="6" t="str">
        <f t="shared" si="53"/>
        <v>2023-1</v>
      </c>
      <c r="J310" s="5">
        <v>90</v>
      </c>
      <c r="K310" s="5">
        <v>105.56</v>
      </c>
      <c r="L310" s="8">
        <f>IFERROR(K310/J310,"")</f>
        <v>1.1728888888888889</v>
      </c>
      <c r="M310" s="15">
        <f>IFERROR(K310/J310,"")</f>
        <v>1.1728888888888889</v>
      </c>
      <c r="N310" s="5" t="s">
        <v>347</v>
      </c>
      <c r="O310" s="5" t="s">
        <v>347</v>
      </c>
      <c r="P310" s="5">
        <v>0</v>
      </c>
      <c r="Q310" s="5">
        <v>0</v>
      </c>
      <c r="R310" s="5" t="str">
        <f t="shared" si="45"/>
        <v>136-2023-06-30</v>
      </c>
    </row>
    <row r="311" spans="1:18" x14ac:dyDescent="0.3">
      <c r="A311" s="39">
        <v>136</v>
      </c>
      <c r="B311" s="5" t="s">
        <v>54</v>
      </c>
      <c r="C311" s="5" t="s">
        <v>55</v>
      </c>
      <c r="D311" s="5" t="s">
        <v>8</v>
      </c>
      <c r="E311" s="5" t="s">
        <v>9</v>
      </c>
      <c r="F311" s="6">
        <v>45291</v>
      </c>
      <c r="G311" s="5">
        <f t="shared" si="71"/>
        <v>2023</v>
      </c>
      <c r="H311" s="5" t="str">
        <f t="shared" si="44"/>
        <v>Diciembre</v>
      </c>
      <c r="I311" s="6" t="str">
        <f t="shared" si="53"/>
        <v>2023-2</v>
      </c>
      <c r="J311" s="5">
        <v>90</v>
      </c>
      <c r="K311" s="5">
        <v>94.44</v>
      </c>
      <c r="L311" s="8">
        <f>IFERROR(K311/J311,"")</f>
        <v>1.0493333333333332</v>
      </c>
      <c r="M311" s="15">
        <f t="shared" si="70"/>
        <v>1.0493333333333332</v>
      </c>
      <c r="N311" s="5" t="s">
        <v>347</v>
      </c>
      <c r="O311" s="5" t="s">
        <v>347</v>
      </c>
      <c r="P311" s="5">
        <v>0</v>
      </c>
      <c r="Q311" s="5">
        <v>0</v>
      </c>
      <c r="R311" s="5" t="str">
        <f t="shared" si="45"/>
        <v>136-2023-12-31</v>
      </c>
    </row>
    <row r="312" spans="1:18" x14ac:dyDescent="0.3">
      <c r="A312" s="39">
        <v>137</v>
      </c>
      <c r="B312" s="5" t="s">
        <v>56</v>
      </c>
      <c r="C312" s="5" t="s">
        <v>55</v>
      </c>
      <c r="D312" s="5" t="s">
        <v>11</v>
      </c>
      <c r="E312" s="5" t="s">
        <v>9</v>
      </c>
      <c r="F312" s="6">
        <v>45107</v>
      </c>
      <c r="G312" s="5">
        <f t="shared" si="71"/>
        <v>2023</v>
      </c>
      <c r="H312" s="5" t="str">
        <f t="shared" si="44"/>
        <v>Junio</v>
      </c>
      <c r="I312" s="6" t="str">
        <f t="shared" si="53"/>
        <v>2023-1</v>
      </c>
      <c r="J312" s="5">
        <v>212</v>
      </c>
      <c r="K312" s="5">
        <v>213</v>
      </c>
      <c r="L312" s="21">
        <f>IFERROR(K312/J312,"")</f>
        <v>1.0047169811320755</v>
      </c>
      <c r="M312" s="15">
        <f t="shared" si="70"/>
        <v>1.0047169811320755</v>
      </c>
      <c r="N312" s="5"/>
      <c r="O312" s="5"/>
      <c r="P312" s="5">
        <v>0</v>
      </c>
      <c r="Q312" s="5">
        <v>0</v>
      </c>
      <c r="R312" s="5" t="str">
        <f t="shared" si="45"/>
        <v>137-2023-06-30</v>
      </c>
    </row>
    <row r="313" spans="1:18" x14ac:dyDescent="0.3">
      <c r="A313" s="39">
        <v>137</v>
      </c>
      <c r="B313" s="5" t="s">
        <v>56</v>
      </c>
      <c r="C313" s="5" t="s">
        <v>55</v>
      </c>
      <c r="D313" s="5" t="s">
        <v>11</v>
      </c>
      <c r="E313" s="5" t="s">
        <v>9</v>
      </c>
      <c r="F313" s="6">
        <v>45291</v>
      </c>
      <c r="G313" s="5">
        <f t="shared" si="71"/>
        <v>2023</v>
      </c>
      <c r="H313" s="5" t="str">
        <f t="shared" si="44"/>
        <v>Diciembre</v>
      </c>
      <c r="I313" s="6" t="str">
        <f t="shared" si="53"/>
        <v>2023-2</v>
      </c>
      <c r="J313" s="5">
        <v>235</v>
      </c>
      <c r="K313" s="5">
        <v>3</v>
      </c>
      <c r="L313" s="21">
        <f>IFERROR(K313/J313,"")</f>
        <v>1.276595744680851E-2</v>
      </c>
      <c r="M313" s="15">
        <f t="shared" si="70"/>
        <v>1.276595744680851E-2</v>
      </c>
      <c r="N313" s="5"/>
      <c r="O313" s="5"/>
      <c r="P313" s="5">
        <v>0</v>
      </c>
      <c r="Q313" s="5">
        <v>0</v>
      </c>
      <c r="R313" s="5" t="str">
        <f t="shared" si="45"/>
        <v>137-2023-12-31</v>
      </c>
    </row>
    <row r="314" spans="1:18" x14ac:dyDescent="0.3">
      <c r="A314" s="5">
        <v>139</v>
      </c>
      <c r="B314" s="5" t="s">
        <v>57</v>
      </c>
      <c r="C314" s="5" t="s">
        <v>55</v>
      </c>
      <c r="D314" s="5" t="s">
        <v>18</v>
      </c>
      <c r="E314" s="5" t="s">
        <v>14</v>
      </c>
      <c r="F314" s="6">
        <v>45107</v>
      </c>
      <c r="G314" s="5">
        <f t="shared" si="71"/>
        <v>2023</v>
      </c>
      <c r="H314" s="5" t="str">
        <f t="shared" si="44"/>
        <v>Junio</v>
      </c>
      <c r="I314" s="6" t="str">
        <f t="shared" si="53"/>
        <v>2023-1</v>
      </c>
      <c r="J314" s="12">
        <v>570.08299999999997</v>
      </c>
      <c r="K314" s="12">
        <v>410.077</v>
      </c>
      <c r="L314" s="15">
        <f>IFERROR(IF((J314/K314)&gt;1.3,1.3,J314/K314),"")</f>
        <v>1.3</v>
      </c>
      <c r="M314" s="15">
        <f>IFERROR(J314/K314,"")</f>
        <v>1.3901852578905911</v>
      </c>
      <c r="N314" s="5" t="s">
        <v>474</v>
      </c>
      <c r="O314" s="5" t="s">
        <v>474</v>
      </c>
      <c r="P314" s="5">
        <v>0</v>
      </c>
      <c r="Q314" s="5">
        <v>0</v>
      </c>
      <c r="R314" s="5" t="str">
        <f t="shared" si="45"/>
        <v>139-2023-06-30</v>
      </c>
    </row>
    <row r="315" spans="1:18" x14ac:dyDescent="0.3">
      <c r="A315" s="5">
        <v>139</v>
      </c>
      <c r="B315" s="5" t="s">
        <v>57</v>
      </c>
      <c r="C315" s="5" t="s">
        <v>55</v>
      </c>
      <c r="D315" s="5" t="s">
        <v>18</v>
      </c>
      <c r="E315" s="5" t="s">
        <v>14</v>
      </c>
      <c r="F315" s="6">
        <v>45291</v>
      </c>
      <c r="G315" s="5">
        <f t="shared" si="71"/>
        <v>2023</v>
      </c>
      <c r="H315" s="5" t="str">
        <f t="shared" si="44"/>
        <v>Diciembre</v>
      </c>
      <c r="I315" s="6" t="str">
        <f t="shared" si="53"/>
        <v>2023-2</v>
      </c>
      <c r="J315" s="12">
        <v>981.98199999999997</v>
      </c>
      <c r="K315" s="12">
        <v>964.28399999999999</v>
      </c>
      <c r="L315" s="15">
        <f>IFERROR(IF((J315/K315)&gt;1.3,1.3,J315/K315),"")</f>
        <v>1.0183535141099509</v>
      </c>
      <c r="M315" s="15">
        <f>IFERROR(J315/K315,"")</f>
        <v>1.0183535141099509</v>
      </c>
      <c r="N315" s="5" t="s">
        <v>474</v>
      </c>
      <c r="O315" s="5" t="s">
        <v>474</v>
      </c>
      <c r="P315" s="5">
        <v>0</v>
      </c>
      <c r="Q315" s="5">
        <v>0</v>
      </c>
      <c r="R315" s="5" t="str">
        <f t="shared" si="45"/>
        <v>139-2023-12-31</v>
      </c>
    </row>
    <row r="316" spans="1:18" x14ac:dyDescent="0.3">
      <c r="A316" s="5">
        <v>139</v>
      </c>
      <c r="B316" s="5" t="s">
        <v>57</v>
      </c>
      <c r="C316" s="5" t="s">
        <v>55</v>
      </c>
      <c r="D316" s="5" t="s">
        <v>18</v>
      </c>
      <c r="E316" s="5" t="s">
        <v>14</v>
      </c>
      <c r="F316" s="6">
        <v>45473</v>
      </c>
      <c r="G316" s="5">
        <f t="shared" si="71"/>
        <v>2024</v>
      </c>
      <c r="H316" s="5" t="str">
        <f t="shared" si="44"/>
        <v>Junio</v>
      </c>
      <c r="I316" s="6" t="str">
        <f t="shared" si="53"/>
        <v>2024-1</v>
      </c>
      <c r="J316" s="75">
        <v>624.02159300000005</v>
      </c>
      <c r="K316" s="75">
        <v>470.81177500000001</v>
      </c>
      <c r="L316" s="15">
        <f>IFERROR(IF((J316/K316)&gt;1.3,1.3,J316/K316),"")</f>
        <v>1.3</v>
      </c>
      <c r="M316" s="15">
        <f>IFERROR(J316/K316,"")</f>
        <v>1.3254162833969054</v>
      </c>
      <c r="N316" s="5" t="s">
        <v>474</v>
      </c>
      <c r="O316" s="5" t="s">
        <v>474</v>
      </c>
      <c r="P316" s="5">
        <v>0</v>
      </c>
      <c r="Q316" s="5">
        <v>0</v>
      </c>
      <c r="R316" s="5" t="str">
        <f t="shared" si="45"/>
        <v>139-2024-06-30</v>
      </c>
    </row>
    <row r="317" spans="1:18" x14ac:dyDescent="0.3">
      <c r="A317" s="5">
        <v>139</v>
      </c>
      <c r="B317" s="5" t="s">
        <v>57</v>
      </c>
      <c r="C317" s="5" t="s">
        <v>55</v>
      </c>
      <c r="D317" s="5" t="s">
        <v>18</v>
      </c>
      <c r="E317" s="5" t="s">
        <v>14</v>
      </c>
      <c r="F317" s="6">
        <v>45657</v>
      </c>
      <c r="G317" s="5">
        <f t="shared" si="71"/>
        <v>2024</v>
      </c>
      <c r="H317" s="5" t="str">
        <f t="shared" si="44"/>
        <v>Diciembre</v>
      </c>
      <c r="I317" s="6" t="str">
        <f t="shared" si="53"/>
        <v>2024-2</v>
      </c>
      <c r="J317" s="9">
        <v>1338.6143959999999</v>
      </c>
      <c r="K317" s="9">
        <v>1214.7518809999999</v>
      </c>
      <c r="L317" s="15">
        <f>IFERROR(IF((J317/K317)&gt;1.3,1.3,J317/K317),"")</f>
        <v>1.1019652794429384</v>
      </c>
      <c r="M317" s="15">
        <f>IFERROR(J317/K317,"")</f>
        <v>1.1019652794429384</v>
      </c>
      <c r="N317" s="5" t="s">
        <v>474</v>
      </c>
      <c r="O317" s="5" t="s">
        <v>474</v>
      </c>
      <c r="P317" s="5">
        <v>0</v>
      </c>
      <c r="Q317" s="5">
        <v>0</v>
      </c>
      <c r="R317" s="5" t="str">
        <f t="shared" si="45"/>
        <v>139-2024-12-31</v>
      </c>
    </row>
    <row r="318" spans="1:18" x14ac:dyDescent="0.3">
      <c r="A318" s="43">
        <v>143</v>
      </c>
      <c r="B318" s="5" t="s">
        <v>58</v>
      </c>
      <c r="C318" s="5" t="s">
        <v>59</v>
      </c>
      <c r="D318" s="5" t="s">
        <v>8</v>
      </c>
      <c r="E318" s="5" t="s">
        <v>9</v>
      </c>
      <c r="F318" s="6">
        <v>45107</v>
      </c>
      <c r="G318" s="5">
        <f t="shared" si="71"/>
        <v>2023</v>
      </c>
      <c r="H318" s="5" t="str">
        <f t="shared" si="44"/>
        <v>Junio</v>
      </c>
      <c r="I318" s="6" t="str">
        <f t="shared" si="53"/>
        <v>2023-1</v>
      </c>
      <c r="J318" s="5"/>
      <c r="K318" s="5">
        <v>146</v>
      </c>
      <c r="L318" s="21" t="s">
        <v>417</v>
      </c>
      <c r="M318" s="15" t="str">
        <f t="shared" ref="M318:M335" si="72">IFERROR(K318/J318,"")</f>
        <v/>
      </c>
      <c r="N318" s="5" t="s">
        <v>728</v>
      </c>
      <c r="O318" s="5"/>
      <c r="P318" s="5">
        <v>0</v>
      </c>
      <c r="Q318" s="5">
        <v>0</v>
      </c>
      <c r="R318" s="5" t="str">
        <f t="shared" si="45"/>
        <v>143-2023-06-30</v>
      </c>
    </row>
    <row r="319" spans="1:18" x14ac:dyDescent="0.3">
      <c r="A319" s="39">
        <v>143</v>
      </c>
      <c r="B319" s="5" t="s">
        <v>58</v>
      </c>
      <c r="C319" s="5" t="s">
        <v>59</v>
      </c>
      <c r="D319" s="5" t="s">
        <v>8</v>
      </c>
      <c r="E319" s="5" t="s">
        <v>9</v>
      </c>
      <c r="F319" s="6">
        <v>45291</v>
      </c>
      <c r="G319" s="5">
        <f t="shared" si="71"/>
        <v>2023</v>
      </c>
      <c r="H319" s="5" t="str">
        <f t="shared" si="44"/>
        <v>Diciembre</v>
      </c>
      <c r="I319" s="6" t="str">
        <f t="shared" si="53"/>
        <v>2023-2</v>
      </c>
      <c r="J319" s="5"/>
      <c r="K319" s="5">
        <v>146</v>
      </c>
      <c r="L319" s="21" t="str">
        <f>IFERROR(K319/J319,"")</f>
        <v/>
      </c>
      <c r="M319" s="15" t="str">
        <f t="shared" si="72"/>
        <v/>
      </c>
      <c r="N319" s="5" t="s">
        <v>728</v>
      </c>
      <c r="O319" s="5"/>
      <c r="P319" s="5">
        <v>0</v>
      </c>
      <c r="Q319" s="5">
        <v>0</v>
      </c>
      <c r="R319" s="5" t="str">
        <f t="shared" si="45"/>
        <v>143-2023-12-31</v>
      </c>
    </row>
    <row r="320" spans="1:18" x14ac:dyDescent="0.3">
      <c r="A320" s="5">
        <v>143</v>
      </c>
      <c r="B320" s="5" t="s">
        <v>58</v>
      </c>
      <c r="C320" s="5" t="s">
        <v>59</v>
      </c>
      <c r="D320" s="5" t="s">
        <v>8</v>
      </c>
      <c r="E320" s="5" t="s">
        <v>9</v>
      </c>
      <c r="F320" s="6">
        <v>45473</v>
      </c>
      <c r="G320" s="5">
        <f t="shared" si="71"/>
        <v>2024</v>
      </c>
      <c r="H320" s="5" t="str">
        <f t="shared" si="44"/>
        <v>Junio</v>
      </c>
      <c r="I320" s="6" t="str">
        <f t="shared" si="53"/>
        <v>2024-1</v>
      </c>
      <c r="J320" s="5"/>
      <c r="K320" s="5">
        <v>112</v>
      </c>
      <c r="L320" s="15" t="str">
        <f>IFERROR(IF((K320/J320)&gt;1.3,1.3,K320/J320),"")</f>
        <v/>
      </c>
      <c r="M320" s="15" t="str">
        <f t="shared" si="72"/>
        <v/>
      </c>
      <c r="N320" s="5" t="s">
        <v>728</v>
      </c>
      <c r="O320" s="5"/>
      <c r="P320" s="5">
        <v>0</v>
      </c>
      <c r="Q320" s="5">
        <v>0</v>
      </c>
      <c r="R320" s="5" t="str">
        <f t="shared" si="45"/>
        <v>143-2024-06-30</v>
      </c>
    </row>
    <row r="321" spans="1:18" x14ac:dyDescent="0.3">
      <c r="A321" s="5">
        <v>143</v>
      </c>
      <c r="B321" s="5" t="s">
        <v>58</v>
      </c>
      <c r="C321" s="5" t="s">
        <v>59</v>
      </c>
      <c r="D321" s="5" t="s">
        <v>8</v>
      </c>
      <c r="E321" s="5" t="s">
        <v>9</v>
      </c>
      <c r="F321" s="6">
        <v>45657</v>
      </c>
      <c r="G321" s="5">
        <f t="shared" si="71"/>
        <v>2024</v>
      </c>
      <c r="H321" s="5" t="str">
        <f t="shared" ref="H321:H386" si="73">PROPER(TEXT(F321,"mmmm"))</f>
        <v>Diciembre</v>
      </c>
      <c r="I321" s="6" t="str">
        <f t="shared" si="53"/>
        <v>2024-2</v>
      </c>
      <c r="J321" s="5"/>
      <c r="K321" s="5">
        <v>135</v>
      </c>
      <c r="L321" s="15" t="str">
        <f>IFERROR(IF((K321/J321)&gt;1.3,1.3,K321/J321),"")</f>
        <v/>
      </c>
      <c r="M321" s="15" t="str">
        <f t="shared" si="72"/>
        <v/>
      </c>
      <c r="N321" s="5" t="s">
        <v>728</v>
      </c>
      <c r="O321" s="5"/>
      <c r="P321" s="5">
        <v>0</v>
      </c>
      <c r="Q321" s="5">
        <v>0</v>
      </c>
      <c r="R321" s="5" t="str">
        <f t="shared" si="45"/>
        <v>143-2024-12-31</v>
      </c>
    </row>
    <row r="322" spans="1:18" x14ac:dyDescent="0.3">
      <c r="A322" s="39">
        <v>144</v>
      </c>
      <c r="B322" s="5" t="s">
        <v>60</v>
      </c>
      <c r="C322" s="5" t="s">
        <v>59</v>
      </c>
      <c r="D322" s="5" t="s">
        <v>25</v>
      </c>
      <c r="E322" s="5" t="s">
        <v>9</v>
      </c>
      <c r="F322" s="6">
        <v>45291</v>
      </c>
      <c r="G322" s="5">
        <f t="shared" si="71"/>
        <v>2023</v>
      </c>
      <c r="H322" s="5" t="str">
        <f t="shared" si="73"/>
        <v>Diciembre</v>
      </c>
      <c r="I322" s="6" t="str">
        <f t="shared" si="53"/>
        <v>2023-2</v>
      </c>
      <c r="J322" s="5">
        <v>3</v>
      </c>
      <c r="K322" s="5">
        <v>4.83</v>
      </c>
      <c r="L322" s="21">
        <f>IFERROR(K322/J322,"")</f>
        <v>1.61</v>
      </c>
      <c r="M322" s="15">
        <f t="shared" si="72"/>
        <v>1.61</v>
      </c>
      <c r="N322" s="5"/>
      <c r="O322" s="5"/>
      <c r="P322" s="5">
        <v>2</v>
      </c>
      <c r="Q322" s="5">
        <v>2</v>
      </c>
      <c r="R322" s="5" t="str">
        <f t="shared" ref="R322:R385" si="74">A322&amp;"-"&amp;YEAR(F322)&amp;"-"&amp;IF(LEN(MONTH(F322))=1,"0"&amp;MONTH(F322),MONTH(F322))&amp;"-"&amp;DAY(F322)</f>
        <v>144-2023-12-31</v>
      </c>
    </row>
    <row r="323" spans="1:18" x14ac:dyDescent="0.3">
      <c r="A323" s="5">
        <v>144</v>
      </c>
      <c r="B323" s="5" t="s">
        <v>60</v>
      </c>
      <c r="C323" s="5" t="s">
        <v>59</v>
      </c>
      <c r="D323" s="5" t="s">
        <v>25</v>
      </c>
      <c r="E323" s="5" t="s">
        <v>9</v>
      </c>
      <c r="F323" s="6">
        <v>45657</v>
      </c>
      <c r="G323" s="5">
        <f t="shared" si="71"/>
        <v>2024</v>
      </c>
      <c r="H323" s="5" t="str">
        <f t="shared" si="73"/>
        <v>Diciembre</v>
      </c>
      <c r="I323" s="6" t="str">
        <f t="shared" si="53"/>
        <v>2024-2</v>
      </c>
      <c r="J323" s="5">
        <v>3</v>
      </c>
      <c r="K323" s="5">
        <v>3.07</v>
      </c>
      <c r="L323" s="15">
        <f>IFERROR(IF((K323/J323)&gt;1.3,1.3,K323/J323),"")</f>
        <v>1.0233333333333332</v>
      </c>
      <c r="M323" s="15">
        <f t="shared" si="72"/>
        <v>1.0233333333333332</v>
      </c>
      <c r="N323" s="5"/>
      <c r="O323" s="5"/>
      <c r="P323" s="5">
        <v>0</v>
      </c>
      <c r="Q323" s="5">
        <v>0</v>
      </c>
      <c r="R323" s="5" t="str">
        <f t="shared" si="74"/>
        <v>144-2024-12-31</v>
      </c>
    </row>
    <row r="324" spans="1:18" x14ac:dyDescent="0.3">
      <c r="A324" s="5">
        <v>145</v>
      </c>
      <c r="B324" s="5" t="s">
        <v>61</v>
      </c>
      <c r="C324" s="5" t="s">
        <v>62</v>
      </c>
      <c r="D324" s="5" t="s">
        <v>8</v>
      </c>
      <c r="E324" s="5" t="s">
        <v>9</v>
      </c>
      <c r="F324" s="6">
        <v>45107</v>
      </c>
      <c r="G324" s="5">
        <f t="shared" si="71"/>
        <v>2023</v>
      </c>
      <c r="H324" s="5" t="str">
        <f t="shared" si="73"/>
        <v>Junio</v>
      </c>
      <c r="I324" s="6" t="str">
        <f t="shared" si="53"/>
        <v>2023-1</v>
      </c>
      <c r="J324" s="5">
        <v>1</v>
      </c>
      <c r="K324" s="5">
        <v>2</v>
      </c>
      <c r="L324" s="15">
        <f>IFERROR(IF((K324/J324)&gt;1.3,1.3,K324/J324),"")</f>
        <v>1.3</v>
      </c>
      <c r="M324" s="15">
        <f t="shared" si="72"/>
        <v>2</v>
      </c>
      <c r="N324" s="5" t="s">
        <v>490</v>
      </c>
      <c r="O324" s="5" t="s">
        <v>490</v>
      </c>
      <c r="P324" s="5">
        <v>0</v>
      </c>
      <c r="Q324" s="5">
        <v>0</v>
      </c>
      <c r="R324" s="5" t="str">
        <f t="shared" si="74"/>
        <v>145-2023-06-30</v>
      </c>
    </row>
    <row r="325" spans="1:18" x14ac:dyDescent="0.3">
      <c r="A325" s="5">
        <v>145</v>
      </c>
      <c r="B325" s="5" t="s">
        <v>61</v>
      </c>
      <c r="C325" s="5" t="s">
        <v>62</v>
      </c>
      <c r="D325" s="5" t="s">
        <v>8</v>
      </c>
      <c r="E325" s="5" t="s">
        <v>9</v>
      </c>
      <c r="F325" s="6">
        <v>45291</v>
      </c>
      <c r="G325" s="5">
        <f t="shared" si="71"/>
        <v>2023</v>
      </c>
      <c r="H325" s="5" t="str">
        <f t="shared" si="73"/>
        <v>Diciembre</v>
      </c>
      <c r="I325" s="6" t="str">
        <f t="shared" si="53"/>
        <v>2023-2</v>
      </c>
      <c r="J325" s="5">
        <v>1</v>
      </c>
      <c r="K325" s="5">
        <v>2</v>
      </c>
      <c r="L325" s="15">
        <f>IFERROR(IF((K325/J325)&gt;1.3,1.3,K325/J325),"")</f>
        <v>1.3</v>
      </c>
      <c r="M325" s="15">
        <f t="shared" si="72"/>
        <v>2</v>
      </c>
      <c r="N325" s="5" t="s">
        <v>490</v>
      </c>
      <c r="O325" s="5" t="s">
        <v>490</v>
      </c>
      <c r="P325" s="5">
        <v>0</v>
      </c>
      <c r="Q325" s="5">
        <v>0</v>
      </c>
      <c r="R325" s="5" t="str">
        <f t="shared" si="74"/>
        <v>145-2023-12-31</v>
      </c>
    </row>
    <row r="326" spans="1:18" x14ac:dyDescent="0.3">
      <c r="A326" s="5">
        <v>145</v>
      </c>
      <c r="B326" s="5" t="s">
        <v>61</v>
      </c>
      <c r="C326" s="5" t="s">
        <v>62</v>
      </c>
      <c r="D326" s="5" t="s">
        <v>8</v>
      </c>
      <c r="E326" s="5" t="s">
        <v>9</v>
      </c>
      <c r="F326" s="6">
        <v>45473</v>
      </c>
      <c r="G326" s="5">
        <f t="shared" si="71"/>
        <v>2024</v>
      </c>
      <c r="H326" s="5" t="str">
        <f t="shared" si="73"/>
        <v>Junio</v>
      </c>
      <c r="I326" s="6" t="str">
        <f t="shared" si="53"/>
        <v>2024-1</v>
      </c>
      <c r="J326" s="5">
        <v>1</v>
      </c>
      <c r="K326" s="5">
        <v>1.97</v>
      </c>
      <c r="L326" s="15">
        <f>IFERROR(IF((K326/J326)&gt;1.3,1.3,K326/J326),"")</f>
        <v>1.3</v>
      </c>
      <c r="M326" s="15">
        <f t="shared" si="72"/>
        <v>1.97</v>
      </c>
      <c r="N326" s="5" t="s">
        <v>490</v>
      </c>
      <c r="O326" s="5" t="s">
        <v>478</v>
      </c>
      <c r="P326" s="5">
        <v>0</v>
      </c>
      <c r="Q326" s="5">
        <v>2</v>
      </c>
      <c r="R326" s="5" t="str">
        <f t="shared" si="74"/>
        <v>145-2024-06-30</v>
      </c>
    </row>
    <row r="327" spans="1:18" x14ac:dyDescent="0.3">
      <c r="A327" s="5">
        <v>145</v>
      </c>
      <c r="B327" s="5" t="s">
        <v>61</v>
      </c>
      <c r="C327" s="5" t="s">
        <v>62</v>
      </c>
      <c r="D327" s="5" t="s">
        <v>8</v>
      </c>
      <c r="E327" s="5" t="s">
        <v>9</v>
      </c>
      <c r="F327" s="6">
        <v>45657</v>
      </c>
      <c r="G327" s="5">
        <f t="shared" si="71"/>
        <v>2024</v>
      </c>
      <c r="H327" s="5" t="str">
        <f t="shared" si="73"/>
        <v>Diciembre</v>
      </c>
      <c r="I327" s="6" t="str">
        <f t="shared" si="53"/>
        <v>2024-2</v>
      </c>
      <c r="J327" s="5">
        <v>1</v>
      </c>
      <c r="K327" s="5">
        <v>1.94</v>
      </c>
      <c r="L327" s="15">
        <f>IFERROR(IF((K327/J327)&gt;1.3,1.3,K327/J327),"")</f>
        <v>1.3</v>
      </c>
      <c r="M327" s="15">
        <f t="shared" si="72"/>
        <v>1.94</v>
      </c>
      <c r="N327" s="5" t="s">
        <v>490</v>
      </c>
      <c r="O327" s="5" t="s">
        <v>478</v>
      </c>
      <c r="P327" s="5">
        <v>0</v>
      </c>
      <c r="Q327" s="5">
        <v>2</v>
      </c>
      <c r="R327" s="5" t="str">
        <f t="shared" si="74"/>
        <v>145-2024-12-31</v>
      </c>
    </row>
    <row r="328" spans="1:18" x14ac:dyDescent="0.3">
      <c r="A328" s="43">
        <v>146</v>
      </c>
      <c r="B328" s="5" t="s">
        <v>63</v>
      </c>
      <c r="C328" s="5" t="s">
        <v>59</v>
      </c>
      <c r="D328" s="5" t="s">
        <v>8</v>
      </c>
      <c r="E328" s="5" t="s">
        <v>9</v>
      </c>
      <c r="F328" s="6">
        <v>45107</v>
      </c>
      <c r="G328" s="5">
        <f t="shared" si="71"/>
        <v>2023</v>
      </c>
      <c r="H328" s="5" t="str">
        <f t="shared" si="73"/>
        <v>Junio</v>
      </c>
      <c r="I328" s="6" t="str">
        <f t="shared" si="53"/>
        <v>2023-1</v>
      </c>
      <c r="J328" s="5">
        <v>230</v>
      </c>
      <c r="K328" s="5">
        <v>278</v>
      </c>
      <c r="L328" s="21">
        <f>IFERROR(K328/J328,"")</f>
        <v>1.2086956521739129</v>
      </c>
      <c r="M328" s="15">
        <f t="shared" si="72"/>
        <v>1.2086956521739129</v>
      </c>
      <c r="N328" s="5" t="s">
        <v>490</v>
      </c>
      <c r="O328" s="5" t="s">
        <v>490</v>
      </c>
      <c r="P328" s="5">
        <v>0</v>
      </c>
      <c r="Q328" s="5">
        <v>0</v>
      </c>
      <c r="R328" s="5" t="str">
        <f t="shared" si="74"/>
        <v>146-2023-06-30</v>
      </c>
    </row>
    <row r="329" spans="1:18" x14ac:dyDescent="0.3">
      <c r="A329" s="39">
        <v>146</v>
      </c>
      <c r="B329" s="5" t="s">
        <v>63</v>
      </c>
      <c r="C329" s="5" t="s">
        <v>59</v>
      </c>
      <c r="D329" s="5" t="s">
        <v>8</v>
      </c>
      <c r="E329" s="5" t="s">
        <v>9</v>
      </c>
      <c r="F329" s="6">
        <v>45291</v>
      </c>
      <c r="G329" s="5">
        <f t="shared" si="71"/>
        <v>2023</v>
      </c>
      <c r="H329" s="5" t="str">
        <f t="shared" si="73"/>
        <v>Diciembre</v>
      </c>
      <c r="I329" s="6" t="str">
        <f t="shared" si="53"/>
        <v>2023-2</v>
      </c>
      <c r="J329" s="5">
        <v>230</v>
      </c>
      <c r="K329" s="5">
        <v>342</v>
      </c>
      <c r="L329" s="21">
        <f>IFERROR(K329/J329,"")</f>
        <v>1.4869565217391305</v>
      </c>
      <c r="M329" s="15">
        <f t="shared" si="72"/>
        <v>1.4869565217391305</v>
      </c>
      <c r="N329" s="5" t="s">
        <v>490</v>
      </c>
      <c r="O329" s="5" t="s">
        <v>490</v>
      </c>
      <c r="P329" s="5">
        <v>0</v>
      </c>
      <c r="Q329" s="5">
        <v>0</v>
      </c>
      <c r="R329" s="5" t="str">
        <f t="shared" si="74"/>
        <v>146-2023-12-31</v>
      </c>
    </row>
    <row r="330" spans="1:18" x14ac:dyDescent="0.3">
      <c r="A330" s="5">
        <v>146</v>
      </c>
      <c r="B330" s="5" t="s">
        <v>63</v>
      </c>
      <c r="C330" s="5" t="s">
        <v>59</v>
      </c>
      <c r="D330" s="5" t="s">
        <v>8</v>
      </c>
      <c r="E330" s="5" t="s">
        <v>9</v>
      </c>
      <c r="F330" s="6">
        <v>45473</v>
      </c>
      <c r="G330" s="5">
        <f t="shared" si="71"/>
        <v>2024</v>
      </c>
      <c r="H330" s="5" t="str">
        <f t="shared" si="73"/>
        <v>Junio</v>
      </c>
      <c r="I330" s="6" t="str">
        <f t="shared" si="53"/>
        <v>2024-1</v>
      </c>
      <c r="J330" s="5">
        <v>294</v>
      </c>
      <c r="K330" s="5">
        <v>334</v>
      </c>
      <c r="L330" s="15">
        <f>IFERROR(IF((K330/J330)&gt;1.3,1.3,K330/J330),"")</f>
        <v>1.1360544217687074</v>
      </c>
      <c r="M330" s="15">
        <f t="shared" si="72"/>
        <v>1.1360544217687074</v>
      </c>
      <c r="N330" s="5" t="s">
        <v>490</v>
      </c>
      <c r="O330" s="5" t="s">
        <v>490</v>
      </c>
      <c r="P330" s="5">
        <v>0</v>
      </c>
      <c r="Q330" s="5">
        <v>0</v>
      </c>
      <c r="R330" s="5" t="str">
        <f t="shared" si="74"/>
        <v>146-2024-06-30</v>
      </c>
    </row>
    <row r="331" spans="1:18" x14ac:dyDescent="0.3">
      <c r="A331" s="5">
        <v>146</v>
      </c>
      <c r="B331" s="5" t="s">
        <v>63</v>
      </c>
      <c r="C331" s="5" t="s">
        <v>59</v>
      </c>
      <c r="D331" s="5" t="s">
        <v>8</v>
      </c>
      <c r="E331" s="5" t="s">
        <v>9</v>
      </c>
      <c r="F331" s="6">
        <v>45657</v>
      </c>
      <c r="G331" s="5">
        <f t="shared" si="71"/>
        <v>2024</v>
      </c>
      <c r="H331" s="5" t="str">
        <f t="shared" si="73"/>
        <v>Diciembre</v>
      </c>
      <c r="I331" s="6" t="str">
        <f t="shared" si="53"/>
        <v>2024-2</v>
      </c>
      <c r="J331" s="5">
        <v>294</v>
      </c>
      <c r="K331" s="5">
        <v>343</v>
      </c>
      <c r="L331" s="15">
        <f>IFERROR(IF((K331/J331)&gt;1.3,1.3,K331/J331),"")</f>
        <v>1.1666666666666667</v>
      </c>
      <c r="M331" s="15">
        <f t="shared" si="72"/>
        <v>1.1666666666666667</v>
      </c>
      <c r="N331" s="5" t="s">
        <v>490</v>
      </c>
      <c r="O331" s="5" t="s">
        <v>490</v>
      </c>
      <c r="P331" s="5">
        <v>0</v>
      </c>
      <c r="Q331" s="5">
        <v>0</v>
      </c>
      <c r="R331" s="5" t="str">
        <f t="shared" si="74"/>
        <v>146-2024-12-31</v>
      </c>
    </row>
    <row r="332" spans="1:18" x14ac:dyDescent="0.3">
      <c r="A332" s="39">
        <v>147</v>
      </c>
      <c r="B332" s="5" t="s">
        <v>64</v>
      </c>
      <c r="C332" s="5" t="s">
        <v>59</v>
      </c>
      <c r="D332" s="5" t="s">
        <v>25</v>
      </c>
      <c r="E332" s="5" t="s">
        <v>9</v>
      </c>
      <c r="F332" s="6">
        <v>45291</v>
      </c>
      <c r="G332" s="5">
        <f t="shared" si="71"/>
        <v>2023</v>
      </c>
      <c r="H332" s="5" t="str">
        <f t="shared" si="73"/>
        <v>Diciembre</v>
      </c>
      <c r="I332" s="6" t="str">
        <f t="shared" si="53"/>
        <v>2023-2</v>
      </c>
      <c r="J332" s="5">
        <v>13</v>
      </c>
      <c r="K332" s="5">
        <v>11</v>
      </c>
      <c r="L332" s="21">
        <f>IFERROR(K332/J332,"")</f>
        <v>0.84615384615384615</v>
      </c>
      <c r="M332" s="15">
        <f t="shared" si="72"/>
        <v>0.84615384615384615</v>
      </c>
      <c r="N332" s="5"/>
      <c r="O332" s="5"/>
      <c r="P332" s="5">
        <v>0</v>
      </c>
      <c r="Q332" s="5">
        <v>0</v>
      </c>
      <c r="R332" s="5" t="str">
        <f t="shared" si="74"/>
        <v>147-2023-12-31</v>
      </c>
    </row>
    <row r="333" spans="1:18" x14ac:dyDescent="0.3">
      <c r="A333" s="5">
        <v>147</v>
      </c>
      <c r="B333" s="5" t="s">
        <v>64</v>
      </c>
      <c r="C333" s="5" t="s">
        <v>59</v>
      </c>
      <c r="D333" s="5" t="s">
        <v>25</v>
      </c>
      <c r="E333" s="5" t="s">
        <v>9</v>
      </c>
      <c r="F333" s="6">
        <v>45657</v>
      </c>
      <c r="G333" s="5">
        <f t="shared" si="71"/>
        <v>2024</v>
      </c>
      <c r="H333" s="5" t="str">
        <f t="shared" si="73"/>
        <v>Diciembre</v>
      </c>
      <c r="I333" s="6" t="str">
        <f t="shared" si="53"/>
        <v>2024-2</v>
      </c>
      <c r="J333" s="5">
        <v>16</v>
      </c>
      <c r="K333" s="5">
        <v>12</v>
      </c>
      <c r="L333" s="15">
        <f>IFERROR(IF((K333/J333)&gt;1.3,1.3,K333/J333),"")</f>
        <v>0.75</v>
      </c>
      <c r="M333" s="15">
        <f t="shared" si="72"/>
        <v>0.75</v>
      </c>
      <c r="N333" s="5"/>
      <c r="O333" s="5"/>
      <c r="P333" s="5">
        <v>0</v>
      </c>
      <c r="Q333" s="5">
        <v>0</v>
      </c>
      <c r="R333" s="5" t="str">
        <f t="shared" si="74"/>
        <v>147-2024-12-31</v>
      </c>
    </row>
    <row r="334" spans="1:18" x14ac:dyDescent="0.3">
      <c r="A334" s="5">
        <v>148</v>
      </c>
      <c r="B334" s="5" t="s">
        <v>65</v>
      </c>
      <c r="C334" s="5" t="s">
        <v>62</v>
      </c>
      <c r="D334" s="5" t="s">
        <v>8</v>
      </c>
      <c r="E334" s="5" t="s">
        <v>9</v>
      </c>
      <c r="F334" s="17">
        <v>45107</v>
      </c>
      <c r="G334" s="16">
        <f t="shared" si="71"/>
        <v>2023</v>
      </c>
      <c r="H334" s="6" t="str">
        <f t="shared" si="73"/>
        <v>Junio</v>
      </c>
      <c r="I334" s="41" t="s">
        <v>422</v>
      </c>
      <c r="J334" s="5">
        <v>2.5</v>
      </c>
      <c r="K334" s="5">
        <v>3.57</v>
      </c>
      <c r="L334" s="15">
        <f>IFERROR(IF((K334/J334)&gt;1.3,1.3,K334/J334),"")</f>
        <v>1.3</v>
      </c>
      <c r="M334" s="15">
        <f t="shared" si="72"/>
        <v>1.4279999999999999</v>
      </c>
      <c r="N334" s="5" t="s">
        <v>347</v>
      </c>
      <c r="O334" s="5" t="s">
        <v>347</v>
      </c>
      <c r="P334" s="5">
        <v>1</v>
      </c>
      <c r="Q334" s="5">
        <v>1</v>
      </c>
      <c r="R334" s="5" t="str">
        <f t="shared" si="74"/>
        <v>148-2023-06-30</v>
      </c>
    </row>
    <row r="335" spans="1:18" x14ac:dyDescent="0.3">
      <c r="A335" s="5">
        <v>148</v>
      </c>
      <c r="B335" s="5" t="s">
        <v>65</v>
      </c>
      <c r="C335" s="5" t="s">
        <v>62</v>
      </c>
      <c r="D335" s="5" t="s">
        <v>8</v>
      </c>
      <c r="E335" s="5" t="s">
        <v>9</v>
      </c>
      <c r="F335" s="17">
        <v>45291</v>
      </c>
      <c r="G335" s="16">
        <f t="shared" si="71"/>
        <v>2023</v>
      </c>
      <c r="H335" s="6" t="str">
        <f t="shared" si="73"/>
        <v>Diciembre</v>
      </c>
      <c r="I335" s="41" t="s">
        <v>434</v>
      </c>
      <c r="J335" s="5">
        <v>5</v>
      </c>
      <c r="K335" s="5">
        <v>5.71</v>
      </c>
      <c r="L335" s="15">
        <f>IFERROR(IF((K335/J335)&gt;1.3,1.3,K335/J335),"")</f>
        <v>1.1419999999999999</v>
      </c>
      <c r="M335" s="15">
        <f t="shared" si="72"/>
        <v>1.1419999999999999</v>
      </c>
      <c r="N335" s="5" t="s">
        <v>347</v>
      </c>
      <c r="O335" s="5" t="s">
        <v>347</v>
      </c>
      <c r="P335" s="5">
        <v>0</v>
      </c>
      <c r="Q335" s="5">
        <v>1</v>
      </c>
      <c r="R335" s="5" t="str">
        <f t="shared" si="74"/>
        <v>148-2023-12-31</v>
      </c>
    </row>
    <row r="336" spans="1:18" x14ac:dyDescent="0.3">
      <c r="A336" s="5">
        <v>148</v>
      </c>
      <c r="B336" s="5" t="s">
        <v>65</v>
      </c>
      <c r="C336" s="5" t="s">
        <v>62</v>
      </c>
      <c r="D336" s="5" t="s">
        <v>8</v>
      </c>
      <c r="E336" s="5" t="s">
        <v>9</v>
      </c>
      <c r="F336" s="6">
        <v>45473</v>
      </c>
      <c r="G336" s="5">
        <f t="shared" si="71"/>
        <v>2024</v>
      </c>
      <c r="H336" s="5" t="str">
        <f t="shared" si="73"/>
        <v>Junio</v>
      </c>
      <c r="I336" s="6" t="str">
        <f t="shared" ref="I336:I368" si="75">IF(OR(H336="Enero",H336="Febrero",H336="Marzo",H336="Abril",H336="Mayo",H336="Junio"),G336&amp;"-1",IF(OR(H336="Julio",H336="Agosto",H336="Septiembre",H336="Octubre",H336="Noviembre",H336="Diciembre"),G336&amp;"-2"))</f>
        <v>2024-1</v>
      </c>
      <c r="J336" s="5">
        <v>5</v>
      </c>
      <c r="K336" s="5">
        <v>4.3</v>
      </c>
      <c r="L336" s="15">
        <f>IFERROR(IF((K336/J336)&gt;1.3,1.3,K336/J336),"")</f>
        <v>0.86</v>
      </c>
      <c r="M336" s="15">
        <v>0.86</v>
      </c>
      <c r="N336" s="5" t="s">
        <v>347</v>
      </c>
      <c r="O336" s="5" t="s">
        <v>347</v>
      </c>
      <c r="P336" s="5">
        <v>0</v>
      </c>
      <c r="Q336" s="5">
        <v>1</v>
      </c>
      <c r="R336" s="5" t="str">
        <f t="shared" si="74"/>
        <v>148-2024-06-30</v>
      </c>
    </row>
    <row r="337" spans="1:18" x14ac:dyDescent="0.3">
      <c r="A337" s="5">
        <v>148</v>
      </c>
      <c r="B337" s="5" t="s">
        <v>65</v>
      </c>
      <c r="C337" s="5" t="s">
        <v>62</v>
      </c>
      <c r="D337" s="5" t="s">
        <v>8</v>
      </c>
      <c r="E337" s="5" t="s">
        <v>9</v>
      </c>
      <c r="F337" s="6">
        <v>45657</v>
      </c>
      <c r="G337" s="5">
        <f t="shared" si="71"/>
        <v>2024</v>
      </c>
      <c r="H337" s="5" t="str">
        <f t="shared" si="73"/>
        <v>Diciembre</v>
      </c>
      <c r="I337" s="6" t="str">
        <f t="shared" si="75"/>
        <v>2024-2</v>
      </c>
      <c r="J337" s="5">
        <v>5</v>
      </c>
      <c r="K337" s="5">
        <v>6.3</v>
      </c>
      <c r="L337" s="15">
        <f>IFERROR(IF((K337/J337)&gt;1.3,1.3,K337/J337),"")</f>
        <v>1.26</v>
      </c>
      <c r="M337" s="15">
        <f t="shared" ref="M337:M353" si="76">IFERROR(K337/J337,"")</f>
        <v>1.26</v>
      </c>
      <c r="N337" s="5" t="s">
        <v>347</v>
      </c>
      <c r="O337" s="5" t="s">
        <v>347</v>
      </c>
      <c r="P337" s="5">
        <v>0</v>
      </c>
      <c r="Q337" s="5">
        <v>1</v>
      </c>
      <c r="R337" s="5" t="str">
        <f t="shared" si="74"/>
        <v>148-2024-12-31</v>
      </c>
    </row>
    <row r="338" spans="1:18" x14ac:dyDescent="0.3">
      <c r="A338" s="5">
        <v>150</v>
      </c>
      <c r="B338" s="5" t="s">
        <v>39</v>
      </c>
      <c r="C338" s="5" t="s">
        <v>444</v>
      </c>
      <c r="D338" s="5" t="s">
        <v>25</v>
      </c>
      <c r="E338" s="5" t="s">
        <v>9</v>
      </c>
      <c r="F338" s="6">
        <v>44865</v>
      </c>
      <c r="G338" s="5">
        <v>2022</v>
      </c>
      <c r="H338" s="5" t="str">
        <f t="shared" si="73"/>
        <v>Octubre</v>
      </c>
      <c r="I338" s="6" t="str">
        <f t="shared" si="75"/>
        <v>2022-2</v>
      </c>
      <c r="J338" s="5">
        <v>80</v>
      </c>
      <c r="K338" s="5">
        <v>73.639994105511391</v>
      </c>
      <c r="L338" s="21">
        <f>IFERROR(K338/J338,"")</f>
        <v>0.92049992631889244</v>
      </c>
      <c r="M338" s="15">
        <f t="shared" si="76"/>
        <v>0.92049992631889244</v>
      </c>
      <c r="N338" s="5" t="s">
        <v>347</v>
      </c>
      <c r="O338" s="5" t="s">
        <v>347</v>
      </c>
      <c r="P338" s="5">
        <v>0</v>
      </c>
      <c r="Q338" s="5">
        <v>0</v>
      </c>
      <c r="R338" s="5" t="str">
        <f t="shared" si="74"/>
        <v>150-2022-10-31</v>
      </c>
    </row>
    <row r="339" spans="1:18" x14ac:dyDescent="0.3">
      <c r="A339" s="5">
        <v>150</v>
      </c>
      <c r="B339" s="5" t="s">
        <v>39</v>
      </c>
      <c r="C339" s="5" t="s">
        <v>444</v>
      </c>
      <c r="D339" s="5" t="s">
        <v>25</v>
      </c>
      <c r="E339" s="5" t="s">
        <v>9</v>
      </c>
      <c r="F339" s="6">
        <v>45291</v>
      </c>
      <c r="G339" s="5">
        <v>2023</v>
      </c>
      <c r="H339" s="5" t="str">
        <f t="shared" si="73"/>
        <v>Diciembre</v>
      </c>
      <c r="I339" s="6" t="str">
        <f t="shared" si="75"/>
        <v>2023-2</v>
      </c>
      <c r="J339" s="5">
        <v>80</v>
      </c>
      <c r="K339" s="5">
        <v>84.343500708111094</v>
      </c>
      <c r="L339" s="21">
        <f>IFERROR(K339/J339,"")</f>
        <v>1.0542937588513888</v>
      </c>
      <c r="M339" s="15">
        <f t="shared" si="76"/>
        <v>1.0542937588513888</v>
      </c>
      <c r="N339" s="5" t="s">
        <v>347</v>
      </c>
      <c r="O339" s="5" t="s">
        <v>347</v>
      </c>
      <c r="P339" s="5">
        <v>0</v>
      </c>
      <c r="Q339" s="5">
        <v>0</v>
      </c>
      <c r="R339" s="5" t="str">
        <f t="shared" si="74"/>
        <v>150-2023-12-31</v>
      </c>
    </row>
    <row r="340" spans="1:18" x14ac:dyDescent="0.3">
      <c r="A340" s="5">
        <v>150</v>
      </c>
      <c r="B340" s="5" t="s">
        <v>39</v>
      </c>
      <c r="C340" s="5" t="s">
        <v>59</v>
      </c>
      <c r="D340" s="5" t="s">
        <v>25</v>
      </c>
      <c r="E340" s="5" t="s">
        <v>9</v>
      </c>
      <c r="F340" s="6">
        <v>45657</v>
      </c>
      <c r="G340" s="5">
        <f t="shared" ref="G340:G404" si="77">YEAR(F340)</f>
        <v>2024</v>
      </c>
      <c r="H340" s="5" t="str">
        <f t="shared" si="73"/>
        <v>Diciembre</v>
      </c>
      <c r="I340" s="6" t="str">
        <f t="shared" si="75"/>
        <v>2024-2</v>
      </c>
      <c r="J340" s="5"/>
      <c r="K340" s="5"/>
      <c r="L340" s="15" t="str">
        <f>IFERROR(IF((K340/J340)&gt;1.3,1.3,K340/J340),"")</f>
        <v/>
      </c>
      <c r="M340" s="15" t="str">
        <f t="shared" si="76"/>
        <v/>
      </c>
      <c r="N340" s="5"/>
      <c r="O340" s="5"/>
      <c r="P340" s="5">
        <v>0</v>
      </c>
      <c r="Q340" s="5">
        <v>0</v>
      </c>
      <c r="R340" s="5" t="str">
        <f t="shared" si="74"/>
        <v>150-2024-12-31</v>
      </c>
    </row>
    <row r="341" spans="1:18" x14ac:dyDescent="0.3">
      <c r="A341" s="39">
        <v>151</v>
      </c>
      <c r="B341" s="5" t="s">
        <v>39</v>
      </c>
      <c r="C341" s="5" t="s">
        <v>55</v>
      </c>
      <c r="D341" s="5" t="s">
        <v>25</v>
      </c>
      <c r="E341" s="5" t="s">
        <v>9</v>
      </c>
      <c r="F341" s="6">
        <v>45291</v>
      </c>
      <c r="G341" s="5">
        <f t="shared" si="77"/>
        <v>2023</v>
      </c>
      <c r="H341" s="5" t="str">
        <f t="shared" si="73"/>
        <v>Diciembre</v>
      </c>
      <c r="I341" s="6" t="str">
        <f t="shared" si="75"/>
        <v>2023-2</v>
      </c>
      <c r="J341" s="5" t="s">
        <v>417</v>
      </c>
      <c r="K341" s="5" t="s">
        <v>417</v>
      </c>
      <c r="L341" s="21" t="str">
        <f>IFERROR(K341/J341,"")</f>
        <v/>
      </c>
      <c r="M341" s="15" t="str">
        <f t="shared" si="76"/>
        <v/>
      </c>
      <c r="N341" s="5"/>
      <c r="O341" s="5"/>
      <c r="P341" s="5">
        <v>0</v>
      </c>
      <c r="Q341" s="5">
        <v>0</v>
      </c>
      <c r="R341" s="5" t="str">
        <f t="shared" si="74"/>
        <v>151-2023-12-31</v>
      </c>
    </row>
    <row r="342" spans="1:18" x14ac:dyDescent="0.3">
      <c r="A342" s="5">
        <v>151</v>
      </c>
      <c r="B342" s="5" t="s">
        <v>39</v>
      </c>
      <c r="C342" s="5" t="s">
        <v>55</v>
      </c>
      <c r="D342" s="5" t="s">
        <v>25</v>
      </c>
      <c r="E342" s="5" t="s">
        <v>9</v>
      </c>
      <c r="F342" s="6">
        <v>45657</v>
      </c>
      <c r="G342" s="5">
        <f t="shared" si="77"/>
        <v>2024</v>
      </c>
      <c r="H342" s="5" t="str">
        <f t="shared" si="73"/>
        <v>Diciembre</v>
      </c>
      <c r="I342" s="6" t="str">
        <f t="shared" si="75"/>
        <v>2024-2</v>
      </c>
      <c r="J342" s="5"/>
      <c r="K342" s="5"/>
      <c r="L342" s="15" t="str">
        <f>IFERROR(IF((K342/J342)&gt;1.3,1.3,K342/J342),"")</f>
        <v/>
      </c>
      <c r="M342" s="15" t="str">
        <f t="shared" si="76"/>
        <v/>
      </c>
      <c r="N342" s="5"/>
      <c r="O342" s="5"/>
      <c r="P342" s="5">
        <v>0</v>
      </c>
      <c r="Q342" s="5">
        <v>0</v>
      </c>
      <c r="R342" s="5" t="str">
        <f t="shared" si="74"/>
        <v>151-2024-12-31</v>
      </c>
    </row>
    <row r="343" spans="1:18" x14ac:dyDescent="0.3">
      <c r="A343" s="39">
        <v>157</v>
      </c>
      <c r="B343" s="5" t="s">
        <v>66</v>
      </c>
      <c r="C343" s="5" t="s">
        <v>67</v>
      </c>
      <c r="D343" s="5" t="s">
        <v>25</v>
      </c>
      <c r="E343" s="5" t="s">
        <v>9</v>
      </c>
      <c r="F343" s="6">
        <v>45107</v>
      </c>
      <c r="G343" s="5">
        <f t="shared" si="77"/>
        <v>2023</v>
      </c>
      <c r="H343" s="5" t="str">
        <f t="shared" si="73"/>
        <v>Junio</v>
      </c>
      <c r="I343" s="6" t="str">
        <f t="shared" si="75"/>
        <v>2023-1</v>
      </c>
      <c r="J343" s="5"/>
      <c r="K343" s="5"/>
      <c r="L343" s="21" t="str">
        <f>IFERROR(K343/J343,"")</f>
        <v/>
      </c>
      <c r="M343" s="15" t="str">
        <f t="shared" si="76"/>
        <v/>
      </c>
      <c r="N343" s="5"/>
      <c r="O343" s="5"/>
      <c r="P343" s="5">
        <v>0</v>
      </c>
      <c r="Q343" s="5">
        <v>0</v>
      </c>
      <c r="R343" s="5" t="str">
        <f t="shared" si="74"/>
        <v>157-2023-06-30</v>
      </c>
    </row>
    <row r="344" spans="1:18" x14ac:dyDescent="0.3">
      <c r="A344" s="39">
        <v>157</v>
      </c>
      <c r="B344" s="5" t="s">
        <v>66</v>
      </c>
      <c r="C344" s="5" t="s">
        <v>67</v>
      </c>
      <c r="D344" s="5" t="s">
        <v>25</v>
      </c>
      <c r="E344" s="5" t="s">
        <v>9</v>
      </c>
      <c r="F344" s="6">
        <v>45291</v>
      </c>
      <c r="G344" s="5">
        <f t="shared" si="77"/>
        <v>2023</v>
      </c>
      <c r="H344" s="5" t="str">
        <f t="shared" si="73"/>
        <v>Diciembre</v>
      </c>
      <c r="I344" s="6" t="str">
        <f t="shared" si="75"/>
        <v>2023-2</v>
      </c>
      <c r="J344" s="5">
        <v>3</v>
      </c>
      <c r="K344" s="5">
        <v>7</v>
      </c>
      <c r="L344" s="21">
        <f>IFERROR(K344/J344,"")</f>
        <v>2.3333333333333335</v>
      </c>
      <c r="M344" s="15">
        <f t="shared" si="76"/>
        <v>2.3333333333333335</v>
      </c>
      <c r="N344" s="5"/>
      <c r="O344" s="5"/>
      <c r="P344" s="5">
        <v>0</v>
      </c>
      <c r="Q344" s="5">
        <v>0</v>
      </c>
      <c r="R344" s="5" t="str">
        <f t="shared" si="74"/>
        <v>157-2023-12-31</v>
      </c>
    </row>
    <row r="345" spans="1:18" x14ac:dyDescent="0.3">
      <c r="A345" s="5">
        <v>157</v>
      </c>
      <c r="B345" s="5" t="s">
        <v>66</v>
      </c>
      <c r="C345" s="5" t="s">
        <v>67</v>
      </c>
      <c r="D345" s="5" t="s">
        <v>25</v>
      </c>
      <c r="E345" s="5" t="s">
        <v>9</v>
      </c>
      <c r="F345" s="6">
        <v>45657</v>
      </c>
      <c r="G345" s="5">
        <f t="shared" si="77"/>
        <v>2024</v>
      </c>
      <c r="H345" s="5" t="str">
        <f t="shared" si="73"/>
        <v>Diciembre</v>
      </c>
      <c r="I345" s="6" t="str">
        <f t="shared" si="75"/>
        <v>2024-2</v>
      </c>
      <c r="J345" s="5">
        <v>100</v>
      </c>
      <c r="K345" s="5">
        <v>125</v>
      </c>
      <c r="L345" s="15">
        <f>IFERROR(IF((K345/J345)&gt;1.3,1.3,K345/J345),"")</f>
        <v>1.25</v>
      </c>
      <c r="M345" s="15">
        <f t="shared" si="76"/>
        <v>1.25</v>
      </c>
      <c r="N345" s="5"/>
      <c r="O345" s="5"/>
      <c r="P345" s="5">
        <v>0</v>
      </c>
      <c r="Q345" s="5">
        <v>0</v>
      </c>
      <c r="R345" s="5" t="str">
        <f t="shared" si="74"/>
        <v>157-2024-12-31</v>
      </c>
    </row>
    <row r="346" spans="1:18" x14ac:dyDescent="0.3">
      <c r="A346" s="43">
        <v>159</v>
      </c>
      <c r="B346" s="5" t="s">
        <v>39</v>
      </c>
      <c r="C346" s="5" t="s">
        <v>67</v>
      </c>
      <c r="D346" s="5" t="s">
        <v>8</v>
      </c>
      <c r="E346" s="5" t="s">
        <v>9</v>
      </c>
      <c r="F346" s="6">
        <v>45107</v>
      </c>
      <c r="G346" s="5">
        <f t="shared" si="77"/>
        <v>2023</v>
      </c>
      <c r="H346" s="5" t="str">
        <f t="shared" si="73"/>
        <v>Junio</v>
      </c>
      <c r="I346" s="6" t="str">
        <f t="shared" si="75"/>
        <v>2023-1</v>
      </c>
      <c r="J346" s="5">
        <v>80</v>
      </c>
      <c r="K346" s="5">
        <v>96</v>
      </c>
      <c r="L346" s="21">
        <f>IFERROR(K346/J346,"")</f>
        <v>1.2</v>
      </c>
      <c r="M346" s="15">
        <f t="shared" si="76"/>
        <v>1.2</v>
      </c>
      <c r="N346" s="5" t="s">
        <v>347</v>
      </c>
      <c r="O346" s="5" t="s">
        <v>347</v>
      </c>
      <c r="P346" s="5">
        <v>0</v>
      </c>
      <c r="Q346" s="5">
        <v>0</v>
      </c>
      <c r="R346" s="5" t="str">
        <f t="shared" si="74"/>
        <v>159-2023-06-30</v>
      </c>
    </row>
    <row r="347" spans="1:18" x14ac:dyDescent="0.3">
      <c r="A347" s="39">
        <v>159</v>
      </c>
      <c r="B347" s="5" t="s">
        <v>39</v>
      </c>
      <c r="C347" s="5" t="s">
        <v>67</v>
      </c>
      <c r="D347" s="5" t="s">
        <v>8</v>
      </c>
      <c r="E347" s="5" t="s">
        <v>9</v>
      </c>
      <c r="F347" s="6">
        <v>45291</v>
      </c>
      <c r="G347" s="5">
        <f t="shared" si="77"/>
        <v>2023</v>
      </c>
      <c r="H347" s="5" t="str">
        <f t="shared" si="73"/>
        <v>Diciembre</v>
      </c>
      <c r="I347" s="6" t="str">
        <f t="shared" si="75"/>
        <v>2023-2</v>
      </c>
      <c r="J347" s="5">
        <v>80</v>
      </c>
      <c r="K347" s="5">
        <v>100</v>
      </c>
      <c r="L347" s="21">
        <f>IFERROR(K347/J347,"")</f>
        <v>1.25</v>
      </c>
      <c r="M347" s="15">
        <f t="shared" si="76"/>
        <v>1.25</v>
      </c>
      <c r="N347" s="5" t="s">
        <v>347</v>
      </c>
      <c r="O347" s="5" t="s">
        <v>347</v>
      </c>
      <c r="P347" s="5">
        <v>0</v>
      </c>
      <c r="Q347" s="5">
        <v>0</v>
      </c>
      <c r="R347" s="5" t="str">
        <f t="shared" si="74"/>
        <v>159-2023-12-31</v>
      </c>
    </row>
    <row r="348" spans="1:18" x14ac:dyDescent="0.3">
      <c r="A348" s="5">
        <v>159</v>
      </c>
      <c r="B348" s="5" t="s">
        <v>39</v>
      </c>
      <c r="C348" s="5" t="s">
        <v>67</v>
      </c>
      <c r="D348" s="5" t="s">
        <v>8</v>
      </c>
      <c r="E348" s="5" t="s">
        <v>9</v>
      </c>
      <c r="F348" s="6">
        <v>45473</v>
      </c>
      <c r="G348" s="5">
        <f t="shared" si="77"/>
        <v>2024</v>
      </c>
      <c r="H348" s="5" t="str">
        <f t="shared" si="73"/>
        <v>Junio</v>
      </c>
      <c r="I348" s="6" t="str">
        <f t="shared" si="75"/>
        <v>2024-1</v>
      </c>
      <c r="J348" s="5">
        <v>80</v>
      </c>
      <c r="K348" s="5">
        <v>95</v>
      </c>
      <c r="L348" s="15">
        <f t="shared" ref="L348:L353" si="78">IFERROR(IF((K348/J348)&gt;1.3,1.3,K348/J348),"")</f>
        <v>1.1875</v>
      </c>
      <c r="M348" s="15">
        <f t="shared" si="76"/>
        <v>1.1875</v>
      </c>
      <c r="N348" s="5" t="s">
        <v>347</v>
      </c>
      <c r="O348" s="5" t="s">
        <v>347</v>
      </c>
      <c r="P348" s="5">
        <v>0</v>
      </c>
      <c r="Q348" s="5">
        <v>0</v>
      </c>
      <c r="R348" s="5" t="str">
        <f t="shared" si="74"/>
        <v>159-2024-06-30</v>
      </c>
    </row>
    <row r="349" spans="1:18" x14ac:dyDescent="0.3">
      <c r="A349" s="5">
        <v>159</v>
      </c>
      <c r="B349" s="5" t="s">
        <v>39</v>
      </c>
      <c r="C349" s="5" t="s">
        <v>67</v>
      </c>
      <c r="D349" s="5" t="s">
        <v>8</v>
      </c>
      <c r="E349" s="5" t="s">
        <v>9</v>
      </c>
      <c r="F349" s="6">
        <v>45657</v>
      </c>
      <c r="G349" s="5">
        <f t="shared" si="77"/>
        <v>2024</v>
      </c>
      <c r="H349" s="5" t="str">
        <f t="shared" si="73"/>
        <v>Diciembre</v>
      </c>
      <c r="I349" s="6" t="str">
        <f t="shared" si="75"/>
        <v>2024-2</v>
      </c>
      <c r="J349" s="5">
        <v>80</v>
      </c>
      <c r="K349" s="5">
        <v>97.8</v>
      </c>
      <c r="L349" s="15">
        <f t="shared" si="78"/>
        <v>1.2224999999999999</v>
      </c>
      <c r="M349" s="15">
        <f t="shared" si="76"/>
        <v>1.2224999999999999</v>
      </c>
      <c r="N349" s="5" t="s">
        <v>347</v>
      </c>
      <c r="O349" s="5" t="s">
        <v>347</v>
      </c>
      <c r="P349" s="5">
        <v>0</v>
      </c>
      <c r="Q349" s="5">
        <v>0</v>
      </c>
      <c r="R349" s="5" t="str">
        <f t="shared" si="74"/>
        <v>159-2024-12-31</v>
      </c>
    </row>
    <row r="350" spans="1:18" x14ac:dyDescent="0.3">
      <c r="A350" s="43">
        <v>167</v>
      </c>
      <c r="B350" s="5" t="s">
        <v>68</v>
      </c>
      <c r="C350" s="5" t="s">
        <v>13</v>
      </c>
      <c r="D350" s="5" t="s">
        <v>8</v>
      </c>
      <c r="E350" s="5" t="s">
        <v>9</v>
      </c>
      <c r="F350" s="6">
        <v>45107</v>
      </c>
      <c r="G350" s="5">
        <f t="shared" si="77"/>
        <v>2023</v>
      </c>
      <c r="H350" s="5" t="str">
        <f t="shared" si="73"/>
        <v>Junio</v>
      </c>
      <c r="I350" s="6" t="str">
        <f t="shared" si="75"/>
        <v>2023-1</v>
      </c>
      <c r="J350" s="5">
        <v>80</v>
      </c>
      <c r="K350" s="5">
        <v>97.7</v>
      </c>
      <c r="L350" s="15">
        <f t="shared" si="78"/>
        <v>1.2212499999999999</v>
      </c>
      <c r="M350" s="15">
        <f t="shared" si="76"/>
        <v>1.2212499999999999</v>
      </c>
      <c r="N350" s="5" t="s">
        <v>347</v>
      </c>
      <c r="O350" s="5" t="s">
        <v>347</v>
      </c>
      <c r="P350" s="5">
        <v>1</v>
      </c>
      <c r="Q350" s="5">
        <v>1</v>
      </c>
      <c r="R350" s="5" t="str">
        <f t="shared" si="74"/>
        <v>167-2023-06-30</v>
      </c>
    </row>
    <row r="351" spans="1:18" x14ac:dyDescent="0.3">
      <c r="A351" s="39">
        <v>167</v>
      </c>
      <c r="B351" s="5" t="s">
        <v>68</v>
      </c>
      <c r="C351" s="5" t="s">
        <v>13</v>
      </c>
      <c r="D351" s="5" t="s">
        <v>8</v>
      </c>
      <c r="E351" s="5" t="s">
        <v>9</v>
      </c>
      <c r="F351" s="6">
        <v>45291</v>
      </c>
      <c r="G351" s="5">
        <f t="shared" si="77"/>
        <v>2023</v>
      </c>
      <c r="H351" s="5" t="str">
        <f t="shared" si="73"/>
        <v>Diciembre</v>
      </c>
      <c r="I351" s="6" t="str">
        <f t="shared" si="75"/>
        <v>2023-2</v>
      </c>
      <c r="J351" s="5">
        <v>80</v>
      </c>
      <c r="K351" s="5">
        <v>96.15</v>
      </c>
      <c r="L351" s="15">
        <f t="shared" si="78"/>
        <v>1.201875</v>
      </c>
      <c r="M351" s="15">
        <f t="shared" si="76"/>
        <v>1.201875</v>
      </c>
      <c r="N351" s="5" t="s">
        <v>347</v>
      </c>
      <c r="O351" s="5" t="s">
        <v>347</v>
      </c>
      <c r="P351" s="5">
        <v>1</v>
      </c>
      <c r="Q351" s="5">
        <v>1</v>
      </c>
      <c r="R351" s="5" t="str">
        <f t="shared" si="74"/>
        <v>167-2023-12-31</v>
      </c>
    </row>
    <row r="352" spans="1:18" x14ac:dyDescent="0.3">
      <c r="A352" s="5">
        <v>167</v>
      </c>
      <c r="B352" s="5" t="s">
        <v>68</v>
      </c>
      <c r="C352" s="5" t="s">
        <v>13</v>
      </c>
      <c r="D352" s="5" t="s">
        <v>8</v>
      </c>
      <c r="E352" s="5" t="s">
        <v>9</v>
      </c>
      <c r="F352" s="6">
        <v>45473</v>
      </c>
      <c r="G352" s="5">
        <f t="shared" si="77"/>
        <v>2024</v>
      </c>
      <c r="H352" s="5" t="str">
        <f t="shared" si="73"/>
        <v>Junio</v>
      </c>
      <c r="I352" s="6" t="str">
        <f t="shared" si="75"/>
        <v>2024-1</v>
      </c>
      <c r="J352" s="5">
        <v>85</v>
      </c>
      <c r="K352" s="5">
        <v>96.86</v>
      </c>
      <c r="L352" s="15">
        <f t="shared" si="78"/>
        <v>1.1395294117647059</v>
      </c>
      <c r="M352" s="15">
        <f t="shared" si="76"/>
        <v>1.1395294117647059</v>
      </c>
      <c r="N352" s="5" t="s">
        <v>347</v>
      </c>
      <c r="O352" s="5" t="s">
        <v>347</v>
      </c>
      <c r="P352" s="5">
        <v>0</v>
      </c>
      <c r="Q352" s="5">
        <v>0</v>
      </c>
      <c r="R352" s="5" t="str">
        <f t="shared" si="74"/>
        <v>167-2024-06-30</v>
      </c>
    </row>
    <row r="353" spans="1:18" x14ac:dyDescent="0.3">
      <c r="A353" s="5">
        <v>167</v>
      </c>
      <c r="B353" s="5" t="s">
        <v>68</v>
      </c>
      <c r="C353" s="5" t="s">
        <v>13</v>
      </c>
      <c r="D353" s="5" t="s">
        <v>8</v>
      </c>
      <c r="E353" s="5" t="s">
        <v>9</v>
      </c>
      <c r="F353" s="6">
        <v>45657</v>
      </c>
      <c r="G353" s="5">
        <f t="shared" si="77"/>
        <v>2024</v>
      </c>
      <c r="H353" s="5" t="str">
        <f t="shared" si="73"/>
        <v>Diciembre</v>
      </c>
      <c r="I353" s="6" t="str">
        <f t="shared" si="75"/>
        <v>2024-2</v>
      </c>
      <c r="J353" s="5">
        <v>85</v>
      </c>
      <c r="K353" s="5">
        <v>96.8</v>
      </c>
      <c r="L353" s="15">
        <f t="shared" si="78"/>
        <v>1.1388235294117646</v>
      </c>
      <c r="M353" s="15">
        <f t="shared" si="76"/>
        <v>1.1388235294117646</v>
      </c>
      <c r="N353" s="5" t="s">
        <v>347</v>
      </c>
      <c r="O353" s="5" t="s">
        <v>347</v>
      </c>
      <c r="P353" s="5">
        <v>0</v>
      </c>
      <c r="Q353" s="5">
        <v>0</v>
      </c>
      <c r="R353" s="5" t="str">
        <f t="shared" si="74"/>
        <v>167-2024-12-31</v>
      </c>
    </row>
    <row r="354" spans="1:18" x14ac:dyDescent="0.3">
      <c r="A354" s="26">
        <v>171</v>
      </c>
      <c r="B354" s="5" t="s">
        <v>69</v>
      </c>
      <c r="C354" s="5" t="s">
        <v>45</v>
      </c>
      <c r="D354" s="5" t="s">
        <v>21</v>
      </c>
      <c r="E354" s="5" t="s">
        <v>14</v>
      </c>
      <c r="F354" s="6">
        <v>45107</v>
      </c>
      <c r="G354" s="16">
        <f t="shared" si="77"/>
        <v>2023</v>
      </c>
      <c r="H354" s="6" t="str">
        <f t="shared" si="73"/>
        <v>Junio</v>
      </c>
      <c r="I354" s="6" t="str">
        <f t="shared" si="75"/>
        <v>2023-1</v>
      </c>
      <c r="J354" s="11">
        <v>15</v>
      </c>
      <c r="K354" s="11">
        <v>6.21</v>
      </c>
      <c r="L354" s="27">
        <f>IF(IFERROR(J354/K354,"")&gt;130%,130%,J354/K354)</f>
        <v>1.3</v>
      </c>
      <c r="M354" s="28">
        <f>IFERROR(J354/K354,"")</f>
        <v>2.4154589371980677</v>
      </c>
      <c r="N354" s="5"/>
      <c r="O354" s="5"/>
      <c r="P354" s="5">
        <v>1</v>
      </c>
      <c r="Q354" s="5">
        <v>1</v>
      </c>
      <c r="R354" s="5" t="str">
        <f t="shared" si="74"/>
        <v>171-2023-06-30</v>
      </c>
    </row>
    <row r="355" spans="1:18" x14ac:dyDescent="0.3">
      <c r="A355" s="39">
        <v>172</v>
      </c>
      <c r="B355" s="5" t="s">
        <v>70</v>
      </c>
      <c r="C355" s="5" t="s">
        <v>45</v>
      </c>
      <c r="D355" s="5" t="s">
        <v>18</v>
      </c>
      <c r="E355" s="5" t="s">
        <v>9</v>
      </c>
      <c r="F355" s="6">
        <v>44742</v>
      </c>
      <c r="G355" s="5">
        <f t="shared" ref="G355" si="79">YEAR(F355)</f>
        <v>2022</v>
      </c>
      <c r="H355" s="5" t="str">
        <f t="shared" ref="H355" si="80">PROPER(TEXT(F355,"mmmm"))</f>
        <v>Junio</v>
      </c>
      <c r="I355" s="6" t="str">
        <f t="shared" ref="I355" si="81">IF(OR(H355="Enero",H355="Febrero",H355="Marzo",H355="Abril",H355="Mayo",H355="Junio"),G355&amp;"-1",IF(OR(H355="Julio",H355="Agosto",H355="Septiembre",H355="Octubre",H355="Noviembre",H355="Diciembre"),G355&amp;"-2"))</f>
        <v>2022-1</v>
      </c>
      <c r="J355" s="5">
        <v>95</v>
      </c>
      <c r="K355" s="5">
        <v>95.24</v>
      </c>
      <c r="L355" s="21">
        <f>IFERROR(K355/J355,"")</f>
        <v>1.0025263157894737</v>
      </c>
      <c r="M355" s="15">
        <f t="shared" ref="M355" si="82">IFERROR(K355/J355,"")</f>
        <v>1.0025263157894737</v>
      </c>
      <c r="N355" s="5" t="s">
        <v>347</v>
      </c>
      <c r="O355" s="5" t="s">
        <v>347</v>
      </c>
      <c r="P355" s="5">
        <v>0</v>
      </c>
      <c r="Q355" s="5">
        <v>0</v>
      </c>
      <c r="R355" s="5" t="str">
        <f t="shared" si="74"/>
        <v>172-2022-06-30</v>
      </c>
    </row>
    <row r="356" spans="1:18" x14ac:dyDescent="0.3">
      <c r="A356" s="39">
        <v>172</v>
      </c>
      <c r="B356" s="5" t="s">
        <v>70</v>
      </c>
      <c r="C356" s="5" t="s">
        <v>45</v>
      </c>
      <c r="D356" s="5" t="s">
        <v>18</v>
      </c>
      <c r="E356" s="5" t="s">
        <v>9</v>
      </c>
      <c r="F356" s="6">
        <v>44926</v>
      </c>
      <c r="G356" s="5">
        <f t="shared" ref="G356" si="83">YEAR(F356)</f>
        <v>2022</v>
      </c>
      <c r="H356" s="5" t="str">
        <f t="shared" ref="H356" si="84">PROPER(TEXT(F356,"mmmm"))</f>
        <v>Diciembre</v>
      </c>
      <c r="I356" s="6" t="str">
        <f t="shared" ref="I356" si="85">IF(OR(H356="Enero",H356="Febrero",H356="Marzo",H356="Abril",H356="Mayo",H356="Junio"),G356&amp;"-1",IF(OR(H356="Julio",H356="Agosto",H356="Septiembre",H356="Octubre",H356="Noviembre",H356="Diciembre"),G356&amp;"-2"))</f>
        <v>2022-2</v>
      </c>
      <c r="J356" s="5">
        <v>95</v>
      </c>
      <c r="K356" s="5">
        <v>100</v>
      </c>
      <c r="L356" s="21">
        <f>IFERROR(K356/J356,"")</f>
        <v>1.0526315789473684</v>
      </c>
      <c r="M356" s="15">
        <f t="shared" ref="M356" si="86">IFERROR(K356/J356,"")</f>
        <v>1.0526315789473684</v>
      </c>
      <c r="N356" s="5" t="s">
        <v>347</v>
      </c>
      <c r="O356" s="5" t="s">
        <v>347</v>
      </c>
      <c r="P356" s="5">
        <v>0</v>
      </c>
      <c r="Q356" s="5">
        <v>0</v>
      </c>
      <c r="R356" s="5" t="str">
        <f t="shared" si="74"/>
        <v>172-2022-12-31</v>
      </c>
    </row>
    <row r="357" spans="1:18" x14ac:dyDescent="0.3">
      <c r="A357" s="39">
        <v>172</v>
      </c>
      <c r="B357" s="5" t="s">
        <v>70</v>
      </c>
      <c r="C357" s="5" t="s">
        <v>45</v>
      </c>
      <c r="D357" s="5" t="s">
        <v>18</v>
      </c>
      <c r="E357" s="5" t="s">
        <v>9</v>
      </c>
      <c r="F357" s="6">
        <v>45107</v>
      </c>
      <c r="G357" s="5">
        <f t="shared" si="77"/>
        <v>2023</v>
      </c>
      <c r="H357" s="5" t="str">
        <f t="shared" si="73"/>
        <v>Junio</v>
      </c>
      <c r="I357" s="6" t="str">
        <f t="shared" si="75"/>
        <v>2023-1</v>
      </c>
      <c r="J357" s="5">
        <v>95</v>
      </c>
      <c r="K357" s="5">
        <v>91.67</v>
      </c>
      <c r="L357" s="21">
        <f>IFERROR(K357/J357,"")</f>
        <v>0.96494736842105266</v>
      </c>
      <c r="M357" s="15">
        <f t="shared" ref="M357:M372" si="87">IFERROR(K357/J357,"")</f>
        <v>0.96494736842105266</v>
      </c>
      <c r="N357" s="5" t="s">
        <v>347</v>
      </c>
      <c r="O357" s="5" t="s">
        <v>347</v>
      </c>
      <c r="P357" s="5">
        <v>0</v>
      </c>
      <c r="Q357" s="5">
        <v>0</v>
      </c>
      <c r="R357" s="5" t="str">
        <f t="shared" si="74"/>
        <v>172-2023-06-30</v>
      </c>
    </row>
    <row r="358" spans="1:18" x14ac:dyDescent="0.3">
      <c r="A358" s="39">
        <v>172</v>
      </c>
      <c r="B358" s="5" t="s">
        <v>70</v>
      </c>
      <c r="C358" s="5" t="s">
        <v>45</v>
      </c>
      <c r="D358" s="5" t="s">
        <v>18</v>
      </c>
      <c r="E358" s="5" t="s">
        <v>9</v>
      </c>
      <c r="F358" s="6">
        <v>45291</v>
      </c>
      <c r="G358" s="5">
        <f t="shared" si="77"/>
        <v>2023</v>
      </c>
      <c r="H358" s="5" t="str">
        <f t="shared" si="73"/>
        <v>Diciembre</v>
      </c>
      <c r="I358" s="6" t="str">
        <f t="shared" si="75"/>
        <v>2023-2</v>
      </c>
      <c r="J358" s="5">
        <v>95</v>
      </c>
      <c r="K358" s="5">
        <v>100</v>
      </c>
      <c r="L358" s="21">
        <f>IFERROR(K358/J358,"")</f>
        <v>1.0526315789473684</v>
      </c>
      <c r="M358" s="15">
        <f t="shared" si="87"/>
        <v>1.0526315789473684</v>
      </c>
      <c r="N358" s="5" t="s">
        <v>347</v>
      </c>
      <c r="O358" s="5" t="s">
        <v>347</v>
      </c>
      <c r="P358" s="5">
        <v>0</v>
      </c>
      <c r="Q358" s="5">
        <v>0</v>
      </c>
      <c r="R358" s="5" t="str">
        <f t="shared" si="74"/>
        <v>172-2023-12-31</v>
      </c>
    </row>
    <row r="359" spans="1:18" x14ac:dyDescent="0.3">
      <c r="A359" s="5">
        <v>172</v>
      </c>
      <c r="B359" s="5" t="s">
        <v>70</v>
      </c>
      <c r="C359" s="5" t="s">
        <v>45</v>
      </c>
      <c r="D359" s="5" t="s">
        <v>18</v>
      </c>
      <c r="E359" s="5" t="s">
        <v>9</v>
      </c>
      <c r="F359" s="6">
        <v>45473</v>
      </c>
      <c r="G359" s="5">
        <f t="shared" si="77"/>
        <v>2024</v>
      </c>
      <c r="H359" s="5" t="str">
        <f t="shared" si="73"/>
        <v>Junio</v>
      </c>
      <c r="I359" s="6" t="str">
        <f t="shared" si="75"/>
        <v>2024-1</v>
      </c>
      <c r="J359" s="5">
        <v>95</v>
      </c>
      <c r="K359" s="5">
        <v>87.5</v>
      </c>
      <c r="L359" s="15">
        <f>IFERROR(IF((K359/J359)&gt;1.3,1.3,K359/J359),"")</f>
        <v>0.92105263157894735</v>
      </c>
      <c r="M359" s="15">
        <f t="shared" si="87"/>
        <v>0.92105263157894735</v>
      </c>
      <c r="N359" s="5"/>
      <c r="O359" s="5"/>
      <c r="P359" s="5">
        <v>0</v>
      </c>
      <c r="Q359" s="5">
        <v>0</v>
      </c>
      <c r="R359" s="5" t="str">
        <f t="shared" si="74"/>
        <v>172-2024-06-30</v>
      </c>
    </row>
    <row r="360" spans="1:18" x14ac:dyDescent="0.3">
      <c r="A360" s="5">
        <v>172</v>
      </c>
      <c r="B360" s="5" t="s">
        <v>70</v>
      </c>
      <c r="C360" s="5" t="s">
        <v>45</v>
      </c>
      <c r="D360" s="5" t="s">
        <v>18</v>
      </c>
      <c r="E360" s="5" t="s">
        <v>9</v>
      </c>
      <c r="F360" s="6">
        <v>45657</v>
      </c>
      <c r="G360" s="5">
        <f t="shared" si="77"/>
        <v>2024</v>
      </c>
      <c r="H360" s="5" t="str">
        <f t="shared" si="73"/>
        <v>Diciembre</v>
      </c>
      <c r="I360" s="6" t="str">
        <f t="shared" si="75"/>
        <v>2024-2</v>
      </c>
      <c r="J360" s="5">
        <v>95</v>
      </c>
      <c r="K360" s="5">
        <v>97.37</v>
      </c>
      <c r="L360" s="15">
        <f>IFERROR(IF((K360/J360)&gt;1.3,1.3,K360/J360),"")</f>
        <v>1.0249473684210526</v>
      </c>
      <c r="M360" s="15">
        <f t="shared" si="87"/>
        <v>1.0249473684210526</v>
      </c>
      <c r="N360" s="5"/>
      <c r="O360" s="5"/>
      <c r="P360" s="5">
        <v>0</v>
      </c>
      <c r="Q360" s="5">
        <v>0</v>
      </c>
      <c r="R360" s="5" t="str">
        <f t="shared" si="74"/>
        <v>172-2024-12-31</v>
      </c>
    </row>
    <row r="361" spans="1:18" x14ac:dyDescent="0.3">
      <c r="A361" s="43">
        <v>174</v>
      </c>
      <c r="B361" s="5" t="s">
        <v>71</v>
      </c>
      <c r="C361" s="5" t="s">
        <v>45</v>
      </c>
      <c r="D361" s="5" t="s">
        <v>8</v>
      </c>
      <c r="E361" s="5" t="s">
        <v>9</v>
      </c>
      <c r="F361" s="6">
        <v>45107</v>
      </c>
      <c r="G361" s="5">
        <f t="shared" si="77"/>
        <v>2023</v>
      </c>
      <c r="H361" s="5" t="str">
        <f t="shared" si="73"/>
        <v>Junio</v>
      </c>
      <c r="I361" s="6" t="str">
        <f t="shared" si="75"/>
        <v>2023-1</v>
      </c>
      <c r="J361" s="5">
        <v>95</v>
      </c>
      <c r="K361" s="5">
        <v>100</v>
      </c>
      <c r="L361" s="21">
        <f>IFERROR(K361/J361,"")</f>
        <v>1.0526315789473684</v>
      </c>
      <c r="M361" s="15">
        <f t="shared" si="87"/>
        <v>1.0526315789473684</v>
      </c>
      <c r="N361" s="5" t="s">
        <v>347</v>
      </c>
      <c r="O361" s="5" t="s">
        <v>347</v>
      </c>
      <c r="P361" s="5">
        <v>0</v>
      </c>
      <c r="Q361" s="5">
        <v>0</v>
      </c>
      <c r="R361" s="5" t="str">
        <f t="shared" si="74"/>
        <v>174-2023-06-30</v>
      </c>
    </row>
    <row r="362" spans="1:18" x14ac:dyDescent="0.3">
      <c r="A362" s="39">
        <v>174</v>
      </c>
      <c r="B362" s="5" t="s">
        <v>71</v>
      </c>
      <c r="C362" s="5" t="s">
        <v>45</v>
      </c>
      <c r="D362" s="5" t="s">
        <v>8</v>
      </c>
      <c r="E362" s="5" t="s">
        <v>9</v>
      </c>
      <c r="F362" s="6">
        <v>45291</v>
      </c>
      <c r="G362" s="5">
        <f t="shared" si="77"/>
        <v>2023</v>
      </c>
      <c r="H362" s="5" t="str">
        <f t="shared" si="73"/>
        <v>Diciembre</v>
      </c>
      <c r="I362" s="6" t="str">
        <f t="shared" si="75"/>
        <v>2023-2</v>
      </c>
      <c r="J362" s="5">
        <v>95</v>
      </c>
      <c r="K362" s="5">
        <v>100</v>
      </c>
      <c r="L362" s="21">
        <f>IFERROR(K362/J362,"")</f>
        <v>1.0526315789473684</v>
      </c>
      <c r="M362" s="15">
        <f t="shared" si="87"/>
        <v>1.0526315789473684</v>
      </c>
      <c r="N362" s="5" t="s">
        <v>347</v>
      </c>
      <c r="O362" s="5" t="s">
        <v>347</v>
      </c>
      <c r="P362" s="5">
        <v>0</v>
      </c>
      <c r="Q362" s="5">
        <v>0</v>
      </c>
      <c r="R362" s="5" t="str">
        <f t="shared" si="74"/>
        <v>174-2023-12-31</v>
      </c>
    </row>
    <row r="363" spans="1:18" x14ac:dyDescent="0.3">
      <c r="A363" s="5">
        <v>174</v>
      </c>
      <c r="B363" s="5" t="s">
        <v>71</v>
      </c>
      <c r="C363" s="5" t="s">
        <v>45</v>
      </c>
      <c r="D363" s="5" t="s">
        <v>8</v>
      </c>
      <c r="E363" s="5" t="s">
        <v>9</v>
      </c>
      <c r="F363" s="6">
        <v>45473</v>
      </c>
      <c r="G363" s="5">
        <f t="shared" si="77"/>
        <v>2024</v>
      </c>
      <c r="H363" s="5" t="str">
        <f t="shared" si="73"/>
        <v>Junio</v>
      </c>
      <c r="I363" s="6" t="str">
        <f t="shared" si="75"/>
        <v>2024-1</v>
      </c>
      <c r="J363" s="5"/>
      <c r="K363" s="5"/>
      <c r="L363" s="15" t="str">
        <f>IFERROR(IF((K363/J363)&gt;1.3,1.3,K363/J363),"")</f>
        <v/>
      </c>
      <c r="M363" s="15" t="str">
        <f t="shared" si="87"/>
        <v/>
      </c>
      <c r="N363" s="5"/>
      <c r="O363" s="5"/>
      <c r="P363" s="5">
        <v>0</v>
      </c>
      <c r="Q363" s="5">
        <v>0</v>
      </c>
      <c r="R363" s="5" t="str">
        <f t="shared" si="74"/>
        <v>174-2024-06-30</v>
      </c>
    </row>
    <row r="364" spans="1:18" x14ac:dyDescent="0.3">
      <c r="A364" s="5">
        <v>174</v>
      </c>
      <c r="B364" s="5" t="s">
        <v>71</v>
      </c>
      <c r="C364" s="5" t="s">
        <v>45</v>
      </c>
      <c r="D364" s="5" t="s">
        <v>8</v>
      </c>
      <c r="E364" s="5" t="s">
        <v>9</v>
      </c>
      <c r="F364" s="6">
        <v>45657</v>
      </c>
      <c r="G364" s="5">
        <f t="shared" si="77"/>
        <v>2024</v>
      </c>
      <c r="H364" s="5" t="str">
        <f t="shared" si="73"/>
        <v>Diciembre</v>
      </c>
      <c r="I364" s="6" t="str">
        <f t="shared" si="75"/>
        <v>2024-2</v>
      </c>
      <c r="J364" s="5">
        <v>95</v>
      </c>
      <c r="K364" s="5"/>
      <c r="L364" s="15">
        <f>IFERROR(IF((K364/J364)&gt;1.3,1.3,K364/J364),"")</f>
        <v>0</v>
      </c>
      <c r="M364" s="15">
        <f t="shared" si="87"/>
        <v>0</v>
      </c>
      <c r="N364" s="5" t="s">
        <v>490</v>
      </c>
      <c r="O364" s="5" t="s">
        <v>81</v>
      </c>
      <c r="P364" s="5">
        <v>0</v>
      </c>
      <c r="Q364" s="5">
        <v>0</v>
      </c>
      <c r="R364" s="5" t="str">
        <f t="shared" si="74"/>
        <v>174-2024-12-31</v>
      </c>
    </row>
    <row r="365" spans="1:18" x14ac:dyDescent="0.3">
      <c r="A365" s="39">
        <v>176</v>
      </c>
      <c r="B365" s="5" t="s">
        <v>72</v>
      </c>
      <c r="C365" s="5" t="s">
        <v>45</v>
      </c>
      <c r="D365" s="5" t="s">
        <v>18</v>
      </c>
      <c r="E365" s="5" t="s">
        <v>9</v>
      </c>
      <c r="F365" s="6">
        <v>45107</v>
      </c>
      <c r="G365" s="5">
        <f t="shared" si="77"/>
        <v>2023</v>
      </c>
      <c r="H365" s="5" t="str">
        <f t="shared" si="73"/>
        <v>Junio</v>
      </c>
      <c r="I365" s="6" t="str">
        <f t="shared" si="75"/>
        <v>2023-1</v>
      </c>
      <c r="J365" s="5">
        <v>80</v>
      </c>
      <c r="K365" s="5">
        <v>83.32</v>
      </c>
      <c r="L365" s="21">
        <f>IFERROR(K365/J365,"")</f>
        <v>1.0414999999999999</v>
      </c>
      <c r="M365" s="15">
        <f t="shared" si="87"/>
        <v>1.0414999999999999</v>
      </c>
      <c r="N365" s="5" t="s">
        <v>347</v>
      </c>
      <c r="O365" s="5" t="s">
        <v>347</v>
      </c>
      <c r="P365" s="5">
        <v>0</v>
      </c>
      <c r="Q365" s="5">
        <v>0</v>
      </c>
      <c r="R365" s="5" t="str">
        <f t="shared" si="74"/>
        <v>176-2023-06-30</v>
      </c>
    </row>
    <row r="366" spans="1:18" x14ac:dyDescent="0.3">
      <c r="A366" s="39">
        <v>176</v>
      </c>
      <c r="B366" s="5" t="s">
        <v>72</v>
      </c>
      <c r="C366" s="5" t="s">
        <v>45</v>
      </c>
      <c r="D366" s="5" t="s">
        <v>18</v>
      </c>
      <c r="E366" s="5" t="s">
        <v>9</v>
      </c>
      <c r="F366" s="6">
        <v>45291</v>
      </c>
      <c r="G366" s="5">
        <f t="shared" si="77"/>
        <v>2023</v>
      </c>
      <c r="H366" s="5" t="str">
        <f t="shared" si="73"/>
        <v>Diciembre</v>
      </c>
      <c r="I366" s="6" t="str">
        <f t="shared" si="75"/>
        <v>2023-2</v>
      </c>
      <c r="J366" s="5">
        <v>80</v>
      </c>
      <c r="K366" s="5">
        <v>80.400000000000006</v>
      </c>
      <c r="L366" s="21">
        <f>IFERROR(K366/J366,"")</f>
        <v>1.0050000000000001</v>
      </c>
      <c r="M366" s="15">
        <f t="shared" si="87"/>
        <v>1.0050000000000001</v>
      </c>
      <c r="N366" s="5" t="s">
        <v>347</v>
      </c>
      <c r="O366" s="5" t="s">
        <v>347</v>
      </c>
      <c r="P366" s="5">
        <v>0</v>
      </c>
      <c r="Q366" s="5">
        <v>0</v>
      </c>
      <c r="R366" s="5" t="str">
        <f t="shared" si="74"/>
        <v>176-2023-12-31</v>
      </c>
    </row>
    <row r="367" spans="1:18" x14ac:dyDescent="0.3">
      <c r="A367" s="5">
        <v>176</v>
      </c>
      <c r="B367" s="5" t="s">
        <v>72</v>
      </c>
      <c r="C367" s="5" t="s">
        <v>45</v>
      </c>
      <c r="D367" s="5" t="s">
        <v>18</v>
      </c>
      <c r="E367" s="5" t="s">
        <v>9</v>
      </c>
      <c r="F367" s="6">
        <v>45473</v>
      </c>
      <c r="G367" s="5">
        <f t="shared" si="77"/>
        <v>2024</v>
      </c>
      <c r="H367" s="5" t="str">
        <f t="shared" si="73"/>
        <v>Junio</v>
      </c>
      <c r="I367" s="6" t="str">
        <f t="shared" si="75"/>
        <v>2024-1</v>
      </c>
      <c r="J367" s="5">
        <v>85</v>
      </c>
      <c r="K367" s="5">
        <v>92.5</v>
      </c>
      <c r="L367" s="15">
        <f t="shared" ref="L367:L372" si="88">IFERROR(IF((K367/J367)&gt;1.3,1.3,K367/J367),"")</f>
        <v>1.088235294117647</v>
      </c>
      <c r="M367" s="15">
        <f t="shared" si="87"/>
        <v>1.088235294117647</v>
      </c>
      <c r="N367" s="5"/>
      <c r="O367" s="5"/>
      <c r="P367" s="5">
        <v>0</v>
      </c>
      <c r="Q367" s="5">
        <v>0</v>
      </c>
      <c r="R367" s="5" t="str">
        <f t="shared" si="74"/>
        <v>176-2024-06-30</v>
      </c>
    </row>
    <row r="368" spans="1:18" x14ac:dyDescent="0.3">
      <c r="A368" s="5">
        <v>176</v>
      </c>
      <c r="B368" s="5" t="s">
        <v>72</v>
      </c>
      <c r="C368" s="5" t="s">
        <v>45</v>
      </c>
      <c r="D368" s="5" t="s">
        <v>18</v>
      </c>
      <c r="E368" s="5" t="s">
        <v>9</v>
      </c>
      <c r="F368" s="6">
        <v>45657</v>
      </c>
      <c r="G368" s="5">
        <f t="shared" si="77"/>
        <v>2024</v>
      </c>
      <c r="H368" s="5" t="str">
        <f t="shared" si="73"/>
        <v>Diciembre</v>
      </c>
      <c r="I368" s="6" t="str">
        <f t="shared" si="75"/>
        <v>2024-2</v>
      </c>
      <c r="J368" s="5">
        <v>85</v>
      </c>
      <c r="K368" s="5">
        <v>89.08</v>
      </c>
      <c r="L368" s="15">
        <f t="shared" si="88"/>
        <v>1.048</v>
      </c>
      <c r="M368" s="15">
        <f t="shared" si="87"/>
        <v>1.048</v>
      </c>
      <c r="N368" s="5"/>
      <c r="O368" s="5"/>
      <c r="P368" s="5">
        <v>0</v>
      </c>
      <c r="Q368" s="5">
        <v>0</v>
      </c>
      <c r="R368" s="5" t="str">
        <f t="shared" si="74"/>
        <v>176-2024-12-31</v>
      </c>
    </row>
    <row r="369" spans="1:18" x14ac:dyDescent="0.3">
      <c r="A369" s="5">
        <v>193</v>
      </c>
      <c r="B369" s="5" t="s">
        <v>73</v>
      </c>
      <c r="C369" s="5" t="s">
        <v>74</v>
      </c>
      <c r="D369" s="5" t="s">
        <v>8</v>
      </c>
      <c r="E369" s="5" t="s">
        <v>9</v>
      </c>
      <c r="F369" s="17">
        <v>44742</v>
      </c>
      <c r="G369" s="16">
        <f t="shared" si="77"/>
        <v>2022</v>
      </c>
      <c r="H369" s="6" t="str">
        <f t="shared" si="73"/>
        <v>Junio</v>
      </c>
      <c r="I369" s="41" t="s">
        <v>426</v>
      </c>
      <c r="J369" s="5">
        <v>76</v>
      </c>
      <c r="K369" s="5">
        <v>91.8</v>
      </c>
      <c r="L369" s="15">
        <f t="shared" si="88"/>
        <v>1.2078947368421051</v>
      </c>
      <c r="M369" s="15">
        <f t="shared" si="87"/>
        <v>1.2078947368421051</v>
      </c>
      <c r="N369" s="5" t="s">
        <v>347</v>
      </c>
      <c r="O369" s="5" t="s">
        <v>347</v>
      </c>
      <c r="P369" s="5">
        <v>1</v>
      </c>
      <c r="Q369" s="5">
        <v>1</v>
      </c>
      <c r="R369" s="5" t="str">
        <f t="shared" si="74"/>
        <v>193-2022-06-30</v>
      </c>
    </row>
    <row r="370" spans="1:18" x14ac:dyDescent="0.3">
      <c r="A370" s="5">
        <v>193</v>
      </c>
      <c r="B370" s="5" t="s">
        <v>73</v>
      </c>
      <c r="C370" s="5" t="s">
        <v>74</v>
      </c>
      <c r="D370" s="5" t="s">
        <v>8</v>
      </c>
      <c r="E370" s="5" t="s">
        <v>9</v>
      </c>
      <c r="F370" s="17">
        <v>44926</v>
      </c>
      <c r="G370" s="16">
        <f t="shared" si="77"/>
        <v>2022</v>
      </c>
      <c r="H370" s="6" t="str">
        <f t="shared" si="73"/>
        <v>Diciembre</v>
      </c>
      <c r="I370" s="41" t="s">
        <v>423</v>
      </c>
      <c r="J370" s="5">
        <v>76</v>
      </c>
      <c r="K370" s="5">
        <v>92.4</v>
      </c>
      <c r="L370" s="15">
        <f t="shared" si="88"/>
        <v>1.2157894736842105</v>
      </c>
      <c r="M370" s="15">
        <f t="shared" si="87"/>
        <v>1.2157894736842105</v>
      </c>
      <c r="N370" s="5" t="s">
        <v>347</v>
      </c>
      <c r="O370" s="5" t="s">
        <v>347</v>
      </c>
      <c r="P370" s="5">
        <v>1</v>
      </c>
      <c r="Q370" s="5">
        <v>1</v>
      </c>
      <c r="R370" s="5" t="str">
        <f t="shared" si="74"/>
        <v>193-2022-12-31</v>
      </c>
    </row>
    <row r="371" spans="1:18" x14ac:dyDescent="0.3">
      <c r="A371" s="5">
        <v>193</v>
      </c>
      <c r="B371" s="5" t="s">
        <v>73</v>
      </c>
      <c r="C371" s="5" t="s">
        <v>74</v>
      </c>
      <c r="D371" s="5" t="s">
        <v>8</v>
      </c>
      <c r="E371" s="5" t="s">
        <v>9</v>
      </c>
      <c r="F371" s="17">
        <v>45107</v>
      </c>
      <c r="G371" s="16">
        <f t="shared" si="77"/>
        <v>2023</v>
      </c>
      <c r="H371" s="6" t="str">
        <f t="shared" si="73"/>
        <v>Junio</v>
      </c>
      <c r="I371" s="41" t="s">
        <v>422</v>
      </c>
      <c r="J371" s="5">
        <v>92</v>
      </c>
      <c r="K371" s="5">
        <v>91.9</v>
      </c>
      <c r="L371" s="15">
        <f t="shared" si="88"/>
        <v>0.99891304347826093</v>
      </c>
      <c r="M371" s="15">
        <f t="shared" si="87"/>
        <v>0.99891304347826093</v>
      </c>
      <c r="N371" s="5" t="s">
        <v>347</v>
      </c>
      <c r="O371" s="5" t="s">
        <v>347</v>
      </c>
      <c r="P371" s="5">
        <v>1</v>
      </c>
      <c r="Q371" s="5">
        <v>1</v>
      </c>
      <c r="R371" s="5" t="str">
        <f t="shared" si="74"/>
        <v>193-2023-06-30</v>
      </c>
    </row>
    <row r="372" spans="1:18" x14ac:dyDescent="0.3">
      <c r="A372" s="5">
        <v>193</v>
      </c>
      <c r="B372" s="5" t="s">
        <v>73</v>
      </c>
      <c r="C372" s="5" t="s">
        <v>74</v>
      </c>
      <c r="D372" s="5" t="s">
        <v>8</v>
      </c>
      <c r="E372" s="5" t="s">
        <v>9</v>
      </c>
      <c r="F372" s="6">
        <v>45291</v>
      </c>
      <c r="G372" s="5">
        <f t="shared" si="77"/>
        <v>2023</v>
      </c>
      <c r="H372" s="5" t="str">
        <f t="shared" si="73"/>
        <v>Diciembre</v>
      </c>
      <c r="I372" s="6" t="str">
        <f>IF(OR(H372="Enero",H372="Febrero",H372="Marzo",H372="Abril",H372="Mayo",H372="Junio"),G372&amp;"-1",IF(OR(H372="Julio",H372="Agosto",H372="Septiembre",H372="Octubre",H372="Noviembre",H372="Diciembre"),G372&amp;"-2"))</f>
        <v>2023-2</v>
      </c>
      <c r="J372" s="5">
        <v>92</v>
      </c>
      <c r="K372" s="5">
        <v>91.3</v>
      </c>
      <c r="L372" s="15">
        <f t="shared" si="88"/>
        <v>0.99239130434782608</v>
      </c>
      <c r="M372" s="15">
        <f t="shared" si="87"/>
        <v>0.99239130434782608</v>
      </c>
      <c r="N372" s="5" t="s">
        <v>347</v>
      </c>
      <c r="O372" s="5" t="s">
        <v>347</v>
      </c>
      <c r="P372" s="5">
        <v>1</v>
      </c>
      <c r="Q372" s="5">
        <v>1</v>
      </c>
      <c r="R372" s="5" t="str">
        <f t="shared" si="74"/>
        <v>193-2023-12-31</v>
      </c>
    </row>
    <row r="373" spans="1:18" x14ac:dyDescent="0.3">
      <c r="A373" s="5">
        <v>193</v>
      </c>
      <c r="B373" s="5" t="s">
        <v>73</v>
      </c>
      <c r="C373" s="5" t="s">
        <v>74</v>
      </c>
      <c r="D373" s="5" t="s">
        <v>8</v>
      </c>
      <c r="E373" s="5" t="s">
        <v>9</v>
      </c>
      <c r="F373" s="6">
        <v>45473</v>
      </c>
      <c r="G373" s="5">
        <f t="shared" si="77"/>
        <v>2024</v>
      </c>
      <c r="H373" s="5" t="str">
        <f t="shared" si="73"/>
        <v>Junio</v>
      </c>
      <c r="I373" s="6" t="str">
        <f>IF(OR(H373="Enero",H373="Febrero",H373="Marzo",H373="Abril",H373="Mayo",H373="Junio"),G373&amp;"-1",IF(OR(H373="Julio",H373="Agosto",H373="Septiembre",H373="Octubre",H373="Noviembre",H373="Diciembre"),G373&amp;"-2"))</f>
        <v>2024-1</v>
      </c>
      <c r="J373" s="5">
        <v>90</v>
      </c>
      <c r="K373" s="5">
        <v>91.7</v>
      </c>
      <c r="L373" s="15">
        <v>1.018888888888889</v>
      </c>
      <c r="M373" s="15">
        <v>1.018888888888889</v>
      </c>
      <c r="N373" s="5" t="s">
        <v>347</v>
      </c>
      <c r="O373" s="5" t="s">
        <v>347</v>
      </c>
      <c r="P373" s="5">
        <v>1</v>
      </c>
      <c r="Q373" s="5">
        <v>1</v>
      </c>
      <c r="R373" s="5" t="str">
        <f t="shared" si="74"/>
        <v>193-2024-06-30</v>
      </c>
    </row>
    <row r="374" spans="1:18" x14ac:dyDescent="0.3">
      <c r="A374" s="5">
        <v>193</v>
      </c>
      <c r="B374" s="5" t="s">
        <v>73</v>
      </c>
      <c r="C374" s="5" t="s">
        <v>74</v>
      </c>
      <c r="D374" s="5" t="s">
        <v>8</v>
      </c>
      <c r="E374" s="5" t="s">
        <v>9</v>
      </c>
      <c r="F374" s="6">
        <v>45657</v>
      </c>
      <c r="G374" s="5">
        <f t="shared" si="77"/>
        <v>2024</v>
      </c>
      <c r="H374" s="5" t="str">
        <f t="shared" si="73"/>
        <v>Diciembre</v>
      </c>
      <c r="I374" s="6" t="str">
        <f>IF(OR(H374="Enero",H374="Febrero",H374="Marzo",H374="Abril",H374="Mayo",H374="Junio"),G374&amp;"-1",IF(OR(H374="Julio",H374="Agosto",H374="Septiembre",H374="Octubre",H374="Noviembre",H374="Diciembre"),G374&amp;"-2"))</f>
        <v>2024-2</v>
      </c>
      <c r="J374" s="5">
        <v>90</v>
      </c>
      <c r="K374" s="5">
        <v>93.5</v>
      </c>
      <c r="L374" s="15">
        <f>IFERROR(IF((K374/J374)&gt;1.3,1.3,K374/J374),"")</f>
        <v>1.038888888888889</v>
      </c>
      <c r="M374" s="15">
        <f>IFERROR(K374/J374,"")</f>
        <v>1.038888888888889</v>
      </c>
      <c r="N374" s="5"/>
      <c r="O374" s="5"/>
      <c r="P374" s="5">
        <v>0</v>
      </c>
      <c r="Q374" s="5">
        <v>0</v>
      </c>
      <c r="R374" s="5" t="str">
        <f t="shared" si="74"/>
        <v>193-2024-12-31</v>
      </c>
    </row>
    <row r="375" spans="1:18" x14ac:dyDescent="0.3">
      <c r="A375" s="5">
        <v>194</v>
      </c>
      <c r="B375" s="5" t="s">
        <v>75</v>
      </c>
      <c r="C375" s="5" t="s">
        <v>74</v>
      </c>
      <c r="D375" s="5" t="s">
        <v>8</v>
      </c>
      <c r="E375" s="5" t="s">
        <v>9</v>
      </c>
      <c r="F375" s="17">
        <v>44742</v>
      </c>
      <c r="G375" s="16">
        <f t="shared" si="77"/>
        <v>2022</v>
      </c>
      <c r="H375" s="6" t="str">
        <f t="shared" si="73"/>
        <v>Junio</v>
      </c>
      <c r="I375" s="41" t="s">
        <v>426</v>
      </c>
      <c r="J375" s="5">
        <v>73</v>
      </c>
      <c r="K375" s="5">
        <v>83.26</v>
      </c>
      <c r="L375" s="15">
        <f>IFERROR(IF((K375/J375)&gt;1.3,1.3,K375/J375),"")</f>
        <v>1.1405479452054794</v>
      </c>
      <c r="M375" s="15">
        <f>IFERROR(K375/J375,"")</f>
        <v>1.1405479452054794</v>
      </c>
      <c r="N375" s="5" t="s">
        <v>347</v>
      </c>
      <c r="O375" s="5" t="s">
        <v>347</v>
      </c>
      <c r="P375" s="5">
        <v>0</v>
      </c>
      <c r="Q375" s="5">
        <v>0</v>
      </c>
      <c r="R375" s="5" t="str">
        <f t="shared" si="74"/>
        <v>194-2022-06-30</v>
      </c>
    </row>
    <row r="376" spans="1:18" x14ac:dyDescent="0.3">
      <c r="A376" s="5">
        <v>194</v>
      </c>
      <c r="B376" s="5" t="s">
        <v>75</v>
      </c>
      <c r="C376" s="5" t="s">
        <v>74</v>
      </c>
      <c r="D376" s="5" t="s">
        <v>8</v>
      </c>
      <c r="E376" s="5" t="s">
        <v>9</v>
      </c>
      <c r="F376" s="17">
        <v>44926</v>
      </c>
      <c r="G376" s="16">
        <f t="shared" si="77"/>
        <v>2022</v>
      </c>
      <c r="H376" s="6" t="str">
        <f t="shared" si="73"/>
        <v>Diciembre</v>
      </c>
      <c r="I376" s="41" t="s">
        <v>423</v>
      </c>
      <c r="J376" s="5">
        <v>73</v>
      </c>
      <c r="K376" s="5">
        <v>83.11</v>
      </c>
      <c r="L376" s="15">
        <f>IFERROR(IF((K376/J376)&gt;1.3,1.3,K376/J376),"")</f>
        <v>1.1384931506849314</v>
      </c>
      <c r="M376" s="15">
        <f>IFERROR(K376/J376,"")</f>
        <v>1.1384931506849314</v>
      </c>
      <c r="N376" s="5" t="s">
        <v>347</v>
      </c>
      <c r="O376" s="5" t="s">
        <v>347</v>
      </c>
      <c r="P376" s="5">
        <v>0</v>
      </c>
      <c r="Q376" s="5">
        <v>0</v>
      </c>
      <c r="R376" s="5" t="str">
        <f t="shared" si="74"/>
        <v>194-2022-12-31</v>
      </c>
    </row>
    <row r="377" spans="1:18" x14ac:dyDescent="0.3">
      <c r="A377" s="5">
        <v>194</v>
      </c>
      <c r="B377" s="5" t="s">
        <v>75</v>
      </c>
      <c r="C377" s="5" t="s">
        <v>74</v>
      </c>
      <c r="D377" s="5" t="s">
        <v>8</v>
      </c>
      <c r="E377" s="5" t="s">
        <v>9</v>
      </c>
      <c r="F377" s="17">
        <v>45107</v>
      </c>
      <c r="G377" s="16">
        <f t="shared" si="77"/>
        <v>2023</v>
      </c>
      <c r="H377" s="6" t="str">
        <f t="shared" si="73"/>
        <v>Junio</v>
      </c>
      <c r="I377" s="41" t="s">
        <v>422</v>
      </c>
      <c r="J377" s="5">
        <v>80</v>
      </c>
      <c r="K377" s="5">
        <v>79.180000000000007</v>
      </c>
      <c r="L377" s="15">
        <f>IFERROR(IF((K377/J377)&gt;1.3,1.3,K377/J377),"")</f>
        <v>0.98975000000000013</v>
      </c>
      <c r="M377" s="15">
        <f>IFERROR(K377/J377,"")</f>
        <v>0.98975000000000013</v>
      </c>
      <c r="N377" s="5" t="s">
        <v>347</v>
      </c>
      <c r="O377" s="5" t="s">
        <v>347</v>
      </c>
      <c r="P377" s="5">
        <v>0</v>
      </c>
      <c r="Q377" s="5">
        <v>0</v>
      </c>
      <c r="R377" s="5" t="str">
        <f t="shared" si="74"/>
        <v>194-2023-06-30</v>
      </c>
    </row>
    <row r="378" spans="1:18" x14ac:dyDescent="0.3">
      <c r="A378" s="39">
        <v>194</v>
      </c>
      <c r="B378" s="5" t="s">
        <v>75</v>
      </c>
      <c r="C378" s="5" t="s">
        <v>74</v>
      </c>
      <c r="D378" s="5" t="s">
        <v>8</v>
      </c>
      <c r="E378" s="5" t="s">
        <v>9</v>
      </c>
      <c r="F378" s="6">
        <v>45291</v>
      </c>
      <c r="G378" s="5">
        <f t="shared" si="77"/>
        <v>2023</v>
      </c>
      <c r="H378" s="5" t="str">
        <f t="shared" si="73"/>
        <v>Diciembre</v>
      </c>
      <c r="I378" s="6" t="str">
        <f>IF(OR(H378="Enero",H378="Febrero",H378="Marzo",H378="Abril",H378="Mayo",H378="Junio"),G378&amp;"-1",IF(OR(H378="Julio",H378="Agosto",H378="Septiembre",H378="Octubre",H378="Noviembre",H378="Diciembre"),G378&amp;"-2"))</f>
        <v>2023-2</v>
      </c>
      <c r="J378" s="5">
        <v>80</v>
      </c>
      <c r="K378" s="5">
        <v>81.91</v>
      </c>
      <c r="L378" s="15">
        <f>IFERROR(IF((K378/J378)&gt;1.3,1.3,K378/J378),"")</f>
        <v>1.0238749999999999</v>
      </c>
      <c r="M378" s="15">
        <f>IFERROR(K378/J378,"")</f>
        <v>1.0238749999999999</v>
      </c>
      <c r="N378" s="5" t="s">
        <v>347</v>
      </c>
      <c r="O378" s="5" t="s">
        <v>347</v>
      </c>
      <c r="P378" s="5">
        <v>0</v>
      </c>
      <c r="Q378" s="5">
        <v>0</v>
      </c>
      <c r="R378" s="5" t="str">
        <f t="shared" si="74"/>
        <v>194-2023-12-31</v>
      </c>
    </row>
    <row r="379" spans="1:18" x14ac:dyDescent="0.3">
      <c r="A379" s="5">
        <v>194</v>
      </c>
      <c r="B379" s="5" t="s">
        <v>75</v>
      </c>
      <c r="C379" s="5" t="s">
        <v>74</v>
      </c>
      <c r="D379" s="5" t="s">
        <v>8</v>
      </c>
      <c r="E379" s="5" t="s">
        <v>9</v>
      </c>
      <c r="F379" s="6">
        <v>45473</v>
      </c>
      <c r="G379" s="5">
        <f t="shared" si="77"/>
        <v>2024</v>
      </c>
      <c r="H379" s="5" t="str">
        <f t="shared" si="73"/>
        <v>Junio</v>
      </c>
      <c r="I379" s="6" t="str">
        <f>IF(OR(H379="Enero",H379="Febrero",H379="Marzo",H379="Abril",H379="Mayo",H379="Junio"),G379&amp;"-1",IF(OR(H379="Julio",H379="Agosto",H379="Septiembre",H379="Octubre",H379="Noviembre",H379="Diciembre"),G379&amp;"-2"))</f>
        <v>2024-1</v>
      </c>
      <c r="J379" s="5">
        <v>81</v>
      </c>
      <c r="K379" s="5">
        <v>83.01</v>
      </c>
      <c r="L379" s="15">
        <v>1.0248148148148148</v>
      </c>
      <c r="M379" s="15">
        <v>1.0248148148148148</v>
      </c>
      <c r="N379" s="5" t="s">
        <v>347</v>
      </c>
      <c r="O379" s="5" t="s">
        <v>347</v>
      </c>
      <c r="P379" s="5">
        <v>0</v>
      </c>
      <c r="Q379" s="5">
        <v>0</v>
      </c>
      <c r="R379" s="5" t="str">
        <f t="shared" si="74"/>
        <v>194-2024-06-30</v>
      </c>
    </row>
    <row r="380" spans="1:18" x14ac:dyDescent="0.3">
      <c r="A380" s="5">
        <v>466</v>
      </c>
      <c r="B380" s="5" t="s">
        <v>525</v>
      </c>
      <c r="C380" s="5" t="s">
        <v>74</v>
      </c>
      <c r="D380" s="5" t="s">
        <v>8</v>
      </c>
      <c r="E380" s="5" t="s">
        <v>9</v>
      </c>
      <c r="F380" s="17">
        <v>44742</v>
      </c>
      <c r="G380" s="16">
        <f t="shared" si="77"/>
        <v>2022</v>
      </c>
      <c r="H380" s="6" t="str">
        <f t="shared" si="73"/>
        <v>Junio</v>
      </c>
      <c r="I380" s="41" t="s">
        <v>426</v>
      </c>
      <c r="J380" s="5">
        <v>25</v>
      </c>
      <c r="K380" s="5">
        <v>46.11</v>
      </c>
      <c r="L380" s="15">
        <f>IFERROR(IF((K380/J380)&gt;1.3,1.3,K380/J380),"")</f>
        <v>1.3</v>
      </c>
      <c r="M380" s="15">
        <f>IFERROR(K380/J380,"")</f>
        <v>1.8444</v>
      </c>
      <c r="N380" s="5"/>
      <c r="O380" s="5" t="s">
        <v>478</v>
      </c>
      <c r="P380" s="5">
        <v>1</v>
      </c>
      <c r="Q380" s="5">
        <v>1</v>
      </c>
      <c r="R380" s="5" t="str">
        <f t="shared" si="74"/>
        <v>466-2022-06-30</v>
      </c>
    </row>
    <row r="381" spans="1:18" x14ac:dyDescent="0.3">
      <c r="A381" s="5">
        <v>466</v>
      </c>
      <c r="B381" s="5" t="s">
        <v>525</v>
      </c>
      <c r="C381" s="5" t="s">
        <v>74</v>
      </c>
      <c r="D381" s="5" t="s">
        <v>8</v>
      </c>
      <c r="E381" s="5" t="s">
        <v>9</v>
      </c>
      <c r="F381" s="17">
        <v>44926</v>
      </c>
      <c r="G381" s="16">
        <f t="shared" si="77"/>
        <v>2022</v>
      </c>
      <c r="H381" s="6" t="str">
        <f t="shared" si="73"/>
        <v>Diciembre</v>
      </c>
      <c r="I381" s="41" t="s">
        <v>423</v>
      </c>
      <c r="J381" s="5">
        <v>25</v>
      </c>
      <c r="K381" s="5">
        <v>43.56</v>
      </c>
      <c r="L381" s="15">
        <f>IFERROR(IF((K381/J381)&gt;1.3,1.3,K381/J381),"")</f>
        <v>1.3</v>
      </c>
      <c r="M381" s="15">
        <f>IFERROR(K381/J381,"")</f>
        <v>1.7424000000000002</v>
      </c>
      <c r="N381" s="5"/>
      <c r="O381" s="5" t="s">
        <v>478</v>
      </c>
      <c r="P381" s="5">
        <v>1</v>
      </c>
      <c r="Q381" s="5">
        <v>1</v>
      </c>
      <c r="R381" s="5" t="str">
        <f t="shared" si="74"/>
        <v>466-2022-12-31</v>
      </c>
    </row>
    <row r="382" spans="1:18" x14ac:dyDescent="0.3">
      <c r="A382" s="5">
        <v>466</v>
      </c>
      <c r="B382" s="5" t="s">
        <v>525</v>
      </c>
      <c r="C382" s="5" t="s">
        <v>74</v>
      </c>
      <c r="D382" s="5" t="s">
        <v>8</v>
      </c>
      <c r="E382" s="5" t="s">
        <v>9</v>
      </c>
      <c r="F382" s="17">
        <v>45107</v>
      </c>
      <c r="G382" s="16">
        <f t="shared" si="77"/>
        <v>2023</v>
      </c>
      <c r="H382" s="6" t="str">
        <f t="shared" si="73"/>
        <v>Junio</v>
      </c>
      <c r="I382" s="41" t="s">
        <v>422</v>
      </c>
      <c r="J382" s="5">
        <v>42</v>
      </c>
      <c r="K382" s="5">
        <v>36.54</v>
      </c>
      <c r="L382" s="15">
        <f>IFERROR(IF((K382/J382)&gt;1.3,1.3,K382/J382),"")</f>
        <v>0.87</v>
      </c>
      <c r="M382" s="15">
        <f>IFERROR(K382/J382,"")</f>
        <v>0.87</v>
      </c>
      <c r="N382" s="5"/>
      <c r="O382" s="5" t="s">
        <v>478</v>
      </c>
      <c r="P382" s="5">
        <v>1</v>
      </c>
      <c r="Q382" s="5">
        <v>1</v>
      </c>
      <c r="R382" s="5" t="str">
        <f t="shared" si="74"/>
        <v>466-2023-06-30</v>
      </c>
    </row>
    <row r="383" spans="1:18" x14ac:dyDescent="0.3">
      <c r="A383" s="5">
        <v>466</v>
      </c>
      <c r="B383" s="5" t="s">
        <v>525</v>
      </c>
      <c r="C383" s="5" t="s">
        <v>74</v>
      </c>
      <c r="D383" s="5" t="s">
        <v>8</v>
      </c>
      <c r="E383" s="5" t="s">
        <v>9</v>
      </c>
      <c r="F383" s="6">
        <v>45291</v>
      </c>
      <c r="G383" s="5">
        <f t="shared" si="77"/>
        <v>2023</v>
      </c>
      <c r="H383" s="5" t="str">
        <f t="shared" si="73"/>
        <v>Diciembre</v>
      </c>
      <c r="I383" s="6" t="str">
        <f>IF(OR(H383="Enero",H383="Febrero",H383="Marzo",H383="Abril",H383="Mayo",H383="Junio"),G383&amp;"-1",IF(OR(H383="Julio",H383="Agosto",H383="Septiembre",H383="Octubre",H383="Noviembre",H383="Diciembre"),G383&amp;"-2"))</f>
        <v>2023-2</v>
      </c>
      <c r="J383" s="5">
        <v>42</v>
      </c>
      <c r="K383" s="5">
        <v>53.34</v>
      </c>
      <c r="L383" s="15">
        <f>IFERROR(IF((K383/J383)&gt;1.3,1.3,K383/J383),"")</f>
        <v>1.27</v>
      </c>
      <c r="M383" s="15">
        <f>IFERROR(K383/J383,"")</f>
        <v>1.27</v>
      </c>
      <c r="N383" s="5"/>
      <c r="O383" s="5" t="s">
        <v>478</v>
      </c>
      <c r="P383" s="5">
        <v>1</v>
      </c>
      <c r="Q383" s="5">
        <v>1</v>
      </c>
      <c r="R383" s="5" t="str">
        <f t="shared" si="74"/>
        <v>466-2023-12-31</v>
      </c>
    </row>
    <row r="384" spans="1:18" x14ac:dyDescent="0.3">
      <c r="A384" s="5">
        <v>466</v>
      </c>
      <c r="B384" s="5" t="s">
        <v>525</v>
      </c>
      <c r="C384" s="5" t="s">
        <v>74</v>
      </c>
      <c r="D384" s="5" t="s">
        <v>8</v>
      </c>
      <c r="E384" s="5" t="s">
        <v>9</v>
      </c>
      <c r="F384" s="6">
        <v>45473</v>
      </c>
      <c r="G384" s="5">
        <f t="shared" si="77"/>
        <v>2024</v>
      </c>
      <c r="H384" s="5" t="str">
        <f t="shared" si="73"/>
        <v>Junio</v>
      </c>
      <c r="I384" s="6" t="str">
        <f>IF(OR(H384="Enero",H384="Febrero",H384="Marzo",H384="Abril",H384="Mayo",H384="Junio"),G384&amp;"-1",IF(OR(H384="Julio",H384="Agosto",H384="Septiembre",H384="Octubre",H384="Noviembre",H384="Diciembre"),G384&amp;"-2"))</f>
        <v>2024-1</v>
      </c>
      <c r="J384" s="5">
        <v>50</v>
      </c>
      <c r="K384" s="5">
        <v>59.59</v>
      </c>
      <c r="L384" s="15">
        <v>1.1918</v>
      </c>
      <c r="M384" s="15">
        <v>1.1918</v>
      </c>
      <c r="N384" s="5" t="s">
        <v>490</v>
      </c>
      <c r="O384" s="5" t="s">
        <v>478</v>
      </c>
      <c r="P384" s="5">
        <v>1</v>
      </c>
      <c r="Q384" s="5">
        <v>1</v>
      </c>
      <c r="R384" s="5" t="str">
        <f t="shared" si="74"/>
        <v>466-2024-06-30</v>
      </c>
    </row>
    <row r="385" spans="1:18" x14ac:dyDescent="0.3">
      <c r="A385" s="5">
        <v>196</v>
      </c>
      <c r="B385" s="5" t="s">
        <v>77</v>
      </c>
      <c r="C385" s="5" t="s">
        <v>74</v>
      </c>
      <c r="D385" s="5" t="s">
        <v>8</v>
      </c>
      <c r="E385" s="5" t="s">
        <v>14</v>
      </c>
      <c r="F385" s="17">
        <v>45107</v>
      </c>
      <c r="G385" s="16">
        <f t="shared" si="77"/>
        <v>2023</v>
      </c>
      <c r="H385" s="6" t="str">
        <f t="shared" si="73"/>
        <v>Junio</v>
      </c>
      <c r="I385" s="41" t="s">
        <v>422</v>
      </c>
      <c r="J385" s="5">
        <v>37</v>
      </c>
      <c r="K385" s="5">
        <v>34.409999999999997</v>
      </c>
      <c r="L385" s="15">
        <f>IFERROR(IF((J385/K385)&gt;1.3,1.3,J385/K385),"")</f>
        <v>1.0752688172043012</v>
      </c>
      <c r="M385" s="15">
        <f>IFERROR(J385/K385,"")</f>
        <v>1.0752688172043012</v>
      </c>
      <c r="N385" s="5" t="s">
        <v>347</v>
      </c>
      <c r="O385" s="5" t="s">
        <v>347</v>
      </c>
      <c r="P385" s="5">
        <v>0</v>
      </c>
      <c r="Q385" s="5">
        <v>0</v>
      </c>
      <c r="R385" s="5" t="str">
        <f t="shared" si="74"/>
        <v>196-2023-06-30</v>
      </c>
    </row>
    <row r="386" spans="1:18" x14ac:dyDescent="0.3">
      <c r="A386" s="39">
        <v>196</v>
      </c>
      <c r="B386" s="5" t="s">
        <v>77</v>
      </c>
      <c r="C386" s="5" t="s">
        <v>74</v>
      </c>
      <c r="D386" s="5" t="s">
        <v>8</v>
      </c>
      <c r="E386" s="5" t="s">
        <v>14</v>
      </c>
      <c r="F386" s="6">
        <v>45291</v>
      </c>
      <c r="G386" s="5">
        <f t="shared" si="77"/>
        <v>2023</v>
      </c>
      <c r="H386" s="5" t="str">
        <f t="shared" si="73"/>
        <v>Diciembre</v>
      </c>
      <c r="I386" s="6" t="str">
        <f t="shared" ref="I386:I396" si="89">IF(OR(H386="Enero",H386="Febrero",H386="Marzo",H386="Abril",H386="Mayo",H386="Junio"),G386&amp;"-1",IF(OR(H386="Julio",H386="Agosto",H386="Septiembre",H386="Octubre",H386="Noviembre",H386="Diciembre"),G386&amp;"-2"))</f>
        <v>2023-2</v>
      </c>
      <c r="J386" s="5">
        <v>37</v>
      </c>
      <c r="K386" s="5">
        <v>26.62</v>
      </c>
      <c r="L386" s="15">
        <f>IFERROR(IF((J386/K386)&gt;1.3,1.3,J386/K386),"")</f>
        <v>1.3</v>
      </c>
      <c r="M386" s="15">
        <f>IFERROR(J386/K386,"")</f>
        <v>1.3899323816679188</v>
      </c>
      <c r="N386" s="5" t="s">
        <v>347</v>
      </c>
      <c r="O386" s="5" t="s">
        <v>347</v>
      </c>
      <c r="P386" s="5">
        <v>0</v>
      </c>
      <c r="Q386" s="5">
        <v>0</v>
      </c>
      <c r="R386" s="5" t="str">
        <f t="shared" ref="R386:R449" si="90">A386&amp;"-"&amp;YEAR(F386)&amp;"-"&amp;IF(LEN(MONTH(F386))=1,"0"&amp;MONTH(F386),MONTH(F386))&amp;"-"&amp;DAY(F386)</f>
        <v>196-2023-12-31</v>
      </c>
    </row>
    <row r="387" spans="1:18" x14ac:dyDescent="0.3">
      <c r="A387" s="39">
        <v>197</v>
      </c>
      <c r="B387" s="5" t="s">
        <v>78</v>
      </c>
      <c r="C387" s="5" t="s">
        <v>43</v>
      </c>
      <c r="D387" s="5" t="s">
        <v>11</v>
      </c>
      <c r="E387" s="5" t="s">
        <v>9</v>
      </c>
      <c r="F387" s="6">
        <v>45107</v>
      </c>
      <c r="G387" s="5">
        <f t="shared" si="77"/>
        <v>2023</v>
      </c>
      <c r="H387" s="5" t="str">
        <f t="shared" ref="H387:H434" si="91">PROPER(TEXT(F387,"mmmm"))</f>
        <v>Junio</v>
      </c>
      <c r="I387" s="6" t="str">
        <f t="shared" si="89"/>
        <v>2023-1</v>
      </c>
      <c r="J387" s="5">
        <v>90</v>
      </c>
      <c r="K387" s="5">
        <v>100</v>
      </c>
      <c r="L387" s="24">
        <f>IFERROR(IF(K387/J387&gt;1,1,K387/J387),"")</f>
        <v>1</v>
      </c>
      <c r="M387" s="15">
        <f>IFERROR(IF(K387/J387&gt;1,1,K387/J387),"")</f>
        <v>1</v>
      </c>
      <c r="N387" s="5" t="s">
        <v>347</v>
      </c>
      <c r="O387" s="5" t="s">
        <v>347</v>
      </c>
      <c r="P387" s="5">
        <v>0</v>
      </c>
      <c r="Q387" s="5">
        <v>0</v>
      </c>
      <c r="R387" s="5" t="str">
        <f t="shared" si="90"/>
        <v>197-2023-06-30</v>
      </c>
    </row>
    <row r="388" spans="1:18" x14ac:dyDescent="0.3">
      <c r="A388" s="39">
        <v>197</v>
      </c>
      <c r="B388" s="5" t="s">
        <v>78</v>
      </c>
      <c r="C388" s="5" t="s">
        <v>43</v>
      </c>
      <c r="D388" s="5" t="s">
        <v>11</v>
      </c>
      <c r="E388" s="5" t="s">
        <v>9</v>
      </c>
      <c r="F388" s="6">
        <v>45291</v>
      </c>
      <c r="G388" s="5">
        <f t="shared" si="77"/>
        <v>2023</v>
      </c>
      <c r="H388" s="5" t="str">
        <f t="shared" si="91"/>
        <v>Diciembre</v>
      </c>
      <c r="I388" s="6" t="str">
        <f t="shared" si="89"/>
        <v>2023-2</v>
      </c>
      <c r="J388" s="5">
        <v>90</v>
      </c>
      <c r="K388" s="5">
        <v>100</v>
      </c>
      <c r="L388" s="24">
        <f>IFERROR(IF(K388/J388&gt;1,1,K388/J388),"")</f>
        <v>1</v>
      </c>
      <c r="M388" s="15">
        <f>IFERROR(IF(K388/J388&gt;1,1,K388/J388),"")</f>
        <v>1</v>
      </c>
      <c r="N388" s="5" t="s">
        <v>347</v>
      </c>
      <c r="O388" s="5" t="s">
        <v>347</v>
      </c>
      <c r="P388" s="5">
        <v>0</v>
      </c>
      <c r="Q388" s="5">
        <v>0</v>
      </c>
      <c r="R388" s="5" t="str">
        <f t="shared" si="90"/>
        <v>197-2023-12-31</v>
      </c>
    </row>
    <row r="389" spans="1:18" x14ac:dyDescent="0.3">
      <c r="A389" s="5">
        <v>197</v>
      </c>
      <c r="B389" s="5" t="s">
        <v>78</v>
      </c>
      <c r="C389" s="5" t="s">
        <v>43</v>
      </c>
      <c r="D389" s="5" t="s">
        <v>11</v>
      </c>
      <c r="E389" s="5" t="s">
        <v>9</v>
      </c>
      <c r="F389" s="6">
        <v>45473</v>
      </c>
      <c r="G389" s="5">
        <f t="shared" si="77"/>
        <v>2024</v>
      </c>
      <c r="H389" s="5" t="str">
        <f t="shared" si="91"/>
        <v>Junio</v>
      </c>
      <c r="I389" s="6" t="str">
        <f t="shared" si="89"/>
        <v>2024-1</v>
      </c>
      <c r="J389" s="5">
        <v>95</v>
      </c>
      <c r="K389" s="5">
        <v>100</v>
      </c>
      <c r="L389" s="24">
        <f>IFERROR(IF(K389/J389&gt;1,1,K389/J389),"")</f>
        <v>1</v>
      </c>
      <c r="M389" s="15">
        <f>IFERROR(IF(K389/J389&gt;1,1,K389/J389),"")</f>
        <v>1</v>
      </c>
      <c r="N389" s="5" t="s">
        <v>347</v>
      </c>
      <c r="O389" s="5" t="s">
        <v>347</v>
      </c>
      <c r="P389" s="5">
        <v>0</v>
      </c>
      <c r="Q389" s="5">
        <v>0</v>
      </c>
      <c r="R389" s="5" t="str">
        <f t="shared" si="90"/>
        <v>197-2024-06-30</v>
      </c>
    </row>
    <row r="390" spans="1:18" x14ac:dyDescent="0.3">
      <c r="A390" s="5">
        <v>197</v>
      </c>
      <c r="B390" s="5" t="s">
        <v>78</v>
      </c>
      <c r="C390" s="5" t="s">
        <v>43</v>
      </c>
      <c r="D390" s="5" t="s">
        <v>11</v>
      </c>
      <c r="E390" s="5" t="s">
        <v>9</v>
      </c>
      <c r="F390" s="6">
        <v>45657</v>
      </c>
      <c r="G390" s="5">
        <f t="shared" si="77"/>
        <v>2024</v>
      </c>
      <c r="H390" s="5" t="str">
        <f t="shared" si="91"/>
        <v>Diciembre</v>
      </c>
      <c r="I390" s="6" t="str">
        <f t="shared" si="89"/>
        <v>2024-2</v>
      </c>
      <c r="J390" s="5">
        <v>95</v>
      </c>
      <c r="K390" s="5">
        <v>100</v>
      </c>
      <c r="L390" s="24">
        <f>IFERROR(IF(K390/J390&gt;1,1,K390/J390),"")</f>
        <v>1</v>
      </c>
      <c r="M390" s="15">
        <f>IFERROR(IF(K390/J390&gt;1,1,K390/J390),"")</f>
        <v>1</v>
      </c>
      <c r="N390" s="5" t="s">
        <v>347</v>
      </c>
      <c r="O390" s="5" t="s">
        <v>347</v>
      </c>
      <c r="P390" s="5">
        <v>0</v>
      </c>
      <c r="Q390" s="5">
        <v>0</v>
      </c>
      <c r="R390" s="5" t="str">
        <f t="shared" si="90"/>
        <v>197-2024-12-31</v>
      </c>
    </row>
    <row r="391" spans="1:18" x14ac:dyDescent="0.3">
      <c r="A391" s="43">
        <v>199</v>
      </c>
      <c r="B391" s="5" t="s">
        <v>79</v>
      </c>
      <c r="C391" s="5" t="s">
        <v>13</v>
      </c>
      <c r="D391" s="5" t="s">
        <v>8</v>
      </c>
      <c r="E391" s="5" t="s">
        <v>9</v>
      </c>
      <c r="F391" s="6">
        <v>45107</v>
      </c>
      <c r="G391" s="5">
        <f t="shared" si="77"/>
        <v>2023</v>
      </c>
      <c r="H391" s="5" t="str">
        <f t="shared" si="91"/>
        <v>Junio</v>
      </c>
      <c r="I391" s="6" t="str">
        <f t="shared" si="89"/>
        <v>2023-1</v>
      </c>
      <c r="J391" s="5">
        <v>70</v>
      </c>
      <c r="K391" s="5">
        <v>87.67</v>
      </c>
      <c r="L391" s="21">
        <f>IFERROR(K391/J391,"")</f>
        <v>1.2524285714285714</v>
      </c>
      <c r="M391" s="15">
        <f t="shared" ref="M391:M404" si="92">IFERROR(K391/J391,"")</f>
        <v>1.2524285714285714</v>
      </c>
      <c r="N391" s="5" t="s">
        <v>347</v>
      </c>
      <c r="O391" s="5" t="s">
        <v>347</v>
      </c>
      <c r="P391" s="5">
        <v>0</v>
      </c>
      <c r="Q391" s="5">
        <v>0</v>
      </c>
      <c r="R391" s="5" t="str">
        <f t="shared" si="90"/>
        <v>199-2023-06-30</v>
      </c>
    </row>
    <row r="392" spans="1:18" x14ac:dyDescent="0.3">
      <c r="A392" s="39">
        <v>199</v>
      </c>
      <c r="B392" s="5" t="s">
        <v>79</v>
      </c>
      <c r="C392" s="5" t="s">
        <v>13</v>
      </c>
      <c r="D392" s="5" t="s">
        <v>8</v>
      </c>
      <c r="E392" s="5" t="s">
        <v>9</v>
      </c>
      <c r="F392" s="6">
        <v>45291</v>
      </c>
      <c r="G392" s="5">
        <f t="shared" si="77"/>
        <v>2023</v>
      </c>
      <c r="H392" s="5" t="str">
        <f t="shared" si="91"/>
        <v>Diciembre</v>
      </c>
      <c r="I392" s="6" t="str">
        <f t="shared" si="89"/>
        <v>2023-2</v>
      </c>
      <c r="J392" s="5">
        <v>70</v>
      </c>
      <c r="K392" s="5">
        <v>87.67</v>
      </c>
      <c r="L392" s="21">
        <f>IFERROR(K392/J392,"")</f>
        <v>1.2524285714285714</v>
      </c>
      <c r="M392" s="15">
        <f t="shared" si="92"/>
        <v>1.2524285714285714</v>
      </c>
      <c r="N392" s="5" t="s">
        <v>347</v>
      </c>
      <c r="O392" s="5" t="s">
        <v>347</v>
      </c>
      <c r="P392" s="5">
        <v>0</v>
      </c>
      <c r="Q392" s="5">
        <v>0</v>
      </c>
      <c r="R392" s="5" t="str">
        <f t="shared" si="90"/>
        <v>199-2023-12-31</v>
      </c>
    </row>
    <row r="393" spans="1:18" x14ac:dyDescent="0.3">
      <c r="A393" s="5">
        <v>199</v>
      </c>
      <c r="B393" s="5" t="s">
        <v>79</v>
      </c>
      <c r="C393" s="5" t="s">
        <v>13</v>
      </c>
      <c r="D393" s="5" t="s">
        <v>8</v>
      </c>
      <c r="E393" s="5" t="s">
        <v>9</v>
      </c>
      <c r="F393" s="6">
        <v>45473</v>
      </c>
      <c r="G393" s="5">
        <f t="shared" si="77"/>
        <v>2024</v>
      </c>
      <c r="H393" s="5" t="str">
        <f t="shared" si="91"/>
        <v>Junio</v>
      </c>
      <c r="I393" s="6" t="str">
        <f t="shared" si="89"/>
        <v>2024-1</v>
      </c>
      <c r="J393" s="5">
        <v>80</v>
      </c>
      <c r="K393" s="5">
        <v>92.19</v>
      </c>
      <c r="L393" s="15">
        <f t="shared" ref="L393:L398" si="93">IFERROR(IF((K393/J393)&gt;1.3,1.3,K393/J393),"")</f>
        <v>1.1523749999999999</v>
      </c>
      <c r="M393" s="15">
        <f t="shared" si="92"/>
        <v>1.1523749999999999</v>
      </c>
      <c r="N393" s="5"/>
      <c r="O393" s="5"/>
      <c r="P393" s="5">
        <v>0</v>
      </c>
      <c r="Q393" s="5">
        <v>0</v>
      </c>
      <c r="R393" s="5" t="str">
        <f t="shared" si="90"/>
        <v>199-2024-06-30</v>
      </c>
    </row>
    <row r="394" spans="1:18" x14ac:dyDescent="0.3">
      <c r="A394" s="5">
        <v>199</v>
      </c>
      <c r="B394" s="5" t="s">
        <v>79</v>
      </c>
      <c r="C394" s="5" t="s">
        <v>13</v>
      </c>
      <c r="D394" s="5" t="s">
        <v>8</v>
      </c>
      <c r="E394" s="5" t="s">
        <v>9</v>
      </c>
      <c r="F394" s="6">
        <v>45657</v>
      </c>
      <c r="G394" s="5">
        <f t="shared" si="77"/>
        <v>2024</v>
      </c>
      <c r="H394" s="5" t="str">
        <f t="shared" si="91"/>
        <v>Diciembre</v>
      </c>
      <c r="I394" s="6" t="str">
        <f t="shared" si="89"/>
        <v>2024-2</v>
      </c>
      <c r="J394" s="5">
        <v>80</v>
      </c>
      <c r="K394" s="5">
        <v>92.81</v>
      </c>
      <c r="L394" s="15">
        <f t="shared" si="93"/>
        <v>1.1601250000000001</v>
      </c>
      <c r="M394" s="15">
        <f t="shared" si="92"/>
        <v>1.1601250000000001</v>
      </c>
      <c r="N394" s="5"/>
      <c r="O394" s="5"/>
      <c r="P394" s="5">
        <v>0</v>
      </c>
      <c r="Q394" s="5">
        <v>0</v>
      </c>
      <c r="R394" s="5" t="str">
        <f t="shared" si="90"/>
        <v>199-2024-12-31</v>
      </c>
    </row>
    <row r="395" spans="1:18" x14ac:dyDescent="0.3">
      <c r="A395" s="39">
        <v>200</v>
      </c>
      <c r="B395" s="5" t="s">
        <v>80</v>
      </c>
      <c r="C395" s="5" t="s">
        <v>13</v>
      </c>
      <c r="D395" s="5" t="s">
        <v>25</v>
      </c>
      <c r="E395" s="5" t="s">
        <v>9</v>
      </c>
      <c r="F395" s="6">
        <v>45291</v>
      </c>
      <c r="G395" s="5">
        <f t="shared" si="77"/>
        <v>2023</v>
      </c>
      <c r="H395" s="5" t="str">
        <f t="shared" si="91"/>
        <v>Diciembre</v>
      </c>
      <c r="I395" s="6" t="str">
        <f t="shared" si="89"/>
        <v>2023-2</v>
      </c>
      <c r="J395" s="5"/>
      <c r="K395" s="5">
        <v>90</v>
      </c>
      <c r="L395" s="15" t="str">
        <f t="shared" si="93"/>
        <v/>
      </c>
      <c r="M395" s="15" t="str">
        <f t="shared" si="92"/>
        <v/>
      </c>
      <c r="N395" s="5" t="s">
        <v>487</v>
      </c>
      <c r="O395" s="5" t="s">
        <v>347</v>
      </c>
      <c r="P395" s="5">
        <v>0</v>
      </c>
      <c r="Q395" s="5">
        <v>0</v>
      </c>
      <c r="R395" s="5" t="str">
        <f t="shared" si="90"/>
        <v>200-2023-12-31</v>
      </c>
    </row>
    <row r="396" spans="1:18" x14ac:dyDescent="0.3">
      <c r="A396" s="5">
        <v>200</v>
      </c>
      <c r="B396" s="5" t="s">
        <v>80</v>
      </c>
      <c r="C396" s="5" t="s">
        <v>13</v>
      </c>
      <c r="D396" s="5" t="s">
        <v>25</v>
      </c>
      <c r="E396" s="5" t="s">
        <v>9</v>
      </c>
      <c r="F396" s="6">
        <v>45657</v>
      </c>
      <c r="G396" s="5">
        <f t="shared" si="77"/>
        <v>2024</v>
      </c>
      <c r="H396" s="5" t="str">
        <f t="shared" si="91"/>
        <v>Diciembre</v>
      </c>
      <c r="I396" s="6" t="str">
        <f t="shared" si="89"/>
        <v>2024-2</v>
      </c>
      <c r="J396" s="5">
        <v>80</v>
      </c>
      <c r="K396" s="5">
        <v>87.4</v>
      </c>
      <c r="L396" s="15">
        <f t="shared" si="93"/>
        <v>1.0925</v>
      </c>
      <c r="M396" s="15">
        <f t="shared" si="92"/>
        <v>1.0925</v>
      </c>
      <c r="N396" s="5"/>
      <c r="O396" s="5"/>
      <c r="P396" s="5">
        <v>0</v>
      </c>
      <c r="Q396" s="5">
        <v>0</v>
      </c>
      <c r="R396" s="5" t="str">
        <f t="shared" si="90"/>
        <v>200-2024-12-31</v>
      </c>
    </row>
    <row r="397" spans="1:18" x14ac:dyDescent="0.3">
      <c r="A397" s="5">
        <v>202</v>
      </c>
      <c r="B397" s="5" t="s">
        <v>82</v>
      </c>
      <c r="C397" s="5" t="s">
        <v>13</v>
      </c>
      <c r="D397" s="5" t="s">
        <v>25</v>
      </c>
      <c r="E397" s="5" t="s">
        <v>9</v>
      </c>
      <c r="F397" s="6">
        <v>45291</v>
      </c>
      <c r="G397" s="16">
        <f t="shared" si="77"/>
        <v>2023</v>
      </c>
      <c r="H397" s="6" t="str">
        <f t="shared" si="91"/>
        <v>Diciembre</v>
      </c>
      <c r="I397" s="6" t="s">
        <v>434</v>
      </c>
      <c r="J397" s="5">
        <v>66</v>
      </c>
      <c r="K397" s="5">
        <v>64.7</v>
      </c>
      <c r="L397" s="15">
        <f t="shared" si="93"/>
        <v>0.98030303030303034</v>
      </c>
      <c r="M397" s="15">
        <f t="shared" si="92"/>
        <v>0.98030303030303034</v>
      </c>
      <c r="N397" s="5"/>
      <c r="O397" s="5"/>
      <c r="P397" s="5">
        <v>1</v>
      </c>
      <c r="Q397" s="5">
        <v>1</v>
      </c>
      <c r="R397" s="5" t="str">
        <f t="shared" si="90"/>
        <v>202-2023-12-31</v>
      </c>
    </row>
    <row r="398" spans="1:18" x14ac:dyDescent="0.3">
      <c r="A398" s="5">
        <v>202</v>
      </c>
      <c r="B398" s="5" t="s">
        <v>82</v>
      </c>
      <c r="C398" s="5" t="s">
        <v>13</v>
      </c>
      <c r="D398" s="5" t="s">
        <v>25</v>
      </c>
      <c r="E398" s="5" t="s">
        <v>9</v>
      </c>
      <c r="F398" s="6">
        <v>45657</v>
      </c>
      <c r="G398" s="5">
        <f t="shared" si="77"/>
        <v>2024</v>
      </c>
      <c r="H398" s="5" t="str">
        <f t="shared" si="91"/>
        <v>Diciembre</v>
      </c>
      <c r="I398" s="6" t="str">
        <f>IF(OR(H398="Enero",H398="Febrero",H398="Marzo",H398="Abril",H398="Mayo",H398="Junio"),G398&amp;"-1",IF(OR(H398="Julio",H398="Agosto",H398="Septiembre",H398="Octubre",H398="Noviembre",H398="Diciembre"),G398&amp;"-2"))</f>
        <v>2024-2</v>
      </c>
      <c r="J398" s="5">
        <v>0</v>
      </c>
      <c r="K398" s="5"/>
      <c r="L398" s="15" t="str">
        <f t="shared" si="93"/>
        <v/>
      </c>
      <c r="M398" s="15" t="str">
        <f t="shared" si="92"/>
        <v/>
      </c>
      <c r="N398" s="5" t="s">
        <v>490</v>
      </c>
      <c r="O398" s="5" t="s">
        <v>81</v>
      </c>
      <c r="P398" s="5">
        <v>0</v>
      </c>
      <c r="Q398" s="5">
        <v>0</v>
      </c>
      <c r="R398" s="5" t="str">
        <f t="shared" si="90"/>
        <v>202-2024-12-31</v>
      </c>
    </row>
    <row r="399" spans="1:18" x14ac:dyDescent="0.3">
      <c r="A399" s="5">
        <v>203</v>
      </c>
      <c r="B399" s="5" t="s">
        <v>83</v>
      </c>
      <c r="C399" s="5" t="s">
        <v>84</v>
      </c>
      <c r="D399" s="5" t="s">
        <v>8</v>
      </c>
      <c r="E399" s="5" t="s">
        <v>9</v>
      </c>
      <c r="F399" s="17">
        <v>44742</v>
      </c>
      <c r="G399" s="16">
        <f t="shared" si="77"/>
        <v>2022</v>
      </c>
      <c r="H399" s="6" t="str">
        <f t="shared" si="91"/>
        <v>Junio</v>
      </c>
      <c r="I399" s="41" t="s">
        <v>426</v>
      </c>
      <c r="J399" s="12">
        <v>113672</v>
      </c>
      <c r="K399" s="12">
        <v>119144</v>
      </c>
      <c r="L399" s="15">
        <f t="shared" ref="L399:L406" si="94">IFERROR(IF((K399/J399)&gt;1.3,1.3,K399/J399),"")</f>
        <v>1.0481385037652193</v>
      </c>
      <c r="M399" s="15">
        <f t="shared" si="92"/>
        <v>1.0481385037652193</v>
      </c>
      <c r="N399" s="5" t="s">
        <v>474</v>
      </c>
      <c r="O399" s="5" t="s">
        <v>474</v>
      </c>
      <c r="P399" s="5">
        <v>0</v>
      </c>
      <c r="Q399" s="5">
        <v>0</v>
      </c>
      <c r="R399" s="5" t="str">
        <f t="shared" si="90"/>
        <v>203-2022-06-30</v>
      </c>
    </row>
    <row r="400" spans="1:18" x14ac:dyDescent="0.3">
      <c r="A400" s="5">
        <v>203</v>
      </c>
      <c r="B400" s="5" t="s">
        <v>83</v>
      </c>
      <c r="C400" s="5" t="s">
        <v>84</v>
      </c>
      <c r="D400" s="5" t="s">
        <v>8</v>
      </c>
      <c r="E400" s="5" t="s">
        <v>9</v>
      </c>
      <c r="F400" s="17">
        <v>44926</v>
      </c>
      <c r="G400" s="16">
        <f t="shared" si="77"/>
        <v>2022</v>
      </c>
      <c r="H400" s="6" t="str">
        <f t="shared" si="91"/>
        <v>Diciembre</v>
      </c>
      <c r="I400" s="41" t="s">
        <v>423</v>
      </c>
      <c r="J400" s="12">
        <v>110768</v>
      </c>
      <c r="K400" s="12">
        <v>121738</v>
      </c>
      <c r="L400" s="15">
        <f t="shared" si="94"/>
        <v>1.0990358226202512</v>
      </c>
      <c r="M400" s="15">
        <f t="shared" si="92"/>
        <v>1.0990358226202512</v>
      </c>
      <c r="N400" s="5" t="s">
        <v>474</v>
      </c>
      <c r="O400" s="5" t="s">
        <v>474</v>
      </c>
      <c r="P400" s="5">
        <v>0</v>
      </c>
      <c r="Q400" s="5">
        <v>0</v>
      </c>
      <c r="R400" s="5" t="str">
        <f t="shared" si="90"/>
        <v>203-2022-12-31</v>
      </c>
    </row>
    <row r="401" spans="1:18" x14ac:dyDescent="0.3">
      <c r="A401" s="5">
        <v>203</v>
      </c>
      <c r="B401" s="5" t="s">
        <v>83</v>
      </c>
      <c r="C401" s="5" t="s">
        <v>84</v>
      </c>
      <c r="D401" s="5" t="s">
        <v>8</v>
      </c>
      <c r="E401" s="5" t="s">
        <v>9</v>
      </c>
      <c r="F401" s="17">
        <v>45107</v>
      </c>
      <c r="G401" s="16">
        <f t="shared" si="77"/>
        <v>2023</v>
      </c>
      <c r="H401" s="6" t="str">
        <f t="shared" si="91"/>
        <v>Junio</v>
      </c>
      <c r="I401" s="41" t="s">
        <v>422</v>
      </c>
      <c r="J401" s="12">
        <v>123465.69985999999</v>
      </c>
      <c r="K401" s="12">
        <v>129185.069909</v>
      </c>
      <c r="L401" s="15">
        <f t="shared" si="94"/>
        <v>1.0463235542785188</v>
      </c>
      <c r="M401" s="15">
        <f t="shared" si="92"/>
        <v>1.0463235542785188</v>
      </c>
      <c r="N401" s="5" t="s">
        <v>474</v>
      </c>
      <c r="O401" s="5" t="s">
        <v>474</v>
      </c>
      <c r="P401" s="5">
        <v>0</v>
      </c>
      <c r="Q401" s="5">
        <v>0</v>
      </c>
      <c r="R401" s="5" t="str">
        <f t="shared" si="90"/>
        <v>203-2023-06-30</v>
      </c>
    </row>
    <row r="402" spans="1:18" x14ac:dyDescent="0.3">
      <c r="A402" s="39">
        <v>203</v>
      </c>
      <c r="B402" s="5" t="s">
        <v>83</v>
      </c>
      <c r="C402" s="5" t="s">
        <v>84</v>
      </c>
      <c r="D402" s="5" t="s">
        <v>8</v>
      </c>
      <c r="E402" s="5" t="s">
        <v>9</v>
      </c>
      <c r="F402" s="6">
        <v>45291</v>
      </c>
      <c r="G402" s="5">
        <f t="shared" si="77"/>
        <v>2023</v>
      </c>
      <c r="H402" s="5" t="str">
        <f t="shared" si="91"/>
        <v>Diciembre</v>
      </c>
      <c r="I402" s="6" t="str">
        <f>IF(OR(H402="Enero",H402="Febrero",H402="Marzo",H402="Abril",H402="Mayo",H402="Junio"),G402&amp;"-1",IF(OR(H402="Julio",H402="Agosto",H402="Septiembre",H402="Octubre",H402="Noviembre",H402="Diciembre"),G402&amp;"-2"))</f>
        <v>2023-2</v>
      </c>
      <c r="J402" s="12">
        <v>141378.73941600003</v>
      </c>
      <c r="K402" s="12">
        <v>144681.981019</v>
      </c>
      <c r="L402" s="15">
        <f t="shared" si="94"/>
        <v>1.0233644861783662</v>
      </c>
      <c r="M402" s="15">
        <f t="shared" si="92"/>
        <v>1.0233644861783662</v>
      </c>
      <c r="N402" s="5" t="s">
        <v>474</v>
      </c>
      <c r="O402" s="5" t="s">
        <v>474</v>
      </c>
      <c r="P402" s="5">
        <v>0</v>
      </c>
      <c r="Q402" s="5">
        <v>0</v>
      </c>
      <c r="R402" s="5" t="str">
        <f t="shared" si="90"/>
        <v>203-2023-12-31</v>
      </c>
    </row>
    <row r="403" spans="1:18" x14ac:dyDescent="0.3">
      <c r="A403" s="5">
        <v>203</v>
      </c>
      <c r="B403" s="5" t="s">
        <v>83</v>
      </c>
      <c r="C403" s="5" t="s">
        <v>84</v>
      </c>
      <c r="D403" s="5" t="s">
        <v>8</v>
      </c>
      <c r="E403" s="5" t="s">
        <v>9</v>
      </c>
      <c r="F403" s="6">
        <v>45473</v>
      </c>
      <c r="G403" s="5">
        <f t="shared" si="77"/>
        <v>2024</v>
      </c>
      <c r="H403" s="5" t="str">
        <f t="shared" si="91"/>
        <v>Junio</v>
      </c>
      <c r="I403" s="6" t="str">
        <f>IF(OR(H403="Enero",H403="Febrero",H403="Marzo",H403="Abril",H403="Mayo",H403="Junio"),G403&amp;"-1",IF(OR(H403="Julio",H403="Agosto",H403="Septiembre",H403="Octubre",H403="Noviembre",H403="Diciembre"),G403&amp;"-2"))</f>
        <v>2024-1</v>
      </c>
      <c r="J403" s="40">
        <v>142872.25833300001</v>
      </c>
      <c r="K403" s="10">
        <v>145741.716934</v>
      </c>
      <c r="L403" s="15">
        <f t="shared" si="94"/>
        <v>1.0200840851434712</v>
      </c>
      <c r="M403" s="15">
        <f t="shared" si="92"/>
        <v>1.0200840851434712</v>
      </c>
      <c r="N403" s="5" t="s">
        <v>474</v>
      </c>
      <c r="O403" s="5" t="s">
        <v>474</v>
      </c>
      <c r="P403" s="5">
        <v>0</v>
      </c>
      <c r="Q403" s="5">
        <v>0</v>
      </c>
      <c r="R403" s="5" t="str">
        <f t="shared" si="90"/>
        <v>203-2024-06-30</v>
      </c>
    </row>
    <row r="404" spans="1:18" x14ac:dyDescent="0.3">
      <c r="A404" s="39">
        <v>203</v>
      </c>
      <c r="B404" s="5" t="s">
        <v>83</v>
      </c>
      <c r="C404" s="5" t="s">
        <v>84</v>
      </c>
      <c r="D404" s="5" t="s">
        <v>8</v>
      </c>
      <c r="E404" s="5" t="s">
        <v>9</v>
      </c>
      <c r="F404" s="6">
        <v>45657</v>
      </c>
      <c r="G404" s="5">
        <f t="shared" si="77"/>
        <v>2024</v>
      </c>
      <c r="H404" s="5" t="str">
        <f t="shared" si="91"/>
        <v>Diciembre</v>
      </c>
      <c r="I404" s="6" t="str">
        <f>IF(OR(H404="Enero",H404="Febrero",H404="Marzo",H404="Abril",H404="Mayo",H404="Junio"),G404&amp;"-1",IF(OR(H404="Julio",H404="Agosto",H404="Septiembre",H404="Octubre",H404="Noviembre",H404="Diciembre"),G404&amp;"-2"))</f>
        <v>2024-2</v>
      </c>
      <c r="J404" s="12">
        <v>146766.19433692191</v>
      </c>
      <c r="K404" s="12">
        <v>152125.58089486</v>
      </c>
      <c r="L404" s="15">
        <f t="shared" si="94"/>
        <v>1.0365164919765848</v>
      </c>
      <c r="M404" s="15">
        <f t="shared" si="92"/>
        <v>1.0365164919765848</v>
      </c>
      <c r="N404" s="5" t="s">
        <v>474</v>
      </c>
      <c r="O404" s="5" t="s">
        <v>474</v>
      </c>
      <c r="P404" s="5">
        <v>0</v>
      </c>
      <c r="Q404" s="5">
        <v>0</v>
      </c>
      <c r="R404" s="5" t="str">
        <f t="shared" si="90"/>
        <v>203-2024-12-31</v>
      </c>
    </row>
    <row r="405" spans="1:18" x14ac:dyDescent="0.3">
      <c r="A405" s="5">
        <v>204</v>
      </c>
      <c r="B405" s="5" t="s">
        <v>85</v>
      </c>
      <c r="C405" s="5" t="s">
        <v>84</v>
      </c>
      <c r="D405" s="5" t="s">
        <v>8</v>
      </c>
      <c r="E405" s="5" t="s">
        <v>9</v>
      </c>
      <c r="F405" s="17">
        <v>44742</v>
      </c>
      <c r="G405" s="16">
        <f t="shared" ref="G405:G449" si="95">YEAR(F405)</f>
        <v>2022</v>
      </c>
      <c r="H405" s="6" t="str">
        <f t="shared" si="91"/>
        <v>Junio</v>
      </c>
      <c r="I405" s="41" t="s">
        <v>426</v>
      </c>
      <c r="J405" s="11">
        <v>58804</v>
      </c>
      <c r="K405" s="11">
        <v>37101</v>
      </c>
      <c r="L405" s="15">
        <f t="shared" si="94"/>
        <v>0.63092646758723891</v>
      </c>
      <c r="M405" s="15">
        <f t="shared" ref="M405:M406" si="96">IFERROR(K405/J405,"")</f>
        <v>0.63092646758723891</v>
      </c>
      <c r="N405" s="5" t="s">
        <v>474</v>
      </c>
      <c r="O405" s="5" t="s">
        <v>474</v>
      </c>
      <c r="P405" s="5">
        <v>0</v>
      </c>
      <c r="Q405" s="5">
        <v>0</v>
      </c>
      <c r="R405" s="5" t="str">
        <f t="shared" si="90"/>
        <v>204-2022-06-30</v>
      </c>
    </row>
    <row r="406" spans="1:18" x14ac:dyDescent="0.3">
      <c r="A406" s="5">
        <v>204</v>
      </c>
      <c r="B406" s="5" t="s">
        <v>85</v>
      </c>
      <c r="C406" s="5" t="s">
        <v>84</v>
      </c>
      <c r="D406" s="5" t="s">
        <v>8</v>
      </c>
      <c r="E406" s="5" t="s">
        <v>9</v>
      </c>
      <c r="F406" s="17">
        <v>44925</v>
      </c>
      <c r="G406" s="16">
        <f t="shared" si="95"/>
        <v>2022</v>
      </c>
      <c r="H406" s="6" t="str">
        <f t="shared" si="91"/>
        <v>Diciembre</v>
      </c>
      <c r="I406" s="41" t="s">
        <v>423</v>
      </c>
      <c r="J406" s="11">
        <v>82987</v>
      </c>
      <c r="K406" s="9">
        <v>18386</v>
      </c>
      <c r="L406" s="15">
        <f t="shared" si="94"/>
        <v>0.22155277332594261</v>
      </c>
      <c r="M406" s="15">
        <f t="shared" si="96"/>
        <v>0.22155277332594261</v>
      </c>
      <c r="N406" s="5" t="s">
        <v>474</v>
      </c>
      <c r="O406" s="5" t="s">
        <v>474</v>
      </c>
      <c r="P406" s="5">
        <v>0</v>
      </c>
      <c r="Q406" s="5">
        <v>0</v>
      </c>
      <c r="R406" s="5" t="str">
        <f t="shared" si="90"/>
        <v>204-2022-12-30</v>
      </c>
    </row>
    <row r="407" spans="1:18" x14ac:dyDescent="0.3">
      <c r="A407" s="5">
        <v>204</v>
      </c>
      <c r="B407" s="5" t="s">
        <v>85</v>
      </c>
      <c r="C407" s="5" t="s">
        <v>84</v>
      </c>
      <c r="D407" s="5" t="s">
        <v>8</v>
      </c>
      <c r="E407" s="5" t="s">
        <v>9</v>
      </c>
      <c r="F407" s="17">
        <v>45107</v>
      </c>
      <c r="G407" s="16">
        <f t="shared" si="95"/>
        <v>2023</v>
      </c>
      <c r="H407" s="6" t="str">
        <f t="shared" si="91"/>
        <v>Junio</v>
      </c>
      <c r="I407" s="41" t="s">
        <v>422</v>
      </c>
      <c r="J407" s="11">
        <v>8772.7956340000001</v>
      </c>
      <c r="K407" s="11">
        <v>17085.606216</v>
      </c>
      <c r="L407" s="15">
        <f t="shared" ref="L407:L410" si="97">IFERROR(IF((K407/J407)&gt;1.3,1.3,K407/J407),"")</f>
        <v>1.3</v>
      </c>
      <c r="M407" s="15">
        <f t="shared" ref="M407:M411" si="98">IFERROR(K407/J407,"")</f>
        <v>1.9475668793403469</v>
      </c>
      <c r="N407" s="5" t="s">
        <v>474</v>
      </c>
      <c r="O407" s="5" t="s">
        <v>474</v>
      </c>
      <c r="P407" s="5">
        <v>0</v>
      </c>
      <c r="Q407" s="5">
        <v>0</v>
      </c>
      <c r="R407" s="5" t="str">
        <f t="shared" si="90"/>
        <v>204-2023-06-30</v>
      </c>
    </row>
    <row r="408" spans="1:18" x14ac:dyDescent="0.3">
      <c r="A408" s="39">
        <v>204</v>
      </c>
      <c r="B408" s="5" t="s">
        <v>85</v>
      </c>
      <c r="C408" s="5" t="s">
        <v>84</v>
      </c>
      <c r="D408" s="5" t="s">
        <v>8</v>
      </c>
      <c r="E408" s="5" t="s">
        <v>9</v>
      </c>
      <c r="F408" s="6">
        <v>45291</v>
      </c>
      <c r="G408" s="5">
        <f t="shared" si="95"/>
        <v>2023</v>
      </c>
      <c r="H408" s="5" t="str">
        <f t="shared" si="91"/>
        <v>Diciembre</v>
      </c>
      <c r="I408" s="6" t="str">
        <f>IF(OR(H408="Enero",H408="Febrero",H408="Marzo",H408="Abril",H408="Mayo",H408="Junio"),G408&amp;"-1",IF(OR(H408="Julio",H408="Agosto",H408="Septiembre",H408="Octubre",H408="Noviembre",H408="Diciembre"),G408&amp;"-2"))</f>
        <v>2023-2</v>
      </c>
      <c r="J408" s="9">
        <v>86846.60702431656</v>
      </c>
      <c r="K408" s="9">
        <v>141016.76289899999</v>
      </c>
      <c r="L408" s="15">
        <f t="shared" si="97"/>
        <v>1.3</v>
      </c>
      <c r="M408" s="15">
        <f t="shared" si="98"/>
        <v>1.6237452185036554</v>
      </c>
      <c r="N408" s="5" t="s">
        <v>474</v>
      </c>
      <c r="O408" s="5" t="s">
        <v>474</v>
      </c>
      <c r="P408" s="5">
        <v>0</v>
      </c>
      <c r="Q408" s="5">
        <v>0</v>
      </c>
      <c r="R408" s="5" t="str">
        <f t="shared" si="90"/>
        <v>204-2023-12-31</v>
      </c>
    </row>
    <row r="409" spans="1:18" x14ac:dyDescent="0.3">
      <c r="A409" s="5">
        <v>204</v>
      </c>
      <c r="B409" s="5" t="s">
        <v>85</v>
      </c>
      <c r="C409" s="5" t="s">
        <v>84</v>
      </c>
      <c r="D409" s="5" t="s">
        <v>8</v>
      </c>
      <c r="E409" s="5" t="s">
        <v>9</v>
      </c>
      <c r="F409" s="6">
        <v>45473</v>
      </c>
      <c r="G409" s="5">
        <f t="shared" si="95"/>
        <v>2024</v>
      </c>
      <c r="H409" s="5" t="str">
        <f t="shared" si="91"/>
        <v>Junio</v>
      </c>
      <c r="I409" s="6" t="str">
        <f>IF(OR(H409="Enero",H409="Febrero",H409="Marzo",H409="Abril",H409="Mayo",H409="Junio"),G409&amp;"-1",IF(OR(H409="Julio",H409="Agosto",H409="Septiembre",H409="Octubre",H409="Noviembre",H409="Diciembre"),G409&amp;"-2"))</f>
        <v>2024-1</v>
      </c>
      <c r="J409" s="11">
        <v>20714.519157999999</v>
      </c>
      <c r="K409" s="10">
        <v>27665.037063</v>
      </c>
      <c r="L409" s="15">
        <f t="shared" si="97"/>
        <v>1.3</v>
      </c>
      <c r="M409" s="15">
        <f t="shared" si="98"/>
        <v>1.335538462273004</v>
      </c>
      <c r="N409" s="5" t="s">
        <v>474</v>
      </c>
      <c r="O409" s="5" t="s">
        <v>474</v>
      </c>
      <c r="P409" s="5">
        <v>0</v>
      </c>
      <c r="Q409" s="5">
        <v>0</v>
      </c>
      <c r="R409" s="5" t="str">
        <f t="shared" si="90"/>
        <v>204-2024-06-30</v>
      </c>
    </row>
    <row r="410" spans="1:18" x14ac:dyDescent="0.3">
      <c r="A410" s="5">
        <v>204</v>
      </c>
      <c r="B410" s="5" t="s">
        <v>85</v>
      </c>
      <c r="C410" s="5" t="s">
        <v>84</v>
      </c>
      <c r="D410" s="5" t="s">
        <v>8</v>
      </c>
      <c r="E410" s="5" t="s">
        <v>9</v>
      </c>
      <c r="F410" s="6">
        <v>45657</v>
      </c>
      <c r="G410" s="5">
        <f t="shared" si="95"/>
        <v>2024</v>
      </c>
      <c r="H410" s="5" t="str">
        <f t="shared" si="91"/>
        <v>Diciembre</v>
      </c>
      <c r="I410" s="6" t="str">
        <f>IF(OR(H410="Enero",H410="Febrero",H410="Marzo",H410="Abril",H410="Mayo",H410="Junio"),G410&amp;"-1",IF(OR(H410="Julio",H410="Agosto",H410="Septiembre",H410="Octubre",H410="Noviembre",H410="Diciembre"),G410&amp;"-2"))</f>
        <v>2024-2</v>
      </c>
      <c r="J410" s="16">
        <f>122440821151/1000000</f>
        <v>122440.821151</v>
      </c>
      <c r="K410" s="10">
        <f>176962748824/1000000</f>
        <v>176962.74882400001</v>
      </c>
      <c r="L410" s="15">
        <f t="shared" si="97"/>
        <v>1.3</v>
      </c>
      <c r="M410" s="15">
        <f t="shared" si="98"/>
        <v>1.4452920779235947</v>
      </c>
      <c r="N410" s="5" t="s">
        <v>474</v>
      </c>
      <c r="O410" s="5" t="s">
        <v>474</v>
      </c>
      <c r="P410" s="5">
        <v>0</v>
      </c>
      <c r="Q410" s="5">
        <v>0</v>
      </c>
      <c r="R410" s="5" t="str">
        <f t="shared" si="90"/>
        <v>204-2024-12-31</v>
      </c>
    </row>
    <row r="411" spans="1:18" x14ac:dyDescent="0.3">
      <c r="A411" s="5">
        <v>205</v>
      </c>
      <c r="B411" s="5" t="s">
        <v>86</v>
      </c>
      <c r="C411" s="5" t="s">
        <v>84</v>
      </c>
      <c r="D411" s="5" t="s">
        <v>8</v>
      </c>
      <c r="E411" s="5" t="s">
        <v>9</v>
      </c>
      <c r="F411" s="17">
        <v>44925</v>
      </c>
      <c r="G411" s="16">
        <f t="shared" ref="G411" si="99">YEAR(F411)</f>
        <v>2022</v>
      </c>
      <c r="H411" s="6" t="str">
        <f t="shared" ref="H411" si="100">PROPER(TEXT(F411,"mmmm"))</f>
        <v>Diciembre</v>
      </c>
      <c r="I411" s="41" t="s">
        <v>422</v>
      </c>
      <c r="J411" s="9">
        <v>2605</v>
      </c>
      <c r="K411" s="9">
        <v>2605</v>
      </c>
      <c r="L411" s="15">
        <f>IFERROR(IF((K411/J411)&gt;1.3,1.3,K411/J411),"")</f>
        <v>1</v>
      </c>
      <c r="M411" s="15">
        <f t="shared" si="98"/>
        <v>1</v>
      </c>
      <c r="N411" s="5" t="s">
        <v>474</v>
      </c>
      <c r="O411" s="5" t="s">
        <v>474</v>
      </c>
      <c r="P411" s="5">
        <v>0</v>
      </c>
      <c r="Q411" s="5">
        <v>0</v>
      </c>
      <c r="R411" s="5" t="str">
        <f t="shared" si="90"/>
        <v>205-2022-12-30</v>
      </c>
    </row>
    <row r="412" spans="1:18" x14ac:dyDescent="0.3">
      <c r="A412" s="5">
        <v>205</v>
      </c>
      <c r="B412" s="5" t="s">
        <v>86</v>
      </c>
      <c r="C412" s="5" t="s">
        <v>84</v>
      </c>
      <c r="D412" s="5" t="s">
        <v>8</v>
      </c>
      <c r="E412" s="5" t="s">
        <v>9</v>
      </c>
      <c r="F412" s="17">
        <v>45107</v>
      </c>
      <c r="G412" s="16">
        <f t="shared" si="95"/>
        <v>2023</v>
      </c>
      <c r="H412" s="6" t="str">
        <f t="shared" si="91"/>
        <v>Junio</v>
      </c>
      <c r="I412" s="41" t="s">
        <v>422</v>
      </c>
      <c r="J412" s="11">
        <v>2622.5539939999999</v>
      </c>
      <c r="K412" s="11">
        <v>4338.4199079999999</v>
      </c>
      <c r="L412" s="15">
        <f>IFERROR(IF((K412/J412)&gt;1.3,1.3,K412/J412),"")</f>
        <v>1.3</v>
      </c>
      <c r="M412" s="15">
        <f t="shared" ref="M412:M418" si="101">IFERROR(K412/J412,"")</f>
        <v>1.6542728645151394</v>
      </c>
      <c r="N412" s="5" t="s">
        <v>474</v>
      </c>
      <c r="O412" s="5" t="s">
        <v>474</v>
      </c>
      <c r="P412" s="5">
        <v>0</v>
      </c>
      <c r="Q412" s="5">
        <v>0</v>
      </c>
      <c r="R412" s="5" t="str">
        <f t="shared" si="90"/>
        <v>205-2023-06-30</v>
      </c>
    </row>
    <row r="413" spans="1:18" x14ac:dyDescent="0.3">
      <c r="A413" s="39">
        <v>205</v>
      </c>
      <c r="B413" s="5" t="s">
        <v>86</v>
      </c>
      <c r="C413" s="5" t="s">
        <v>84</v>
      </c>
      <c r="D413" s="5" t="s">
        <v>8</v>
      </c>
      <c r="E413" s="5" t="s">
        <v>9</v>
      </c>
      <c r="F413" s="6">
        <v>45291</v>
      </c>
      <c r="G413" s="5">
        <f t="shared" si="95"/>
        <v>2023</v>
      </c>
      <c r="H413" s="5" t="str">
        <f t="shared" si="91"/>
        <v>Diciembre</v>
      </c>
      <c r="I413" s="6" t="str">
        <f>IF(OR(H413="Enero",H413="Febrero",H413="Marzo",H413="Abril",H413="Mayo",H413="Junio"),G413&amp;"-1",IF(OR(H413="Julio",H413="Agosto",H413="Septiembre",H413="Octubre",H413="Noviembre",H413="Diciembre"),G413&amp;"-2"))</f>
        <v>2023-2</v>
      </c>
      <c r="J413" s="9">
        <f>2041786671/1000000</f>
        <v>2041.7866710000001</v>
      </c>
      <c r="K413" s="9">
        <f>8708376270/1000000</f>
        <v>8708.3762700000007</v>
      </c>
      <c r="L413" s="15">
        <f>IFERROR(IF((K413/J413)&gt;1.3,1.3,K413/J413),"")</f>
        <v>1.3</v>
      </c>
      <c r="M413" s="15">
        <f t="shared" si="101"/>
        <v>4.2650764615555667</v>
      </c>
      <c r="N413" s="5" t="s">
        <v>474</v>
      </c>
      <c r="O413" s="5" t="s">
        <v>474</v>
      </c>
      <c r="P413" s="5">
        <v>0</v>
      </c>
      <c r="Q413" s="5">
        <v>0</v>
      </c>
      <c r="R413" s="5" t="str">
        <f t="shared" si="90"/>
        <v>205-2023-12-31</v>
      </c>
    </row>
    <row r="414" spans="1:18" x14ac:dyDescent="0.3">
      <c r="A414" s="5">
        <v>205</v>
      </c>
      <c r="B414" s="5" t="s">
        <v>86</v>
      </c>
      <c r="C414" s="5" t="s">
        <v>84</v>
      </c>
      <c r="D414" s="5" t="s">
        <v>8</v>
      </c>
      <c r="E414" s="5" t="s">
        <v>9</v>
      </c>
      <c r="F414" s="6">
        <v>45473</v>
      </c>
      <c r="G414" s="5">
        <f t="shared" si="95"/>
        <v>2024</v>
      </c>
      <c r="H414" s="5" t="str">
        <f t="shared" si="91"/>
        <v>Junio</v>
      </c>
      <c r="I414" s="6" t="str">
        <f>IF(OR(H414="Enero",H414="Febrero",H414="Marzo",H414="Abril",H414="Mayo",H414="Junio"),G414&amp;"-1",IF(OR(H414="Julio",H414="Agosto",H414="Septiembre",H414="Octubre",H414="Noviembre",H414="Diciembre"),G414&amp;"-2"))</f>
        <v>2024-1</v>
      </c>
      <c r="J414" s="11">
        <f>2039237043/1000000</f>
        <v>2039.2370430000001</v>
      </c>
      <c r="K414" s="9">
        <f>4385721681/1000000</f>
        <v>4385.721681</v>
      </c>
      <c r="L414" s="15">
        <f>IFERROR(IF((K414/J414)&gt;1.3,1.3,K414/J414),"")</f>
        <v>1.3</v>
      </c>
      <c r="M414" s="15">
        <f t="shared" si="101"/>
        <v>2.1506679157553927</v>
      </c>
      <c r="N414" s="5" t="s">
        <v>474</v>
      </c>
      <c r="O414" s="5" t="s">
        <v>474</v>
      </c>
      <c r="P414" s="5">
        <v>0</v>
      </c>
      <c r="Q414" s="5">
        <v>0</v>
      </c>
      <c r="R414" s="5" t="str">
        <f t="shared" si="90"/>
        <v>205-2024-06-30</v>
      </c>
    </row>
    <row r="415" spans="1:18" x14ac:dyDescent="0.3">
      <c r="A415" s="5">
        <v>205</v>
      </c>
      <c r="B415" s="5" t="s">
        <v>86</v>
      </c>
      <c r="C415" s="5" t="s">
        <v>84</v>
      </c>
      <c r="D415" s="5" t="s">
        <v>8</v>
      </c>
      <c r="E415" s="5" t="s">
        <v>9</v>
      </c>
      <c r="F415" s="6">
        <v>45657</v>
      </c>
      <c r="G415" s="5">
        <f t="shared" si="95"/>
        <v>2024</v>
      </c>
      <c r="H415" s="5" t="str">
        <f t="shared" si="91"/>
        <v>Diciembre</v>
      </c>
      <c r="I415" s="6" t="str">
        <f>IF(OR(H415="Enero",H415="Febrero",H415="Marzo",H415="Abril",H415="Mayo",H415="Junio"),G415&amp;"-1",IF(OR(H415="Julio",H415="Agosto",H415="Septiembre",H415="Octubre",H415="Noviembre",H415="Diciembre"),G415&amp;"-2"))</f>
        <v>2024-2</v>
      </c>
      <c r="J415" s="5">
        <f>2783219654/1000000</f>
        <v>2783.219654</v>
      </c>
      <c r="K415" s="10">
        <f>5141102865/1000000</f>
        <v>5141.1028649999998</v>
      </c>
      <c r="L415" s="15">
        <f>IFERROR(IF((K415/J415)&gt;1.3,1.3,K415/J415),"")</f>
        <v>1.3</v>
      </c>
      <c r="M415" s="15">
        <f t="shared" si="101"/>
        <v>1.8471782698182972</v>
      </c>
      <c r="N415" s="5" t="s">
        <v>474</v>
      </c>
      <c r="O415" s="5" t="s">
        <v>474</v>
      </c>
      <c r="P415" s="5">
        <v>0</v>
      </c>
      <c r="Q415" s="5">
        <v>0</v>
      </c>
      <c r="R415" s="5" t="str">
        <f t="shared" si="90"/>
        <v>205-2024-12-31</v>
      </c>
    </row>
    <row r="416" spans="1:18" x14ac:dyDescent="0.3">
      <c r="A416" s="5">
        <v>206</v>
      </c>
      <c r="B416" s="5" t="s">
        <v>87</v>
      </c>
      <c r="C416" s="5" t="s">
        <v>84</v>
      </c>
      <c r="D416" s="5" t="s">
        <v>8</v>
      </c>
      <c r="E416" s="5" t="s">
        <v>9</v>
      </c>
      <c r="F416" s="17">
        <v>45107</v>
      </c>
      <c r="G416" s="16">
        <f t="shared" si="95"/>
        <v>2023</v>
      </c>
      <c r="H416" s="6" t="str">
        <f t="shared" si="91"/>
        <v>Junio</v>
      </c>
      <c r="I416" s="41" t="s">
        <v>422</v>
      </c>
      <c r="J416" s="11">
        <v>1302.483921</v>
      </c>
      <c r="K416" s="11">
        <v>1606.86814</v>
      </c>
      <c r="L416" s="15">
        <f>K416/J416</f>
        <v>1.2336951835584311</v>
      </c>
      <c r="M416" s="15">
        <f t="shared" si="101"/>
        <v>1.2336951835584311</v>
      </c>
      <c r="N416" s="5" t="s">
        <v>474</v>
      </c>
      <c r="O416" s="5" t="s">
        <v>474</v>
      </c>
      <c r="P416" s="5">
        <v>0</v>
      </c>
      <c r="Q416" s="5">
        <v>0</v>
      </c>
      <c r="R416" s="5" t="str">
        <f t="shared" si="90"/>
        <v>206-2023-06-30</v>
      </c>
    </row>
    <row r="417" spans="1:18" x14ac:dyDescent="0.3">
      <c r="A417" s="39">
        <v>206</v>
      </c>
      <c r="B417" s="5" t="s">
        <v>87</v>
      </c>
      <c r="C417" s="5" t="s">
        <v>84</v>
      </c>
      <c r="D417" s="5" t="s">
        <v>8</v>
      </c>
      <c r="E417" s="5" t="s">
        <v>9</v>
      </c>
      <c r="F417" s="6">
        <v>45291</v>
      </c>
      <c r="G417" s="5">
        <f t="shared" si="95"/>
        <v>2023</v>
      </c>
      <c r="H417" s="5" t="str">
        <f t="shared" si="91"/>
        <v>Diciembre</v>
      </c>
      <c r="I417" s="6" t="str">
        <f>IF(OR(H417="Enero",H417="Febrero",H417="Marzo",H417="Abril",H417="Mayo",H417="Junio"),G417&amp;"-1",IF(OR(H417="Julio",H417="Agosto",H417="Septiembre",H417="Octubre",H417="Noviembre",H417="Diciembre"),G417&amp;"-2"))</f>
        <v>2023-2</v>
      </c>
      <c r="J417" s="11">
        <v>1302.483921</v>
      </c>
      <c r="K417" s="12">
        <v>6000.2702790000003</v>
      </c>
      <c r="L417" s="15">
        <f>K417/J417</f>
        <v>4.6067902891217347</v>
      </c>
      <c r="M417" s="15">
        <f t="shared" si="101"/>
        <v>4.6067902891217347</v>
      </c>
      <c r="N417" s="5" t="s">
        <v>474</v>
      </c>
      <c r="O417" s="5" t="s">
        <v>474</v>
      </c>
      <c r="P417" s="5">
        <v>0</v>
      </c>
      <c r="Q417" s="5">
        <v>0</v>
      </c>
      <c r="R417" s="5" t="str">
        <f t="shared" si="90"/>
        <v>206-2023-12-31</v>
      </c>
    </row>
    <row r="418" spans="1:18" x14ac:dyDescent="0.3">
      <c r="A418" s="39">
        <v>206</v>
      </c>
      <c r="B418" s="5" t="s">
        <v>87</v>
      </c>
      <c r="C418" s="5" t="s">
        <v>84</v>
      </c>
      <c r="D418" s="5" t="s">
        <v>8</v>
      </c>
      <c r="E418" s="5" t="s">
        <v>9</v>
      </c>
      <c r="F418" s="6">
        <v>45657</v>
      </c>
      <c r="G418" s="5">
        <f t="shared" si="95"/>
        <v>2024</v>
      </c>
      <c r="H418" s="5" t="str">
        <f t="shared" si="91"/>
        <v>Diciembre</v>
      </c>
      <c r="I418" s="6" t="str">
        <f>IF(OR(H418="Enero",H418="Febrero",H418="Marzo",H418="Abril",H418="Mayo",H418="Junio"),G418&amp;"-1",IF(OR(H418="Julio",H418="Agosto",H418="Septiembre",H418="Octubre",H418="Noviembre",H418="Diciembre"),G418&amp;"-2"))</f>
        <v>2024-2</v>
      </c>
      <c r="J418" s="5"/>
      <c r="K418" s="5"/>
      <c r="L418" s="15"/>
      <c r="M418" s="15" t="str">
        <f t="shared" si="101"/>
        <v/>
      </c>
      <c r="N418" s="5" t="s">
        <v>474</v>
      </c>
      <c r="O418" s="5" t="s">
        <v>474</v>
      </c>
      <c r="P418" s="5">
        <v>0</v>
      </c>
      <c r="Q418" s="5">
        <v>0</v>
      </c>
      <c r="R418" s="5" t="str">
        <f t="shared" si="90"/>
        <v>206-2024-12-31</v>
      </c>
    </row>
    <row r="419" spans="1:18" x14ac:dyDescent="0.3">
      <c r="A419" s="5">
        <v>207</v>
      </c>
      <c r="B419" s="5" t="s">
        <v>88</v>
      </c>
      <c r="C419" s="5" t="s">
        <v>84</v>
      </c>
      <c r="D419" s="5" t="s">
        <v>8</v>
      </c>
      <c r="E419" s="5" t="s">
        <v>14</v>
      </c>
      <c r="F419" s="17">
        <v>45107</v>
      </c>
      <c r="G419" s="16">
        <f t="shared" si="95"/>
        <v>2023</v>
      </c>
      <c r="H419" s="6" t="str">
        <f t="shared" si="91"/>
        <v>Junio</v>
      </c>
      <c r="I419" s="41" t="s">
        <v>422</v>
      </c>
      <c r="J419" s="11">
        <v>114640.77968199999</v>
      </c>
      <c r="K419" s="11">
        <v>116015.126638</v>
      </c>
      <c r="L419" s="15">
        <f>IFERROR(IF((K419/J419)&gt;1.3,1.3,K419/J419),"")</f>
        <v>1.0119882903781034</v>
      </c>
      <c r="M419" s="15">
        <f>IFERROR(IF((K419/J419)&gt;1.3,1.3,K419/J419),"")</f>
        <v>1.0119882903781034</v>
      </c>
      <c r="N419" s="5" t="s">
        <v>474</v>
      </c>
      <c r="O419" s="5" t="s">
        <v>474</v>
      </c>
      <c r="P419" s="5">
        <v>0</v>
      </c>
      <c r="Q419" s="5">
        <v>0</v>
      </c>
      <c r="R419" s="5" t="str">
        <f t="shared" si="90"/>
        <v>207-2023-06-30</v>
      </c>
    </row>
    <row r="420" spans="1:18" x14ac:dyDescent="0.3">
      <c r="A420" s="39">
        <v>207</v>
      </c>
      <c r="B420" s="5" t="s">
        <v>88</v>
      </c>
      <c r="C420" s="5" t="s">
        <v>84</v>
      </c>
      <c r="D420" s="5" t="s">
        <v>8</v>
      </c>
      <c r="E420" s="5" t="s">
        <v>14</v>
      </c>
      <c r="F420" s="6">
        <v>45291</v>
      </c>
      <c r="G420" s="5">
        <f t="shared" si="95"/>
        <v>2023</v>
      </c>
      <c r="H420" s="5" t="str">
        <f t="shared" si="91"/>
        <v>Diciembre</v>
      </c>
      <c r="I420" s="6" t="str">
        <f t="shared" ref="I420:I423" si="102">IF(OR(H420="Enero",H420="Febrero",H420="Marzo",H420="Abril",H420="Mayo",H420="Junio"),G420&amp;"-1",IF(OR(H420="Julio",H420="Agosto",H420="Septiembre",H420="Octubre",H420="Noviembre",H420="Diciembre"),G420&amp;"-2"))</f>
        <v>2023-2</v>
      </c>
      <c r="J420" s="9">
        <v>238770.96657245801</v>
      </c>
      <c r="K420" s="9">
        <v>247359.733075</v>
      </c>
      <c r="L420" s="15">
        <f>IFERROR(IF((K420/J420)&gt;1.3,1.3,K420/J420),"")</f>
        <v>1.0359707322286005</v>
      </c>
      <c r="M420" s="15">
        <f>IFERROR(IF((K420/J420)&gt;1.3,1.3,K420/J420),"")</f>
        <v>1.0359707322286005</v>
      </c>
      <c r="N420" s="5" t="s">
        <v>474</v>
      </c>
      <c r="O420" s="5" t="s">
        <v>474</v>
      </c>
      <c r="P420" s="5">
        <v>0</v>
      </c>
      <c r="Q420" s="5">
        <v>0</v>
      </c>
      <c r="R420" s="5" t="str">
        <f t="shared" si="90"/>
        <v>207-2023-12-31</v>
      </c>
    </row>
    <row r="421" spans="1:18" x14ac:dyDescent="0.3">
      <c r="A421" s="5">
        <v>207</v>
      </c>
      <c r="B421" s="5" t="s">
        <v>88</v>
      </c>
      <c r="C421" s="5" t="s">
        <v>84</v>
      </c>
      <c r="D421" s="5" t="s">
        <v>8</v>
      </c>
      <c r="E421" s="5" t="s">
        <v>14</v>
      </c>
      <c r="F421" s="6">
        <v>45473</v>
      </c>
      <c r="G421" s="5">
        <f t="shared" si="95"/>
        <v>2024</v>
      </c>
      <c r="H421" s="5" t="str">
        <f t="shared" si="91"/>
        <v>Junio</v>
      </c>
      <c r="I421" s="6" t="str">
        <f t="shared" si="102"/>
        <v>2024-1</v>
      </c>
      <c r="J421" s="11">
        <v>128735.29679399999</v>
      </c>
      <c r="K421" s="11">
        <v>131039.3223</v>
      </c>
      <c r="L421" s="15">
        <f>IFERROR(IF((K421/J421)&gt;1.3,1.3,K421/J421),"")</f>
        <v>1.0178973876114712</v>
      </c>
      <c r="M421" s="15">
        <f>IFERROR(IF((K421/J421)&gt;1.3,1.3,K421/J421),"")</f>
        <v>1.0178973876114712</v>
      </c>
      <c r="N421" s="5" t="s">
        <v>474</v>
      </c>
      <c r="O421" s="5" t="s">
        <v>474</v>
      </c>
      <c r="P421" s="5">
        <v>0</v>
      </c>
      <c r="Q421" s="5">
        <v>0</v>
      </c>
      <c r="R421" s="5" t="str">
        <f t="shared" si="90"/>
        <v>207-2024-06-30</v>
      </c>
    </row>
    <row r="422" spans="1:18" x14ac:dyDescent="0.3">
      <c r="A422" s="5">
        <v>207</v>
      </c>
      <c r="B422" s="5" t="s">
        <v>88</v>
      </c>
      <c r="C422" s="5" t="s">
        <v>84</v>
      </c>
      <c r="D422" s="5" t="s">
        <v>8</v>
      </c>
      <c r="E422" s="5" t="s">
        <v>14</v>
      </c>
      <c r="F422" s="6">
        <v>45657</v>
      </c>
      <c r="G422" s="5">
        <f t="shared" si="95"/>
        <v>2024</v>
      </c>
      <c r="H422" s="5" t="str">
        <f t="shared" si="91"/>
        <v>Diciembre</v>
      </c>
      <c r="I422" s="6" t="str">
        <f t="shared" si="102"/>
        <v>2024-2</v>
      </c>
      <c r="J422" s="11">
        <v>262628.34438982187</v>
      </c>
      <c r="K422" s="11">
        <v>268399.19981700002</v>
      </c>
      <c r="L422" s="15">
        <f>IFERROR(IF((K422/J422)&gt;1.3,1.3,K422/J422),"")</f>
        <v>1.0219734676414531</v>
      </c>
      <c r="M422" s="15">
        <f>IFERROR(IF((K422/J422)&gt;1.3,1.3,K422/J422),"")</f>
        <v>1.0219734676414531</v>
      </c>
      <c r="N422" s="5" t="s">
        <v>474</v>
      </c>
      <c r="O422" s="5" t="s">
        <v>474</v>
      </c>
      <c r="P422" s="5">
        <v>0</v>
      </c>
      <c r="Q422" s="5">
        <v>0</v>
      </c>
      <c r="R422" s="5" t="str">
        <f t="shared" si="90"/>
        <v>207-2024-12-31</v>
      </c>
    </row>
    <row r="423" spans="1:18" x14ac:dyDescent="0.3">
      <c r="A423" s="39">
        <v>208</v>
      </c>
      <c r="B423" s="5" t="s">
        <v>89</v>
      </c>
      <c r="C423" s="5" t="s">
        <v>90</v>
      </c>
      <c r="D423" s="5" t="s">
        <v>18</v>
      </c>
      <c r="E423" s="5" t="s">
        <v>14</v>
      </c>
      <c r="F423" s="6">
        <v>45107</v>
      </c>
      <c r="G423" s="5">
        <f t="shared" si="95"/>
        <v>2023</v>
      </c>
      <c r="H423" s="5" t="str">
        <f t="shared" si="91"/>
        <v>Junio</v>
      </c>
      <c r="I423" s="6" t="str">
        <f t="shared" si="102"/>
        <v>2023-1</v>
      </c>
      <c r="J423" s="5"/>
      <c r="K423" s="5">
        <v>6560</v>
      </c>
      <c r="L423" s="15"/>
      <c r="M423" s="15"/>
      <c r="N423" s="5" t="s">
        <v>487</v>
      </c>
      <c r="O423" s="5" t="s">
        <v>490</v>
      </c>
      <c r="P423" s="5">
        <v>0</v>
      </c>
      <c r="Q423" s="5">
        <v>0</v>
      </c>
      <c r="R423" s="5" t="str">
        <f t="shared" si="90"/>
        <v>208-2023-06-30</v>
      </c>
    </row>
    <row r="424" spans="1:18" x14ac:dyDescent="0.3">
      <c r="A424" s="39">
        <v>208</v>
      </c>
      <c r="B424" s="5" t="s">
        <v>89</v>
      </c>
      <c r="C424" s="5" t="s">
        <v>90</v>
      </c>
      <c r="D424" s="5" t="s">
        <v>18</v>
      </c>
      <c r="E424" s="5" t="s">
        <v>14</v>
      </c>
      <c r="F424" s="6">
        <v>45291</v>
      </c>
      <c r="G424" s="5">
        <f t="shared" si="95"/>
        <v>2023</v>
      </c>
      <c r="H424" s="5" t="str">
        <f t="shared" si="91"/>
        <v>Diciembre</v>
      </c>
      <c r="I424" s="6" t="str">
        <f t="shared" ref="I424:I429" si="103">IF(OR(H424="Enero",H424="Febrero",H424="Marzo",H424="Abril",H424="Mayo",H424="Junio"),G424&amp;"-1",IF(OR(H424="Julio",H424="Agosto",H424="Septiembre",H424="Octubre",H424="Noviembre",H424="Diciembre"),G424&amp;"-2"))</f>
        <v>2023-2</v>
      </c>
      <c r="J424" s="5"/>
      <c r="K424" s="5">
        <v>8180</v>
      </c>
      <c r="L424" s="15"/>
      <c r="M424" s="15"/>
      <c r="N424" s="5" t="s">
        <v>487</v>
      </c>
      <c r="O424" s="5" t="s">
        <v>490</v>
      </c>
      <c r="P424" s="5">
        <v>0</v>
      </c>
      <c r="Q424" s="5">
        <v>0</v>
      </c>
      <c r="R424" s="5" t="str">
        <f t="shared" si="90"/>
        <v>208-2023-12-31</v>
      </c>
    </row>
    <row r="425" spans="1:18" x14ac:dyDescent="0.3">
      <c r="A425" s="5">
        <v>208</v>
      </c>
      <c r="B425" s="5" t="s">
        <v>89</v>
      </c>
      <c r="C425" s="5" t="s">
        <v>90</v>
      </c>
      <c r="D425" s="5" t="s">
        <v>18</v>
      </c>
      <c r="E425" s="5" t="s">
        <v>14</v>
      </c>
      <c r="F425" s="6">
        <v>45473</v>
      </c>
      <c r="G425" s="5">
        <f t="shared" si="95"/>
        <v>2024</v>
      </c>
      <c r="H425" s="5" t="str">
        <f t="shared" si="91"/>
        <v>Junio</v>
      </c>
      <c r="I425" s="6" t="str">
        <f t="shared" si="103"/>
        <v>2024-1</v>
      </c>
      <c r="J425" s="5">
        <f>1700*6</f>
        <v>10200</v>
      </c>
      <c r="K425" s="5">
        <v>8442</v>
      </c>
      <c r="L425" s="15">
        <f>IF(K425/J425&lt;=1,1,K425/J425)</f>
        <v>1</v>
      </c>
      <c r="M425" s="15">
        <f>IF(K425/J425&lt;=1,1,K425/J425)</f>
        <v>1</v>
      </c>
      <c r="N425" s="5" t="s">
        <v>723</v>
      </c>
      <c r="O425" s="5" t="s">
        <v>723</v>
      </c>
      <c r="P425" s="5">
        <v>0</v>
      </c>
      <c r="Q425" s="5">
        <v>0</v>
      </c>
      <c r="R425" s="5" t="str">
        <f t="shared" si="90"/>
        <v>208-2024-06-30</v>
      </c>
    </row>
    <row r="426" spans="1:18" x14ac:dyDescent="0.3">
      <c r="A426" s="5">
        <v>208</v>
      </c>
      <c r="B426" s="5" t="s">
        <v>89</v>
      </c>
      <c r="C426" s="5" t="s">
        <v>90</v>
      </c>
      <c r="D426" s="5" t="s">
        <v>18</v>
      </c>
      <c r="E426" s="5" t="s">
        <v>14</v>
      </c>
      <c r="F426" s="6">
        <v>45657</v>
      </c>
      <c r="G426" s="5">
        <f t="shared" si="95"/>
        <v>2024</v>
      </c>
      <c r="H426" s="5" t="str">
        <f t="shared" si="91"/>
        <v>Diciembre</v>
      </c>
      <c r="I426" s="6" t="str">
        <f t="shared" si="103"/>
        <v>2024-2</v>
      </c>
      <c r="J426" s="5">
        <f>1700*6</f>
        <v>10200</v>
      </c>
      <c r="K426" s="5">
        <v>7232.5</v>
      </c>
      <c r="L426" s="15">
        <f>IF(K426/J426&lt;=1,1,K426/J426)</f>
        <v>1</v>
      </c>
      <c r="M426" s="15">
        <f>IF(K426/J426&lt;=1,1,K426/J426)</f>
        <v>1</v>
      </c>
      <c r="N426" s="5" t="s">
        <v>723</v>
      </c>
      <c r="O426" s="5" t="s">
        <v>723</v>
      </c>
      <c r="P426" s="5">
        <v>0</v>
      </c>
      <c r="Q426" s="5">
        <v>0</v>
      </c>
      <c r="R426" s="5" t="str">
        <f t="shared" si="90"/>
        <v>208-2024-12-31</v>
      </c>
    </row>
    <row r="427" spans="1:18" x14ac:dyDescent="0.3">
      <c r="A427" s="39">
        <v>210</v>
      </c>
      <c r="B427" s="5" t="s">
        <v>91</v>
      </c>
      <c r="C427" s="5" t="s">
        <v>90</v>
      </c>
      <c r="D427" s="5" t="s">
        <v>25</v>
      </c>
      <c r="E427" s="5" t="s">
        <v>9</v>
      </c>
      <c r="F427" s="6">
        <v>45291</v>
      </c>
      <c r="G427" s="5">
        <f t="shared" si="95"/>
        <v>2023</v>
      </c>
      <c r="H427" s="5" t="str">
        <f t="shared" si="91"/>
        <v>Diciembre</v>
      </c>
      <c r="I427" s="6" t="str">
        <f t="shared" si="103"/>
        <v>2023-2</v>
      </c>
      <c r="J427" s="5" t="s">
        <v>417</v>
      </c>
      <c r="K427" s="5">
        <v>0</v>
      </c>
      <c r="L427" s="21" t="str">
        <f>IFERROR(K427/J427,"")</f>
        <v/>
      </c>
      <c r="M427" s="15" t="str">
        <f t="shared" ref="M427:M433" si="104">IFERROR(K427/J427,"")</f>
        <v/>
      </c>
      <c r="N427" s="5"/>
      <c r="O427" s="5"/>
      <c r="P427" s="5">
        <v>0</v>
      </c>
      <c r="Q427" s="5">
        <v>0</v>
      </c>
      <c r="R427" s="5" t="str">
        <f t="shared" si="90"/>
        <v>210-2023-12-31</v>
      </c>
    </row>
    <row r="428" spans="1:18" x14ac:dyDescent="0.3">
      <c r="A428" s="54">
        <v>213</v>
      </c>
      <c r="B428" s="5" t="s">
        <v>92</v>
      </c>
      <c r="C428" s="5" t="s">
        <v>90</v>
      </c>
      <c r="D428" s="5" t="s">
        <v>11</v>
      </c>
      <c r="E428" s="5" t="s">
        <v>9</v>
      </c>
      <c r="F428" s="6">
        <v>45016</v>
      </c>
      <c r="G428" s="5">
        <f t="shared" si="95"/>
        <v>2023</v>
      </c>
      <c r="H428" s="5" t="str">
        <f t="shared" si="91"/>
        <v>Marzo</v>
      </c>
      <c r="I428" s="6" t="str">
        <f t="shared" si="103"/>
        <v>2023-1</v>
      </c>
      <c r="J428" s="5">
        <v>90</v>
      </c>
      <c r="K428" s="5">
        <v>100</v>
      </c>
      <c r="L428" s="21" t="s">
        <v>417</v>
      </c>
      <c r="M428" s="15">
        <f t="shared" si="104"/>
        <v>1.1111111111111112</v>
      </c>
      <c r="N428" s="5"/>
      <c r="O428" s="5"/>
      <c r="P428" s="5">
        <v>1</v>
      </c>
      <c r="Q428" s="5">
        <v>1</v>
      </c>
      <c r="R428" s="5" t="str">
        <f t="shared" si="90"/>
        <v>213-2023-03-31</v>
      </c>
    </row>
    <row r="429" spans="1:18" x14ac:dyDescent="0.3">
      <c r="A429" s="39">
        <v>213</v>
      </c>
      <c r="B429" s="5" t="s">
        <v>92</v>
      </c>
      <c r="C429" s="5" t="s">
        <v>90</v>
      </c>
      <c r="D429" s="5" t="s">
        <v>11</v>
      </c>
      <c r="E429" s="5" t="s">
        <v>9</v>
      </c>
      <c r="F429" s="6">
        <v>45107</v>
      </c>
      <c r="G429" s="5">
        <f t="shared" si="95"/>
        <v>2023</v>
      </c>
      <c r="H429" s="5" t="str">
        <f t="shared" si="91"/>
        <v>Junio</v>
      </c>
      <c r="I429" s="6" t="str">
        <f t="shared" si="103"/>
        <v>2023-1</v>
      </c>
      <c r="J429" s="5">
        <v>90</v>
      </c>
      <c r="K429" s="5">
        <v>93.326250000000002</v>
      </c>
      <c r="L429" s="21" t="s">
        <v>417</v>
      </c>
      <c r="M429" s="15">
        <f t="shared" si="104"/>
        <v>1.0369583333333334</v>
      </c>
      <c r="N429" s="5"/>
      <c r="O429" s="5"/>
      <c r="P429" s="5">
        <v>1</v>
      </c>
      <c r="Q429" s="5">
        <v>1</v>
      </c>
      <c r="R429" s="5" t="str">
        <f t="shared" si="90"/>
        <v>213-2023-06-30</v>
      </c>
    </row>
    <row r="430" spans="1:18" x14ac:dyDescent="0.3">
      <c r="A430" s="5">
        <v>213</v>
      </c>
      <c r="B430" s="5" t="s">
        <v>92</v>
      </c>
      <c r="C430" s="5" t="s">
        <v>90</v>
      </c>
      <c r="D430" s="5" t="s">
        <v>11</v>
      </c>
      <c r="E430" s="5" t="s">
        <v>9</v>
      </c>
      <c r="F430" s="6">
        <v>45199</v>
      </c>
      <c r="G430" s="16">
        <f t="shared" si="95"/>
        <v>2023</v>
      </c>
      <c r="H430" s="6" t="str">
        <f t="shared" si="91"/>
        <v>Septiembre</v>
      </c>
      <c r="I430" s="6" t="s">
        <v>434</v>
      </c>
      <c r="J430" s="5">
        <v>90</v>
      </c>
      <c r="K430" s="5">
        <v>86.4</v>
      </c>
      <c r="L430" s="21">
        <v>0.96000000000000008</v>
      </c>
      <c r="M430" s="15">
        <f t="shared" si="104"/>
        <v>0.96000000000000008</v>
      </c>
      <c r="N430" s="5"/>
      <c r="O430" s="5"/>
      <c r="P430" s="5">
        <v>1</v>
      </c>
      <c r="Q430" s="5">
        <v>1</v>
      </c>
      <c r="R430" s="5" t="str">
        <f t="shared" si="90"/>
        <v>213-2023-09-30</v>
      </c>
    </row>
    <row r="431" spans="1:18" x14ac:dyDescent="0.3">
      <c r="A431" s="39">
        <v>213</v>
      </c>
      <c r="B431" s="5" t="s">
        <v>92</v>
      </c>
      <c r="C431" s="5" t="s">
        <v>90</v>
      </c>
      <c r="D431" s="5" t="s">
        <v>11</v>
      </c>
      <c r="E431" s="5" t="s">
        <v>9</v>
      </c>
      <c r="F431" s="6">
        <v>45291</v>
      </c>
      <c r="G431" s="5">
        <f t="shared" si="95"/>
        <v>2023</v>
      </c>
      <c r="H431" s="5" t="str">
        <f t="shared" si="91"/>
        <v>Diciembre</v>
      </c>
      <c r="I431" s="6" t="str">
        <f t="shared" ref="I431:I434" si="105">IF(OR(H431="Enero",H431="Febrero",H431="Marzo",H431="Abril",H431="Mayo",H431="Junio"),G431&amp;"-1",IF(OR(H431="Julio",H431="Agosto",H431="Septiembre",H431="Octubre",H431="Noviembre",H431="Diciembre"),G431&amp;"-2"))</f>
        <v>2023-2</v>
      </c>
      <c r="J431" s="5">
        <v>90</v>
      </c>
      <c r="K431" s="5">
        <v>0</v>
      </c>
      <c r="L431" s="21">
        <f>IFERROR(K431/J431,"")</f>
        <v>0</v>
      </c>
      <c r="M431" s="15">
        <f t="shared" si="104"/>
        <v>0</v>
      </c>
      <c r="N431" s="5"/>
      <c r="O431" s="5"/>
      <c r="P431" s="5">
        <v>1</v>
      </c>
      <c r="Q431" s="5">
        <v>1</v>
      </c>
      <c r="R431" s="5" t="str">
        <f t="shared" si="90"/>
        <v>213-2023-12-31</v>
      </c>
    </row>
    <row r="432" spans="1:18" x14ac:dyDescent="0.3">
      <c r="A432" s="5">
        <v>213</v>
      </c>
      <c r="B432" s="5" t="s">
        <v>92</v>
      </c>
      <c r="C432" s="5" t="s">
        <v>90</v>
      </c>
      <c r="D432" s="5" t="s">
        <v>11</v>
      </c>
      <c r="E432" s="5" t="s">
        <v>9</v>
      </c>
      <c r="F432" s="6">
        <v>45473</v>
      </c>
      <c r="G432" s="5">
        <f t="shared" si="95"/>
        <v>2024</v>
      </c>
      <c r="H432" s="5" t="str">
        <f t="shared" si="91"/>
        <v>Junio</v>
      </c>
      <c r="I432" s="6" t="str">
        <f t="shared" si="105"/>
        <v>2024-1</v>
      </c>
      <c r="J432" s="5">
        <v>90</v>
      </c>
      <c r="K432" s="5">
        <v>100</v>
      </c>
      <c r="L432" s="15">
        <f>IFERROR(IF((K432/J432)&gt;1.3,1.3,K432/J432),"")</f>
        <v>1.1111111111111112</v>
      </c>
      <c r="M432" s="15">
        <f t="shared" si="104"/>
        <v>1.1111111111111112</v>
      </c>
      <c r="N432" s="5"/>
      <c r="O432" s="5"/>
      <c r="P432" s="5">
        <v>0</v>
      </c>
      <c r="Q432" s="5">
        <v>0</v>
      </c>
      <c r="R432" s="5" t="str">
        <f t="shared" si="90"/>
        <v>213-2024-06-30</v>
      </c>
    </row>
    <row r="433" spans="1:18" x14ac:dyDescent="0.3">
      <c r="A433" s="5">
        <v>213</v>
      </c>
      <c r="B433" s="5" t="s">
        <v>92</v>
      </c>
      <c r="C433" s="5" t="s">
        <v>90</v>
      </c>
      <c r="D433" s="5" t="s">
        <v>11</v>
      </c>
      <c r="E433" s="5" t="s">
        <v>9</v>
      </c>
      <c r="F433" s="6">
        <v>45657</v>
      </c>
      <c r="G433" s="5">
        <f t="shared" si="95"/>
        <v>2024</v>
      </c>
      <c r="H433" s="5" t="str">
        <f t="shared" si="91"/>
        <v>Diciembre</v>
      </c>
      <c r="I433" s="6" t="str">
        <f t="shared" si="105"/>
        <v>2024-2</v>
      </c>
      <c r="J433" s="5">
        <v>90</v>
      </c>
      <c r="K433" s="5">
        <v>100</v>
      </c>
      <c r="L433" s="15">
        <f>IFERROR(IF((K433/J433)&gt;1.3,1.3,K433/J433),"")</f>
        <v>1.1111111111111112</v>
      </c>
      <c r="M433" s="15">
        <f t="shared" si="104"/>
        <v>1.1111111111111112</v>
      </c>
      <c r="N433" s="5"/>
      <c r="O433" s="5"/>
      <c r="P433" s="5">
        <v>0</v>
      </c>
      <c r="Q433" s="5">
        <v>0</v>
      </c>
      <c r="R433" s="5" t="str">
        <f t="shared" si="90"/>
        <v>213-2024-12-31</v>
      </c>
    </row>
    <row r="434" spans="1:18" x14ac:dyDescent="0.3">
      <c r="A434" s="39">
        <v>214</v>
      </c>
      <c r="B434" s="5" t="s">
        <v>93</v>
      </c>
      <c r="C434" s="5" t="s">
        <v>90</v>
      </c>
      <c r="D434" s="5" t="s">
        <v>18</v>
      </c>
      <c r="E434" s="5" t="s">
        <v>14</v>
      </c>
      <c r="F434" s="6">
        <v>45107</v>
      </c>
      <c r="G434" s="5">
        <f t="shared" si="95"/>
        <v>2023</v>
      </c>
      <c r="H434" s="5" t="str">
        <f t="shared" si="91"/>
        <v>Junio</v>
      </c>
      <c r="I434" s="6" t="str">
        <f t="shared" si="105"/>
        <v>2023-1</v>
      </c>
      <c r="J434" s="5"/>
      <c r="K434" s="11">
        <v>13653.3</v>
      </c>
      <c r="L434" s="15">
        <f t="shared" ref="L434:L437" si="106">IFERROR(IF((J434/K434)&gt;1.3,1.3,J434/K434),"")</f>
        <v>0</v>
      </c>
      <c r="M434" s="15">
        <f t="shared" ref="M434:M435" si="107">IFERROR(J434/K434,"")</f>
        <v>0</v>
      </c>
      <c r="N434" s="5" t="s">
        <v>487</v>
      </c>
      <c r="O434" s="5" t="s">
        <v>492</v>
      </c>
      <c r="P434" s="5">
        <v>0</v>
      </c>
      <c r="Q434" s="5">
        <v>0</v>
      </c>
      <c r="R434" s="5" t="str">
        <f t="shared" si="90"/>
        <v>214-2023-06-30</v>
      </c>
    </row>
    <row r="435" spans="1:18" x14ac:dyDescent="0.3">
      <c r="A435" s="39">
        <v>214</v>
      </c>
      <c r="B435" s="5" t="s">
        <v>93</v>
      </c>
      <c r="C435" s="5" t="s">
        <v>90</v>
      </c>
      <c r="D435" s="5" t="s">
        <v>18</v>
      </c>
      <c r="E435" s="5" t="s">
        <v>14</v>
      </c>
      <c r="F435" s="6">
        <v>45291</v>
      </c>
      <c r="G435" s="5">
        <f t="shared" si="95"/>
        <v>2023</v>
      </c>
      <c r="H435" s="5" t="str">
        <f t="shared" ref="H435:H494" si="108">PROPER(TEXT(F435,"mmmm"))</f>
        <v>Diciembre</v>
      </c>
      <c r="I435" s="6" t="str">
        <f t="shared" ref="I435:I449" si="109">IF(OR(H435="Enero",H435="Febrero",H435="Marzo",H435="Abril",H435="Mayo",H435="Junio"),G435&amp;"-1",IF(OR(H435="Julio",H435="Agosto",H435="Septiembre",H435="Octubre",H435="Noviembre",H435="Diciembre"),G435&amp;"-2"))</f>
        <v>2023-2</v>
      </c>
      <c r="J435" s="5"/>
      <c r="K435" s="5">
        <v>31003.1</v>
      </c>
      <c r="L435" s="15">
        <f t="shared" si="106"/>
        <v>0</v>
      </c>
      <c r="M435" s="15">
        <f t="shared" si="107"/>
        <v>0</v>
      </c>
      <c r="N435" s="5" t="s">
        <v>487</v>
      </c>
      <c r="O435" s="5" t="s">
        <v>492</v>
      </c>
      <c r="P435" s="5">
        <v>0</v>
      </c>
      <c r="Q435" s="5">
        <v>0</v>
      </c>
      <c r="R435" s="5" t="str">
        <f t="shared" si="90"/>
        <v>214-2023-12-31</v>
      </c>
    </row>
    <row r="436" spans="1:18" x14ac:dyDescent="0.3">
      <c r="A436" s="5">
        <v>214</v>
      </c>
      <c r="B436" s="5" t="s">
        <v>93</v>
      </c>
      <c r="C436" s="5" t="s">
        <v>90</v>
      </c>
      <c r="D436" s="5" t="s">
        <v>18</v>
      </c>
      <c r="E436" s="5" t="s">
        <v>14</v>
      </c>
      <c r="F436" s="6">
        <v>45473</v>
      </c>
      <c r="G436" s="5">
        <f t="shared" si="95"/>
        <v>2024</v>
      </c>
      <c r="H436" s="5" t="str">
        <f t="shared" si="108"/>
        <v>Junio</v>
      </c>
      <c r="I436" s="6" t="str">
        <f t="shared" si="109"/>
        <v>2024-1</v>
      </c>
      <c r="J436" s="5">
        <f>7500*6</f>
        <v>45000</v>
      </c>
      <c r="K436" s="5">
        <v>32813</v>
      </c>
      <c r="L436" s="15">
        <f t="shared" si="106"/>
        <v>1.3</v>
      </c>
      <c r="M436" s="15">
        <f t="shared" ref="M436:M457" si="110">IFERROR(K436/J436,"")</f>
        <v>0.72917777777777781</v>
      </c>
      <c r="N436" s="5" t="s">
        <v>492</v>
      </c>
      <c r="O436" s="5" t="s">
        <v>492</v>
      </c>
      <c r="P436" s="5">
        <v>0</v>
      </c>
      <c r="Q436" s="5">
        <v>0</v>
      </c>
      <c r="R436" s="5" t="str">
        <f t="shared" si="90"/>
        <v>214-2024-06-30</v>
      </c>
    </row>
    <row r="437" spans="1:18" x14ac:dyDescent="0.3">
      <c r="A437" s="5">
        <v>214</v>
      </c>
      <c r="B437" s="5" t="s">
        <v>93</v>
      </c>
      <c r="C437" s="5" t="s">
        <v>90</v>
      </c>
      <c r="D437" s="5" t="s">
        <v>18</v>
      </c>
      <c r="E437" s="5" t="s">
        <v>14</v>
      </c>
      <c r="F437" s="6">
        <v>45657</v>
      </c>
      <c r="G437" s="5">
        <f t="shared" si="95"/>
        <v>2024</v>
      </c>
      <c r="H437" s="5" t="str">
        <f t="shared" si="108"/>
        <v>Diciembre</v>
      </c>
      <c r="I437" s="6" t="str">
        <f t="shared" si="109"/>
        <v>2024-2</v>
      </c>
      <c r="J437" s="5">
        <f>7500*6</f>
        <v>45000</v>
      </c>
      <c r="K437" s="5">
        <v>27974</v>
      </c>
      <c r="L437" s="15">
        <f t="shared" si="106"/>
        <v>1.3</v>
      </c>
      <c r="M437" s="15">
        <f t="shared" si="110"/>
        <v>0.62164444444444444</v>
      </c>
      <c r="N437" s="5" t="s">
        <v>492</v>
      </c>
      <c r="O437" s="5" t="s">
        <v>492</v>
      </c>
      <c r="P437" s="5">
        <v>0</v>
      </c>
      <c r="Q437" s="5">
        <v>0</v>
      </c>
      <c r="R437" s="5" t="str">
        <f t="shared" si="90"/>
        <v>214-2024-12-31</v>
      </c>
    </row>
    <row r="438" spans="1:18" x14ac:dyDescent="0.3">
      <c r="A438" s="43">
        <v>215</v>
      </c>
      <c r="B438" s="5" t="s">
        <v>94</v>
      </c>
      <c r="C438" s="5" t="s">
        <v>90</v>
      </c>
      <c r="D438" s="5" t="s">
        <v>8</v>
      </c>
      <c r="E438" s="5" t="s">
        <v>9</v>
      </c>
      <c r="F438" s="6">
        <v>45107</v>
      </c>
      <c r="G438" s="5">
        <f t="shared" si="95"/>
        <v>2023</v>
      </c>
      <c r="H438" s="5" t="str">
        <f t="shared" si="108"/>
        <v>Junio</v>
      </c>
      <c r="I438" s="6" t="str">
        <f t="shared" si="109"/>
        <v>2023-1</v>
      </c>
      <c r="J438" s="5">
        <v>0</v>
      </c>
      <c r="K438" s="5">
        <v>-47.67</v>
      </c>
      <c r="L438" s="21" t="s">
        <v>417</v>
      </c>
      <c r="M438" s="15" t="str">
        <f t="shared" si="110"/>
        <v/>
      </c>
      <c r="N438" s="5"/>
      <c r="O438" s="5"/>
      <c r="P438" s="5">
        <v>2</v>
      </c>
      <c r="Q438" s="5">
        <v>2</v>
      </c>
      <c r="R438" s="5" t="str">
        <f t="shared" si="90"/>
        <v>215-2023-06-30</v>
      </c>
    </row>
    <row r="439" spans="1:18" x14ac:dyDescent="0.3">
      <c r="A439" s="39">
        <v>215</v>
      </c>
      <c r="B439" s="5" t="s">
        <v>94</v>
      </c>
      <c r="C439" s="5" t="s">
        <v>90</v>
      </c>
      <c r="D439" s="5" t="s">
        <v>8</v>
      </c>
      <c r="E439" s="5" t="s">
        <v>9</v>
      </c>
      <c r="F439" s="6">
        <v>45291</v>
      </c>
      <c r="G439" s="5">
        <f t="shared" si="95"/>
        <v>2023</v>
      </c>
      <c r="H439" s="5" t="str">
        <f t="shared" si="108"/>
        <v>Diciembre</v>
      </c>
      <c r="I439" s="6" t="str">
        <f t="shared" si="109"/>
        <v>2023-2</v>
      </c>
      <c r="J439" s="5">
        <v>0</v>
      </c>
      <c r="K439" s="5">
        <v>0</v>
      </c>
      <c r="L439" s="21" t="str">
        <f>IFERROR(K439/J439,"")</f>
        <v/>
      </c>
      <c r="M439" s="15" t="str">
        <f t="shared" si="110"/>
        <v/>
      </c>
      <c r="N439" s="5"/>
      <c r="O439" s="5"/>
      <c r="P439" s="5">
        <v>2</v>
      </c>
      <c r="Q439" s="5">
        <v>2</v>
      </c>
      <c r="R439" s="5" t="str">
        <f t="shared" si="90"/>
        <v>215-2023-12-31</v>
      </c>
    </row>
    <row r="440" spans="1:18" x14ac:dyDescent="0.3">
      <c r="A440" s="5">
        <v>215</v>
      </c>
      <c r="B440" s="5" t="s">
        <v>94</v>
      </c>
      <c r="C440" s="5" t="s">
        <v>90</v>
      </c>
      <c r="D440" s="5" t="s">
        <v>8</v>
      </c>
      <c r="E440" s="5" t="s">
        <v>9</v>
      </c>
      <c r="F440" s="6">
        <v>45473</v>
      </c>
      <c r="G440" s="5">
        <f t="shared" si="95"/>
        <v>2024</v>
      </c>
      <c r="H440" s="5" t="str">
        <f t="shared" si="108"/>
        <v>Junio</v>
      </c>
      <c r="I440" s="6" t="str">
        <f t="shared" si="109"/>
        <v>2024-1</v>
      </c>
      <c r="J440" s="5">
        <v>1</v>
      </c>
      <c r="K440" s="5">
        <v>8</v>
      </c>
      <c r="L440" s="15">
        <f>IFERROR(IF((K440/J440)&gt;1.3,1.3,K440/J440),"")</f>
        <v>1.3</v>
      </c>
      <c r="M440" s="15">
        <f t="shared" si="110"/>
        <v>8</v>
      </c>
      <c r="N440" s="5"/>
      <c r="O440" s="5"/>
      <c r="P440" s="5">
        <v>0</v>
      </c>
      <c r="Q440" s="5">
        <v>0</v>
      </c>
      <c r="R440" s="5" t="str">
        <f t="shared" si="90"/>
        <v>215-2024-06-30</v>
      </c>
    </row>
    <row r="441" spans="1:18" x14ac:dyDescent="0.3">
      <c r="A441" s="5">
        <v>215</v>
      </c>
      <c r="B441" s="5" t="s">
        <v>94</v>
      </c>
      <c r="C441" s="5" t="s">
        <v>90</v>
      </c>
      <c r="D441" s="5" t="s">
        <v>8</v>
      </c>
      <c r="E441" s="5" t="s">
        <v>9</v>
      </c>
      <c r="F441" s="6">
        <v>45657</v>
      </c>
      <c r="G441" s="5">
        <f t="shared" si="95"/>
        <v>2024</v>
      </c>
      <c r="H441" s="5" t="str">
        <f t="shared" si="108"/>
        <v>Diciembre</v>
      </c>
      <c r="I441" s="6" t="str">
        <f t="shared" si="109"/>
        <v>2024-2</v>
      </c>
      <c r="J441" s="5">
        <v>1</v>
      </c>
      <c r="K441" s="5">
        <v>-45.65</v>
      </c>
      <c r="L441" s="15">
        <f>IFERROR(IF((K441/J441)&gt;1.3,1.3,K441/J441),"")</f>
        <v>-45.65</v>
      </c>
      <c r="M441" s="15">
        <f t="shared" si="110"/>
        <v>-45.65</v>
      </c>
      <c r="N441" s="5"/>
      <c r="O441" s="5"/>
      <c r="P441" s="5">
        <v>0</v>
      </c>
      <c r="Q441" s="5">
        <v>0</v>
      </c>
      <c r="R441" s="5" t="str">
        <f t="shared" si="90"/>
        <v>215-2024-12-31</v>
      </c>
    </row>
    <row r="442" spans="1:18" x14ac:dyDescent="0.3">
      <c r="A442" s="39">
        <v>216</v>
      </c>
      <c r="B442" s="5" t="s">
        <v>95</v>
      </c>
      <c r="C442" s="5" t="s">
        <v>90</v>
      </c>
      <c r="D442" s="5" t="s">
        <v>25</v>
      </c>
      <c r="E442" s="5" t="s">
        <v>9</v>
      </c>
      <c r="F442" s="6">
        <v>45291</v>
      </c>
      <c r="G442" s="5">
        <f t="shared" si="95"/>
        <v>2023</v>
      </c>
      <c r="H442" s="5" t="str">
        <f t="shared" si="108"/>
        <v>Diciembre</v>
      </c>
      <c r="I442" s="6" t="str">
        <f t="shared" si="109"/>
        <v>2023-2</v>
      </c>
      <c r="J442" s="5" t="s">
        <v>417</v>
      </c>
      <c r="K442" s="5">
        <v>0</v>
      </c>
      <c r="L442" s="21" t="str">
        <f>IFERROR(K442/J442,"")</f>
        <v/>
      </c>
      <c r="M442" s="15" t="str">
        <f t="shared" si="110"/>
        <v/>
      </c>
      <c r="N442" s="5"/>
      <c r="O442" s="5"/>
      <c r="P442" s="5">
        <v>0</v>
      </c>
      <c r="Q442" s="5">
        <v>0</v>
      </c>
      <c r="R442" s="5" t="str">
        <f t="shared" si="90"/>
        <v>216-2023-12-31</v>
      </c>
    </row>
    <row r="443" spans="1:18" x14ac:dyDescent="0.3">
      <c r="A443" s="5">
        <v>216</v>
      </c>
      <c r="B443" s="5" t="s">
        <v>95</v>
      </c>
      <c r="C443" s="5" t="s">
        <v>90</v>
      </c>
      <c r="D443" s="5" t="s">
        <v>25</v>
      </c>
      <c r="E443" s="5" t="s">
        <v>9</v>
      </c>
      <c r="F443" s="6">
        <v>45657</v>
      </c>
      <c r="G443" s="5">
        <f t="shared" si="95"/>
        <v>2024</v>
      </c>
      <c r="H443" s="5" t="str">
        <f t="shared" si="108"/>
        <v>Diciembre</v>
      </c>
      <c r="I443" s="6" t="str">
        <f t="shared" si="109"/>
        <v>2024-2</v>
      </c>
      <c r="J443" s="5">
        <v>100</v>
      </c>
      <c r="K443" s="5">
        <v>100</v>
      </c>
      <c r="L443" s="15">
        <f>IFERROR(IF((K443/J443)&gt;1.3,1.3,K443/J443),"")</f>
        <v>1</v>
      </c>
      <c r="M443" s="15">
        <f t="shared" si="110"/>
        <v>1</v>
      </c>
      <c r="N443" s="5"/>
      <c r="O443" s="5"/>
      <c r="P443" s="5">
        <v>0</v>
      </c>
      <c r="Q443" s="5">
        <v>0</v>
      </c>
      <c r="R443" s="5" t="str">
        <f t="shared" si="90"/>
        <v>216-2024-12-31</v>
      </c>
    </row>
    <row r="444" spans="1:18" x14ac:dyDescent="0.3">
      <c r="A444" s="39">
        <v>217</v>
      </c>
      <c r="B444" s="5" t="s">
        <v>96</v>
      </c>
      <c r="C444" s="5" t="s">
        <v>90</v>
      </c>
      <c r="D444" s="5" t="s">
        <v>18</v>
      </c>
      <c r="E444" s="5" t="s">
        <v>9</v>
      </c>
      <c r="F444" s="6">
        <v>44957</v>
      </c>
      <c r="G444" s="5">
        <f t="shared" si="95"/>
        <v>2023</v>
      </c>
      <c r="H444" s="5" t="str">
        <f t="shared" si="108"/>
        <v>Enero</v>
      </c>
      <c r="I444" s="6" t="str">
        <f t="shared" si="109"/>
        <v>2023-1</v>
      </c>
      <c r="J444" s="5">
        <v>30</v>
      </c>
      <c r="K444" s="11">
        <v>80.27</v>
      </c>
      <c r="L444" s="21">
        <f t="shared" ref="L444:L455" si="111">IFERROR(K444/J444,"")</f>
        <v>2.6756666666666664</v>
      </c>
      <c r="M444" s="15">
        <f t="shared" si="110"/>
        <v>2.6756666666666664</v>
      </c>
      <c r="N444" s="5"/>
      <c r="O444" s="5"/>
      <c r="P444" s="5">
        <v>0</v>
      </c>
      <c r="Q444" s="5">
        <v>0</v>
      </c>
      <c r="R444" s="5" t="str">
        <f t="shared" si="90"/>
        <v>217-2023-01-31</v>
      </c>
    </row>
    <row r="445" spans="1:18" x14ac:dyDescent="0.3">
      <c r="A445" s="39">
        <v>217</v>
      </c>
      <c r="B445" s="5" t="s">
        <v>96</v>
      </c>
      <c r="C445" s="5" t="s">
        <v>90</v>
      </c>
      <c r="D445" s="5" t="s">
        <v>18</v>
      </c>
      <c r="E445" s="5" t="s">
        <v>9</v>
      </c>
      <c r="F445" s="6">
        <v>44985</v>
      </c>
      <c r="G445" s="5">
        <f t="shared" si="95"/>
        <v>2023</v>
      </c>
      <c r="H445" s="5" t="str">
        <f t="shared" si="108"/>
        <v>Febrero</v>
      </c>
      <c r="I445" s="6" t="str">
        <f t="shared" si="109"/>
        <v>2023-1</v>
      </c>
      <c r="J445" s="5">
        <v>30</v>
      </c>
      <c r="K445" s="11">
        <v>57.67</v>
      </c>
      <c r="L445" s="21">
        <f t="shared" si="111"/>
        <v>1.9223333333333334</v>
      </c>
      <c r="M445" s="15">
        <f t="shared" si="110"/>
        <v>1.9223333333333334</v>
      </c>
      <c r="N445" s="5"/>
      <c r="O445" s="5"/>
      <c r="P445" s="5">
        <v>0</v>
      </c>
      <c r="Q445" s="5">
        <v>0</v>
      </c>
      <c r="R445" s="5" t="str">
        <f t="shared" si="90"/>
        <v>217-2023-02-28</v>
      </c>
    </row>
    <row r="446" spans="1:18" x14ac:dyDescent="0.3">
      <c r="A446" s="39">
        <v>217</v>
      </c>
      <c r="B446" s="5" t="s">
        <v>96</v>
      </c>
      <c r="C446" s="5" t="s">
        <v>90</v>
      </c>
      <c r="D446" s="5" t="s">
        <v>18</v>
      </c>
      <c r="E446" s="5" t="s">
        <v>9</v>
      </c>
      <c r="F446" s="6">
        <v>45016</v>
      </c>
      <c r="G446" s="5">
        <f t="shared" si="95"/>
        <v>2023</v>
      </c>
      <c r="H446" s="5" t="str">
        <f t="shared" si="108"/>
        <v>Marzo</v>
      </c>
      <c r="I446" s="6" t="str">
        <f t="shared" si="109"/>
        <v>2023-1</v>
      </c>
      <c r="J446" s="5">
        <v>30</v>
      </c>
      <c r="K446" s="11">
        <v>53.68</v>
      </c>
      <c r="L446" s="21">
        <f t="shared" si="111"/>
        <v>1.7893333333333332</v>
      </c>
      <c r="M446" s="15">
        <f t="shared" si="110"/>
        <v>1.7893333333333332</v>
      </c>
      <c r="N446" s="5"/>
      <c r="O446" s="5"/>
      <c r="P446" s="5">
        <v>0</v>
      </c>
      <c r="Q446" s="5">
        <v>0</v>
      </c>
      <c r="R446" s="5" t="str">
        <f t="shared" si="90"/>
        <v>217-2023-03-31</v>
      </c>
    </row>
    <row r="447" spans="1:18" x14ac:dyDescent="0.3">
      <c r="A447" s="39">
        <v>217</v>
      </c>
      <c r="B447" s="5" t="s">
        <v>96</v>
      </c>
      <c r="C447" s="5" t="s">
        <v>90</v>
      </c>
      <c r="D447" s="5" t="s">
        <v>18</v>
      </c>
      <c r="E447" s="5" t="s">
        <v>9</v>
      </c>
      <c r="F447" s="6">
        <v>45046</v>
      </c>
      <c r="G447" s="5">
        <f t="shared" si="95"/>
        <v>2023</v>
      </c>
      <c r="H447" s="5" t="str">
        <f t="shared" si="108"/>
        <v>Abril</v>
      </c>
      <c r="I447" s="6" t="str">
        <f t="shared" si="109"/>
        <v>2023-1</v>
      </c>
      <c r="J447" s="5">
        <v>30</v>
      </c>
      <c r="K447" s="11">
        <v>65.3</v>
      </c>
      <c r="L447" s="21">
        <f t="shared" si="111"/>
        <v>2.1766666666666667</v>
      </c>
      <c r="M447" s="15">
        <f t="shared" si="110"/>
        <v>2.1766666666666667</v>
      </c>
      <c r="N447" s="5"/>
      <c r="O447" s="5"/>
      <c r="P447" s="5">
        <v>0</v>
      </c>
      <c r="Q447" s="5">
        <v>0</v>
      </c>
      <c r="R447" s="5" t="str">
        <f t="shared" si="90"/>
        <v>217-2023-04-30</v>
      </c>
    </row>
    <row r="448" spans="1:18" x14ac:dyDescent="0.3">
      <c r="A448" s="39">
        <v>217</v>
      </c>
      <c r="B448" s="5" t="s">
        <v>96</v>
      </c>
      <c r="C448" s="5" t="s">
        <v>90</v>
      </c>
      <c r="D448" s="5" t="s">
        <v>18</v>
      </c>
      <c r="E448" s="5" t="s">
        <v>9</v>
      </c>
      <c r="F448" s="6">
        <v>45077</v>
      </c>
      <c r="G448" s="5">
        <f t="shared" si="95"/>
        <v>2023</v>
      </c>
      <c r="H448" s="5" t="str">
        <f t="shared" si="108"/>
        <v>Mayo</v>
      </c>
      <c r="I448" s="6" t="str">
        <f t="shared" si="109"/>
        <v>2023-1</v>
      </c>
      <c r="J448" s="5">
        <v>30</v>
      </c>
      <c r="K448" s="11">
        <v>33.94</v>
      </c>
      <c r="L448" s="21">
        <f t="shared" si="111"/>
        <v>1.1313333333333333</v>
      </c>
      <c r="M448" s="15">
        <f t="shared" si="110"/>
        <v>1.1313333333333333</v>
      </c>
      <c r="N448" s="5"/>
      <c r="O448" s="5"/>
      <c r="P448" s="5">
        <v>0</v>
      </c>
      <c r="Q448" s="5">
        <v>0</v>
      </c>
      <c r="R448" s="5" t="str">
        <f t="shared" si="90"/>
        <v>217-2023-05-31</v>
      </c>
    </row>
    <row r="449" spans="1:18" x14ac:dyDescent="0.3">
      <c r="A449" s="39">
        <v>217</v>
      </c>
      <c r="B449" s="5" t="s">
        <v>96</v>
      </c>
      <c r="C449" s="5" t="s">
        <v>90</v>
      </c>
      <c r="D449" s="5" t="s">
        <v>18</v>
      </c>
      <c r="E449" s="5" t="s">
        <v>9</v>
      </c>
      <c r="F449" s="6">
        <v>45107</v>
      </c>
      <c r="G449" s="5">
        <f t="shared" si="95"/>
        <v>2023</v>
      </c>
      <c r="H449" s="5" t="str">
        <f t="shared" si="108"/>
        <v>Junio</v>
      </c>
      <c r="I449" s="6" t="str">
        <f t="shared" si="109"/>
        <v>2023-1</v>
      </c>
      <c r="J449" s="5">
        <v>30</v>
      </c>
      <c r="K449" s="11">
        <v>31.38</v>
      </c>
      <c r="L449" s="21">
        <f t="shared" si="111"/>
        <v>1.046</v>
      </c>
      <c r="M449" s="15">
        <f t="shared" si="110"/>
        <v>1.046</v>
      </c>
      <c r="N449" s="5"/>
      <c r="O449" s="5"/>
      <c r="P449" s="5">
        <v>0</v>
      </c>
      <c r="Q449" s="5">
        <v>0</v>
      </c>
      <c r="R449" s="5" t="str">
        <f t="shared" si="90"/>
        <v>217-2023-06-30</v>
      </c>
    </row>
    <row r="450" spans="1:18" x14ac:dyDescent="0.3">
      <c r="A450" s="5">
        <v>217</v>
      </c>
      <c r="B450" s="5" t="s">
        <v>96</v>
      </c>
      <c r="C450" s="5" t="s">
        <v>90</v>
      </c>
      <c r="D450" s="5" t="s">
        <v>18</v>
      </c>
      <c r="E450" s="5" t="s">
        <v>9</v>
      </c>
      <c r="F450" s="6">
        <v>45138</v>
      </c>
      <c r="G450" s="16">
        <f t="shared" ref="G450:G513" si="112">YEAR(F450)</f>
        <v>2023</v>
      </c>
      <c r="H450" s="6" t="str">
        <f t="shared" si="108"/>
        <v>Julio</v>
      </c>
      <c r="I450" s="6" t="s">
        <v>434</v>
      </c>
      <c r="J450" s="5">
        <v>30</v>
      </c>
      <c r="K450" s="11">
        <v>24.49</v>
      </c>
      <c r="L450" s="21">
        <f t="shared" si="111"/>
        <v>0.81633333333333324</v>
      </c>
      <c r="M450" s="15">
        <f t="shared" si="110"/>
        <v>0.81633333333333324</v>
      </c>
      <c r="N450" s="5"/>
      <c r="O450" s="5"/>
      <c r="P450" s="5">
        <v>0</v>
      </c>
      <c r="Q450" s="5">
        <v>0</v>
      </c>
      <c r="R450" s="5" t="str">
        <f t="shared" ref="R450:R513" si="113">A450&amp;"-"&amp;YEAR(F450)&amp;"-"&amp;IF(LEN(MONTH(F450))=1,"0"&amp;MONTH(F450),MONTH(F450))&amp;"-"&amp;DAY(F450)</f>
        <v>217-2023-07-31</v>
      </c>
    </row>
    <row r="451" spans="1:18" x14ac:dyDescent="0.3">
      <c r="A451" s="5">
        <v>217</v>
      </c>
      <c r="B451" s="5" t="s">
        <v>96</v>
      </c>
      <c r="C451" s="5" t="s">
        <v>90</v>
      </c>
      <c r="D451" s="5" t="s">
        <v>18</v>
      </c>
      <c r="E451" s="5" t="s">
        <v>9</v>
      </c>
      <c r="F451" s="6">
        <v>45169</v>
      </c>
      <c r="G451" s="16">
        <f t="shared" si="112"/>
        <v>2023</v>
      </c>
      <c r="H451" s="6" t="str">
        <f t="shared" si="108"/>
        <v>Agosto</v>
      </c>
      <c r="I451" s="6" t="s">
        <v>434</v>
      </c>
      <c r="J451" s="5">
        <v>30</v>
      </c>
      <c r="K451" s="11">
        <v>26.43</v>
      </c>
      <c r="L451" s="21">
        <f t="shared" si="111"/>
        <v>0.88100000000000001</v>
      </c>
      <c r="M451" s="15">
        <f t="shared" si="110"/>
        <v>0.88100000000000001</v>
      </c>
      <c r="N451" s="5"/>
      <c r="O451" s="5"/>
      <c r="P451" s="5">
        <v>0</v>
      </c>
      <c r="Q451" s="5">
        <v>0</v>
      </c>
      <c r="R451" s="5" t="str">
        <f t="shared" si="113"/>
        <v>217-2023-08-31</v>
      </c>
    </row>
    <row r="452" spans="1:18" x14ac:dyDescent="0.3">
      <c r="A452" s="5">
        <v>217</v>
      </c>
      <c r="B452" s="5" t="s">
        <v>96</v>
      </c>
      <c r="C452" s="5" t="s">
        <v>90</v>
      </c>
      <c r="D452" s="5" t="s">
        <v>18</v>
      </c>
      <c r="E452" s="5" t="s">
        <v>9</v>
      </c>
      <c r="F452" s="6">
        <v>45199</v>
      </c>
      <c r="G452" s="16">
        <f t="shared" si="112"/>
        <v>2023</v>
      </c>
      <c r="H452" s="6" t="str">
        <f t="shared" si="108"/>
        <v>Septiembre</v>
      </c>
      <c r="I452" s="6" t="s">
        <v>434</v>
      </c>
      <c r="J452" s="5">
        <v>30</v>
      </c>
      <c r="K452" s="11">
        <v>24.29</v>
      </c>
      <c r="L452" s="21">
        <f t="shared" si="111"/>
        <v>0.80966666666666665</v>
      </c>
      <c r="M452" s="15">
        <f t="shared" si="110"/>
        <v>0.80966666666666665</v>
      </c>
      <c r="N452" s="5"/>
      <c r="O452" s="5"/>
      <c r="P452" s="5">
        <v>0</v>
      </c>
      <c r="Q452" s="5">
        <v>0</v>
      </c>
      <c r="R452" s="5" t="str">
        <f t="shared" si="113"/>
        <v>217-2023-09-30</v>
      </c>
    </row>
    <row r="453" spans="1:18" x14ac:dyDescent="0.3">
      <c r="A453" s="39">
        <v>217</v>
      </c>
      <c r="B453" s="5" t="s">
        <v>96</v>
      </c>
      <c r="C453" s="5" t="s">
        <v>90</v>
      </c>
      <c r="D453" s="5" t="s">
        <v>18</v>
      </c>
      <c r="E453" s="5" t="s">
        <v>9</v>
      </c>
      <c r="F453" s="6">
        <v>45230</v>
      </c>
      <c r="G453" s="5">
        <f t="shared" si="112"/>
        <v>2023</v>
      </c>
      <c r="H453" s="5" t="str">
        <f t="shared" si="108"/>
        <v>Octubre</v>
      </c>
      <c r="I453" s="6" t="str">
        <f t="shared" ref="I453:I463" si="114">IF(OR(H453="Enero",H453="Febrero",H453="Marzo",H453="Abril",H453="Mayo",H453="Junio"),G453&amp;"-1",IF(OR(H453="Julio",H453="Agosto",H453="Septiembre",H453="Octubre",H453="Noviembre",H453="Diciembre"),G453&amp;"-2"))</f>
        <v>2023-2</v>
      </c>
      <c r="J453" s="5">
        <v>30</v>
      </c>
      <c r="K453" s="5">
        <v>16.29</v>
      </c>
      <c r="L453" s="21">
        <f t="shared" si="111"/>
        <v>0.54299999999999993</v>
      </c>
      <c r="M453" s="15">
        <f t="shared" si="110"/>
        <v>0.54299999999999993</v>
      </c>
      <c r="N453" s="5"/>
      <c r="O453" s="5"/>
      <c r="P453" s="5">
        <v>0</v>
      </c>
      <c r="Q453" s="5">
        <v>0</v>
      </c>
      <c r="R453" s="5" t="str">
        <f t="shared" si="113"/>
        <v>217-2023-10-31</v>
      </c>
    </row>
    <row r="454" spans="1:18" x14ac:dyDescent="0.3">
      <c r="A454" s="39">
        <v>217</v>
      </c>
      <c r="B454" s="5" t="s">
        <v>96</v>
      </c>
      <c r="C454" s="5" t="s">
        <v>90</v>
      </c>
      <c r="D454" s="5" t="s">
        <v>18</v>
      </c>
      <c r="E454" s="5" t="s">
        <v>9</v>
      </c>
      <c r="F454" s="6">
        <v>45260</v>
      </c>
      <c r="G454" s="5">
        <f t="shared" si="112"/>
        <v>2023</v>
      </c>
      <c r="H454" s="5" t="str">
        <f t="shared" si="108"/>
        <v>Noviembre</v>
      </c>
      <c r="I454" s="6" t="str">
        <f t="shared" si="114"/>
        <v>2023-2</v>
      </c>
      <c r="J454" s="5">
        <v>30</v>
      </c>
      <c r="K454" s="5">
        <v>12.74</v>
      </c>
      <c r="L454" s="21">
        <f t="shared" si="111"/>
        <v>0.42466666666666669</v>
      </c>
      <c r="M454" s="15">
        <f t="shared" si="110"/>
        <v>0.42466666666666669</v>
      </c>
      <c r="N454" s="5"/>
      <c r="O454" s="5"/>
      <c r="P454" s="5">
        <v>0</v>
      </c>
      <c r="Q454" s="5">
        <v>0</v>
      </c>
      <c r="R454" s="5" t="str">
        <f t="shared" si="113"/>
        <v>217-2023-11-30</v>
      </c>
    </row>
    <row r="455" spans="1:18" x14ac:dyDescent="0.3">
      <c r="A455" s="39">
        <v>217</v>
      </c>
      <c r="B455" s="5" t="s">
        <v>96</v>
      </c>
      <c r="C455" s="5" t="s">
        <v>90</v>
      </c>
      <c r="D455" s="5" t="s">
        <v>18</v>
      </c>
      <c r="E455" s="5" t="s">
        <v>9</v>
      </c>
      <c r="F455" s="6">
        <v>45291</v>
      </c>
      <c r="G455" s="5">
        <f t="shared" si="112"/>
        <v>2023</v>
      </c>
      <c r="H455" s="5" t="str">
        <f t="shared" si="108"/>
        <v>Diciembre</v>
      </c>
      <c r="I455" s="6" t="str">
        <f t="shared" si="114"/>
        <v>2023-2</v>
      </c>
      <c r="J455" s="5">
        <v>30</v>
      </c>
      <c r="K455" s="5">
        <v>26.54</v>
      </c>
      <c r="L455" s="21">
        <f t="shared" si="111"/>
        <v>0.8846666666666666</v>
      </c>
      <c r="M455" s="15">
        <f t="shared" si="110"/>
        <v>0.8846666666666666</v>
      </c>
      <c r="N455" s="5"/>
      <c r="O455" s="5"/>
      <c r="P455" s="5">
        <v>0</v>
      </c>
      <c r="Q455" s="5">
        <v>0</v>
      </c>
      <c r="R455" s="5" t="str">
        <f t="shared" si="113"/>
        <v>217-2023-12-31</v>
      </c>
    </row>
    <row r="456" spans="1:18" x14ac:dyDescent="0.3">
      <c r="A456" s="5">
        <v>217</v>
      </c>
      <c r="B456" s="5" t="s">
        <v>96</v>
      </c>
      <c r="C456" s="5" t="s">
        <v>90</v>
      </c>
      <c r="D456" s="5" t="s">
        <v>18</v>
      </c>
      <c r="E456" s="5" t="s">
        <v>9</v>
      </c>
      <c r="F456" s="6">
        <v>45473</v>
      </c>
      <c r="G456" s="5">
        <f t="shared" si="112"/>
        <v>2024</v>
      </c>
      <c r="H456" s="5" t="str">
        <f t="shared" si="108"/>
        <v>Junio</v>
      </c>
      <c r="I456" s="6" t="str">
        <f t="shared" si="114"/>
        <v>2024-1</v>
      </c>
      <c r="J456" s="5">
        <v>20</v>
      </c>
      <c r="K456" s="5">
        <v>17.23</v>
      </c>
      <c r="L456" s="15">
        <f>IFERROR(IF((K456/J456)&gt;1.3,1.3,K456/J456),"")</f>
        <v>0.86150000000000004</v>
      </c>
      <c r="M456" s="15">
        <f t="shared" si="110"/>
        <v>0.86150000000000004</v>
      </c>
      <c r="N456" s="5"/>
      <c r="O456" s="5"/>
      <c r="P456" s="5">
        <v>0</v>
      </c>
      <c r="Q456" s="5">
        <v>0</v>
      </c>
      <c r="R456" s="5" t="str">
        <f t="shared" si="113"/>
        <v>217-2024-06-30</v>
      </c>
    </row>
    <row r="457" spans="1:18" x14ac:dyDescent="0.3">
      <c r="A457" s="5">
        <v>217</v>
      </c>
      <c r="B457" s="5" t="s">
        <v>96</v>
      </c>
      <c r="C457" s="5" t="s">
        <v>90</v>
      </c>
      <c r="D457" s="5" t="s">
        <v>18</v>
      </c>
      <c r="E457" s="5" t="s">
        <v>9</v>
      </c>
      <c r="F457" s="6">
        <v>45657</v>
      </c>
      <c r="G457" s="5">
        <f t="shared" si="112"/>
        <v>2024</v>
      </c>
      <c r="H457" s="5" t="str">
        <f t="shared" si="108"/>
        <v>Diciembre</v>
      </c>
      <c r="I457" s="6" t="str">
        <f t="shared" si="114"/>
        <v>2024-2</v>
      </c>
      <c r="J457" s="5">
        <v>20</v>
      </c>
      <c r="K457" s="5">
        <v>27.05</v>
      </c>
      <c r="L457" s="15">
        <f>IFERROR(IF((K457/J457)&gt;1.3,1.3,K457/J457),"")</f>
        <v>1.3</v>
      </c>
      <c r="M457" s="15">
        <f t="shared" si="110"/>
        <v>1.3525</v>
      </c>
      <c r="N457" s="5"/>
      <c r="O457" s="5"/>
      <c r="P457" s="5">
        <v>0</v>
      </c>
      <c r="Q457" s="5">
        <v>0</v>
      </c>
      <c r="R457" s="5" t="str">
        <f t="shared" si="113"/>
        <v>217-2024-12-31</v>
      </c>
    </row>
    <row r="458" spans="1:18" x14ac:dyDescent="0.3">
      <c r="A458" s="39">
        <v>218</v>
      </c>
      <c r="B458" s="5" t="s">
        <v>97</v>
      </c>
      <c r="C458" s="5" t="s">
        <v>90</v>
      </c>
      <c r="D458" s="5" t="s">
        <v>18</v>
      </c>
      <c r="E458" s="5" t="s">
        <v>14</v>
      </c>
      <c r="F458" s="6">
        <v>44957</v>
      </c>
      <c r="G458" s="5">
        <f t="shared" si="112"/>
        <v>2023</v>
      </c>
      <c r="H458" s="5" t="str">
        <f t="shared" si="108"/>
        <v>Enero</v>
      </c>
      <c r="I458" s="6" t="str">
        <f t="shared" si="114"/>
        <v>2023-1</v>
      </c>
      <c r="J458" s="5">
        <v>172000</v>
      </c>
      <c r="K458" s="5">
        <v>117609</v>
      </c>
      <c r="L458" s="15">
        <f t="shared" ref="L458:L469" si="115">IFERROR(IF((J458/K458)&gt;1.3,1.3,J458/K458),"")</f>
        <v>1.3</v>
      </c>
      <c r="M458" s="15">
        <f t="shared" ref="M458:M469" si="116">IFERROR(J458/K458,"")</f>
        <v>1.4624731100511015</v>
      </c>
      <c r="N458" s="5" t="s">
        <v>362</v>
      </c>
      <c r="O458" s="5" t="s">
        <v>362</v>
      </c>
      <c r="P458" s="5">
        <v>0</v>
      </c>
      <c r="Q458" s="5">
        <v>0</v>
      </c>
      <c r="R458" s="5" t="str">
        <f t="shared" si="113"/>
        <v>218-2023-01-31</v>
      </c>
    </row>
    <row r="459" spans="1:18" x14ac:dyDescent="0.3">
      <c r="A459" s="39">
        <v>218</v>
      </c>
      <c r="B459" s="5" t="s">
        <v>97</v>
      </c>
      <c r="C459" s="5" t="s">
        <v>90</v>
      </c>
      <c r="D459" s="5" t="s">
        <v>18</v>
      </c>
      <c r="E459" s="5" t="s">
        <v>14</v>
      </c>
      <c r="F459" s="6">
        <v>44985</v>
      </c>
      <c r="G459" s="5">
        <f t="shared" si="112"/>
        <v>2023</v>
      </c>
      <c r="H459" s="5" t="str">
        <f t="shared" si="108"/>
        <v>Febrero</v>
      </c>
      <c r="I459" s="6" t="str">
        <f t="shared" si="114"/>
        <v>2023-1</v>
      </c>
      <c r="J459" s="5">
        <v>172000</v>
      </c>
      <c r="K459" s="34">
        <v>109691</v>
      </c>
      <c r="L459" s="15">
        <f t="shared" si="115"/>
        <v>1.3</v>
      </c>
      <c r="M459" s="15">
        <f t="shared" si="116"/>
        <v>1.5680411337302058</v>
      </c>
      <c r="N459" s="5" t="s">
        <v>362</v>
      </c>
      <c r="O459" s="5" t="s">
        <v>362</v>
      </c>
      <c r="P459" s="5">
        <v>0</v>
      </c>
      <c r="Q459" s="5">
        <v>0</v>
      </c>
      <c r="R459" s="5" t="str">
        <f t="shared" si="113"/>
        <v>218-2023-02-28</v>
      </c>
    </row>
    <row r="460" spans="1:18" x14ac:dyDescent="0.3">
      <c r="A460" s="39">
        <v>218</v>
      </c>
      <c r="B460" s="5" t="s">
        <v>97</v>
      </c>
      <c r="C460" s="5" t="s">
        <v>90</v>
      </c>
      <c r="D460" s="5" t="s">
        <v>18</v>
      </c>
      <c r="E460" s="5" t="s">
        <v>14</v>
      </c>
      <c r="F460" s="6">
        <v>45016</v>
      </c>
      <c r="G460" s="5">
        <f t="shared" si="112"/>
        <v>2023</v>
      </c>
      <c r="H460" s="5" t="str">
        <f t="shared" si="108"/>
        <v>Marzo</v>
      </c>
      <c r="I460" s="6" t="str">
        <f t="shared" si="114"/>
        <v>2023-1</v>
      </c>
      <c r="J460" s="5">
        <v>172000</v>
      </c>
      <c r="K460" s="16">
        <v>146827</v>
      </c>
      <c r="L460" s="15">
        <f t="shared" si="115"/>
        <v>1.1714466685282681</v>
      </c>
      <c r="M460" s="15">
        <f t="shared" si="116"/>
        <v>1.1714466685282681</v>
      </c>
      <c r="N460" s="5" t="s">
        <v>362</v>
      </c>
      <c r="O460" s="5" t="s">
        <v>362</v>
      </c>
      <c r="P460" s="5">
        <v>0</v>
      </c>
      <c r="Q460" s="5">
        <v>0</v>
      </c>
      <c r="R460" s="5" t="str">
        <f t="shared" si="113"/>
        <v>218-2023-03-31</v>
      </c>
    </row>
    <row r="461" spans="1:18" x14ac:dyDescent="0.3">
      <c r="A461" s="39">
        <v>218</v>
      </c>
      <c r="B461" s="5" t="s">
        <v>97</v>
      </c>
      <c r="C461" s="5" t="s">
        <v>90</v>
      </c>
      <c r="D461" s="5" t="s">
        <v>18</v>
      </c>
      <c r="E461" s="5" t="s">
        <v>14</v>
      </c>
      <c r="F461" s="6">
        <v>45046</v>
      </c>
      <c r="G461" s="5">
        <f t="shared" si="112"/>
        <v>2023</v>
      </c>
      <c r="H461" s="5" t="str">
        <f t="shared" si="108"/>
        <v>Abril</v>
      </c>
      <c r="I461" s="6" t="str">
        <f t="shared" si="114"/>
        <v>2023-1</v>
      </c>
      <c r="J461" s="5">
        <v>172000</v>
      </c>
      <c r="K461" s="5">
        <v>131019</v>
      </c>
      <c r="L461" s="15">
        <f t="shared" si="115"/>
        <v>1.3</v>
      </c>
      <c r="M461" s="15">
        <f t="shared" si="116"/>
        <v>1.3127866950594951</v>
      </c>
      <c r="N461" s="5" t="s">
        <v>362</v>
      </c>
      <c r="O461" s="5" t="s">
        <v>362</v>
      </c>
      <c r="P461" s="5">
        <v>0</v>
      </c>
      <c r="Q461" s="5">
        <v>0</v>
      </c>
      <c r="R461" s="5" t="str">
        <f t="shared" si="113"/>
        <v>218-2023-04-30</v>
      </c>
    </row>
    <row r="462" spans="1:18" x14ac:dyDescent="0.3">
      <c r="A462" s="39">
        <v>218</v>
      </c>
      <c r="B462" s="5" t="s">
        <v>97</v>
      </c>
      <c r="C462" s="5" t="s">
        <v>90</v>
      </c>
      <c r="D462" s="5" t="s">
        <v>18</v>
      </c>
      <c r="E462" s="5" t="s">
        <v>14</v>
      </c>
      <c r="F462" s="6">
        <v>45077</v>
      </c>
      <c r="G462" s="5">
        <f t="shared" si="112"/>
        <v>2023</v>
      </c>
      <c r="H462" s="5" t="str">
        <f t="shared" si="108"/>
        <v>Mayo</v>
      </c>
      <c r="I462" s="6" t="str">
        <f t="shared" si="114"/>
        <v>2023-1</v>
      </c>
      <c r="J462" s="5">
        <v>172000</v>
      </c>
      <c r="K462" s="5">
        <v>142579</v>
      </c>
      <c r="L462" s="15">
        <f t="shared" si="115"/>
        <v>1.2063487610377406</v>
      </c>
      <c r="M462" s="15">
        <f t="shared" si="116"/>
        <v>1.2063487610377406</v>
      </c>
      <c r="N462" s="5" t="s">
        <v>362</v>
      </c>
      <c r="O462" s="5" t="s">
        <v>362</v>
      </c>
      <c r="P462" s="5">
        <v>0</v>
      </c>
      <c r="Q462" s="5">
        <v>0</v>
      </c>
      <c r="R462" s="5" t="str">
        <f t="shared" si="113"/>
        <v>218-2023-05-31</v>
      </c>
    </row>
    <row r="463" spans="1:18" x14ac:dyDescent="0.3">
      <c r="A463" s="39">
        <v>218</v>
      </c>
      <c r="B463" s="5" t="s">
        <v>97</v>
      </c>
      <c r="C463" s="5" t="s">
        <v>90</v>
      </c>
      <c r="D463" s="5" t="s">
        <v>18</v>
      </c>
      <c r="E463" s="5" t="s">
        <v>14</v>
      </c>
      <c r="F463" s="6">
        <v>45107</v>
      </c>
      <c r="G463" s="5">
        <f t="shared" si="112"/>
        <v>2023</v>
      </c>
      <c r="H463" s="5" t="str">
        <f t="shared" si="108"/>
        <v>Junio</v>
      </c>
      <c r="I463" s="6" t="str">
        <f t="shared" si="114"/>
        <v>2023-1</v>
      </c>
      <c r="J463" s="5">
        <v>172000</v>
      </c>
      <c r="K463" s="5">
        <v>134623</v>
      </c>
      <c r="L463" s="15">
        <f t="shared" si="115"/>
        <v>1.2776420076807085</v>
      </c>
      <c r="M463" s="15">
        <f t="shared" si="116"/>
        <v>1.2776420076807085</v>
      </c>
      <c r="N463" s="5" t="s">
        <v>362</v>
      </c>
      <c r="O463" s="5" t="s">
        <v>362</v>
      </c>
      <c r="P463" s="5">
        <v>0</v>
      </c>
      <c r="Q463" s="5">
        <v>0</v>
      </c>
      <c r="R463" s="5" t="str">
        <f t="shared" si="113"/>
        <v>218-2023-06-30</v>
      </c>
    </row>
    <row r="464" spans="1:18" x14ac:dyDescent="0.3">
      <c r="A464" s="5">
        <v>218</v>
      </c>
      <c r="B464" s="5" t="s">
        <v>97</v>
      </c>
      <c r="C464" s="5" t="s">
        <v>90</v>
      </c>
      <c r="D464" s="5" t="s">
        <v>18</v>
      </c>
      <c r="E464" s="5" t="s">
        <v>14</v>
      </c>
      <c r="F464" s="6">
        <v>45138</v>
      </c>
      <c r="G464" s="16">
        <f t="shared" si="112"/>
        <v>2023</v>
      </c>
      <c r="H464" s="6" t="str">
        <f t="shared" si="108"/>
        <v>Julio</v>
      </c>
      <c r="I464" s="6" t="s">
        <v>434</v>
      </c>
      <c r="J464" s="5">
        <v>172000</v>
      </c>
      <c r="K464" s="5">
        <v>125486</v>
      </c>
      <c r="L464" s="15">
        <f t="shared" si="115"/>
        <v>1.3</v>
      </c>
      <c r="M464" s="15">
        <f t="shared" si="116"/>
        <v>1.3706708318059384</v>
      </c>
      <c r="N464" s="5" t="s">
        <v>362</v>
      </c>
      <c r="O464" s="5" t="s">
        <v>362</v>
      </c>
      <c r="P464" s="5">
        <v>0</v>
      </c>
      <c r="Q464" s="5">
        <v>0</v>
      </c>
      <c r="R464" s="5" t="str">
        <f t="shared" si="113"/>
        <v>218-2023-07-31</v>
      </c>
    </row>
    <row r="465" spans="1:18" x14ac:dyDescent="0.3">
      <c r="A465" s="5">
        <v>218</v>
      </c>
      <c r="B465" s="5" t="s">
        <v>97</v>
      </c>
      <c r="C465" s="5" t="s">
        <v>90</v>
      </c>
      <c r="D465" s="5" t="s">
        <v>18</v>
      </c>
      <c r="E465" s="5" t="s">
        <v>14</v>
      </c>
      <c r="F465" s="6">
        <v>45169</v>
      </c>
      <c r="G465" s="16">
        <f t="shared" si="112"/>
        <v>2023</v>
      </c>
      <c r="H465" s="6" t="str">
        <f t="shared" si="108"/>
        <v>Agosto</v>
      </c>
      <c r="I465" s="6" t="s">
        <v>434</v>
      </c>
      <c r="J465" s="5">
        <v>172000</v>
      </c>
      <c r="K465" s="5">
        <v>143021.71</v>
      </c>
      <c r="L465" s="15">
        <f t="shared" si="115"/>
        <v>1.2026146240315545</v>
      </c>
      <c r="M465" s="15">
        <f t="shared" si="116"/>
        <v>1.2026146240315545</v>
      </c>
      <c r="N465" s="5" t="s">
        <v>362</v>
      </c>
      <c r="O465" s="5" t="s">
        <v>362</v>
      </c>
      <c r="P465" s="5">
        <v>0</v>
      </c>
      <c r="Q465" s="5">
        <v>0</v>
      </c>
      <c r="R465" s="5" t="str">
        <f t="shared" si="113"/>
        <v>218-2023-08-31</v>
      </c>
    </row>
    <row r="466" spans="1:18" x14ac:dyDescent="0.3">
      <c r="A466" s="5">
        <v>218</v>
      </c>
      <c r="B466" s="5" t="s">
        <v>97</v>
      </c>
      <c r="C466" s="5" t="s">
        <v>90</v>
      </c>
      <c r="D466" s="5" t="s">
        <v>18</v>
      </c>
      <c r="E466" s="5" t="s">
        <v>14</v>
      </c>
      <c r="F466" s="6">
        <v>45199</v>
      </c>
      <c r="G466" s="16">
        <f t="shared" si="112"/>
        <v>2023</v>
      </c>
      <c r="H466" s="6" t="str">
        <f t="shared" si="108"/>
        <v>Septiembre</v>
      </c>
      <c r="I466" s="6" t="s">
        <v>434</v>
      </c>
      <c r="J466" s="5">
        <v>172000</v>
      </c>
      <c r="K466" s="7">
        <v>96636.99</v>
      </c>
      <c r="L466" s="15">
        <f t="shared" si="115"/>
        <v>1.3</v>
      </c>
      <c r="M466" s="15">
        <f t="shared" si="116"/>
        <v>1.7798567608531681</v>
      </c>
      <c r="N466" s="5" t="s">
        <v>362</v>
      </c>
      <c r="O466" s="5" t="s">
        <v>362</v>
      </c>
      <c r="P466" s="5">
        <v>0</v>
      </c>
      <c r="Q466" s="5">
        <v>0</v>
      </c>
      <c r="R466" s="5" t="str">
        <f t="shared" si="113"/>
        <v>218-2023-09-30</v>
      </c>
    </row>
    <row r="467" spans="1:18" x14ac:dyDescent="0.3">
      <c r="A467" s="39">
        <v>218</v>
      </c>
      <c r="B467" s="5" t="s">
        <v>97</v>
      </c>
      <c r="C467" s="5" t="s">
        <v>90</v>
      </c>
      <c r="D467" s="5" t="s">
        <v>18</v>
      </c>
      <c r="E467" s="5" t="s">
        <v>14</v>
      </c>
      <c r="F467" s="6">
        <v>45230</v>
      </c>
      <c r="G467" s="5">
        <f t="shared" si="112"/>
        <v>2023</v>
      </c>
      <c r="H467" s="5" t="str">
        <f t="shared" si="108"/>
        <v>Octubre</v>
      </c>
      <c r="I467" s="6" t="str">
        <f t="shared" ref="I467:I493" si="117">IF(OR(H467="Enero",H467="Febrero",H467="Marzo",H467="Abril",H467="Mayo",H467="Junio"),G467&amp;"-1",IF(OR(H467="Julio",H467="Agosto",H467="Septiembre",H467="Octubre",H467="Noviembre",H467="Diciembre"),G467&amp;"-2"))</f>
        <v>2023-2</v>
      </c>
      <c r="J467" s="5">
        <v>172000</v>
      </c>
      <c r="K467" s="5">
        <v>141458.28</v>
      </c>
      <c r="L467" s="15">
        <f t="shared" si="115"/>
        <v>1.2159062021678759</v>
      </c>
      <c r="M467" s="15">
        <f t="shared" si="116"/>
        <v>1.2159062021678759</v>
      </c>
      <c r="N467" s="5" t="s">
        <v>362</v>
      </c>
      <c r="O467" s="5" t="s">
        <v>362</v>
      </c>
      <c r="P467" s="5">
        <v>0</v>
      </c>
      <c r="Q467" s="5">
        <v>0</v>
      </c>
      <c r="R467" s="5" t="str">
        <f t="shared" si="113"/>
        <v>218-2023-10-31</v>
      </c>
    </row>
    <row r="468" spans="1:18" x14ac:dyDescent="0.3">
      <c r="A468" s="39">
        <v>218</v>
      </c>
      <c r="B468" s="5" t="s">
        <v>97</v>
      </c>
      <c r="C468" s="5" t="s">
        <v>90</v>
      </c>
      <c r="D468" s="5" t="s">
        <v>18</v>
      </c>
      <c r="E468" s="5" t="s">
        <v>14</v>
      </c>
      <c r="F468" s="6">
        <v>45260</v>
      </c>
      <c r="G468" s="5">
        <f t="shared" si="112"/>
        <v>2023</v>
      </c>
      <c r="H468" s="5" t="str">
        <f t="shared" si="108"/>
        <v>Noviembre</v>
      </c>
      <c r="I468" s="6" t="str">
        <f t="shared" si="117"/>
        <v>2023-2</v>
      </c>
      <c r="J468" s="5">
        <v>172000</v>
      </c>
      <c r="K468" s="5">
        <v>129770</v>
      </c>
      <c r="L468" s="15">
        <f t="shared" si="115"/>
        <v>1.3</v>
      </c>
      <c r="M468" s="15">
        <f t="shared" si="116"/>
        <v>1.3254219002851197</v>
      </c>
      <c r="N468" s="5" t="s">
        <v>362</v>
      </c>
      <c r="O468" s="5" t="s">
        <v>362</v>
      </c>
      <c r="P468" s="5">
        <v>0</v>
      </c>
      <c r="Q468" s="5">
        <v>0</v>
      </c>
      <c r="R468" s="5" t="str">
        <f t="shared" si="113"/>
        <v>218-2023-11-30</v>
      </c>
    </row>
    <row r="469" spans="1:18" x14ac:dyDescent="0.3">
      <c r="A469" s="39">
        <v>218</v>
      </c>
      <c r="B469" s="5" t="s">
        <v>97</v>
      </c>
      <c r="C469" s="5" t="s">
        <v>90</v>
      </c>
      <c r="D469" s="5" t="s">
        <v>18</v>
      </c>
      <c r="E469" s="5" t="s">
        <v>14</v>
      </c>
      <c r="F469" s="6">
        <v>45291</v>
      </c>
      <c r="G469" s="5">
        <f t="shared" si="112"/>
        <v>2023</v>
      </c>
      <c r="H469" s="5" t="str">
        <f t="shared" si="108"/>
        <v>Diciembre</v>
      </c>
      <c r="I469" s="6" t="str">
        <f t="shared" si="117"/>
        <v>2023-2</v>
      </c>
      <c r="J469" s="5">
        <v>172000</v>
      </c>
      <c r="K469" s="5">
        <v>109170</v>
      </c>
      <c r="L469" s="15">
        <f t="shared" si="115"/>
        <v>1.3</v>
      </c>
      <c r="M469" s="15">
        <f t="shared" si="116"/>
        <v>1.5755244114683522</v>
      </c>
      <c r="N469" s="5" t="s">
        <v>362</v>
      </c>
      <c r="O469" s="5" t="s">
        <v>362</v>
      </c>
      <c r="P469" s="5">
        <v>0</v>
      </c>
      <c r="Q469" s="5">
        <v>0</v>
      </c>
      <c r="R469" s="5" t="str">
        <f t="shared" si="113"/>
        <v>218-2023-12-31</v>
      </c>
    </row>
    <row r="470" spans="1:18" x14ac:dyDescent="0.3">
      <c r="A470" s="5">
        <v>218</v>
      </c>
      <c r="B470" s="5" t="s">
        <v>97</v>
      </c>
      <c r="C470" s="5" t="s">
        <v>90</v>
      </c>
      <c r="D470" s="5" t="s">
        <v>18</v>
      </c>
      <c r="E470" s="5" t="s">
        <v>14</v>
      </c>
      <c r="F470" s="6">
        <v>45473</v>
      </c>
      <c r="G470" s="5">
        <f t="shared" si="112"/>
        <v>2024</v>
      </c>
      <c r="H470" s="5" t="str">
        <f t="shared" si="108"/>
        <v>Junio</v>
      </c>
      <c r="I470" s="6" t="str">
        <f t="shared" si="117"/>
        <v>2024-1</v>
      </c>
      <c r="J470" s="5">
        <v>172000</v>
      </c>
      <c r="K470" s="5">
        <v>132538.65</v>
      </c>
      <c r="L470" s="15">
        <f>IFERROR(IF((K470/J470)&gt;1.3,1.3,K470/J470),"")</f>
        <v>0.7705735465116279</v>
      </c>
      <c r="M470" s="15">
        <f>IFERROR(K470/J470,"")</f>
        <v>0.7705735465116279</v>
      </c>
      <c r="N470" s="5"/>
      <c r="O470" s="5"/>
      <c r="P470" s="5">
        <v>0</v>
      </c>
      <c r="Q470" s="5">
        <v>0</v>
      </c>
      <c r="R470" s="5" t="str">
        <f t="shared" si="113"/>
        <v>218-2024-06-30</v>
      </c>
    </row>
    <row r="471" spans="1:18" x14ac:dyDescent="0.3">
      <c r="A471" s="5">
        <v>218</v>
      </c>
      <c r="B471" s="5" t="s">
        <v>97</v>
      </c>
      <c r="C471" s="5" t="s">
        <v>90</v>
      </c>
      <c r="D471" s="5" t="s">
        <v>18</v>
      </c>
      <c r="E471" s="5" t="s">
        <v>14</v>
      </c>
      <c r="F471" s="6">
        <v>45657</v>
      </c>
      <c r="G471" s="5">
        <f t="shared" si="112"/>
        <v>2024</v>
      </c>
      <c r="H471" s="5" t="str">
        <f t="shared" si="108"/>
        <v>Diciembre</v>
      </c>
      <c r="I471" s="6" t="str">
        <f t="shared" si="117"/>
        <v>2024-2</v>
      </c>
      <c r="J471" s="5">
        <v>172000</v>
      </c>
      <c r="K471" s="5">
        <v>0</v>
      </c>
      <c r="L471" s="15">
        <f>IFERROR(IF((K471/J471)&gt;1.3,1.3,K471/J471),"")</f>
        <v>0</v>
      </c>
      <c r="M471" s="15">
        <f>IFERROR(K471/J471,"")</f>
        <v>0</v>
      </c>
      <c r="N471" s="5"/>
      <c r="O471" s="5"/>
      <c r="P471" s="5">
        <v>0</v>
      </c>
      <c r="Q471" s="5">
        <v>0</v>
      </c>
      <c r="R471" s="5" t="str">
        <f t="shared" si="113"/>
        <v>218-2024-12-31</v>
      </c>
    </row>
    <row r="472" spans="1:18" x14ac:dyDescent="0.3">
      <c r="A472" s="43">
        <v>219</v>
      </c>
      <c r="B472" s="5" t="s">
        <v>98</v>
      </c>
      <c r="C472" s="5" t="s">
        <v>90</v>
      </c>
      <c r="D472" s="5" t="s">
        <v>8</v>
      </c>
      <c r="E472" s="5" t="s">
        <v>9</v>
      </c>
      <c r="F472" s="6">
        <v>45107</v>
      </c>
      <c r="G472" s="5">
        <f t="shared" si="112"/>
        <v>2023</v>
      </c>
      <c r="H472" s="5" t="str">
        <f t="shared" si="108"/>
        <v>Junio</v>
      </c>
      <c r="I472" s="6" t="str">
        <f t="shared" si="117"/>
        <v>2023-1</v>
      </c>
      <c r="J472" s="5">
        <v>1</v>
      </c>
      <c r="K472" s="5">
        <v>21.15</v>
      </c>
      <c r="L472" s="21">
        <v>1</v>
      </c>
      <c r="M472" s="15">
        <v>1</v>
      </c>
      <c r="N472" s="5"/>
      <c r="O472" s="5"/>
      <c r="P472" s="5">
        <v>0</v>
      </c>
      <c r="Q472" s="5">
        <v>0</v>
      </c>
      <c r="R472" s="5" t="str">
        <f t="shared" si="113"/>
        <v>219-2023-06-30</v>
      </c>
    </row>
    <row r="473" spans="1:18" x14ac:dyDescent="0.3">
      <c r="A473" s="39">
        <v>219</v>
      </c>
      <c r="B473" s="5" t="s">
        <v>98</v>
      </c>
      <c r="C473" s="5" t="s">
        <v>90</v>
      </c>
      <c r="D473" s="5" t="s">
        <v>8</v>
      </c>
      <c r="E473" s="5" t="s">
        <v>9</v>
      </c>
      <c r="F473" s="6">
        <v>45291</v>
      </c>
      <c r="G473" s="5">
        <f t="shared" si="112"/>
        <v>2023</v>
      </c>
      <c r="H473" s="5" t="str">
        <f t="shared" si="108"/>
        <v>Diciembre</v>
      </c>
      <c r="I473" s="6" t="str">
        <f t="shared" si="117"/>
        <v>2023-2</v>
      </c>
      <c r="J473" s="5">
        <v>1</v>
      </c>
      <c r="K473" s="5">
        <v>-5.9</v>
      </c>
      <c r="L473" s="21">
        <f>IFERROR(K473/J473,"")</f>
        <v>-5.9</v>
      </c>
      <c r="M473" s="15">
        <v>0</v>
      </c>
      <c r="N473" s="5"/>
      <c r="O473" s="5"/>
      <c r="P473" s="5">
        <v>0</v>
      </c>
      <c r="Q473" s="5">
        <v>0</v>
      </c>
      <c r="R473" s="5" t="str">
        <f t="shared" si="113"/>
        <v>219-2023-12-31</v>
      </c>
    </row>
    <row r="474" spans="1:18" x14ac:dyDescent="0.3">
      <c r="A474" s="5">
        <v>219</v>
      </c>
      <c r="B474" s="5" t="s">
        <v>98</v>
      </c>
      <c r="C474" s="5" t="s">
        <v>90</v>
      </c>
      <c r="D474" s="5" t="s">
        <v>8</v>
      </c>
      <c r="E474" s="5" t="s">
        <v>9</v>
      </c>
      <c r="F474" s="6">
        <v>45473</v>
      </c>
      <c r="G474" s="5">
        <f t="shared" si="112"/>
        <v>2024</v>
      </c>
      <c r="H474" s="5" t="str">
        <f t="shared" si="108"/>
        <v>Junio</v>
      </c>
      <c r="I474" s="6" t="str">
        <f t="shared" si="117"/>
        <v>2024-1</v>
      </c>
      <c r="J474" s="5">
        <v>1</v>
      </c>
      <c r="K474" s="5">
        <v>11.94</v>
      </c>
      <c r="L474" s="15">
        <f>IFERROR(IF((K474/J474)&gt;1.3,1.3,K474/J474),"")</f>
        <v>1.3</v>
      </c>
      <c r="M474" s="15">
        <f t="shared" ref="M474:M503" si="118">IFERROR(K474/J474,"")</f>
        <v>11.94</v>
      </c>
      <c r="N474" s="5"/>
      <c r="O474" s="5"/>
      <c r="P474" s="5">
        <v>0</v>
      </c>
      <c r="Q474" s="5">
        <v>0</v>
      </c>
      <c r="R474" s="5" t="str">
        <f t="shared" si="113"/>
        <v>219-2024-06-30</v>
      </c>
    </row>
    <row r="475" spans="1:18" x14ac:dyDescent="0.3">
      <c r="A475" s="5">
        <v>219</v>
      </c>
      <c r="B475" s="5" t="s">
        <v>98</v>
      </c>
      <c r="C475" s="5" t="s">
        <v>90</v>
      </c>
      <c r="D475" s="5" t="s">
        <v>8</v>
      </c>
      <c r="E475" s="5" t="s">
        <v>9</v>
      </c>
      <c r="F475" s="6">
        <v>45657</v>
      </c>
      <c r="G475" s="5">
        <f t="shared" si="112"/>
        <v>2024</v>
      </c>
      <c r="H475" s="5" t="str">
        <f t="shared" si="108"/>
        <v>Diciembre</v>
      </c>
      <c r="I475" s="6" t="str">
        <f t="shared" si="117"/>
        <v>2024-2</v>
      </c>
      <c r="J475" s="5">
        <v>1</v>
      </c>
      <c r="K475" s="5">
        <v>-12.53</v>
      </c>
      <c r="L475" s="15">
        <f>IFERROR(IF((K475/J475)&gt;1.3,1.3,K475/J475),"")</f>
        <v>-12.53</v>
      </c>
      <c r="M475" s="15">
        <f t="shared" si="118"/>
        <v>-12.53</v>
      </c>
      <c r="N475" s="5"/>
      <c r="O475" s="5"/>
      <c r="P475" s="5">
        <v>0</v>
      </c>
      <c r="Q475" s="5">
        <v>0</v>
      </c>
      <c r="R475" s="5" t="str">
        <f t="shared" si="113"/>
        <v>219-2024-12-31</v>
      </c>
    </row>
    <row r="476" spans="1:18" x14ac:dyDescent="0.3">
      <c r="A476" s="43">
        <v>220</v>
      </c>
      <c r="B476" s="5" t="s">
        <v>99</v>
      </c>
      <c r="C476" s="5" t="s">
        <v>90</v>
      </c>
      <c r="D476" s="5" t="s">
        <v>8</v>
      </c>
      <c r="E476" s="5" t="s">
        <v>9</v>
      </c>
      <c r="F476" s="6">
        <v>45107</v>
      </c>
      <c r="G476" s="5">
        <f t="shared" si="112"/>
        <v>2023</v>
      </c>
      <c r="H476" s="5" t="str">
        <f t="shared" si="108"/>
        <v>Junio</v>
      </c>
      <c r="I476" s="6" t="str">
        <f t="shared" si="117"/>
        <v>2023-1</v>
      </c>
      <c r="J476" s="5">
        <v>1</v>
      </c>
      <c r="K476" s="5">
        <v>40.43</v>
      </c>
      <c r="L476" s="21" t="s">
        <v>417</v>
      </c>
      <c r="M476" s="15">
        <f t="shared" si="118"/>
        <v>40.43</v>
      </c>
      <c r="N476" s="5"/>
      <c r="O476" s="5"/>
      <c r="P476" s="5">
        <v>0</v>
      </c>
      <c r="Q476" s="5">
        <v>0</v>
      </c>
      <c r="R476" s="5" t="str">
        <f t="shared" si="113"/>
        <v>220-2023-06-30</v>
      </c>
    </row>
    <row r="477" spans="1:18" x14ac:dyDescent="0.3">
      <c r="A477" s="39">
        <v>220</v>
      </c>
      <c r="B477" s="5" t="s">
        <v>99</v>
      </c>
      <c r="C477" s="5" t="s">
        <v>90</v>
      </c>
      <c r="D477" s="5" t="s">
        <v>8</v>
      </c>
      <c r="E477" s="5" t="s">
        <v>9</v>
      </c>
      <c r="F477" s="6">
        <v>45291</v>
      </c>
      <c r="G477" s="5">
        <f t="shared" si="112"/>
        <v>2023</v>
      </c>
      <c r="H477" s="5" t="str">
        <f t="shared" si="108"/>
        <v>Diciembre</v>
      </c>
      <c r="I477" s="6" t="str">
        <f t="shared" si="117"/>
        <v>2023-2</v>
      </c>
      <c r="J477" s="5">
        <v>1</v>
      </c>
      <c r="K477" s="5">
        <v>0</v>
      </c>
      <c r="L477" s="21">
        <f>IFERROR(K477/J477,"")</f>
        <v>0</v>
      </c>
      <c r="M477" s="15">
        <f t="shared" si="118"/>
        <v>0</v>
      </c>
      <c r="N477" s="5"/>
      <c r="O477" s="5"/>
      <c r="P477" s="5">
        <v>0</v>
      </c>
      <c r="Q477" s="5">
        <v>0</v>
      </c>
      <c r="R477" s="5" t="str">
        <f t="shared" si="113"/>
        <v>220-2023-12-31</v>
      </c>
    </row>
    <row r="478" spans="1:18" x14ac:dyDescent="0.3">
      <c r="A478" s="5">
        <v>220</v>
      </c>
      <c r="B478" s="5" t="s">
        <v>99</v>
      </c>
      <c r="C478" s="5" t="s">
        <v>90</v>
      </c>
      <c r="D478" s="5" t="s">
        <v>8</v>
      </c>
      <c r="E478" s="5" t="s">
        <v>9</v>
      </c>
      <c r="F478" s="6">
        <v>45473</v>
      </c>
      <c r="G478" s="5">
        <f t="shared" si="112"/>
        <v>2024</v>
      </c>
      <c r="H478" s="5" t="str">
        <f t="shared" si="108"/>
        <v>Junio</v>
      </c>
      <c r="I478" s="6" t="str">
        <f t="shared" si="117"/>
        <v>2024-1</v>
      </c>
      <c r="J478" s="5">
        <v>1</v>
      </c>
      <c r="K478" s="5">
        <v>3.58</v>
      </c>
      <c r="L478" s="15">
        <f>IFERROR(IF((K478/J478)&gt;1.3,1.3,K478/J478),"")</f>
        <v>1.3</v>
      </c>
      <c r="M478" s="15">
        <f t="shared" si="118"/>
        <v>3.58</v>
      </c>
      <c r="N478" s="5"/>
      <c r="O478" s="5"/>
      <c r="P478" s="5">
        <v>0</v>
      </c>
      <c r="Q478" s="5">
        <v>0</v>
      </c>
      <c r="R478" s="5" t="str">
        <f t="shared" si="113"/>
        <v>220-2024-06-30</v>
      </c>
    </row>
    <row r="479" spans="1:18" x14ac:dyDescent="0.3">
      <c r="A479" s="5">
        <v>220</v>
      </c>
      <c r="B479" s="5" t="s">
        <v>99</v>
      </c>
      <c r="C479" s="5" t="s">
        <v>90</v>
      </c>
      <c r="D479" s="5" t="s">
        <v>8</v>
      </c>
      <c r="E479" s="5" t="s">
        <v>9</v>
      </c>
      <c r="F479" s="6">
        <v>45657</v>
      </c>
      <c r="G479" s="5">
        <f t="shared" si="112"/>
        <v>2024</v>
      </c>
      <c r="H479" s="5" t="str">
        <f t="shared" si="108"/>
        <v>Diciembre</v>
      </c>
      <c r="I479" s="6" t="str">
        <f t="shared" si="117"/>
        <v>2024-2</v>
      </c>
      <c r="J479" s="5">
        <v>1</v>
      </c>
      <c r="K479" s="5">
        <v>13.05</v>
      </c>
      <c r="L479" s="15">
        <f>IFERROR(IF((K479/J479)&gt;1.3,1.3,K479/J479),"")</f>
        <v>1.3</v>
      </c>
      <c r="M479" s="15">
        <f t="shared" si="118"/>
        <v>13.05</v>
      </c>
      <c r="N479" s="5"/>
      <c r="O479" s="5"/>
      <c r="P479" s="5">
        <v>0</v>
      </c>
      <c r="Q479" s="5">
        <v>0</v>
      </c>
      <c r="R479" s="5" t="str">
        <f t="shared" si="113"/>
        <v>220-2024-12-31</v>
      </c>
    </row>
    <row r="480" spans="1:18" x14ac:dyDescent="0.3">
      <c r="A480" s="39">
        <v>221</v>
      </c>
      <c r="B480" s="5" t="s">
        <v>100</v>
      </c>
      <c r="C480" s="5" t="s">
        <v>90</v>
      </c>
      <c r="D480" s="5" t="s">
        <v>25</v>
      </c>
      <c r="E480" s="5" t="s">
        <v>9</v>
      </c>
      <c r="F480" s="6">
        <v>45291</v>
      </c>
      <c r="G480" s="5">
        <f t="shared" si="112"/>
        <v>2023</v>
      </c>
      <c r="H480" s="5" t="str">
        <f t="shared" si="108"/>
        <v>Diciembre</v>
      </c>
      <c r="I480" s="6" t="str">
        <f t="shared" si="117"/>
        <v>2023-2</v>
      </c>
      <c r="J480" s="5" t="s">
        <v>417</v>
      </c>
      <c r="K480" s="5">
        <v>0</v>
      </c>
      <c r="L480" s="21" t="str">
        <f>IFERROR(K480/J480,"")</f>
        <v/>
      </c>
      <c r="M480" s="15" t="str">
        <f t="shared" si="118"/>
        <v/>
      </c>
      <c r="N480" s="5"/>
      <c r="O480" s="5"/>
      <c r="P480" s="5">
        <v>0</v>
      </c>
      <c r="Q480" s="5">
        <v>0</v>
      </c>
      <c r="R480" s="5" t="str">
        <f t="shared" si="113"/>
        <v>221-2023-12-31</v>
      </c>
    </row>
    <row r="481" spans="1:18" x14ac:dyDescent="0.3">
      <c r="A481" s="5">
        <v>221</v>
      </c>
      <c r="B481" s="5" t="s">
        <v>100</v>
      </c>
      <c r="C481" s="5" t="s">
        <v>90</v>
      </c>
      <c r="D481" s="5" t="s">
        <v>25</v>
      </c>
      <c r="E481" s="5" t="s">
        <v>9</v>
      </c>
      <c r="F481" s="6">
        <v>45657</v>
      </c>
      <c r="G481" s="5">
        <f t="shared" si="112"/>
        <v>2024</v>
      </c>
      <c r="H481" s="5" t="str">
        <f t="shared" si="108"/>
        <v>Diciembre</v>
      </c>
      <c r="I481" s="6" t="str">
        <f t="shared" si="117"/>
        <v>2024-2</v>
      </c>
      <c r="J481" s="5">
        <v>100</v>
      </c>
      <c r="K481" s="5">
        <v>33.33</v>
      </c>
      <c r="L481" s="15">
        <f>IFERROR(IF((K481/J481)&gt;1.3,1.3,K481/J481),"")</f>
        <v>0.33329999999999999</v>
      </c>
      <c r="M481" s="15">
        <f t="shared" si="118"/>
        <v>0.33329999999999999</v>
      </c>
      <c r="N481" s="5"/>
      <c r="O481" s="5"/>
      <c r="P481" s="5">
        <v>0</v>
      </c>
      <c r="Q481" s="5">
        <v>0</v>
      </c>
      <c r="R481" s="5" t="str">
        <f t="shared" si="113"/>
        <v>221-2024-12-31</v>
      </c>
    </row>
    <row r="482" spans="1:18" x14ac:dyDescent="0.3">
      <c r="A482" s="39">
        <v>222</v>
      </c>
      <c r="B482" s="5" t="s">
        <v>101</v>
      </c>
      <c r="C482" s="5" t="s">
        <v>90</v>
      </c>
      <c r="D482" s="5" t="s">
        <v>25</v>
      </c>
      <c r="E482" s="5" t="s">
        <v>9</v>
      </c>
      <c r="F482" s="6">
        <v>45291</v>
      </c>
      <c r="G482" s="5">
        <f t="shared" si="112"/>
        <v>2023</v>
      </c>
      <c r="H482" s="5" t="str">
        <f t="shared" si="108"/>
        <v>Diciembre</v>
      </c>
      <c r="I482" s="6" t="str">
        <f t="shared" si="117"/>
        <v>2023-2</v>
      </c>
      <c r="J482" s="5" t="s">
        <v>417</v>
      </c>
      <c r="K482" s="5">
        <v>0</v>
      </c>
      <c r="L482" s="21" t="str">
        <f>IFERROR(K482/J482,"")</f>
        <v/>
      </c>
      <c r="M482" s="15" t="str">
        <f t="shared" si="118"/>
        <v/>
      </c>
      <c r="N482" s="5"/>
      <c r="O482" s="5"/>
      <c r="P482" s="5">
        <v>0</v>
      </c>
      <c r="Q482" s="5">
        <v>0</v>
      </c>
      <c r="R482" s="5" t="str">
        <f t="shared" si="113"/>
        <v>222-2023-12-31</v>
      </c>
    </row>
    <row r="483" spans="1:18" x14ac:dyDescent="0.3">
      <c r="A483" s="5">
        <v>222</v>
      </c>
      <c r="B483" s="5" t="s">
        <v>101</v>
      </c>
      <c r="C483" s="5" t="s">
        <v>90</v>
      </c>
      <c r="D483" s="5" t="s">
        <v>25</v>
      </c>
      <c r="E483" s="5" t="s">
        <v>9</v>
      </c>
      <c r="F483" s="6">
        <v>45657</v>
      </c>
      <c r="G483" s="5">
        <f t="shared" si="112"/>
        <v>2024</v>
      </c>
      <c r="H483" s="5" t="str">
        <f t="shared" si="108"/>
        <v>Diciembre</v>
      </c>
      <c r="I483" s="6" t="str">
        <f t="shared" si="117"/>
        <v>2024-2</v>
      </c>
      <c r="J483" s="5">
        <v>100</v>
      </c>
      <c r="K483" s="5">
        <v>68.75</v>
      </c>
      <c r="L483" s="15">
        <f>IFERROR(IF((K483/J483)&gt;1.3,1.3,K483/J483),"")</f>
        <v>0.6875</v>
      </c>
      <c r="M483" s="15">
        <f t="shared" si="118"/>
        <v>0.6875</v>
      </c>
      <c r="N483" s="5"/>
      <c r="O483" s="5"/>
      <c r="P483" s="5">
        <v>0</v>
      </c>
      <c r="Q483" s="5">
        <v>0</v>
      </c>
      <c r="R483" s="5" t="str">
        <f t="shared" si="113"/>
        <v>222-2024-12-31</v>
      </c>
    </row>
    <row r="484" spans="1:18" x14ac:dyDescent="0.3">
      <c r="A484" s="39">
        <v>223</v>
      </c>
      <c r="B484" s="5" t="s">
        <v>102</v>
      </c>
      <c r="C484" s="5" t="s">
        <v>90</v>
      </c>
      <c r="D484" s="5" t="s">
        <v>25</v>
      </c>
      <c r="E484" s="5" t="s">
        <v>9</v>
      </c>
      <c r="F484" s="6">
        <v>45291</v>
      </c>
      <c r="G484" s="5">
        <f t="shared" si="112"/>
        <v>2023</v>
      </c>
      <c r="H484" s="5" t="str">
        <f t="shared" si="108"/>
        <v>Diciembre</v>
      </c>
      <c r="I484" s="6" t="str">
        <f t="shared" si="117"/>
        <v>2023-2</v>
      </c>
      <c r="J484" s="5" t="s">
        <v>417</v>
      </c>
      <c r="K484" s="5">
        <v>0</v>
      </c>
      <c r="L484" s="21" t="str">
        <f>IFERROR(K484/J484,"")</f>
        <v/>
      </c>
      <c r="M484" s="15" t="str">
        <f t="shared" si="118"/>
        <v/>
      </c>
      <c r="N484" s="5"/>
      <c r="O484" s="5"/>
      <c r="P484" s="5">
        <v>0</v>
      </c>
      <c r="Q484" s="5">
        <v>0</v>
      </c>
      <c r="R484" s="5" t="str">
        <f t="shared" si="113"/>
        <v>223-2023-12-31</v>
      </c>
    </row>
    <row r="485" spans="1:18" x14ac:dyDescent="0.3">
      <c r="A485" s="5">
        <v>223</v>
      </c>
      <c r="B485" s="5" t="s">
        <v>102</v>
      </c>
      <c r="C485" s="5" t="s">
        <v>90</v>
      </c>
      <c r="D485" s="5" t="s">
        <v>25</v>
      </c>
      <c r="E485" s="5" t="s">
        <v>9</v>
      </c>
      <c r="F485" s="6">
        <v>45657</v>
      </c>
      <c r="G485" s="5">
        <f t="shared" si="112"/>
        <v>2024</v>
      </c>
      <c r="H485" s="5" t="str">
        <f t="shared" si="108"/>
        <v>Diciembre</v>
      </c>
      <c r="I485" s="6" t="str">
        <f t="shared" si="117"/>
        <v>2024-2</v>
      </c>
      <c r="J485" s="5">
        <v>100</v>
      </c>
      <c r="K485" s="5">
        <v>94.12</v>
      </c>
      <c r="L485" s="15">
        <f>IFERROR(IF((K485/J485)&gt;1.3,1.3,K485/J485),"")</f>
        <v>0.94120000000000004</v>
      </c>
      <c r="M485" s="15">
        <f t="shared" si="118"/>
        <v>0.94120000000000004</v>
      </c>
      <c r="N485" s="5"/>
      <c r="O485" s="5"/>
      <c r="P485" s="5">
        <v>0</v>
      </c>
      <c r="Q485" s="5">
        <v>0</v>
      </c>
      <c r="R485" s="5" t="str">
        <f t="shared" si="113"/>
        <v>223-2024-12-31</v>
      </c>
    </row>
    <row r="486" spans="1:18" x14ac:dyDescent="0.3">
      <c r="A486" s="39">
        <v>224</v>
      </c>
      <c r="B486" s="5" t="s">
        <v>458</v>
      </c>
      <c r="C486" s="5" t="s">
        <v>90</v>
      </c>
      <c r="D486" s="5" t="s">
        <v>25</v>
      </c>
      <c r="E486" s="5" t="s">
        <v>9</v>
      </c>
      <c r="F486" s="6">
        <v>45291</v>
      </c>
      <c r="G486" s="5">
        <f t="shared" si="112"/>
        <v>2023</v>
      </c>
      <c r="H486" s="5" t="str">
        <f t="shared" si="108"/>
        <v>Diciembre</v>
      </c>
      <c r="I486" s="6" t="str">
        <f t="shared" si="117"/>
        <v>2023-2</v>
      </c>
      <c r="J486" s="5" t="s">
        <v>417</v>
      </c>
      <c r="K486" s="5">
        <v>0</v>
      </c>
      <c r="L486" s="21" t="str">
        <f>IFERROR(K486/J486,"")</f>
        <v/>
      </c>
      <c r="M486" s="15" t="str">
        <f t="shared" si="118"/>
        <v/>
      </c>
      <c r="N486" s="5"/>
      <c r="O486" s="5"/>
      <c r="P486" s="5">
        <v>0</v>
      </c>
      <c r="Q486" s="5">
        <v>0</v>
      </c>
      <c r="R486" s="5" t="str">
        <f t="shared" si="113"/>
        <v>224-2023-12-31</v>
      </c>
    </row>
    <row r="487" spans="1:18" x14ac:dyDescent="0.3">
      <c r="A487" s="5">
        <v>224</v>
      </c>
      <c r="B487" s="5" t="s">
        <v>458</v>
      </c>
      <c r="C487" s="5" t="s">
        <v>90</v>
      </c>
      <c r="D487" s="5" t="s">
        <v>25</v>
      </c>
      <c r="E487" s="5" t="s">
        <v>9</v>
      </c>
      <c r="F487" s="6">
        <v>45657</v>
      </c>
      <c r="G487" s="5">
        <f t="shared" si="112"/>
        <v>2024</v>
      </c>
      <c r="H487" s="5" t="str">
        <f t="shared" si="108"/>
        <v>Diciembre</v>
      </c>
      <c r="I487" s="6" t="str">
        <f t="shared" si="117"/>
        <v>2024-2</v>
      </c>
      <c r="J487" s="5">
        <v>100</v>
      </c>
      <c r="K487" s="5">
        <v>100</v>
      </c>
      <c r="L487" s="15">
        <f>IFERROR(IF((K487/J487)&gt;1.3,1.3,K487/J487),"")</f>
        <v>1</v>
      </c>
      <c r="M487" s="15">
        <f t="shared" si="118"/>
        <v>1</v>
      </c>
      <c r="N487" s="5"/>
      <c r="O487" s="5"/>
      <c r="P487" s="5">
        <v>0</v>
      </c>
      <c r="Q487" s="5">
        <v>0</v>
      </c>
      <c r="R487" s="5" t="str">
        <f t="shared" si="113"/>
        <v>224-2024-12-31</v>
      </c>
    </row>
    <row r="488" spans="1:18" x14ac:dyDescent="0.3">
      <c r="A488" s="39">
        <v>225</v>
      </c>
      <c r="B488" s="5" t="s">
        <v>103</v>
      </c>
      <c r="C488" s="5" t="s">
        <v>90</v>
      </c>
      <c r="D488" s="5" t="s">
        <v>18</v>
      </c>
      <c r="E488" s="5" t="s">
        <v>9</v>
      </c>
      <c r="F488" s="6">
        <v>44957</v>
      </c>
      <c r="G488" s="5">
        <f t="shared" si="112"/>
        <v>2023</v>
      </c>
      <c r="H488" s="5" t="str">
        <f t="shared" si="108"/>
        <v>Enero</v>
      </c>
      <c r="I488" s="6" t="str">
        <f t="shared" si="117"/>
        <v>2023-1</v>
      </c>
      <c r="J488" s="5">
        <v>6</v>
      </c>
      <c r="K488" s="5">
        <v>25</v>
      </c>
      <c r="L488" s="21">
        <f t="shared" ref="L488:L493" si="119">IFERROR(K488/J488,"")</f>
        <v>4.166666666666667</v>
      </c>
      <c r="M488" s="15">
        <f t="shared" si="118"/>
        <v>4.166666666666667</v>
      </c>
      <c r="N488" s="5"/>
      <c r="O488" s="5"/>
      <c r="P488" s="5">
        <v>0</v>
      </c>
      <c r="Q488" s="5">
        <v>0</v>
      </c>
      <c r="R488" s="5" t="str">
        <f t="shared" si="113"/>
        <v>225-2023-01-31</v>
      </c>
    </row>
    <row r="489" spans="1:18" x14ac:dyDescent="0.3">
      <c r="A489" s="39">
        <v>225</v>
      </c>
      <c r="B489" s="5" t="s">
        <v>103</v>
      </c>
      <c r="C489" s="5" t="s">
        <v>90</v>
      </c>
      <c r="D489" s="5" t="s">
        <v>18</v>
      </c>
      <c r="E489" s="5" t="s">
        <v>9</v>
      </c>
      <c r="F489" s="6">
        <v>44985</v>
      </c>
      <c r="G489" s="5">
        <f t="shared" si="112"/>
        <v>2023</v>
      </c>
      <c r="H489" s="5" t="str">
        <f t="shared" si="108"/>
        <v>Febrero</v>
      </c>
      <c r="I489" s="6" t="str">
        <f t="shared" si="117"/>
        <v>2023-1</v>
      </c>
      <c r="J489" s="5">
        <v>6</v>
      </c>
      <c r="K489" s="5">
        <v>20</v>
      </c>
      <c r="L489" s="21">
        <f t="shared" si="119"/>
        <v>3.3333333333333335</v>
      </c>
      <c r="M489" s="15">
        <f t="shared" si="118"/>
        <v>3.3333333333333335</v>
      </c>
      <c r="N489" s="5"/>
      <c r="O489" s="5"/>
      <c r="P489" s="5">
        <v>0</v>
      </c>
      <c r="Q489" s="5">
        <v>0</v>
      </c>
      <c r="R489" s="5" t="str">
        <f t="shared" si="113"/>
        <v>225-2023-02-28</v>
      </c>
    </row>
    <row r="490" spans="1:18" x14ac:dyDescent="0.3">
      <c r="A490" s="39">
        <v>225</v>
      </c>
      <c r="B490" s="5" t="s">
        <v>103</v>
      </c>
      <c r="C490" s="5" t="s">
        <v>90</v>
      </c>
      <c r="D490" s="5" t="s">
        <v>18</v>
      </c>
      <c r="E490" s="5" t="s">
        <v>9</v>
      </c>
      <c r="F490" s="6">
        <v>45016</v>
      </c>
      <c r="G490" s="5">
        <f t="shared" si="112"/>
        <v>2023</v>
      </c>
      <c r="H490" s="5" t="str">
        <f t="shared" si="108"/>
        <v>Marzo</v>
      </c>
      <c r="I490" s="6" t="str">
        <f t="shared" si="117"/>
        <v>2023-1</v>
      </c>
      <c r="J490" s="5">
        <v>6</v>
      </c>
      <c r="K490" s="5">
        <v>19</v>
      </c>
      <c r="L490" s="21">
        <f t="shared" si="119"/>
        <v>3.1666666666666665</v>
      </c>
      <c r="M490" s="15">
        <f t="shared" si="118"/>
        <v>3.1666666666666665</v>
      </c>
      <c r="N490" s="5"/>
      <c r="O490" s="5"/>
      <c r="P490" s="5">
        <v>0</v>
      </c>
      <c r="Q490" s="5">
        <v>0</v>
      </c>
      <c r="R490" s="5" t="str">
        <f t="shared" si="113"/>
        <v>225-2023-03-31</v>
      </c>
    </row>
    <row r="491" spans="1:18" x14ac:dyDescent="0.3">
      <c r="A491" s="39">
        <v>225</v>
      </c>
      <c r="B491" s="5" t="s">
        <v>103</v>
      </c>
      <c r="C491" s="5" t="s">
        <v>90</v>
      </c>
      <c r="D491" s="5" t="s">
        <v>18</v>
      </c>
      <c r="E491" s="5" t="s">
        <v>9</v>
      </c>
      <c r="F491" s="6">
        <v>45046</v>
      </c>
      <c r="G491" s="5">
        <f t="shared" si="112"/>
        <v>2023</v>
      </c>
      <c r="H491" s="5" t="str">
        <f t="shared" si="108"/>
        <v>Abril</v>
      </c>
      <c r="I491" s="6" t="str">
        <f t="shared" si="117"/>
        <v>2023-1</v>
      </c>
      <c r="J491" s="5">
        <v>6</v>
      </c>
      <c r="K491" s="5">
        <v>20</v>
      </c>
      <c r="L491" s="21">
        <f t="shared" si="119"/>
        <v>3.3333333333333335</v>
      </c>
      <c r="M491" s="15">
        <f t="shared" si="118"/>
        <v>3.3333333333333335</v>
      </c>
      <c r="N491" s="5"/>
      <c r="O491" s="5"/>
      <c r="P491" s="5">
        <v>0</v>
      </c>
      <c r="Q491" s="5">
        <v>0</v>
      </c>
      <c r="R491" s="5" t="str">
        <f t="shared" si="113"/>
        <v>225-2023-04-30</v>
      </c>
    </row>
    <row r="492" spans="1:18" x14ac:dyDescent="0.3">
      <c r="A492" s="39">
        <v>225</v>
      </c>
      <c r="B492" s="5" t="s">
        <v>103</v>
      </c>
      <c r="C492" s="5" t="s">
        <v>90</v>
      </c>
      <c r="D492" s="5" t="s">
        <v>18</v>
      </c>
      <c r="E492" s="5" t="s">
        <v>9</v>
      </c>
      <c r="F492" s="6">
        <v>45077</v>
      </c>
      <c r="G492" s="5">
        <f t="shared" si="112"/>
        <v>2023</v>
      </c>
      <c r="H492" s="5" t="str">
        <f t="shared" si="108"/>
        <v>Mayo</v>
      </c>
      <c r="I492" s="6" t="str">
        <f t="shared" si="117"/>
        <v>2023-1</v>
      </c>
      <c r="J492" s="5">
        <v>6</v>
      </c>
      <c r="K492" s="5">
        <v>23</v>
      </c>
      <c r="L492" s="21">
        <f t="shared" si="119"/>
        <v>3.8333333333333335</v>
      </c>
      <c r="M492" s="15">
        <f t="shared" si="118"/>
        <v>3.8333333333333335</v>
      </c>
      <c r="N492" s="5"/>
      <c r="O492" s="5"/>
      <c r="P492" s="5">
        <v>0</v>
      </c>
      <c r="Q492" s="5">
        <v>0</v>
      </c>
      <c r="R492" s="5" t="str">
        <f t="shared" si="113"/>
        <v>225-2023-05-31</v>
      </c>
    </row>
    <row r="493" spans="1:18" x14ac:dyDescent="0.3">
      <c r="A493" s="39">
        <v>225</v>
      </c>
      <c r="B493" s="5" t="s">
        <v>103</v>
      </c>
      <c r="C493" s="5" t="s">
        <v>90</v>
      </c>
      <c r="D493" s="5" t="s">
        <v>18</v>
      </c>
      <c r="E493" s="5" t="s">
        <v>9</v>
      </c>
      <c r="F493" s="6">
        <v>45107</v>
      </c>
      <c r="G493" s="5">
        <f t="shared" si="112"/>
        <v>2023</v>
      </c>
      <c r="H493" s="5" t="str">
        <f t="shared" si="108"/>
        <v>Junio</v>
      </c>
      <c r="I493" s="6" t="str">
        <f t="shared" si="117"/>
        <v>2023-1</v>
      </c>
      <c r="J493" s="5">
        <v>6</v>
      </c>
      <c r="K493" s="5">
        <v>19</v>
      </c>
      <c r="L493" s="21">
        <f t="shared" si="119"/>
        <v>3.1666666666666665</v>
      </c>
      <c r="M493" s="15">
        <f t="shared" si="118"/>
        <v>3.1666666666666665</v>
      </c>
      <c r="N493" s="5"/>
      <c r="O493" s="5"/>
      <c r="P493" s="5">
        <v>0</v>
      </c>
      <c r="Q493" s="5">
        <v>0</v>
      </c>
      <c r="R493" s="5" t="str">
        <f t="shared" si="113"/>
        <v>225-2023-06-30</v>
      </c>
    </row>
    <row r="494" spans="1:18" x14ac:dyDescent="0.3">
      <c r="A494" s="5">
        <v>225</v>
      </c>
      <c r="B494" s="5" t="s">
        <v>103</v>
      </c>
      <c r="C494" s="5" t="s">
        <v>90</v>
      </c>
      <c r="D494" s="5" t="s">
        <v>18</v>
      </c>
      <c r="E494" s="5" t="s">
        <v>9</v>
      </c>
      <c r="F494" s="6">
        <v>45138</v>
      </c>
      <c r="G494" s="16">
        <f t="shared" si="112"/>
        <v>2023</v>
      </c>
      <c r="H494" s="6" t="str">
        <f t="shared" si="108"/>
        <v>Julio</v>
      </c>
      <c r="I494" s="6" t="s">
        <v>434</v>
      </c>
      <c r="J494" s="5">
        <v>6</v>
      </c>
      <c r="K494" s="5">
        <v>20</v>
      </c>
      <c r="L494" s="21">
        <v>1</v>
      </c>
      <c r="M494" s="15">
        <f t="shared" si="118"/>
        <v>3.3333333333333335</v>
      </c>
      <c r="N494" s="5"/>
      <c r="O494" s="5"/>
      <c r="P494" s="5">
        <v>0</v>
      </c>
      <c r="Q494" s="5">
        <v>0</v>
      </c>
      <c r="R494" s="5" t="str">
        <f t="shared" si="113"/>
        <v>225-2023-07-31</v>
      </c>
    </row>
    <row r="495" spans="1:18" x14ac:dyDescent="0.3">
      <c r="A495" s="5">
        <v>225</v>
      </c>
      <c r="B495" s="5" t="s">
        <v>103</v>
      </c>
      <c r="C495" s="5" t="s">
        <v>90</v>
      </c>
      <c r="D495" s="5" t="s">
        <v>18</v>
      </c>
      <c r="E495" s="5" t="s">
        <v>9</v>
      </c>
      <c r="F495" s="6">
        <v>45169</v>
      </c>
      <c r="G495" s="16">
        <f t="shared" si="112"/>
        <v>2023</v>
      </c>
      <c r="H495" s="6" t="str">
        <f t="shared" ref="H495:H546" si="120">PROPER(TEXT(F495,"mmmm"))</f>
        <v>Agosto</v>
      </c>
      <c r="I495" s="6" t="s">
        <v>434</v>
      </c>
      <c r="J495" s="5">
        <v>6</v>
      </c>
      <c r="K495" s="5">
        <v>23</v>
      </c>
      <c r="L495" s="21">
        <v>1</v>
      </c>
      <c r="M495" s="15">
        <f t="shared" si="118"/>
        <v>3.8333333333333335</v>
      </c>
      <c r="N495" s="5"/>
      <c r="O495" s="5"/>
      <c r="P495" s="5">
        <v>0</v>
      </c>
      <c r="Q495" s="5">
        <v>0</v>
      </c>
      <c r="R495" s="5" t="str">
        <f t="shared" si="113"/>
        <v>225-2023-08-31</v>
      </c>
    </row>
    <row r="496" spans="1:18" x14ac:dyDescent="0.3">
      <c r="A496" s="5">
        <v>225</v>
      </c>
      <c r="B496" s="5" t="s">
        <v>103</v>
      </c>
      <c r="C496" s="5" t="s">
        <v>90</v>
      </c>
      <c r="D496" s="5" t="s">
        <v>18</v>
      </c>
      <c r="E496" s="5" t="s">
        <v>9</v>
      </c>
      <c r="F496" s="6">
        <v>45199</v>
      </c>
      <c r="G496" s="16">
        <f t="shared" si="112"/>
        <v>2023</v>
      </c>
      <c r="H496" s="6" t="str">
        <f t="shared" si="120"/>
        <v>Septiembre</v>
      </c>
      <c r="I496" s="6" t="s">
        <v>434</v>
      </c>
      <c r="J496" s="5">
        <v>6</v>
      </c>
      <c r="K496" s="5">
        <v>21</v>
      </c>
      <c r="L496" s="21">
        <v>1</v>
      </c>
      <c r="M496" s="15">
        <f t="shared" si="118"/>
        <v>3.5</v>
      </c>
      <c r="N496" s="5"/>
      <c r="O496" s="5"/>
      <c r="P496" s="5">
        <v>0</v>
      </c>
      <c r="Q496" s="5">
        <v>0</v>
      </c>
      <c r="R496" s="5" t="str">
        <f t="shared" si="113"/>
        <v>225-2023-09-30</v>
      </c>
    </row>
    <row r="497" spans="1:18" x14ac:dyDescent="0.3">
      <c r="A497" s="39">
        <v>225</v>
      </c>
      <c r="B497" s="5" t="s">
        <v>103</v>
      </c>
      <c r="C497" s="5" t="s">
        <v>90</v>
      </c>
      <c r="D497" s="5" t="s">
        <v>18</v>
      </c>
      <c r="E497" s="5" t="s">
        <v>9</v>
      </c>
      <c r="F497" s="6">
        <v>45230</v>
      </c>
      <c r="G497" s="5">
        <f t="shared" si="112"/>
        <v>2023</v>
      </c>
      <c r="H497" s="5" t="str">
        <f t="shared" si="120"/>
        <v>Octubre</v>
      </c>
      <c r="I497" s="6" t="str">
        <f t="shared" ref="I497:I528" si="121">IF(OR(H497="Enero",H497="Febrero",H497="Marzo",H497="Abril",H497="Mayo",H497="Junio"),G497&amp;"-1",IF(OR(H497="Julio",H497="Agosto",H497="Septiembre",H497="Octubre",H497="Noviembre",H497="Diciembre"),G497&amp;"-2"))</f>
        <v>2023-2</v>
      </c>
      <c r="J497" s="5">
        <v>6</v>
      </c>
      <c r="K497" s="5">
        <v>19</v>
      </c>
      <c r="L497" s="21">
        <f>IFERROR(K497/J497,"")</f>
        <v>3.1666666666666665</v>
      </c>
      <c r="M497" s="15">
        <f t="shared" si="118"/>
        <v>3.1666666666666665</v>
      </c>
      <c r="N497" s="5"/>
      <c r="O497" s="5"/>
      <c r="P497" s="5">
        <v>0</v>
      </c>
      <c r="Q497" s="5">
        <v>0</v>
      </c>
      <c r="R497" s="5" t="str">
        <f t="shared" si="113"/>
        <v>225-2023-10-31</v>
      </c>
    </row>
    <row r="498" spans="1:18" x14ac:dyDescent="0.3">
      <c r="A498" s="39">
        <v>225</v>
      </c>
      <c r="B498" s="5" t="s">
        <v>103</v>
      </c>
      <c r="C498" s="5" t="s">
        <v>90</v>
      </c>
      <c r="D498" s="5" t="s">
        <v>18</v>
      </c>
      <c r="E498" s="5" t="s">
        <v>9</v>
      </c>
      <c r="F498" s="6">
        <v>45260</v>
      </c>
      <c r="G498" s="5">
        <f t="shared" si="112"/>
        <v>2023</v>
      </c>
      <c r="H498" s="5" t="str">
        <f t="shared" si="120"/>
        <v>Noviembre</v>
      </c>
      <c r="I498" s="6" t="str">
        <f t="shared" si="121"/>
        <v>2023-2</v>
      </c>
      <c r="J498" s="5">
        <v>6</v>
      </c>
      <c r="K498" s="5">
        <v>18</v>
      </c>
      <c r="L498" s="21">
        <f>IFERROR(K498/J498,"")</f>
        <v>3</v>
      </c>
      <c r="M498" s="15">
        <f t="shared" si="118"/>
        <v>3</v>
      </c>
      <c r="N498" s="5"/>
      <c r="O498" s="5"/>
      <c r="P498" s="5">
        <v>0</v>
      </c>
      <c r="Q498" s="5">
        <v>0</v>
      </c>
      <c r="R498" s="5" t="str">
        <f t="shared" si="113"/>
        <v>225-2023-11-30</v>
      </c>
    </row>
    <row r="499" spans="1:18" x14ac:dyDescent="0.3">
      <c r="A499" s="39">
        <v>225</v>
      </c>
      <c r="B499" s="5" t="s">
        <v>103</v>
      </c>
      <c r="C499" s="5" t="s">
        <v>90</v>
      </c>
      <c r="D499" s="5" t="s">
        <v>18</v>
      </c>
      <c r="E499" s="5" t="s">
        <v>9</v>
      </c>
      <c r="F499" s="6">
        <v>45291</v>
      </c>
      <c r="G499" s="5">
        <f t="shared" si="112"/>
        <v>2023</v>
      </c>
      <c r="H499" s="5" t="str">
        <f t="shared" si="120"/>
        <v>Diciembre</v>
      </c>
      <c r="I499" s="6" t="str">
        <f t="shared" si="121"/>
        <v>2023-2</v>
      </c>
      <c r="J499" s="5">
        <v>6</v>
      </c>
      <c r="K499" s="5">
        <v>18</v>
      </c>
      <c r="L499" s="21">
        <f>IFERROR(K499/J499,"")</f>
        <v>3</v>
      </c>
      <c r="M499" s="15">
        <f t="shared" si="118"/>
        <v>3</v>
      </c>
      <c r="N499" s="5"/>
      <c r="O499" s="5"/>
      <c r="P499" s="5">
        <v>0</v>
      </c>
      <c r="Q499" s="5">
        <v>0</v>
      </c>
      <c r="R499" s="5" t="str">
        <f t="shared" si="113"/>
        <v>225-2023-12-31</v>
      </c>
    </row>
    <row r="500" spans="1:18" x14ac:dyDescent="0.3">
      <c r="A500" s="5">
        <v>225</v>
      </c>
      <c r="B500" s="5" t="s">
        <v>103</v>
      </c>
      <c r="C500" s="5" t="s">
        <v>90</v>
      </c>
      <c r="D500" s="5" t="s">
        <v>18</v>
      </c>
      <c r="E500" s="5" t="s">
        <v>9</v>
      </c>
      <c r="F500" s="6">
        <v>45473</v>
      </c>
      <c r="G500" s="5">
        <f t="shared" si="112"/>
        <v>2024</v>
      </c>
      <c r="H500" s="5" t="str">
        <f t="shared" si="120"/>
        <v>Junio</v>
      </c>
      <c r="I500" s="6" t="str">
        <f t="shared" si="121"/>
        <v>2024-1</v>
      </c>
      <c r="J500" s="5">
        <v>1</v>
      </c>
      <c r="K500" s="5">
        <v>21</v>
      </c>
      <c r="L500" s="15">
        <f>IFERROR(IF((K500/J500)&gt;1.3,1.3,K500/J500),"")</f>
        <v>1.3</v>
      </c>
      <c r="M500" s="15">
        <f t="shared" si="118"/>
        <v>21</v>
      </c>
      <c r="N500" s="5"/>
      <c r="O500" s="5"/>
      <c r="P500" s="5">
        <v>0</v>
      </c>
      <c r="Q500" s="5">
        <v>0</v>
      </c>
      <c r="R500" s="5" t="str">
        <f t="shared" si="113"/>
        <v>225-2024-06-30</v>
      </c>
    </row>
    <row r="501" spans="1:18" x14ac:dyDescent="0.3">
      <c r="A501" s="5">
        <v>225</v>
      </c>
      <c r="B501" s="5" t="s">
        <v>103</v>
      </c>
      <c r="C501" s="5" t="s">
        <v>90</v>
      </c>
      <c r="D501" s="5" t="s">
        <v>18</v>
      </c>
      <c r="E501" s="5" t="s">
        <v>9</v>
      </c>
      <c r="F501" s="6">
        <v>45657</v>
      </c>
      <c r="G501" s="5">
        <f t="shared" si="112"/>
        <v>2024</v>
      </c>
      <c r="H501" s="5" t="str">
        <f t="shared" si="120"/>
        <v>Diciembre</v>
      </c>
      <c r="I501" s="6" t="str">
        <f t="shared" si="121"/>
        <v>2024-2</v>
      </c>
      <c r="J501" s="5">
        <v>1</v>
      </c>
      <c r="K501" s="5">
        <v>18</v>
      </c>
      <c r="L501" s="15">
        <f>IFERROR(IF((K501/J501)&gt;1.3,1.3,K501/J501),"")</f>
        <v>1.3</v>
      </c>
      <c r="M501" s="15">
        <f t="shared" si="118"/>
        <v>18</v>
      </c>
      <c r="N501" s="5"/>
      <c r="O501" s="5"/>
      <c r="P501" s="5">
        <v>0</v>
      </c>
      <c r="Q501" s="5">
        <v>0</v>
      </c>
      <c r="R501" s="5" t="str">
        <f t="shared" si="113"/>
        <v>225-2024-12-31</v>
      </c>
    </row>
    <row r="502" spans="1:18" x14ac:dyDescent="0.3">
      <c r="A502" s="39">
        <v>226</v>
      </c>
      <c r="B502" s="5" t="s">
        <v>104</v>
      </c>
      <c r="C502" s="5" t="s">
        <v>90</v>
      </c>
      <c r="D502" s="5" t="s">
        <v>25</v>
      </c>
      <c r="E502" s="5" t="s">
        <v>9</v>
      </c>
      <c r="F502" s="6">
        <v>45291</v>
      </c>
      <c r="G502" s="5">
        <f t="shared" si="112"/>
        <v>2023</v>
      </c>
      <c r="H502" s="5" t="str">
        <f t="shared" si="120"/>
        <v>Diciembre</v>
      </c>
      <c r="I502" s="6" t="str">
        <f t="shared" si="121"/>
        <v>2023-2</v>
      </c>
      <c r="J502" s="5" t="s">
        <v>417</v>
      </c>
      <c r="K502" s="5">
        <v>0</v>
      </c>
      <c r="L502" s="21" t="str">
        <f>IFERROR(K502/J502,"")</f>
        <v/>
      </c>
      <c r="M502" s="15" t="str">
        <f t="shared" si="118"/>
        <v/>
      </c>
      <c r="N502" s="5"/>
      <c r="O502" s="5"/>
      <c r="P502" s="5">
        <v>0</v>
      </c>
      <c r="Q502" s="5">
        <v>0</v>
      </c>
      <c r="R502" s="5" t="str">
        <f t="shared" si="113"/>
        <v>226-2023-12-31</v>
      </c>
    </row>
    <row r="503" spans="1:18" x14ac:dyDescent="0.3">
      <c r="A503" s="5">
        <v>226</v>
      </c>
      <c r="B503" s="5" t="s">
        <v>104</v>
      </c>
      <c r="C503" s="5" t="s">
        <v>90</v>
      </c>
      <c r="D503" s="5" t="s">
        <v>25</v>
      </c>
      <c r="E503" s="5" t="s">
        <v>9</v>
      </c>
      <c r="F503" s="6">
        <v>45657</v>
      </c>
      <c r="G503" s="5">
        <f t="shared" si="112"/>
        <v>2024</v>
      </c>
      <c r="H503" s="5" t="str">
        <f t="shared" si="120"/>
        <v>Diciembre</v>
      </c>
      <c r="I503" s="6" t="str">
        <f t="shared" si="121"/>
        <v>2024-2</v>
      </c>
      <c r="J503" s="5">
        <v>2</v>
      </c>
      <c r="K503" s="5">
        <v>0</v>
      </c>
      <c r="L503" s="15">
        <f>IFERROR(IF((K503/J503)&gt;1.3,1.3,K503/J503),"")</f>
        <v>0</v>
      </c>
      <c r="M503" s="15">
        <f t="shared" si="118"/>
        <v>0</v>
      </c>
      <c r="N503" s="5"/>
      <c r="O503" s="5"/>
      <c r="P503" s="5">
        <v>0</v>
      </c>
      <c r="Q503" s="5">
        <v>0</v>
      </c>
      <c r="R503" s="5" t="str">
        <f t="shared" si="113"/>
        <v>226-2024-12-31</v>
      </c>
    </row>
    <row r="504" spans="1:18" x14ac:dyDescent="0.3">
      <c r="A504" s="39">
        <v>227</v>
      </c>
      <c r="B504" s="5" t="s">
        <v>105</v>
      </c>
      <c r="C504" s="5" t="s">
        <v>90</v>
      </c>
      <c r="D504" s="5" t="s">
        <v>25</v>
      </c>
      <c r="E504" s="5" t="s">
        <v>14</v>
      </c>
      <c r="F504" s="6">
        <v>45291</v>
      </c>
      <c r="G504" s="5">
        <f t="shared" si="112"/>
        <v>2023</v>
      </c>
      <c r="H504" s="5" t="str">
        <f t="shared" si="120"/>
        <v>Diciembre</v>
      </c>
      <c r="I504" s="6" t="str">
        <f t="shared" si="121"/>
        <v>2023-2</v>
      </c>
      <c r="J504" s="5" t="s">
        <v>417</v>
      </c>
      <c r="K504" s="5">
        <v>0</v>
      </c>
      <c r="L504" s="15" t="str">
        <f>IFERROR(IF((J504/K504)&gt;1.3,1.3,J504/K504),"")</f>
        <v/>
      </c>
      <c r="M504" s="15" t="str">
        <f>IFERROR(J504/K504,"")</f>
        <v/>
      </c>
      <c r="N504" s="5"/>
      <c r="O504" s="5"/>
      <c r="P504" s="5">
        <v>0</v>
      </c>
      <c r="Q504" s="5">
        <v>0</v>
      </c>
      <c r="R504" s="5" t="str">
        <f t="shared" si="113"/>
        <v>227-2023-12-31</v>
      </c>
    </row>
    <row r="505" spans="1:18" x14ac:dyDescent="0.3">
      <c r="A505" s="5">
        <v>227</v>
      </c>
      <c r="B505" s="5" t="s">
        <v>105</v>
      </c>
      <c r="C505" s="5" t="s">
        <v>90</v>
      </c>
      <c r="D505" s="5" t="s">
        <v>25</v>
      </c>
      <c r="E505" s="5" t="s">
        <v>14</v>
      </c>
      <c r="F505" s="6">
        <v>45657</v>
      </c>
      <c r="G505" s="5">
        <f t="shared" si="112"/>
        <v>2024</v>
      </c>
      <c r="H505" s="5" t="str">
        <f t="shared" si="120"/>
        <v>Diciembre</v>
      </c>
      <c r="I505" s="6" t="str">
        <f t="shared" si="121"/>
        <v>2024-2</v>
      </c>
      <c r="J505" s="5">
        <v>0.3</v>
      </c>
      <c r="K505" s="5">
        <v>0</v>
      </c>
      <c r="L505" s="15">
        <f>IFERROR(IF((K505/J505)&gt;1.3,1.3,K505/J505),"")</f>
        <v>0</v>
      </c>
      <c r="M505" s="15">
        <f t="shared" ref="M505:M533" si="122">IFERROR(K505/J505,"")</f>
        <v>0</v>
      </c>
      <c r="N505" s="5"/>
      <c r="O505" s="5"/>
      <c r="P505" s="5">
        <v>0</v>
      </c>
      <c r="Q505" s="5">
        <v>0</v>
      </c>
      <c r="R505" s="5" t="str">
        <f t="shared" si="113"/>
        <v>227-2024-12-31</v>
      </c>
    </row>
    <row r="506" spans="1:18" x14ac:dyDescent="0.3">
      <c r="A506" s="39">
        <v>228</v>
      </c>
      <c r="B506" s="5" t="s">
        <v>106</v>
      </c>
      <c r="C506" s="5" t="s">
        <v>90</v>
      </c>
      <c r="D506" s="5" t="s">
        <v>25</v>
      </c>
      <c r="E506" s="5" t="s">
        <v>9</v>
      </c>
      <c r="F506" s="6">
        <v>44926</v>
      </c>
      <c r="G506" s="5">
        <f t="shared" si="112"/>
        <v>2022</v>
      </c>
      <c r="H506" s="5" t="str">
        <f t="shared" si="120"/>
        <v>Diciembre</v>
      </c>
      <c r="I506" s="6" t="str">
        <f t="shared" si="121"/>
        <v>2022-2</v>
      </c>
      <c r="J506" s="5">
        <v>100</v>
      </c>
      <c r="K506" s="5">
        <v>100.11</v>
      </c>
      <c r="L506" s="15">
        <f>IFERROR(IF((K506/J506)&gt;1.3,1.3,K506/J506),"")</f>
        <v>1.0011000000000001</v>
      </c>
      <c r="M506" s="15">
        <f t="shared" si="122"/>
        <v>1.0011000000000001</v>
      </c>
      <c r="N506" s="5"/>
      <c r="O506" s="5"/>
      <c r="P506" s="5">
        <v>1</v>
      </c>
      <c r="Q506" s="5">
        <v>1</v>
      </c>
      <c r="R506" s="5" t="str">
        <f t="shared" si="113"/>
        <v>228-2022-12-31</v>
      </c>
    </row>
    <row r="507" spans="1:18" x14ac:dyDescent="0.3">
      <c r="A507" s="5">
        <v>228</v>
      </c>
      <c r="B507" s="5" t="s">
        <v>106</v>
      </c>
      <c r="C507" s="5" t="s">
        <v>90</v>
      </c>
      <c r="D507" s="5" t="s">
        <v>25</v>
      </c>
      <c r="E507" s="5" t="s">
        <v>9</v>
      </c>
      <c r="F507" s="6">
        <v>45657</v>
      </c>
      <c r="G507" s="5">
        <f t="shared" si="112"/>
        <v>2024</v>
      </c>
      <c r="H507" s="5" t="str">
        <f t="shared" si="120"/>
        <v>Diciembre</v>
      </c>
      <c r="I507" s="6" t="str">
        <f t="shared" si="121"/>
        <v>2024-2</v>
      </c>
      <c r="J507" s="5"/>
      <c r="K507" s="5"/>
      <c r="L507" s="15" t="str">
        <f>IFERROR(IF((K507/J507)&gt;1.3,1.3,K507/J507),"")</f>
        <v/>
      </c>
      <c r="M507" s="15" t="str">
        <f t="shared" si="122"/>
        <v/>
      </c>
      <c r="N507" s="5"/>
      <c r="O507" s="5"/>
      <c r="P507" s="5">
        <v>0</v>
      </c>
      <c r="Q507" s="5">
        <v>0</v>
      </c>
      <c r="R507" s="5" t="str">
        <f t="shared" si="113"/>
        <v>228-2024-12-31</v>
      </c>
    </row>
    <row r="508" spans="1:18" x14ac:dyDescent="0.3">
      <c r="A508" s="43">
        <v>230</v>
      </c>
      <c r="B508" s="5" t="s">
        <v>107</v>
      </c>
      <c r="C508" s="5" t="s">
        <v>90</v>
      </c>
      <c r="D508" s="5" t="s">
        <v>8</v>
      </c>
      <c r="E508" s="5" t="s">
        <v>9</v>
      </c>
      <c r="F508" s="6">
        <v>45107</v>
      </c>
      <c r="G508" s="5">
        <f t="shared" si="112"/>
        <v>2023</v>
      </c>
      <c r="H508" s="5" t="str">
        <f t="shared" si="120"/>
        <v>Junio</v>
      </c>
      <c r="I508" s="6" t="str">
        <f t="shared" si="121"/>
        <v>2023-1</v>
      </c>
      <c r="J508" s="5">
        <v>15</v>
      </c>
      <c r="K508" s="5">
        <v>15</v>
      </c>
      <c r="L508" s="21" t="s">
        <v>417</v>
      </c>
      <c r="M508" s="15">
        <f t="shared" si="122"/>
        <v>1</v>
      </c>
      <c r="N508" s="5"/>
      <c r="O508" s="5"/>
      <c r="P508" s="5">
        <v>0</v>
      </c>
      <c r="Q508" s="5">
        <v>0</v>
      </c>
      <c r="R508" s="5" t="str">
        <f t="shared" si="113"/>
        <v>230-2023-06-30</v>
      </c>
    </row>
    <row r="509" spans="1:18" x14ac:dyDescent="0.3">
      <c r="A509" s="39">
        <v>230</v>
      </c>
      <c r="B509" s="5" t="s">
        <v>107</v>
      </c>
      <c r="C509" s="5" t="s">
        <v>90</v>
      </c>
      <c r="D509" s="5" t="s">
        <v>8</v>
      </c>
      <c r="E509" s="5" t="s">
        <v>9</v>
      </c>
      <c r="F509" s="6">
        <v>45291</v>
      </c>
      <c r="G509" s="5">
        <f t="shared" si="112"/>
        <v>2023</v>
      </c>
      <c r="H509" s="5" t="str">
        <f t="shared" si="120"/>
        <v>Diciembre</v>
      </c>
      <c r="I509" s="6" t="str">
        <f t="shared" si="121"/>
        <v>2023-2</v>
      </c>
      <c r="J509" s="5">
        <v>15</v>
      </c>
      <c r="K509" s="5">
        <v>0</v>
      </c>
      <c r="L509" s="21">
        <f>IFERROR(K509/J509,"")</f>
        <v>0</v>
      </c>
      <c r="M509" s="15">
        <f t="shared" si="122"/>
        <v>0</v>
      </c>
      <c r="N509" s="5"/>
      <c r="O509" s="5"/>
      <c r="P509" s="5">
        <v>0</v>
      </c>
      <c r="Q509" s="5">
        <v>0</v>
      </c>
      <c r="R509" s="5" t="str">
        <f t="shared" si="113"/>
        <v>230-2023-12-31</v>
      </c>
    </row>
    <row r="510" spans="1:18" x14ac:dyDescent="0.3">
      <c r="A510" s="5">
        <v>230</v>
      </c>
      <c r="B510" s="5" t="s">
        <v>107</v>
      </c>
      <c r="C510" s="5" t="s">
        <v>90</v>
      </c>
      <c r="D510" s="5" t="s">
        <v>8</v>
      </c>
      <c r="E510" s="5" t="s">
        <v>9</v>
      </c>
      <c r="F510" s="6">
        <v>45473</v>
      </c>
      <c r="G510" s="5">
        <f t="shared" si="112"/>
        <v>2024</v>
      </c>
      <c r="H510" s="5" t="str">
        <f t="shared" si="120"/>
        <v>Junio</v>
      </c>
      <c r="I510" s="6" t="str">
        <f t="shared" si="121"/>
        <v>2024-1</v>
      </c>
      <c r="J510" s="5">
        <v>90</v>
      </c>
      <c r="K510" s="5">
        <v>100</v>
      </c>
      <c r="L510" s="15">
        <f>IFERROR(IF((K510/J510)&gt;1.3,1.3,K510/J510),"")</f>
        <v>1.1111111111111112</v>
      </c>
      <c r="M510" s="15">
        <f t="shared" si="122"/>
        <v>1.1111111111111112</v>
      </c>
      <c r="N510" s="5"/>
      <c r="O510" s="5"/>
      <c r="P510" s="5">
        <v>0</v>
      </c>
      <c r="Q510" s="5">
        <v>0</v>
      </c>
      <c r="R510" s="5" t="str">
        <f t="shared" si="113"/>
        <v>230-2024-06-30</v>
      </c>
    </row>
    <row r="511" spans="1:18" x14ac:dyDescent="0.3">
      <c r="A511" s="5">
        <v>230</v>
      </c>
      <c r="B511" s="5" t="s">
        <v>107</v>
      </c>
      <c r="C511" s="5" t="s">
        <v>90</v>
      </c>
      <c r="D511" s="5" t="s">
        <v>8</v>
      </c>
      <c r="E511" s="5" t="s">
        <v>9</v>
      </c>
      <c r="F511" s="6">
        <v>45657</v>
      </c>
      <c r="G511" s="5">
        <f t="shared" si="112"/>
        <v>2024</v>
      </c>
      <c r="H511" s="5" t="str">
        <f t="shared" si="120"/>
        <v>Diciembre</v>
      </c>
      <c r="I511" s="6" t="str">
        <f t="shared" si="121"/>
        <v>2024-2</v>
      </c>
      <c r="J511" s="5">
        <v>90</v>
      </c>
      <c r="K511" s="5">
        <v>100</v>
      </c>
      <c r="L511" s="15">
        <f>IFERROR(IF((K511/J511)&gt;1.3,1.3,K511/J511),"")</f>
        <v>1.1111111111111112</v>
      </c>
      <c r="M511" s="15">
        <f t="shared" si="122"/>
        <v>1.1111111111111112</v>
      </c>
      <c r="N511" s="5"/>
      <c r="O511" s="5"/>
      <c r="P511" s="5">
        <v>0</v>
      </c>
      <c r="Q511" s="5">
        <v>0</v>
      </c>
      <c r="R511" s="5" t="str">
        <f t="shared" si="113"/>
        <v>230-2024-12-31</v>
      </c>
    </row>
    <row r="512" spans="1:18" x14ac:dyDescent="0.3">
      <c r="A512" s="43">
        <v>231</v>
      </c>
      <c r="B512" s="5" t="s">
        <v>108</v>
      </c>
      <c r="C512" s="5" t="s">
        <v>90</v>
      </c>
      <c r="D512" s="5" t="s">
        <v>8</v>
      </c>
      <c r="E512" s="5" t="s">
        <v>9</v>
      </c>
      <c r="F512" s="6">
        <v>45107</v>
      </c>
      <c r="G512" s="5">
        <f t="shared" si="112"/>
        <v>2023</v>
      </c>
      <c r="H512" s="5" t="str">
        <f t="shared" si="120"/>
        <v>Junio</v>
      </c>
      <c r="I512" s="6" t="str">
        <f t="shared" si="121"/>
        <v>2023-1</v>
      </c>
      <c r="J512" s="5">
        <v>35</v>
      </c>
      <c r="K512" s="5">
        <v>38.235294117647101</v>
      </c>
      <c r="L512" s="21" t="s">
        <v>417</v>
      </c>
      <c r="M512" s="15">
        <f t="shared" si="122"/>
        <v>1.0924369747899172</v>
      </c>
      <c r="N512" s="5"/>
      <c r="O512" s="5"/>
      <c r="P512" s="5">
        <v>0</v>
      </c>
      <c r="Q512" s="5">
        <v>0</v>
      </c>
      <c r="R512" s="5" t="str">
        <f t="shared" si="113"/>
        <v>231-2023-06-30</v>
      </c>
    </row>
    <row r="513" spans="1:18" x14ac:dyDescent="0.3">
      <c r="A513" s="39">
        <v>231</v>
      </c>
      <c r="B513" s="5" t="s">
        <v>108</v>
      </c>
      <c r="C513" s="5" t="s">
        <v>90</v>
      </c>
      <c r="D513" s="5" t="s">
        <v>8</v>
      </c>
      <c r="E513" s="5" t="s">
        <v>9</v>
      </c>
      <c r="F513" s="6">
        <v>45291</v>
      </c>
      <c r="G513" s="5">
        <f t="shared" si="112"/>
        <v>2023</v>
      </c>
      <c r="H513" s="5" t="str">
        <f t="shared" si="120"/>
        <v>Diciembre</v>
      </c>
      <c r="I513" s="6" t="str">
        <f t="shared" si="121"/>
        <v>2023-2</v>
      </c>
      <c r="J513" s="5">
        <v>35</v>
      </c>
      <c r="K513" s="5">
        <v>0</v>
      </c>
      <c r="L513" s="21">
        <f>IFERROR(K513/J513,"")</f>
        <v>0</v>
      </c>
      <c r="M513" s="15">
        <f t="shared" si="122"/>
        <v>0</v>
      </c>
      <c r="N513" s="5"/>
      <c r="O513" s="5"/>
      <c r="P513" s="5">
        <v>0</v>
      </c>
      <c r="Q513" s="5">
        <v>0</v>
      </c>
      <c r="R513" s="5" t="str">
        <f t="shared" si="113"/>
        <v>231-2023-12-31</v>
      </c>
    </row>
    <row r="514" spans="1:18" x14ac:dyDescent="0.3">
      <c r="A514" s="5">
        <v>231</v>
      </c>
      <c r="B514" s="5" t="s">
        <v>108</v>
      </c>
      <c r="C514" s="5" t="s">
        <v>90</v>
      </c>
      <c r="D514" s="5" t="s">
        <v>8</v>
      </c>
      <c r="E514" s="5" t="s">
        <v>9</v>
      </c>
      <c r="F514" s="6">
        <v>45473</v>
      </c>
      <c r="G514" s="5">
        <f t="shared" ref="G514:G565" si="123">YEAR(F514)</f>
        <v>2024</v>
      </c>
      <c r="H514" s="5" t="str">
        <f t="shared" si="120"/>
        <v>Junio</v>
      </c>
      <c r="I514" s="6" t="str">
        <f t="shared" si="121"/>
        <v>2024-1</v>
      </c>
      <c r="J514" s="5">
        <v>35</v>
      </c>
      <c r="K514" s="5">
        <v>96.75</v>
      </c>
      <c r="L514" s="15">
        <f>IFERROR(IF((K514/J514)&gt;1.3,1.3,K514/J514),"")</f>
        <v>1.3</v>
      </c>
      <c r="M514" s="15">
        <f t="shared" si="122"/>
        <v>2.7642857142857142</v>
      </c>
      <c r="N514" s="5"/>
      <c r="O514" s="5"/>
      <c r="P514" s="5">
        <v>0</v>
      </c>
      <c r="Q514" s="5">
        <v>0</v>
      </c>
      <c r="R514" s="5" t="str">
        <f t="shared" ref="R514:R577" si="124">A514&amp;"-"&amp;YEAR(F514)&amp;"-"&amp;IF(LEN(MONTH(F514))=1,"0"&amp;MONTH(F514),MONTH(F514))&amp;"-"&amp;DAY(F514)</f>
        <v>231-2024-06-30</v>
      </c>
    </row>
    <row r="515" spans="1:18" x14ac:dyDescent="0.3">
      <c r="A515" s="5">
        <v>231</v>
      </c>
      <c r="B515" s="5" t="s">
        <v>108</v>
      </c>
      <c r="C515" s="5" t="s">
        <v>90</v>
      </c>
      <c r="D515" s="5" t="s">
        <v>8</v>
      </c>
      <c r="E515" s="5" t="s">
        <v>9</v>
      </c>
      <c r="F515" s="6">
        <v>45657</v>
      </c>
      <c r="G515" s="5">
        <f t="shared" si="123"/>
        <v>2024</v>
      </c>
      <c r="H515" s="5" t="str">
        <f t="shared" si="120"/>
        <v>Diciembre</v>
      </c>
      <c r="I515" s="6" t="str">
        <f t="shared" si="121"/>
        <v>2024-2</v>
      </c>
      <c r="J515" s="5">
        <v>35</v>
      </c>
      <c r="K515" s="5">
        <v>104.19</v>
      </c>
      <c r="L515" s="15">
        <f>IFERROR(IF((K515/J515)&gt;1.3,1.3,K515/J515),"")</f>
        <v>1.3</v>
      </c>
      <c r="M515" s="15">
        <f t="shared" si="122"/>
        <v>2.9768571428571429</v>
      </c>
      <c r="N515" s="5"/>
      <c r="O515" s="5"/>
      <c r="P515" s="5">
        <v>0</v>
      </c>
      <c r="Q515" s="5">
        <v>0</v>
      </c>
      <c r="R515" s="5" t="str">
        <f t="shared" si="124"/>
        <v>231-2024-12-31</v>
      </c>
    </row>
    <row r="516" spans="1:18" x14ac:dyDescent="0.3">
      <c r="A516" s="43">
        <v>232</v>
      </c>
      <c r="B516" s="5" t="s">
        <v>109</v>
      </c>
      <c r="C516" s="5" t="s">
        <v>90</v>
      </c>
      <c r="D516" s="5" t="s">
        <v>8</v>
      </c>
      <c r="E516" s="5" t="s">
        <v>9</v>
      </c>
      <c r="F516" s="6">
        <v>45107</v>
      </c>
      <c r="G516" s="5">
        <f t="shared" si="123"/>
        <v>2023</v>
      </c>
      <c r="H516" s="5" t="str">
        <f t="shared" si="120"/>
        <v>Junio</v>
      </c>
      <c r="I516" s="6" t="str">
        <f t="shared" si="121"/>
        <v>2023-1</v>
      </c>
      <c r="J516" s="5">
        <v>21</v>
      </c>
      <c r="K516" s="5">
        <v>21</v>
      </c>
      <c r="L516" s="21" t="s">
        <v>417</v>
      </c>
      <c r="M516" s="15">
        <f t="shared" si="122"/>
        <v>1</v>
      </c>
      <c r="N516" s="5"/>
      <c r="O516" s="5"/>
      <c r="P516" s="5">
        <v>0</v>
      </c>
      <c r="Q516" s="5">
        <v>0</v>
      </c>
      <c r="R516" s="5" t="str">
        <f t="shared" si="124"/>
        <v>232-2023-06-30</v>
      </c>
    </row>
    <row r="517" spans="1:18" x14ac:dyDescent="0.3">
      <c r="A517" s="39">
        <v>232</v>
      </c>
      <c r="B517" s="5" t="s">
        <v>109</v>
      </c>
      <c r="C517" s="5" t="s">
        <v>90</v>
      </c>
      <c r="D517" s="5" t="s">
        <v>8</v>
      </c>
      <c r="E517" s="5" t="s">
        <v>9</v>
      </c>
      <c r="F517" s="6">
        <v>45291</v>
      </c>
      <c r="G517" s="5">
        <f t="shared" si="123"/>
        <v>2023</v>
      </c>
      <c r="H517" s="5" t="str">
        <f t="shared" si="120"/>
        <v>Diciembre</v>
      </c>
      <c r="I517" s="6" t="str">
        <f t="shared" si="121"/>
        <v>2023-2</v>
      </c>
      <c r="J517" s="5">
        <v>21</v>
      </c>
      <c r="K517" s="5">
        <v>0</v>
      </c>
      <c r="L517" s="21">
        <f>IFERROR(K517/J517,"")</f>
        <v>0</v>
      </c>
      <c r="M517" s="15">
        <f t="shared" si="122"/>
        <v>0</v>
      </c>
      <c r="N517" s="5"/>
      <c r="O517" s="5"/>
      <c r="P517" s="5">
        <v>0</v>
      </c>
      <c r="Q517" s="5">
        <v>0</v>
      </c>
      <c r="R517" s="5" t="str">
        <f t="shared" si="124"/>
        <v>232-2023-12-31</v>
      </c>
    </row>
    <row r="518" spans="1:18" x14ac:dyDescent="0.3">
      <c r="A518" s="5">
        <v>232</v>
      </c>
      <c r="B518" s="5" t="s">
        <v>109</v>
      </c>
      <c r="C518" s="5" t="s">
        <v>90</v>
      </c>
      <c r="D518" s="5" t="s">
        <v>8</v>
      </c>
      <c r="E518" s="5" t="s">
        <v>9</v>
      </c>
      <c r="F518" s="6">
        <v>45473</v>
      </c>
      <c r="G518" s="5">
        <f t="shared" si="123"/>
        <v>2024</v>
      </c>
      <c r="H518" s="5" t="str">
        <f t="shared" si="120"/>
        <v>Junio</v>
      </c>
      <c r="I518" s="6" t="str">
        <f t="shared" si="121"/>
        <v>2024-1</v>
      </c>
      <c r="J518" s="5">
        <v>90</v>
      </c>
      <c r="K518" s="5">
        <v>95.45</v>
      </c>
      <c r="L518" s="15">
        <f>IFERROR(IF((K518/J518)&gt;1.3,1.3,K518/J518),"")</f>
        <v>1.0605555555555557</v>
      </c>
      <c r="M518" s="15">
        <f t="shared" si="122"/>
        <v>1.0605555555555557</v>
      </c>
      <c r="N518" s="5"/>
      <c r="O518" s="5"/>
      <c r="P518" s="5">
        <v>0</v>
      </c>
      <c r="Q518" s="5">
        <v>0</v>
      </c>
      <c r="R518" s="5" t="str">
        <f t="shared" si="124"/>
        <v>232-2024-06-30</v>
      </c>
    </row>
    <row r="519" spans="1:18" x14ac:dyDescent="0.3">
      <c r="A519" s="5">
        <v>232</v>
      </c>
      <c r="B519" s="5" t="s">
        <v>109</v>
      </c>
      <c r="C519" s="5" t="s">
        <v>90</v>
      </c>
      <c r="D519" s="5" t="s">
        <v>8</v>
      </c>
      <c r="E519" s="5" t="s">
        <v>9</v>
      </c>
      <c r="F519" s="6">
        <v>45657</v>
      </c>
      <c r="G519" s="5">
        <f t="shared" si="123"/>
        <v>2024</v>
      </c>
      <c r="H519" s="5" t="str">
        <f t="shared" si="120"/>
        <v>Diciembre</v>
      </c>
      <c r="I519" s="6" t="str">
        <f t="shared" si="121"/>
        <v>2024-2</v>
      </c>
      <c r="J519" s="5">
        <v>90</v>
      </c>
      <c r="K519" s="5">
        <v>100</v>
      </c>
      <c r="L519" s="15">
        <f>IFERROR(IF((K519/J519)&gt;1.3,1.3,K519/J519),"")</f>
        <v>1.1111111111111112</v>
      </c>
      <c r="M519" s="15">
        <f t="shared" si="122"/>
        <v>1.1111111111111112</v>
      </c>
      <c r="N519" s="5"/>
      <c r="O519" s="5"/>
      <c r="P519" s="5">
        <v>0</v>
      </c>
      <c r="Q519" s="5">
        <v>0</v>
      </c>
      <c r="R519" s="5" t="str">
        <f t="shared" si="124"/>
        <v>232-2024-12-31</v>
      </c>
    </row>
    <row r="520" spans="1:18" x14ac:dyDescent="0.3">
      <c r="A520" s="54">
        <v>233</v>
      </c>
      <c r="B520" s="5" t="s">
        <v>110</v>
      </c>
      <c r="C520" s="5" t="s">
        <v>90</v>
      </c>
      <c r="D520" s="5" t="s">
        <v>11</v>
      </c>
      <c r="E520" s="5" t="s">
        <v>9</v>
      </c>
      <c r="F520" s="6">
        <v>45016</v>
      </c>
      <c r="G520" s="5">
        <f t="shared" si="123"/>
        <v>2023</v>
      </c>
      <c r="H520" s="5" t="str">
        <f t="shared" si="120"/>
        <v>Marzo</v>
      </c>
      <c r="I520" s="6" t="str">
        <f t="shared" si="121"/>
        <v>2023-1</v>
      </c>
      <c r="J520" s="5">
        <v>20</v>
      </c>
      <c r="K520" s="5">
        <v>64.290000000000006</v>
      </c>
      <c r="L520" s="21" t="s">
        <v>417</v>
      </c>
      <c r="M520" s="15">
        <f t="shared" si="122"/>
        <v>3.2145000000000001</v>
      </c>
      <c r="N520" s="5"/>
      <c r="O520" s="5"/>
      <c r="P520" s="5">
        <v>0</v>
      </c>
      <c r="Q520" s="5">
        <v>0</v>
      </c>
      <c r="R520" s="5" t="str">
        <f t="shared" si="124"/>
        <v>233-2023-03-31</v>
      </c>
    </row>
    <row r="521" spans="1:18" x14ac:dyDescent="0.3">
      <c r="A521" s="39">
        <v>233</v>
      </c>
      <c r="B521" s="5" t="s">
        <v>110</v>
      </c>
      <c r="C521" s="5" t="s">
        <v>90</v>
      </c>
      <c r="D521" s="5" t="s">
        <v>11</v>
      </c>
      <c r="E521" s="5" t="s">
        <v>9</v>
      </c>
      <c r="F521" s="6">
        <v>45107</v>
      </c>
      <c r="G521" s="5">
        <f t="shared" si="123"/>
        <v>2023</v>
      </c>
      <c r="H521" s="5" t="str">
        <f t="shared" si="120"/>
        <v>Junio</v>
      </c>
      <c r="I521" s="6" t="str">
        <f t="shared" si="121"/>
        <v>2023-1</v>
      </c>
      <c r="J521" s="5">
        <v>20</v>
      </c>
      <c r="K521" s="5">
        <v>37.700000000000003</v>
      </c>
      <c r="L521" s="21" t="s">
        <v>417</v>
      </c>
      <c r="M521" s="15">
        <f t="shared" si="122"/>
        <v>1.8850000000000002</v>
      </c>
      <c r="N521" s="5"/>
      <c r="O521" s="5"/>
      <c r="P521" s="5">
        <v>0</v>
      </c>
      <c r="Q521" s="5">
        <v>0</v>
      </c>
      <c r="R521" s="5" t="str">
        <f t="shared" si="124"/>
        <v>233-2023-06-30</v>
      </c>
    </row>
    <row r="522" spans="1:18" x14ac:dyDescent="0.3">
      <c r="A522" s="43">
        <v>233</v>
      </c>
      <c r="B522" s="5" t="s">
        <v>110</v>
      </c>
      <c r="C522" s="5" t="s">
        <v>90</v>
      </c>
      <c r="D522" s="5" t="s">
        <v>11</v>
      </c>
      <c r="E522" s="5" t="s">
        <v>9</v>
      </c>
      <c r="F522" s="6">
        <v>45199</v>
      </c>
      <c r="G522" s="5">
        <f t="shared" si="123"/>
        <v>2023</v>
      </c>
      <c r="H522" s="5" t="str">
        <f t="shared" si="120"/>
        <v>Septiembre</v>
      </c>
      <c r="I522" s="6" t="str">
        <f t="shared" si="121"/>
        <v>2023-2</v>
      </c>
      <c r="J522" s="5">
        <v>20</v>
      </c>
      <c r="K522" s="5">
        <v>0</v>
      </c>
      <c r="L522" s="21" t="s">
        <v>417</v>
      </c>
      <c r="M522" s="15">
        <f t="shared" si="122"/>
        <v>0</v>
      </c>
      <c r="N522" s="5"/>
      <c r="O522" s="5"/>
      <c r="P522" s="5">
        <v>0</v>
      </c>
      <c r="Q522" s="5">
        <v>0</v>
      </c>
      <c r="R522" s="5" t="str">
        <f t="shared" si="124"/>
        <v>233-2023-09-30</v>
      </c>
    </row>
    <row r="523" spans="1:18" x14ac:dyDescent="0.3">
      <c r="A523" s="39">
        <v>233</v>
      </c>
      <c r="B523" s="5" t="s">
        <v>110</v>
      </c>
      <c r="C523" s="5" t="s">
        <v>90</v>
      </c>
      <c r="D523" s="5" t="s">
        <v>11</v>
      </c>
      <c r="E523" s="5" t="s">
        <v>9</v>
      </c>
      <c r="F523" s="6">
        <v>45291</v>
      </c>
      <c r="G523" s="5">
        <f t="shared" si="123"/>
        <v>2023</v>
      </c>
      <c r="H523" s="5" t="str">
        <f t="shared" si="120"/>
        <v>Diciembre</v>
      </c>
      <c r="I523" s="6" t="str">
        <f t="shared" si="121"/>
        <v>2023-2</v>
      </c>
      <c r="J523" s="5">
        <v>20</v>
      </c>
      <c r="K523" s="5">
        <v>0</v>
      </c>
      <c r="L523" s="21">
        <f>IFERROR(K523/J523,"")</f>
        <v>0</v>
      </c>
      <c r="M523" s="15">
        <f t="shared" si="122"/>
        <v>0</v>
      </c>
      <c r="N523" s="5"/>
      <c r="O523" s="5"/>
      <c r="P523" s="5">
        <v>0</v>
      </c>
      <c r="Q523" s="5">
        <v>0</v>
      </c>
      <c r="R523" s="5" t="str">
        <f t="shared" si="124"/>
        <v>233-2023-12-31</v>
      </c>
    </row>
    <row r="524" spans="1:18" x14ac:dyDescent="0.3">
      <c r="A524" s="5">
        <v>233</v>
      </c>
      <c r="B524" s="5" t="s">
        <v>110</v>
      </c>
      <c r="C524" s="5" t="s">
        <v>90</v>
      </c>
      <c r="D524" s="5" t="s">
        <v>11</v>
      </c>
      <c r="E524" s="5" t="s">
        <v>9</v>
      </c>
      <c r="F524" s="6">
        <v>45473</v>
      </c>
      <c r="G524" s="5">
        <f t="shared" si="123"/>
        <v>2024</v>
      </c>
      <c r="H524" s="5" t="str">
        <f t="shared" si="120"/>
        <v>Junio</v>
      </c>
      <c r="I524" s="6" t="str">
        <f t="shared" si="121"/>
        <v>2024-1</v>
      </c>
      <c r="J524" s="5">
        <v>20</v>
      </c>
      <c r="K524" s="5">
        <v>18.57</v>
      </c>
      <c r="L524" s="15">
        <f>IFERROR(IF((K524/J524)&gt;1.3,1.3,K524/J524),"")</f>
        <v>0.92849999999999999</v>
      </c>
      <c r="M524" s="15">
        <f t="shared" si="122"/>
        <v>0.92849999999999999</v>
      </c>
      <c r="N524" s="5"/>
      <c r="O524" s="5"/>
      <c r="P524" s="5">
        <v>0</v>
      </c>
      <c r="Q524" s="5">
        <v>0</v>
      </c>
      <c r="R524" s="5" t="str">
        <f t="shared" si="124"/>
        <v>233-2024-06-30</v>
      </c>
    </row>
    <row r="525" spans="1:18" x14ac:dyDescent="0.3">
      <c r="A525" s="5">
        <v>233</v>
      </c>
      <c r="B525" s="5" t="s">
        <v>110</v>
      </c>
      <c r="C525" s="5" t="s">
        <v>90</v>
      </c>
      <c r="D525" s="5" t="s">
        <v>11</v>
      </c>
      <c r="E525" s="5" t="s">
        <v>9</v>
      </c>
      <c r="F525" s="6">
        <v>45657</v>
      </c>
      <c r="G525" s="5">
        <f t="shared" si="123"/>
        <v>2024</v>
      </c>
      <c r="H525" s="5" t="str">
        <f t="shared" si="120"/>
        <v>Diciembre</v>
      </c>
      <c r="I525" s="6" t="str">
        <f t="shared" si="121"/>
        <v>2024-2</v>
      </c>
      <c r="J525" s="5">
        <v>20</v>
      </c>
      <c r="K525" s="5">
        <v>31.82</v>
      </c>
      <c r="L525" s="15">
        <f>IFERROR(IF((K525/J525)&gt;1.3,1.3,K525/J525),"")</f>
        <v>1.3</v>
      </c>
      <c r="M525" s="15">
        <f t="shared" si="122"/>
        <v>1.591</v>
      </c>
      <c r="N525" s="5"/>
      <c r="O525" s="5"/>
      <c r="P525" s="5">
        <v>0</v>
      </c>
      <c r="Q525" s="5">
        <v>0</v>
      </c>
      <c r="R525" s="5" t="str">
        <f t="shared" si="124"/>
        <v>233-2024-12-31</v>
      </c>
    </row>
    <row r="526" spans="1:18" x14ac:dyDescent="0.3">
      <c r="A526" s="54">
        <v>234</v>
      </c>
      <c r="B526" s="5" t="s">
        <v>111</v>
      </c>
      <c r="C526" s="5" t="s">
        <v>90</v>
      </c>
      <c r="D526" s="5" t="s">
        <v>11</v>
      </c>
      <c r="E526" s="5" t="s">
        <v>9</v>
      </c>
      <c r="F526" s="6">
        <v>45016</v>
      </c>
      <c r="G526" s="5">
        <f t="shared" si="123"/>
        <v>2023</v>
      </c>
      <c r="H526" s="5" t="str">
        <f t="shared" si="120"/>
        <v>Marzo</v>
      </c>
      <c r="I526" s="6" t="str">
        <f t="shared" si="121"/>
        <v>2023-1</v>
      </c>
      <c r="J526" s="5">
        <v>4000</v>
      </c>
      <c r="K526" s="5">
        <v>3692.25</v>
      </c>
      <c r="L526" s="21" t="s">
        <v>417</v>
      </c>
      <c r="M526" s="15">
        <f t="shared" si="122"/>
        <v>0.92306250000000001</v>
      </c>
      <c r="N526" s="5"/>
      <c r="O526" s="5"/>
      <c r="P526" s="5">
        <v>0</v>
      </c>
      <c r="Q526" s="5">
        <v>0</v>
      </c>
      <c r="R526" s="5" t="str">
        <f t="shared" si="124"/>
        <v>234-2023-03-31</v>
      </c>
    </row>
    <row r="527" spans="1:18" x14ac:dyDescent="0.3">
      <c r="A527" s="39">
        <v>234</v>
      </c>
      <c r="B527" s="5" t="s">
        <v>111</v>
      </c>
      <c r="C527" s="5" t="s">
        <v>90</v>
      </c>
      <c r="D527" s="5" t="s">
        <v>11</v>
      </c>
      <c r="E527" s="5" t="s">
        <v>9</v>
      </c>
      <c r="F527" s="6">
        <v>45107</v>
      </c>
      <c r="G527" s="5">
        <f t="shared" si="123"/>
        <v>2023</v>
      </c>
      <c r="H527" s="5" t="str">
        <f t="shared" si="120"/>
        <v>Junio</v>
      </c>
      <c r="I527" s="6" t="str">
        <f t="shared" si="121"/>
        <v>2023-1</v>
      </c>
      <c r="J527" s="5">
        <v>4000</v>
      </c>
      <c r="K527" s="5">
        <v>14714.5</v>
      </c>
      <c r="L527" s="21" t="s">
        <v>417</v>
      </c>
      <c r="M527" s="15">
        <f t="shared" si="122"/>
        <v>3.6786249999999998</v>
      </c>
      <c r="N527" s="5"/>
      <c r="O527" s="5"/>
      <c r="P527" s="5">
        <v>0</v>
      </c>
      <c r="Q527" s="5">
        <v>0</v>
      </c>
      <c r="R527" s="5" t="str">
        <f t="shared" si="124"/>
        <v>234-2023-06-30</v>
      </c>
    </row>
    <row r="528" spans="1:18" x14ac:dyDescent="0.3">
      <c r="A528" s="43">
        <v>234</v>
      </c>
      <c r="B528" s="5" t="s">
        <v>111</v>
      </c>
      <c r="C528" s="5" t="s">
        <v>90</v>
      </c>
      <c r="D528" s="5" t="s">
        <v>11</v>
      </c>
      <c r="E528" s="5" t="s">
        <v>9</v>
      </c>
      <c r="F528" s="6">
        <v>45199</v>
      </c>
      <c r="G528" s="5">
        <f t="shared" si="123"/>
        <v>2023</v>
      </c>
      <c r="H528" s="5" t="str">
        <f t="shared" si="120"/>
        <v>Septiembre</v>
      </c>
      <c r="I528" s="6" t="str">
        <f t="shared" si="121"/>
        <v>2023-2</v>
      </c>
      <c r="J528" s="5">
        <v>4000</v>
      </c>
      <c r="K528" s="5" t="s">
        <v>417</v>
      </c>
      <c r="L528" s="21" t="s">
        <v>417</v>
      </c>
      <c r="M528" s="15" t="str">
        <f t="shared" si="122"/>
        <v/>
      </c>
      <c r="N528" s="5"/>
      <c r="O528" s="5"/>
      <c r="P528" s="5">
        <v>0</v>
      </c>
      <c r="Q528" s="5">
        <v>0</v>
      </c>
      <c r="R528" s="5" t="str">
        <f t="shared" si="124"/>
        <v>234-2023-09-30</v>
      </c>
    </row>
    <row r="529" spans="1:18" x14ac:dyDescent="0.3">
      <c r="A529" s="39">
        <v>234</v>
      </c>
      <c r="B529" s="5" t="s">
        <v>111</v>
      </c>
      <c r="C529" s="5" t="s">
        <v>90</v>
      </c>
      <c r="D529" s="5" t="s">
        <v>11</v>
      </c>
      <c r="E529" s="5" t="s">
        <v>9</v>
      </c>
      <c r="F529" s="6">
        <v>45291</v>
      </c>
      <c r="G529" s="5">
        <f t="shared" si="123"/>
        <v>2023</v>
      </c>
      <c r="H529" s="5" t="str">
        <f t="shared" si="120"/>
        <v>Diciembre</v>
      </c>
      <c r="I529" s="6" t="str">
        <f t="shared" ref="I529:I542" si="125">IF(OR(H529="Enero",H529="Febrero",H529="Marzo",H529="Abril",H529="Mayo",H529="Junio"),G529&amp;"-1",IF(OR(H529="Julio",H529="Agosto",H529="Septiembre",H529="Octubre",H529="Noviembre",H529="Diciembre"),G529&amp;"-2"))</f>
        <v>2023-2</v>
      </c>
      <c r="J529" s="5">
        <v>4000</v>
      </c>
      <c r="K529" s="5">
        <v>0</v>
      </c>
      <c r="L529" s="21">
        <f>IFERROR(K529/J529,"")</f>
        <v>0</v>
      </c>
      <c r="M529" s="15">
        <f t="shared" si="122"/>
        <v>0</v>
      </c>
      <c r="N529" s="5"/>
      <c r="O529" s="5"/>
      <c r="P529" s="5">
        <v>0</v>
      </c>
      <c r="Q529" s="5">
        <v>0</v>
      </c>
      <c r="R529" s="5" t="str">
        <f t="shared" si="124"/>
        <v>234-2023-12-31</v>
      </c>
    </row>
    <row r="530" spans="1:18" x14ac:dyDescent="0.3">
      <c r="A530" s="5">
        <v>234</v>
      </c>
      <c r="B530" s="5" t="s">
        <v>111</v>
      </c>
      <c r="C530" s="5" t="s">
        <v>90</v>
      </c>
      <c r="D530" s="5" t="s">
        <v>11</v>
      </c>
      <c r="E530" s="5" t="s">
        <v>9</v>
      </c>
      <c r="F530" s="6">
        <v>45473</v>
      </c>
      <c r="G530" s="5">
        <f t="shared" si="123"/>
        <v>2024</v>
      </c>
      <c r="H530" s="5" t="str">
        <f t="shared" si="120"/>
        <v>Junio</v>
      </c>
      <c r="I530" s="6" t="str">
        <f t="shared" si="125"/>
        <v>2024-1</v>
      </c>
      <c r="J530" s="5">
        <v>4000</v>
      </c>
      <c r="K530" s="5">
        <v>1935.4</v>
      </c>
      <c r="L530" s="15">
        <f>IFERROR(IF((K530/J530)&gt;1.3,1.3,K530/J530),"")</f>
        <v>0.48385</v>
      </c>
      <c r="M530" s="15">
        <f t="shared" si="122"/>
        <v>0.48385</v>
      </c>
      <c r="N530" s="5"/>
      <c r="O530" s="5"/>
      <c r="P530" s="5">
        <v>0</v>
      </c>
      <c r="Q530" s="5">
        <v>0</v>
      </c>
      <c r="R530" s="5" t="str">
        <f t="shared" si="124"/>
        <v>234-2024-06-30</v>
      </c>
    </row>
    <row r="531" spans="1:18" x14ac:dyDescent="0.3">
      <c r="A531" s="5">
        <v>234</v>
      </c>
      <c r="B531" s="5" t="s">
        <v>111</v>
      </c>
      <c r="C531" s="5" t="s">
        <v>90</v>
      </c>
      <c r="D531" s="5" t="s">
        <v>11</v>
      </c>
      <c r="E531" s="5" t="s">
        <v>9</v>
      </c>
      <c r="F531" s="6">
        <v>45657</v>
      </c>
      <c r="G531" s="5">
        <f t="shared" si="123"/>
        <v>2024</v>
      </c>
      <c r="H531" s="5" t="str">
        <f t="shared" si="120"/>
        <v>Diciembre</v>
      </c>
      <c r="I531" s="6" t="str">
        <f t="shared" si="125"/>
        <v>2024-2</v>
      </c>
      <c r="J531" s="5">
        <v>4000</v>
      </c>
      <c r="K531" s="5">
        <v>4218</v>
      </c>
      <c r="L531" s="15">
        <f>IFERROR(IF((K531/J531)&gt;1.3,1.3,K531/J531),"")</f>
        <v>1.0545</v>
      </c>
      <c r="M531" s="15">
        <f t="shared" si="122"/>
        <v>1.0545</v>
      </c>
      <c r="N531" s="5"/>
      <c r="O531" s="5"/>
      <c r="P531" s="5">
        <v>0</v>
      </c>
      <c r="Q531" s="5">
        <v>0</v>
      </c>
      <c r="R531" s="5" t="str">
        <f t="shared" si="124"/>
        <v>234-2024-12-31</v>
      </c>
    </row>
    <row r="532" spans="1:18" x14ac:dyDescent="0.3">
      <c r="A532" s="39">
        <v>235</v>
      </c>
      <c r="B532" s="5" t="s">
        <v>112</v>
      </c>
      <c r="C532" s="5" t="s">
        <v>90</v>
      </c>
      <c r="D532" s="5" t="s">
        <v>25</v>
      </c>
      <c r="E532" s="5" t="s">
        <v>9</v>
      </c>
      <c r="F532" s="6">
        <v>45291</v>
      </c>
      <c r="G532" s="5">
        <f t="shared" si="123"/>
        <v>2023</v>
      </c>
      <c r="H532" s="5" t="str">
        <f t="shared" si="120"/>
        <v>Diciembre</v>
      </c>
      <c r="I532" s="6" t="str">
        <f t="shared" si="125"/>
        <v>2023-2</v>
      </c>
      <c r="J532" s="5" t="s">
        <v>417</v>
      </c>
      <c r="K532" s="5">
        <v>0</v>
      </c>
      <c r="L532" s="21" t="str">
        <f>IFERROR(K532/J532,"")</f>
        <v/>
      </c>
      <c r="M532" s="15" t="str">
        <f t="shared" si="122"/>
        <v/>
      </c>
      <c r="N532" s="5"/>
      <c r="O532" s="5"/>
      <c r="P532" s="5">
        <v>0</v>
      </c>
      <c r="Q532" s="5">
        <v>0</v>
      </c>
      <c r="R532" s="5" t="str">
        <f t="shared" si="124"/>
        <v>235-2023-12-31</v>
      </c>
    </row>
    <row r="533" spans="1:18" x14ac:dyDescent="0.3">
      <c r="A533" s="5">
        <v>235</v>
      </c>
      <c r="B533" s="5" t="s">
        <v>112</v>
      </c>
      <c r="C533" s="5" t="s">
        <v>90</v>
      </c>
      <c r="D533" s="5" t="s">
        <v>25</v>
      </c>
      <c r="E533" s="5" t="s">
        <v>9</v>
      </c>
      <c r="F533" s="6">
        <v>45657</v>
      </c>
      <c r="G533" s="5">
        <f t="shared" si="123"/>
        <v>2024</v>
      </c>
      <c r="H533" s="5" t="str">
        <f t="shared" si="120"/>
        <v>Diciembre</v>
      </c>
      <c r="I533" s="6" t="str">
        <f t="shared" si="125"/>
        <v>2024-2</v>
      </c>
      <c r="J533" s="5">
        <v>100</v>
      </c>
      <c r="K533" s="5">
        <v>92.01</v>
      </c>
      <c r="L533" s="15">
        <f>IFERROR(IF((K533/J533)&gt;1.3,1.3,K533/J533),"")</f>
        <v>0.92010000000000003</v>
      </c>
      <c r="M533" s="15">
        <f t="shared" si="122"/>
        <v>0.92010000000000003</v>
      </c>
      <c r="N533" s="5"/>
      <c r="O533" s="5"/>
      <c r="P533" s="5">
        <v>0</v>
      </c>
      <c r="Q533" s="5">
        <v>0</v>
      </c>
      <c r="R533" s="5" t="str">
        <f t="shared" si="124"/>
        <v>235-2024-12-31</v>
      </c>
    </row>
    <row r="534" spans="1:18" x14ac:dyDescent="0.3">
      <c r="A534" s="39">
        <v>236</v>
      </c>
      <c r="B534" s="5" t="s">
        <v>113</v>
      </c>
      <c r="C534" s="5" t="s">
        <v>90</v>
      </c>
      <c r="D534" s="5" t="s">
        <v>25</v>
      </c>
      <c r="E534" s="5" t="s">
        <v>14</v>
      </c>
      <c r="F534" s="6">
        <v>45291</v>
      </c>
      <c r="G534" s="5">
        <f t="shared" si="123"/>
        <v>2023</v>
      </c>
      <c r="H534" s="5" t="str">
        <f t="shared" si="120"/>
        <v>Diciembre</v>
      </c>
      <c r="I534" s="6" t="str">
        <f t="shared" si="125"/>
        <v>2023-2</v>
      </c>
      <c r="J534" s="5" t="s">
        <v>417</v>
      </c>
      <c r="K534" s="5">
        <v>0</v>
      </c>
      <c r="L534" s="15" t="str">
        <f>IFERROR(IF((J534/K534)&gt;1.3,1.3,J534/K534),"")</f>
        <v/>
      </c>
      <c r="M534" s="15" t="str">
        <f>IFERROR(J534/K534,"")</f>
        <v/>
      </c>
      <c r="N534" s="5"/>
      <c r="O534" s="5"/>
      <c r="P534" s="5">
        <v>0</v>
      </c>
      <c r="Q534" s="5">
        <v>0</v>
      </c>
      <c r="R534" s="5" t="str">
        <f t="shared" si="124"/>
        <v>236-2023-12-31</v>
      </c>
    </row>
    <row r="535" spans="1:18" x14ac:dyDescent="0.3">
      <c r="A535" s="5">
        <v>236</v>
      </c>
      <c r="B535" s="5" t="s">
        <v>113</v>
      </c>
      <c r="C535" s="5" t="s">
        <v>90</v>
      </c>
      <c r="D535" s="5" t="s">
        <v>25</v>
      </c>
      <c r="E535" s="5" t="s">
        <v>14</v>
      </c>
      <c r="F535" s="6">
        <v>45657</v>
      </c>
      <c r="G535" s="5">
        <f t="shared" si="123"/>
        <v>2024</v>
      </c>
      <c r="H535" s="5" t="str">
        <f t="shared" si="120"/>
        <v>Diciembre</v>
      </c>
      <c r="I535" s="6" t="str">
        <f t="shared" si="125"/>
        <v>2024-2</v>
      </c>
      <c r="J535" s="5">
        <v>0</v>
      </c>
      <c r="K535" s="5">
        <v>0</v>
      </c>
      <c r="L535" s="15" t="str">
        <f>IFERROR(IF((K535/J535)&gt;1.3,1.3,K535/J535),"")</f>
        <v/>
      </c>
      <c r="M535" s="15" t="str">
        <f t="shared" ref="M535:M555" si="126">IFERROR(K535/J535,"")</f>
        <v/>
      </c>
      <c r="N535" s="5"/>
      <c r="O535" s="5"/>
      <c r="P535" s="5">
        <v>0</v>
      </c>
      <c r="Q535" s="5">
        <v>0</v>
      </c>
      <c r="R535" s="5" t="str">
        <f t="shared" si="124"/>
        <v>236-2024-12-31</v>
      </c>
    </row>
    <row r="536" spans="1:18" x14ac:dyDescent="0.3">
      <c r="A536" s="54">
        <v>238</v>
      </c>
      <c r="B536" s="5" t="s">
        <v>115</v>
      </c>
      <c r="C536" s="5" t="s">
        <v>90</v>
      </c>
      <c r="D536" s="5" t="s">
        <v>11</v>
      </c>
      <c r="E536" s="5" t="s">
        <v>9</v>
      </c>
      <c r="F536" s="6">
        <v>45016</v>
      </c>
      <c r="G536" s="5">
        <f t="shared" si="123"/>
        <v>2023</v>
      </c>
      <c r="H536" s="5" t="str">
        <f t="shared" si="120"/>
        <v>Marzo</v>
      </c>
      <c r="I536" s="6" t="str">
        <f t="shared" si="125"/>
        <v>2023-1</v>
      </c>
      <c r="J536" s="5">
        <v>90</v>
      </c>
      <c r="K536" s="5">
        <v>94.44</v>
      </c>
      <c r="L536" s="21" t="s">
        <v>417</v>
      </c>
      <c r="M536" s="15">
        <f t="shared" si="126"/>
        <v>1.0493333333333332</v>
      </c>
      <c r="N536" s="5"/>
      <c r="O536" s="5"/>
      <c r="P536" s="5">
        <v>0</v>
      </c>
      <c r="Q536" s="5">
        <v>0</v>
      </c>
      <c r="R536" s="5" t="str">
        <f t="shared" si="124"/>
        <v>238-2023-03-31</v>
      </c>
    </row>
    <row r="537" spans="1:18" x14ac:dyDescent="0.3">
      <c r="A537" s="39">
        <v>238</v>
      </c>
      <c r="B537" s="5" t="s">
        <v>115</v>
      </c>
      <c r="C537" s="5" t="s">
        <v>90</v>
      </c>
      <c r="D537" s="5" t="s">
        <v>11</v>
      </c>
      <c r="E537" s="5" t="s">
        <v>9</v>
      </c>
      <c r="F537" s="6">
        <v>45107</v>
      </c>
      <c r="G537" s="5">
        <f t="shared" si="123"/>
        <v>2023</v>
      </c>
      <c r="H537" s="5" t="str">
        <f t="shared" si="120"/>
        <v>Junio</v>
      </c>
      <c r="I537" s="6" t="str">
        <f t="shared" si="125"/>
        <v>2023-1</v>
      </c>
      <c r="J537" s="5">
        <v>90</v>
      </c>
      <c r="K537" s="5">
        <v>92.59</v>
      </c>
      <c r="L537" s="21" t="s">
        <v>417</v>
      </c>
      <c r="M537" s="15">
        <f t="shared" si="126"/>
        <v>1.0287777777777778</v>
      </c>
      <c r="N537" s="5"/>
      <c r="O537" s="5"/>
      <c r="P537" s="5">
        <v>0</v>
      </c>
      <c r="Q537" s="5">
        <v>0</v>
      </c>
      <c r="R537" s="5" t="str">
        <f t="shared" si="124"/>
        <v>238-2023-06-30</v>
      </c>
    </row>
    <row r="538" spans="1:18" x14ac:dyDescent="0.3">
      <c r="A538" s="43">
        <v>238</v>
      </c>
      <c r="B538" s="5" t="s">
        <v>115</v>
      </c>
      <c r="C538" s="5" t="s">
        <v>90</v>
      </c>
      <c r="D538" s="5" t="s">
        <v>11</v>
      </c>
      <c r="E538" s="5" t="s">
        <v>9</v>
      </c>
      <c r="F538" s="6">
        <v>45199</v>
      </c>
      <c r="G538" s="5">
        <f t="shared" si="123"/>
        <v>2023</v>
      </c>
      <c r="H538" s="5" t="str">
        <f t="shared" si="120"/>
        <v>Septiembre</v>
      </c>
      <c r="I538" s="6" t="str">
        <f t="shared" si="125"/>
        <v>2023-2</v>
      </c>
      <c r="J538" s="5">
        <v>90</v>
      </c>
      <c r="K538" s="5">
        <v>44.4444444444444</v>
      </c>
      <c r="L538" s="21" t="s">
        <v>417</v>
      </c>
      <c r="M538" s="15">
        <f t="shared" si="126"/>
        <v>0.49382716049382669</v>
      </c>
      <c r="N538" s="5"/>
      <c r="O538" s="5"/>
      <c r="P538" s="5">
        <v>0</v>
      </c>
      <c r="Q538" s="5">
        <v>0</v>
      </c>
      <c r="R538" s="5" t="str">
        <f t="shared" si="124"/>
        <v>238-2023-09-30</v>
      </c>
    </row>
    <row r="539" spans="1:18" x14ac:dyDescent="0.3">
      <c r="A539" s="39">
        <v>238</v>
      </c>
      <c r="B539" s="5" t="s">
        <v>115</v>
      </c>
      <c r="C539" s="5" t="s">
        <v>90</v>
      </c>
      <c r="D539" s="5" t="s">
        <v>11</v>
      </c>
      <c r="E539" s="5" t="s">
        <v>9</v>
      </c>
      <c r="F539" s="6">
        <v>45291</v>
      </c>
      <c r="G539" s="5">
        <f t="shared" si="123"/>
        <v>2023</v>
      </c>
      <c r="H539" s="5" t="str">
        <f t="shared" si="120"/>
        <v>Diciembre</v>
      </c>
      <c r="I539" s="6" t="str">
        <f t="shared" si="125"/>
        <v>2023-2</v>
      </c>
      <c r="J539" s="5">
        <v>90</v>
      </c>
      <c r="K539" s="5">
        <v>0</v>
      </c>
      <c r="L539" s="21">
        <f>IFERROR(K539/J539,"")</f>
        <v>0</v>
      </c>
      <c r="M539" s="15">
        <f t="shared" si="126"/>
        <v>0</v>
      </c>
      <c r="N539" s="5"/>
      <c r="O539" s="5"/>
      <c r="P539" s="5">
        <v>0</v>
      </c>
      <c r="Q539" s="5">
        <v>0</v>
      </c>
      <c r="R539" s="5" t="str">
        <f t="shared" si="124"/>
        <v>238-2023-12-31</v>
      </c>
    </row>
    <row r="540" spans="1:18" x14ac:dyDescent="0.3">
      <c r="A540" s="5">
        <v>238</v>
      </c>
      <c r="B540" s="5" t="s">
        <v>115</v>
      </c>
      <c r="C540" s="5" t="s">
        <v>90</v>
      </c>
      <c r="D540" s="5" t="s">
        <v>11</v>
      </c>
      <c r="E540" s="5" t="s">
        <v>9</v>
      </c>
      <c r="F540" s="6">
        <v>45473</v>
      </c>
      <c r="G540" s="5">
        <f t="shared" si="123"/>
        <v>2024</v>
      </c>
      <c r="H540" s="5" t="str">
        <f t="shared" si="120"/>
        <v>Junio</v>
      </c>
      <c r="I540" s="6" t="str">
        <f t="shared" si="125"/>
        <v>2024-1</v>
      </c>
      <c r="J540" s="5">
        <v>90</v>
      </c>
      <c r="K540" s="5">
        <v>78.13</v>
      </c>
      <c r="L540" s="15">
        <f>IFERROR(IF((K540/J540)&gt;1.3,1.3,K540/J540),"")</f>
        <v>0.86811111111111106</v>
      </c>
      <c r="M540" s="15">
        <f t="shared" si="126"/>
        <v>0.86811111111111106</v>
      </c>
      <c r="N540" s="5"/>
      <c r="O540" s="5"/>
      <c r="P540" s="5">
        <v>0</v>
      </c>
      <c r="Q540" s="5">
        <v>0</v>
      </c>
      <c r="R540" s="5" t="str">
        <f t="shared" si="124"/>
        <v>238-2024-06-30</v>
      </c>
    </row>
    <row r="541" spans="1:18" x14ac:dyDescent="0.3">
      <c r="A541" s="5">
        <v>238</v>
      </c>
      <c r="B541" s="5" t="s">
        <v>115</v>
      </c>
      <c r="C541" s="5" t="s">
        <v>90</v>
      </c>
      <c r="D541" s="5" t="s">
        <v>11</v>
      </c>
      <c r="E541" s="5" t="s">
        <v>9</v>
      </c>
      <c r="F541" s="6">
        <v>45657</v>
      </c>
      <c r="G541" s="5">
        <f t="shared" si="123"/>
        <v>2024</v>
      </c>
      <c r="H541" s="5" t="str">
        <f t="shared" si="120"/>
        <v>Diciembre</v>
      </c>
      <c r="I541" s="6" t="str">
        <f t="shared" si="125"/>
        <v>2024-2</v>
      </c>
      <c r="J541" s="5">
        <v>90</v>
      </c>
      <c r="K541" s="5">
        <v>80</v>
      </c>
      <c r="L541" s="15">
        <f>IFERROR(IF((K541/J541)&gt;1.3,1.3,K541/J541),"")</f>
        <v>0.88888888888888884</v>
      </c>
      <c r="M541" s="15">
        <f t="shared" si="126"/>
        <v>0.88888888888888884</v>
      </c>
      <c r="N541" s="5"/>
      <c r="O541" s="5"/>
      <c r="P541" s="5">
        <v>0</v>
      </c>
      <c r="Q541" s="5">
        <v>0</v>
      </c>
      <c r="R541" s="5" t="str">
        <f t="shared" si="124"/>
        <v>238-2024-12-31</v>
      </c>
    </row>
    <row r="542" spans="1:18" x14ac:dyDescent="0.3">
      <c r="A542" s="39">
        <v>239</v>
      </c>
      <c r="B542" s="5" t="s">
        <v>116</v>
      </c>
      <c r="C542" s="5" t="s">
        <v>117</v>
      </c>
      <c r="D542" s="5" t="s">
        <v>18</v>
      </c>
      <c r="E542" s="5" t="s">
        <v>9</v>
      </c>
      <c r="F542" s="6">
        <v>45107</v>
      </c>
      <c r="G542" s="5">
        <f t="shared" si="123"/>
        <v>2023</v>
      </c>
      <c r="H542" s="5" t="str">
        <f t="shared" si="120"/>
        <v>Junio</v>
      </c>
      <c r="I542" s="6" t="str">
        <f t="shared" si="125"/>
        <v>2023-1</v>
      </c>
      <c r="J542" s="5"/>
      <c r="K542" s="5">
        <v>19</v>
      </c>
      <c r="L542" s="21" t="str">
        <f t="shared" ref="L542" si="127">IFERROR(K542/J542,"")</f>
        <v/>
      </c>
      <c r="M542" s="15" t="str">
        <f t="shared" si="126"/>
        <v/>
      </c>
      <c r="N542" s="5" t="s">
        <v>728</v>
      </c>
      <c r="O542" s="5"/>
      <c r="P542" s="5">
        <v>0</v>
      </c>
      <c r="Q542" s="5">
        <v>0</v>
      </c>
      <c r="R542" s="5" t="str">
        <f t="shared" si="124"/>
        <v>239-2023-06-30</v>
      </c>
    </row>
    <row r="543" spans="1:18" x14ac:dyDescent="0.3">
      <c r="A543" s="39">
        <v>239</v>
      </c>
      <c r="B543" s="5" t="s">
        <v>116</v>
      </c>
      <c r="C543" s="5" t="s">
        <v>117</v>
      </c>
      <c r="D543" s="5" t="s">
        <v>18</v>
      </c>
      <c r="E543" s="5" t="s">
        <v>9</v>
      </c>
      <c r="F543" s="6">
        <v>45291</v>
      </c>
      <c r="G543" s="5">
        <f t="shared" si="123"/>
        <v>2023</v>
      </c>
      <c r="H543" s="5" t="str">
        <f t="shared" si="120"/>
        <v>Diciembre</v>
      </c>
      <c r="I543" s="6" t="str">
        <f t="shared" ref="I543:I561" si="128">IF(OR(H543="Enero",H543="Febrero",H543="Marzo",H543="Abril",H543="Mayo",H543="Junio"),G543&amp;"-1",IF(OR(H543="Julio",H543="Agosto",H543="Septiembre",H543="Octubre",H543="Noviembre",H543="Diciembre"),G543&amp;"-2"))</f>
        <v>2023-2</v>
      </c>
      <c r="J543" s="5"/>
      <c r="K543" s="5">
        <v>27</v>
      </c>
      <c r="L543" s="21" t="str">
        <f>IFERROR(K543/J543,"")</f>
        <v/>
      </c>
      <c r="M543" s="15" t="str">
        <f t="shared" si="126"/>
        <v/>
      </c>
      <c r="N543" s="5" t="s">
        <v>728</v>
      </c>
      <c r="O543" s="5"/>
      <c r="P543" s="5">
        <v>0</v>
      </c>
      <c r="Q543" s="5">
        <v>0</v>
      </c>
      <c r="R543" s="5" t="str">
        <f t="shared" si="124"/>
        <v>239-2023-12-31</v>
      </c>
    </row>
    <row r="544" spans="1:18" x14ac:dyDescent="0.3">
      <c r="A544" s="5">
        <v>239</v>
      </c>
      <c r="B544" s="5" t="s">
        <v>116</v>
      </c>
      <c r="C544" s="5" t="s">
        <v>117</v>
      </c>
      <c r="D544" s="5" t="s">
        <v>18</v>
      </c>
      <c r="E544" s="5" t="s">
        <v>9</v>
      </c>
      <c r="F544" s="6">
        <v>45473</v>
      </c>
      <c r="G544" s="5">
        <f t="shared" si="123"/>
        <v>2024</v>
      </c>
      <c r="H544" s="5" t="str">
        <f t="shared" si="120"/>
        <v>Junio</v>
      </c>
      <c r="I544" s="6" t="str">
        <f t="shared" si="128"/>
        <v>2024-1</v>
      </c>
      <c r="J544" s="5"/>
      <c r="K544" s="5">
        <v>29</v>
      </c>
      <c r="L544" s="15" t="str">
        <f>IFERROR(IF((K544/J544)&gt;1.3,1.3,K544/J544),"")</f>
        <v/>
      </c>
      <c r="M544" s="15" t="str">
        <f t="shared" si="126"/>
        <v/>
      </c>
      <c r="N544" s="5" t="s">
        <v>728</v>
      </c>
      <c r="O544" s="5"/>
      <c r="P544" s="5">
        <v>0</v>
      </c>
      <c r="Q544" s="5">
        <v>0</v>
      </c>
      <c r="R544" s="5" t="str">
        <f t="shared" si="124"/>
        <v>239-2024-06-30</v>
      </c>
    </row>
    <row r="545" spans="1:18" x14ac:dyDescent="0.3">
      <c r="A545" s="5">
        <v>239</v>
      </c>
      <c r="B545" s="5" t="s">
        <v>116</v>
      </c>
      <c r="C545" s="5" t="s">
        <v>117</v>
      </c>
      <c r="D545" s="5" t="s">
        <v>18</v>
      </c>
      <c r="E545" s="5" t="s">
        <v>9</v>
      </c>
      <c r="F545" s="6">
        <v>45657</v>
      </c>
      <c r="G545" s="5">
        <f t="shared" si="123"/>
        <v>2024</v>
      </c>
      <c r="H545" s="5" t="str">
        <f t="shared" si="120"/>
        <v>Diciembre</v>
      </c>
      <c r="I545" s="6" t="str">
        <f t="shared" si="128"/>
        <v>2024-2</v>
      </c>
      <c r="J545" s="5"/>
      <c r="K545" s="5">
        <v>32</v>
      </c>
      <c r="L545" s="15" t="str">
        <f>IFERROR(IF((K545/J545)&gt;1.3,1.3,K545/J545),"")</f>
        <v/>
      </c>
      <c r="M545" s="15" t="str">
        <f t="shared" si="126"/>
        <v/>
      </c>
      <c r="N545" s="5" t="s">
        <v>728</v>
      </c>
      <c r="O545" s="5"/>
      <c r="P545" s="5">
        <v>0</v>
      </c>
      <c r="Q545" s="5">
        <v>0</v>
      </c>
      <c r="R545" s="5" t="str">
        <f t="shared" si="124"/>
        <v>239-2024-12-31</v>
      </c>
    </row>
    <row r="546" spans="1:18" x14ac:dyDescent="0.3">
      <c r="A546" s="39">
        <v>240</v>
      </c>
      <c r="B546" s="5" t="s">
        <v>118</v>
      </c>
      <c r="C546" s="5" t="s">
        <v>117</v>
      </c>
      <c r="D546" s="5" t="s">
        <v>11</v>
      </c>
      <c r="E546" s="5" t="s">
        <v>9</v>
      </c>
      <c r="F546" s="6">
        <v>45107</v>
      </c>
      <c r="G546" s="5">
        <f t="shared" si="123"/>
        <v>2023</v>
      </c>
      <c r="H546" s="5" t="str">
        <f t="shared" si="120"/>
        <v>Junio</v>
      </c>
      <c r="I546" s="6" t="str">
        <f t="shared" si="128"/>
        <v>2023-1</v>
      </c>
      <c r="J546" s="5">
        <v>100</v>
      </c>
      <c r="K546" s="5">
        <v>60</v>
      </c>
      <c r="L546" s="21">
        <f>IFERROR(K546/J546,"")</f>
        <v>0.6</v>
      </c>
      <c r="M546" s="15">
        <f t="shared" si="126"/>
        <v>0.6</v>
      </c>
      <c r="N546" s="5" t="s">
        <v>347</v>
      </c>
      <c r="O546" s="5" t="s">
        <v>347</v>
      </c>
      <c r="P546" s="5">
        <v>0</v>
      </c>
      <c r="Q546" s="5">
        <v>0</v>
      </c>
      <c r="R546" s="5" t="str">
        <f t="shared" si="124"/>
        <v>240-2023-06-30</v>
      </c>
    </row>
    <row r="547" spans="1:18" x14ac:dyDescent="0.3">
      <c r="A547" s="39">
        <v>240</v>
      </c>
      <c r="B547" s="5" t="s">
        <v>118</v>
      </c>
      <c r="C547" s="5" t="s">
        <v>117</v>
      </c>
      <c r="D547" s="5" t="s">
        <v>11</v>
      </c>
      <c r="E547" s="5" t="s">
        <v>9</v>
      </c>
      <c r="F547" s="6">
        <v>45291</v>
      </c>
      <c r="G547" s="5">
        <f t="shared" si="123"/>
        <v>2023</v>
      </c>
      <c r="H547" s="5" t="str">
        <f t="shared" ref="H547:H607" si="129">PROPER(TEXT(F547,"mmmm"))</f>
        <v>Diciembre</v>
      </c>
      <c r="I547" s="6" t="str">
        <f t="shared" si="128"/>
        <v>2023-2</v>
      </c>
      <c r="J547" s="5">
        <v>100</v>
      </c>
      <c r="K547" s="5">
        <v>80</v>
      </c>
      <c r="L547" s="21">
        <f>IFERROR(K547/J547,"")</f>
        <v>0.8</v>
      </c>
      <c r="M547" s="15">
        <f t="shared" si="126"/>
        <v>0.8</v>
      </c>
      <c r="N547" s="5" t="s">
        <v>347</v>
      </c>
      <c r="O547" s="5" t="s">
        <v>347</v>
      </c>
      <c r="P547" s="5">
        <v>0</v>
      </c>
      <c r="Q547" s="5">
        <v>0</v>
      </c>
      <c r="R547" s="5" t="str">
        <f t="shared" si="124"/>
        <v>240-2023-12-31</v>
      </c>
    </row>
    <row r="548" spans="1:18" x14ac:dyDescent="0.3">
      <c r="A548" s="5">
        <v>240</v>
      </c>
      <c r="B548" s="5" t="s">
        <v>118</v>
      </c>
      <c r="C548" s="5" t="s">
        <v>117</v>
      </c>
      <c r="D548" s="5" t="s">
        <v>11</v>
      </c>
      <c r="E548" s="5" t="s">
        <v>9</v>
      </c>
      <c r="F548" s="6">
        <v>45473</v>
      </c>
      <c r="G548" s="5">
        <f t="shared" si="123"/>
        <v>2024</v>
      </c>
      <c r="H548" s="5" t="str">
        <f t="shared" si="129"/>
        <v>Junio</v>
      </c>
      <c r="I548" s="6" t="str">
        <f t="shared" si="128"/>
        <v>2024-1</v>
      </c>
      <c r="J548" s="5">
        <v>100</v>
      </c>
      <c r="K548" s="5">
        <v>100</v>
      </c>
      <c r="L548" s="15">
        <f>IFERROR(IF((K548/J548)&gt;1.3,1.3,K548/J548),"")</f>
        <v>1</v>
      </c>
      <c r="M548" s="15">
        <f t="shared" si="126"/>
        <v>1</v>
      </c>
      <c r="N548" s="5" t="s">
        <v>347</v>
      </c>
      <c r="O548" s="5" t="s">
        <v>347</v>
      </c>
      <c r="P548" s="5">
        <v>0</v>
      </c>
      <c r="Q548" s="5">
        <v>0</v>
      </c>
      <c r="R548" s="5" t="str">
        <f t="shared" si="124"/>
        <v>240-2024-06-30</v>
      </c>
    </row>
    <row r="549" spans="1:18" x14ac:dyDescent="0.3">
      <c r="A549" s="5">
        <v>240</v>
      </c>
      <c r="B549" s="5" t="s">
        <v>118</v>
      </c>
      <c r="C549" s="5" t="s">
        <v>117</v>
      </c>
      <c r="D549" s="5" t="s">
        <v>11</v>
      </c>
      <c r="E549" s="5" t="s">
        <v>9</v>
      </c>
      <c r="F549" s="6">
        <v>45657</v>
      </c>
      <c r="G549" s="5">
        <f t="shared" si="123"/>
        <v>2024</v>
      </c>
      <c r="H549" s="5" t="str">
        <f t="shared" si="129"/>
        <v>Diciembre</v>
      </c>
      <c r="I549" s="6" t="str">
        <f t="shared" si="128"/>
        <v>2024-2</v>
      </c>
      <c r="J549" s="5">
        <v>100</v>
      </c>
      <c r="K549" s="5">
        <v>100</v>
      </c>
      <c r="L549" s="15">
        <f>IFERROR(IF((K549/J549)&gt;1.3,1.3,K549/J549),"")</f>
        <v>1</v>
      </c>
      <c r="M549" s="15">
        <f t="shared" si="126"/>
        <v>1</v>
      </c>
      <c r="N549" s="5" t="s">
        <v>347</v>
      </c>
      <c r="O549" s="5" t="s">
        <v>347</v>
      </c>
      <c r="P549" s="5">
        <v>0</v>
      </c>
      <c r="Q549" s="5">
        <v>0</v>
      </c>
      <c r="R549" s="5" t="str">
        <f t="shared" si="124"/>
        <v>240-2024-12-31</v>
      </c>
    </row>
    <row r="550" spans="1:18" x14ac:dyDescent="0.3">
      <c r="A550" s="39">
        <v>241</v>
      </c>
      <c r="B550" s="5" t="s">
        <v>119</v>
      </c>
      <c r="C550" s="5" t="s">
        <v>117</v>
      </c>
      <c r="D550" s="5" t="s">
        <v>18</v>
      </c>
      <c r="E550" s="5" t="s">
        <v>9</v>
      </c>
      <c r="F550" s="6">
        <v>45107</v>
      </c>
      <c r="G550" s="5">
        <f t="shared" si="123"/>
        <v>2023</v>
      </c>
      <c r="H550" s="5" t="str">
        <f t="shared" si="129"/>
        <v>Junio</v>
      </c>
      <c r="I550" s="6" t="str">
        <f t="shared" si="128"/>
        <v>2023-1</v>
      </c>
      <c r="J550" s="5">
        <v>80</v>
      </c>
      <c r="K550" s="5">
        <v>94</v>
      </c>
      <c r="L550" s="21">
        <f>IFERROR(K550/J550,"")</f>
        <v>1.175</v>
      </c>
      <c r="M550" s="15">
        <f t="shared" si="126"/>
        <v>1.175</v>
      </c>
      <c r="N550" s="5"/>
      <c r="O550" s="5"/>
      <c r="P550" s="5">
        <v>0</v>
      </c>
      <c r="Q550" s="5">
        <v>0</v>
      </c>
      <c r="R550" s="5" t="str">
        <f t="shared" si="124"/>
        <v>241-2023-06-30</v>
      </c>
    </row>
    <row r="551" spans="1:18" x14ac:dyDescent="0.3">
      <c r="A551" s="39">
        <v>241</v>
      </c>
      <c r="B551" s="5" t="s">
        <v>119</v>
      </c>
      <c r="C551" s="5" t="s">
        <v>117</v>
      </c>
      <c r="D551" s="5" t="s">
        <v>18</v>
      </c>
      <c r="E551" s="5" t="s">
        <v>9</v>
      </c>
      <c r="F551" s="6">
        <v>45291</v>
      </c>
      <c r="G551" s="5">
        <f t="shared" si="123"/>
        <v>2023</v>
      </c>
      <c r="H551" s="5" t="str">
        <f t="shared" si="129"/>
        <v>Diciembre</v>
      </c>
      <c r="I551" s="6" t="str">
        <f t="shared" si="128"/>
        <v>2023-2</v>
      </c>
      <c r="J551" s="5">
        <v>80</v>
      </c>
      <c r="K551" s="5">
        <v>90</v>
      </c>
      <c r="L551" s="21">
        <f>IFERROR(K551/J551,"")</f>
        <v>1.125</v>
      </c>
      <c r="M551" s="15">
        <f t="shared" si="126"/>
        <v>1.125</v>
      </c>
      <c r="N551" s="5"/>
      <c r="O551" s="5"/>
      <c r="P551" s="5">
        <v>0</v>
      </c>
      <c r="Q551" s="5">
        <v>0</v>
      </c>
      <c r="R551" s="5" t="str">
        <f t="shared" si="124"/>
        <v>241-2023-12-31</v>
      </c>
    </row>
    <row r="552" spans="1:18" x14ac:dyDescent="0.3">
      <c r="A552" s="5">
        <v>241</v>
      </c>
      <c r="B552" s="5" t="s">
        <v>119</v>
      </c>
      <c r="C552" s="5" t="s">
        <v>117</v>
      </c>
      <c r="D552" s="5" t="s">
        <v>18</v>
      </c>
      <c r="E552" s="5" t="s">
        <v>9</v>
      </c>
      <c r="F552" s="6">
        <v>45473</v>
      </c>
      <c r="G552" s="5">
        <f t="shared" si="123"/>
        <v>2024</v>
      </c>
      <c r="H552" s="5" t="str">
        <f t="shared" si="129"/>
        <v>Junio</v>
      </c>
      <c r="I552" s="6" t="str">
        <f t="shared" si="128"/>
        <v>2024-1</v>
      </c>
      <c r="J552" s="5">
        <v>80</v>
      </c>
      <c r="K552" s="5">
        <v>88.54</v>
      </c>
      <c r="L552" s="15">
        <f>IFERROR(IF((K552/J552)&gt;1.3,1.3,K552/J552),"")</f>
        <v>1.1067500000000001</v>
      </c>
      <c r="M552" s="15">
        <f t="shared" si="126"/>
        <v>1.1067500000000001</v>
      </c>
      <c r="N552" s="5"/>
      <c r="O552" s="5"/>
      <c r="P552" s="5">
        <v>0</v>
      </c>
      <c r="Q552" s="5">
        <v>0</v>
      </c>
      <c r="R552" s="5" t="str">
        <f t="shared" si="124"/>
        <v>241-2024-06-30</v>
      </c>
    </row>
    <row r="553" spans="1:18" x14ac:dyDescent="0.3">
      <c r="A553" s="5">
        <v>241</v>
      </c>
      <c r="B553" s="5" t="s">
        <v>119</v>
      </c>
      <c r="C553" s="5" t="s">
        <v>117</v>
      </c>
      <c r="D553" s="5" t="s">
        <v>18</v>
      </c>
      <c r="E553" s="5" t="s">
        <v>9</v>
      </c>
      <c r="F553" s="6">
        <v>45657</v>
      </c>
      <c r="G553" s="5">
        <f t="shared" si="123"/>
        <v>2024</v>
      </c>
      <c r="H553" s="5" t="str">
        <f t="shared" si="129"/>
        <v>Diciembre</v>
      </c>
      <c r="I553" s="6" t="str">
        <f t="shared" si="128"/>
        <v>2024-2</v>
      </c>
      <c r="J553" s="5">
        <v>80</v>
      </c>
      <c r="K553" s="5">
        <v>89.34</v>
      </c>
      <c r="L553" s="15">
        <f>IFERROR(IF((K553/J553)&gt;1.3,1.3,K553/J553),"")</f>
        <v>1.1167500000000001</v>
      </c>
      <c r="M553" s="15">
        <f t="shared" si="126"/>
        <v>1.1167500000000001</v>
      </c>
      <c r="N553" s="5"/>
      <c r="O553" s="5"/>
      <c r="P553" s="5">
        <v>0</v>
      </c>
      <c r="Q553" s="5">
        <v>0</v>
      </c>
      <c r="R553" s="5" t="str">
        <f t="shared" si="124"/>
        <v>241-2024-12-31</v>
      </c>
    </row>
    <row r="554" spans="1:18" x14ac:dyDescent="0.3">
      <c r="A554" s="26">
        <v>242</v>
      </c>
      <c r="B554" s="5" t="s">
        <v>120</v>
      </c>
      <c r="C554" s="5" t="s">
        <v>117</v>
      </c>
      <c r="D554" s="5" t="s">
        <v>18</v>
      </c>
      <c r="E554" s="5" t="s">
        <v>9</v>
      </c>
      <c r="F554" s="6">
        <v>45107</v>
      </c>
      <c r="G554" s="5">
        <f t="shared" si="123"/>
        <v>2023</v>
      </c>
      <c r="H554" s="5" t="str">
        <f t="shared" si="129"/>
        <v>Junio</v>
      </c>
      <c r="I554" s="6" t="str">
        <f t="shared" si="128"/>
        <v>2023-1</v>
      </c>
      <c r="J554" s="5">
        <v>90</v>
      </c>
      <c r="K554" s="11">
        <v>97.68</v>
      </c>
      <c r="L554" s="21">
        <f>IFERROR(K554/J554,"")</f>
        <v>1.0853333333333335</v>
      </c>
      <c r="M554" s="15">
        <f t="shared" si="126"/>
        <v>1.0853333333333335</v>
      </c>
      <c r="N554" s="5" t="s">
        <v>347</v>
      </c>
      <c r="O554" s="5" t="s">
        <v>347</v>
      </c>
      <c r="P554" s="5">
        <v>0</v>
      </c>
      <c r="Q554" s="5">
        <v>0</v>
      </c>
      <c r="R554" s="5" t="str">
        <f t="shared" si="124"/>
        <v>242-2023-06-30</v>
      </c>
    </row>
    <row r="555" spans="1:18" x14ac:dyDescent="0.3">
      <c r="A555" s="39">
        <v>242</v>
      </c>
      <c r="B555" s="5" t="s">
        <v>120</v>
      </c>
      <c r="C555" s="5" t="s">
        <v>117</v>
      </c>
      <c r="D555" s="5" t="s">
        <v>18</v>
      </c>
      <c r="E555" s="5" t="s">
        <v>9</v>
      </c>
      <c r="F555" s="6">
        <v>45291</v>
      </c>
      <c r="G555" s="5">
        <f t="shared" si="123"/>
        <v>2023</v>
      </c>
      <c r="H555" s="5" t="str">
        <f t="shared" si="129"/>
        <v>Diciembre</v>
      </c>
      <c r="I555" s="6" t="str">
        <f t="shared" si="128"/>
        <v>2023-2</v>
      </c>
      <c r="J555" s="5">
        <v>90</v>
      </c>
      <c r="K555" s="5">
        <v>95.44</v>
      </c>
      <c r="L555" s="21">
        <f>IFERROR(K555/J555,"")</f>
        <v>1.0604444444444445</v>
      </c>
      <c r="M555" s="15">
        <f t="shared" si="126"/>
        <v>1.0604444444444445</v>
      </c>
      <c r="N555" s="5" t="s">
        <v>347</v>
      </c>
      <c r="O555" s="5" t="s">
        <v>347</v>
      </c>
      <c r="P555" s="5">
        <v>0</v>
      </c>
      <c r="Q555" s="5">
        <v>0</v>
      </c>
      <c r="R555" s="5" t="str">
        <f t="shared" si="124"/>
        <v>242-2023-12-31</v>
      </c>
    </row>
    <row r="556" spans="1:18" x14ac:dyDescent="0.3">
      <c r="A556" s="26">
        <v>243</v>
      </c>
      <c r="B556" s="5" t="s">
        <v>121</v>
      </c>
      <c r="C556" s="5" t="s">
        <v>117</v>
      </c>
      <c r="D556" s="5" t="s">
        <v>18</v>
      </c>
      <c r="E556" s="5" t="s">
        <v>14</v>
      </c>
      <c r="F556" s="6">
        <v>44957</v>
      </c>
      <c r="G556" s="5">
        <f t="shared" si="123"/>
        <v>2023</v>
      </c>
      <c r="H556" s="5" t="str">
        <f t="shared" si="129"/>
        <v>Enero</v>
      </c>
      <c r="I556" s="6" t="str">
        <f t="shared" si="128"/>
        <v>2023-1</v>
      </c>
      <c r="J556" s="5">
        <v>0</v>
      </c>
      <c r="K556" s="5">
        <v>0</v>
      </c>
      <c r="L556" s="15" t="str">
        <f t="shared" ref="L556:L568" si="130">IFERROR(IF((J556/K556)&gt;1.3,1.3,J556/K556),"")</f>
        <v/>
      </c>
      <c r="M556" s="15" t="str">
        <f t="shared" ref="M556:M568" si="131">IFERROR(J556/K556,"")</f>
        <v/>
      </c>
      <c r="N556" s="5" t="s">
        <v>347</v>
      </c>
      <c r="O556" s="5" t="s">
        <v>347</v>
      </c>
      <c r="P556" s="5">
        <v>0</v>
      </c>
      <c r="Q556" s="5">
        <v>0</v>
      </c>
      <c r="R556" s="5" t="str">
        <f t="shared" si="124"/>
        <v>243-2023-01-31</v>
      </c>
    </row>
    <row r="557" spans="1:18" x14ac:dyDescent="0.3">
      <c r="A557" s="26">
        <v>243</v>
      </c>
      <c r="B557" s="5" t="s">
        <v>121</v>
      </c>
      <c r="C557" s="5" t="s">
        <v>117</v>
      </c>
      <c r="D557" s="5" t="s">
        <v>18</v>
      </c>
      <c r="E557" s="5" t="s">
        <v>14</v>
      </c>
      <c r="F557" s="17">
        <v>44985</v>
      </c>
      <c r="G557" s="5">
        <f t="shared" si="123"/>
        <v>2023</v>
      </c>
      <c r="H557" s="5" t="str">
        <f t="shared" si="129"/>
        <v>Febrero</v>
      </c>
      <c r="I557" s="6" t="str">
        <f t="shared" si="128"/>
        <v>2023-1</v>
      </c>
      <c r="J557" s="5">
        <v>0</v>
      </c>
      <c r="K557" s="5">
        <v>0</v>
      </c>
      <c r="L557" s="15" t="str">
        <f t="shared" si="130"/>
        <v/>
      </c>
      <c r="M557" s="15" t="str">
        <f t="shared" si="131"/>
        <v/>
      </c>
      <c r="N557" s="5" t="s">
        <v>347</v>
      </c>
      <c r="O557" s="5" t="s">
        <v>347</v>
      </c>
      <c r="P557" s="5">
        <v>0</v>
      </c>
      <c r="Q557" s="5">
        <v>0</v>
      </c>
      <c r="R557" s="5" t="str">
        <f t="shared" si="124"/>
        <v>243-2023-02-28</v>
      </c>
    </row>
    <row r="558" spans="1:18" x14ac:dyDescent="0.3">
      <c r="A558" s="26">
        <v>243</v>
      </c>
      <c r="B558" s="5" t="s">
        <v>121</v>
      </c>
      <c r="C558" s="5" t="s">
        <v>117</v>
      </c>
      <c r="D558" s="5" t="s">
        <v>18</v>
      </c>
      <c r="E558" s="5" t="s">
        <v>14</v>
      </c>
      <c r="F558" s="6">
        <v>45016</v>
      </c>
      <c r="G558" s="5">
        <f t="shared" si="123"/>
        <v>2023</v>
      </c>
      <c r="H558" s="5" t="str">
        <f t="shared" si="129"/>
        <v>Marzo</v>
      </c>
      <c r="I558" s="6" t="str">
        <f t="shared" si="128"/>
        <v>2023-1</v>
      </c>
      <c r="J558" s="5">
        <v>0</v>
      </c>
      <c r="K558" s="5">
        <v>0</v>
      </c>
      <c r="L558" s="15" t="str">
        <f t="shared" si="130"/>
        <v/>
      </c>
      <c r="M558" s="15" t="str">
        <f t="shared" si="131"/>
        <v/>
      </c>
      <c r="N558" s="5" t="s">
        <v>347</v>
      </c>
      <c r="O558" s="5" t="s">
        <v>347</v>
      </c>
      <c r="P558" s="5">
        <v>0</v>
      </c>
      <c r="Q558" s="5">
        <v>0</v>
      </c>
      <c r="R558" s="5" t="str">
        <f t="shared" si="124"/>
        <v>243-2023-03-31</v>
      </c>
    </row>
    <row r="559" spans="1:18" x14ac:dyDescent="0.3">
      <c r="A559" s="26">
        <v>243</v>
      </c>
      <c r="B559" s="5" t="s">
        <v>121</v>
      </c>
      <c r="C559" s="5" t="s">
        <v>117</v>
      </c>
      <c r="D559" s="5" t="s">
        <v>18</v>
      </c>
      <c r="E559" s="5" t="s">
        <v>14</v>
      </c>
      <c r="F559" s="6">
        <v>45046</v>
      </c>
      <c r="G559" s="5">
        <f t="shared" si="123"/>
        <v>2023</v>
      </c>
      <c r="H559" s="5" t="str">
        <f t="shared" si="129"/>
        <v>Abril</v>
      </c>
      <c r="I559" s="6" t="str">
        <f t="shared" si="128"/>
        <v>2023-1</v>
      </c>
      <c r="J559" s="5">
        <v>0</v>
      </c>
      <c r="K559" s="5">
        <v>0</v>
      </c>
      <c r="L559" s="15" t="str">
        <f t="shared" si="130"/>
        <v/>
      </c>
      <c r="M559" s="15" t="str">
        <f t="shared" si="131"/>
        <v/>
      </c>
      <c r="N559" s="5" t="s">
        <v>347</v>
      </c>
      <c r="O559" s="5" t="s">
        <v>347</v>
      </c>
      <c r="P559" s="5">
        <v>0</v>
      </c>
      <c r="Q559" s="5">
        <v>0</v>
      </c>
      <c r="R559" s="5" t="str">
        <f t="shared" si="124"/>
        <v>243-2023-04-30</v>
      </c>
    </row>
    <row r="560" spans="1:18" x14ac:dyDescent="0.3">
      <c r="A560" s="26">
        <v>243</v>
      </c>
      <c r="B560" s="5" t="s">
        <v>121</v>
      </c>
      <c r="C560" s="5" t="s">
        <v>117</v>
      </c>
      <c r="D560" s="5" t="s">
        <v>18</v>
      </c>
      <c r="E560" s="5" t="s">
        <v>14</v>
      </c>
      <c r="F560" s="6">
        <v>45077</v>
      </c>
      <c r="G560" s="5">
        <f t="shared" si="123"/>
        <v>2023</v>
      </c>
      <c r="H560" s="5" t="str">
        <f t="shared" si="129"/>
        <v>Mayo</v>
      </c>
      <c r="I560" s="6" t="str">
        <f t="shared" si="128"/>
        <v>2023-1</v>
      </c>
      <c r="J560" s="5">
        <v>0</v>
      </c>
      <c r="K560" s="5">
        <v>0</v>
      </c>
      <c r="L560" s="15" t="str">
        <f t="shared" si="130"/>
        <v/>
      </c>
      <c r="M560" s="15" t="str">
        <f t="shared" si="131"/>
        <v/>
      </c>
      <c r="N560" s="5" t="s">
        <v>347</v>
      </c>
      <c r="O560" s="5" t="s">
        <v>347</v>
      </c>
      <c r="P560" s="5">
        <v>0</v>
      </c>
      <c r="Q560" s="5">
        <v>0</v>
      </c>
      <c r="R560" s="5" t="str">
        <f t="shared" si="124"/>
        <v>243-2023-05-31</v>
      </c>
    </row>
    <row r="561" spans="1:18" x14ac:dyDescent="0.3">
      <c r="A561" s="26">
        <v>243</v>
      </c>
      <c r="B561" s="5" t="s">
        <v>121</v>
      </c>
      <c r="C561" s="5" t="s">
        <v>117</v>
      </c>
      <c r="D561" s="5" t="s">
        <v>18</v>
      </c>
      <c r="E561" s="5" t="s">
        <v>14</v>
      </c>
      <c r="F561" s="6">
        <v>45107</v>
      </c>
      <c r="G561" s="5">
        <f t="shared" si="123"/>
        <v>2023</v>
      </c>
      <c r="H561" s="5" t="str">
        <f t="shared" si="129"/>
        <v>Junio</v>
      </c>
      <c r="I561" s="6" t="str">
        <f t="shared" si="128"/>
        <v>2023-1</v>
      </c>
      <c r="J561" s="5">
        <v>0</v>
      </c>
      <c r="K561" s="5">
        <v>8.3333333333333304</v>
      </c>
      <c r="L561" s="15">
        <f t="shared" si="130"/>
        <v>0</v>
      </c>
      <c r="M561" s="15">
        <f t="shared" si="131"/>
        <v>0</v>
      </c>
      <c r="N561" s="5" t="s">
        <v>347</v>
      </c>
      <c r="O561" s="5" t="s">
        <v>347</v>
      </c>
      <c r="P561" s="5">
        <v>0</v>
      </c>
      <c r="Q561" s="5">
        <v>0</v>
      </c>
      <c r="R561" s="5" t="str">
        <f t="shared" si="124"/>
        <v>243-2023-06-30</v>
      </c>
    </row>
    <row r="562" spans="1:18" x14ac:dyDescent="0.3">
      <c r="A562" s="5">
        <v>243</v>
      </c>
      <c r="B562" s="5" t="s">
        <v>121</v>
      </c>
      <c r="C562" s="5" t="s">
        <v>117</v>
      </c>
      <c r="D562" s="5" t="s">
        <v>18</v>
      </c>
      <c r="E562" s="5" t="s">
        <v>14</v>
      </c>
      <c r="F562" s="6">
        <v>45138</v>
      </c>
      <c r="G562" s="16">
        <f t="shared" si="123"/>
        <v>2023</v>
      </c>
      <c r="H562" s="6" t="str">
        <f t="shared" si="129"/>
        <v>Julio</v>
      </c>
      <c r="I562" s="6" t="s">
        <v>434</v>
      </c>
      <c r="J562" s="5">
        <v>0</v>
      </c>
      <c r="K562" s="7">
        <v>16.666666666666998</v>
      </c>
      <c r="L562" s="15">
        <f t="shared" si="130"/>
        <v>0</v>
      </c>
      <c r="M562" s="15">
        <f t="shared" si="131"/>
        <v>0</v>
      </c>
      <c r="N562" s="5" t="s">
        <v>347</v>
      </c>
      <c r="O562" s="5" t="s">
        <v>347</v>
      </c>
      <c r="P562" s="5">
        <v>0</v>
      </c>
      <c r="Q562" s="5">
        <v>0</v>
      </c>
      <c r="R562" s="5" t="str">
        <f t="shared" si="124"/>
        <v>243-2023-07-31</v>
      </c>
    </row>
    <row r="563" spans="1:18" x14ac:dyDescent="0.3">
      <c r="A563" s="5">
        <v>243</v>
      </c>
      <c r="B563" s="5" t="s">
        <v>121</v>
      </c>
      <c r="C563" s="5" t="s">
        <v>117</v>
      </c>
      <c r="D563" s="5" t="s">
        <v>18</v>
      </c>
      <c r="E563" s="5" t="s">
        <v>14</v>
      </c>
      <c r="F563" s="6">
        <v>45169</v>
      </c>
      <c r="G563" s="16">
        <f t="shared" si="123"/>
        <v>2023</v>
      </c>
      <c r="H563" s="6" t="str">
        <f t="shared" si="129"/>
        <v>Agosto</v>
      </c>
      <c r="I563" s="6" t="s">
        <v>434</v>
      </c>
      <c r="J563" s="5">
        <v>0</v>
      </c>
      <c r="K563" s="7">
        <v>9.09</v>
      </c>
      <c r="L563" s="15">
        <f t="shared" si="130"/>
        <v>0</v>
      </c>
      <c r="M563" s="15">
        <f t="shared" si="131"/>
        <v>0</v>
      </c>
      <c r="N563" s="5" t="s">
        <v>347</v>
      </c>
      <c r="O563" s="5" t="s">
        <v>347</v>
      </c>
      <c r="P563" s="5">
        <v>0</v>
      </c>
      <c r="Q563" s="5">
        <v>0</v>
      </c>
      <c r="R563" s="5" t="str">
        <f t="shared" si="124"/>
        <v>243-2023-08-31</v>
      </c>
    </row>
    <row r="564" spans="1:18" x14ac:dyDescent="0.3">
      <c r="A564" s="5">
        <v>243</v>
      </c>
      <c r="B564" s="5" t="s">
        <v>121</v>
      </c>
      <c r="C564" s="5" t="s">
        <v>117</v>
      </c>
      <c r="D564" s="5" t="s">
        <v>18</v>
      </c>
      <c r="E564" s="5" t="s">
        <v>14</v>
      </c>
      <c r="F564" s="6">
        <v>45199</v>
      </c>
      <c r="G564" s="16">
        <f t="shared" si="123"/>
        <v>2023</v>
      </c>
      <c r="H564" s="6" t="str">
        <f t="shared" si="129"/>
        <v>Septiembre</v>
      </c>
      <c r="I564" s="6" t="s">
        <v>434</v>
      </c>
      <c r="J564" s="5">
        <v>0</v>
      </c>
      <c r="K564" s="7">
        <v>0</v>
      </c>
      <c r="L564" s="15" t="str">
        <f t="shared" si="130"/>
        <v/>
      </c>
      <c r="M564" s="15" t="str">
        <f t="shared" si="131"/>
        <v/>
      </c>
      <c r="N564" s="5" t="s">
        <v>347</v>
      </c>
      <c r="O564" s="5" t="s">
        <v>347</v>
      </c>
      <c r="P564" s="5">
        <v>0</v>
      </c>
      <c r="Q564" s="5">
        <v>0</v>
      </c>
      <c r="R564" s="5" t="str">
        <f t="shared" si="124"/>
        <v>243-2023-09-30</v>
      </c>
    </row>
    <row r="565" spans="1:18" x14ac:dyDescent="0.3">
      <c r="A565" s="39">
        <v>243</v>
      </c>
      <c r="B565" s="5" t="s">
        <v>121</v>
      </c>
      <c r="C565" s="5" t="s">
        <v>117</v>
      </c>
      <c r="D565" s="5" t="s">
        <v>18</v>
      </c>
      <c r="E565" s="5" t="s">
        <v>14</v>
      </c>
      <c r="F565" s="6">
        <v>45230</v>
      </c>
      <c r="G565" s="5">
        <f t="shared" si="123"/>
        <v>2023</v>
      </c>
      <c r="H565" s="5" t="str">
        <f t="shared" si="129"/>
        <v>Octubre</v>
      </c>
      <c r="I565" s="6" t="str">
        <f>IF(OR(H565="Enero",H565="Febrero",H565="Marzo",H565="Abril",H565="Mayo",H565="Junio"),G565&amp;"-1",IF(OR(H565="Julio",H565="Agosto",H565="Septiembre",H565="Octubre",H565="Noviembre",H565="Diciembre"),G565&amp;"-2"))</f>
        <v>2023-2</v>
      </c>
      <c r="J565" s="5">
        <v>0</v>
      </c>
      <c r="K565" s="5">
        <v>11.11</v>
      </c>
      <c r="L565" s="15">
        <f t="shared" si="130"/>
        <v>0</v>
      </c>
      <c r="M565" s="15">
        <f t="shared" si="131"/>
        <v>0</v>
      </c>
      <c r="N565" s="5" t="s">
        <v>347</v>
      </c>
      <c r="O565" s="5" t="s">
        <v>347</v>
      </c>
      <c r="P565" s="5">
        <v>0</v>
      </c>
      <c r="Q565" s="5">
        <v>0</v>
      </c>
      <c r="R565" s="5" t="str">
        <f t="shared" si="124"/>
        <v>243-2023-10-31</v>
      </c>
    </row>
    <row r="566" spans="1:18" x14ac:dyDescent="0.3">
      <c r="A566" s="39">
        <v>243</v>
      </c>
      <c r="B566" s="5" t="s">
        <v>121</v>
      </c>
      <c r="C566" s="5" t="s">
        <v>117</v>
      </c>
      <c r="D566" s="5" t="s">
        <v>18</v>
      </c>
      <c r="E566" s="5" t="s">
        <v>14</v>
      </c>
      <c r="F566" s="6">
        <v>45260</v>
      </c>
      <c r="G566" s="5">
        <f t="shared" ref="G566:G626" si="132">YEAR(F566)</f>
        <v>2023</v>
      </c>
      <c r="H566" s="5" t="str">
        <f t="shared" si="129"/>
        <v>Noviembre</v>
      </c>
      <c r="I566" s="6" t="str">
        <f>IF(OR(H566="Enero",H566="Febrero",H566="Marzo",H566="Abril",H566="Mayo",H566="Junio"),G566&amp;"-1",IF(OR(H566="Julio",H566="Agosto",H566="Septiembre",H566="Octubre",H566="Noviembre",H566="Diciembre"),G566&amp;"-2"))</f>
        <v>2023-2</v>
      </c>
      <c r="J566" s="5">
        <v>0</v>
      </c>
      <c r="K566" s="5">
        <v>0</v>
      </c>
      <c r="L566" s="15" t="str">
        <f t="shared" si="130"/>
        <v/>
      </c>
      <c r="M566" s="15" t="str">
        <f t="shared" si="131"/>
        <v/>
      </c>
      <c r="N566" s="5" t="s">
        <v>347</v>
      </c>
      <c r="O566" s="5" t="s">
        <v>347</v>
      </c>
      <c r="P566" s="5">
        <v>0</v>
      </c>
      <c r="Q566" s="5">
        <v>0</v>
      </c>
      <c r="R566" s="5" t="str">
        <f t="shared" si="124"/>
        <v>243-2023-11-30</v>
      </c>
    </row>
    <row r="567" spans="1:18" x14ac:dyDescent="0.3">
      <c r="A567" s="39">
        <v>243</v>
      </c>
      <c r="B567" s="5" t="s">
        <v>121</v>
      </c>
      <c r="C567" s="5" t="s">
        <v>117</v>
      </c>
      <c r="D567" s="5" t="s">
        <v>18</v>
      </c>
      <c r="E567" s="5" t="s">
        <v>14</v>
      </c>
      <c r="F567" s="6">
        <v>45291</v>
      </c>
      <c r="G567" s="5">
        <f t="shared" si="132"/>
        <v>2023</v>
      </c>
      <c r="H567" s="5" t="str">
        <f t="shared" si="129"/>
        <v>Diciembre</v>
      </c>
      <c r="I567" s="6" t="str">
        <f>IF(OR(H567="Enero",H567="Febrero",H567="Marzo",H567="Abril",H567="Mayo",H567="Junio"),G567&amp;"-1",IF(OR(H567="Julio",H567="Agosto",H567="Septiembre",H567="Octubre",H567="Noviembre",H567="Diciembre"),G567&amp;"-2"))</f>
        <v>2023-2</v>
      </c>
      <c r="J567" s="5">
        <v>0</v>
      </c>
      <c r="K567" s="5">
        <v>14.29</v>
      </c>
      <c r="L567" s="15">
        <f t="shared" si="130"/>
        <v>0</v>
      </c>
      <c r="M567" s="15">
        <f t="shared" si="131"/>
        <v>0</v>
      </c>
      <c r="N567" s="5" t="s">
        <v>347</v>
      </c>
      <c r="O567" s="5" t="s">
        <v>347</v>
      </c>
      <c r="P567" s="5">
        <v>0</v>
      </c>
      <c r="Q567" s="5">
        <v>0</v>
      </c>
      <c r="R567" s="5" t="str">
        <f t="shared" si="124"/>
        <v>243-2023-12-31</v>
      </c>
    </row>
    <row r="568" spans="1:18" x14ac:dyDescent="0.3">
      <c r="A568" s="39">
        <v>244</v>
      </c>
      <c r="B568" s="5" t="s">
        <v>122</v>
      </c>
      <c r="C568" s="5" t="s">
        <v>90</v>
      </c>
      <c r="D568" s="5" t="s">
        <v>25</v>
      </c>
      <c r="E568" s="5" t="s">
        <v>14</v>
      </c>
      <c r="F568" s="6">
        <v>45291</v>
      </c>
      <c r="G568" s="5">
        <f t="shared" si="132"/>
        <v>2023</v>
      </c>
      <c r="H568" s="5" t="str">
        <f t="shared" si="129"/>
        <v>Diciembre</v>
      </c>
      <c r="I568" s="6" t="str">
        <f>IF(OR(H568="Enero",H568="Febrero",H568="Marzo",H568="Abril",H568="Mayo",H568="Junio"),G568&amp;"-1",IF(OR(H568="Julio",H568="Agosto",H568="Septiembre",H568="Octubre",H568="Noviembre",H568="Diciembre"),G568&amp;"-2"))</f>
        <v>2023-2</v>
      </c>
      <c r="J568" s="5">
        <v>25</v>
      </c>
      <c r="K568" s="5">
        <v>24</v>
      </c>
      <c r="L568" s="15">
        <f t="shared" si="130"/>
        <v>1.0416666666666667</v>
      </c>
      <c r="M568" s="15">
        <f t="shared" si="131"/>
        <v>1.0416666666666667</v>
      </c>
      <c r="N568" s="5"/>
      <c r="O568" s="5"/>
      <c r="P568" s="5">
        <v>0</v>
      </c>
      <c r="Q568" s="5">
        <v>0</v>
      </c>
      <c r="R568" s="5" t="str">
        <f t="shared" si="124"/>
        <v>244-2023-12-31</v>
      </c>
    </row>
    <row r="569" spans="1:18" x14ac:dyDescent="0.3">
      <c r="A569" s="5">
        <v>244</v>
      </c>
      <c r="B569" s="5" t="s">
        <v>122</v>
      </c>
      <c r="C569" s="5" t="s">
        <v>90</v>
      </c>
      <c r="D569" s="5" t="s">
        <v>25</v>
      </c>
      <c r="E569" s="5" t="s">
        <v>14</v>
      </c>
      <c r="F569" s="6">
        <v>45657</v>
      </c>
      <c r="G569" s="5">
        <f t="shared" si="132"/>
        <v>2024</v>
      </c>
      <c r="H569" s="5" t="str">
        <f t="shared" si="129"/>
        <v>Diciembre</v>
      </c>
      <c r="I569" s="6" t="str">
        <f>IF(OR(H569="Enero",H569="Febrero",H569="Marzo",H569="Abril",H569="Mayo",H569="Junio"),G569&amp;"-1",IF(OR(H569="Julio",H569="Agosto",H569="Septiembre",H569="Octubre",H569="Noviembre",H569="Diciembre"),G569&amp;"-2"))</f>
        <v>2024-2</v>
      </c>
      <c r="J569" s="5">
        <v>25</v>
      </c>
      <c r="K569" s="5">
        <v>25</v>
      </c>
      <c r="L569" s="15">
        <f>IFERROR(IF((K569/J569)&gt;1.3,1.3,K569/J569),"")</f>
        <v>1</v>
      </c>
      <c r="M569" s="15">
        <f>IFERROR(K569/J569,"")</f>
        <v>1</v>
      </c>
      <c r="N569" s="5"/>
      <c r="O569" s="5"/>
      <c r="P569" s="5">
        <v>0</v>
      </c>
      <c r="Q569" s="5">
        <v>0</v>
      </c>
      <c r="R569" s="5" t="str">
        <f t="shared" si="124"/>
        <v>244-2024-12-31</v>
      </c>
    </row>
    <row r="570" spans="1:18" x14ac:dyDescent="0.3">
      <c r="A570" s="5">
        <v>245</v>
      </c>
      <c r="B570" s="5" t="s">
        <v>123</v>
      </c>
      <c r="C570" s="5" t="s">
        <v>124</v>
      </c>
      <c r="D570" s="5" t="s">
        <v>8</v>
      </c>
      <c r="E570" s="5" t="s">
        <v>9</v>
      </c>
      <c r="F570" s="17">
        <v>44742</v>
      </c>
      <c r="G570" s="16">
        <f t="shared" si="132"/>
        <v>2022</v>
      </c>
      <c r="H570" s="6" t="str">
        <f t="shared" si="129"/>
        <v>Junio</v>
      </c>
      <c r="I570" s="41" t="s">
        <v>426</v>
      </c>
      <c r="J570" s="5">
        <v>88.5</v>
      </c>
      <c r="K570" s="5">
        <v>87</v>
      </c>
      <c r="L570" s="15">
        <f>IFERROR(IF((K570/J570)&gt;1.3,1.3,K570/J570),"")</f>
        <v>0.98305084745762716</v>
      </c>
      <c r="M570" s="15">
        <f>IFERROR(K570/J570,"")</f>
        <v>0.98305084745762716</v>
      </c>
      <c r="N570" s="5" t="s">
        <v>347</v>
      </c>
      <c r="O570" s="5" t="s">
        <v>347</v>
      </c>
      <c r="P570" s="5">
        <v>0</v>
      </c>
      <c r="Q570" s="5">
        <v>0</v>
      </c>
      <c r="R570" s="5" t="str">
        <f t="shared" si="124"/>
        <v>245-2022-06-30</v>
      </c>
    </row>
    <row r="571" spans="1:18" x14ac:dyDescent="0.3">
      <c r="A571" s="5">
        <v>245</v>
      </c>
      <c r="B571" s="5" t="s">
        <v>123</v>
      </c>
      <c r="C571" s="5" t="s">
        <v>124</v>
      </c>
      <c r="D571" s="5" t="s">
        <v>8</v>
      </c>
      <c r="E571" s="5" t="s">
        <v>9</v>
      </c>
      <c r="F571" s="17">
        <v>44926</v>
      </c>
      <c r="G571" s="16">
        <f t="shared" si="132"/>
        <v>2022</v>
      </c>
      <c r="H571" s="6" t="str">
        <f t="shared" si="129"/>
        <v>Diciembre</v>
      </c>
      <c r="I571" s="41" t="s">
        <v>423</v>
      </c>
      <c r="J571" s="5">
        <v>88.5</v>
      </c>
      <c r="K571" s="5">
        <v>85.9</v>
      </c>
      <c r="L571" s="15">
        <f t="shared" ref="L571:L575" si="133">IFERROR(IF((K571/J571)&gt;1.3,1.3,K571/J571),"")</f>
        <v>0.97062146892655377</v>
      </c>
      <c r="M571" s="15">
        <f t="shared" ref="M571:M575" si="134">IFERROR(K571/J571,"")</f>
        <v>0.97062146892655377</v>
      </c>
      <c r="N571" s="5" t="s">
        <v>347</v>
      </c>
      <c r="O571" s="5" t="s">
        <v>347</v>
      </c>
      <c r="P571" s="5">
        <v>0</v>
      </c>
      <c r="Q571" s="5">
        <v>0</v>
      </c>
      <c r="R571" s="5" t="str">
        <f t="shared" si="124"/>
        <v>245-2022-12-31</v>
      </c>
    </row>
    <row r="572" spans="1:18" x14ac:dyDescent="0.3">
      <c r="A572" s="5">
        <v>245</v>
      </c>
      <c r="B572" s="5" t="s">
        <v>123</v>
      </c>
      <c r="C572" s="5" t="s">
        <v>124</v>
      </c>
      <c r="D572" s="5" t="s">
        <v>8</v>
      </c>
      <c r="E572" s="5" t="s">
        <v>9</v>
      </c>
      <c r="F572" s="17">
        <v>45107</v>
      </c>
      <c r="G572" s="16">
        <f t="shared" si="132"/>
        <v>2023</v>
      </c>
      <c r="H572" s="6" t="str">
        <f t="shared" si="129"/>
        <v>Junio</v>
      </c>
      <c r="I572" s="41" t="s">
        <v>422</v>
      </c>
      <c r="J572" s="5">
        <v>87</v>
      </c>
      <c r="K572" s="5">
        <v>85.12</v>
      </c>
      <c r="L572" s="15">
        <f t="shared" si="133"/>
        <v>0.97839080459770122</v>
      </c>
      <c r="M572" s="15">
        <f t="shared" si="134"/>
        <v>0.97839080459770122</v>
      </c>
      <c r="N572" s="5" t="s">
        <v>347</v>
      </c>
      <c r="O572" s="5" t="s">
        <v>347</v>
      </c>
      <c r="P572" s="5">
        <v>0</v>
      </c>
      <c r="Q572" s="5">
        <v>0</v>
      </c>
      <c r="R572" s="5" t="str">
        <f t="shared" si="124"/>
        <v>245-2023-06-30</v>
      </c>
    </row>
    <row r="573" spans="1:18" x14ac:dyDescent="0.3">
      <c r="A573" s="39">
        <v>245</v>
      </c>
      <c r="B573" s="5" t="s">
        <v>123</v>
      </c>
      <c r="C573" s="5" t="s">
        <v>124</v>
      </c>
      <c r="D573" s="5" t="s">
        <v>8</v>
      </c>
      <c r="E573" s="5" t="s">
        <v>9</v>
      </c>
      <c r="F573" s="6">
        <v>45291</v>
      </c>
      <c r="G573" s="5">
        <f t="shared" si="132"/>
        <v>2023</v>
      </c>
      <c r="H573" s="5" t="str">
        <f t="shared" si="129"/>
        <v>Diciembre</v>
      </c>
      <c r="I573" s="6" t="str">
        <f t="shared" ref="I573:I580" si="135">IF(OR(H573="Enero",H573="Febrero",H573="Marzo",H573="Abril",H573="Mayo",H573="Junio"),G573&amp;"-1",IF(OR(H573="Julio",H573="Agosto",H573="Septiembre",H573="Octubre",H573="Noviembre",H573="Diciembre"),G573&amp;"-2"))</f>
        <v>2023-2</v>
      </c>
      <c r="J573" s="5">
        <v>87</v>
      </c>
      <c r="K573" s="5">
        <v>85.38</v>
      </c>
      <c r="L573" s="15">
        <f t="shared" si="133"/>
        <v>0.9813793103448275</v>
      </c>
      <c r="M573" s="15">
        <f t="shared" si="134"/>
        <v>0.9813793103448275</v>
      </c>
      <c r="N573" s="5" t="s">
        <v>347</v>
      </c>
      <c r="O573" s="5" t="s">
        <v>347</v>
      </c>
      <c r="P573" s="5">
        <v>0</v>
      </c>
      <c r="Q573" s="5">
        <v>0</v>
      </c>
      <c r="R573" s="5" t="str">
        <f t="shared" si="124"/>
        <v>245-2023-12-31</v>
      </c>
    </row>
    <row r="574" spans="1:18" x14ac:dyDescent="0.3">
      <c r="A574" s="5">
        <v>245</v>
      </c>
      <c r="B574" s="5" t="s">
        <v>123</v>
      </c>
      <c r="C574" s="5" t="s">
        <v>124</v>
      </c>
      <c r="D574" s="5" t="s">
        <v>8</v>
      </c>
      <c r="E574" s="5" t="s">
        <v>9</v>
      </c>
      <c r="F574" s="6">
        <v>45473</v>
      </c>
      <c r="G574" s="5">
        <f t="shared" si="132"/>
        <v>2024</v>
      </c>
      <c r="H574" s="5" t="str">
        <f t="shared" si="129"/>
        <v>Junio</v>
      </c>
      <c r="I574" s="6" t="str">
        <f t="shared" si="135"/>
        <v>2024-1</v>
      </c>
      <c r="J574" s="5">
        <v>85</v>
      </c>
      <c r="K574" s="5">
        <v>85.13</v>
      </c>
      <c r="L574" s="15">
        <f t="shared" si="133"/>
        <v>1.0015294117647058</v>
      </c>
      <c r="M574" s="15">
        <f t="shared" si="134"/>
        <v>1.0015294117647058</v>
      </c>
      <c r="N574" s="5" t="s">
        <v>347</v>
      </c>
      <c r="O574" s="5" t="s">
        <v>347</v>
      </c>
      <c r="P574" s="5">
        <v>0</v>
      </c>
      <c r="Q574" s="5">
        <v>0</v>
      </c>
      <c r="R574" s="5" t="str">
        <f t="shared" si="124"/>
        <v>245-2024-06-30</v>
      </c>
    </row>
    <row r="575" spans="1:18" x14ac:dyDescent="0.3">
      <c r="A575" s="5">
        <v>245</v>
      </c>
      <c r="B575" s="5" t="s">
        <v>123</v>
      </c>
      <c r="C575" s="5" t="s">
        <v>124</v>
      </c>
      <c r="D575" s="5" t="s">
        <v>8</v>
      </c>
      <c r="E575" s="5" t="s">
        <v>9</v>
      </c>
      <c r="F575" s="6">
        <v>45657</v>
      </c>
      <c r="G575" s="5">
        <f t="shared" si="132"/>
        <v>2024</v>
      </c>
      <c r="H575" s="5" t="str">
        <f t="shared" si="129"/>
        <v>Diciembre</v>
      </c>
      <c r="I575" s="6" t="str">
        <f t="shared" si="135"/>
        <v>2024-2</v>
      </c>
      <c r="J575" s="5">
        <v>85</v>
      </c>
      <c r="K575" s="5">
        <v>85.19</v>
      </c>
      <c r="L575" s="15">
        <f t="shared" si="133"/>
        <v>1.0022352941176471</v>
      </c>
      <c r="M575" s="15">
        <f t="shared" si="134"/>
        <v>1.0022352941176471</v>
      </c>
      <c r="N575" s="5" t="s">
        <v>347</v>
      </c>
      <c r="O575" s="5" t="s">
        <v>347</v>
      </c>
      <c r="P575" s="5">
        <v>0</v>
      </c>
      <c r="Q575" s="5">
        <v>0</v>
      </c>
      <c r="R575" s="5" t="str">
        <f t="shared" si="124"/>
        <v>245-2024-12-31</v>
      </c>
    </row>
    <row r="576" spans="1:18" x14ac:dyDescent="0.3">
      <c r="A576" s="39">
        <v>246</v>
      </c>
      <c r="B576" s="5" t="s">
        <v>125</v>
      </c>
      <c r="C576" s="5" t="s">
        <v>126</v>
      </c>
      <c r="D576" s="5" t="s">
        <v>8</v>
      </c>
      <c r="E576" s="5" t="s">
        <v>9</v>
      </c>
      <c r="F576" s="6">
        <v>45291</v>
      </c>
      <c r="G576" s="5">
        <f t="shared" si="132"/>
        <v>2023</v>
      </c>
      <c r="H576" s="5" t="str">
        <f t="shared" si="129"/>
        <v>Diciembre</v>
      </c>
      <c r="I576" s="6" t="str">
        <f t="shared" si="135"/>
        <v>2023-2</v>
      </c>
      <c r="J576" s="5">
        <v>85</v>
      </c>
      <c r="K576" s="5">
        <v>61.4</v>
      </c>
      <c r="L576" s="21">
        <f>IFERROR(K576/J576,"")</f>
        <v>0.72235294117647053</v>
      </c>
      <c r="M576" s="15">
        <f t="shared" ref="M576:M586" si="136">IFERROR(K576/J576,"")</f>
        <v>0.72235294117647053</v>
      </c>
      <c r="N576" s="5" t="s">
        <v>347</v>
      </c>
      <c r="O576" s="5" t="s">
        <v>347</v>
      </c>
      <c r="P576" s="5">
        <v>0</v>
      </c>
      <c r="Q576" s="5">
        <v>0</v>
      </c>
      <c r="R576" s="5" t="str">
        <f t="shared" si="124"/>
        <v>246-2023-12-31</v>
      </c>
    </row>
    <row r="577" spans="1:18" x14ac:dyDescent="0.3">
      <c r="A577" s="5">
        <v>246</v>
      </c>
      <c r="B577" s="5" t="s">
        <v>721</v>
      </c>
      <c r="C577" s="5" t="s">
        <v>126</v>
      </c>
      <c r="D577" s="5" t="s">
        <v>8</v>
      </c>
      <c r="E577" s="5" t="s">
        <v>9</v>
      </c>
      <c r="F577" s="6">
        <v>45473</v>
      </c>
      <c r="G577" s="5">
        <f t="shared" si="132"/>
        <v>2024</v>
      </c>
      <c r="H577" s="5" t="str">
        <f t="shared" si="129"/>
        <v>Junio</v>
      </c>
      <c r="I577" s="6" t="str">
        <f t="shared" si="135"/>
        <v>2024-1</v>
      </c>
      <c r="J577" s="5">
        <v>67.5</v>
      </c>
      <c r="K577" s="5">
        <v>92.5</v>
      </c>
      <c r="L577" s="15">
        <f>IFERROR(IF((K577/J577)&gt;1.3,1.3,K577/J577),"")</f>
        <v>1.3</v>
      </c>
      <c r="M577" s="15">
        <f t="shared" si="136"/>
        <v>1.3703703703703705</v>
      </c>
      <c r="N577" s="5" t="s">
        <v>347</v>
      </c>
      <c r="O577" s="5" t="s">
        <v>347</v>
      </c>
      <c r="P577" s="5">
        <v>0</v>
      </c>
      <c r="Q577" s="5">
        <v>0</v>
      </c>
      <c r="R577" s="5" t="str">
        <f t="shared" si="124"/>
        <v>246-2024-06-30</v>
      </c>
    </row>
    <row r="578" spans="1:18" x14ac:dyDescent="0.3">
      <c r="A578" s="5">
        <v>246</v>
      </c>
      <c r="B578" s="5" t="s">
        <v>721</v>
      </c>
      <c r="C578" s="5" t="s">
        <v>126</v>
      </c>
      <c r="D578" s="5" t="s">
        <v>8</v>
      </c>
      <c r="E578" s="5" t="s">
        <v>9</v>
      </c>
      <c r="F578" s="6">
        <v>45657</v>
      </c>
      <c r="G578" s="5">
        <f t="shared" si="132"/>
        <v>2024</v>
      </c>
      <c r="H578" s="5" t="str">
        <f t="shared" si="129"/>
        <v>Diciembre</v>
      </c>
      <c r="I578" s="6" t="str">
        <f t="shared" si="135"/>
        <v>2024-2</v>
      </c>
      <c r="J578" s="5">
        <v>67.5</v>
      </c>
      <c r="K578" s="5">
        <v>94.4</v>
      </c>
      <c r="L578" s="15">
        <f>IFERROR(IF((K578/J578)&gt;1.3,1.3,K578/J578),"")</f>
        <v>1.3</v>
      </c>
      <c r="M578" s="15">
        <f t="shared" si="136"/>
        <v>1.3985185185185185</v>
      </c>
      <c r="N578" s="5" t="s">
        <v>347</v>
      </c>
      <c r="O578" s="5" t="s">
        <v>347</v>
      </c>
      <c r="P578" s="5">
        <v>0</v>
      </c>
      <c r="Q578" s="5">
        <v>0</v>
      </c>
      <c r="R578" s="5" t="str">
        <f t="shared" ref="R578:R641" si="137">A578&amp;"-"&amp;YEAR(F578)&amp;"-"&amp;IF(LEN(MONTH(F578))=1,"0"&amp;MONTH(F578),MONTH(F578))&amp;"-"&amp;DAY(F578)</f>
        <v>246-2024-12-31</v>
      </c>
    </row>
    <row r="579" spans="1:18" x14ac:dyDescent="0.3">
      <c r="A579" s="39">
        <v>247</v>
      </c>
      <c r="B579" s="5" t="s">
        <v>127</v>
      </c>
      <c r="C579" s="5" t="s">
        <v>126</v>
      </c>
      <c r="D579" s="5" t="s">
        <v>18</v>
      </c>
      <c r="E579" s="5" t="s">
        <v>9</v>
      </c>
      <c r="F579" s="6">
        <v>45107</v>
      </c>
      <c r="G579" s="5">
        <f t="shared" si="132"/>
        <v>2023</v>
      </c>
      <c r="H579" s="5" t="str">
        <f t="shared" si="129"/>
        <v>Junio</v>
      </c>
      <c r="I579" s="6" t="str">
        <f t="shared" si="135"/>
        <v>2023-1</v>
      </c>
      <c r="J579" s="5">
        <v>0</v>
      </c>
      <c r="K579" s="7">
        <v>70.540000000000006</v>
      </c>
      <c r="L579" s="21" t="str">
        <f>IFERROR(K579/J579,"")</f>
        <v/>
      </c>
      <c r="M579" s="15" t="str">
        <f t="shared" si="136"/>
        <v/>
      </c>
      <c r="N579" s="5"/>
      <c r="O579" s="5"/>
      <c r="P579" s="5">
        <v>1</v>
      </c>
      <c r="Q579" s="5">
        <v>1</v>
      </c>
      <c r="R579" s="5" t="str">
        <f t="shared" si="137"/>
        <v>247-2023-06-30</v>
      </c>
    </row>
    <row r="580" spans="1:18" x14ac:dyDescent="0.3">
      <c r="A580" s="39">
        <v>247</v>
      </c>
      <c r="B580" s="5" t="s">
        <v>127</v>
      </c>
      <c r="C580" s="5" t="s">
        <v>126</v>
      </c>
      <c r="D580" s="5" t="s">
        <v>18</v>
      </c>
      <c r="E580" s="5" t="s">
        <v>9</v>
      </c>
      <c r="F580" s="6">
        <v>45291</v>
      </c>
      <c r="G580" s="5">
        <f t="shared" si="132"/>
        <v>2023</v>
      </c>
      <c r="H580" s="5" t="str">
        <f t="shared" si="129"/>
        <v>Diciembre</v>
      </c>
      <c r="I580" s="6" t="str">
        <f t="shared" si="135"/>
        <v>2023-2</v>
      </c>
      <c r="J580" s="5">
        <v>0</v>
      </c>
      <c r="K580" s="5">
        <v>69.08</v>
      </c>
      <c r="L580" s="21" t="str">
        <f>IFERROR(K580/J580,"")</f>
        <v/>
      </c>
      <c r="M580" s="15" t="str">
        <f t="shared" si="136"/>
        <v/>
      </c>
      <c r="N580" s="5"/>
      <c r="O580" s="5"/>
      <c r="P580" s="5">
        <v>1</v>
      </c>
      <c r="Q580" s="5">
        <v>1</v>
      </c>
      <c r="R580" s="5" t="str">
        <f t="shared" si="137"/>
        <v>247-2023-12-31</v>
      </c>
    </row>
    <row r="581" spans="1:18" x14ac:dyDescent="0.3">
      <c r="A581" s="5">
        <v>248</v>
      </c>
      <c r="B581" s="5" t="s">
        <v>128</v>
      </c>
      <c r="C581" s="5" t="s">
        <v>129</v>
      </c>
      <c r="D581" s="5" t="s">
        <v>8</v>
      </c>
      <c r="E581" s="5" t="s">
        <v>9</v>
      </c>
      <c r="F581" s="17">
        <v>45107</v>
      </c>
      <c r="G581" s="16">
        <f t="shared" si="132"/>
        <v>2023</v>
      </c>
      <c r="H581" s="6" t="str">
        <f t="shared" si="129"/>
        <v>Junio</v>
      </c>
      <c r="I581" s="41" t="s">
        <v>422</v>
      </c>
      <c r="J581" s="5">
        <v>27</v>
      </c>
      <c r="K581" s="5">
        <v>27</v>
      </c>
      <c r="L581" s="15">
        <f>IFERROR(IF((K581/J581)&gt;1.3,1.3,K581/J581),"")</f>
        <v>1</v>
      </c>
      <c r="M581" s="15">
        <f t="shared" si="136"/>
        <v>1</v>
      </c>
      <c r="N581" s="5"/>
      <c r="O581" s="5"/>
      <c r="P581" s="5">
        <v>0</v>
      </c>
      <c r="Q581" s="5">
        <v>0</v>
      </c>
      <c r="R581" s="5" t="str">
        <f t="shared" si="137"/>
        <v>248-2023-06-30</v>
      </c>
    </row>
    <row r="582" spans="1:18" x14ac:dyDescent="0.3">
      <c r="A582" s="39">
        <v>248</v>
      </c>
      <c r="B582" s="5" t="s">
        <v>128</v>
      </c>
      <c r="C582" s="5" t="s">
        <v>129</v>
      </c>
      <c r="D582" s="5" t="s">
        <v>8</v>
      </c>
      <c r="E582" s="5" t="s">
        <v>9</v>
      </c>
      <c r="F582" s="6">
        <v>45291</v>
      </c>
      <c r="G582" s="5">
        <f t="shared" si="132"/>
        <v>2023</v>
      </c>
      <c r="H582" s="5" t="str">
        <f t="shared" si="129"/>
        <v>Diciembre</v>
      </c>
      <c r="I582" s="6" t="str">
        <f>IF(OR(H582="Enero",H582="Febrero",H582="Marzo",H582="Abril",H582="Mayo",H582="Junio"),G582&amp;"-1",IF(OR(H582="Julio",H582="Agosto",H582="Septiembre",H582="Octubre",H582="Noviembre",H582="Diciembre"),G582&amp;"-2"))</f>
        <v>2023-2</v>
      </c>
      <c r="J582" s="5">
        <v>17</v>
      </c>
      <c r="K582" s="5">
        <v>17</v>
      </c>
      <c r="L582" s="15">
        <f>IFERROR(IF((K582/J582)&gt;1.3,1.3,K582/J582),"")</f>
        <v>1</v>
      </c>
      <c r="M582" s="15">
        <f t="shared" si="136"/>
        <v>1</v>
      </c>
      <c r="N582" s="5"/>
      <c r="O582" s="5"/>
      <c r="P582" s="5">
        <v>0</v>
      </c>
      <c r="Q582" s="5">
        <v>0</v>
      </c>
      <c r="R582" s="5" t="str">
        <f t="shared" si="137"/>
        <v>248-2023-12-31</v>
      </c>
    </row>
    <row r="583" spans="1:18" x14ac:dyDescent="0.3">
      <c r="A583" s="5">
        <v>249</v>
      </c>
      <c r="B583" s="5" t="s">
        <v>130</v>
      </c>
      <c r="C583" s="5" t="s">
        <v>129</v>
      </c>
      <c r="D583" s="5" t="s">
        <v>8</v>
      </c>
      <c r="E583" s="5" t="s">
        <v>9</v>
      </c>
      <c r="F583" s="17">
        <v>45107</v>
      </c>
      <c r="G583" s="16">
        <f t="shared" si="132"/>
        <v>2023</v>
      </c>
      <c r="H583" s="6" t="str">
        <f t="shared" si="129"/>
        <v>Junio</v>
      </c>
      <c r="I583" s="41" t="s">
        <v>422</v>
      </c>
      <c r="J583" s="5">
        <v>72</v>
      </c>
      <c r="K583" s="5">
        <v>72</v>
      </c>
      <c r="L583" s="15">
        <f>IFERROR(IF((K583/J583)&gt;1.3,1.3,K583/J583),"")</f>
        <v>1</v>
      </c>
      <c r="M583" s="15">
        <f t="shared" si="136"/>
        <v>1</v>
      </c>
      <c r="N583" s="5"/>
      <c r="O583" s="5"/>
      <c r="P583" s="5">
        <v>0</v>
      </c>
      <c r="Q583" s="5">
        <v>0</v>
      </c>
      <c r="R583" s="5" t="str">
        <f t="shared" si="137"/>
        <v>249-2023-06-30</v>
      </c>
    </row>
    <row r="584" spans="1:18" x14ac:dyDescent="0.3">
      <c r="A584" s="39">
        <v>249</v>
      </c>
      <c r="B584" s="5" t="s">
        <v>130</v>
      </c>
      <c r="C584" s="5" t="s">
        <v>129</v>
      </c>
      <c r="D584" s="5" t="s">
        <v>8</v>
      </c>
      <c r="E584" s="5" t="s">
        <v>9</v>
      </c>
      <c r="F584" s="6">
        <v>45291</v>
      </c>
      <c r="G584" s="5">
        <f t="shared" si="132"/>
        <v>2023</v>
      </c>
      <c r="H584" s="5" t="str">
        <f t="shared" si="129"/>
        <v>Diciembre</v>
      </c>
      <c r="I584" s="6" t="str">
        <f t="shared" ref="I584:I592" si="138">IF(OR(H584="Enero",H584="Febrero",H584="Marzo",H584="Abril",H584="Mayo",H584="Junio"),G584&amp;"-1",IF(OR(H584="Julio",H584="Agosto",H584="Septiembre",H584="Octubre",H584="Noviembre",H584="Diciembre"),G584&amp;"-2"))</f>
        <v>2023-2</v>
      </c>
      <c r="J584" s="5">
        <v>26</v>
      </c>
      <c r="K584" s="5">
        <v>26</v>
      </c>
      <c r="L584" s="15">
        <f>IFERROR(IF((K584/J584)&gt;1.3,1.3,K584/J584),"")</f>
        <v>1</v>
      </c>
      <c r="M584" s="15">
        <f t="shared" si="136"/>
        <v>1</v>
      </c>
      <c r="N584" s="5"/>
      <c r="O584" s="5"/>
      <c r="P584" s="5">
        <v>0</v>
      </c>
      <c r="Q584" s="5">
        <v>0</v>
      </c>
      <c r="R584" s="5" t="str">
        <f t="shared" si="137"/>
        <v>249-2023-12-31</v>
      </c>
    </row>
    <row r="585" spans="1:18" x14ac:dyDescent="0.3">
      <c r="A585" s="39">
        <v>251</v>
      </c>
      <c r="B585" s="5" t="s">
        <v>133</v>
      </c>
      <c r="C585" s="5" t="s">
        <v>134</v>
      </c>
      <c r="D585" s="5" t="s">
        <v>11</v>
      </c>
      <c r="E585" s="5" t="s">
        <v>9</v>
      </c>
      <c r="F585" s="6">
        <v>45107</v>
      </c>
      <c r="G585" s="5">
        <f t="shared" si="132"/>
        <v>2023</v>
      </c>
      <c r="H585" s="5" t="str">
        <f t="shared" si="129"/>
        <v>Junio</v>
      </c>
      <c r="I585" s="6" t="str">
        <f t="shared" si="138"/>
        <v>2023-1</v>
      </c>
      <c r="J585" s="5">
        <v>100</v>
      </c>
      <c r="K585" s="5">
        <v>93.877551020408006</v>
      </c>
      <c r="L585" s="21">
        <f>IFERROR(K585/J585,"")</f>
        <v>0.93877551020408001</v>
      </c>
      <c r="M585" s="15">
        <f t="shared" si="136"/>
        <v>0.93877551020408001</v>
      </c>
      <c r="N585" s="5" t="s">
        <v>347</v>
      </c>
      <c r="O585" s="5" t="s">
        <v>347</v>
      </c>
      <c r="P585" s="5">
        <v>0</v>
      </c>
      <c r="Q585" s="5">
        <v>0</v>
      </c>
      <c r="R585" s="5" t="str">
        <f t="shared" si="137"/>
        <v>251-2023-06-30</v>
      </c>
    </row>
    <row r="586" spans="1:18" x14ac:dyDescent="0.3">
      <c r="A586" s="39">
        <v>251</v>
      </c>
      <c r="B586" s="5" t="s">
        <v>133</v>
      </c>
      <c r="C586" s="5" t="s">
        <v>134</v>
      </c>
      <c r="D586" s="5" t="s">
        <v>11</v>
      </c>
      <c r="E586" s="5" t="s">
        <v>9</v>
      </c>
      <c r="F586" s="6">
        <v>45291</v>
      </c>
      <c r="G586" s="5">
        <f t="shared" si="132"/>
        <v>2023</v>
      </c>
      <c r="H586" s="5" t="str">
        <f t="shared" si="129"/>
        <v>Diciembre</v>
      </c>
      <c r="I586" s="6" t="str">
        <f t="shared" si="138"/>
        <v>2023-2</v>
      </c>
      <c r="J586" s="5">
        <v>100</v>
      </c>
      <c r="K586" s="5">
        <v>100</v>
      </c>
      <c r="L586" s="21">
        <f>IFERROR(K586/J586,"")</f>
        <v>1</v>
      </c>
      <c r="M586" s="15">
        <f t="shared" si="136"/>
        <v>1</v>
      </c>
      <c r="N586" s="5" t="s">
        <v>347</v>
      </c>
      <c r="O586" s="5" t="s">
        <v>347</v>
      </c>
      <c r="P586" s="5">
        <v>0</v>
      </c>
      <c r="Q586" s="5">
        <v>0</v>
      </c>
      <c r="R586" s="5" t="str">
        <f t="shared" si="137"/>
        <v>251-2023-12-31</v>
      </c>
    </row>
    <row r="587" spans="1:18" x14ac:dyDescent="0.3">
      <c r="A587" s="39">
        <v>251</v>
      </c>
      <c r="B587" s="5" t="s">
        <v>133</v>
      </c>
      <c r="C587" s="5" t="s">
        <v>134</v>
      </c>
      <c r="D587" s="5" t="s">
        <v>11</v>
      </c>
      <c r="E587" s="5" t="s">
        <v>9</v>
      </c>
      <c r="F587" s="6">
        <v>45473</v>
      </c>
      <c r="G587" s="5">
        <f t="shared" si="132"/>
        <v>2024</v>
      </c>
      <c r="H587" s="5" t="str">
        <f t="shared" si="129"/>
        <v>Junio</v>
      </c>
      <c r="I587" s="6" t="str">
        <f t="shared" si="138"/>
        <v>2024-1</v>
      </c>
      <c r="J587" s="5">
        <v>100</v>
      </c>
      <c r="K587" s="5">
        <v>92.45</v>
      </c>
      <c r="L587" s="15">
        <v>0.92449999999999999</v>
      </c>
      <c r="M587" s="15">
        <v>0.92449999999999999</v>
      </c>
      <c r="N587" s="5" t="s">
        <v>347</v>
      </c>
      <c r="O587" s="5" t="s">
        <v>347</v>
      </c>
      <c r="P587" s="5">
        <v>0</v>
      </c>
      <c r="Q587" s="5">
        <v>0</v>
      </c>
      <c r="R587" s="5" t="str">
        <f t="shared" si="137"/>
        <v>251-2024-06-30</v>
      </c>
    </row>
    <row r="588" spans="1:18" x14ac:dyDescent="0.3">
      <c r="A588" s="5">
        <v>251</v>
      </c>
      <c r="B588" s="5" t="s">
        <v>133</v>
      </c>
      <c r="C588" s="5" t="s">
        <v>134</v>
      </c>
      <c r="D588" s="5" t="s">
        <v>11</v>
      </c>
      <c r="E588" s="5" t="s">
        <v>9</v>
      </c>
      <c r="F588" s="6">
        <v>45657</v>
      </c>
      <c r="G588" s="5">
        <f t="shared" si="132"/>
        <v>2024</v>
      </c>
      <c r="H588" s="5" t="str">
        <f t="shared" si="129"/>
        <v>Diciembre</v>
      </c>
      <c r="I588" s="6" t="str">
        <f t="shared" si="138"/>
        <v>2024-2</v>
      </c>
      <c r="J588" s="5">
        <v>100</v>
      </c>
      <c r="K588" s="5">
        <v>96.23</v>
      </c>
      <c r="L588" s="15">
        <f>IFERROR(IF((K588/J588)&gt;1.3,1.3,K588/J588),"")</f>
        <v>0.96230000000000004</v>
      </c>
      <c r="M588" s="15">
        <f>IFERROR(K588/J588,"")</f>
        <v>0.96230000000000004</v>
      </c>
      <c r="N588" s="5" t="s">
        <v>347</v>
      </c>
      <c r="O588" s="5" t="s">
        <v>347</v>
      </c>
      <c r="P588" s="5">
        <v>0</v>
      </c>
      <c r="Q588" s="5">
        <v>0</v>
      </c>
      <c r="R588" s="5" t="str">
        <f t="shared" si="137"/>
        <v>251-2024-12-31</v>
      </c>
    </row>
    <row r="589" spans="1:18" x14ac:dyDescent="0.3">
      <c r="A589" s="43">
        <v>252</v>
      </c>
      <c r="B589" s="5" t="s">
        <v>135</v>
      </c>
      <c r="C589" s="5" t="s">
        <v>124</v>
      </c>
      <c r="D589" s="5" t="s">
        <v>8</v>
      </c>
      <c r="E589" s="5" t="s">
        <v>9</v>
      </c>
      <c r="F589" s="6">
        <v>45107</v>
      </c>
      <c r="G589" s="5">
        <f t="shared" si="132"/>
        <v>2023</v>
      </c>
      <c r="H589" s="5" t="str">
        <f t="shared" si="129"/>
        <v>Junio</v>
      </c>
      <c r="I589" s="6" t="str">
        <f t="shared" si="138"/>
        <v>2023-1</v>
      </c>
      <c r="J589" s="5">
        <v>68</v>
      </c>
      <c r="K589" s="5">
        <v>67.19</v>
      </c>
      <c r="L589" s="21">
        <f>IFERROR(K589/J589,"")</f>
        <v>0.9880882352941176</v>
      </c>
      <c r="M589" s="15">
        <f>IFERROR(K589/J589,"")</f>
        <v>0.9880882352941176</v>
      </c>
      <c r="N589" s="5" t="s">
        <v>347</v>
      </c>
      <c r="O589" s="5" t="s">
        <v>347</v>
      </c>
      <c r="P589" s="5">
        <v>2</v>
      </c>
      <c r="Q589" s="5">
        <v>2</v>
      </c>
      <c r="R589" s="5" t="str">
        <f t="shared" si="137"/>
        <v>252-2023-06-30</v>
      </c>
    </row>
    <row r="590" spans="1:18" x14ac:dyDescent="0.3">
      <c r="A590" s="39">
        <v>252</v>
      </c>
      <c r="B590" s="5" t="s">
        <v>135</v>
      </c>
      <c r="C590" s="5" t="s">
        <v>124</v>
      </c>
      <c r="D590" s="5" t="s">
        <v>8</v>
      </c>
      <c r="E590" s="5" t="s">
        <v>9</v>
      </c>
      <c r="F590" s="6">
        <v>45291</v>
      </c>
      <c r="G590" s="5">
        <f t="shared" si="132"/>
        <v>2023</v>
      </c>
      <c r="H590" s="5" t="str">
        <f t="shared" si="129"/>
        <v>Diciembre</v>
      </c>
      <c r="I590" s="6" t="str">
        <f t="shared" si="138"/>
        <v>2023-2</v>
      </c>
      <c r="J590" s="5">
        <v>68</v>
      </c>
      <c r="K590" s="5">
        <v>74.739999999999995</v>
      </c>
      <c r="L590" s="21">
        <f>IFERROR(K590/J590,"")</f>
        <v>1.0991176470588235</v>
      </c>
      <c r="M590" s="15">
        <f>IFERROR(K590/J590,"")</f>
        <v>1.0991176470588235</v>
      </c>
      <c r="N590" s="5" t="s">
        <v>347</v>
      </c>
      <c r="O590" s="5" t="s">
        <v>347</v>
      </c>
      <c r="P590" s="5">
        <v>2</v>
      </c>
      <c r="Q590" s="5">
        <v>2</v>
      </c>
      <c r="R590" s="5" t="str">
        <f t="shared" si="137"/>
        <v>252-2023-12-31</v>
      </c>
    </row>
    <row r="591" spans="1:18" x14ac:dyDescent="0.3">
      <c r="A591" s="5">
        <v>252</v>
      </c>
      <c r="B591" s="5" t="s">
        <v>135</v>
      </c>
      <c r="C591" s="5" t="s">
        <v>124</v>
      </c>
      <c r="D591" s="5" t="s">
        <v>8</v>
      </c>
      <c r="E591" s="5" t="s">
        <v>9</v>
      </c>
      <c r="F591" s="6">
        <v>45473</v>
      </c>
      <c r="G591" s="5">
        <f t="shared" si="132"/>
        <v>2024</v>
      </c>
      <c r="H591" s="5" t="str">
        <f t="shared" si="129"/>
        <v>Junio</v>
      </c>
      <c r="I591" s="6" t="str">
        <f t="shared" si="138"/>
        <v>2024-1</v>
      </c>
      <c r="J591" s="5">
        <v>68.5</v>
      </c>
      <c r="K591" s="5">
        <v>71.56</v>
      </c>
      <c r="L591" s="15">
        <f>IFERROR(IF((K591/J591)&gt;1.3,1.3,K591/J591),"")</f>
        <v>1.0446715328467153</v>
      </c>
      <c r="M591" s="15">
        <f>IFERROR(K591/J591,"")</f>
        <v>1.0446715328467153</v>
      </c>
      <c r="N591" s="5" t="s">
        <v>347</v>
      </c>
      <c r="O591" s="5" t="s">
        <v>347</v>
      </c>
      <c r="P591" s="5">
        <v>0</v>
      </c>
      <c r="Q591" s="5">
        <v>0</v>
      </c>
      <c r="R591" s="5" t="str">
        <f t="shared" si="137"/>
        <v>252-2024-06-30</v>
      </c>
    </row>
    <row r="592" spans="1:18" x14ac:dyDescent="0.3">
      <c r="A592" s="5">
        <v>252</v>
      </c>
      <c r="B592" s="5" t="s">
        <v>135</v>
      </c>
      <c r="C592" s="5" t="s">
        <v>124</v>
      </c>
      <c r="D592" s="5" t="s">
        <v>8</v>
      </c>
      <c r="E592" s="5" t="s">
        <v>9</v>
      </c>
      <c r="F592" s="6">
        <v>45657</v>
      </c>
      <c r="G592" s="5">
        <f t="shared" si="132"/>
        <v>2024</v>
      </c>
      <c r="H592" s="5" t="str">
        <f t="shared" si="129"/>
        <v>Diciembre</v>
      </c>
      <c r="I592" s="6" t="str">
        <f t="shared" si="138"/>
        <v>2024-2</v>
      </c>
      <c r="J592" s="5">
        <v>72.900000000000006</v>
      </c>
      <c r="K592" s="5">
        <v>72.53</v>
      </c>
      <c r="L592" s="15">
        <f>IFERROR(IF((K592/J592)&gt;1.3,1.3,K592/J592),"")</f>
        <v>0.99492455418381343</v>
      </c>
      <c r="M592" s="15">
        <f>IFERROR(K592/J592,"")</f>
        <v>0.99492455418381343</v>
      </c>
      <c r="N592" s="5" t="s">
        <v>347</v>
      </c>
      <c r="O592" s="5" t="s">
        <v>347</v>
      </c>
      <c r="P592" s="5">
        <v>0</v>
      </c>
      <c r="Q592" s="5">
        <v>0</v>
      </c>
      <c r="R592" s="5" t="str">
        <f t="shared" si="137"/>
        <v>252-2024-12-31</v>
      </c>
    </row>
    <row r="593" spans="1:18" x14ac:dyDescent="0.3">
      <c r="A593" s="5">
        <v>253</v>
      </c>
      <c r="B593" s="5" t="s">
        <v>136</v>
      </c>
      <c r="C593" s="5" t="s">
        <v>20</v>
      </c>
      <c r="D593" s="5" t="s">
        <v>21</v>
      </c>
      <c r="E593" s="5" t="s">
        <v>14</v>
      </c>
      <c r="F593" s="6">
        <v>45046</v>
      </c>
      <c r="G593" s="16">
        <f t="shared" si="132"/>
        <v>2023</v>
      </c>
      <c r="H593" s="6" t="str">
        <f t="shared" si="129"/>
        <v>Abril</v>
      </c>
      <c r="I593" s="6" t="s">
        <v>434</v>
      </c>
      <c r="J593" s="5">
        <v>8</v>
      </c>
      <c r="K593" s="5">
        <v>8</v>
      </c>
      <c r="L593" s="8">
        <f>IF(IFERROR(J593/K593,"")&gt;130%,130%,J593/K593)</f>
        <v>1</v>
      </c>
      <c r="M593" s="15">
        <f>IFERROR(J593/K593,"")</f>
        <v>1</v>
      </c>
      <c r="N593" s="5" t="s">
        <v>479</v>
      </c>
      <c r="O593" s="5" t="s">
        <v>479</v>
      </c>
      <c r="P593" s="5">
        <v>0</v>
      </c>
      <c r="Q593" s="5">
        <v>0</v>
      </c>
      <c r="R593" s="5" t="str">
        <f t="shared" si="137"/>
        <v>253-2023-04-30</v>
      </c>
    </row>
    <row r="594" spans="1:18" x14ac:dyDescent="0.3">
      <c r="A594" s="39">
        <v>253</v>
      </c>
      <c r="B594" s="5" t="s">
        <v>136</v>
      </c>
      <c r="C594" s="5" t="s">
        <v>20</v>
      </c>
      <c r="D594" s="5" t="s">
        <v>21</v>
      </c>
      <c r="E594" s="5" t="s">
        <v>14</v>
      </c>
      <c r="F594" s="6">
        <v>45107</v>
      </c>
      <c r="G594" s="5">
        <f t="shared" si="132"/>
        <v>2023</v>
      </c>
      <c r="H594" s="5" t="str">
        <f t="shared" si="129"/>
        <v>Junio</v>
      </c>
      <c r="I594" s="6" t="str">
        <f t="shared" ref="I594:I623" si="139">IF(OR(H594="Enero",H594="Febrero",H594="Marzo",H594="Abril",H594="Mayo",H594="Junio"),G594&amp;"-1",IF(OR(H594="Julio",H594="Agosto",H594="Septiembre",H594="Octubre",H594="Noviembre",H594="Diciembre"),G594&amp;"-2"))</f>
        <v>2023-1</v>
      </c>
      <c r="J594" s="5">
        <v>8</v>
      </c>
      <c r="K594" s="5">
        <v>4.5</v>
      </c>
      <c r="L594" s="8">
        <f>IF(IFERROR(J594/K594,"")&gt;130%,130%,J594/K594)</f>
        <v>1.3</v>
      </c>
      <c r="M594" s="15">
        <f>IFERROR(J594/K594,"")</f>
        <v>1.7777777777777777</v>
      </c>
      <c r="N594" s="5" t="s">
        <v>479</v>
      </c>
      <c r="O594" s="5" t="s">
        <v>479</v>
      </c>
      <c r="P594" s="5">
        <v>0</v>
      </c>
      <c r="Q594" s="5">
        <v>0</v>
      </c>
      <c r="R594" s="5" t="str">
        <f t="shared" si="137"/>
        <v>253-2023-06-30</v>
      </c>
    </row>
    <row r="595" spans="1:18" x14ac:dyDescent="0.3">
      <c r="A595" s="39">
        <v>253</v>
      </c>
      <c r="B595" s="5" t="s">
        <v>136</v>
      </c>
      <c r="C595" s="5" t="s">
        <v>20</v>
      </c>
      <c r="D595" s="5" t="s">
        <v>21</v>
      </c>
      <c r="E595" s="5" t="s">
        <v>14</v>
      </c>
      <c r="F595" s="6">
        <v>45169</v>
      </c>
      <c r="G595" s="5">
        <f t="shared" si="132"/>
        <v>2023</v>
      </c>
      <c r="H595" s="5" t="str">
        <f t="shared" si="129"/>
        <v>Agosto</v>
      </c>
      <c r="I595" s="6" t="str">
        <f t="shared" si="139"/>
        <v>2023-2</v>
      </c>
      <c r="J595" s="5">
        <v>8</v>
      </c>
      <c r="K595" s="5">
        <v>4.5</v>
      </c>
      <c r="L595" s="8">
        <f>IF(IFERROR(J595/K595,"")&gt;130%,130%,J595/K595)</f>
        <v>1.3</v>
      </c>
      <c r="M595" s="15">
        <f>IFERROR(J595/K595,"")</f>
        <v>1.7777777777777777</v>
      </c>
      <c r="N595" s="5" t="s">
        <v>479</v>
      </c>
      <c r="O595" s="5" t="s">
        <v>479</v>
      </c>
      <c r="P595" s="5">
        <v>0</v>
      </c>
      <c r="Q595" s="5">
        <v>0</v>
      </c>
      <c r="R595" s="5" t="str">
        <f t="shared" si="137"/>
        <v>253-2023-08-31</v>
      </c>
    </row>
    <row r="596" spans="1:18" x14ac:dyDescent="0.3">
      <c r="A596" s="39">
        <v>253</v>
      </c>
      <c r="B596" s="5" t="s">
        <v>136</v>
      </c>
      <c r="C596" s="5" t="s">
        <v>20</v>
      </c>
      <c r="D596" s="5" t="s">
        <v>21</v>
      </c>
      <c r="E596" s="5" t="s">
        <v>14</v>
      </c>
      <c r="F596" s="6">
        <v>45230</v>
      </c>
      <c r="G596" s="5">
        <f t="shared" si="132"/>
        <v>2023</v>
      </c>
      <c r="H596" s="5" t="str">
        <f t="shared" si="129"/>
        <v>Octubre</v>
      </c>
      <c r="I596" s="6" t="str">
        <f t="shared" si="139"/>
        <v>2023-2</v>
      </c>
      <c r="J596" s="5">
        <v>8</v>
      </c>
      <c r="K596" s="5">
        <v>5.8</v>
      </c>
      <c r="L596" s="8">
        <f>IF(IFERROR(J596/K596,"")&gt;130%,130%,J596/K596)</f>
        <v>1.3</v>
      </c>
      <c r="M596" s="15">
        <f>IFERROR(J596/K596,"")</f>
        <v>1.3793103448275863</v>
      </c>
      <c r="N596" s="5" t="s">
        <v>479</v>
      </c>
      <c r="O596" s="5" t="s">
        <v>479</v>
      </c>
      <c r="P596" s="5">
        <v>0</v>
      </c>
      <c r="Q596" s="5">
        <v>0</v>
      </c>
      <c r="R596" s="5" t="str">
        <f t="shared" si="137"/>
        <v>253-2023-10-31</v>
      </c>
    </row>
    <row r="597" spans="1:18" x14ac:dyDescent="0.3">
      <c r="A597" s="39">
        <v>253</v>
      </c>
      <c r="B597" s="5" t="s">
        <v>136</v>
      </c>
      <c r="C597" s="5" t="s">
        <v>20</v>
      </c>
      <c r="D597" s="5" t="s">
        <v>21</v>
      </c>
      <c r="E597" s="5" t="s">
        <v>14</v>
      </c>
      <c r="F597" s="6">
        <v>45291</v>
      </c>
      <c r="G597" s="5">
        <f t="shared" si="132"/>
        <v>2023</v>
      </c>
      <c r="H597" s="5" t="str">
        <f t="shared" si="129"/>
        <v>Diciembre</v>
      </c>
      <c r="I597" s="6" t="str">
        <f t="shared" si="139"/>
        <v>2023-2</v>
      </c>
      <c r="J597" s="5">
        <v>8</v>
      </c>
      <c r="K597" s="5">
        <v>5</v>
      </c>
      <c r="L597" s="8">
        <f>IF(IFERROR(J597/K597,"")&gt;130%,130%,J597/K597)</f>
        <v>1.3</v>
      </c>
      <c r="M597" s="15">
        <f>IFERROR(J597/K597,"")</f>
        <v>1.6</v>
      </c>
      <c r="N597" s="5" t="s">
        <v>479</v>
      </c>
      <c r="O597" s="5" t="s">
        <v>479</v>
      </c>
      <c r="P597" s="5">
        <v>0</v>
      </c>
      <c r="Q597" s="5">
        <v>0</v>
      </c>
      <c r="R597" s="5" t="str">
        <f t="shared" si="137"/>
        <v>253-2023-12-31</v>
      </c>
    </row>
    <row r="598" spans="1:18" x14ac:dyDescent="0.3">
      <c r="A598" s="39">
        <v>254</v>
      </c>
      <c r="B598" s="5" t="s">
        <v>415</v>
      </c>
      <c r="C598" s="5" t="s">
        <v>131</v>
      </c>
      <c r="D598" s="5" t="s">
        <v>11</v>
      </c>
      <c r="E598" s="5" t="s">
        <v>9</v>
      </c>
      <c r="F598" s="6">
        <v>45107</v>
      </c>
      <c r="G598" s="5">
        <f t="shared" si="132"/>
        <v>2023</v>
      </c>
      <c r="H598" s="5" t="str">
        <f t="shared" si="129"/>
        <v>Junio</v>
      </c>
      <c r="I598" s="6" t="str">
        <f t="shared" si="139"/>
        <v>2023-1</v>
      </c>
      <c r="J598" s="5">
        <v>55</v>
      </c>
      <c r="K598" s="5">
        <v>54</v>
      </c>
      <c r="L598" s="21">
        <f>IFERROR(K598/J598,"")</f>
        <v>0.98181818181818181</v>
      </c>
      <c r="M598" s="15">
        <f t="shared" ref="M598:M614" si="140">IFERROR(K598/J598,"")</f>
        <v>0.98181818181818181</v>
      </c>
      <c r="N598" s="5" t="s">
        <v>347</v>
      </c>
      <c r="O598" s="5" t="s">
        <v>347</v>
      </c>
      <c r="P598" s="5">
        <v>0</v>
      </c>
      <c r="Q598" s="5">
        <v>0</v>
      </c>
      <c r="R598" s="5" t="str">
        <f t="shared" si="137"/>
        <v>254-2023-06-30</v>
      </c>
    </row>
    <row r="599" spans="1:18" x14ac:dyDescent="0.3">
      <c r="A599" s="39">
        <v>254</v>
      </c>
      <c r="B599" s="5" t="s">
        <v>415</v>
      </c>
      <c r="C599" s="5" t="s">
        <v>131</v>
      </c>
      <c r="D599" s="5" t="s">
        <v>11</v>
      </c>
      <c r="E599" s="5" t="s">
        <v>9</v>
      </c>
      <c r="F599" s="6">
        <v>45291</v>
      </c>
      <c r="G599" s="5">
        <f t="shared" si="132"/>
        <v>2023</v>
      </c>
      <c r="H599" s="5" t="str">
        <f t="shared" si="129"/>
        <v>Diciembre</v>
      </c>
      <c r="I599" s="6" t="str">
        <f t="shared" si="139"/>
        <v>2023-2</v>
      </c>
      <c r="J599" s="5">
        <v>55</v>
      </c>
      <c r="K599" s="5">
        <v>55</v>
      </c>
      <c r="L599" s="21">
        <f>IFERROR(K599/J599,"")</f>
        <v>1</v>
      </c>
      <c r="M599" s="15">
        <f t="shared" si="140"/>
        <v>1</v>
      </c>
      <c r="N599" s="5" t="s">
        <v>347</v>
      </c>
      <c r="O599" s="5" t="s">
        <v>347</v>
      </c>
      <c r="P599" s="5">
        <v>0</v>
      </c>
      <c r="Q599" s="5">
        <v>0</v>
      </c>
      <c r="R599" s="5" t="str">
        <f t="shared" si="137"/>
        <v>254-2023-12-31</v>
      </c>
    </row>
    <row r="600" spans="1:18" x14ac:dyDescent="0.3">
      <c r="A600" s="5">
        <v>254</v>
      </c>
      <c r="B600" s="5" t="s">
        <v>415</v>
      </c>
      <c r="C600" s="5" t="s">
        <v>131</v>
      </c>
      <c r="D600" s="5" t="s">
        <v>11</v>
      </c>
      <c r="E600" s="5" t="s">
        <v>9</v>
      </c>
      <c r="F600" s="6">
        <v>45473</v>
      </c>
      <c r="G600" s="5">
        <f t="shared" si="132"/>
        <v>2024</v>
      </c>
      <c r="H600" s="5" t="str">
        <f t="shared" si="129"/>
        <v>Junio</v>
      </c>
      <c r="I600" s="6" t="str">
        <f t="shared" si="139"/>
        <v>2024-1</v>
      </c>
      <c r="J600" s="5">
        <v>73</v>
      </c>
      <c r="K600" s="5">
        <v>73</v>
      </c>
      <c r="L600" s="15">
        <f>IFERROR(IF((K600/J600)&gt;1.3,1.3,K600/J600),"")</f>
        <v>1</v>
      </c>
      <c r="M600" s="15">
        <f t="shared" si="140"/>
        <v>1</v>
      </c>
      <c r="N600" s="5" t="s">
        <v>347</v>
      </c>
      <c r="O600" s="5" t="s">
        <v>347</v>
      </c>
      <c r="P600" s="5">
        <v>0</v>
      </c>
      <c r="Q600" s="5">
        <v>0</v>
      </c>
      <c r="R600" s="5" t="str">
        <f t="shared" si="137"/>
        <v>254-2024-06-30</v>
      </c>
    </row>
    <row r="601" spans="1:18" x14ac:dyDescent="0.3">
      <c r="A601" s="5">
        <v>254</v>
      </c>
      <c r="B601" s="5" t="s">
        <v>415</v>
      </c>
      <c r="C601" s="5" t="s">
        <v>131</v>
      </c>
      <c r="D601" s="5" t="s">
        <v>11</v>
      </c>
      <c r="E601" s="5" t="s">
        <v>9</v>
      </c>
      <c r="F601" s="6">
        <v>45657</v>
      </c>
      <c r="G601" s="5">
        <f t="shared" si="132"/>
        <v>2024</v>
      </c>
      <c r="H601" s="5" t="str">
        <f t="shared" si="129"/>
        <v>Diciembre</v>
      </c>
      <c r="I601" s="6" t="str">
        <f t="shared" si="139"/>
        <v>2024-2</v>
      </c>
      <c r="J601" s="5">
        <v>73</v>
      </c>
      <c r="K601" s="5">
        <v>73</v>
      </c>
      <c r="L601" s="15">
        <f>IFERROR(IF((K601/J601)&gt;1.3,1.3,K601/J601),"")</f>
        <v>1</v>
      </c>
      <c r="M601" s="15">
        <f t="shared" si="140"/>
        <v>1</v>
      </c>
      <c r="N601" s="5" t="s">
        <v>347</v>
      </c>
      <c r="O601" s="5" t="s">
        <v>347</v>
      </c>
      <c r="P601" s="5">
        <v>0</v>
      </c>
      <c r="Q601" s="5">
        <v>0</v>
      </c>
      <c r="R601" s="5" t="str">
        <f t="shared" si="137"/>
        <v>254-2024-12-31</v>
      </c>
    </row>
    <row r="602" spans="1:18" x14ac:dyDescent="0.3">
      <c r="A602" s="39">
        <v>255</v>
      </c>
      <c r="B602" s="5" t="s">
        <v>137</v>
      </c>
      <c r="C602" s="5" t="s">
        <v>67</v>
      </c>
      <c r="D602" s="5" t="s">
        <v>25</v>
      </c>
      <c r="E602" s="5" t="s">
        <v>9</v>
      </c>
      <c r="F602" s="6">
        <v>45291</v>
      </c>
      <c r="G602" s="5">
        <f t="shared" si="132"/>
        <v>2023</v>
      </c>
      <c r="H602" s="5" t="str">
        <f t="shared" si="129"/>
        <v>Diciembre</v>
      </c>
      <c r="I602" s="6" t="str">
        <f t="shared" si="139"/>
        <v>2023-2</v>
      </c>
      <c r="J602" s="5">
        <v>16</v>
      </c>
      <c r="K602" s="5">
        <v>18</v>
      </c>
      <c r="L602" s="21">
        <f>IFERROR(K602/J602,"")</f>
        <v>1.125</v>
      </c>
      <c r="M602" s="15">
        <f t="shared" si="140"/>
        <v>1.125</v>
      </c>
      <c r="N602" s="5"/>
      <c r="O602" s="5"/>
      <c r="P602" s="5">
        <v>0</v>
      </c>
      <c r="Q602" s="5">
        <v>0</v>
      </c>
      <c r="R602" s="5" t="str">
        <f t="shared" si="137"/>
        <v>255-2023-12-31</v>
      </c>
    </row>
    <row r="603" spans="1:18" x14ac:dyDescent="0.3">
      <c r="A603" s="5">
        <v>255</v>
      </c>
      <c r="B603" s="5" t="s">
        <v>137</v>
      </c>
      <c r="C603" s="5" t="s">
        <v>67</v>
      </c>
      <c r="D603" s="5" t="s">
        <v>25</v>
      </c>
      <c r="E603" s="5" t="s">
        <v>9</v>
      </c>
      <c r="F603" s="6">
        <v>45657</v>
      </c>
      <c r="G603" s="5">
        <f t="shared" si="132"/>
        <v>2024</v>
      </c>
      <c r="H603" s="5" t="str">
        <f t="shared" si="129"/>
        <v>Diciembre</v>
      </c>
      <c r="I603" s="6" t="str">
        <f t="shared" si="139"/>
        <v>2024-2</v>
      </c>
      <c r="J603" s="5">
        <v>100</v>
      </c>
      <c r="K603" s="5">
        <v>-5</v>
      </c>
      <c r="L603" s="15">
        <f>IFERROR(IF((K603/J603)&gt;1.3,1.3,K603/J603),"")</f>
        <v>-0.05</v>
      </c>
      <c r="M603" s="15">
        <f t="shared" si="140"/>
        <v>-0.05</v>
      </c>
      <c r="N603" s="5"/>
      <c r="O603" s="5"/>
      <c r="P603" s="5">
        <v>0</v>
      </c>
      <c r="Q603" s="5">
        <v>0</v>
      </c>
      <c r="R603" s="5" t="str">
        <f t="shared" si="137"/>
        <v>255-2024-12-31</v>
      </c>
    </row>
    <row r="604" spans="1:18" x14ac:dyDescent="0.3">
      <c r="A604" s="43">
        <v>256</v>
      </c>
      <c r="B604" s="5" t="s">
        <v>138</v>
      </c>
      <c r="C604" s="5" t="s">
        <v>67</v>
      </c>
      <c r="D604" s="5" t="s">
        <v>8</v>
      </c>
      <c r="E604" s="5" t="s">
        <v>9</v>
      </c>
      <c r="F604" s="6">
        <v>45107</v>
      </c>
      <c r="G604" s="5">
        <f t="shared" si="132"/>
        <v>2023</v>
      </c>
      <c r="H604" s="5" t="str">
        <f t="shared" si="129"/>
        <v>Junio</v>
      </c>
      <c r="I604" s="6" t="str">
        <f t="shared" si="139"/>
        <v>2023-1</v>
      </c>
      <c r="J604" s="5">
        <v>17</v>
      </c>
      <c r="K604" s="5">
        <v>21</v>
      </c>
      <c r="L604" s="21">
        <f>IFERROR(K604/J604,"")</f>
        <v>1.2352941176470589</v>
      </c>
      <c r="M604" s="15">
        <f t="shared" si="140"/>
        <v>1.2352941176470589</v>
      </c>
      <c r="N604" s="5" t="s">
        <v>490</v>
      </c>
      <c r="O604" s="5" t="s">
        <v>490</v>
      </c>
      <c r="P604" s="5">
        <v>0</v>
      </c>
      <c r="Q604" s="5">
        <v>0</v>
      </c>
      <c r="R604" s="5" t="str">
        <f t="shared" si="137"/>
        <v>256-2023-06-30</v>
      </c>
    </row>
    <row r="605" spans="1:18" x14ac:dyDescent="0.3">
      <c r="A605" s="39">
        <v>256</v>
      </c>
      <c r="B605" s="5" t="s">
        <v>138</v>
      </c>
      <c r="C605" s="5" t="s">
        <v>67</v>
      </c>
      <c r="D605" s="5" t="s">
        <v>8</v>
      </c>
      <c r="E605" s="5" t="s">
        <v>9</v>
      </c>
      <c r="F605" s="6">
        <v>45291</v>
      </c>
      <c r="G605" s="5">
        <f t="shared" si="132"/>
        <v>2023</v>
      </c>
      <c r="H605" s="5" t="str">
        <f t="shared" si="129"/>
        <v>Diciembre</v>
      </c>
      <c r="I605" s="6" t="str">
        <f t="shared" si="139"/>
        <v>2023-2</v>
      </c>
      <c r="J605" s="5">
        <v>17</v>
      </c>
      <c r="K605" s="5">
        <v>21</v>
      </c>
      <c r="L605" s="21">
        <f>IFERROR(K605/J605,"")</f>
        <v>1.2352941176470589</v>
      </c>
      <c r="M605" s="15">
        <f t="shared" si="140"/>
        <v>1.2352941176470589</v>
      </c>
      <c r="N605" s="5" t="s">
        <v>490</v>
      </c>
      <c r="O605" s="5" t="s">
        <v>490</v>
      </c>
      <c r="P605" s="5">
        <v>0</v>
      </c>
      <c r="Q605" s="5">
        <v>0</v>
      </c>
      <c r="R605" s="5" t="str">
        <f t="shared" si="137"/>
        <v>256-2023-12-31</v>
      </c>
    </row>
    <row r="606" spans="1:18" x14ac:dyDescent="0.3">
      <c r="A606" s="5">
        <v>256</v>
      </c>
      <c r="B606" s="5" t="s">
        <v>138</v>
      </c>
      <c r="C606" s="5" t="s">
        <v>67</v>
      </c>
      <c r="D606" s="5" t="s">
        <v>8</v>
      </c>
      <c r="E606" s="5" t="s">
        <v>9</v>
      </c>
      <c r="F606" s="6">
        <v>45473</v>
      </c>
      <c r="G606" s="5">
        <f t="shared" si="132"/>
        <v>2024</v>
      </c>
      <c r="H606" s="5" t="str">
        <f t="shared" si="129"/>
        <v>Junio</v>
      </c>
      <c r="I606" s="6" t="str">
        <f t="shared" si="139"/>
        <v>2024-1</v>
      </c>
      <c r="J606" s="5">
        <v>17</v>
      </c>
      <c r="K606" s="5">
        <v>20</v>
      </c>
      <c r="L606" s="15">
        <f>IFERROR(IF((K606/J606)&gt;1.3,1.3,K606/J606),"")</f>
        <v>1.1764705882352942</v>
      </c>
      <c r="M606" s="15">
        <f t="shared" si="140"/>
        <v>1.1764705882352942</v>
      </c>
      <c r="N606" s="5" t="s">
        <v>490</v>
      </c>
      <c r="O606" s="5" t="s">
        <v>490</v>
      </c>
      <c r="P606" s="5">
        <v>0</v>
      </c>
      <c r="Q606" s="5">
        <v>0</v>
      </c>
      <c r="R606" s="5" t="str">
        <f t="shared" si="137"/>
        <v>256-2024-06-30</v>
      </c>
    </row>
    <row r="607" spans="1:18" x14ac:dyDescent="0.3">
      <c r="A607" s="5">
        <v>256</v>
      </c>
      <c r="B607" s="5" t="s">
        <v>138</v>
      </c>
      <c r="C607" s="5" t="s">
        <v>67</v>
      </c>
      <c r="D607" s="5" t="s">
        <v>8</v>
      </c>
      <c r="E607" s="5" t="s">
        <v>9</v>
      </c>
      <c r="F607" s="6">
        <v>45657</v>
      </c>
      <c r="G607" s="5">
        <f t="shared" si="132"/>
        <v>2024</v>
      </c>
      <c r="H607" s="5" t="str">
        <f t="shared" si="129"/>
        <v>Diciembre</v>
      </c>
      <c r="I607" s="6" t="str">
        <f t="shared" si="139"/>
        <v>2024-2</v>
      </c>
      <c r="J607" s="5">
        <v>17</v>
      </c>
      <c r="K607" s="10">
        <v>26</v>
      </c>
      <c r="L607" s="15">
        <f>IFERROR(IF((K607/J607)&gt;1.3,1.3,K607/J607),"")</f>
        <v>1.3</v>
      </c>
      <c r="M607" s="15">
        <f t="shared" si="140"/>
        <v>1.5294117647058822</v>
      </c>
      <c r="N607" s="5" t="s">
        <v>490</v>
      </c>
      <c r="O607" s="5" t="s">
        <v>490</v>
      </c>
      <c r="P607" s="5">
        <v>0</v>
      </c>
      <c r="Q607" s="5">
        <v>0</v>
      </c>
      <c r="R607" s="5" t="str">
        <f t="shared" si="137"/>
        <v>256-2024-12-31</v>
      </c>
    </row>
    <row r="608" spans="1:18" x14ac:dyDescent="0.3">
      <c r="A608" s="43">
        <v>257</v>
      </c>
      <c r="B608" s="5" t="s">
        <v>139</v>
      </c>
      <c r="C608" s="5" t="s">
        <v>67</v>
      </c>
      <c r="D608" s="5" t="s">
        <v>8</v>
      </c>
      <c r="E608" s="5" t="s">
        <v>9</v>
      </c>
      <c r="F608" s="6">
        <v>45107</v>
      </c>
      <c r="G608" s="5">
        <f t="shared" si="132"/>
        <v>2023</v>
      </c>
      <c r="H608" s="5" t="str">
        <f t="shared" ref="H608:H671" si="141">PROPER(TEXT(F608,"mmmm"))</f>
        <v>Junio</v>
      </c>
      <c r="I608" s="6" t="str">
        <f t="shared" si="139"/>
        <v>2023-1</v>
      </c>
      <c r="J608" s="5">
        <v>18</v>
      </c>
      <c r="K608" s="5">
        <v>15</v>
      </c>
      <c r="L608" s="21">
        <f>IFERROR(K608/J608,"")</f>
        <v>0.83333333333333337</v>
      </c>
      <c r="M608" s="15">
        <f t="shared" si="140"/>
        <v>0.83333333333333337</v>
      </c>
      <c r="N608" s="5"/>
      <c r="O608" s="5"/>
      <c r="P608" s="5">
        <v>0</v>
      </c>
      <c r="Q608" s="5">
        <v>0</v>
      </c>
      <c r="R608" s="5" t="str">
        <f t="shared" si="137"/>
        <v>257-2023-06-30</v>
      </c>
    </row>
    <row r="609" spans="1:18" x14ac:dyDescent="0.3">
      <c r="A609" s="39">
        <v>257</v>
      </c>
      <c r="B609" s="5" t="s">
        <v>139</v>
      </c>
      <c r="C609" s="5" t="s">
        <v>67</v>
      </c>
      <c r="D609" s="5" t="s">
        <v>8</v>
      </c>
      <c r="E609" s="5" t="s">
        <v>9</v>
      </c>
      <c r="F609" s="6">
        <v>45291</v>
      </c>
      <c r="G609" s="5">
        <f t="shared" si="132"/>
        <v>2023</v>
      </c>
      <c r="H609" s="5" t="str">
        <f t="shared" si="141"/>
        <v>Diciembre</v>
      </c>
      <c r="I609" s="6" t="str">
        <f t="shared" si="139"/>
        <v>2023-2</v>
      </c>
      <c r="J609" s="5">
        <v>24</v>
      </c>
      <c r="K609" s="5">
        <v>24</v>
      </c>
      <c r="L609" s="21">
        <f>IFERROR(K609/J609,"")</f>
        <v>1</v>
      </c>
      <c r="M609" s="15">
        <f t="shared" si="140"/>
        <v>1</v>
      </c>
      <c r="N609" s="5"/>
      <c r="O609" s="5"/>
      <c r="P609" s="5">
        <v>0</v>
      </c>
      <c r="Q609" s="5">
        <v>0</v>
      </c>
      <c r="R609" s="5" t="str">
        <f t="shared" si="137"/>
        <v>257-2023-12-31</v>
      </c>
    </row>
    <row r="610" spans="1:18" x14ac:dyDescent="0.3">
      <c r="A610" s="39">
        <v>259</v>
      </c>
      <c r="B610" s="5" t="s">
        <v>140</v>
      </c>
      <c r="C610" s="5" t="s">
        <v>134</v>
      </c>
      <c r="D610" s="5" t="s">
        <v>11</v>
      </c>
      <c r="E610" s="5" t="s">
        <v>9</v>
      </c>
      <c r="F610" s="6">
        <v>45107</v>
      </c>
      <c r="G610" s="5">
        <f t="shared" si="132"/>
        <v>2023</v>
      </c>
      <c r="H610" s="5" t="str">
        <f t="shared" si="141"/>
        <v>Junio</v>
      </c>
      <c r="I610" s="6" t="str">
        <f t="shared" si="139"/>
        <v>2023-1</v>
      </c>
      <c r="J610" s="5">
        <v>100</v>
      </c>
      <c r="K610" s="5">
        <v>60.526315789473998</v>
      </c>
      <c r="L610" s="21">
        <f>IFERROR(K610/J610,"")</f>
        <v>0.60526315789473994</v>
      </c>
      <c r="M610" s="15">
        <f t="shared" si="140"/>
        <v>0.60526315789473994</v>
      </c>
      <c r="N610" s="5" t="s">
        <v>347</v>
      </c>
      <c r="O610" s="5" t="s">
        <v>347</v>
      </c>
      <c r="P610" s="5">
        <v>0</v>
      </c>
      <c r="Q610" s="5">
        <v>0</v>
      </c>
      <c r="R610" s="5" t="str">
        <f t="shared" si="137"/>
        <v>259-2023-06-30</v>
      </c>
    </row>
    <row r="611" spans="1:18" x14ac:dyDescent="0.3">
      <c r="A611" s="43">
        <v>259</v>
      </c>
      <c r="B611" s="5" t="s">
        <v>140</v>
      </c>
      <c r="C611" s="5" t="s">
        <v>134</v>
      </c>
      <c r="D611" s="5" t="s">
        <v>11</v>
      </c>
      <c r="E611" s="5" t="s">
        <v>9</v>
      </c>
      <c r="F611" s="6">
        <v>45199</v>
      </c>
      <c r="G611" s="5">
        <f t="shared" si="132"/>
        <v>2023</v>
      </c>
      <c r="H611" s="5" t="str">
        <f t="shared" si="141"/>
        <v>Septiembre</v>
      </c>
      <c r="I611" s="6" t="str">
        <f t="shared" si="139"/>
        <v>2023-2</v>
      </c>
      <c r="J611" s="5">
        <v>100</v>
      </c>
      <c r="K611" s="5">
        <v>68.75</v>
      </c>
      <c r="L611" s="21">
        <f>IFERROR(K611/J611,"")</f>
        <v>0.6875</v>
      </c>
      <c r="M611" s="15">
        <f t="shared" si="140"/>
        <v>0.6875</v>
      </c>
      <c r="N611" s="5" t="s">
        <v>347</v>
      </c>
      <c r="O611" s="5" t="s">
        <v>347</v>
      </c>
      <c r="P611" s="5">
        <v>0</v>
      </c>
      <c r="Q611" s="5">
        <v>0</v>
      </c>
      <c r="R611" s="5" t="str">
        <f t="shared" si="137"/>
        <v>259-2023-09-30</v>
      </c>
    </row>
    <row r="612" spans="1:18" x14ac:dyDescent="0.3">
      <c r="A612" s="39">
        <v>259</v>
      </c>
      <c r="B612" s="5" t="s">
        <v>140</v>
      </c>
      <c r="C612" s="5" t="s">
        <v>134</v>
      </c>
      <c r="D612" s="5" t="s">
        <v>11</v>
      </c>
      <c r="E612" s="5" t="s">
        <v>9</v>
      </c>
      <c r="F612" s="6">
        <v>45291</v>
      </c>
      <c r="G612" s="5">
        <f t="shared" si="132"/>
        <v>2023</v>
      </c>
      <c r="H612" s="5" t="str">
        <f t="shared" si="141"/>
        <v>Diciembre</v>
      </c>
      <c r="I612" s="6" t="str">
        <f t="shared" si="139"/>
        <v>2023-2</v>
      </c>
      <c r="J612" s="5">
        <v>100</v>
      </c>
      <c r="K612" s="5">
        <v>70</v>
      </c>
      <c r="L612" s="21">
        <f>IFERROR(K612/J612,"")</f>
        <v>0.7</v>
      </c>
      <c r="M612" s="15">
        <f t="shared" si="140"/>
        <v>0.7</v>
      </c>
      <c r="N612" s="5" t="s">
        <v>347</v>
      </c>
      <c r="O612" s="5" t="s">
        <v>347</v>
      </c>
      <c r="P612" s="5">
        <v>0</v>
      </c>
      <c r="Q612" s="5">
        <v>0</v>
      </c>
      <c r="R612" s="5" t="str">
        <f t="shared" si="137"/>
        <v>259-2023-12-31</v>
      </c>
    </row>
    <row r="613" spans="1:18" x14ac:dyDescent="0.3">
      <c r="A613" s="5">
        <v>259</v>
      </c>
      <c r="B613" s="5" t="s">
        <v>140</v>
      </c>
      <c r="C613" s="5" t="s">
        <v>134</v>
      </c>
      <c r="D613" s="5" t="s">
        <v>11</v>
      </c>
      <c r="E613" s="5" t="s">
        <v>9</v>
      </c>
      <c r="F613" s="6">
        <v>45473</v>
      </c>
      <c r="G613" s="5">
        <f t="shared" si="132"/>
        <v>2024</v>
      </c>
      <c r="H613" s="5" t="str">
        <f t="shared" si="141"/>
        <v>Junio</v>
      </c>
      <c r="I613" s="6" t="str">
        <f t="shared" si="139"/>
        <v>2024-1</v>
      </c>
      <c r="J613" s="5">
        <v>90</v>
      </c>
      <c r="K613" s="5">
        <v>34.69</v>
      </c>
      <c r="L613" s="15">
        <f>IFERROR(IF((K613/J613)&gt;1.3,1.3,K613/J613),"")</f>
        <v>0.38544444444444442</v>
      </c>
      <c r="M613" s="15">
        <f t="shared" si="140"/>
        <v>0.38544444444444442</v>
      </c>
      <c r="N613" s="5"/>
      <c r="O613" s="5"/>
      <c r="P613" s="5">
        <v>0</v>
      </c>
      <c r="Q613" s="5">
        <v>0</v>
      </c>
      <c r="R613" s="5" t="str">
        <f t="shared" si="137"/>
        <v>259-2024-06-30</v>
      </c>
    </row>
    <row r="614" spans="1:18" x14ac:dyDescent="0.3">
      <c r="A614" s="5">
        <v>259</v>
      </c>
      <c r="B614" s="5" t="s">
        <v>140</v>
      </c>
      <c r="C614" s="5" t="s">
        <v>134</v>
      </c>
      <c r="D614" s="5" t="s">
        <v>11</v>
      </c>
      <c r="E614" s="5" t="s">
        <v>9</v>
      </c>
      <c r="F614" s="6">
        <v>45657</v>
      </c>
      <c r="G614" s="5">
        <f t="shared" si="132"/>
        <v>2024</v>
      </c>
      <c r="H614" s="5" t="str">
        <f t="shared" si="141"/>
        <v>Diciembre</v>
      </c>
      <c r="I614" s="6" t="str">
        <f t="shared" si="139"/>
        <v>2024-2</v>
      </c>
      <c r="J614" s="5">
        <v>90</v>
      </c>
      <c r="K614" s="5">
        <v>78.430000000000007</v>
      </c>
      <c r="L614" s="15">
        <f>IFERROR(IF((K614/J614)&gt;1.3,1.3,K614/J614),"")</f>
        <v>0.87144444444444447</v>
      </c>
      <c r="M614" s="15">
        <f t="shared" si="140"/>
        <v>0.87144444444444447</v>
      </c>
      <c r="N614" s="5"/>
      <c r="O614" s="5"/>
      <c r="P614" s="5">
        <v>0</v>
      </c>
      <c r="Q614" s="5">
        <v>0</v>
      </c>
      <c r="R614" s="5" t="str">
        <f t="shared" si="137"/>
        <v>259-2024-12-31</v>
      </c>
    </row>
    <row r="615" spans="1:18" x14ac:dyDescent="0.3">
      <c r="A615" s="43">
        <v>260</v>
      </c>
      <c r="B615" s="5" t="s">
        <v>141</v>
      </c>
      <c r="C615" s="5" t="s">
        <v>142</v>
      </c>
      <c r="D615" s="5" t="s">
        <v>8</v>
      </c>
      <c r="E615" s="5" t="s">
        <v>14</v>
      </c>
      <c r="F615" s="6">
        <v>45107</v>
      </c>
      <c r="G615" s="5">
        <f t="shared" si="132"/>
        <v>2023</v>
      </c>
      <c r="H615" s="5" t="str">
        <f t="shared" si="141"/>
        <v>Junio</v>
      </c>
      <c r="I615" s="6" t="str">
        <f t="shared" si="139"/>
        <v>2023-1</v>
      </c>
      <c r="J615" s="5">
        <v>3</v>
      </c>
      <c r="K615" s="5">
        <v>2.8</v>
      </c>
      <c r="L615" s="15">
        <f>IFERROR(IF((J615/K615)&gt;1.3,1.3,J615/K615),"")</f>
        <v>1.0714285714285714</v>
      </c>
      <c r="M615" s="15">
        <f>IFERROR(J615/K615,"")</f>
        <v>1.0714285714285714</v>
      </c>
      <c r="N615" s="5" t="s">
        <v>478</v>
      </c>
      <c r="O615" s="5" t="s">
        <v>478</v>
      </c>
      <c r="P615" s="5">
        <v>0</v>
      </c>
      <c r="Q615" s="5">
        <v>1</v>
      </c>
      <c r="R615" s="5" t="str">
        <f t="shared" si="137"/>
        <v>260-2023-06-30</v>
      </c>
    </row>
    <row r="616" spans="1:18" x14ac:dyDescent="0.3">
      <c r="A616" s="39">
        <v>260</v>
      </c>
      <c r="B616" s="5" t="s">
        <v>141</v>
      </c>
      <c r="C616" s="5" t="s">
        <v>142</v>
      </c>
      <c r="D616" s="5" t="s">
        <v>8</v>
      </c>
      <c r="E616" s="5" t="s">
        <v>14</v>
      </c>
      <c r="F616" s="6">
        <v>45291</v>
      </c>
      <c r="G616" s="5">
        <f t="shared" si="132"/>
        <v>2023</v>
      </c>
      <c r="H616" s="5" t="str">
        <f t="shared" si="141"/>
        <v>Diciembre</v>
      </c>
      <c r="I616" s="6" t="str">
        <f t="shared" si="139"/>
        <v>2023-2</v>
      </c>
      <c r="J616" s="5">
        <v>3</v>
      </c>
      <c r="K616" s="5">
        <v>2.9</v>
      </c>
      <c r="L616" s="15">
        <f>IFERROR(IF((J616/K616)&gt;1.3,1.3,J616/K616),"")</f>
        <v>1.0344827586206897</v>
      </c>
      <c r="M616" s="15">
        <f>IFERROR(J616/K616,"")</f>
        <v>1.0344827586206897</v>
      </c>
      <c r="N616" s="5" t="s">
        <v>478</v>
      </c>
      <c r="O616" s="5" t="s">
        <v>478</v>
      </c>
      <c r="P616" s="5">
        <v>0</v>
      </c>
      <c r="Q616" s="5">
        <v>1</v>
      </c>
      <c r="R616" s="5" t="str">
        <f t="shared" si="137"/>
        <v>260-2023-12-31</v>
      </c>
    </row>
    <row r="617" spans="1:18" x14ac:dyDescent="0.3">
      <c r="A617" s="5">
        <v>260</v>
      </c>
      <c r="B617" s="5" t="s">
        <v>141</v>
      </c>
      <c r="C617" s="5" t="s">
        <v>142</v>
      </c>
      <c r="D617" s="5" t="s">
        <v>8</v>
      </c>
      <c r="E617" s="5" t="s">
        <v>14</v>
      </c>
      <c r="F617" s="6">
        <v>45473</v>
      </c>
      <c r="G617" s="5">
        <f t="shared" si="132"/>
        <v>2024</v>
      </c>
      <c r="H617" s="5" t="str">
        <f t="shared" si="141"/>
        <v>Junio</v>
      </c>
      <c r="I617" s="6" t="str">
        <f t="shared" si="139"/>
        <v>2024-1</v>
      </c>
      <c r="J617" s="5">
        <v>2.8</v>
      </c>
      <c r="K617" s="5">
        <v>2.5099999999999998</v>
      </c>
      <c r="L617" s="15">
        <f>IFERROR(IF((K617/J617)&gt;1.3,1.3,K617/J617),"")</f>
        <v>0.89642857142857146</v>
      </c>
      <c r="M617" s="15">
        <f>IFERROR(K617/J617,"")</f>
        <v>0.89642857142857146</v>
      </c>
      <c r="N617" s="5" t="s">
        <v>478</v>
      </c>
      <c r="O617" s="5" t="s">
        <v>478</v>
      </c>
      <c r="P617" s="5">
        <v>1</v>
      </c>
      <c r="Q617" s="5">
        <v>1</v>
      </c>
      <c r="R617" s="5" t="str">
        <f t="shared" si="137"/>
        <v>260-2024-06-30</v>
      </c>
    </row>
    <row r="618" spans="1:18" x14ac:dyDescent="0.3">
      <c r="A618" s="5">
        <v>260</v>
      </c>
      <c r="B618" s="5" t="s">
        <v>141</v>
      </c>
      <c r="C618" s="5" t="s">
        <v>142</v>
      </c>
      <c r="D618" s="5" t="s">
        <v>8</v>
      </c>
      <c r="E618" s="5" t="s">
        <v>14</v>
      </c>
      <c r="F618" s="6">
        <v>45657</v>
      </c>
      <c r="G618" s="5">
        <f t="shared" si="132"/>
        <v>2024</v>
      </c>
      <c r="H618" s="5" t="str">
        <f t="shared" si="141"/>
        <v>Diciembre</v>
      </c>
      <c r="I618" s="6" t="str">
        <f t="shared" si="139"/>
        <v>2024-2</v>
      </c>
      <c r="J618" s="5">
        <v>2.8</v>
      </c>
      <c r="K618" s="5">
        <v>2.1</v>
      </c>
      <c r="L618" s="15">
        <f>IFERROR(IF((K618/J618)&gt;1.3,1.3,K618/J618),"")</f>
        <v>0.75000000000000011</v>
      </c>
      <c r="M618" s="15">
        <f>IFERROR(K618/J618,"")</f>
        <v>0.75000000000000011</v>
      </c>
      <c r="N618" s="5" t="s">
        <v>478</v>
      </c>
      <c r="O618" s="5" t="s">
        <v>478</v>
      </c>
      <c r="P618" s="5">
        <v>1</v>
      </c>
      <c r="Q618" s="5">
        <v>1</v>
      </c>
      <c r="R618" s="5" t="str">
        <f t="shared" si="137"/>
        <v>260-2024-12-31</v>
      </c>
    </row>
    <row r="619" spans="1:18" x14ac:dyDescent="0.3">
      <c r="A619" s="43">
        <v>261</v>
      </c>
      <c r="B619" s="5" t="s">
        <v>143</v>
      </c>
      <c r="C619" s="5" t="s">
        <v>74</v>
      </c>
      <c r="D619" s="5" t="s">
        <v>8</v>
      </c>
      <c r="E619" s="5" t="s">
        <v>14</v>
      </c>
      <c r="F619" s="6">
        <v>45107</v>
      </c>
      <c r="G619" s="5">
        <f t="shared" si="132"/>
        <v>2023</v>
      </c>
      <c r="H619" s="5" t="str">
        <f t="shared" si="141"/>
        <v>Junio</v>
      </c>
      <c r="I619" s="6" t="str">
        <f t="shared" si="139"/>
        <v>2023-1</v>
      </c>
      <c r="J619" s="5">
        <v>3</v>
      </c>
      <c r="K619" s="5">
        <v>1.98</v>
      </c>
      <c r="L619" s="15">
        <f>IFERROR(IF((J619/K619)&gt;1.3,1.3,J619/K619),"")</f>
        <v>1.3</v>
      </c>
      <c r="M619" s="15">
        <f>IFERROR(J619/K619,"")</f>
        <v>1.5151515151515151</v>
      </c>
      <c r="N619" s="5" t="s">
        <v>490</v>
      </c>
      <c r="O619" s="5" t="s">
        <v>478</v>
      </c>
      <c r="P619" s="5">
        <v>0</v>
      </c>
      <c r="Q619" s="5">
        <v>1</v>
      </c>
      <c r="R619" s="5" t="str">
        <f t="shared" si="137"/>
        <v>261-2023-06-30</v>
      </c>
    </row>
    <row r="620" spans="1:18" x14ac:dyDescent="0.3">
      <c r="A620" s="39">
        <v>261</v>
      </c>
      <c r="B620" s="5" t="s">
        <v>143</v>
      </c>
      <c r="C620" s="5" t="s">
        <v>74</v>
      </c>
      <c r="D620" s="5" t="s">
        <v>8</v>
      </c>
      <c r="E620" s="5" t="s">
        <v>14</v>
      </c>
      <c r="F620" s="6">
        <v>45291</v>
      </c>
      <c r="G620" s="5">
        <f t="shared" si="132"/>
        <v>2023</v>
      </c>
      <c r="H620" s="5" t="str">
        <f t="shared" si="141"/>
        <v>Diciembre</v>
      </c>
      <c r="I620" s="6" t="str">
        <f t="shared" si="139"/>
        <v>2023-2</v>
      </c>
      <c r="J620" s="5">
        <v>3</v>
      </c>
      <c r="K620" s="5">
        <v>2.06</v>
      </c>
      <c r="L620" s="15">
        <f>IFERROR(IF((J620/K620)&gt;1.3,1.3,J620/K620),"")</f>
        <v>1.3</v>
      </c>
      <c r="M620" s="15">
        <f>IFERROR(J620/K620,"")</f>
        <v>1.4563106796116505</v>
      </c>
      <c r="N620" s="5" t="s">
        <v>490</v>
      </c>
      <c r="O620" s="5" t="s">
        <v>478</v>
      </c>
      <c r="P620" s="5">
        <v>0</v>
      </c>
      <c r="Q620" s="5">
        <v>1</v>
      </c>
      <c r="R620" s="5" t="str">
        <f t="shared" si="137"/>
        <v>261-2023-12-31</v>
      </c>
    </row>
    <row r="621" spans="1:18" x14ac:dyDescent="0.3">
      <c r="A621" s="5">
        <v>261</v>
      </c>
      <c r="B621" s="5" t="s">
        <v>143</v>
      </c>
      <c r="C621" s="5" t="s">
        <v>74</v>
      </c>
      <c r="D621" s="5" t="s">
        <v>8</v>
      </c>
      <c r="E621" s="5" t="s">
        <v>14</v>
      </c>
      <c r="F621" s="6">
        <v>45473</v>
      </c>
      <c r="G621" s="5">
        <f t="shared" si="132"/>
        <v>2024</v>
      </c>
      <c r="H621" s="5" t="str">
        <f t="shared" si="141"/>
        <v>Junio</v>
      </c>
      <c r="I621" s="6" t="str">
        <f t="shared" si="139"/>
        <v>2024-1</v>
      </c>
      <c r="J621" s="5">
        <v>3</v>
      </c>
      <c r="K621" s="5">
        <v>2.2000000000000002</v>
      </c>
      <c r="L621" s="15">
        <f>IFERROR(IF((J621/K621)&gt;1.3,1.3,J621/K621),"")</f>
        <v>1.3</v>
      </c>
      <c r="M621" s="15">
        <f>IFERROR(J621/K621,"")</f>
        <v>1.3636363636363635</v>
      </c>
      <c r="N621" s="5" t="s">
        <v>490</v>
      </c>
      <c r="O621" s="5" t="s">
        <v>478</v>
      </c>
      <c r="P621" s="5">
        <v>0</v>
      </c>
      <c r="Q621" s="5">
        <v>1</v>
      </c>
      <c r="R621" s="5" t="str">
        <f t="shared" si="137"/>
        <v>261-2024-06-30</v>
      </c>
    </row>
    <row r="622" spans="1:18" x14ac:dyDescent="0.3">
      <c r="A622" s="5">
        <v>261</v>
      </c>
      <c r="B622" s="5" t="s">
        <v>143</v>
      </c>
      <c r="C622" s="5" t="s">
        <v>74</v>
      </c>
      <c r="D622" s="5" t="s">
        <v>8</v>
      </c>
      <c r="E622" s="5" t="s">
        <v>14</v>
      </c>
      <c r="F622" s="6">
        <v>45657</v>
      </c>
      <c r="G622" s="5">
        <f t="shared" si="132"/>
        <v>2024</v>
      </c>
      <c r="H622" s="5" t="str">
        <f t="shared" si="141"/>
        <v>Diciembre</v>
      </c>
      <c r="I622" s="6" t="str">
        <f t="shared" si="139"/>
        <v>2024-2</v>
      </c>
      <c r="J622" s="5">
        <v>3</v>
      </c>
      <c r="K622" s="5">
        <v>2.2000000000000002</v>
      </c>
      <c r="L622" s="15">
        <f>IFERROR(IF((J622/K622)&gt;1.3,1.3,J622/K622),"")</f>
        <v>1.3</v>
      </c>
      <c r="M622" s="15">
        <f>IFERROR(J622/K622,"")</f>
        <v>1.3636363636363635</v>
      </c>
      <c r="N622" s="5" t="s">
        <v>490</v>
      </c>
      <c r="O622" s="5" t="s">
        <v>478</v>
      </c>
      <c r="P622" s="5">
        <v>0</v>
      </c>
      <c r="Q622" s="5">
        <v>1</v>
      </c>
      <c r="R622" s="5" t="str">
        <f t="shared" si="137"/>
        <v>261-2024-12-31</v>
      </c>
    </row>
    <row r="623" spans="1:18" x14ac:dyDescent="0.3">
      <c r="A623" s="43">
        <v>262</v>
      </c>
      <c r="B623" s="5" t="s">
        <v>144</v>
      </c>
      <c r="C623" s="5" t="s">
        <v>145</v>
      </c>
      <c r="D623" s="5" t="s">
        <v>8</v>
      </c>
      <c r="E623" s="5" t="s">
        <v>14</v>
      </c>
      <c r="F623" s="6">
        <v>45107</v>
      </c>
      <c r="G623" s="5">
        <f t="shared" si="132"/>
        <v>2023</v>
      </c>
      <c r="H623" s="5" t="str">
        <f t="shared" si="141"/>
        <v>Junio</v>
      </c>
      <c r="I623" s="6" t="str">
        <f t="shared" si="139"/>
        <v>2023-1</v>
      </c>
      <c r="J623" s="5">
        <v>20</v>
      </c>
      <c r="K623" s="5">
        <v>0</v>
      </c>
      <c r="L623" s="8">
        <v>1</v>
      </c>
      <c r="M623" s="8">
        <v>1</v>
      </c>
      <c r="N623" s="5" t="s">
        <v>347</v>
      </c>
      <c r="O623" s="5" t="s">
        <v>347</v>
      </c>
      <c r="P623" s="5">
        <v>0</v>
      </c>
      <c r="Q623" s="5">
        <v>0</v>
      </c>
      <c r="R623" s="5" t="str">
        <f t="shared" si="137"/>
        <v>262-2023-06-30</v>
      </c>
    </row>
    <row r="624" spans="1:18" x14ac:dyDescent="0.3">
      <c r="A624" s="39">
        <v>262</v>
      </c>
      <c r="B624" s="5" t="s">
        <v>144</v>
      </c>
      <c r="C624" s="5" t="s">
        <v>145</v>
      </c>
      <c r="D624" s="5" t="s">
        <v>8</v>
      </c>
      <c r="E624" s="5" t="s">
        <v>14</v>
      </c>
      <c r="F624" s="6">
        <v>45291</v>
      </c>
      <c r="G624" s="5">
        <f t="shared" si="132"/>
        <v>2023</v>
      </c>
      <c r="H624" s="5" t="str">
        <f t="shared" si="141"/>
        <v>Diciembre</v>
      </c>
      <c r="I624" s="6" t="str">
        <f t="shared" ref="I624:I655" si="142">IF(OR(H624="Enero",H624="Febrero",H624="Marzo",H624="Abril",H624="Mayo",H624="Junio"),G624&amp;"-1",IF(OR(H624="Julio",H624="Agosto",H624="Septiembre",H624="Octubre",H624="Noviembre",H624="Diciembre"),G624&amp;"-2"))</f>
        <v>2023-2</v>
      </c>
      <c r="J624" s="5">
        <v>20</v>
      </c>
      <c r="K624" s="5">
        <v>11</v>
      </c>
      <c r="L624" s="8">
        <v>1</v>
      </c>
      <c r="M624" s="8">
        <v>1</v>
      </c>
      <c r="N624" s="5" t="s">
        <v>347</v>
      </c>
      <c r="O624" s="5" t="s">
        <v>347</v>
      </c>
      <c r="P624" s="5">
        <v>0</v>
      </c>
      <c r="Q624" s="5">
        <v>0</v>
      </c>
      <c r="R624" s="5" t="str">
        <f t="shared" si="137"/>
        <v>262-2023-12-31</v>
      </c>
    </row>
    <row r="625" spans="1:18" x14ac:dyDescent="0.3">
      <c r="A625" s="5">
        <v>262</v>
      </c>
      <c r="B625" s="5" t="s">
        <v>494</v>
      </c>
      <c r="C625" s="5" t="s">
        <v>145</v>
      </c>
      <c r="D625" s="5" t="s">
        <v>8</v>
      </c>
      <c r="E625" s="5" t="s">
        <v>14</v>
      </c>
      <c r="F625" s="6">
        <v>45473</v>
      </c>
      <c r="G625" s="5">
        <f t="shared" si="132"/>
        <v>2024</v>
      </c>
      <c r="H625" s="5" t="str">
        <f t="shared" si="141"/>
        <v>Junio</v>
      </c>
      <c r="I625" s="6" t="str">
        <f t="shared" si="142"/>
        <v>2024-1</v>
      </c>
      <c r="J625" s="5">
        <v>20</v>
      </c>
      <c r="K625" s="5">
        <v>0</v>
      </c>
      <c r="L625" s="8">
        <v>1</v>
      </c>
      <c r="M625" s="8">
        <v>1</v>
      </c>
      <c r="N625" s="5" t="s">
        <v>347</v>
      </c>
      <c r="O625" s="5" t="s">
        <v>347</v>
      </c>
      <c r="P625" s="5">
        <v>0</v>
      </c>
      <c r="Q625" s="5">
        <v>0</v>
      </c>
      <c r="R625" s="5" t="str">
        <f t="shared" si="137"/>
        <v>262-2024-06-30</v>
      </c>
    </row>
    <row r="626" spans="1:18" x14ac:dyDescent="0.3">
      <c r="A626" s="5">
        <v>262</v>
      </c>
      <c r="B626" s="5" t="s">
        <v>494</v>
      </c>
      <c r="C626" s="5" t="s">
        <v>145</v>
      </c>
      <c r="D626" s="5" t="s">
        <v>8</v>
      </c>
      <c r="E626" s="5" t="s">
        <v>14</v>
      </c>
      <c r="F626" s="6">
        <v>45657</v>
      </c>
      <c r="G626" s="5">
        <f t="shared" si="132"/>
        <v>2024</v>
      </c>
      <c r="H626" s="5" t="str">
        <f t="shared" si="141"/>
        <v>Diciembre</v>
      </c>
      <c r="I626" s="6" t="str">
        <f t="shared" si="142"/>
        <v>2024-2</v>
      </c>
      <c r="J626" s="5">
        <v>20</v>
      </c>
      <c r="K626" s="5">
        <v>0</v>
      </c>
      <c r="L626" s="8">
        <v>1</v>
      </c>
      <c r="M626" s="8">
        <v>1</v>
      </c>
      <c r="N626" s="5" t="s">
        <v>347</v>
      </c>
      <c r="O626" s="5" t="s">
        <v>347</v>
      </c>
      <c r="P626" s="5">
        <v>0</v>
      </c>
      <c r="Q626" s="5">
        <v>0</v>
      </c>
      <c r="R626" s="5" t="str">
        <f t="shared" si="137"/>
        <v>262-2024-12-31</v>
      </c>
    </row>
    <row r="627" spans="1:18" x14ac:dyDescent="0.3">
      <c r="A627" s="39">
        <v>263</v>
      </c>
      <c r="B627" s="5" t="s">
        <v>146</v>
      </c>
      <c r="C627" s="5" t="s">
        <v>145</v>
      </c>
      <c r="D627" s="5" t="s">
        <v>11</v>
      </c>
      <c r="E627" s="5" t="s">
        <v>9</v>
      </c>
      <c r="F627" s="6">
        <v>45107</v>
      </c>
      <c r="G627" s="5">
        <f t="shared" ref="G627:G690" si="143">YEAR(F627)</f>
        <v>2023</v>
      </c>
      <c r="H627" s="5" t="str">
        <f t="shared" si="141"/>
        <v>Junio</v>
      </c>
      <c r="I627" s="6" t="str">
        <f t="shared" si="142"/>
        <v>2023-1</v>
      </c>
      <c r="J627" s="5">
        <v>100</v>
      </c>
      <c r="K627" s="5">
        <v>100</v>
      </c>
      <c r="L627" s="21">
        <f>IFERROR(K627/J627,"")</f>
        <v>1</v>
      </c>
      <c r="M627" s="15">
        <f t="shared" ref="M627:M659" si="144">IFERROR(K627/J627,"")</f>
        <v>1</v>
      </c>
      <c r="N627" s="5" t="s">
        <v>347</v>
      </c>
      <c r="O627" s="5" t="s">
        <v>347</v>
      </c>
      <c r="P627" s="5">
        <v>0</v>
      </c>
      <c r="Q627" s="5">
        <v>0</v>
      </c>
      <c r="R627" s="5" t="str">
        <f t="shared" si="137"/>
        <v>263-2023-06-30</v>
      </c>
    </row>
    <row r="628" spans="1:18" x14ac:dyDescent="0.3">
      <c r="A628" s="39">
        <v>263</v>
      </c>
      <c r="B628" s="5" t="s">
        <v>146</v>
      </c>
      <c r="C628" s="5" t="s">
        <v>145</v>
      </c>
      <c r="D628" s="5" t="s">
        <v>11</v>
      </c>
      <c r="E628" s="5" t="s">
        <v>9</v>
      </c>
      <c r="F628" s="6">
        <v>45291</v>
      </c>
      <c r="G628" s="5">
        <f t="shared" si="143"/>
        <v>2023</v>
      </c>
      <c r="H628" s="5" t="str">
        <f t="shared" si="141"/>
        <v>Diciembre</v>
      </c>
      <c r="I628" s="6" t="str">
        <f t="shared" si="142"/>
        <v>2023-2</v>
      </c>
      <c r="J628" s="5">
        <v>100</v>
      </c>
      <c r="K628" s="5">
        <v>100</v>
      </c>
      <c r="L628" s="21">
        <f>IFERROR(K628/J628,"")</f>
        <v>1</v>
      </c>
      <c r="M628" s="15">
        <f t="shared" si="144"/>
        <v>1</v>
      </c>
      <c r="N628" s="5" t="s">
        <v>347</v>
      </c>
      <c r="O628" s="5" t="s">
        <v>347</v>
      </c>
      <c r="P628" s="5">
        <v>0</v>
      </c>
      <c r="Q628" s="5">
        <v>0</v>
      </c>
      <c r="R628" s="5" t="str">
        <f t="shared" si="137"/>
        <v>263-2023-12-31</v>
      </c>
    </row>
    <row r="629" spans="1:18" x14ac:dyDescent="0.3">
      <c r="A629" s="5">
        <v>263</v>
      </c>
      <c r="B629" s="5" t="s">
        <v>146</v>
      </c>
      <c r="C629" s="5" t="s">
        <v>145</v>
      </c>
      <c r="D629" s="5" t="s">
        <v>11</v>
      </c>
      <c r="E629" s="5" t="s">
        <v>9</v>
      </c>
      <c r="F629" s="6">
        <v>45473</v>
      </c>
      <c r="G629" s="5">
        <f t="shared" si="143"/>
        <v>2024</v>
      </c>
      <c r="H629" s="5" t="str">
        <f t="shared" si="141"/>
        <v>Junio</v>
      </c>
      <c r="I629" s="6" t="str">
        <f t="shared" si="142"/>
        <v>2024-1</v>
      </c>
      <c r="J629" s="5">
        <v>100</v>
      </c>
      <c r="K629" s="5">
        <v>100</v>
      </c>
      <c r="L629" s="15">
        <f>IFERROR(IF((K629/J629)&gt;1.3,1.3,K629/J629),"")</f>
        <v>1</v>
      </c>
      <c r="M629" s="15">
        <f t="shared" si="144"/>
        <v>1</v>
      </c>
      <c r="N629" s="5" t="s">
        <v>347</v>
      </c>
      <c r="O629" s="5" t="s">
        <v>347</v>
      </c>
      <c r="P629" s="5">
        <v>0</v>
      </c>
      <c r="Q629" s="5">
        <v>0</v>
      </c>
      <c r="R629" s="5" t="str">
        <f t="shared" si="137"/>
        <v>263-2024-06-30</v>
      </c>
    </row>
    <row r="630" spans="1:18" x14ac:dyDescent="0.3">
      <c r="A630" s="5">
        <v>263</v>
      </c>
      <c r="B630" s="5" t="s">
        <v>146</v>
      </c>
      <c r="C630" s="5" t="s">
        <v>145</v>
      </c>
      <c r="D630" s="5" t="s">
        <v>11</v>
      </c>
      <c r="E630" s="5" t="s">
        <v>9</v>
      </c>
      <c r="F630" s="6">
        <v>45657</v>
      </c>
      <c r="G630" s="5">
        <f t="shared" si="143"/>
        <v>2024</v>
      </c>
      <c r="H630" s="5" t="str">
        <f t="shared" si="141"/>
        <v>Diciembre</v>
      </c>
      <c r="I630" s="6" t="str">
        <f t="shared" si="142"/>
        <v>2024-2</v>
      </c>
      <c r="J630" s="5">
        <v>100</v>
      </c>
      <c r="K630" s="5">
        <v>100</v>
      </c>
      <c r="L630" s="15">
        <f>IFERROR(IF((K630/J630)&gt;1.3,1.3,K630/J630),"")</f>
        <v>1</v>
      </c>
      <c r="M630" s="15">
        <f t="shared" si="144"/>
        <v>1</v>
      </c>
      <c r="N630" s="5" t="s">
        <v>347</v>
      </c>
      <c r="O630" s="5" t="s">
        <v>347</v>
      </c>
      <c r="P630" s="5">
        <v>0</v>
      </c>
      <c r="Q630" s="5">
        <v>0</v>
      </c>
      <c r="R630" s="5" t="str">
        <f t="shared" si="137"/>
        <v>263-2024-12-31</v>
      </c>
    </row>
    <row r="631" spans="1:18" x14ac:dyDescent="0.3">
      <c r="A631" s="43">
        <v>264</v>
      </c>
      <c r="B631" s="5" t="s">
        <v>147</v>
      </c>
      <c r="C631" s="5" t="s">
        <v>145</v>
      </c>
      <c r="D631" s="5" t="s">
        <v>8</v>
      </c>
      <c r="E631" s="5" t="s">
        <v>9</v>
      </c>
      <c r="F631" s="6">
        <v>45107</v>
      </c>
      <c r="G631" s="5">
        <f t="shared" si="143"/>
        <v>2023</v>
      </c>
      <c r="H631" s="5" t="str">
        <f t="shared" si="141"/>
        <v>Junio</v>
      </c>
      <c r="I631" s="6" t="str">
        <f t="shared" si="142"/>
        <v>2023-1</v>
      </c>
      <c r="J631" s="5">
        <v>100</v>
      </c>
      <c r="K631" s="5">
        <v>100</v>
      </c>
      <c r="L631" s="21">
        <f>IFERROR(K631/J631,"")</f>
        <v>1</v>
      </c>
      <c r="M631" s="15">
        <f t="shared" si="144"/>
        <v>1</v>
      </c>
      <c r="N631" s="5" t="s">
        <v>347</v>
      </c>
      <c r="O631" s="5" t="s">
        <v>347</v>
      </c>
      <c r="P631" s="5">
        <v>0</v>
      </c>
      <c r="Q631" s="5">
        <v>0</v>
      </c>
      <c r="R631" s="5" t="str">
        <f t="shared" si="137"/>
        <v>264-2023-06-30</v>
      </c>
    </row>
    <row r="632" spans="1:18" x14ac:dyDescent="0.3">
      <c r="A632" s="39">
        <v>264</v>
      </c>
      <c r="B632" s="5" t="s">
        <v>147</v>
      </c>
      <c r="C632" s="5" t="s">
        <v>145</v>
      </c>
      <c r="D632" s="5" t="s">
        <v>8</v>
      </c>
      <c r="E632" s="5" t="s">
        <v>9</v>
      </c>
      <c r="F632" s="6">
        <v>45291</v>
      </c>
      <c r="G632" s="5">
        <f t="shared" si="143"/>
        <v>2023</v>
      </c>
      <c r="H632" s="5" t="str">
        <f t="shared" si="141"/>
        <v>Diciembre</v>
      </c>
      <c r="I632" s="6" t="str">
        <f t="shared" si="142"/>
        <v>2023-2</v>
      </c>
      <c r="J632" s="5">
        <v>100</v>
      </c>
      <c r="K632" s="5">
        <v>100</v>
      </c>
      <c r="L632" s="21">
        <f>IFERROR(K632/J632,"")</f>
        <v>1</v>
      </c>
      <c r="M632" s="15">
        <f t="shared" si="144"/>
        <v>1</v>
      </c>
      <c r="N632" s="5" t="s">
        <v>347</v>
      </c>
      <c r="O632" s="5" t="s">
        <v>347</v>
      </c>
      <c r="P632" s="5">
        <v>0</v>
      </c>
      <c r="Q632" s="5">
        <v>0</v>
      </c>
      <c r="R632" s="5" t="str">
        <f t="shared" si="137"/>
        <v>264-2023-12-31</v>
      </c>
    </row>
    <row r="633" spans="1:18" x14ac:dyDescent="0.3">
      <c r="A633" s="5">
        <v>264</v>
      </c>
      <c r="B633" s="5" t="s">
        <v>495</v>
      </c>
      <c r="C633" s="5" t="s">
        <v>145</v>
      </c>
      <c r="D633" s="5" t="s">
        <v>8</v>
      </c>
      <c r="E633" s="5" t="s">
        <v>9</v>
      </c>
      <c r="F633" s="6">
        <v>45473</v>
      </c>
      <c r="G633" s="5">
        <f t="shared" si="143"/>
        <v>2024</v>
      </c>
      <c r="H633" s="5" t="str">
        <f t="shared" si="141"/>
        <v>Junio</v>
      </c>
      <c r="I633" s="6" t="str">
        <f t="shared" si="142"/>
        <v>2024-1</v>
      </c>
      <c r="J633" s="5">
        <v>100</v>
      </c>
      <c r="K633" s="5">
        <v>100</v>
      </c>
      <c r="L633" s="15">
        <f>IFERROR(IF((K633/J633)&gt;1.3,1.3,K633/J633),"")</f>
        <v>1</v>
      </c>
      <c r="M633" s="15">
        <f t="shared" si="144"/>
        <v>1</v>
      </c>
      <c r="N633" s="5"/>
      <c r="O633" s="5"/>
      <c r="P633" s="5">
        <v>0</v>
      </c>
      <c r="Q633" s="5">
        <v>0</v>
      </c>
      <c r="R633" s="5" t="str">
        <f t="shared" si="137"/>
        <v>264-2024-06-30</v>
      </c>
    </row>
    <row r="634" spans="1:18" x14ac:dyDescent="0.3">
      <c r="A634" s="5">
        <v>264</v>
      </c>
      <c r="B634" s="5" t="s">
        <v>495</v>
      </c>
      <c r="C634" s="5" t="s">
        <v>145</v>
      </c>
      <c r="D634" s="5" t="s">
        <v>8</v>
      </c>
      <c r="E634" s="5" t="s">
        <v>9</v>
      </c>
      <c r="F634" s="6">
        <v>45657</v>
      </c>
      <c r="G634" s="5">
        <f t="shared" si="143"/>
        <v>2024</v>
      </c>
      <c r="H634" s="5" t="str">
        <f t="shared" si="141"/>
        <v>Diciembre</v>
      </c>
      <c r="I634" s="6" t="str">
        <f t="shared" si="142"/>
        <v>2024-2</v>
      </c>
      <c r="J634" s="5">
        <v>100</v>
      </c>
      <c r="K634" s="5">
        <v>100</v>
      </c>
      <c r="L634" s="15">
        <f>IFERROR(IF((K634/J634)&gt;1.3,1.3,K634/J634),"")</f>
        <v>1</v>
      </c>
      <c r="M634" s="15">
        <f t="shared" si="144"/>
        <v>1</v>
      </c>
      <c r="N634" s="5"/>
      <c r="O634" s="5"/>
      <c r="P634" s="5">
        <v>0</v>
      </c>
      <c r="Q634" s="5">
        <v>0</v>
      </c>
      <c r="R634" s="5" t="str">
        <f t="shared" si="137"/>
        <v>264-2024-12-31</v>
      </c>
    </row>
    <row r="635" spans="1:18" x14ac:dyDescent="0.3">
      <c r="A635" s="43">
        <v>265</v>
      </c>
      <c r="B635" s="5" t="s">
        <v>148</v>
      </c>
      <c r="C635" s="5" t="s">
        <v>145</v>
      </c>
      <c r="D635" s="5" t="s">
        <v>8</v>
      </c>
      <c r="E635" s="5" t="s">
        <v>9</v>
      </c>
      <c r="F635" s="6">
        <v>45107</v>
      </c>
      <c r="G635" s="5">
        <f t="shared" si="143"/>
        <v>2023</v>
      </c>
      <c r="H635" s="5" t="str">
        <f t="shared" si="141"/>
        <v>Junio</v>
      </c>
      <c r="I635" s="6" t="str">
        <f t="shared" si="142"/>
        <v>2023-1</v>
      </c>
      <c r="J635" s="5">
        <v>100</v>
      </c>
      <c r="K635" s="5">
        <v>80</v>
      </c>
      <c r="L635" s="21">
        <f>IFERROR(K635/J635,"")</f>
        <v>0.8</v>
      </c>
      <c r="M635" s="15">
        <f t="shared" si="144"/>
        <v>0.8</v>
      </c>
      <c r="N635" s="5" t="s">
        <v>347</v>
      </c>
      <c r="O635" s="5" t="s">
        <v>347</v>
      </c>
      <c r="P635" s="5">
        <v>0</v>
      </c>
      <c r="Q635" s="5">
        <v>0</v>
      </c>
      <c r="R635" s="5" t="str">
        <f t="shared" si="137"/>
        <v>265-2023-06-30</v>
      </c>
    </row>
    <row r="636" spans="1:18" x14ac:dyDescent="0.3">
      <c r="A636" s="39">
        <v>265</v>
      </c>
      <c r="B636" s="5" t="s">
        <v>148</v>
      </c>
      <c r="C636" s="5" t="s">
        <v>145</v>
      </c>
      <c r="D636" s="5" t="s">
        <v>8</v>
      </c>
      <c r="E636" s="5" t="s">
        <v>9</v>
      </c>
      <c r="F636" s="6">
        <v>45291</v>
      </c>
      <c r="G636" s="5">
        <f t="shared" si="143"/>
        <v>2023</v>
      </c>
      <c r="H636" s="5" t="str">
        <f t="shared" si="141"/>
        <v>Diciembre</v>
      </c>
      <c r="I636" s="6" t="str">
        <f t="shared" si="142"/>
        <v>2023-2</v>
      </c>
      <c r="J636" s="5">
        <v>100</v>
      </c>
      <c r="K636" s="5">
        <v>97.13</v>
      </c>
      <c r="L636" s="21">
        <f>IFERROR(K636/J636,"")</f>
        <v>0.97129999999999994</v>
      </c>
      <c r="M636" s="15">
        <f t="shared" si="144"/>
        <v>0.97129999999999994</v>
      </c>
      <c r="N636" s="5" t="s">
        <v>347</v>
      </c>
      <c r="O636" s="5" t="s">
        <v>347</v>
      </c>
      <c r="P636" s="5">
        <v>0</v>
      </c>
      <c r="Q636" s="5">
        <v>0</v>
      </c>
      <c r="R636" s="5" t="str">
        <f t="shared" si="137"/>
        <v>265-2023-12-31</v>
      </c>
    </row>
    <row r="637" spans="1:18" x14ac:dyDescent="0.3">
      <c r="A637" s="5">
        <v>265</v>
      </c>
      <c r="B637" s="5" t="s">
        <v>496</v>
      </c>
      <c r="C637" s="5" t="s">
        <v>145</v>
      </c>
      <c r="D637" s="5" t="s">
        <v>8</v>
      </c>
      <c r="E637" s="5" t="s">
        <v>9</v>
      </c>
      <c r="F637" s="6">
        <v>45473</v>
      </c>
      <c r="G637" s="5">
        <f t="shared" si="143"/>
        <v>2024</v>
      </c>
      <c r="H637" s="5" t="str">
        <f t="shared" si="141"/>
        <v>Junio</v>
      </c>
      <c r="I637" s="6" t="str">
        <f t="shared" si="142"/>
        <v>2024-1</v>
      </c>
      <c r="J637" s="5">
        <v>95</v>
      </c>
      <c r="K637" s="5">
        <v>100</v>
      </c>
      <c r="L637" s="15">
        <f>IFERROR(IF((K637/J637)&gt;1.3,1.3,K637/J637),"")</f>
        <v>1.0526315789473684</v>
      </c>
      <c r="M637" s="15">
        <f t="shared" si="144"/>
        <v>1.0526315789473684</v>
      </c>
      <c r="N637" s="5" t="s">
        <v>347</v>
      </c>
      <c r="O637" s="5" t="s">
        <v>347</v>
      </c>
      <c r="P637" s="5">
        <v>0</v>
      </c>
      <c r="Q637" s="5">
        <v>0</v>
      </c>
      <c r="R637" s="5" t="str">
        <f t="shared" si="137"/>
        <v>265-2024-06-30</v>
      </c>
    </row>
    <row r="638" spans="1:18" x14ac:dyDescent="0.3">
      <c r="A638" s="5">
        <v>265</v>
      </c>
      <c r="B638" s="5" t="s">
        <v>496</v>
      </c>
      <c r="C638" s="5" t="s">
        <v>145</v>
      </c>
      <c r="D638" s="5" t="s">
        <v>8</v>
      </c>
      <c r="E638" s="5" t="s">
        <v>9</v>
      </c>
      <c r="F638" s="6">
        <v>45657</v>
      </c>
      <c r="G638" s="5">
        <f t="shared" si="143"/>
        <v>2024</v>
      </c>
      <c r="H638" s="5" t="str">
        <f t="shared" si="141"/>
        <v>Diciembre</v>
      </c>
      <c r="I638" s="6" t="str">
        <f t="shared" si="142"/>
        <v>2024-2</v>
      </c>
      <c r="J638" s="5">
        <v>95</v>
      </c>
      <c r="K638" s="5">
        <v>100</v>
      </c>
      <c r="L638" s="15">
        <f>IFERROR(IF((K638/J638)&gt;1.3,1.3,K638/J638),"")</f>
        <v>1.0526315789473684</v>
      </c>
      <c r="M638" s="15">
        <f t="shared" si="144"/>
        <v>1.0526315789473684</v>
      </c>
      <c r="N638" s="5" t="s">
        <v>347</v>
      </c>
      <c r="O638" s="5" t="s">
        <v>347</v>
      </c>
      <c r="P638" s="5">
        <v>0</v>
      </c>
      <c r="Q638" s="5">
        <v>0</v>
      </c>
      <c r="R638" s="5" t="str">
        <f t="shared" si="137"/>
        <v>265-2024-12-31</v>
      </c>
    </row>
    <row r="639" spans="1:18" x14ac:dyDescent="0.3">
      <c r="A639" s="43">
        <v>266</v>
      </c>
      <c r="B639" s="5" t="s">
        <v>149</v>
      </c>
      <c r="C639" s="5" t="s">
        <v>145</v>
      </c>
      <c r="D639" s="5" t="s">
        <v>8</v>
      </c>
      <c r="E639" s="5" t="s">
        <v>9</v>
      </c>
      <c r="F639" s="6">
        <v>45107</v>
      </c>
      <c r="G639" s="5">
        <f t="shared" si="143"/>
        <v>2023</v>
      </c>
      <c r="H639" s="5" t="str">
        <f t="shared" si="141"/>
        <v>Junio</v>
      </c>
      <c r="I639" s="6" t="str">
        <f t="shared" si="142"/>
        <v>2023-1</v>
      </c>
      <c r="J639" s="5">
        <v>95</v>
      </c>
      <c r="K639" s="5">
        <v>89.91</v>
      </c>
      <c r="L639" s="21">
        <f>IFERROR(K639/J639,"")</f>
        <v>0.94642105263157894</v>
      </c>
      <c r="M639" s="15">
        <f t="shared" si="144"/>
        <v>0.94642105263157894</v>
      </c>
      <c r="N639" s="5" t="s">
        <v>347</v>
      </c>
      <c r="O639" s="5" t="s">
        <v>347</v>
      </c>
      <c r="P639" s="5">
        <v>0</v>
      </c>
      <c r="Q639" s="5">
        <v>0</v>
      </c>
      <c r="R639" s="5" t="str">
        <f t="shared" si="137"/>
        <v>266-2023-06-30</v>
      </c>
    </row>
    <row r="640" spans="1:18" x14ac:dyDescent="0.3">
      <c r="A640" s="39">
        <v>266</v>
      </c>
      <c r="B640" s="5" t="s">
        <v>149</v>
      </c>
      <c r="C640" s="5" t="s">
        <v>145</v>
      </c>
      <c r="D640" s="5" t="s">
        <v>8</v>
      </c>
      <c r="E640" s="5" t="s">
        <v>9</v>
      </c>
      <c r="F640" s="6">
        <v>45291</v>
      </c>
      <c r="G640" s="5">
        <f t="shared" si="143"/>
        <v>2023</v>
      </c>
      <c r="H640" s="5" t="str">
        <f t="shared" si="141"/>
        <v>Diciembre</v>
      </c>
      <c r="I640" s="6" t="str">
        <f t="shared" si="142"/>
        <v>2023-2</v>
      </c>
      <c r="J640" s="5">
        <v>95</v>
      </c>
      <c r="K640" s="5">
        <v>97.07</v>
      </c>
      <c r="L640" s="21">
        <f>IFERROR(K640/J640,"")</f>
        <v>1.0217894736842104</v>
      </c>
      <c r="M640" s="15">
        <f t="shared" si="144"/>
        <v>1.0217894736842104</v>
      </c>
      <c r="N640" s="5" t="s">
        <v>347</v>
      </c>
      <c r="O640" s="5" t="s">
        <v>347</v>
      </c>
      <c r="P640" s="5">
        <v>0</v>
      </c>
      <c r="Q640" s="5">
        <v>0</v>
      </c>
      <c r="R640" s="5" t="str">
        <f t="shared" si="137"/>
        <v>266-2023-12-31</v>
      </c>
    </row>
    <row r="641" spans="1:18" x14ac:dyDescent="0.3">
      <c r="A641" s="5">
        <v>266</v>
      </c>
      <c r="B641" s="5" t="s">
        <v>149</v>
      </c>
      <c r="C641" s="5" t="s">
        <v>145</v>
      </c>
      <c r="D641" s="5" t="s">
        <v>8</v>
      </c>
      <c r="E641" s="5" t="s">
        <v>9</v>
      </c>
      <c r="F641" s="6">
        <v>45473</v>
      </c>
      <c r="G641" s="5">
        <f t="shared" si="143"/>
        <v>2024</v>
      </c>
      <c r="H641" s="5" t="str">
        <f t="shared" si="141"/>
        <v>Junio</v>
      </c>
      <c r="I641" s="6" t="str">
        <f t="shared" si="142"/>
        <v>2024-1</v>
      </c>
      <c r="J641" s="5">
        <v>95</v>
      </c>
      <c r="K641" s="5">
        <v>95.02</v>
      </c>
      <c r="L641" s="15">
        <f>IFERROR(IF((K641/J641)&gt;1.3,1.3,K641/J641),"")</f>
        <v>1.0002105263157894</v>
      </c>
      <c r="M641" s="15">
        <f t="shared" si="144"/>
        <v>1.0002105263157894</v>
      </c>
      <c r="N641" s="5" t="s">
        <v>347</v>
      </c>
      <c r="O641" s="5" t="s">
        <v>347</v>
      </c>
      <c r="P641" s="5">
        <v>0</v>
      </c>
      <c r="Q641" s="5">
        <v>0</v>
      </c>
      <c r="R641" s="5" t="str">
        <f t="shared" si="137"/>
        <v>266-2024-06-30</v>
      </c>
    </row>
    <row r="642" spans="1:18" x14ac:dyDescent="0.3">
      <c r="A642" s="5">
        <v>266</v>
      </c>
      <c r="B642" s="5" t="s">
        <v>149</v>
      </c>
      <c r="C642" s="5" t="s">
        <v>145</v>
      </c>
      <c r="D642" s="5" t="s">
        <v>8</v>
      </c>
      <c r="E642" s="5" t="s">
        <v>9</v>
      </c>
      <c r="F642" s="6">
        <v>45657</v>
      </c>
      <c r="G642" s="5">
        <f t="shared" si="143"/>
        <v>2024</v>
      </c>
      <c r="H642" s="5" t="str">
        <f t="shared" si="141"/>
        <v>Diciembre</v>
      </c>
      <c r="I642" s="6" t="str">
        <f t="shared" si="142"/>
        <v>2024-2</v>
      </c>
      <c r="J642" s="5">
        <v>95</v>
      </c>
      <c r="K642" s="5">
        <v>81.93</v>
      </c>
      <c r="L642" s="15">
        <f>IFERROR(IF((K642/J642)&gt;1.3,1.3,K642/J642),"")</f>
        <v>0.86242105263157898</v>
      </c>
      <c r="M642" s="15">
        <f t="shared" si="144"/>
        <v>0.86242105263157898</v>
      </c>
      <c r="N642" s="5" t="s">
        <v>347</v>
      </c>
      <c r="O642" s="5" t="s">
        <v>347</v>
      </c>
      <c r="P642" s="5">
        <v>0</v>
      </c>
      <c r="Q642" s="5">
        <v>0</v>
      </c>
      <c r="R642" s="5" t="str">
        <f t="shared" ref="R642:R705" si="145">A642&amp;"-"&amp;YEAR(F642)&amp;"-"&amp;IF(LEN(MONTH(F642))=1,"0"&amp;MONTH(F642),MONTH(F642))&amp;"-"&amp;DAY(F642)</f>
        <v>266-2024-12-31</v>
      </c>
    </row>
    <row r="643" spans="1:18" x14ac:dyDescent="0.3">
      <c r="A643" s="39">
        <v>267</v>
      </c>
      <c r="B643" s="5" t="s">
        <v>150</v>
      </c>
      <c r="C643" s="5" t="s">
        <v>126</v>
      </c>
      <c r="D643" s="5" t="s">
        <v>25</v>
      </c>
      <c r="E643" s="5" t="s">
        <v>9</v>
      </c>
      <c r="F643" s="6">
        <v>45291</v>
      </c>
      <c r="G643" s="5">
        <f t="shared" si="143"/>
        <v>2023</v>
      </c>
      <c r="H643" s="5" t="str">
        <f t="shared" si="141"/>
        <v>Diciembre</v>
      </c>
      <c r="I643" s="6" t="str">
        <f t="shared" si="142"/>
        <v>2023-2</v>
      </c>
      <c r="J643" s="5" t="s">
        <v>417</v>
      </c>
      <c r="K643" s="5">
        <v>0</v>
      </c>
      <c r="L643" s="21" t="str">
        <f>IFERROR(K643/J643,"")</f>
        <v/>
      </c>
      <c r="M643" s="15" t="str">
        <f t="shared" si="144"/>
        <v/>
      </c>
      <c r="N643" s="5"/>
      <c r="O643" s="5"/>
      <c r="P643" s="5">
        <v>0</v>
      </c>
      <c r="Q643" s="5">
        <v>0</v>
      </c>
      <c r="R643" s="5" t="str">
        <f t="shared" si="145"/>
        <v>267-2023-12-31</v>
      </c>
    </row>
    <row r="644" spans="1:18" x14ac:dyDescent="0.3">
      <c r="A644" s="43">
        <v>268</v>
      </c>
      <c r="B644" s="5" t="s">
        <v>151</v>
      </c>
      <c r="C644" s="5" t="s">
        <v>152</v>
      </c>
      <c r="D644" s="5" t="s">
        <v>8</v>
      </c>
      <c r="E644" s="5" t="s">
        <v>9</v>
      </c>
      <c r="F644" s="6">
        <v>45107</v>
      </c>
      <c r="G644" s="5">
        <f t="shared" si="143"/>
        <v>2023</v>
      </c>
      <c r="H644" s="5" t="str">
        <f t="shared" si="141"/>
        <v>Junio</v>
      </c>
      <c r="I644" s="6" t="str">
        <f t="shared" si="142"/>
        <v>2023-1</v>
      </c>
      <c r="J644" s="5">
        <v>0</v>
      </c>
      <c r="K644" s="5">
        <v>680</v>
      </c>
      <c r="L644" s="21" t="s">
        <v>417</v>
      </c>
      <c r="M644" s="15" t="str">
        <f t="shared" si="144"/>
        <v/>
      </c>
      <c r="N644" s="5"/>
      <c r="O644" s="5"/>
      <c r="P644" s="5">
        <v>0</v>
      </c>
      <c r="Q644" s="5">
        <v>0</v>
      </c>
      <c r="R644" s="5" t="str">
        <f t="shared" si="145"/>
        <v>268-2023-06-30</v>
      </c>
    </row>
    <row r="645" spans="1:18" x14ac:dyDescent="0.3">
      <c r="A645" s="39">
        <v>268</v>
      </c>
      <c r="B645" s="5" t="s">
        <v>151</v>
      </c>
      <c r="C645" s="5" t="s">
        <v>152</v>
      </c>
      <c r="D645" s="5" t="s">
        <v>8</v>
      </c>
      <c r="E645" s="5" t="s">
        <v>9</v>
      </c>
      <c r="F645" s="6">
        <v>45291</v>
      </c>
      <c r="G645" s="5">
        <f t="shared" si="143"/>
        <v>2023</v>
      </c>
      <c r="H645" s="5" t="str">
        <f t="shared" si="141"/>
        <v>Diciembre</v>
      </c>
      <c r="I645" s="6" t="str">
        <f t="shared" si="142"/>
        <v>2023-2</v>
      </c>
      <c r="J645" s="5">
        <v>0</v>
      </c>
      <c r="K645" s="5">
        <v>1524</v>
      </c>
      <c r="L645" s="21" t="str">
        <f>IFERROR(K645/J645,"")</f>
        <v/>
      </c>
      <c r="M645" s="15" t="str">
        <f t="shared" si="144"/>
        <v/>
      </c>
      <c r="N645" s="5"/>
      <c r="O645" s="5"/>
      <c r="P645" s="5">
        <v>0</v>
      </c>
      <c r="Q645" s="5">
        <v>0</v>
      </c>
      <c r="R645" s="5" t="str">
        <f t="shared" si="145"/>
        <v>268-2023-12-31</v>
      </c>
    </row>
    <row r="646" spans="1:18" x14ac:dyDescent="0.3">
      <c r="A646" s="5">
        <v>268</v>
      </c>
      <c r="B646" s="5" t="s">
        <v>151</v>
      </c>
      <c r="C646" s="5" t="s">
        <v>152</v>
      </c>
      <c r="D646" s="5" t="s">
        <v>8</v>
      </c>
      <c r="E646" s="5" t="s">
        <v>9</v>
      </c>
      <c r="F646" s="6">
        <v>45473</v>
      </c>
      <c r="G646" s="5">
        <f t="shared" si="143"/>
        <v>2024</v>
      </c>
      <c r="H646" s="5" t="str">
        <f t="shared" si="141"/>
        <v>Junio</v>
      </c>
      <c r="I646" s="6" t="str">
        <f t="shared" si="142"/>
        <v>2024-1</v>
      </c>
      <c r="J646" s="5">
        <v>0</v>
      </c>
      <c r="K646" s="5">
        <v>760</v>
      </c>
      <c r="L646" s="15" t="str">
        <f>IFERROR(IF((K646/J646)&gt;1.3,1.3,K646/J646),"")</f>
        <v/>
      </c>
      <c r="M646" s="15" t="str">
        <f t="shared" si="144"/>
        <v/>
      </c>
      <c r="N646" s="5"/>
      <c r="O646" s="5"/>
      <c r="P646" s="5">
        <v>0</v>
      </c>
      <c r="Q646" s="5">
        <v>0</v>
      </c>
      <c r="R646" s="5" t="str">
        <f t="shared" si="145"/>
        <v>268-2024-06-30</v>
      </c>
    </row>
    <row r="647" spans="1:18" x14ac:dyDescent="0.3">
      <c r="A647" s="5">
        <v>268</v>
      </c>
      <c r="B647" s="5" t="s">
        <v>151</v>
      </c>
      <c r="C647" s="5" t="s">
        <v>152</v>
      </c>
      <c r="D647" s="5" t="s">
        <v>8</v>
      </c>
      <c r="E647" s="5" t="s">
        <v>9</v>
      </c>
      <c r="F647" s="6">
        <v>45657</v>
      </c>
      <c r="G647" s="5">
        <f t="shared" si="143"/>
        <v>2024</v>
      </c>
      <c r="H647" s="5" t="str">
        <f t="shared" si="141"/>
        <v>Diciembre</v>
      </c>
      <c r="I647" s="6" t="str">
        <f t="shared" si="142"/>
        <v>2024-2</v>
      </c>
      <c r="J647" s="5">
        <v>0</v>
      </c>
      <c r="K647" s="5">
        <v>1005</v>
      </c>
      <c r="L647" s="15" t="str">
        <f>IFERROR(IF((K647/J647)&gt;1.3,1.3,K647/J647),"")</f>
        <v/>
      </c>
      <c r="M647" s="15" t="str">
        <f t="shared" si="144"/>
        <v/>
      </c>
      <c r="N647" s="5"/>
      <c r="O647" s="5"/>
      <c r="P647" s="5">
        <v>0</v>
      </c>
      <c r="Q647" s="5">
        <v>0</v>
      </c>
      <c r="R647" s="5" t="str">
        <f t="shared" si="145"/>
        <v>268-2024-12-31</v>
      </c>
    </row>
    <row r="648" spans="1:18" x14ac:dyDescent="0.3">
      <c r="A648" s="43">
        <v>269</v>
      </c>
      <c r="B648" s="5" t="s">
        <v>153</v>
      </c>
      <c r="C648" s="5" t="s">
        <v>152</v>
      </c>
      <c r="D648" s="5" t="s">
        <v>8</v>
      </c>
      <c r="E648" s="5" t="s">
        <v>9</v>
      </c>
      <c r="F648" s="6">
        <v>45107</v>
      </c>
      <c r="G648" s="5">
        <f t="shared" si="143"/>
        <v>2023</v>
      </c>
      <c r="H648" s="5" t="str">
        <f t="shared" si="141"/>
        <v>Junio</v>
      </c>
      <c r="I648" s="6" t="str">
        <f t="shared" si="142"/>
        <v>2023-1</v>
      </c>
      <c r="J648" s="5">
        <v>0</v>
      </c>
      <c r="K648" s="5">
        <v>0.4</v>
      </c>
      <c r="L648" s="21" t="s">
        <v>417</v>
      </c>
      <c r="M648" s="15" t="str">
        <f t="shared" si="144"/>
        <v/>
      </c>
      <c r="N648" s="5" t="s">
        <v>478</v>
      </c>
      <c r="O648" s="5" t="s">
        <v>478</v>
      </c>
      <c r="P648" s="5">
        <v>2</v>
      </c>
      <c r="Q648" s="5">
        <v>2</v>
      </c>
      <c r="R648" s="5" t="str">
        <f t="shared" si="145"/>
        <v>269-2023-06-30</v>
      </c>
    </row>
    <row r="649" spans="1:18" x14ac:dyDescent="0.3">
      <c r="A649" s="39">
        <v>269</v>
      </c>
      <c r="B649" s="5" t="s">
        <v>153</v>
      </c>
      <c r="C649" s="5" t="s">
        <v>152</v>
      </c>
      <c r="D649" s="5" t="s">
        <v>8</v>
      </c>
      <c r="E649" s="5" t="s">
        <v>9</v>
      </c>
      <c r="F649" s="6">
        <v>45291</v>
      </c>
      <c r="G649" s="5">
        <f t="shared" si="143"/>
        <v>2023</v>
      </c>
      <c r="H649" s="5" t="str">
        <f t="shared" si="141"/>
        <v>Diciembre</v>
      </c>
      <c r="I649" s="6" t="str">
        <f t="shared" si="142"/>
        <v>2023-2</v>
      </c>
      <c r="J649" s="5">
        <v>0</v>
      </c>
      <c r="K649" s="5">
        <v>1.28</v>
      </c>
      <c r="L649" s="21" t="str">
        <f>IFERROR(K649/J649,"")</f>
        <v/>
      </c>
      <c r="M649" s="15" t="str">
        <f t="shared" si="144"/>
        <v/>
      </c>
      <c r="N649" s="5" t="s">
        <v>478</v>
      </c>
      <c r="O649" s="5" t="s">
        <v>478</v>
      </c>
      <c r="P649" s="5">
        <v>2</v>
      </c>
      <c r="Q649" s="5">
        <v>2</v>
      </c>
      <c r="R649" s="5" t="str">
        <f t="shared" si="145"/>
        <v>269-2023-12-31</v>
      </c>
    </row>
    <row r="650" spans="1:18" x14ac:dyDescent="0.3">
      <c r="A650" s="5">
        <v>269</v>
      </c>
      <c r="B650" s="5" t="s">
        <v>153</v>
      </c>
      <c r="C650" s="5" t="s">
        <v>152</v>
      </c>
      <c r="D650" s="5" t="s">
        <v>8</v>
      </c>
      <c r="E650" s="5" t="s">
        <v>9</v>
      </c>
      <c r="F650" s="6">
        <v>45473</v>
      </c>
      <c r="G650" s="5">
        <f t="shared" si="143"/>
        <v>2024</v>
      </c>
      <c r="H650" s="5" t="str">
        <f t="shared" si="141"/>
        <v>Junio</v>
      </c>
      <c r="I650" s="6" t="str">
        <f t="shared" si="142"/>
        <v>2024-1</v>
      </c>
      <c r="J650" s="5">
        <v>0</v>
      </c>
      <c r="K650" s="5">
        <v>3</v>
      </c>
      <c r="L650" s="15" t="str">
        <f>IFERROR(IF((K650/J650)&gt;1.3,1.3,K650/J650),"")</f>
        <v/>
      </c>
      <c r="M650" s="15" t="str">
        <f t="shared" si="144"/>
        <v/>
      </c>
      <c r="N650" s="5"/>
      <c r="O650" s="5"/>
      <c r="P650" s="5">
        <v>0</v>
      </c>
      <c r="Q650" s="5">
        <v>0</v>
      </c>
      <c r="R650" s="5" t="str">
        <f t="shared" si="145"/>
        <v>269-2024-06-30</v>
      </c>
    </row>
    <row r="651" spans="1:18" x14ac:dyDescent="0.3">
      <c r="A651" s="5">
        <v>269</v>
      </c>
      <c r="B651" s="5" t="s">
        <v>153</v>
      </c>
      <c r="C651" s="5" t="s">
        <v>152</v>
      </c>
      <c r="D651" s="5" t="s">
        <v>8</v>
      </c>
      <c r="E651" s="5" t="s">
        <v>9</v>
      </c>
      <c r="F651" s="6">
        <v>45657</v>
      </c>
      <c r="G651" s="5">
        <f t="shared" si="143"/>
        <v>2024</v>
      </c>
      <c r="H651" s="5" t="str">
        <f t="shared" si="141"/>
        <v>Diciembre</v>
      </c>
      <c r="I651" s="6" t="str">
        <f t="shared" si="142"/>
        <v>2024-2</v>
      </c>
      <c r="J651" s="5"/>
      <c r="K651" s="5"/>
      <c r="L651" s="15" t="str">
        <f>IFERROR(IF((K651/J651)&gt;1.3,1.3,K651/J651),"")</f>
        <v/>
      </c>
      <c r="M651" s="15" t="str">
        <f t="shared" si="144"/>
        <v/>
      </c>
      <c r="N651" s="5"/>
      <c r="O651" s="5"/>
      <c r="P651" s="5">
        <v>0</v>
      </c>
      <c r="Q651" s="5">
        <v>0</v>
      </c>
      <c r="R651" s="5" t="str">
        <f t="shared" si="145"/>
        <v>269-2024-12-31</v>
      </c>
    </row>
    <row r="652" spans="1:18" x14ac:dyDescent="0.3">
      <c r="A652" s="43">
        <v>270</v>
      </c>
      <c r="B652" s="5" t="s">
        <v>154</v>
      </c>
      <c r="C652" s="5" t="s">
        <v>152</v>
      </c>
      <c r="D652" s="5" t="s">
        <v>8</v>
      </c>
      <c r="E652" s="5" t="s">
        <v>9</v>
      </c>
      <c r="F652" s="6">
        <v>45107</v>
      </c>
      <c r="G652" s="5">
        <f t="shared" si="143"/>
        <v>2023</v>
      </c>
      <c r="H652" s="5" t="str">
        <f t="shared" si="141"/>
        <v>Junio</v>
      </c>
      <c r="I652" s="6" t="str">
        <f t="shared" si="142"/>
        <v>2023-1</v>
      </c>
      <c r="J652" s="5">
        <v>0</v>
      </c>
      <c r="K652" s="5">
        <v>6.55</v>
      </c>
      <c r="L652" s="21" t="s">
        <v>417</v>
      </c>
      <c r="M652" s="15" t="str">
        <f t="shared" si="144"/>
        <v/>
      </c>
      <c r="N652" s="5"/>
      <c r="O652" s="5"/>
      <c r="P652" s="5">
        <v>1</v>
      </c>
      <c r="Q652" s="5">
        <v>1</v>
      </c>
      <c r="R652" s="5" t="str">
        <f t="shared" si="145"/>
        <v>270-2023-06-30</v>
      </c>
    </row>
    <row r="653" spans="1:18" x14ac:dyDescent="0.3">
      <c r="A653" s="39">
        <v>270</v>
      </c>
      <c r="B653" s="5" t="s">
        <v>154</v>
      </c>
      <c r="C653" s="5" t="s">
        <v>152</v>
      </c>
      <c r="D653" s="5" t="s">
        <v>8</v>
      </c>
      <c r="E653" s="5" t="s">
        <v>9</v>
      </c>
      <c r="F653" s="6">
        <v>45291</v>
      </c>
      <c r="G653" s="5">
        <f t="shared" si="143"/>
        <v>2023</v>
      </c>
      <c r="H653" s="5" t="str">
        <f t="shared" si="141"/>
        <v>Diciembre</v>
      </c>
      <c r="I653" s="6" t="str">
        <f t="shared" si="142"/>
        <v>2023-2</v>
      </c>
      <c r="J653" s="5">
        <v>0</v>
      </c>
      <c r="K653" s="5">
        <v>3.83</v>
      </c>
      <c r="L653" s="21" t="str">
        <f>IFERROR(K653/J653,"")</f>
        <v/>
      </c>
      <c r="M653" s="15" t="str">
        <f t="shared" si="144"/>
        <v/>
      </c>
      <c r="N653" s="5"/>
      <c r="O653" s="5"/>
      <c r="P653" s="5">
        <v>1</v>
      </c>
      <c r="Q653" s="5">
        <v>1</v>
      </c>
      <c r="R653" s="5" t="str">
        <f t="shared" si="145"/>
        <v>270-2023-12-31</v>
      </c>
    </row>
    <row r="654" spans="1:18" x14ac:dyDescent="0.3">
      <c r="A654" s="5">
        <v>270</v>
      </c>
      <c r="B654" s="5" t="s">
        <v>154</v>
      </c>
      <c r="C654" s="5" t="s">
        <v>152</v>
      </c>
      <c r="D654" s="5" t="s">
        <v>8</v>
      </c>
      <c r="E654" s="5" t="s">
        <v>9</v>
      </c>
      <c r="F654" s="6">
        <v>45473</v>
      </c>
      <c r="G654" s="5">
        <f t="shared" si="143"/>
        <v>2024</v>
      </c>
      <c r="H654" s="5" t="str">
        <f t="shared" si="141"/>
        <v>Junio</v>
      </c>
      <c r="I654" s="6" t="str">
        <f t="shared" si="142"/>
        <v>2024-1</v>
      </c>
      <c r="J654" s="5">
        <v>0</v>
      </c>
      <c r="K654" s="5">
        <v>4.88</v>
      </c>
      <c r="L654" s="15" t="str">
        <f>IFERROR(IF((K654/J654)&gt;1.3,1.3,K654/J654),"")</f>
        <v/>
      </c>
      <c r="M654" s="15" t="str">
        <f t="shared" si="144"/>
        <v/>
      </c>
      <c r="N654" s="5"/>
      <c r="O654" s="5"/>
      <c r="P654" s="5">
        <v>0</v>
      </c>
      <c r="Q654" s="5">
        <v>0</v>
      </c>
      <c r="R654" s="5" t="str">
        <f t="shared" si="145"/>
        <v>270-2024-06-30</v>
      </c>
    </row>
    <row r="655" spans="1:18" x14ac:dyDescent="0.3">
      <c r="A655" s="5">
        <v>270</v>
      </c>
      <c r="B655" s="5" t="s">
        <v>154</v>
      </c>
      <c r="C655" s="5" t="s">
        <v>152</v>
      </c>
      <c r="D655" s="5" t="s">
        <v>8</v>
      </c>
      <c r="E655" s="5" t="s">
        <v>9</v>
      </c>
      <c r="F655" s="6">
        <v>45657</v>
      </c>
      <c r="G655" s="5">
        <f t="shared" si="143"/>
        <v>2024</v>
      </c>
      <c r="H655" s="5" t="str">
        <f t="shared" si="141"/>
        <v>Diciembre</v>
      </c>
      <c r="I655" s="6" t="str">
        <f t="shared" si="142"/>
        <v>2024-2</v>
      </c>
      <c r="J655" s="5">
        <v>0</v>
      </c>
      <c r="K655" s="5">
        <v>4.57</v>
      </c>
      <c r="L655" s="15" t="str">
        <f>IFERROR(IF((K655/J655)&gt;1.3,1.3,K655/J655),"")</f>
        <v/>
      </c>
      <c r="M655" s="15" t="str">
        <f t="shared" si="144"/>
        <v/>
      </c>
      <c r="N655" s="5"/>
      <c r="O655" s="5"/>
      <c r="P655" s="5">
        <v>0</v>
      </c>
      <c r="Q655" s="5">
        <v>0</v>
      </c>
      <c r="R655" s="5" t="str">
        <f t="shared" si="145"/>
        <v>270-2024-12-31</v>
      </c>
    </row>
    <row r="656" spans="1:18" x14ac:dyDescent="0.3">
      <c r="A656" s="43">
        <v>271</v>
      </c>
      <c r="B656" s="5" t="s">
        <v>155</v>
      </c>
      <c r="C656" s="5" t="s">
        <v>152</v>
      </c>
      <c r="D656" s="5" t="s">
        <v>8</v>
      </c>
      <c r="E656" s="5" t="s">
        <v>9</v>
      </c>
      <c r="F656" s="6">
        <v>45107</v>
      </c>
      <c r="G656" s="5">
        <f t="shared" si="143"/>
        <v>2023</v>
      </c>
      <c r="H656" s="5" t="str">
        <f t="shared" si="141"/>
        <v>Junio</v>
      </c>
      <c r="I656" s="6" t="str">
        <f t="shared" ref="I656:I665" si="146">IF(OR(H656="Enero",H656="Febrero",H656="Marzo",H656="Abril",H656="Mayo",H656="Junio"),G656&amp;"-1",IF(OR(H656="Julio",H656="Agosto",H656="Septiembre",H656="Octubre",H656="Noviembre",H656="Diciembre"),G656&amp;"-2"))</f>
        <v>2023-1</v>
      </c>
      <c r="J656" s="5">
        <v>0</v>
      </c>
      <c r="K656" s="5">
        <v>63.29</v>
      </c>
      <c r="L656" s="21" t="s">
        <v>417</v>
      </c>
      <c r="M656" s="15" t="str">
        <f t="shared" si="144"/>
        <v/>
      </c>
      <c r="N656" s="5"/>
      <c r="O656" s="5"/>
      <c r="P656" s="5">
        <v>1</v>
      </c>
      <c r="Q656" s="5">
        <v>1</v>
      </c>
      <c r="R656" s="5" t="str">
        <f t="shared" si="145"/>
        <v>271-2023-06-30</v>
      </c>
    </row>
    <row r="657" spans="1:18" x14ac:dyDescent="0.3">
      <c r="A657" s="39">
        <v>271</v>
      </c>
      <c r="B657" s="5" t="s">
        <v>155</v>
      </c>
      <c r="C657" s="5" t="s">
        <v>152</v>
      </c>
      <c r="D657" s="5" t="s">
        <v>8</v>
      </c>
      <c r="E657" s="5" t="s">
        <v>9</v>
      </c>
      <c r="F657" s="6">
        <v>45291</v>
      </c>
      <c r="G657" s="5">
        <f t="shared" si="143"/>
        <v>2023</v>
      </c>
      <c r="H657" s="5" t="str">
        <f t="shared" si="141"/>
        <v>Diciembre</v>
      </c>
      <c r="I657" s="6" t="str">
        <f t="shared" si="146"/>
        <v>2023-2</v>
      </c>
      <c r="J657" s="5">
        <v>0</v>
      </c>
      <c r="K657" s="5">
        <v>16.170000000000002</v>
      </c>
      <c r="L657" s="21" t="str">
        <f>IFERROR(K657/J657,"")</f>
        <v/>
      </c>
      <c r="M657" s="15" t="str">
        <f t="shared" si="144"/>
        <v/>
      </c>
      <c r="N657" s="5"/>
      <c r="O657" s="5"/>
      <c r="P657" s="5">
        <v>1</v>
      </c>
      <c r="Q657" s="5">
        <v>1</v>
      </c>
      <c r="R657" s="5" t="str">
        <f t="shared" si="145"/>
        <v>271-2023-12-31</v>
      </c>
    </row>
    <row r="658" spans="1:18" x14ac:dyDescent="0.3">
      <c r="A658" s="5">
        <v>271</v>
      </c>
      <c r="B658" s="5" t="s">
        <v>155</v>
      </c>
      <c r="C658" s="5" t="s">
        <v>152</v>
      </c>
      <c r="D658" s="5" t="s">
        <v>8</v>
      </c>
      <c r="E658" s="5" t="s">
        <v>9</v>
      </c>
      <c r="F658" s="6">
        <v>45473</v>
      </c>
      <c r="G658" s="5">
        <f t="shared" si="143"/>
        <v>2024</v>
      </c>
      <c r="H658" s="5" t="str">
        <f t="shared" si="141"/>
        <v>Junio</v>
      </c>
      <c r="I658" s="6" t="str">
        <f t="shared" si="146"/>
        <v>2024-1</v>
      </c>
      <c r="J658" s="5">
        <v>0</v>
      </c>
      <c r="K658" s="5">
        <v>19.39</v>
      </c>
      <c r="L658" s="15" t="str">
        <f>IFERROR(IF((K658/J658)&gt;1.3,1.3,K658/J658),"")</f>
        <v/>
      </c>
      <c r="M658" s="15" t="str">
        <f t="shared" si="144"/>
        <v/>
      </c>
      <c r="N658" s="5"/>
      <c r="O658" s="5"/>
      <c r="P658" s="5">
        <v>0</v>
      </c>
      <c r="Q658" s="5">
        <v>0</v>
      </c>
      <c r="R658" s="5" t="str">
        <f t="shared" si="145"/>
        <v>271-2024-06-30</v>
      </c>
    </row>
    <row r="659" spans="1:18" x14ac:dyDescent="0.3">
      <c r="A659" s="5">
        <v>271</v>
      </c>
      <c r="B659" s="5" t="s">
        <v>155</v>
      </c>
      <c r="C659" s="5" t="s">
        <v>152</v>
      </c>
      <c r="D659" s="5" t="s">
        <v>8</v>
      </c>
      <c r="E659" s="5" t="s">
        <v>9</v>
      </c>
      <c r="F659" s="6">
        <v>45657</v>
      </c>
      <c r="G659" s="5">
        <f t="shared" si="143"/>
        <v>2024</v>
      </c>
      <c r="H659" s="5" t="str">
        <f t="shared" si="141"/>
        <v>Diciembre</v>
      </c>
      <c r="I659" s="6" t="str">
        <f t="shared" si="146"/>
        <v>2024-2</v>
      </c>
      <c r="J659" s="5"/>
      <c r="K659" s="5"/>
      <c r="L659" s="15" t="str">
        <f>IFERROR(IF((K659/J659)&gt;1.3,1.3,K659/J659),"")</f>
        <v/>
      </c>
      <c r="M659" s="15" t="str">
        <f t="shared" si="144"/>
        <v/>
      </c>
      <c r="N659" s="5"/>
      <c r="O659" s="5"/>
      <c r="P659" s="5">
        <v>0</v>
      </c>
      <c r="Q659" s="5">
        <v>0</v>
      </c>
      <c r="R659" s="5" t="str">
        <f t="shared" si="145"/>
        <v>271-2024-12-31</v>
      </c>
    </row>
    <row r="660" spans="1:18" x14ac:dyDescent="0.3">
      <c r="A660" s="39">
        <v>272</v>
      </c>
      <c r="B660" s="5" t="s">
        <v>156</v>
      </c>
      <c r="C660" s="5" t="s">
        <v>24</v>
      </c>
      <c r="D660" s="5" t="s">
        <v>25</v>
      </c>
      <c r="E660" s="5" t="s">
        <v>14</v>
      </c>
      <c r="F660" s="6">
        <v>45291</v>
      </c>
      <c r="G660" s="5">
        <f t="shared" si="143"/>
        <v>2023</v>
      </c>
      <c r="H660" s="5" t="str">
        <f t="shared" si="141"/>
        <v>Diciembre</v>
      </c>
      <c r="I660" s="6" t="str">
        <f t="shared" si="146"/>
        <v>2023-2</v>
      </c>
      <c r="J660" s="16">
        <v>9.9999999999999995E-7</v>
      </c>
      <c r="K660" s="16">
        <v>9.9999999999999995E-7</v>
      </c>
      <c r="L660" s="8">
        <f>IF(K660&lt;=J660,100%,J660/K660)</f>
        <v>1</v>
      </c>
      <c r="M660" s="15">
        <f>IF(K660&lt;=J660,100%,J660/K660)</f>
        <v>1</v>
      </c>
      <c r="N660" s="5"/>
      <c r="O660" s="5"/>
      <c r="P660" s="5">
        <v>0</v>
      </c>
      <c r="Q660" s="5">
        <v>0</v>
      </c>
      <c r="R660" s="5" t="str">
        <f t="shared" si="145"/>
        <v>272-2023-12-31</v>
      </c>
    </row>
    <row r="661" spans="1:18" x14ac:dyDescent="0.3">
      <c r="A661" s="5">
        <v>272</v>
      </c>
      <c r="B661" s="5" t="s">
        <v>156</v>
      </c>
      <c r="C661" s="5" t="s">
        <v>24</v>
      </c>
      <c r="D661" s="5" t="s">
        <v>25</v>
      </c>
      <c r="E661" s="5" t="s">
        <v>14</v>
      </c>
      <c r="F661" s="6">
        <v>45657</v>
      </c>
      <c r="G661" s="5">
        <f t="shared" si="143"/>
        <v>2024</v>
      </c>
      <c r="H661" s="5" t="str">
        <f t="shared" si="141"/>
        <v>Diciembre</v>
      </c>
      <c r="I661" s="6" t="str">
        <f t="shared" si="146"/>
        <v>2024-2</v>
      </c>
      <c r="J661" s="5">
        <v>0</v>
      </c>
      <c r="K661" s="5">
        <v>0</v>
      </c>
      <c r="L661" s="15" t="str">
        <f>IFERROR(IF((K661/J661)&gt;1.3,1.3,K661/J661),"")</f>
        <v/>
      </c>
      <c r="M661" s="15" t="str">
        <f t="shared" ref="M661:M671" si="147">IFERROR(K661/J661,"")</f>
        <v/>
      </c>
      <c r="N661" s="5"/>
      <c r="O661" s="5"/>
      <c r="P661" s="5">
        <v>0</v>
      </c>
      <c r="Q661" s="5">
        <v>0</v>
      </c>
      <c r="R661" s="5" t="str">
        <f t="shared" si="145"/>
        <v>272-2024-12-31</v>
      </c>
    </row>
    <row r="662" spans="1:18" x14ac:dyDescent="0.3">
      <c r="A662" s="43">
        <v>273</v>
      </c>
      <c r="B662" s="5" t="s">
        <v>157</v>
      </c>
      <c r="C662" s="5" t="s">
        <v>158</v>
      </c>
      <c r="D662" s="5" t="s">
        <v>8</v>
      </c>
      <c r="E662" s="5" t="s">
        <v>9</v>
      </c>
      <c r="F662" s="6">
        <v>45107</v>
      </c>
      <c r="G662" s="5">
        <f t="shared" si="143"/>
        <v>2023</v>
      </c>
      <c r="H662" s="5" t="str">
        <f t="shared" si="141"/>
        <v>Junio</v>
      </c>
      <c r="I662" s="6" t="str">
        <f t="shared" si="146"/>
        <v>2023-1</v>
      </c>
      <c r="J662" s="5">
        <v>3</v>
      </c>
      <c r="K662" s="5">
        <v>3</v>
      </c>
      <c r="L662" s="21">
        <f>IFERROR(K662/J662,"")</f>
        <v>1</v>
      </c>
      <c r="M662" s="15">
        <f t="shared" si="147"/>
        <v>1</v>
      </c>
      <c r="N662" s="5" t="s">
        <v>490</v>
      </c>
      <c r="O662" s="5" t="s">
        <v>490</v>
      </c>
      <c r="P662" s="5">
        <v>0</v>
      </c>
      <c r="Q662" s="5">
        <v>0</v>
      </c>
      <c r="R662" s="5" t="str">
        <f t="shared" si="145"/>
        <v>273-2023-06-30</v>
      </c>
    </row>
    <row r="663" spans="1:18" x14ac:dyDescent="0.3">
      <c r="A663" s="39">
        <v>273</v>
      </c>
      <c r="B663" s="5" t="s">
        <v>157</v>
      </c>
      <c r="C663" s="5" t="s">
        <v>158</v>
      </c>
      <c r="D663" s="5" t="s">
        <v>8</v>
      </c>
      <c r="E663" s="5" t="s">
        <v>9</v>
      </c>
      <c r="F663" s="6">
        <v>45291</v>
      </c>
      <c r="G663" s="5">
        <f t="shared" si="143"/>
        <v>2023</v>
      </c>
      <c r="H663" s="5" t="str">
        <f t="shared" si="141"/>
        <v>Diciembre</v>
      </c>
      <c r="I663" s="6" t="str">
        <f t="shared" si="146"/>
        <v>2023-2</v>
      </c>
      <c r="J663" s="5">
        <v>2</v>
      </c>
      <c r="K663" s="5">
        <v>2</v>
      </c>
      <c r="L663" s="21">
        <f>IFERROR(K663/J663,"")</f>
        <v>1</v>
      </c>
      <c r="M663" s="15">
        <f t="shared" si="147"/>
        <v>1</v>
      </c>
      <c r="N663" s="5" t="s">
        <v>490</v>
      </c>
      <c r="O663" s="5" t="s">
        <v>490</v>
      </c>
      <c r="P663" s="5">
        <v>0</v>
      </c>
      <c r="Q663" s="5">
        <v>0</v>
      </c>
      <c r="R663" s="5" t="str">
        <f t="shared" si="145"/>
        <v>273-2023-12-31</v>
      </c>
    </row>
    <row r="664" spans="1:18" x14ac:dyDescent="0.3">
      <c r="A664" s="5">
        <v>273</v>
      </c>
      <c r="B664" s="5" t="s">
        <v>157</v>
      </c>
      <c r="C664" s="5" t="s">
        <v>158</v>
      </c>
      <c r="D664" s="5" t="s">
        <v>8</v>
      </c>
      <c r="E664" s="5" t="s">
        <v>9</v>
      </c>
      <c r="F664" s="6">
        <v>45473</v>
      </c>
      <c r="G664" s="5">
        <f t="shared" si="143"/>
        <v>2024</v>
      </c>
      <c r="H664" s="5" t="str">
        <f t="shared" si="141"/>
        <v>Junio</v>
      </c>
      <c r="I664" s="6" t="str">
        <f t="shared" si="146"/>
        <v>2024-1</v>
      </c>
      <c r="J664" s="5">
        <v>3</v>
      </c>
      <c r="K664" s="5">
        <v>3</v>
      </c>
      <c r="L664" s="15">
        <f t="shared" ref="L664:L671" si="148">IFERROR(IF((K664/J664)&gt;1.3,1.3,K664/J664),"")</f>
        <v>1</v>
      </c>
      <c r="M664" s="15">
        <f t="shared" si="147"/>
        <v>1</v>
      </c>
      <c r="N664" s="5" t="s">
        <v>490</v>
      </c>
      <c r="O664" s="5" t="s">
        <v>490</v>
      </c>
      <c r="P664" s="5">
        <v>0</v>
      </c>
      <c r="Q664" s="5">
        <v>0</v>
      </c>
      <c r="R664" s="5" t="str">
        <f t="shared" si="145"/>
        <v>273-2024-06-30</v>
      </c>
    </row>
    <row r="665" spans="1:18" x14ac:dyDescent="0.3">
      <c r="A665" s="5">
        <v>273</v>
      </c>
      <c r="B665" s="5" t="s">
        <v>157</v>
      </c>
      <c r="C665" s="5" t="s">
        <v>158</v>
      </c>
      <c r="D665" s="5" t="s">
        <v>8</v>
      </c>
      <c r="E665" s="5" t="s">
        <v>9</v>
      </c>
      <c r="F665" s="6">
        <v>45657</v>
      </c>
      <c r="G665" s="5">
        <f t="shared" si="143"/>
        <v>2024</v>
      </c>
      <c r="H665" s="5" t="str">
        <f t="shared" si="141"/>
        <v>Diciembre</v>
      </c>
      <c r="I665" s="6" t="str">
        <f t="shared" si="146"/>
        <v>2024-2</v>
      </c>
      <c r="J665" s="5">
        <v>3</v>
      </c>
      <c r="K665" s="5">
        <v>3</v>
      </c>
      <c r="L665" s="15">
        <f t="shared" si="148"/>
        <v>1</v>
      </c>
      <c r="M665" s="15">
        <f t="shared" si="147"/>
        <v>1</v>
      </c>
      <c r="N665" s="5" t="s">
        <v>490</v>
      </c>
      <c r="O665" s="5" t="s">
        <v>490</v>
      </c>
      <c r="P665" s="5">
        <v>0</v>
      </c>
      <c r="Q665" s="5">
        <v>0</v>
      </c>
      <c r="R665" s="5" t="str">
        <f t="shared" si="145"/>
        <v>273-2024-12-31</v>
      </c>
    </row>
    <row r="666" spans="1:18" x14ac:dyDescent="0.3">
      <c r="A666" s="5">
        <v>274</v>
      </c>
      <c r="B666" s="5" t="s">
        <v>159</v>
      </c>
      <c r="C666" s="5" t="s">
        <v>142</v>
      </c>
      <c r="D666" s="5" t="s">
        <v>8</v>
      </c>
      <c r="E666" s="5" t="s">
        <v>9</v>
      </c>
      <c r="F666" s="17">
        <v>44742</v>
      </c>
      <c r="G666" s="16">
        <f t="shared" si="143"/>
        <v>2022</v>
      </c>
      <c r="H666" s="6" t="str">
        <f t="shared" si="141"/>
        <v>Junio</v>
      </c>
      <c r="I666" s="41" t="s">
        <v>426</v>
      </c>
      <c r="J666" s="5">
        <v>39623</v>
      </c>
      <c r="K666" s="5">
        <v>40000</v>
      </c>
      <c r="L666" s="15">
        <f t="shared" si="148"/>
        <v>1.0095146758195996</v>
      </c>
      <c r="M666" s="15">
        <f t="shared" si="147"/>
        <v>1.0095146758195996</v>
      </c>
      <c r="N666" s="5" t="s">
        <v>490</v>
      </c>
      <c r="O666" s="5" t="s">
        <v>490</v>
      </c>
      <c r="P666" s="5">
        <v>0</v>
      </c>
      <c r="Q666" s="5">
        <v>0</v>
      </c>
      <c r="R666" s="5" t="str">
        <f t="shared" si="145"/>
        <v>274-2022-06-30</v>
      </c>
    </row>
    <row r="667" spans="1:18" x14ac:dyDescent="0.3">
      <c r="A667" s="5">
        <v>274</v>
      </c>
      <c r="B667" s="5" t="s">
        <v>159</v>
      </c>
      <c r="C667" s="5" t="s">
        <v>142</v>
      </c>
      <c r="D667" s="5" t="s">
        <v>8</v>
      </c>
      <c r="E667" s="5" t="s">
        <v>9</v>
      </c>
      <c r="F667" s="17">
        <v>44926</v>
      </c>
      <c r="G667" s="16">
        <f t="shared" si="143"/>
        <v>2022</v>
      </c>
      <c r="H667" s="6" t="str">
        <f t="shared" si="141"/>
        <v>Diciembre</v>
      </c>
      <c r="I667" s="41" t="s">
        <v>423</v>
      </c>
      <c r="J667" s="5">
        <v>39817</v>
      </c>
      <c r="K667" s="5">
        <v>40663</v>
      </c>
      <c r="L667" s="15">
        <f t="shared" si="148"/>
        <v>1.0212472059673003</v>
      </c>
      <c r="M667" s="15">
        <f t="shared" si="147"/>
        <v>1.0212472059673003</v>
      </c>
      <c r="N667" s="5" t="s">
        <v>490</v>
      </c>
      <c r="O667" s="5" t="s">
        <v>490</v>
      </c>
      <c r="P667" s="5">
        <v>0</v>
      </c>
      <c r="Q667" s="5">
        <v>0</v>
      </c>
      <c r="R667" s="5" t="str">
        <f t="shared" si="145"/>
        <v>274-2022-12-31</v>
      </c>
    </row>
    <row r="668" spans="1:18" x14ac:dyDescent="0.3">
      <c r="A668" s="5">
        <v>274</v>
      </c>
      <c r="B668" s="5" t="s">
        <v>159</v>
      </c>
      <c r="C668" s="5" t="s">
        <v>142</v>
      </c>
      <c r="D668" s="5" t="s">
        <v>8</v>
      </c>
      <c r="E668" s="5" t="s">
        <v>9</v>
      </c>
      <c r="F668" s="17">
        <v>45107</v>
      </c>
      <c r="G668" s="16">
        <f t="shared" si="143"/>
        <v>2023</v>
      </c>
      <c r="H668" s="6" t="str">
        <f t="shared" si="141"/>
        <v>Junio</v>
      </c>
      <c r="I668" s="41" t="s">
        <v>422</v>
      </c>
      <c r="J668" s="5">
        <v>40047</v>
      </c>
      <c r="K668" s="3">
        <v>39091</v>
      </c>
      <c r="L668" s="15">
        <f t="shared" si="148"/>
        <v>0.97612804954178845</v>
      </c>
      <c r="M668" s="15">
        <f t="shared" si="147"/>
        <v>0.97612804954178845</v>
      </c>
      <c r="N668" s="5" t="s">
        <v>490</v>
      </c>
      <c r="O668" s="5" t="s">
        <v>490</v>
      </c>
      <c r="P668" s="5">
        <v>0</v>
      </c>
      <c r="Q668" s="5">
        <v>0</v>
      </c>
      <c r="R668" s="5" t="str">
        <f t="shared" si="145"/>
        <v>274-2023-06-30</v>
      </c>
    </row>
    <row r="669" spans="1:18" x14ac:dyDescent="0.3">
      <c r="A669" s="5">
        <v>274</v>
      </c>
      <c r="B669" s="5" t="s">
        <v>159</v>
      </c>
      <c r="C669" s="5" t="s">
        <v>142</v>
      </c>
      <c r="D669" s="5" t="s">
        <v>8</v>
      </c>
      <c r="E669" s="5" t="s">
        <v>9</v>
      </c>
      <c r="F669" s="6">
        <v>45291</v>
      </c>
      <c r="G669" s="5">
        <f t="shared" si="143"/>
        <v>2023</v>
      </c>
      <c r="H669" s="5" t="str">
        <f t="shared" si="141"/>
        <v>Diciembre</v>
      </c>
      <c r="I669" s="6" t="str">
        <f t="shared" ref="I669:I674" si="149">IF(OR(H669="Enero",H669="Febrero",H669="Marzo",H669="Abril",H669="Mayo",H669="Junio"),G669&amp;"-1",IF(OR(H669="Julio",H669="Agosto",H669="Septiembre",H669="Octubre",H669="Noviembre",H669="Diciembre"),G669&amp;"-2"))</f>
        <v>2023-2</v>
      </c>
      <c r="J669" s="5">
        <v>41811</v>
      </c>
      <c r="K669" s="3">
        <v>40771</v>
      </c>
      <c r="L669" s="15">
        <f t="shared" si="148"/>
        <v>0.97512616297146681</v>
      </c>
      <c r="M669" s="15">
        <f t="shared" si="147"/>
        <v>0.97512616297146681</v>
      </c>
      <c r="N669" s="5" t="s">
        <v>490</v>
      </c>
      <c r="O669" s="5" t="s">
        <v>490</v>
      </c>
      <c r="P669" s="5">
        <v>0</v>
      </c>
      <c r="Q669" s="5">
        <v>0</v>
      </c>
      <c r="R669" s="5" t="str">
        <f t="shared" si="145"/>
        <v>274-2023-12-31</v>
      </c>
    </row>
    <row r="670" spans="1:18" x14ac:dyDescent="0.3">
      <c r="A670" s="5">
        <v>274</v>
      </c>
      <c r="B670" s="5" t="s">
        <v>159</v>
      </c>
      <c r="C670" s="5" t="s">
        <v>142</v>
      </c>
      <c r="D670" s="5" t="s">
        <v>8</v>
      </c>
      <c r="E670" s="5" t="s">
        <v>9</v>
      </c>
      <c r="F670" s="6">
        <v>45473</v>
      </c>
      <c r="G670" s="5">
        <f t="shared" si="143"/>
        <v>2024</v>
      </c>
      <c r="H670" s="5" t="str">
        <f t="shared" si="141"/>
        <v>Junio</v>
      </c>
      <c r="I670" s="6" t="str">
        <f t="shared" si="149"/>
        <v>2024-1</v>
      </c>
      <c r="J670" s="18">
        <v>38813</v>
      </c>
      <c r="K670" s="104">
        <v>39598</v>
      </c>
      <c r="L670" s="15">
        <f t="shared" si="148"/>
        <v>1.0202251822842863</v>
      </c>
      <c r="M670" s="15">
        <f t="shared" si="147"/>
        <v>1.0202251822842863</v>
      </c>
      <c r="N670" s="5" t="s">
        <v>490</v>
      </c>
      <c r="O670" s="5" t="s">
        <v>490</v>
      </c>
      <c r="P670" s="5">
        <v>0</v>
      </c>
      <c r="Q670" s="5">
        <v>0</v>
      </c>
      <c r="R670" s="5" t="str">
        <f t="shared" si="145"/>
        <v>274-2024-06-30</v>
      </c>
    </row>
    <row r="671" spans="1:18" x14ac:dyDescent="0.3">
      <c r="A671" s="5">
        <v>274</v>
      </c>
      <c r="B671" s="5" t="s">
        <v>159</v>
      </c>
      <c r="C671" s="5" t="s">
        <v>142</v>
      </c>
      <c r="D671" s="5" t="s">
        <v>8</v>
      </c>
      <c r="E671" s="5" t="s">
        <v>9</v>
      </c>
      <c r="F671" s="6">
        <v>45657</v>
      </c>
      <c r="G671" s="5">
        <f t="shared" si="143"/>
        <v>2024</v>
      </c>
      <c r="H671" s="5" t="str">
        <f t="shared" si="141"/>
        <v>Diciembre</v>
      </c>
      <c r="I671" s="6" t="str">
        <f t="shared" si="149"/>
        <v>2024-2</v>
      </c>
      <c r="J671" s="5">
        <v>40441</v>
      </c>
      <c r="K671" s="3">
        <v>41436</v>
      </c>
      <c r="L671" s="15">
        <f t="shared" si="148"/>
        <v>1.0246037437254272</v>
      </c>
      <c r="M671" s="15">
        <f t="shared" si="147"/>
        <v>1.0246037437254272</v>
      </c>
      <c r="N671" s="5" t="s">
        <v>490</v>
      </c>
      <c r="O671" s="5" t="s">
        <v>490</v>
      </c>
      <c r="P671" s="5">
        <v>0</v>
      </c>
      <c r="Q671" s="5">
        <v>0</v>
      </c>
      <c r="R671" s="5" t="str">
        <f t="shared" si="145"/>
        <v>274-2024-12-31</v>
      </c>
    </row>
    <row r="672" spans="1:18" x14ac:dyDescent="0.3">
      <c r="A672" s="39">
        <v>275</v>
      </c>
      <c r="B672" s="5" t="s">
        <v>497</v>
      </c>
      <c r="C672" s="5" t="s">
        <v>160</v>
      </c>
      <c r="D672" s="5" t="s">
        <v>25</v>
      </c>
      <c r="E672" s="5" t="s">
        <v>9</v>
      </c>
      <c r="F672" s="6">
        <v>45291</v>
      </c>
      <c r="G672" s="5">
        <f t="shared" si="143"/>
        <v>2023</v>
      </c>
      <c r="H672" s="5" t="str">
        <f t="shared" ref="H672:H735" si="150">PROPER(TEXT(F672,"mmmm"))</f>
        <v>Diciembre</v>
      </c>
      <c r="I672" s="6" t="str">
        <f t="shared" si="149"/>
        <v>2023-2</v>
      </c>
      <c r="J672" s="5">
        <v>80</v>
      </c>
      <c r="K672" s="5">
        <v>83</v>
      </c>
      <c r="L672" s="21">
        <f>IFERROR(K672/J672,"")</f>
        <v>1.0375000000000001</v>
      </c>
      <c r="M672" s="15">
        <f>IFERROR(K672/J672,"")</f>
        <v>1.0375000000000001</v>
      </c>
      <c r="N672" s="5" t="s">
        <v>347</v>
      </c>
      <c r="O672" s="5" t="s">
        <v>347</v>
      </c>
      <c r="P672" s="5">
        <v>0</v>
      </c>
      <c r="Q672" s="5">
        <v>0</v>
      </c>
      <c r="R672" s="5" t="str">
        <f t="shared" si="145"/>
        <v>275-2023-12-31</v>
      </c>
    </row>
    <row r="673" spans="1:18" x14ac:dyDescent="0.3">
      <c r="A673" s="5">
        <v>275</v>
      </c>
      <c r="B673" s="5" t="s">
        <v>497</v>
      </c>
      <c r="C673" s="5" t="s">
        <v>160</v>
      </c>
      <c r="D673" s="5" t="s">
        <v>8</v>
      </c>
      <c r="E673" s="5" t="s">
        <v>9</v>
      </c>
      <c r="F673" s="6">
        <v>45473</v>
      </c>
      <c r="G673" s="5">
        <f t="shared" si="143"/>
        <v>2024</v>
      </c>
      <c r="H673" s="5" t="str">
        <f t="shared" si="150"/>
        <v>Junio</v>
      </c>
      <c r="I673" s="6" t="str">
        <f t="shared" si="149"/>
        <v>2024-1</v>
      </c>
      <c r="J673" s="5">
        <v>80</v>
      </c>
      <c r="K673" s="5">
        <v>87.67</v>
      </c>
      <c r="L673" s="15">
        <f>IFERROR(IF((K673/J673)&gt;1.3,1.3,K673/J673),"")</f>
        <v>1.0958749999999999</v>
      </c>
      <c r="M673" s="15">
        <f>IFERROR(K673/J673,"")</f>
        <v>1.0958749999999999</v>
      </c>
      <c r="N673" s="5" t="s">
        <v>347</v>
      </c>
      <c r="O673" s="5" t="s">
        <v>347</v>
      </c>
      <c r="P673" s="5">
        <v>0</v>
      </c>
      <c r="Q673" s="5">
        <v>0</v>
      </c>
      <c r="R673" s="5" t="str">
        <f t="shared" si="145"/>
        <v>275-2024-06-30</v>
      </c>
    </row>
    <row r="674" spans="1:18" x14ac:dyDescent="0.3">
      <c r="A674" s="5">
        <v>275</v>
      </c>
      <c r="B674" s="5" t="s">
        <v>497</v>
      </c>
      <c r="C674" s="5" t="s">
        <v>160</v>
      </c>
      <c r="D674" s="5" t="s">
        <v>8</v>
      </c>
      <c r="E674" s="5" t="s">
        <v>9</v>
      </c>
      <c r="F674" s="6">
        <v>45657</v>
      </c>
      <c r="G674" s="5">
        <f t="shared" si="143"/>
        <v>2024</v>
      </c>
      <c r="H674" s="5" t="str">
        <f t="shared" si="150"/>
        <v>Diciembre</v>
      </c>
      <c r="I674" s="6" t="str">
        <f t="shared" si="149"/>
        <v>2024-2</v>
      </c>
      <c r="J674" s="5">
        <v>80</v>
      </c>
      <c r="K674" s="5">
        <v>90</v>
      </c>
      <c r="L674" s="15">
        <f>IFERROR(IF((K674/J674)&gt;1.3,1.3,K674/J674),"")</f>
        <v>1.125</v>
      </c>
      <c r="M674" s="15">
        <f>IFERROR(K674/J674,"")</f>
        <v>1.125</v>
      </c>
      <c r="N674" s="5" t="s">
        <v>347</v>
      </c>
      <c r="O674" s="5" t="s">
        <v>347</v>
      </c>
      <c r="P674" s="5">
        <v>0</v>
      </c>
      <c r="Q674" s="5">
        <v>0</v>
      </c>
      <c r="R674" s="5" t="str">
        <f t="shared" si="145"/>
        <v>275-2024-12-31</v>
      </c>
    </row>
    <row r="675" spans="1:18" x14ac:dyDescent="0.3">
      <c r="A675" s="5">
        <v>276</v>
      </c>
      <c r="B675" s="5" t="s">
        <v>161</v>
      </c>
      <c r="C675" s="5" t="s">
        <v>162</v>
      </c>
      <c r="D675" s="5" t="s">
        <v>8</v>
      </c>
      <c r="E675" s="5" t="s">
        <v>14</v>
      </c>
      <c r="F675" s="17">
        <v>44742</v>
      </c>
      <c r="G675" s="16">
        <f t="shared" si="143"/>
        <v>2022</v>
      </c>
      <c r="H675" s="6" t="str">
        <f t="shared" si="150"/>
        <v>Junio</v>
      </c>
      <c r="I675" s="41" t="s">
        <v>426</v>
      </c>
      <c r="J675" s="5">
        <v>93</v>
      </c>
      <c r="K675" s="5">
        <v>106</v>
      </c>
      <c r="L675" s="15">
        <f t="shared" ref="L675:L680" si="151">IFERROR(IF((J675/K675)&gt;1.3,1.3,J675/K675),"")</f>
        <v>0.87735849056603776</v>
      </c>
      <c r="M675" s="15">
        <f t="shared" ref="M675:M684" si="152">IFERROR(J675/K675,"")</f>
        <v>0.87735849056603776</v>
      </c>
      <c r="N675" s="5"/>
      <c r="O675" s="5"/>
      <c r="P675" s="5">
        <v>0</v>
      </c>
      <c r="Q675" s="5">
        <v>1</v>
      </c>
      <c r="R675" s="5" t="str">
        <f t="shared" si="145"/>
        <v>276-2022-06-30</v>
      </c>
    </row>
    <row r="676" spans="1:18" x14ac:dyDescent="0.3">
      <c r="A676" s="5">
        <v>276</v>
      </c>
      <c r="B676" s="5" t="s">
        <v>161</v>
      </c>
      <c r="C676" s="5" t="s">
        <v>162</v>
      </c>
      <c r="D676" s="5" t="s">
        <v>8</v>
      </c>
      <c r="E676" s="5" t="s">
        <v>14</v>
      </c>
      <c r="F676" s="17">
        <v>44926</v>
      </c>
      <c r="G676" s="16">
        <f t="shared" si="143"/>
        <v>2022</v>
      </c>
      <c r="H676" s="6" t="str">
        <f t="shared" si="150"/>
        <v>Diciembre</v>
      </c>
      <c r="I676" s="41" t="s">
        <v>423</v>
      </c>
      <c r="J676" s="5">
        <v>88</v>
      </c>
      <c r="K676" s="5">
        <v>88</v>
      </c>
      <c r="L676" s="15">
        <f t="shared" si="151"/>
        <v>1</v>
      </c>
      <c r="M676" s="15">
        <f t="shared" si="152"/>
        <v>1</v>
      </c>
      <c r="N676" s="5"/>
      <c r="O676" s="5"/>
      <c r="P676" s="5">
        <v>0</v>
      </c>
      <c r="Q676" s="5">
        <v>1</v>
      </c>
      <c r="R676" s="5" t="str">
        <f t="shared" si="145"/>
        <v>276-2022-12-31</v>
      </c>
    </row>
    <row r="677" spans="1:18" x14ac:dyDescent="0.3">
      <c r="A677" s="5">
        <v>276</v>
      </c>
      <c r="B677" s="5" t="s">
        <v>161</v>
      </c>
      <c r="C677" s="5" t="s">
        <v>162</v>
      </c>
      <c r="D677" s="5" t="s">
        <v>8</v>
      </c>
      <c r="E677" s="5" t="s">
        <v>14</v>
      </c>
      <c r="F677" s="17">
        <v>45107</v>
      </c>
      <c r="G677" s="16">
        <f t="shared" si="143"/>
        <v>2023</v>
      </c>
      <c r="H677" s="6" t="str">
        <f t="shared" si="150"/>
        <v>Junio</v>
      </c>
      <c r="I677" s="41" t="s">
        <v>422</v>
      </c>
      <c r="J677" s="5">
        <v>85</v>
      </c>
      <c r="K677" s="5">
        <v>89.99</v>
      </c>
      <c r="L677" s="15">
        <f t="shared" si="151"/>
        <v>0.94454939437715302</v>
      </c>
      <c r="M677" s="15">
        <f t="shared" si="152"/>
        <v>0.94454939437715302</v>
      </c>
      <c r="N677" s="5"/>
      <c r="O677" s="5"/>
      <c r="P677" s="5">
        <v>0</v>
      </c>
      <c r="Q677" s="5">
        <v>1</v>
      </c>
      <c r="R677" s="5" t="str">
        <f t="shared" si="145"/>
        <v>276-2023-06-30</v>
      </c>
    </row>
    <row r="678" spans="1:18" x14ac:dyDescent="0.3">
      <c r="A678" s="39">
        <v>276</v>
      </c>
      <c r="B678" s="5" t="s">
        <v>161</v>
      </c>
      <c r="C678" s="5" t="s">
        <v>162</v>
      </c>
      <c r="D678" s="5" t="s">
        <v>8</v>
      </c>
      <c r="E678" s="5" t="s">
        <v>14</v>
      </c>
      <c r="F678" s="6">
        <v>45291</v>
      </c>
      <c r="G678" s="5">
        <f t="shared" si="143"/>
        <v>2023</v>
      </c>
      <c r="H678" s="5" t="str">
        <f t="shared" si="150"/>
        <v>Diciembre</v>
      </c>
      <c r="I678" s="6" t="str">
        <f t="shared" ref="I678:I722" si="153">IF(OR(H678="Enero",H678="Febrero",H678="Marzo",H678="Abril",H678="Mayo",H678="Junio"),G678&amp;"-1",IF(OR(H678="Julio",H678="Agosto",H678="Septiembre",H678="Octubre",H678="Noviembre",H678="Diciembre"),G678&amp;"-2"))</f>
        <v>2023-2</v>
      </c>
      <c r="J678" s="5">
        <v>85</v>
      </c>
      <c r="K678" s="5">
        <v>84.5</v>
      </c>
      <c r="L678" s="15">
        <f t="shared" si="151"/>
        <v>1.0059171597633136</v>
      </c>
      <c r="M678" s="15">
        <f t="shared" si="152"/>
        <v>1.0059171597633136</v>
      </c>
      <c r="N678" s="5"/>
      <c r="O678" s="5"/>
      <c r="P678" s="5">
        <v>0</v>
      </c>
      <c r="Q678" s="5">
        <v>1</v>
      </c>
      <c r="R678" s="5" t="str">
        <f t="shared" si="145"/>
        <v>276-2023-12-31</v>
      </c>
    </row>
    <row r="679" spans="1:18" x14ac:dyDescent="0.3">
      <c r="A679" s="5">
        <v>276</v>
      </c>
      <c r="B679" s="5" t="s">
        <v>161</v>
      </c>
      <c r="C679" s="5" t="s">
        <v>162</v>
      </c>
      <c r="D679" s="5" t="s">
        <v>8</v>
      </c>
      <c r="E679" s="5" t="s">
        <v>14</v>
      </c>
      <c r="F679" s="17">
        <v>45473</v>
      </c>
      <c r="G679" s="16">
        <f t="shared" si="143"/>
        <v>2024</v>
      </c>
      <c r="H679" s="6" t="str">
        <f t="shared" si="150"/>
        <v>Junio</v>
      </c>
      <c r="I679" s="6" t="str">
        <f t="shared" si="153"/>
        <v>2024-1</v>
      </c>
      <c r="J679" s="5">
        <v>75</v>
      </c>
      <c r="K679" s="5">
        <v>83.65</v>
      </c>
      <c r="L679" s="15">
        <f t="shared" si="151"/>
        <v>0.89659294680215174</v>
      </c>
      <c r="M679" s="15">
        <f t="shared" si="152"/>
        <v>0.89659294680215174</v>
      </c>
      <c r="N679" s="5"/>
      <c r="O679" s="5"/>
      <c r="P679" s="5">
        <v>0</v>
      </c>
      <c r="Q679" s="5">
        <v>1</v>
      </c>
      <c r="R679" s="5" t="str">
        <f t="shared" si="145"/>
        <v>276-2024-06-30</v>
      </c>
    </row>
    <row r="680" spans="1:18" x14ac:dyDescent="0.3">
      <c r="A680" s="5">
        <v>276</v>
      </c>
      <c r="B680" s="5" t="s">
        <v>161</v>
      </c>
      <c r="C680" s="5" t="s">
        <v>162</v>
      </c>
      <c r="D680" s="5" t="s">
        <v>8</v>
      </c>
      <c r="E680" s="5" t="s">
        <v>14</v>
      </c>
      <c r="F680" s="6">
        <v>45657</v>
      </c>
      <c r="G680" s="5">
        <f t="shared" si="143"/>
        <v>2024</v>
      </c>
      <c r="H680" s="5" t="str">
        <f t="shared" si="150"/>
        <v>Diciembre</v>
      </c>
      <c r="I680" s="6" t="str">
        <f t="shared" si="153"/>
        <v>2024-2</v>
      </c>
      <c r="J680" s="5">
        <v>75</v>
      </c>
      <c r="K680" s="5">
        <v>82.68</v>
      </c>
      <c r="L680" s="15">
        <f t="shared" si="151"/>
        <v>0.90711175616835982</v>
      </c>
      <c r="M680" s="15">
        <f t="shared" si="152"/>
        <v>0.90711175616835982</v>
      </c>
      <c r="N680" s="5"/>
      <c r="O680" s="5"/>
      <c r="P680" s="5">
        <v>0</v>
      </c>
      <c r="Q680" s="5">
        <v>1</v>
      </c>
      <c r="R680" s="5" t="str">
        <f t="shared" si="145"/>
        <v>276-2024-12-31</v>
      </c>
    </row>
    <row r="681" spans="1:18" x14ac:dyDescent="0.3">
      <c r="A681" s="43">
        <v>277</v>
      </c>
      <c r="B681" s="5" t="s">
        <v>163</v>
      </c>
      <c r="C681" s="5" t="s">
        <v>162</v>
      </c>
      <c r="D681" s="5" t="s">
        <v>8</v>
      </c>
      <c r="E681" s="5" t="s">
        <v>14</v>
      </c>
      <c r="F681" s="6">
        <v>45107</v>
      </c>
      <c r="G681" s="5">
        <f t="shared" si="143"/>
        <v>2023</v>
      </c>
      <c r="H681" s="5" t="str">
        <f t="shared" si="150"/>
        <v>Junio</v>
      </c>
      <c r="I681" s="6" t="str">
        <f t="shared" si="153"/>
        <v>2023-1</v>
      </c>
      <c r="J681" s="5">
        <v>85</v>
      </c>
      <c r="K681" s="5">
        <v>76.48</v>
      </c>
      <c r="L681" s="8">
        <f>IFERROR(J681/K681,"")</f>
        <v>1.1114016736401673</v>
      </c>
      <c r="M681" s="15">
        <f t="shared" si="152"/>
        <v>1.1114016736401673</v>
      </c>
      <c r="N681" s="5"/>
      <c r="O681" s="5"/>
      <c r="P681" s="5">
        <v>0</v>
      </c>
      <c r="Q681" s="5">
        <v>1</v>
      </c>
      <c r="R681" s="5" t="str">
        <f t="shared" si="145"/>
        <v>277-2023-06-30</v>
      </c>
    </row>
    <row r="682" spans="1:18" x14ac:dyDescent="0.3">
      <c r="A682" s="39">
        <v>277</v>
      </c>
      <c r="B682" s="5" t="s">
        <v>163</v>
      </c>
      <c r="C682" s="5" t="s">
        <v>162</v>
      </c>
      <c r="D682" s="5" t="s">
        <v>8</v>
      </c>
      <c r="E682" s="5" t="s">
        <v>14</v>
      </c>
      <c r="F682" s="6">
        <v>45291</v>
      </c>
      <c r="G682" s="5">
        <f t="shared" si="143"/>
        <v>2023</v>
      </c>
      <c r="H682" s="5" t="str">
        <f t="shared" si="150"/>
        <v>Diciembre</v>
      </c>
      <c r="I682" s="6" t="str">
        <f t="shared" si="153"/>
        <v>2023-2</v>
      </c>
      <c r="J682" s="5">
        <v>85</v>
      </c>
      <c r="K682" s="5">
        <v>73.290000000000006</v>
      </c>
      <c r="L682" s="8">
        <f>IFERROR(J682/K682,"")</f>
        <v>1.1597762314094691</v>
      </c>
      <c r="M682" s="15">
        <f t="shared" si="152"/>
        <v>1.1597762314094691</v>
      </c>
      <c r="N682" s="5"/>
      <c r="O682" s="5"/>
      <c r="P682" s="5">
        <v>0</v>
      </c>
      <c r="Q682" s="5">
        <v>1</v>
      </c>
      <c r="R682" s="5" t="str">
        <f t="shared" si="145"/>
        <v>277-2023-12-31</v>
      </c>
    </row>
    <row r="683" spans="1:18" x14ac:dyDescent="0.3">
      <c r="A683" s="39">
        <v>277</v>
      </c>
      <c r="B683" s="5" t="s">
        <v>163</v>
      </c>
      <c r="C683" s="5" t="s">
        <v>162</v>
      </c>
      <c r="D683" s="5" t="s">
        <v>8</v>
      </c>
      <c r="E683" s="5" t="s">
        <v>14</v>
      </c>
      <c r="F683" s="17">
        <v>45473</v>
      </c>
      <c r="G683" s="5">
        <f t="shared" si="143"/>
        <v>2024</v>
      </c>
      <c r="H683" s="5" t="str">
        <f t="shared" si="150"/>
        <v>Junio</v>
      </c>
      <c r="I683" s="6" t="str">
        <f t="shared" si="153"/>
        <v>2024-1</v>
      </c>
      <c r="J683" s="5">
        <v>73</v>
      </c>
      <c r="K683" s="5">
        <v>71.180000000000007</v>
      </c>
      <c r="L683" s="8">
        <f>IFERROR(J683/K683,"")</f>
        <v>1.0255689800505758</v>
      </c>
      <c r="M683" s="15">
        <f t="shared" si="152"/>
        <v>1.0255689800505758</v>
      </c>
      <c r="N683" s="5"/>
      <c r="O683" s="5"/>
      <c r="P683" s="5">
        <v>0</v>
      </c>
      <c r="Q683" s="5">
        <v>1</v>
      </c>
      <c r="R683" s="5" t="str">
        <f t="shared" si="145"/>
        <v>277-2024-06-30</v>
      </c>
    </row>
    <row r="684" spans="1:18" x14ac:dyDescent="0.3">
      <c r="A684" s="5">
        <v>277</v>
      </c>
      <c r="B684" s="5" t="s">
        <v>163</v>
      </c>
      <c r="C684" s="5" t="s">
        <v>162</v>
      </c>
      <c r="D684" s="5" t="s">
        <v>8</v>
      </c>
      <c r="E684" s="5" t="s">
        <v>14</v>
      </c>
      <c r="F684" s="6">
        <v>45657</v>
      </c>
      <c r="G684" s="5">
        <f t="shared" si="143"/>
        <v>2024</v>
      </c>
      <c r="H684" s="5" t="str">
        <f t="shared" si="150"/>
        <v>Diciembre</v>
      </c>
      <c r="I684" s="6" t="str">
        <f t="shared" si="153"/>
        <v>2024-2</v>
      </c>
      <c r="J684" s="5">
        <v>73</v>
      </c>
      <c r="K684" s="5">
        <v>71.239999999999995</v>
      </c>
      <c r="L684" s="8">
        <f>IFERROR(J684/K684,"")</f>
        <v>1.0247052217855139</v>
      </c>
      <c r="M684" s="15">
        <f t="shared" si="152"/>
        <v>1.0247052217855139</v>
      </c>
      <c r="N684" s="5"/>
      <c r="O684" s="5"/>
      <c r="P684" s="5">
        <v>0</v>
      </c>
      <c r="Q684" s="5">
        <v>1</v>
      </c>
      <c r="R684" s="5" t="str">
        <f t="shared" si="145"/>
        <v>277-2024-12-31</v>
      </c>
    </row>
    <row r="685" spans="1:18" x14ac:dyDescent="0.3">
      <c r="A685" s="43">
        <v>278</v>
      </c>
      <c r="B685" s="5" t="s">
        <v>164</v>
      </c>
      <c r="C685" s="5" t="s">
        <v>162</v>
      </c>
      <c r="D685" s="5" t="s">
        <v>8</v>
      </c>
      <c r="E685" s="5" t="s">
        <v>9</v>
      </c>
      <c r="F685" s="6">
        <v>45107</v>
      </c>
      <c r="G685" s="5">
        <f t="shared" si="143"/>
        <v>2023</v>
      </c>
      <c r="H685" s="5" t="str">
        <f t="shared" si="150"/>
        <v>Junio</v>
      </c>
      <c r="I685" s="6" t="str">
        <f t="shared" si="153"/>
        <v>2023-1</v>
      </c>
      <c r="J685" s="5">
        <v>0</v>
      </c>
      <c r="K685" s="5">
        <v>1015</v>
      </c>
      <c r="L685" s="21" t="s">
        <v>417</v>
      </c>
      <c r="M685" s="15" t="str">
        <f t="shared" ref="M685:M715" si="154">IFERROR(K685/J685,"")</f>
        <v/>
      </c>
      <c r="N685" s="5"/>
      <c r="O685" s="5"/>
      <c r="P685" s="5">
        <v>0</v>
      </c>
      <c r="Q685" s="5">
        <v>0</v>
      </c>
      <c r="R685" s="5" t="str">
        <f t="shared" si="145"/>
        <v>278-2023-06-30</v>
      </c>
    </row>
    <row r="686" spans="1:18" x14ac:dyDescent="0.3">
      <c r="A686" s="39">
        <v>278</v>
      </c>
      <c r="B686" s="5" t="s">
        <v>164</v>
      </c>
      <c r="C686" s="5" t="s">
        <v>162</v>
      </c>
      <c r="D686" s="5" t="s">
        <v>8</v>
      </c>
      <c r="E686" s="5" t="s">
        <v>9</v>
      </c>
      <c r="F686" s="6">
        <v>45291</v>
      </c>
      <c r="G686" s="5">
        <f t="shared" si="143"/>
        <v>2023</v>
      </c>
      <c r="H686" s="5" t="str">
        <f t="shared" si="150"/>
        <v>Diciembre</v>
      </c>
      <c r="I686" s="6" t="str">
        <f t="shared" si="153"/>
        <v>2023-2</v>
      </c>
      <c r="J686" s="5">
        <v>0</v>
      </c>
      <c r="K686" s="5">
        <v>1017</v>
      </c>
      <c r="L686" s="21" t="str">
        <f>IFERROR(K686/J686,"")</f>
        <v/>
      </c>
      <c r="M686" s="15" t="str">
        <f t="shared" si="154"/>
        <v/>
      </c>
      <c r="N686" s="5"/>
      <c r="O686" s="5"/>
      <c r="P686" s="5">
        <v>0</v>
      </c>
      <c r="Q686" s="5">
        <v>0</v>
      </c>
      <c r="R686" s="5" t="str">
        <f t="shared" si="145"/>
        <v>278-2023-12-31</v>
      </c>
    </row>
    <row r="687" spans="1:18" x14ac:dyDescent="0.3">
      <c r="A687" s="5">
        <v>278</v>
      </c>
      <c r="B687" s="5" t="s">
        <v>164</v>
      </c>
      <c r="C687" s="5" t="s">
        <v>162</v>
      </c>
      <c r="D687" s="5" t="s">
        <v>8</v>
      </c>
      <c r="E687" s="5" t="s">
        <v>9</v>
      </c>
      <c r="F687" s="6">
        <v>45473</v>
      </c>
      <c r="G687" s="5">
        <f t="shared" si="143"/>
        <v>2024</v>
      </c>
      <c r="H687" s="5" t="str">
        <f t="shared" si="150"/>
        <v>Junio</v>
      </c>
      <c r="I687" s="6" t="str">
        <f t="shared" si="153"/>
        <v>2024-1</v>
      </c>
      <c r="J687" s="5">
        <v>0</v>
      </c>
      <c r="K687" s="5">
        <v>1074</v>
      </c>
      <c r="L687" s="15" t="str">
        <f>IFERROR(IF((K687/J687)&gt;1.3,1.3,K687/J687),"")</f>
        <v/>
      </c>
      <c r="M687" s="15" t="str">
        <f t="shared" si="154"/>
        <v/>
      </c>
      <c r="N687" s="5"/>
      <c r="O687" s="5"/>
      <c r="P687" s="5">
        <v>0</v>
      </c>
      <c r="Q687" s="5">
        <v>0</v>
      </c>
      <c r="R687" s="5" t="str">
        <f t="shared" si="145"/>
        <v>278-2024-06-30</v>
      </c>
    </row>
    <row r="688" spans="1:18" x14ac:dyDescent="0.3">
      <c r="A688" s="5">
        <v>278</v>
      </c>
      <c r="B688" s="5" t="s">
        <v>164</v>
      </c>
      <c r="C688" s="5" t="s">
        <v>162</v>
      </c>
      <c r="D688" s="5" t="s">
        <v>8</v>
      </c>
      <c r="E688" s="5" t="s">
        <v>9</v>
      </c>
      <c r="F688" s="6">
        <v>45657</v>
      </c>
      <c r="G688" s="5">
        <f t="shared" si="143"/>
        <v>2024</v>
      </c>
      <c r="H688" s="5" t="str">
        <f t="shared" si="150"/>
        <v>Diciembre</v>
      </c>
      <c r="I688" s="6" t="str">
        <f t="shared" si="153"/>
        <v>2024-2</v>
      </c>
      <c r="J688" s="5">
        <v>0</v>
      </c>
      <c r="K688" s="5">
        <v>1013</v>
      </c>
      <c r="L688" s="15" t="str">
        <f>IFERROR(IF((K688/J688)&gt;1.3,1.3,K688/J688),"")</f>
        <v/>
      </c>
      <c r="M688" s="15" t="str">
        <f t="shared" si="154"/>
        <v/>
      </c>
      <c r="N688" s="5"/>
      <c r="O688" s="5"/>
      <c r="P688" s="5">
        <v>0</v>
      </c>
      <c r="Q688" s="5">
        <v>0</v>
      </c>
      <c r="R688" s="5" t="str">
        <f t="shared" si="145"/>
        <v>278-2024-12-31</v>
      </c>
    </row>
    <row r="689" spans="1:18" x14ac:dyDescent="0.3">
      <c r="A689" s="43">
        <v>279</v>
      </c>
      <c r="B689" s="5" t="s">
        <v>165</v>
      </c>
      <c r="C689" s="5" t="s">
        <v>162</v>
      </c>
      <c r="D689" s="5" t="s">
        <v>8</v>
      </c>
      <c r="E689" s="5" t="s">
        <v>9</v>
      </c>
      <c r="F689" s="6">
        <v>45107</v>
      </c>
      <c r="G689" s="5">
        <f t="shared" si="143"/>
        <v>2023</v>
      </c>
      <c r="H689" s="5" t="str">
        <f t="shared" si="150"/>
        <v>Junio</v>
      </c>
      <c r="I689" s="6" t="str">
        <f t="shared" si="153"/>
        <v>2023-1</v>
      </c>
      <c r="J689" s="5">
        <v>0</v>
      </c>
      <c r="K689" s="5">
        <v>572</v>
      </c>
      <c r="L689" s="21" t="s">
        <v>417</v>
      </c>
      <c r="M689" s="15" t="str">
        <f t="shared" si="154"/>
        <v/>
      </c>
      <c r="N689" s="5"/>
      <c r="O689" s="5"/>
      <c r="P689" s="5">
        <v>0</v>
      </c>
      <c r="Q689" s="5">
        <v>0</v>
      </c>
      <c r="R689" s="5" t="str">
        <f t="shared" si="145"/>
        <v>279-2023-06-30</v>
      </c>
    </row>
    <row r="690" spans="1:18" x14ac:dyDescent="0.3">
      <c r="A690" s="39">
        <v>279</v>
      </c>
      <c r="B690" s="5" t="s">
        <v>165</v>
      </c>
      <c r="C690" s="5" t="s">
        <v>162</v>
      </c>
      <c r="D690" s="5" t="s">
        <v>8</v>
      </c>
      <c r="E690" s="5" t="s">
        <v>9</v>
      </c>
      <c r="F690" s="6">
        <v>45291</v>
      </c>
      <c r="G690" s="5">
        <f t="shared" si="143"/>
        <v>2023</v>
      </c>
      <c r="H690" s="5" t="str">
        <f t="shared" si="150"/>
        <v>Diciembre</v>
      </c>
      <c r="I690" s="6" t="str">
        <f t="shared" si="153"/>
        <v>2023-2</v>
      </c>
      <c r="J690" s="5">
        <v>0</v>
      </c>
      <c r="K690" s="5">
        <v>608</v>
      </c>
      <c r="L690" s="21" t="str">
        <f>IFERROR(K690/J690,"")</f>
        <v/>
      </c>
      <c r="M690" s="15" t="str">
        <f t="shared" si="154"/>
        <v/>
      </c>
      <c r="N690" s="5"/>
      <c r="O690" s="5"/>
      <c r="P690" s="5">
        <v>0</v>
      </c>
      <c r="Q690" s="5">
        <v>0</v>
      </c>
      <c r="R690" s="5" t="str">
        <f t="shared" si="145"/>
        <v>279-2023-12-31</v>
      </c>
    </row>
    <row r="691" spans="1:18" x14ac:dyDescent="0.3">
      <c r="A691" s="43">
        <v>280</v>
      </c>
      <c r="B691" s="5" t="s">
        <v>166</v>
      </c>
      <c r="C691" s="5" t="s">
        <v>162</v>
      </c>
      <c r="D691" s="5" t="s">
        <v>8</v>
      </c>
      <c r="E691" s="5" t="s">
        <v>9</v>
      </c>
      <c r="F691" s="6">
        <v>45107</v>
      </c>
      <c r="G691" s="5">
        <f t="shared" ref="G691:G754" si="155">YEAR(F691)</f>
        <v>2023</v>
      </c>
      <c r="H691" s="5" t="str">
        <f t="shared" si="150"/>
        <v>Junio</v>
      </c>
      <c r="I691" s="6" t="str">
        <f t="shared" si="153"/>
        <v>2023-1</v>
      </c>
      <c r="J691" s="5">
        <v>0</v>
      </c>
      <c r="K691" s="5">
        <v>203</v>
      </c>
      <c r="L691" s="21" t="s">
        <v>417</v>
      </c>
      <c r="M691" s="15" t="str">
        <f t="shared" si="154"/>
        <v/>
      </c>
      <c r="N691" s="5"/>
      <c r="O691" s="5"/>
      <c r="P691" s="5">
        <v>0</v>
      </c>
      <c r="Q691" s="5">
        <v>0</v>
      </c>
      <c r="R691" s="5" t="str">
        <f t="shared" si="145"/>
        <v>280-2023-06-30</v>
      </c>
    </row>
    <row r="692" spans="1:18" x14ac:dyDescent="0.3">
      <c r="A692" s="39">
        <v>280</v>
      </c>
      <c r="B692" s="5" t="s">
        <v>166</v>
      </c>
      <c r="C692" s="5" t="s">
        <v>162</v>
      </c>
      <c r="D692" s="5" t="s">
        <v>8</v>
      </c>
      <c r="E692" s="5" t="s">
        <v>9</v>
      </c>
      <c r="F692" s="6">
        <v>45291</v>
      </c>
      <c r="G692" s="5">
        <f t="shared" si="155"/>
        <v>2023</v>
      </c>
      <c r="H692" s="5" t="str">
        <f t="shared" si="150"/>
        <v>Diciembre</v>
      </c>
      <c r="I692" s="6" t="str">
        <f t="shared" si="153"/>
        <v>2023-2</v>
      </c>
      <c r="J692" s="5">
        <v>0</v>
      </c>
      <c r="K692" s="5">
        <v>186</v>
      </c>
      <c r="L692" s="21" t="str">
        <f>IFERROR(K692/J692,"")</f>
        <v/>
      </c>
      <c r="M692" s="15" t="str">
        <f t="shared" si="154"/>
        <v/>
      </c>
      <c r="N692" s="5"/>
      <c r="O692" s="5"/>
      <c r="P692" s="5">
        <v>0</v>
      </c>
      <c r="Q692" s="5">
        <v>0</v>
      </c>
      <c r="R692" s="5" t="str">
        <f t="shared" si="145"/>
        <v>280-2023-12-31</v>
      </c>
    </row>
    <row r="693" spans="1:18" x14ac:dyDescent="0.3">
      <c r="A693" s="43">
        <v>281</v>
      </c>
      <c r="B693" s="5" t="s">
        <v>167</v>
      </c>
      <c r="C693" s="5" t="s">
        <v>162</v>
      </c>
      <c r="D693" s="5" t="s">
        <v>8</v>
      </c>
      <c r="E693" s="5" t="s">
        <v>9</v>
      </c>
      <c r="F693" s="6">
        <v>45107</v>
      </c>
      <c r="G693" s="5">
        <f t="shared" si="155"/>
        <v>2023</v>
      </c>
      <c r="H693" s="5" t="str">
        <f t="shared" si="150"/>
        <v>Junio</v>
      </c>
      <c r="I693" s="6" t="str">
        <f t="shared" si="153"/>
        <v>2023-1</v>
      </c>
      <c r="J693" s="5"/>
      <c r="K693" s="5">
        <v>240</v>
      </c>
      <c r="L693" s="21" t="s">
        <v>417</v>
      </c>
      <c r="M693" s="15" t="str">
        <f t="shared" si="154"/>
        <v/>
      </c>
      <c r="N693" s="5"/>
      <c r="O693" s="5"/>
      <c r="P693" s="5">
        <v>0</v>
      </c>
      <c r="Q693" s="5">
        <v>0</v>
      </c>
      <c r="R693" s="5" t="str">
        <f t="shared" si="145"/>
        <v>281-2023-06-30</v>
      </c>
    </row>
    <row r="694" spans="1:18" x14ac:dyDescent="0.3">
      <c r="A694" s="39">
        <v>281</v>
      </c>
      <c r="B694" s="5" t="s">
        <v>167</v>
      </c>
      <c r="C694" s="5" t="s">
        <v>162</v>
      </c>
      <c r="D694" s="5" t="s">
        <v>8</v>
      </c>
      <c r="E694" s="5" t="s">
        <v>9</v>
      </c>
      <c r="F694" s="6">
        <v>45291</v>
      </c>
      <c r="G694" s="5">
        <f t="shared" si="155"/>
        <v>2023</v>
      </c>
      <c r="H694" s="5" t="str">
        <f t="shared" si="150"/>
        <v>Diciembre</v>
      </c>
      <c r="I694" s="6" t="str">
        <f t="shared" si="153"/>
        <v>2023-2</v>
      </c>
      <c r="J694" s="5"/>
      <c r="K694" s="5">
        <v>223</v>
      </c>
      <c r="L694" s="21" t="str">
        <f>IFERROR(K694/J694,"")</f>
        <v/>
      </c>
      <c r="M694" s="15" t="str">
        <f t="shared" si="154"/>
        <v/>
      </c>
      <c r="N694" s="5"/>
      <c r="O694" s="5"/>
      <c r="P694" s="5">
        <v>0</v>
      </c>
      <c r="Q694" s="5">
        <v>0</v>
      </c>
      <c r="R694" s="5" t="str">
        <f t="shared" si="145"/>
        <v>281-2023-12-31</v>
      </c>
    </row>
    <row r="695" spans="1:18" x14ac:dyDescent="0.3">
      <c r="A695" s="43">
        <v>282</v>
      </c>
      <c r="B695" s="5" t="s">
        <v>168</v>
      </c>
      <c r="C695" s="5" t="s">
        <v>162</v>
      </c>
      <c r="D695" s="5" t="s">
        <v>8</v>
      </c>
      <c r="E695" s="5" t="s">
        <v>9</v>
      </c>
      <c r="F695" s="6">
        <v>45107</v>
      </c>
      <c r="G695" s="5">
        <f t="shared" si="155"/>
        <v>2023</v>
      </c>
      <c r="H695" s="5" t="str">
        <f t="shared" si="150"/>
        <v>Junio</v>
      </c>
      <c r="I695" s="6" t="str">
        <f t="shared" si="153"/>
        <v>2023-1</v>
      </c>
      <c r="J695" s="11">
        <v>96</v>
      </c>
      <c r="K695" s="5">
        <v>96.06</v>
      </c>
      <c r="L695" s="21">
        <f>IFERROR(K695/J695,"")</f>
        <v>1.0006250000000001</v>
      </c>
      <c r="M695" s="15">
        <f t="shared" si="154"/>
        <v>1.0006250000000001</v>
      </c>
      <c r="N695" s="11" t="s">
        <v>347</v>
      </c>
      <c r="O695" s="11" t="s">
        <v>347</v>
      </c>
      <c r="P695" s="5">
        <v>0</v>
      </c>
      <c r="Q695" s="5">
        <v>0</v>
      </c>
      <c r="R695" s="5" t="str">
        <f t="shared" si="145"/>
        <v>282-2023-06-30</v>
      </c>
    </row>
    <row r="696" spans="1:18" x14ac:dyDescent="0.3">
      <c r="A696" s="39">
        <v>282</v>
      </c>
      <c r="B696" s="5" t="s">
        <v>168</v>
      </c>
      <c r="C696" s="5" t="s">
        <v>162</v>
      </c>
      <c r="D696" s="5" t="s">
        <v>8</v>
      </c>
      <c r="E696" s="5" t="s">
        <v>9</v>
      </c>
      <c r="F696" s="6">
        <v>45291</v>
      </c>
      <c r="G696" s="5">
        <f t="shared" si="155"/>
        <v>2023</v>
      </c>
      <c r="H696" s="5" t="str">
        <f t="shared" si="150"/>
        <v>Diciembre</v>
      </c>
      <c r="I696" s="6" t="str">
        <f t="shared" si="153"/>
        <v>2023-2</v>
      </c>
      <c r="J696" s="11">
        <v>96</v>
      </c>
      <c r="K696" s="5">
        <v>96.56</v>
      </c>
      <c r="L696" s="21">
        <f>IFERROR(K696/J696,"")</f>
        <v>1.0058333333333334</v>
      </c>
      <c r="M696" s="15">
        <f t="shared" si="154"/>
        <v>1.0058333333333334</v>
      </c>
      <c r="N696" s="11" t="s">
        <v>347</v>
      </c>
      <c r="O696" s="11" t="s">
        <v>347</v>
      </c>
      <c r="P696" s="5">
        <v>0</v>
      </c>
      <c r="Q696" s="5">
        <v>0</v>
      </c>
      <c r="R696" s="5" t="str">
        <f t="shared" si="145"/>
        <v>282-2023-12-31</v>
      </c>
    </row>
    <row r="697" spans="1:18" x14ac:dyDescent="0.3">
      <c r="A697" s="5">
        <v>282</v>
      </c>
      <c r="B697" s="5" t="s">
        <v>168</v>
      </c>
      <c r="C697" s="5" t="s">
        <v>162</v>
      </c>
      <c r="D697" s="5" t="s">
        <v>8</v>
      </c>
      <c r="E697" s="5" t="s">
        <v>9</v>
      </c>
      <c r="F697" s="6">
        <v>45473</v>
      </c>
      <c r="G697" s="5">
        <f t="shared" si="155"/>
        <v>2024</v>
      </c>
      <c r="H697" s="5" t="str">
        <f t="shared" si="150"/>
        <v>Junio</v>
      </c>
      <c r="I697" s="6" t="str">
        <f t="shared" si="153"/>
        <v>2024-1</v>
      </c>
      <c r="J697" s="5">
        <v>97</v>
      </c>
      <c r="K697" s="5">
        <v>97.02</v>
      </c>
      <c r="L697" s="15">
        <f>IFERROR(IF((K697/J697)&gt;1.3,1.3,K697/J697),"")</f>
        <v>1.0002061855670104</v>
      </c>
      <c r="M697" s="15">
        <f t="shared" si="154"/>
        <v>1.0002061855670104</v>
      </c>
      <c r="N697" s="11" t="s">
        <v>347</v>
      </c>
      <c r="O697" s="11" t="s">
        <v>347</v>
      </c>
      <c r="P697" s="5">
        <v>0</v>
      </c>
      <c r="Q697" s="5">
        <v>0</v>
      </c>
      <c r="R697" s="5" t="str">
        <f t="shared" si="145"/>
        <v>282-2024-06-30</v>
      </c>
    </row>
    <row r="698" spans="1:18" x14ac:dyDescent="0.3">
      <c r="A698" s="5">
        <v>282</v>
      </c>
      <c r="B698" s="5" t="s">
        <v>168</v>
      </c>
      <c r="C698" s="5" t="s">
        <v>162</v>
      </c>
      <c r="D698" s="5" t="s">
        <v>8</v>
      </c>
      <c r="E698" s="5" t="s">
        <v>9</v>
      </c>
      <c r="F698" s="6">
        <v>45657</v>
      </c>
      <c r="G698" s="5">
        <f t="shared" si="155"/>
        <v>2024</v>
      </c>
      <c r="H698" s="5" t="str">
        <f t="shared" si="150"/>
        <v>Diciembre</v>
      </c>
      <c r="I698" s="6" t="str">
        <f t="shared" si="153"/>
        <v>2024-2</v>
      </c>
      <c r="J698" s="5">
        <v>97</v>
      </c>
      <c r="K698" s="5">
        <v>96.84</v>
      </c>
      <c r="L698" s="15">
        <f>IFERROR(IF((K698/J698)&gt;1.3,1.3,K698/J698),"")</f>
        <v>0.99835051546391751</v>
      </c>
      <c r="M698" s="15">
        <f t="shared" si="154"/>
        <v>0.99835051546391751</v>
      </c>
      <c r="N698" s="11" t="s">
        <v>347</v>
      </c>
      <c r="O698" s="11" t="s">
        <v>347</v>
      </c>
      <c r="P698" s="5">
        <v>0</v>
      </c>
      <c r="Q698" s="5">
        <v>0</v>
      </c>
      <c r="R698" s="5" t="str">
        <f t="shared" si="145"/>
        <v>282-2024-12-31</v>
      </c>
    </row>
    <row r="699" spans="1:18" x14ac:dyDescent="0.3">
      <c r="A699" s="43">
        <v>283</v>
      </c>
      <c r="B699" s="5" t="s">
        <v>169</v>
      </c>
      <c r="C699" s="5" t="s">
        <v>162</v>
      </c>
      <c r="D699" s="5" t="s">
        <v>8</v>
      </c>
      <c r="E699" s="5" t="s">
        <v>9</v>
      </c>
      <c r="F699" s="6">
        <v>45107</v>
      </c>
      <c r="G699" s="5">
        <f t="shared" si="155"/>
        <v>2023</v>
      </c>
      <c r="H699" s="5" t="str">
        <f t="shared" si="150"/>
        <v>Junio</v>
      </c>
      <c r="I699" s="6" t="str">
        <f t="shared" si="153"/>
        <v>2023-1</v>
      </c>
      <c r="J699" s="5">
        <v>4.5</v>
      </c>
      <c r="K699" s="5">
        <v>4.6100000000000003</v>
      </c>
      <c r="L699" s="21">
        <f>IFERROR(K699/J699,"")</f>
        <v>1.0244444444444445</v>
      </c>
      <c r="M699" s="15">
        <f t="shared" si="154"/>
        <v>1.0244444444444445</v>
      </c>
      <c r="N699" s="5"/>
      <c r="O699" s="5"/>
      <c r="P699" s="5">
        <v>2</v>
      </c>
      <c r="Q699" s="5">
        <v>2</v>
      </c>
      <c r="R699" s="5" t="str">
        <f t="shared" si="145"/>
        <v>283-2023-06-30</v>
      </c>
    </row>
    <row r="700" spans="1:18" x14ac:dyDescent="0.3">
      <c r="A700" s="39">
        <v>283</v>
      </c>
      <c r="B700" s="5" t="s">
        <v>169</v>
      </c>
      <c r="C700" s="5" t="s">
        <v>162</v>
      </c>
      <c r="D700" s="5" t="s">
        <v>8</v>
      </c>
      <c r="E700" s="5" t="s">
        <v>9</v>
      </c>
      <c r="F700" s="6">
        <v>45291</v>
      </c>
      <c r="G700" s="5">
        <f t="shared" si="155"/>
        <v>2023</v>
      </c>
      <c r="H700" s="5" t="str">
        <f t="shared" si="150"/>
        <v>Diciembre</v>
      </c>
      <c r="I700" s="6" t="str">
        <f t="shared" si="153"/>
        <v>2023-2</v>
      </c>
      <c r="J700" s="5">
        <v>4.5</v>
      </c>
      <c r="K700" s="5">
        <v>4.51</v>
      </c>
      <c r="L700" s="21">
        <f>IFERROR(K700/J700,"")</f>
        <v>1.0022222222222221</v>
      </c>
      <c r="M700" s="15">
        <f t="shared" si="154"/>
        <v>1.0022222222222221</v>
      </c>
      <c r="N700" s="5"/>
      <c r="O700" s="5"/>
      <c r="P700" s="5">
        <v>2</v>
      </c>
      <c r="Q700" s="5">
        <v>2</v>
      </c>
      <c r="R700" s="5" t="str">
        <f t="shared" si="145"/>
        <v>283-2023-12-31</v>
      </c>
    </row>
    <row r="701" spans="1:18" x14ac:dyDescent="0.3">
      <c r="A701" s="5">
        <v>283</v>
      </c>
      <c r="B701" s="5" t="s">
        <v>169</v>
      </c>
      <c r="C701" s="5" t="s">
        <v>162</v>
      </c>
      <c r="D701" s="5" t="s">
        <v>8</v>
      </c>
      <c r="E701" s="5" t="s">
        <v>9</v>
      </c>
      <c r="F701" s="6">
        <v>45473</v>
      </c>
      <c r="G701" s="5">
        <f t="shared" si="155"/>
        <v>2024</v>
      </c>
      <c r="H701" s="5" t="str">
        <f t="shared" si="150"/>
        <v>Junio</v>
      </c>
      <c r="I701" s="6" t="str">
        <f t="shared" si="153"/>
        <v>2024-1</v>
      </c>
      <c r="J701" s="5">
        <v>4.5</v>
      </c>
      <c r="K701" s="5">
        <v>4.57</v>
      </c>
      <c r="L701" s="15">
        <f>IFERROR(IF((K701/J701)&gt;1.3,1.3,K701/J701),"")</f>
        <v>1.0155555555555555</v>
      </c>
      <c r="M701" s="15">
        <f t="shared" si="154"/>
        <v>1.0155555555555555</v>
      </c>
      <c r="N701" s="5"/>
      <c r="O701" s="5"/>
      <c r="P701" s="5">
        <v>0</v>
      </c>
      <c r="Q701" s="5">
        <v>0</v>
      </c>
      <c r="R701" s="5" t="str">
        <f t="shared" si="145"/>
        <v>283-2024-06-30</v>
      </c>
    </row>
    <row r="702" spans="1:18" x14ac:dyDescent="0.3">
      <c r="A702" s="5">
        <v>283</v>
      </c>
      <c r="B702" s="5" t="s">
        <v>169</v>
      </c>
      <c r="C702" s="5" t="s">
        <v>162</v>
      </c>
      <c r="D702" s="5" t="s">
        <v>8</v>
      </c>
      <c r="E702" s="5" t="s">
        <v>9</v>
      </c>
      <c r="F702" s="6">
        <v>45657</v>
      </c>
      <c r="G702" s="5">
        <f t="shared" si="155"/>
        <v>2024</v>
      </c>
      <c r="H702" s="5" t="str">
        <f t="shared" si="150"/>
        <v>Diciembre</v>
      </c>
      <c r="I702" s="6" t="str">
        <f t="shared" si="153"/>
        <v>2024-2</v>
      </c>
      <c r="J702" s="5">
        <v>4.5</v>
      </c>
      <c r="K702" s="5">
        <v>4.6399999999999997</v>
      </c>
      <c r="L702" s="15">
        <f>IFERROR(IF((K702/J702)&gt;1.3,1.3,K702/J702),"")</f>
        <v>1.0311111111111111</v>
      </c>
      <c r="M702" s="15">
        <f t="shared" si="154"/>
        <v>1.0311111111111111</v>
      </c>
      <c r="N702" s="5"/>
      <c r="O702" s="5"/>
      <c r="P702" s="5">
        <v>0</v>
      </c>
      <c r="Q702" s="5">
        <v>0</v>
      </c>
      <c r="R702" s="5" t="str">
        <f t="shared" si="145"/>
        <v>283-2024-12-31</v>
      </c>
    </row>
    <row r="703" spans="1:18" x14ac:dyDescent="0.3">
      <c r="A703" s="43">
        <v>284</v>
      </c>
      <c r="B703" s="5" t="s">
        <v>170</v>
      </c>
      <c r="C703" s="5" t="s">
        <v>162</v>
      </c>
      <c r="D703" s="5" t="s">
        <v>8</v>
      </c>
      <c r="E703" s="5" t="s">
        <v>9</v>
      </c>
      <c r="F703" s="6">
        <v>45107</v>
      </c>
      <c r="G703" s="5">
        <f t="shared" si="155"/>
        <v>2023</v>
      </c>
      <c r="H703" s="5" t="str">
        <f t="shared" si="150"/>
        <v>Junio</v>
      </c>
      <c r="I703" s="6" t="str">
        <f t="shared" si="153"/>
        <v>2023-1</v>
      </c>
      <c r="J703" s="5"/>
      <c r="K703" s="5">
        <v>15047</v>
      </c>
      <c r="L703" s="21" t="s">
        <v>417</v>
      </c>
      <c r="M703" s="15" t="str">
        <f t="shared" si="154"/>
        <v/>
      </c>
      <c r="N703" s="5"/>
      <c r="O703" s="5"/>
      <c r="P703" s="5">
        <v>0</v>
      </c>
      <c r="Q703" s="5">
        <v>0</v>
      </c>
      <c r="R703" s="5" t="str">
        <f t="shared" si="145"/>
        <v>284-2023-06-30</v>
      </c>
    </row>
    <row r="704" spans="1:18" x14ac:dyDescent="0.3">
      <c r="A704" s="39">
        <v>284</v>
      </c>
      <c r="B704" s="5" t="s">
        <v>170</v>
      </c>
      <c r="C704" s="5" t="s">
        <v>162</v>
      </c>
      <c r="D704" s="5" t="s">
        <v>8</v>
      </c>
      <c r="E704" s="5" t="s">
        <v>9</v>
      </c>
      <c r="F704" s="6">
        <v>45291</v>
      </c>
      <c r="G704" s="5">
        <f t="shared" si="155"/>
        <v>2023</v>
      </c>
      <c r="H704" s="5" t="str">
        <f t="shared" si="150"/>
        <v>Diciembre</v>
      </c>
      <c r="I704" s="6" t="str">
        <f t="shared" si="153"/>
        <v>2023-2</v>
      </c>
      <c r="J704" s="5"/>
      <c r="K704" s="5">
        <v>16281</v>
      </c>
      <c r="L704" s="21" t="str">
        <f>IFERROR(K704/J704,"")</f>
        <v/>
      </c>
      <c r="M704" s="15" t="str">
        <f t="shared" si="154"/>
        <v/>
      </c>
      <c r="N704" s="5"/>
      <c r="O704" s="5"/>
      <c r="P704" s="5">
        <v>0</v>
      </c>
      <c r="Q704" s="5">
        <v>0</v>
      </c>
      <c r="R704" s="5" t="str">
        <f t="shared" si="145"/>
        <v>284-2023-12-31</v>
      </c>
    </row>
    <row r="705" spans="1:18" x14ac:dyDescent="0.3">
      <c r="A705" s="43">
        <v>285</v>
      </c>
      <c r="B705" s="5" t="s">
        <v>171</v>
      </c>
      <c r="C705" s="5" t="s">
        <v>162</v>
      </c>
      <c r="D705" s="5" t="s">
        <v>8</v>
      </c>
      <c r="E705" s="5" t="s">
        <v>9</v>
      </c>
      <c r="F705" s="6">
        <v>45107</v>
      </c>
      <c r="G705" s="5">
        <f t="shared" si="155"/>
        <v>2023</v>
      </c>
      <c r="H705" s="5" t="str">
        <f t="shared" si="150"/>
        <v>Junio</v>
      </c>
      <c r="I705" s="6" t="str">
        <f t="shared" si="153"/>
        <v>2023-1</v>
      </c>
      <c r="J705" s="5">
        <v>100</v>
      </c>
      <c r="K705" s="5">
        <v>100</v>
      </c>
      <c r="L705" s="21">
        <f>IFERROR(K705/J705,"")</f>
        <v>1</v>
      </c>
      <c r="M705" s="15">
        <f t="shared" si="154"/>
        <v>1</v>
      </c>
      <c r="N705" s="5" t="s">
        <v>347</v>
      </c>
      <c r="O705" s="5" t="s">
        <v>347</v>
      </c>
      <c r="P705" s="5">
        <v>0</v>
      </c>
      <c r="Q705" s="5">
        <v>0</v>
      </c>
      <c r="R705" s="5" t="str">
        <f t="shared" si="145"/>
        <v>285-2023-06-30</v>
      </c>
    </row>
    <row r="706" spans="1:18" x14ac:dyDescent="0.3">
      <c r="A706" s="39">
        <v>285</v>
      </c>
      <c r="B706" s="5" t="s">
        <v>171</v>
      </c>
      <c r="C706" s="5" t="s">
        <v>162</v>
      </c>
      <c r="D706" s="5" t="s">
        <v>8</v>
      </c>
      <c r="E706" s="5" t="s">
        <v>9</v>
      </c>
      <c r="F706" s="6">
        <v>45291</v>
      </c>
      <c r="G706" s="5">
        <f t="shared" si="155"/>
        <v>2023</v>
      </c>
      <c r="H706" s="5" t="str">
        <f t="shared" si="150"/>
        <v>Diciembre</v>
      </c>
      <c r="I706" s="6" t="str">
        <f t="shared" si="153"/>
        <v>2023-2</v>
      </c>
      <c r="J706" s="5">
        <v>100</v>
      </c>
      <c r="K706" s="5">
        <v>100</v>
      </c>
      <c r="L706" s="21">
        <f>IFERROR(K706/J706,"")</f>
        <v>1</v>
      </c>
      <c r="M706" s="15">
        <f t="shared" si="154"/>
        <v>1</v>
      </c>
      <c r="N706" s="5" t="s">
        <v>347</v>
      </c>
      <c r="O706" s="5" t="s">
        <v>347</v>
      </c>
      <c r="P706" s="5">
        <v>0</v>
      </c>
      <c r="Q706" s="5">
        <v>0</v>
      </c>
      <c r="R706" s="5" t="str">
        <f t="shared" ref="R706:R769" si="156">A706&amp;"-"&amp;YEAR(F706)&amp;"-"&amp;IF(LEN(MONTH(F706))=1,"0"&amp;MONTH(F706),MONTH(F706))&amp;"-"&amp;DAY(F706)</f>
        <v>285-2023-12-31</v>
      </c>
    </row>
    <row r="707" spans="1:18" x14ac:dyDescent="0.3">
      <c r="A707" s="5">
        <v>285</v>
      </c>
      <c r="B707" s="5" t="s">
        <v>171</v>
      </c>
      <c r="C707" s="5" t="s">
        <v>162</v>
      </c>
      <c r="D707" s="5" t="s">
        <v>8</v>
      </c>
      <c r="E707" s="5" t="s">
        <v>9</v>
      </c>
      <c r="F707" s="6">
        <v>45473</v>
      </c>
      <c r="G707" s="5">
        <f t="shared" si="155"/>
        <v>2024</v>
      </c>
      <c r="H707" s="5" t="str">
        <f t="shared" si="150"/>
        <v>Junio</v>
      </c>
      <c r="I707" s="6" t="str">
        <f t="shared" si="153"/>
        <v>2024-1</v>
      </c>
      <c r="J707" s="5">
        <v>100</v>
      </c>
      <c r="K707" s="5">
        <v>100</v>
      </c>
      <c r="L707" s="15">
        <f>IFERROR(IF((K707/J707)&gt;1.3,1.3,K707/J707),"")</f>
        <v>1</v>
      </c>
      <c r="M707" s="15">
        <f t="shared" si="154"/>
        <v>1</v>
      </c>
      <c r="N707" s="5" t="s">
        <v>347</v>
      </c>
      <c r="O707" s="5" t="s">
        <v>347</v>
      </c>
      <c r="P707" s="5">
        <v>0</v>
      </c>
      <c r="Q707" s="5">
        <v>0</v>
      </c>
      <c r="R707" s="5" t="str">
        <f t="shared" si="156"/>
        <v>285-2024-06-30</v>
      </c>
    </row>
    <row r="708" spans="1:18" x14ac:dyDescent="0.3">
      <c r="A708" s="5">
        <v>285</v>
      </c>
      <c r="B708" s="5" t="s">
        <v>171</v>
      </c>
      <c r="C708" s="5" t="s">
        <v>162</v>
      </c>
      <c r="D708" s="5" t="s">
        <v>8</v>
      </c>
      <c r="E708" s="5" t="s">
        <v>9</v>
      </c>
      <c r="F708" s="6">
        <v>45657</v>
      </c>
      <c r="G708" s="5">
        <f t="shared" si="155"/>
        <v>2024</v>
      </c>
      <c r="H708" s="5" t="str">
        <f t="shared" si="150"/>
        <v>Diciembre</v>
      </c>
      <c r="I708" s="6" t="str">
        <f t="shared" si="153"/>
        <v>2024-2</v>
      </c>
      <c r="J708" s="5">
        <v>100</v>
      </c>
      <c r="K708" s="5">
        <v>100</v>
      </c>
      <c r="L708" s="15">
        <f>IFERROR(IF((K708/J708)&gt;1.3,1.3,K708/J708),"")</f>
        <v>1</v>
      </c>
      <c r="M708" s="15">
        <f t="shared" si="154"/>
        <v>1</v>
      </c>
      <c r="N708" s="5" t="s">
        <v>347</v>
      </c>
      <c r="O708" s="5" t="s">
        <v>347</v>
      </c>
      <c r="P708" s="5">
        <v>0</v>
      </c>
      <c r="Q708" s="5">
        <v>0</v>
      </c>
      <c r="R708" s="5" t="str">
        <f t="shared" si="156"/>
        <v>285-2024-12-31</v>
      </c>
    </row>
    <row r="709" spans="1:18" x14ac:dyDescent="0.3">
      <c r="A709" s="43">
        <v>286</v>
      </c>
      <c r="B709" s="5" t="s">
        <v>172</v>
      </c>
      <c r="C709" s="5" t="s">
        <v>162</v>
      </c>
      <c r="D709" s="5" t="s">
        <v>8</v>
      </c>
      <c r="E709" s="5" t="s">
        <v>9</v>
      </c>
      <c r="F709" s="6">
        <v>45107</v>
      </c>
      <c r="G709" s="5">
        <f t="shared" si="155"/>
        <v>2023</v>
      </c>
      <c r="H709" s="5" t="str">
        <f t="shared" si="150"/>
        <v>Junio</v>
      </c>
      <c r="I709" s="6" t="str">
        <f t="shared" si="153"/>
        <v>2023-1</v>
      </c>
      <c r="J709" s="5"/>
      <c r="K709" s="5">
        <v>1015</v>
      </c>
      <c r="L709" s="21" t="s">
        <v>417</v>
      </c>
      <c r="M709" s="15" t="str">
        <f t="shared" si="154"/>
        <v/>
      </c>
      <c r="N709" s="5"/>
      <c r="O709" s="5"/>
      <c r="P709" s="5">
        <v>0</v>
      </c>
      <c r="Q709" s="5">
        <v>0</v>
      </c>
      <c r="R709" s="5" t="str">
        <f t="shared" si="156"/>
        <v>286-2023-06-30</v>
      </c>
    </row>
    <row r="710" spans="1:18" x14ac:dyDescent="0.3">
      <c r="A710" s="39">
        <v>286</v>
      </c>
      <c r="B710" s="5" t="s">
        <v>172</v>
      </c>
      <c r="C710" s="5" t="s">
        <v>162</v>
      </c>
      <c r="D710" s="5" t="s">
        <v>8</v>
      </c>
      <c r="E710" s="5" t="s">
        <v>9</v>
      </c>
      <c r="F710" s="6">
        <v>45291</v>
      </c>
      <c r="G710" s="5">
        <f t="shared" si="155"/>
        <v>2023</v>
      </c>
      <c r="H710" s="5" t="str">
        <f t="shared" si="150"/>
        <v>Diciembre</v>
      </c>
      <c r="I710" s="6" t="str">
        <f t="shared" si="153"/>
        <v>2023-2</v>
      </c>
      <c r="J710" s="5"/>
      <c r="K710" s="5">
        <v>1017</v>
      </c>
      <c r="L710" s="21" t="str">
        <f>IFERROR(K710/J710,"")</f>
        <v/>
      </c>
      <c r="M710" s="15" t="str">
        <f t="shared" si="154"/>
        <v/>
      </c>
      <c r="N710" s="5"/>
      <c r="O710" s="5"/>
      <c r="P710" s="5">
        <v>0</v>
      </c>
      <c r="Q710" s="5">
        <v>0</v>
      </c>
      <c r="R710" s="5" t="str">
        <f t="shared" si="156"/>
        <v>286-2023-12-31</v>
      </c>
    </row>
    <row r="711" spans="1:18" x14ac:dyDescent="0.3">
      <c r="A711" s="5">
        <v>286</v>
      </c>
      <c r="B711" s="5" t="s">
        <v>172</v>
      </c>
      <c r="C711" s="5" t="s">
        <v>162</v>
      </c>
      <c r="D711" s="5" t="s">
        <v>8</v>
      </c>
      <c r="E711" s="5" t="s">
        <v>9</v>
      </c>
      <c r="F711" s="6">
        <v>45473</v>
      </c>
      <c r="G711" s="5">
        <f t="shared" si="155"/>
        <v>2024</v>
      </c>
      <c r="H711" s="5" t="str">
        <f t="shared" si="150"/>
        <v>Junio</v>
      </c>
      <c r="I711" s="6" t="str">
        <f t="shared" si="153"/>
        <v>2024-1</v>
      </c>
      <c r="J711" s="5">
        <v>0</v>
      </c>
      <c r="K711" s="5">
        <v>1074</v>
      </c>
      <c r="L711" s="15" t="str">
        <f>IFERROR(IF((K711/J711)&gt;1.3,1.3,K711/J711),"")</f>
        <v/>
      </c>
      <c r="M711" s="15" t="str">
        <f t="shared" si="154"/>
        <v/>
      </c>
      <c r="N711" s="5"/>
      <c r="O711" s="5"/>
      <c r="P711" s="5">
        <v>0</v>
      </c>
      <c r="Q711" s="5">
        <v>0</v>
      </c>
      <c r="R711" s="5" t="str">
        <f t="shared" si="156"/>
        <v>286-2024-06-30</v>
      </c>
    </row>
    <row r="712" spans="1:18" x14ac:dyDescent="0.3">
      <c r="A712" s="5">
        <v>286</v>
      </c>
      <c r="B712" s="5" t="s">
        <v>172</v>
      </c>
      <c r="C712" s="5" t="s">
        <v>162</v>
      </c>
      <c r="D712" s="5" t="s">
        <v>8</v>
      </c>
      <c r="E712" s="5" t="s">
        <v>9</v>
      </c>
      <c r="F712" s="6">
        <v>45657</v>
      </c>
      <c r="G712" s="5">
        <f t="shared" si="155"/>
        <v>2024</v>
      </c>
      <c r="H712" s="5" t="str">
        <f t="shared" si="150"/>
        <v>Diciembre</v>
      </c>
      <c r="I712" s="6" t="str">
        <f t="shared" si="153"/>
        <v>2024-2</v>
      </c>
      <c r="J712" s="5">
        <v>0</v>
      </c>
      <c r="K712" s="5">
        <v>1013</v>
      </c>
      <c r="L712" s="15" t="str">
        <f>IFERROR(IF((K712/J712)&gt;1.3,1.3,K712/J712),"")</f>
        <v/>
      </c>
      <c r="M712" s="15" t="str">
        <f t="shared" si="154"/>
        <v/>
      </c>
      <c r="N712" s="5"/>
      <c r="O712" s="5"/>
      <c r="P712" s="5">
        <v>0</v>
      </c>
      <c r="Q712" s="5">
        <v>0</v>
      </c>
      <c r="R712" s="5" t="str">
        <f t="shared" si="156"/>
        <v>286-2024-12-31</v>
      </c>
    </row>
    <row r="713" spans="1:18" x14ac:dyDescent="0.3">
      <c r="A713" s="43">
        <v>288</v>
      </c>
      <c r="B713" s="5" t="s">
        <v>173</v>
      </c>
      <c r="C713" s="5" t="s">
        <v>162</v>
      </c>
      <c r="D713" s="5" t="s">
        <v>8</v>
      </c>
      <c r="E713" s="5" t="s">
        <v>9</v>
      </c>
      <c r="F713" s="6">
        <v>45107</v>
      </c>
      <c r="G713" s="5">
        <f t="shared" si="155"/>
        <v>2023</v>
      </c>
      <c r="H713" s="5" t="str">
        <f t="shared" si="150"/>
        <v>Junio</v>
      </c>
      <c r="I713" s="6" t="str">
        <f t="shared" si="153"/>
        <v>2023-1</v>
      </c>
      <c r="J713" s="5">
        <v>16</v>
      </c>
      <c r="K713" s="5">
        <v>18</v>
      </c>
      <c r="L713" s="21" t="s">
        <v>417</v>
      </c>
      <c r="M713" s="15">
        <f t="shared" si="154"/>
        <v>1.125</v>
      </c>
      <c r="N713" s="5"/>
      <c r="O713" s="5"/>
      <c r="P713" s="5">
        <v>0</v>
      </c>
      <c r="Q713" s="5">
        <v>0</v>
      </c>
      <c r="R713" s="5" t="str">
        <f t="shared" si="156"/>
        <v>288-2023-06-30</v>
      </c>
    </row>
    <row r="714" spans="1:18" x14ac:dyDescent="0.3">
      <c r="A714" s="39">
        <v>288</v>
      </c>
      <c r="B714" s="5" t="s">
        <v>173</v>
      </c>
      <c r="C714" s="5" t="s">
        <v>162</v>
      </c>
      <c r="D714" s="5" t="s">
        <v>8</v>
      </c>
      <c r="E714" s="5" t="s">
        <v>9</v>
      </c>
      <c r="F714" s="6">
        <v>45291</v>
      </c>
      <c r="G714" s="5">
        <f t="shared" si="155"/>
        <v>2023</v>
      </c>
      <c r="H714" s="5" t="str">
        <f t="shared" si="150"/>
        <v>Diciembre</v>
      </c>
      <c r="I714" s="6" t="str">
        <f t="shared" si="153"/>
        <v>2023-2</v>
      </c>
      <c r="J714" s="5">
        <v>16</v>
      </c>
      <c r="K714" s="5">
        <v>18</v>
      </c>
      <c r="L714" s="21">
        <f>IFERROR(K714/J714,"")</f>
        <v>1.125</v>
      </c>
      <c r="M714" s="15">
        <f t="shared" si="154"/>
        <v>1.125</v>
      </c>
      <c r="N714" s="5"/>
      <c r="O714" s="5"/>
      <c r="P714" s="5">
        <v>0</v>
      </c>
      <c r="Q714" s="5">
        <v>0</v>
      </c>
      <c r="R714" s="5" t="str">
        <f t="shared" si="156"/>
        <v>288-2023-12-31</v>
      </c>
    </row>
    <row r="715" spans="1:18" x14ac:dyDescent="0.3">
      <c r="A715" s="5">
        <v>288</v>
      </c>
      <c r="B715" s="5" t="s">
        <v>173</v>
      </c>
      <c r="C715" s="5" t="s">
        <v>162</v>
      </c>
      <c r="D715" s="5" t="s">
        <v>8</v>
      </c>
      <c r="E715" s="5" t="s">
        <v>9</v>
      </c>
      <c r="F715" s="6">
        <v>45473</v>
      </c>
      <c r="G715" s="5">
        <f t="shared" si="155"/>
        <v>2024</v>
      </c>
      <c r="H715" s="5" t="str">
        <f t="shared" si="150"/>
        <v>Junio</v>
      </c>
      <c r="I715" s="6" t="str">
        <f t="shared" si="153"/>
        <v>2024-1</v>
      </c>
      <c r="J715" s="5">
        <v>85</v>
      </c>
      <c r="K715" s="5">
        <v>173.33</v>
      </c>
      <c r="L715" s="15">
        <f>IFERROR(IF((K715/J715)&gt;1.3,1.3,K715/J715),"")</f>
        <v>1.3</v>
      </c>
      <c r="M715" s="15">
        <f t="shared" si="154"/>
        <v>2.0391764705882354</v>
      </c>
      <c r="N715" s="5"/>
      <c r="O715" s="5"/>
      <c r="P715" s="5">
        <v>0</v>
      </c>
      <c r="Q715" s="5">
        <v>0</v>
      </c>
      <c r="R715" s="5" t="str">
        <f t="shared" si="156"/>
        <v>288-2024-06-30</v>
      </c>
    </row>
    <row r="716" spans="1:18" x14ac:dyDescent="0.3">
      <c r="A716" s="5">
        <v>288</v>
      </c>
      <c r="B716" s="5" t="s">
        <v>173</v>
      </c>
      <c r="C716" s="5" t="s">
        <v>162</v>
      </c>
      <c r="D716" s="5" t="s">
        <v>8</v>
      </c>
      <c r="E716" s="5" t="s">
        <v>9</v>
      </c>
      <c r="F716" s="6">
        <v>45657</v>
      </c>
      <c r="G716" s="5">
        <f t="shared" si="155"/>
        <v>2024</v>
      </c>
      <c r="H716" s="5" t="str">
        <f t="shared" si="150"/>
        <v>Diciembre</v>
      </c>
      <c r="I716" s="6" t="str">
        <f t="shared" si="153"/>
        <v>2024-2</v>
      </c>
      <c r="J716" s="5">
        <v>85</v>
      </c>
      <c r="K716" s="5"/>
      <c r="L716" s="15">
        <f>IFERROR(IF((K716/J716)&gt;1.3,1.3,K716/J716),"")</f>
        <v>0</v>
      </c>
      <c r="M716" s="15">
        <f t="shared" ref="M716:M747" si="157">IFERROR(K716/J716,"")</f>
        <v>0</v>
      </c>
      <c r="N716" s="5" t="s">
        <v>490</v>
      </c>
      <c r="O716" s="5" t="s">
        <v>81</v>
      </c>
      <c r="P716" s="5">
        <v>0</v>
      </c>
      <c r="Q716" s="5">
        <v>0</v>
      </c>
      <c r="R716" s="5" t="str">
        <f t="shared" si="156"/>
        <v>288-2024-12-31</v>
      </c>
    </row>
    <row r="717" spans="1:18" x14ac:dyDescent="0.3">
      <c r="A717" s="54">
        <v>289</v>
      </c>
      <c r="B717" s="5" t="s">
        <v>174</v>
      </c>
      <c r="C717" s="5" t="s">
        <v>45</v>
      </c>
      <c r="D717" s="5" t="s">
        <v>11</v>
      </c>
      <c r="E717" s="5" t="s">
        <v>9</v>
      </c>
      <c r="F717" s="6">
        <v>45016</v>
      </c>
      <c r="G717" s="5">
        <f t="shared" si="155"/>
        <v>2023</v>
      </c>
      <c r="H717" s="5" t="str">
        <f t="shared" si="150"/>
        <v>Marzo</v>
      </c>
      <c r="I717" s="6" t="str">
        <f t="shared" si="153"/>
        <v>2023-1</v>
      </c>
      <c r="J717" s="5">
        <v>95</v>
      </c>
      <c r="K717" s="5">
        <v>0</v>
      </c>
      <c r="L717" s="21">
        <f>IFERROR(K717/J717,"")</f>
        <v>0</v>
      </c>
      <c r="M717" s="15">
        <f t="shared" si="157"/>
        <v>0</v>
      </c>
      <c r="N717" s="5" t="s">
        <v>81</v>
      </c>
      <c r="O717" s="5" t="s">
        <v>81</v>
      </c>
      <c r="P717" s="5">
        <v>0</v>
      </c>
      <c r="Q717" s="5">
        <v>0</v>
      </c>
      <c r="R717" s="5" t="str">
        <f t="shared" si="156"/>
        <v>289-2023-03-31</v>
      </c>
    </row>
    <row r="718" spans="1:18" x14ac:dyDescent="0.3">
      <c r="A718" s="39">
        <v>289</v>
      </c>
      <c r="B718" s="5" t="s">
        <v>174</v>
      </c>
      <c r="C718" s="5" t="s">
        <v>45</v>
      </c>
      <c r="D718" s="5" t="s">
        <v>11</v>
      </c>
      <c r="E718" s="5" t="s">
        <v>9</v>
      </c>
      <c r="F718" s="6">
        <v>45107</v>
      </c>
      <c r="G718" s="5">
        <f t="shared" si="155"/>
        <v>2023</v>
      </c>
      <c r="H718" s="5" t="str">
        <f t="shared" si="150"/>
        <v>Junio</v>
      </c>
      <c r="I718" s="6" t="str">
        <f t="shared" si="153"/>
        <v>2023-1</v>
      </c>
      <c r="J718" s="5">
        <v>95</v>
      </c>
      <c r="K718" s="5">
        <v>85.714285714286007</v>
      </c>
      <c r="L718" s="21">
        <f>IFERROR(K718/J718,"")</f>
        <v>0.90225563909774742</v>
      </c>
      <c r="M718" s="15">
        <f t="shared" si="157"/>
        <v>0.90225563909774742</v>
      </c>
      <c r="N718" s="5" t="s">
        <v>347</v>
      </c>
      <c r="O718" s="5" t="s">
        <v>347</v>
      </c>
      <c r="P718" s="5">
        <v>0</v>
      </c>
      <c r="Q718" s="5">
        <v>0</v>
      </c>
      <c r="R718" s="5" t="str">
        <f t="shared" si="156"/>
        <v>289-2023-06-30</v>
      </c>
    </row>
    <row r="719" spans="1:18" x14ac:dyDescent="0.3">
      <c r="A719" s="43">
        <v>289</v>
      </c>
      <c r="B719" s="5" t="s">
        <v>174</v>
      </c>
      <c r="C719" s="5" t="s">
        <v>45</v>
      </c>
      <c r="D719" s="5" t="s">
        <v>11</v>
      </c>
      <c r="E719" s="5" t="s">
        <v>9</v>
      </c>
      <c r="F719" s="6">
        <v>45199</v>
      </c>
      <c r="G719" s="5">
        <f t="shared" si="155"/>
        <v>2023</v>
      </c>
      <c r="H719" s="5" t="str">
        <f t="shared" si="150"/>
        <v>Septiembre</v>
      </c>
      <c r="I719" s="6" t="str">
        <f t="shared" si="153"/>
        <v>2023-2</v>
      </c>
      <c r="J719" s="5">
        <v>95</v>
      </c>
      <c r="K719" s="5">
        <v>87.5</v>
      </c>
      <c r="L719" s="21">
        <f>IFERROR(K719/J719,"")</f>
        <v>0.92105263157894735</v>
      </c>
      <c r="M719" s="15">
        <f t="shared" si="157"/>
        <v>0.92105263157894735</v>
      </c>
      <c r="N719" s="5" t="s">
        <v>347</v>
      </c>
      <c r="O719" s="5" t="s">
        <v>347</v>
      </c>
      <c r="P719" s="5">
        <v>0</v>
      </c>
      <c r="Q719" s="5">
        <v>0</v>
      </c>
      <c r="R719" s="5" t="str">
        <f t="shared" si="156"/>
        <v>289-2023-09-30</v>
      </c>
    </row>
    <row r="720" spans="1:18" x14ac:dyDescent="0.3">
      <c r="A720" s="39">
        <v>289</v>
      </c>
      <c r="B720" s="5" t="s">
        <v>174</v>
      </c>
      <c r="C720" s="5" t="s">
        <v>45</v>
      </c>
      <c r="D720" s="5" t="s">
        <v>11</v>
      </c>
      <c r="E720" s="5" t="s">
        <v>9</v>
      </c>
      <c r="F720" s="6">
        <v>45291</v>
      </c>
      <c r="G720" s="5">
        <f t="shared" si="155"/>
        <v>2023</v>
      </c>
      <c r="H720" s="5" t="str">
        <f t="shared" si="150"/>
        <v>Diciembre</v>
      </c>
      <c r="I720" s="6" t="str">
        <f t="shared" si="153"/>
        <v>2023-2</v>
      </c>
      <c r="J720" s="5">
        <v>95</v>
      </c>
      <c r="K720" s="5">
        <v>87.5</v>
      </c>
      <c r="L720" s="21">
        <f>IFERROR(K720/J720,"")</f>
        <v>0.92105263157894735</v>
      </c>
      <c r="M720" s="15">
        <f t="shared" si="157"/>
        <v>0.92105263157894735</v>
      </c>
      <c r="N720" s="5" t="s">
        <v>347</v>
      </c>
      <c r="O720" s="5" t="s">
        <v>347</v>
      </c>
      <c r="P720" s="5">
        <v>0</v>
      </c>
      <c r="Q720" s="5">
        <v>0</v>
      </c>
      <c r="R720" s="5" t="str">
        <f t="shared" si="156"/>
        <v>289-2023-12-31</v>
      </c>
    </row>
    <row r="721" spans="1:18" x14ac:dyDescent="0.3">
      <c r="A721" s="5">
        <v>289</v>
      </c>
      <c r="B721" s="5" t="s">
        <v>174</v>
      </c>
      <c r="C721" s="5" t="s">
        <v>45</v>
      </c>
      <c r="D721" s="5" t="s">
        <v>11</v>
      </c>
      <c r="E721" s="5" t="s">
        <v>9</v>
      </c>
      <c r="F721" s="6">
        <v>45473</v>
      </c>
      <c r="G721" s="5">
        <f t="shared" si="155"/>
        <v>2024</v>
      </c>
      <c r="H721" s="5" t="str">
        <f t="shared" si="150"/>
        <v>Junio</v>
      </c>
      <c r="I721" s="6" t="str">
        <f t="shared" si="153"/>
        <v>2024-1</v>
      </c>
      <c r="J721" s="5">
        <v>95</v>
      </c>
      <c r="K721" s="5">
        <v>100</v>
      </c>
      <c r="L721" s="15">
        <f>IFERROR(IF((K721/J721)&gt;1.3,1.3,K721/J721),"")</f>
        <v>1.0526315789473684</v>
      </c>
      <c r="M721" s="15">
        <f t="shared" si="157"/>
        <v>1.0526315789473684</v>
      </c>
      <c r="N721" s="5"/>
      <c r="O721" s="5"/>
      <c r="P721" s="5">
        <v>0</v>
      </c>
      <c r="Q721" s="5">
        <v>0</v>
      </c>
      <c r="R721" s="5" t="str">
        <f t="shared" si="156"/>
        <v>289-2024-06-30</v>
      </c>
    </row>
    <row r="722" spans="1:18" x14ac:dyDescent="0.3">
      <c r="A722" s="5">
        <v>289</v>
      </c>
      <c r="B722" s="5" t="s">
        <v>174</v>
      </c>
      <c r="C722" s="5" t="s">
        <v>45</v>
      </c>
      <c r="D722" s="5" t="s">
        <v>11</v>
      </c>
      <c r="E722" s="5" t="s">
        <v>9</v>
      </c>
      <c r="F722" s="6">
        <v>45657</v>
      </c>
      <c r="G722" s="5">
        <f t="shared" si="155"/>
        <v>2024</v>
      </c>
      <c r="H722" s="5" t="str">
        <f t="shared" si="150"/>
        <v>Diciembre</v>
      </c>
      <c r="I722" s="6" t="str">
        <f t="shared" si="153"/>
        <v>2024-2</v>
      </c>
      <c r="J722" s="5">
        <v>95</v>
      </c>
      <c r="K722" s="5">
        <v>100</v>
      </c>
      <c r="L722" s="15">
        <f>IFERROR(IF((K722/J722)&gt;1.3,1.3,K722/J722),"")</f>
        <v>1.0526315789473684</v>
      </c>
      <c r="M722" s="15">
        <f t="shared" si="157"/>
        <v>1.0526315789473684</v>
      </c>
      <c r="N722" s="5"/>
      <c r="O722" s="5"/>
      <c r="P722" s="5">
        <v>0</v>
      </c>
      <c r="Q722" s="5">
        <v>0</v>
      </c>
      <c r="R722" s="5" t="str">
        <f t="shared" si="156"/>
        <v>289-2024-12-31</v>
      </c>
    </row>
    <row r="723" spans="1:18" x14ac:dyDescent="0.3">
      <c r="A723" s="5">
        <v>290</v>
      </c>
      <c r="B723" s="5" t="s">
        <v>175</v>
      </c>
      <c r="C723" s="5" t="s">
        <v>114</v>
      </c>
      <c r="D723" s="5" t="s">
        <v>21</v>
      </c>
      <c r="E723" s="5" t="s">
        <v>9</v>
      </c>
      <c r="F723" s="6">
        <v>45107</v>
      </c>
      <c r="G723" s="16">
        <f t="shared" si="155"/>
        <v>2023</v>
      </c>
      <c r="H723" s="6" t="str">
        <f t="shared" si="150"/>
        <v>Junio</v>
      </c>
      <c r="I723" s="6" t="s">
        <v>434</v>
      </c>
      <c r="J723" s="5">
        <v>90</v>
      </c>
      <c r="K723" s="5">
        <v>100</v>
      </c>
      <c r="L723" s="21">
        <f>IFERROR(K723/J723,"")</f>
        <v>1.1111111111111112</v>
      </c>
      <c r="M723" s="15">
        <f t="shared" si="157"/>
        <v>1.1111111111111112</v>
      </c>
      <c r="N723" s="5"/>
      <c r="O723" s="5"/>
      <c r="P723" s="5">
        <v>1</v>
      </c>
      <c r="Q723" s="5">
        <v>1</v>
      </c>
      <c r="R723" s="5" t="str">
        <f t="shared" si="156"/>
        <v>290-2023-06-30</v>
      </c>
    </row>
    <row r="724" spans="1:18" x14ac:dyDescent="0.3">
      <c r="A724" s="39">
        <v>290</v>
      </c>
      <c r="B724" s="5" t="s">
        <v>175</v>
      </c>
      <c r="C724" s="5" t="s">
        <v>114</v>
      </c>
      <c r="D724" s="5" t="s">
        <v>21</v>
      </c>
      <c r="E724" s="5" t="s">
        <v>9</v>
      </c>
      <c r="F724" s="6">
        <v>45168</v>
      </c>
      <c r="G724" s="5">
        <f t="shared" si="155"/>
        <v>2023</v>
      </c>
      <c r="H724" s="5" t="str">
        <f t="shared" si="150"/>
        <v>Agosto</v>
      </c>
      <c r="I724" s="6" t="str">
        <f>IF(OR(H724="Enero",H724="Febrero",H724="Marzo",H724="Abril",H724="Mayo",H724="Junio"),G724&amp;"-1",IF(OR(H724="Julio",H724="Agosto",H724="Septiembre",H724="Octubre",H724="Noviembre",H724="Diciembre"),G724&amp;"-2"))</f>
        <v>2023-2</v>
      </c>
      <c r="J724" s="5">
        <v>90</v>
      </c>
      <c r="K724" s="5">
        <v>81.819999999999993</v>
      </c>
      <c r="L724" s="21">
        <f>IFERROR(K724/J724,"")</f>
        <v>0.90911111111111098</v>
      </c>
      <c r="M724" s="15">
        <f t="shared" si="157"/>
        <v>0.90911111111111098</v>
      </c>
      <c r="N724" s="5"/>
      <c r="O724" s="5"/>
      <c r="P724" s="5">
        <v>1</v>
      </c>
      <c r="Q724" s="5">
        <v>1</v>
      </c>
      <c r="R724" s="5" t="str">
        <f t="shared" si="156"/>
        <v>290-2023-08-30</v>
      </c>
    </row>
    <row r="725" spans="1:18" x14ac:dyDescent="0.3">
      <c r="A725" s="5">
        <v>290</v>
      </c>
      <c r="B725" s="5" t="s">
        <v>175</v>
      </c>
      <c r="C725" s="5" t="s">
        <v>114</v>
      </c>
      <c r="D725" s="5" t="s">
        <v>21</v>
      </c>
      <c r="E725" s="5" t="s">
        <v>9</v>
      </c>
      <c r="F725" s="6">
        <v>45230</v>
      </c>
      <c r="G725" s="16">
        <f t="shared" si="155"/>
        <v>2023</v>
      </c>
      <c r="H725" s="6" t="str">
        <f t="shared" si="150"/>
        <v>Octubre</v>
      </c>
      <c r="I725" s="6" t="s">
        <v>434</v>
      </c>
      <c r="J725" s="5">
        <v>90</v>
      </c>
      <c r="K725" s="5">
        <v>90.91</v>
      </c>
      <c r="L725" s="21">
        <f>IFERROR(K725/J725,"")</f>
        <v>1.0101111111111112</v>
      </c>
      <c r="M725" s="15">
        <f t="shared" si="157"/>
        <v>1.0101111111111112</v>
      </c>
      <c r="N725" s="5"/>
      <c r="O725" s="5"/>
      <c r="P725" s="5">
        <v>1</v>
      </c>
      <c r="Q725" s="5">
        <v>1</v>
      </c>
      <c r="R725" s="5" t="str">
        <f t="shared" si="156"/>
        <v>290-2023-10-31</v>
      </c>
    </row>
    <row r="726" spans="1:18" x14ac:dyDescent="0.3">
      <c r="A726" s="5">
        <v>290</v>
      </c>
      <c r="B726" s="5" t="s">
        <v>175</v>
      </c>
      <c r="C726" s="5" t="s">
        <v>114</v>
      </c>
      <c r="D726" s="5" t="s">
        <v>21</v>
      </c>
      <c r="E726" s="5" t="s">
        <v>9</v>
      </c>
      <c r="F726" s="6">
        <v>45291</v>
      </c>
      <c r="G726" s="16">
        <f t="shared" si="155"/>
        <v>2023</v>
      </c>
      <c r="H726" s="6" t="str">
        <f t="shared" si="150"/>
        <v>Diciembre</v>
      </c>
      <c r="I726" s="6" t="s">
        <v>434</v>
      </c>
      <c r="J726" s="5">
        <v>90</v>
      </c>
      <c r="K726" s="5"/>
      <c r="L726" s="21">
        <f>IFERROR(K726/J726,"")</f>
        <v>0</v>
      </c>
      <c r="M726" s="15">
        <f t="shared" si="157"/>
        <v>0</v>
      </c>
      <c r="N726" s="5"/>
      <c r="O726" s="5"/>
      <c r="P726" s="5">
        <v>1</v>
      </c>
      <c r="Q726" s="5">
        <v>1</v>
      </c>
      <c r="R726" s="5" t="str">
        <f t="shared" si="156"/>
        <v>290-2023-12-31</v>
      </c>
    </row>
    <row r="727" spans="1:18" x14ac:dyDescent="0.3">
      <c r="A727" s="5">
        <v>290</v>
      </c>
      <c r="B727" s="5" t="s">
        <v>175</v>
      </c>
      <c r="C727" s="5" t="s">
        <v>114</v>
      </c>
      <c r="D727" s="5" t="s">
        <v>21</v>
      </c>
      <c r="E727" s="5" t="s">
        <v>9</v>
      </c>
      <c r="F727" s="6">
        <v>45473</v>
      </c>
      <c r="G727" s="5">
        <f t="shared" si="155"/>
        <v>2024</v>
      </c>
      <c r="H727" s="5" t="str">
        <f t="shared" si="150"/>
        <v>Junio</v>
      </c>
      <c r="I727" s="6" t="str">
        <f t="shared" ref="I727:I758" si="158">IF(OR(H727="Enero",H727="Febrero",H727="Marzo",H727="Abril",H727="Mayo",H727="Junio"),G727&amp;"-1",IF(OR(H727="Julio",H727="Agosto",H727="Septiembre",H727="Octubre",H727="Noviembre",H727="Diciembre"),G727&amp;"-2"))</f>
        <v>2024-1</v>
      </c>
      <c r="J727" s="5">
        <v>90</v>
      </c>
      <c r="K727" s="5">
        <v>100</v>
      </c>
      <c r="L727" s="15">
        <f>IFERROR(IF((K727/J727)&gt;1.3,1.3,K727/J727),"")</f>
        <v>1.1111111111111112</v>
      </c>
      <c r="M727" s="15">
        <f t="shared" si="157"/>
        <v>1.1111111111111112</v>
      </c>
      <c r="N727" s="5"/>
      <c r="O727" s="5"/>
      <c r="P727" s="5">
        <v>0</v>
      </c>
      <c r="Q727" s="5">
        <v>0</v>
      </c>
      <c r="R727" s="5" t="str">
        <f t="shared" si="156"/>
        <v>290-2024-06-30</v>
      </c>
    </row>
    <row r="728" spans="1:18" x14ac:dyDescent="0.3">
      <c r="A728" s="5">
        <v>290</v>
      </c>
      <c r="B728" s="5" t="s">
        <v>175</v>
      </c>
      <c r="C728" s="5" t="s">
        <v>114</v>
      </c>
      <c r="D728" s="5" t="s">
        <v>21</v>
      </c>
      <c r="E728" s="5" t="s">
        <v>9</v>
      </c>
      <c r="F728" s="6">
        <v>45657</v>
      </c>
      <c r="G728" s="5">
        <f t="shared" si="155"/>
        <v>2024</v>
      </c>
      <c r="H728" s="5" t="str">
        <f t="shared" si="150"/>
        <v>Diciembre</v>
      </c>
      <c r="I728" s="6" t="str">
        <f t="shared" si="158"/>
        <v>2024-2</v>
      </c>
      <c r="J728" s="5">
        <v>90</v>
      </c>
      <c r="K728" s="5">
        <v>100</v>
      </c>
      <c r="L728" s="15">
        <f>IFERROR(IF((K728/J728)&gt;1.3,1.3,K728/J728),"")</f>
        <v>1.1111111111111112</v>
      </c>
      <c r="M728" s="15">
        <f t="shared" si="157"/>
        <v>1.1111111111111112</v>
      </c>
      <c r="N728" s="5"/>
      <c r="O728" s="5"/>
      <c r="P728" s="5">
        <v>0</v>
      </c>
      <c r="Q728" s="5">
        <v>0</v>
      </c>
      <c r="R728" s="5" t="str">
        <f t="shared" si="156"/>
        <v>290-2024-12-31</v>
      </c>
    </row>
    <row r="729" spans="1:18" x14ac:dyDescent="0.3">
      <c r="A729" s="43">
        <v>291</v>
      </c>
      <c r="B729" s="5" t="s">
        <v>176</v>
      </c>
      <c r="C729" s="5" t="s">
        <v>177</v>
      </c>
      <c r="D729" s="5" t="s">
        <v>8</v>
      </c>
      <c r="E729" s="5" t="s">
        <v>9</v>
      </c>
      <c r="F729" s="6">
        <v>45107</v>
      </c>
      <c r="G729" s="5">
        <f t="shared" si="155"/>
        <v>2023</v>
      </c>
      <c r="H729" s="5" t="str">
        <f t="shared" si="150"/>
        <v>Junio</v>
      </c>
      <c r="I729" s="6" t="str">
        <f t="shared" si="158"/>
        <v>2023-1</v>
      </c>
      <c r="J729" s="5">
        <v>100</v>
      </c>
      <c r="K729" s="5">
        <v>100</v>
      </c>
      <c r="L729" s="21">
        <f>IFERROR(K729/J729,"")</f>
        <v>1</v>
      </c>
      <c r="M729" s="15">
        <f t="shared" si="157"/>
        <v>1</v>
      </c>
      <c r="N729" s="5" t="s">
        <v>347</v>
      </c>
      <c r="O729" s="5" t="s">
        <v>347</v>
      </c>
      <c r="P729" s="5">
        <v>0</v>
      </c>
      <c r="Q729" s="5">
        <v>0</v>
      </c>
      <c r="R729" s="5" t="str">
        <f t="shared" si="156"/>
        <v>291-2023-06-30</v>
      </c>
    </row>
    <row r="730" spans="1:18" x14ac:dyDescent="0.3">
      <c r="A730" s="39">
        <v>291</v>
      </c>
      <c r="B730" s="5" t="s">
        <v>176</v>
      </c>
      <c r="C730" s="5" t="s">
        <v>177</v>
      </c>
      <c r="D730" s="5" t="s">
        <v>8</v>
      </c>
      <c r="E730" s="5" t="s">
        <v>9</v>
      </c>
      <c r="F730" s="6">
        <v>45291</v>
      </c>
      <c r="G730" s="5">
        <f t="shared" si="155"/>
        <v>2023</v>
      </c>
      <c r="H730" s="5" t="str">
        <f t="shared" si="150"/>
        <v>Diciembre</v>
      </c>
      <c r="I730" s="6" t="str">
        <f t="shared" si="158"/>
        <v>2023-2</v>
      </c>
      <c r="J730" s="5">
        <v>100</v>
      </c>
      <c r="K730" s="5">
        <v>100</v>
      </c>
      <c r="L730" s="21">
        <f>IFERROR(K730/J730,"")</f>
        <v>1</v>
      </c>
      <c r="M730" s="15">
        <f t="shared" si="157"/>
        <v>1</v>
      </c>
      <c r="N730" s="5" t="s">
        <v>347</v>
      </c>
      <c r="O730" s="5" t="s">
        <v>347</v>
      </c>
      <c r="P730" s="5">
        <v>0</v>
      </c>
      <c r="Q730" s="5">
        <v>0</v>
      </c>
      <c r="R730" s="5" t="str">
        <f t="shared" si="156"/>
        <v>291-2023-12-31</v>
      </c>
    </row>
    <row r="731" spans="1:18" x14ac:dyDescent="0.3">
      <c r="A731" s="5">
        <v>291</v>
      </c>
      <c r="B731" s="5" t="s">
        <v>176</v>
      </c>
      <c r="C731" s="5" t="s">
        <v>177</v>
      </c>
      <c r="D731" s="5" t="s">
        <v>8</v>
      </c>
      <c r="E731" s="5" t="s">
        <v>9</v>
      </c>
      <c r="F731" s="6">
        <v>45473</v>
      </c>
      <c r="G731" s="5">
        <f t="shared" si="155"/>
        <v>2024</v>
      </c>
      <c r="H731" s="5" t="str">
        <f t="shared" si="150"/>
        <v>Junio</v>
      </c>
      <c r="I731" s="6" t="str">
        <f t="shared" si="158"/>
        <v>2024-1</v>
      </c>
      <c r="J731" s="5">
        <v>100</v>
      </c>
      <c r="K731" s="5">
        <v>100</v>
      </c>
      <c r="L731" s="15">
        <f>IFERROR(IF((K731/J731)&gt;1.3,1.3,K731/J731),"")</f>
        <v>1</v>
      </c>
      <c r="M731" s="15">
        <f t="shared" si="157"/>
        <v>1</v>
      </c>
      <c r="N731" s="5"/>
      <c r="O731" s="5"/>
      <c r="P731" s="5">
        <v>0</v>
      </c>
      <c r="Q731" s="5">
        <v>0</v>
      </c>
      <c r="R731" s="5" t="str">
        <f t="shared" si="156"/>
        <v>291-2024-06-30</v>
      </c>
    </row>
    <row r="732" spans="1:18" x14ac:dyDescent="0.3">
      <c r="A732" s="5">
        <v>291</v>
      </c>
      <c r="B732" s="5" t="s">
        <v>176</v>
      </c>
      <c r="C732" s="5" t="s">
        <v>177</v>
      </c>
      <c r="D732" s="5" t="s">
        <v>8</v>
      </c>
      <c r="E732" s="5" t="s">
        <v>9</v>
      </c>
      <c r="F732" s="6">
        <v>45657</v>
      </c>
      <c r="G732" s="5">
        <f t="shared" si="155"/>
        <v>2024</v>
      </c>
      <c r="H732" s="5" t="str">
        <f t="shared" si="150"/>
        <v>Diciembre</v>
      </c>
      <c r="I732" s="6" t="str">
        <f t="shared" si="158"/>
        <v>2024-2</v>
      </c>
      <c r="J732" s="5">
        <v>100</v>
      </c>
      <c r="K732" s="5">
        <v>100</v>
      </c>
      <c r="L732" s="15">
        <f>IFERROR(IF((K732/J732)&gt;1.3,1.3,K732/J732),"")</f>
        <v>1</v>
      </c>
      <c r="M732" s="15">
        <f t="shared" si="157"/>
        <v>1</v>
      </c>
      <c r="N732" s="5"/>
      <c r="O732" s="5"/>
      <c r="P732" s="5">
        <v>0</v>
      </c>
      <c r="Q732" s="5">
        <v>0</v>
      </c>
      <c r="R732" s="5" t="str">
        <f t="shared" si="156"/>
        <v>291-2024-12-31</v>
      </c>
    </row>
    <row r="733" spans="1:18" x14ac:dyDescent="0.3">
      <c r="A733" s="43">
        <v>292</v>
      </c>
      <c r="B733" s="5" t="s">
        <v>178</v>
      </c>
      <c r="C733" s="5" t="s">
        <v>177</v>
      </c>
      <c r="D733" s="5" t="s">
        <v>8</v>
      </c>
      <c r="E733" s="5" t="s">
        <v>9</v>
      </c>
      <c r="F733" s="6">
        <v>45107</v>
      </c>
      <c r="G733" s="5">
        <f t="shared" si="155"/>
        <v>2023</v>
      </c>
      <c r="H733" s="5" t="str">
        <f t="shared" si="150"/>
        <v>Junio</v>
      </c>
      <c r="I733" s="6" t="str">
        <f t="shared" si="158"/>
        <v>2023-1</v>
      </c>
      <c r="J733" s="5">
        <v>3</v>
      </c>
      <c r="K733" s="5">
        <v>10.990099009901</v>
      </c>
      <c r="L733" s="8">
        <f>IF(IFERROR(K733/J733,"")&gt;130%,130%,K733/J733)</f>
        <v>1.3</v>
      </c>
      <c r="M733" s="15">
        <f t="shared" si="157"/>
        <v>3.6633663366336666</v>
      </c>
      <c r="N733" s="5" t="s">
        <v>347</v>
      </c>
      <c r="O733" s="5" t="s">
        <v>347</v>
      </c>
      <c r="P733" s="5">
        <v>0</v>
      </c>
      <c r="Q733" s="5">
        <v>0</v>
      </c>
      <c r="R733" s="5" t="str">
        <f t="shared" si="156"/>
        <v>292-2023-06-30</v>
      </c>
    </row>
    <row r="734" spans="1:18" x14ac:dyDescent="0.3">
      <c r="A734" s="39">
        <v>292</v>
      </c>
      <c r="B734" s="5" t="s">
        <v>178</v>
      </c>
      <c r="C734" s="5" t="s">
        <v>177</v>
      </c>
      <c r="D734" s="5" t="s">
        <v>8</v>
      </c>
      <c r="E734" s="5" t="s">
        <v>9</v>
      </c>
      <c r="F734" s="6">
        <v>45291</v>
      </c>
      <c r="G734" s="5">
        <f t="shared" si="155"/>
        <v>2023</v>
      </c>
      <c r="H734" s="5" t="str">
        <f t="shared" si="150"/>
        <v>Diciembre</v>
      </c>
      <c r="I734" s="6" t="str">
        <f t="shared" si="158"/>
        <v>2023-2</v>
      </c>
      <c r="J734" s="5">
        <v>3</v>
      </c>
      <c r="K734" s="5">
        <v>27.66</v>
      </c>
      <c r="L734" s="8">
        <f>IF(IFERROR(K734/J734,"")&gt;130%,130%,K734/J734)</f>
        <v>1.3</v>
      </c>
      <c r="M734" s="15">
        <f t="shared" si="157"/>
        <v>9.2200000000000006</v>
      </c>
      <c r="N734" s="5" t="s">
        <v>347</v>
      </c>
      <c r="O734" s="5" t="s">
        <v>347</v>
      </c>
      <c r="P734" s="5">
        <v>0</v>
      </c>
      <c r="Q734" s="5">
        <v>0</v>
      </c>
      <c r="R734" s="5" t="str">
        <f t="shared" si="156"/>
        <v>292-2023-12-31</v>
      </c>
    </row>
    <row r="735" spans="1:18" x14ac:dyDescent="0.3">
      <c r="A735" s="5">
        <v>292</v>
      </c>
      <c r="B735" s="5" t="s">
        <v>729</v>
      </c>
      <c r="C735" s="5" t="s">
        <v>177</v>
      </c>
      <c r="D735" s="5" t="s">
        <v>8</v>
      </c>
      <c r="E735" s="5" t="s">
        <v>9</v>
      </c>
      <c r="F735" s="6">
        <v>45473</v>
      </c>
      <c r="G735" s="5">
        <f t="shared" si="155"/>
        <v>2024</v>
      </c>
      <c r="H735" s="5" t="str">
        <f t="shared" si="150"/>
        <v>Junio</v>
      </c>
      <c r="I735" s="6" t="str">
        <f t="shared" si="158"/>
        <v>2024-1</v>
      </c>
      <c r="J735" s="5">
        <v>3</v>
      </c>
      <c r="K735" s="5">
        <v>23.313905079100699</v>
      </c>
      <c r="L735" s="15">
        <f>IFERROR(IF((K735/J735)&gt;1.3,1.3,K735/J735),"")</f>
        <v>1.3</v>
      </c>
      <c r="M735" s="15">
        <f t="shared" si="157"/>
        <v>7.7713016930335668</v>
      </c>
      <c r="N735" s="5" t="s">
        <v>347</v>
      </c>
      <c r="O735" s="5" t="s">
        <v>347</v>
      </c>
      <c r="P735" s="5">
        <v>0</v>
      </c>
      <c r="Q735" s="5">
        <v>0</v>
      </c>
      <c r="R735" s="5" t="str">
        <f t="shared" si="156"/>
        <v>292-2024-06-30</v>
      </c>
    </row>
    <row r="736" spans="1:18" x14ac:dyDescent="0.3">
      <c r="A736" s="5">
        <v>292</v>
      </c>
      <c r="B736" s="5" t="s">
        <v>729</v>
      </c>
      <c r="C736" s="5" t="s">
        <v>177</v>
      </c>
      <c r="D736" s="5" t="s">
        <v>8</v>
      </c>
      <c r="E736" s="5" t="s">
        <v>9</v>
      </c>
      <c r="F736" s="6">
        <v>45657</v>
      </c>
      <c r="G736" s="5">
        <f t="shared" si="155"/>
        <v>2024</v>
      </c>
      <c r="H736" s="5" t="str">
        <f t="shared" ref="H736:H799" si="159">PROPER(TEXT(F736,"mmmm"))</f>
        <v>Diciembre</v>
      </c>
      <c r="I736" s="6" t="str">
        <f t="shared" si="158"/>
        <v>2024-2</v>
      </c>
      <c r="J736" s="5">
        <v>3</v>
      </c>
      <c r="K736" s="5">
        <v>14.263862332695901</v>
      </c>
      <c r="L736" s="15">
        <f>IFERROR(IF((K736/J736)&gt;1.3,1.3,K736/J736),"")</f>
        <v>1.3</v>
      </c>
      <c r="M736" s="15">
        <f t="shared" si="157"/>
        <v>4.7546207775653002</v>
      </c>
      <c r="N736" s="5" t="s">
        <v>347</v>
      </c>
      <c r="O736" s="5" t="s">
        <v>347</v>
      </c>
      <c r="P736" s="5">
        <v>0</v>
      </c>
      <c r="Q736" s="5">
        <v>0</v>
      </c>
      <c r="R736" s="5" t="str">
        <f t="shared" si="156"/>
        <v>292-2024-12-31</v>
      </c>
    </row>
    <row r="737" spans="1:18" x14ac:dyDescent="0.3">
      <c r="A737" s="43">
        <v>293</v>
      </c>
      <c r="B737" s="5" t="s">
        <v>179</v>
      </c>
      <c r="C737" s="5" t="s">
        <v>177</v>
      </c>
      <c r="D737" s="5" t="s">
        <v>8</v>
      </c>
      <c r="E737" s="5" t="s">
        <v>9</v>
      </c>
      <c r="F737" s="6">
        <v>45107</v>
      </c>
      <c r="G737" s="5">
        <f t="shared" si="155"/>
        <v>2023</v>
      </c>
      <c r="H737" s="5" t="str">
        <f t="shared" si="159"/>
        <v>Junio</v>
      </c>
      <c r="I737" s="6" t="str">
        <f t="shared" si="158"/>
        <v>2023-1</v>
      </c>
      <c r="J737" s="5">
        <v>100</v>
      </c>
      <c r="K737" s="5">
        <v>100</v>
      </c>
      <c r="L737" s="21">
        <f>IFERROR(K737/J737,"")</f>
        <v>1</v>
      </c>
      <c r="M737" s="15">
        <f t="shared" si="157"/>
        <v>1</v>
      </c>
      <c r="N737" s="5" t="s">
        <v>347</v>
      </c>
      <c r="O737" s="5" t="s">
        <v>347</v>
      </c>
      <c r="P737" s="5">
        <v>0</v>
      </c>
      <c r="Q737" s="5">
        <v>0</v>
      </c>
      <c r="R737" s="5" t="str">
        <f t="shared" si="156"/>
        <v>293-2023-06-30</v>
      </c>
    </row>
    <row r="738" spans="1:18" x14ac:dyDescent="0.3">
      <c r="A738" s="39">
        <v>293</v>
      </c>
      <c r="B738" s="5" t="s">
        <v>179</v>
      </c>
      <c r="C738" s="5" t="s">
        <v>177</v>
      </c>
      <c r="D738" s="5" t="s">
        <v>8</v>
      </c>
      <c r="E738" s="5" t="s">
        <v>9</v>
      </c>
      <c r="F738" s="6">
        <v>45291</v>
      </c>
      <c r="G738" s="5">
        <f t="shared" si="155"/>
        <v>2023</v>
      </c>
      <c r="H738" s="5" t="str">
        <f t="shared" si="159"/>
        <v>Diciembre</v>
      </c>
      <c r="I738" s="6" t="str">
        <f t="shared" si="158"/>
        <v>2023-2</v>
      </c>
      <c r="J738" s="5">
        <v>100</v>
      </c>
      <c r="K738" s="5">
        <v>100</v>
      </c>
      <c r="L738" s="21">
        <f>IFERROR(K738/J738,"")</f>
        <v>1</v>
      </c>
      <c r="M738" s="15">
        <f t="shared" si="157"/>
        <v>1</v>
      </c>
      <c r="N738" s="5" t="s">
        <v>347</v>
      </c>
      <c r="O738" s="5" t="s">
        <v>347</v>
      </c>
      <c r="P738" s="5">
        <v>0</v>
      </c>
      <c r="Q738" s="5">
        <v>0</v>
      </c>
      <c r="R738" s="5" t="str">
        <f t="shared" si="156"/>
        <v>293-2023-12-31</v>
      </c>
    </row>
    <row r="739" spans="1:18" x14ac:dyDescent="0.3">
      <c r="A739" s="5">
        <v>293</v>
      </c>
      <c r="B739" s="5" t="s">
        <v>179</v>
      </c>
      <c r="C739" s="5" t="s">
        <v>177</v>
      </c>
      <c r="D739" s="5" t="s">
        <v>8</v>
      </c>
      <c r="E739" s="5" t="s">
        <v>9</v>
      </c>
      <c r="F739" s="6">
        <v>45473</v>
      </c>
      <c r="G739" s="5">
        <f t="shared" si="155"/>
        <v>2024</v>
      </c>
      <c r="H739" s="5" t="str">
        <f t="shared" si="159"/>
        <v>Junio</v>
      </c>
      <c r="I739" s="6" t="str">
        <f t="shared" si="158"/>
        <v>2024-1</v>
      </c>
      <c r="J739" s="5">
        <v>100</v>
      </c>
      <c r="K739" s="5">
        <v>100</v>
      </c>
      <c r="L739" s="15">
        <f>IFERROR(IF((K739/J739)&gt;1.3,1.3,K739/J739),"")</f>
        <v>1</v>
      </c>
      <c r="M739" s="15">
        <f t="shared" si="157"/>
        <v>1</v>
      </c>
      <c r="N739" s="5"/>
      <c r="O739" s="5"/>
      <c r="P739" s="5">
        <v>0</v>
      </c>
      <c r="Q739" s="5">
        <v>0</v>
      </c>
      <c r="R739" s="5" t="str">
        <f t="shared" si="156"/>
        <v>293-2024-06-30</v>
      </c>
    </row>
    <row r="740" spans="1:18" x14ac:dyDescent="0.3">
      <c r="A740" s="5">
        <v>293</v>
      </c>
      <c r="B740" s="5" t="s">
        <v>179</v>
      </c>
      <c r="C740" s="5" t="s">
        <v>177</v>
      </c>
      <c r="D740" s="5" t="s">
        <v>8</v>
      </c>
      <c r="E740" s="5" t="s">
        <v>9</v>
      </c>
      <c r="F740" s="6">
        <v>45657</v>
      </c>
      <c r="G740" s="5">
        <f t="shared" si="155"/>
        <v>2024</v>
      </c>
      <c r="H740" s="5" t="str">
        <f t="shared" si="159"/>
        <v>Diciembre</v>
      </c>
      <c r="I740" s="6" t="str">
        <f t="shared" si="158"/>
        <v>2024-2</v>
      </c>
      <c r="J740" s="5">
        <v>100</v>
      </c>
      <c r="K740" s="5">
        <v>100</v>
      </c>
      <c r="L740" s="15">
        <f>IFERROR(IF((K740/J740)&gt;1.3,1.3,K740/J740),"")</f>
        <v>1</v>
      </c>
      <c r="M740" s="15">
        <f t="shared" si="157"/>
        <v>1</v>
      </c>
      <c r="N740" s="5"/>
      <c r="O740" s="5"/>
      <c r="P740" s="5">
        <v>0</v>
      </c>
      <c r="Q740" s="5">
        <v>0</v>
      </c>
      <c r="R740" s="5" t="str">
        <f t="shared" si="156"/>
        <v>293-2024-12-31</v>
      </c>
    </row>
    <row r="741" spans="1:18" x14ac:dyDescent="0.3">
      <c r="A741" s="43">
        <v>294</v>
      </c>
      <c r="B741" s="5" t="s">
        <v>180</v>
      </c>
      <c r="C741" s="5" t="s">
        <v>177</v>
      </c>
      <c r="D741" s="5" t="s">
        <v>8</v>
      </c>
      <c r="E741" s="5" t="s">
        <v>9</v>
      </c>
      <c r="F741" s="6">
        <v>45107</v>
      </c>
      <c r="G741" s="5">
        <f t="shared" si="155"/>
        <v>2023</v>
      </c>
      <c r="H741" s="5" t="str">
        <f t="shared" si="159"/>
        <v>Junio</v>
      </c>
      <c r="I741" s="6" t="str">
        <f t="shared" si="158"/>
        <v>2023-1</v>
      </c>
      <c r="J741" s="5">
        <v>3</v>
      </c>
      <c r="K741" s="5">
        <v>30.158730158730201</v>
      </c>
      <c r="L741" s="8">
        <f>IF(IFERROR(K741/J741,"")&gt;130%,130%,K741/J741)</f>
        <v>1.3</v>
      </c>
      <c r="M741" s="15">
        <f t="shared" si="157"/>
        <v>10.052910052910066</v>
      </c>
      <c r="N741" s="5" t="s">
        <v>347</v>
      </c>
      <c r="O741" s="5" t="s">
        <v>347</v>
      </c>
      <c r="P741" s="5">
        <v>0</v>
      </c>
      <c r="Q741" s="5">
        <v>0</v>
      </c>
      <c r="R741" s="5" t="str">
        <f t="shared" si="156"/>
        <v>294-2023-06-30</v>
      </c>
    </row>
    <row r="742" spans="1:18" x14ac:dyDescent="0.3">
      <c r="A742" s="39">
        <v>294</v>
      </c>
      <c r="B742" s="5" t="s">
        <v>180</v>
      </c>
      <c r="C742" s="5" t="s">
        <v>177</v>
      </c>
      <c r="D742" s="5" t="s">
        <v>8</v>
      </c>
      <c r="E742" s="5" t="s">
        <v>9</v>
      </c>
      <c r="F742" s="6">
        <v>45291</v>
      </c>
      <c r="G742" s="5">
        <f t="shared" si="155"/>
        <v>2023</v>
      </c>
      <c r="H742" s="5" t="str">
        <f t="shared" si="159"/>
        <v>Diciembre</v>
      </c>
      <c r="I742" s="6" t="str">
        <f t="shared" si="158"/>
        <v>2023-2</v>
      </c>
      <c r="J742" s="5">
        <v>3</v>
      </c>
      <c r="K742" s="5">
        <v>41.99</v>
      </c>
      <c r="L742" s="8">
        <f>IF(IFERROR(K742/J742,"")&gt;130%,130%,K742/J742)</f>
        <v>1.3</v>
      </c>
      <c r="M742" s="15">
        <f t="shared" si="157"/>
        <v>13.996666666666668</v>
      </c>
      <c r="N742" s="5" t="s">
        <v>347</v>
      </c>
      <c r="O742" s="5" t="s">
        <v>347</v>
      </c>
      <c r="P742" s="5">
        <v>0</v>
      </c>
      <c r="Q742" s="5">
        <v>0</v>
      </c>
      <c r="R742" s="5" t="str">
        <f t="shared" si="156"/>
        <v>294-2023-12-31</v>
      </c>
    </row>
    <row r="743" spans="1:18" x14ac:dyDescent="0.3">
      <c r="A743" s="5">
        <v>294</v>
      </c>
      <c r="B743" s="5" t="s">
        <v>512</v>
      </c>
      <c r="C743" s="5" t="s">
        <v>177</v>
      </c>
      <c r="D743" s="5" t="s">
        <v>8</v>
      </c>
      <c r="E743" s="5" t="s">
        <v>9</v>
      </c>
      <c r="F743" s="6">
        <v>45473</v>
      </c>
      <c r="G743" s="5">
        <f t="shared" si="155"/>
        <v>2024</v>
      </c>
      <c r="H743" s="5" t="str">
        <f t="shared" si="159"/>
        <v>Junio</v>
      </c>
      <c r="I743" s="6" t="str">
        <f t="shared" si="158"/>
        <v>2024-1</v>
      </c>
      <c r="J743" s="5">
        <v>3</v>
      </c>
      <c r="K743" s="5">
        <v>26.276694521819799</v>
      </c>
      <c r="L743" s="15">
        <f>IFERROR(IF((K743/J743)&gt;1.3,1.3,K743/J743),"")</f>
        <v>1.3</v>
      </c>
      <c r="M743" s="15">
        <f t="shared" si="157"/>
        <v>8.758898173939933</v>
      </c>
      <c r="N743" s="5" t="s">
        <v>347</v>
      </c>
      <c r="O743" s="5" t="s">
        <v>347</v>
      </c>
      <c r="P743" s="5">
        <v>0</v>
      </c>
      <c r="Q743" s="5">
        <v>0</v>
      </c>
      <c r="R743" s="5" t="str">
        <f t="shared" si="156"/>
        <v>294-2024-06-30</v>
      </c>
    </row>
    <row r="744" spans="1:18" x14ac:dyDescent="0.3">
      <c r="A744" s="5">
        <v>294</v>
      </c>
      <c r="B744" s="5" t="s">
        <v>512</v>
      </c>
      <c r="C744" s="5" t="s">
        <v>177</v>
      </c>
      <c r="D744" s="5" t="s">
        <v>8</v>
      </c>
      <c r="E744" s="5" t="s">
        <v>9</v>
      </c>
      <c r="F744" s="6">
        <v>45657</v>
      </c>
      <c r="G744" s="5">
        <f t="shared" si="155"/>
        <v>2024</v>
      </c>
      <c r="H744" s="5" t="str">
        <f t="shared" si="159"/>
        <v>Diciembre</v>
      </c>
      <c r="I744" s="6" t="str">
        <f t="shared" si="158"/>
        <v>2024-2</v>
      </c>
      <c r="J744" s="5">
        <v>3</v>
      </c>
      <c r="K744" s="5">
        <v>5.5</v>
      </c>
      <c r="L744" s="15">
        <f>IFERROR(IF((K744/J744)&gt;1.3,1.3,K744/J744),"")</f>
        <v>1.3</v>
      </c>
      <c r="M744" s="15">
        <f t="shared" si="157"/>
        <v>1.8333333333333333</v>
      </c>
      <c r="N744" s="5" t="s">
        <v>347</v>
      </c>
      <c r="O744" s="5" t="s">
        <v>347</v>
      </c>
      <c r="P744" s="5">
        <v>0</v>
      </c>
      <c r="Q744" s="5">
        <v>0</v>
      </c>
      <c r="R744" s="5" t="str">
        <f t="shared" si="156"/>
        <v>294-2024-12-31</v>
      </c>
    </row>
    <row r="745" spans="1:18" x14ac:dyDescent="0.3">
      <c r="A745" s="43">
        <v>295</v>
      </c>
      <c r="B745" s="5" t="s">
        <v>181</v>
      </c>
      <c r="C745" s="5" t="s">
        <v>20</v>
      </c>
      <c r="D745" s="5" t="s">
        <v>8</v>
      </c>
      <c r="E745" s="5" t="s">
        <v>9</v>
      </c>
      <c r="F745" s="6">
        <v>45107</v>
      </c>
      <c r="G745" s="5">
        <f t="shared" si="155"/>
        <v>2023</v>
      </c>
      <c r="H745" s="5" t="str">
        <f t="shared" si="159"/>
        <v>Junio</v>
      </c>
      <c r="I745" s="6" t="str">
        <f t="shared" si="158"/>
        <v>2023-1</v>
      </c>
      <c r="J745" s="5">
        <v>11</v>
      </c>
      <c r="K745" s="5">
        <v>5</v>
      </c>
      <c r="L745" s="21">
        <f>IFERROR(K745/J745,"")</f>
        <v>0.45454545454545453</v>
      </c>
      <c r="M745" s="15">
        <f t="shared" si="157"/>
        <v>0.45454545454545453</v>
      </c>
      <c r="N745" s="5"/>
      <c r="O745" s="5"/>
      <c r="P745" s="5">
        <v>0</v>
      </c>
      <c r="Q745" s="5">
        <v>0</v>
      </c>
      <c r="R745" s="5" t="str">
        <f t="shared" si="156"/>
        <v>295-2023-06-30</v>
      </c>
    </row>
    <row r="746" spans="1:18" x14ac:dyDescent="0.3">
      <c r="A746" s="39">
        <v>295</v>
      </c>
      <c r="B746" s="5" t="s">
        <v>181</v>
      </c>
      <c r="C746" s="5" t="s">
        <v>20</v>
      </c>
      <c r="D746" s="5" t="s">
        <v>8</v>
      </c>
      <c r="E746" s="5" t="s">
        <v>9</v>
      </c>
      <c r="F746" s="6">
        <v>45291</v>
      </c>
      <c r="G746" s="5">
        <f t="shared" si="155"/>
        <v>2023</v>
      </c>
      <c r="H746" s="5" t="str">
        <f t="shared" si="159"/>
        <v>Diciembre</v>
      </c>
      <c r="I746" s="6" t="str">
        <f t="shared" si="158"/>
        <v>2023-2</v>
      </c>
      <c r="J746" s="5">
        <v>21</v>
      </c>
      <c r="K746" s="5">
        <v>9</v>
      </c>
      <c r="L746" s="21">
        <f>IFERROR(K746/J746,"")</f>
        <v>0.42857142857142855</v>
      </c>
      <c r="M746" s="15">
        <f t="shared" si="157"/>
        <v>0.42857142857142855</v>
      </c>
      <c r="N746" s="5"/>
      <c r="O746" s="5"/>
      <c r="P746" s="5">
        <v>0</v>
      </c>
      <c r="Q746" s="5">
        <v>0</v>
      </c>
      <c r="R746" s="5" t="str">
        <f t="shared" si="156"/>
        <v>295-2023-12-31</v>
      </c>
    </row>
    <row r="747" spans="1:18" x14ac:dyDescent="0.3">
      <c r="A747" s="39">
        <v>296</v>
      </c>
      <c r="B747" s="5" t="s">
        <v>413</v>
      </c>
      <c r="C747" s="5" t="s">
        <v>182</v>
      </c>
      <c r="D747" s="5" t="s">
        <v>21</v>
      </c>
      <c r="E747" s="5" t="s">
        <v>9</v>
      </c>
      <c r="F747" s="6">
        <v>45291</v>
      </c>
      <c r="G747" s="5">
        <f t="shared" si="155"/>
        <v>2023</v>
      </c>
      <c r="H747" s="5" t="str">
        <f t="shared" si="159"/>
        <v>Diciembre</v>
      </c>
      <c r="I747" s="6" t="str">
        <f t="shared" si="158"/>
        <v>2023-2</v>
      </c>
      <c r="J747" s="5">
        <v>100</v>
      </c>
      <c r="K747" s="5">
        <v>85.45</v>
      </c>
      <c r="L747" s="21">
        <f>IFERROR(K747/J747,"")</f>
        <v>0.85450000000000004</v>
      </c>
      <c r="M747" s="15">
        <f t="shared" si="157"/>
        <v>0.85450000000000004</v>
      </c>
      <c r="N747" s="5"/>
      <c r="O747" s="5"/>
      <c r="P747" s="5">
        <v>1</v>
      </c>
      <c r="Q747" s="5">
        <v>1</v>
      </c>
      <c r="R747" s="5" t="str">
        <f t="shared" si="156"/>
        <v>296-2023-12-31</v>
      </c>
    </row>
    <row r="748" spans="1:18" x14ac:dyDescent="0.3">
      <c r="A748" s="5">
        <v>297</v>
      </c>
      <c r="B748" s="5" t="s">
        <v>414</v>
      </c>
      <c r="C748" s="5" t="s">
        <v>182</v>
      </c>
      <c r="D748" s="5" t="s">
        <v>21</v>
      </c>
      <c r="E748" s="5" t="s">
        <v>14</v>
      </c>
      <c r="F748" s="6">
        <v>45291</v>
      </c>
      <c r="G748" s="5">
        <f t="shared" si="155"/>
        <v>2023</v>
      </c>
      <c r="H748" s="5" t="str">
        <f t="shared" si="159"/>
        <v>Diciembre</v>
      </c>
      <c r="I748" s="6" t="str">
        <f t="shared" si="158"/>
        <v>2023-2</v>
      </c>
      <c r="J748" s="5">
        <v>20</v>
      </c>
      <c r="K748" s="5">
        <v>0.93</v>
      </c>
      <c r="L748" s="15">
        <f>IFERROR(IF((J748/K748)&gt;1.3,1.3,J748/K748),"")</f>
        <v>1.3</v>
      </c>
      <c r="M748" s="15">
        <f>IFERROR(J748/K748,"")</f>
        <v>21.50537634408602</v>
      </c>
      <c r="N748" s="5"/>
      <c r="O748" s="5"/>
      <c r="P748" s="5">
        <v>1</v>
      </c>
      <c r="Q748" s="5">
        <v>1</v>
      </c>
      <c r="R748" s="5" t="str">
        <f t="shared" si="156"/>
        <v>297-2023-12-31</v>
      </c>
    </row>
    <row r="749" spans="1:18" x14ac:dyDescent="0.3">
      <c r="A749" s="39">
        <v>298</v>
      </c>
      <c r="B749" s="5" t="s">
        <v>183</v>
      </c>
      <c r="C749" s="5" t="s">
        <v>182</v>
      </c>
      <c r="D749" s="5" t="s">
        <v>8</v>
      </c>
      <c r="E749" s="5" t="s">
        <v>14</v>
      </c>
      <c r="F749" s="6">
        <v>45291</v>
      </c>
      <c r="G749" s="5">
        <f t="shared" si="155"/>
        <v>2023</v>
      </c>
      <c r="H749" s="5" t="str">
        <f t="shared" si="159"/>
        <v>Diciembre</v>
      </c>
      <c r="I749" s="6" t="str">
        <f t="shared" si="158"/>
        <v>2023-2</v>
      </c>
      <c r="J749" s="5"/>
      <c r="K749" s="5">
        <v>1</v>
      </c>
      <c r="L749" s="15">
        <f>IFERROR(IF((J749/K749)&gt;1.3,1.3,J749/K749),"")</f>
        <v>0</v>
      </c>
      <c r="M749" s="15">
        <f>IFERROR(J749/K749,"")</f>
        <v>0</v>
      </c>
      <c r="N749" s="5" t="s">
        <v>487</v>
      </c>
      <c r="O749" s="5"/>
      <c r="P749" s="5">
        <v>0</v>
      </c>
      <c r="Q749" s="5">
        <v>0</v>
      </c>
      <c r="R749" s="5" t="str">
        <f t="shared" si="156"/>
        <v>298-2023-12-31</v>
      </c>
    </row>
    <row r="750" spans="1:18" x14ac:dyDescent="0.3">
      <c r="A750" s="54">
        <v>300</v>
      </c>
      <c r="B750" s="5" t="s">
        <v>184</v>
      </c>
      <c r="C750" s="5" t="s">
        <v>185</v>
      </c>
      <c r="D750" s="5" t="s">
        <v>11</v>
      </c>
      <c r="E750" s="5" t="s">
        <v>9</v>
      </c>
      <c r="F750" s="6">
        <v>45016</v>
      </c>
      <c r="G750" s="5">
        <f t="shared" si="155"/>
        <v>2023</v>
      </c>
      <c r="H750" s="5" t="str">
        <f t="shared" si="159"/>
        <v>Marzo</v>
      </c>
      <c r="I750" s="6" t="str">
        <f t="shared" si="158"/>
        <v>2023-1</v>
      </c>
      <c r="J750" s="5">
        <v>100</v>
      </c>
      <c r="K750" s="5">
        <v>100</v>
      </c>
      <c r="L750" s="21">
        <f>IFERROR(K750/J750,"")</f>
        <v>1</v>
      </c>
      <c r="M750" s="15">
        <f t="shared" ref="M750:M781" si="160">IFERROR(K750/J750,"")</f>
        <v>1</v>
      </c>
      <c r="N750" s="5" t="s">
        <v>347</v>
      </c>
      <c r="O750" s="5" t="s">
        <v>347</v>
      </c>
      <c r="P750" s="5">
        <v>0</v>
      </c>
      <c r="Q750" s="5">
        <v>0</v>
      </c>
      <c r="R750" s="5" t="str">
        <f t="shared" si="156"/>
        <v>300-2023-03-31</v>
      </c>
    </row>
    <row r="751" spans="1:18" x14ac:dyDescent="0.3">
      <c r="A751" s="39">
        <v>300</v>
      </c>
      <c r="B751" s="5" t="s">
        <v>184</v>
      </c>
      <c r="C751" s="5" t="s">
        <v>185</v>
      </c>
      <c r="D751" s="5" t="s">
        <v>11</v>
      </c>
      <c r="E751" s="5" t="s">
        <v>9</v>
      </c>
      <c r="F751" s="6">
        <v>45107</v>
      </c>
      <c r="G751" s="5">
        <f t="shared" si="155"/>
        <v>2023</v>
      </c>
      <c r="H751" s="5" t="str">
        <f t="shared" si="159"/>
        <v>Junio</v>
      </c>
      <c r="I751" s="6" t="str">
        <f t="shared" si="158"/>
        <v>2023-1</v>
      </c>
      <c r="J751" s="5">
        <v>100</v>
      </c>
      <c r="K751" s="5">
        <v>100</v>
      </c>
      <c r="L751" s="21">
        <f>IFERROR(K751/J751,"")</f>
        <v>1</v>
      </c>
      <c r="M751" s="15">
        <f t="shared" si="160"/>
        <v>1</v>
      </c>
      <c r="N751" s="5" t="s">
        <v>347</v>
      </c>
      <c r="O751" s="5" t="s">
        <v>347</v>
      </c>
      <c r="P751" s="5">
        <v>0</v>
      </c>
      <c r="Q751" s="5">
        <v>0</v>
      </c>
      <c r="R751" s="5" t="str">
        <f t="shared" si="156"/>
        <v>300-2023-06-30</v>
      </c>
    </row>
    <row r="752" spans="1:18" x14ac:dyDescent="0.3">
      <c r="A752" s="43">
        <v>300</v>
      </c>
      <c r="B752" s="5" t="s">
        <v>184</v>
      </c>
      <c r="C752" s="5" t="s">
        <v>185</v>
      </c>
      <c r="D752" s="5" t="s">
        <v>11</v>
      </c>
      <c r="E752" s="5" t="s">
        <v>9</v>
      </c>
      <c r="F752" s="6">
        <v>45199</v>
      </c>
      <c r="G752" s="5">
        <f t="shared" si="155"/>
        <v>2023</v>
      </c>
      <c r="H752" s="5" t="str">
        <f t="shared" si="159"/>
        <v>Septiembre</v>
      </c>
      <c r="I752" s="6" t="str">
        <f t="shared" si="158"/>
        <v>2023-2</v>
      </c>
      <c r="J752" s="5">
        <v>100</v>
      </c>
      <c r="K752" s="5">
        <v>100</v>
      </c>
      <c r="L752" s="21">
        <f>IFERROR(K752/J752,"")</f>
        <v>1</v>
      </c>
      <c r="M752" s="15">
        <f t="shared" si="160"/>
        <v>1</v>
      </c>
      <c r="N752" s="5" t="s">
        <v>347</v>
      </c>
      <c r="O752" s="5" t="s">
        <v>347</v>
      </c>
      <c r="P752" s="5">
        <v>0</v>
      </c>
      <c r="Q752" s="5">
        <v>0</v>
      </c>
      <c r="R752" s="5" t="str">
        <f t="shared" si="156"/>
        <v>300-2023-09-30</v>
      </c>
    </row>
    <row r="753" spans="1:18" x14ac:dyDescent="0.3">
      <c r="A753" s="39">
        <v>300</v>
      </c>
      <c r="B753" s="5" t="s">
        <v>184</v>
      </c>
      <c r="C753" s="5" t="s">
        <v>185</v>
      </c>
      <c r="D753" s="5" t="s">
        <v>11</v>
      </c>
      <c r="E753" s="5" t="s">
        <v>9</v>
      </c>
      <c r="F753" s="6">
        <v>45291</v>
      </c>
      <c r="G753" s="5">
        <f t="shared" si="155"/>
        <v>2023</v>
      </c>
      <c r="H753" s="5" t="str">
        <f t="shared" si="159"/>
        <v>Diciembre</v>
      </c>
      <c r="I753" s="6" t="str">
        <f t="shared" si="158"/>
        <v>2023-2</v>
      </c>
      <c r="J753" s="5">
        <v>100</v>
      </c>
      <c r="K753" s="5">
        <v>100</v>
      </c>
      <c r="L753" s="21">
        <f>IFERROR(K753/J753,"")</f>
        <v>1</v>
      </c>
      <c r="M753" s="15">
        <f t="shared" si="160"/>
        <v>1</v>
      </c>
      <c r="N753" s="5" t="s">
        <v>347</v>
      </c>
      <c r="O753" s="5" t="s">
        <v>347</v>
      </c>
      <c r="P753" s="5">
        <v>0</v>
      </c>
      <c r="Q753" s="5">
        <v>0</v>
      </c>
      <c r="R753" s="5" t="str">
        <f t="shared" si="156"/>
        <v>300-2023-12-31</v>
      </c>
    </row>
    <row r="754" spans="1:18" x14ac:dyDescent="0.3">
      <c r="A754" s="5">
        <v>300</v>
      </c>
      <c r="B754" s="5" t="s">
        <v>184</v>
      </c>
      <c r="C754" s="5" t="s">
        <v>185</v>
      </c>
      <c r="D754" s="5" t="s">
        <v>11</v>
      </c>
      <c r="E754" s="5" t="s">
        <v>9</v>
      </c>
      <c r="F754" s="6">
        <v>45473</v>
      </c>
      <c r="G754" s="5">
        <f t="shared" si="155"/>
        <v>2024</v>
      </c>
      <c r="H754" s="5" t="str">
        <f t="shared" si="159"/>
        <v>Junio</v>
      </c>
      <c r="I754" s="6" t="str">
        <f t="shared" si="158"/>
        <v>2024-1</v>
      </c>
      <c r="J754" s="5">
        <v>100</v>
      </c>
      <c r="K754" s="5">
        <v>100</v>
      </c>
      <c r="L754" s="15">
        <f>IFERROR(IF((K754/J754)&gt;1.3,1.3,K754/J754),"")</f>
        <v>1</v>
      </c>
      <c r="M754" s="15">
        <f t="shared" si="160"/>
        <v>1</v>
      </c>
      <c r="N754" s="5" t="s">
        <v>347</v>
      </c>
      <c r="O754" s="5" t="s">
        <v>347</v>
      </c>
      <c r="P754" s="5">
        <v>0</v>
      </c>
      <c r="Q754" s="5">
        <v>0</v>
      </c>
      <c r="R754" s="5" t="str">
        <f t="shared" si="156"/>
        <v>300-2024-06-30</v>
      </c>
    </row>
    <row r="755" spans="1:18" x14ac:dyDescent="0.3">
      <c r="A755" s="5">
        <v>300</v>
      </c>
      <c r="B755" s="5" t="s">
        <v>184</v>
      </c>
      <c r="C755" s="5" t="s">
        <v>185</v>
      </c>
      <c r="D755" s="5" t="s">
        <v>11</v>
      </c>
      <c r="E755" s="5" t="s">
        <v>9</v>
      </c>
      <c r="F755" s="6">
        <v>45657</v>
      </c>
      <c r="G755" s="5">
        <f t="shared" ref="G755:G818" si="161">YEAR(F755)</f>
        <v>2024</v>
      </c>
      <c r="H755" s="5" t="str">
        <f t="shared" si="159"/>
        <v>Diciembre</v>
      </c>
      <c r="I755" s="6" t="str">
        <f t="shared" si="158"/>
        <v>2024-2</v>
      </c>
      <c r="J755" s="5">
        <v>100</v>
      </c>
      <c r="K755" s="5">
        <v>100</v>
      </c>
      <c r="L755" s="15">
        <f>IFERROR(IF((K755/J755)&gt;1.3,1.3,K755/J755),"")</f>
        <v>1</v>
      </c>
      <c r="M755" s="15">
        <f t="shared" si="160"/>
        <v>1</v>
      </c>
      <c r="N755" s="5" t="s">
        <v>347</v>
      </c>
      <c r="O755" s="5" t="s">
        <v>347</v>
      </c>
      <c r="P755" s="5">
        <v>0</v>
      </c>
      <c r="Q755" s="5">
        <v>0</v>
      </c>
      <c r="R755" s="5" t="str">
        <f t="shared" si="156"/>
        <v>300-2024-12-31</v>
      </c>
    </row>
    <row r="756" spans="1:18" x14ac:dyDescent="0.3">
      <c r="A756" s="54">
        <v>301</v>
      </c>
      <c r="B756" s="5" t="s">
        <v>186</v>
      </c>
      <c r="C756" s="5" t="s">
        <v>185</v>
      </c>
      <c r="D756" s="5" t="s">
        <v>11</v>
      </c>
      <c r="E756" s="5" t="s">
        <v>9</v>
      </c>
      <c r="F756" s="6">
        <v>45016</v>
      </c>
      <c r="G756" s="5">
        <f t="shared" si="161"/>
        <v>2023</v>
      </c>
      <c r="H756" s="5" t="str">
        <f t="shared" si="159"/>
        <v>Marzo</v>
      </c>
      <c r="I756" s="6" t="str">
        <f t="shared" si="158"/>
        <v>2023-1</v>
      </c>
      <c r="J756" s="5">
        <v>100</v>
      </c>
      <c r="K756" s="5">
        <v>100</v>
      </c>
      <c r="L756" s="21">
        <f>IFERROR(K756/J756,"")</f>
        <v>1</v>
      </c>
      <c r="M756" s="15">
        <f t="shared" si="160"/>
        <v>1</v>
      </c>
      <c r="N756" s="5" t="s">
        <v>347</v>
      </c>
      <c r="O756" s="5" t="s">
        <v>347</v>
      </c>
      <c r="P756" s="5">
        <v>0</v>
      </c>
      <c r="Q756" s="5">
        <v>0</v>
      </c>
      <c r="R756" s="5" t="str">
        <f t="shared" si="156"/>
        <v>301-2023-03-31</v>
      </c>
    </row>
    <row r="757" spans="1:18" x14ac:dyDescent="0.3">
      <c r="A757" s="39">
        <v>301</v>
      </c>
      <c r="B757" s="5" t="s">
        <v>186</v>
      </c>
      <c r="C757" s="5" t="s">
        <v>185</v>
      </c>
      <c r="D757" s="5" t="s">
        <v>11</v>
      </c>
      <c r="E757" s="5" t="s">
        <v>9</v>
      </c>
      <c r="F757" s="6">
        <v>45107</v>
      </c>
      <c r="G757" s="5">
        <f t="shared" si="161"/>
        <v>2023</v>
      </c>
      <c r="H757" s="5" t="str">
        <f t="shared" si="159"/>
        <v>Junio</v>
      </c>
      <c r="I757" s="6" t="str">
        <f t="shared" si="158"/>
        <v>2023-1</v>
      </c>
      <c r="J757" s="5">
        <v>100</v>
      </c>
      <c r="K757" s="5">
        <v>100</v>
      </c>
      <c r="L757" s="21">
        <f>IFERROR(K757/J757,"")</f>
        <v>1</v>
      </c>
      <c r="M757" s="15">
        <f t="shared" si="160"/>
        <v>1</v>
      </c>
      <c r="N757" s="5" t="s">
        <v>347</v>
      </c>
      <c r="O757" s="5" t="s">
        <v>347</v>
      </c>
      <c r="P757" s="5">
        <v>0</v>
      </c>
      <c r="Q757" s="5">
        <v>0</v>
      </c>
      <c r="R757" s="5" t="str">
        <f t="shared" si="156"/>
        <v>301-2023-06-30</v>
      </c>
    </row>
    <row r="758" spans="1:18" x14ac:dyDescent="0.3">
      <c r="A758" s="43">
        <v>301</v>
      </c>
      <c r="B758" s="5" t="s">
        <v>186</v>
      </c>
      <c r="C758" s="5" t="s">
        <v>185</v>
      </c>
      <c r="D758" s="5" t="s">
        <v>11</v>
      </c>
      <c r="E758" s="5" t="s">
        <v>9</v>
      </c>
      <c r="F758" s="6">
        <v>45199</v>
      </c>
      <c r="G758" s="5">
        <f t="shared" si="161"/>
        <v>2023</v>
      </c>
      <c r="H758" s="5" t="str">
        <f t="shared" si="159"/>
        <v>Septiembre</v>
      </c>
      <c r="I758" s="6" t="str">
        <f t="shared" si="158"/>
        <v>2023-2</v>
      </c>
      <c r="J758" s="5">
        <v>100</v>
      </c>
      <c r="K758" s="5">
        <v>100</v>
      </c>
      <c r="L758" s="21">
        <f>IFERROR(K758/J758,"")</f>
        <v>1</v>
      </c>
      <c r="M758" s="15">
        <f t="shared" si="160"/>
        <v>1</v>
      </c>
      <c r="N758" s="5" t="s">
        <v>347</v>
      </c>
      <c r="O758" s="5" t="s">
        <v>347</v>
      </c>
      <c r="P758" s="5">
        <v>0</v>
      </c>
      <c r="Q758" s="5">
        <v>0</v>
      </c>
      <c r="R758" s="5" t="str">
        <f t="shared" si="156"/>
        <v>301-2023-09-30</v>
      </c>
    </row>
    <row r="759" spans="1:18" x14ac:dyDescent="0.3">
      <c r="A759" s="39">
        <v>301</v>
      </c>
      <c r="B759" s="5" t="s">
        <v>186</v>
      </c>
      <c r="C759" s="5" t="s">
        <v>185</v>
      </c>
      <c r="D759" s="5" t="s">
        <v>11</v>
      </c>
      <c r="E759" s="5" t="s">
        <v>9</v>
      </c>
      <c r="F759" s="6">
        <v>45291</v>
      </c>
      <c r="G759" s="5">
        <f t="shared" si="161"/>
        <v>2023</v>
      </c>
      <c r="H759" s="5" t="str">
        <f t="shared" si="159"/>
        <v>Diciembre</v>
      </c>
      <c r="I759" s="6" t="str">
        <f t="shared" ref="I759:I790" si="162">IF(OR(H759="Enero",H759="Febrero",H759="Marzo",H759="Abril",H759="Mayo",H759="Junio"),G759&amp;"-1",IF(OR(H759="Julio",H759="Agosto",H759="Septiembre",H759="Octubre",H759="Noviembre",H759="Diciembre"),G759&amp;"-2"))</f>
        <v>2023-2</v>
      </c>
      <c r="J759" s="5">
        <v>100</v>
      </c>
      <c r="K759" s="5">
        <v>100</v>
      </c>
      <c r="L759" s="21">
        <f>IFERROR(K759/J759,"")</f>
        <v>1</v>
      </c>
      <c r="M759" s="15">
        <f t="shared" si="160"/>
        <v>1</v>
      </c>
      <c r="N759" s="5" t="s">
        <v>347</v>
      </c>
      <c r="O759" s="5" t="s">
        <v>347</v>
      </c>
      <c r="P759" s="5">
        <v>0</v>
      </c>
      <c r="Q759" s="5">
        <v>0</v>
      </c>
      <c r="R759" s="5" t="str">
        <f t="shared" si="156"/>
        <v>301-2023-12-31</v>
      </c>
    </row>
    <row r="760" spans="1:18" x14ac:dyDescent="0.3">
      <c r="A760" s="5">
        <v>301</v>
      </c>
      <c r="B760" s="5" t="s">
        <v>186</v>
      </c>
      <c r="C760" s="5" t="s">
        <v>185</v>
      </c>
      <c r="D760" s="5" t="s">
        <v>11</v>
      </c>
      <c r="E760" s="5" t="s">
        <v>9</v>
      </c>
      <c r="F760" s="6">
        <v>45473</v>
      </c>
      <c r="G760" s="5">
        <f t="shared" si="161"/>
        <v>2024</v>
      </c>
      <c r="H760" s="5" t="str">
        <f t="shared" si="159"/>
        <v>Junio</v>
      </c>
      <c r="I760" s="6" t="str">
        <f t="shared" si="162"/>
        <v>2024-1</v>
      </c>
      <c r="J760" s="5">
        <v>100</v>
      </c>
      <c r="K760" s="5">
        <v>100</v>
      </c>
      <c r="L760" s="15">
        <f>IFERROR(IF((K760/J760)&gt;1.3,1.3,K760/J760),"")</f>
        <v>1</v>
      </c>
      <c r="M760" s="15">
        <f t="shared" si="160"/>
        <v>1</v>
      </c>
      <c r="N760" s="5" t="s">
        <v>347</v>
      </c>
      <c r="O760" s="5" t="s">
        <v>347</v>
      </c>
      <c r="P760" s="5">
        <v>0</v>
      </c>
      <c r="Q760" s="5">
        <v>0</v>
      </c>
      <c r="R760" s="5" t="str">
        <f t="shared" si="156"/>
        <v>301-2024-06-30</v>
      </c>
    </row>
    <row r="761" spans="1:18" x14ac:dyDescent="0.3">
      <c r="A761" s="5">
        <v>301</v>
      </c>
      <c r="B761" s="5" t="s">
        <v>186</v>
      </c>
      <c r="C761" s="5" t="s">
        <v>185</v>
      </c>
      <c r="D761" s="5" t="s">
        <v>11</v>
      </c>
      <c r="E761" s="5" t="s">
        <v>9</v>
      </c>
      <c r="F761" s="6">
        <v>45657</v>
      </c>
      <c r="G761" s="5">
        <f t="shared" si="161"/>
        <v>2024</v>
      </c>
      <c r="H761" s="5" t="str">
        <f t="shared" si="159"/>
        <v>Diciembre</v>
      </c>
      <c r="I761" s="6" t="str">
        <f t="shared" si="162"/>
        <v>2024-2</v>
      </c>
      <c r="J761" s="5">
        <v>100</v>
      </c>
      <c r="K761" s="5">
        <v>100</v>
      </c>
      <c r="L761" s="15">
        <f>IFERROR(IF((K761/J761)&gt;1.3,1.3,K761/J761),"")</f>
        <v>1</v>
      </c>
      <c r="M761" s="15">
        <f t="shared" si="160"/>
        <v>1</v>
      </c>
      <c r="N761" s="5" t="s">
        <v>347</v>
      </c>
      <c r="O761" s="5" t="s">
        <v>347</v>
      </c>
      <c r="P761" s="5">
        <v>0</v>
      </c>
      <c r="Q761" s="5">
        <v>0</v>
      </c>
      <c r="R761" s="5" t="str">
        <f t="shared" si="156"/>
        <v>301-2024-12-31</v>
      </c>
    </row>
    <row r="762" spans="1:18" x14ac:dyDescent="0.3">
      <c r="A762" s="43">
        <v>302</v>
      </c>
      <c r="B762" s="5" t="s">
        <v>187</v>
      </c>
      <c r="C762" s="5" t="s">
        <v>152</v>
      </c>
      <c r="D762" s="5" t="s">
        <v>8</v>
      </c>
      <c r="E762" s="5" t="s">
        <v>9</v>
      </c>
      <c r="F762" s="6">
        <v>45107</v>
      </c>
      <c r="G762" s="5">
        <f t="shared" si="161"/>
        <v>2023</v>
      </c>
      <c r="H762" s="5" t="str">
        <f t="shared" si="159"/>
        <v>Junio</v>
      </c>
      <c r="I762" s="6" t="str">
        <f t="shared" si="162"/>
        <v>2023-1</v>
      </c>
      <c r="J762" s="5">
        <v>0</v>
      </c>
      <c r="K762" s="5">
        <v>16609</v>
      </c>
      <c r="L762" s="21" t="s">
        <v>417</v>
      </c>
      <c r="M762" s="15" t="str">
        <f t="shared" si="160"/>
        <v/>
      </c>
      <c r="N762" s="5"/>
      <c r="O762" s="5"/>
      <c r="P762" s="5">
        <v>0</v>
      </c>
      <c r="Q762" s="5">
        <v>0</v>
      </c>
      <c r="R762" s="5" t="str">
        <f t="shared" si="156"/>
        <v>302-2023-06-30</v>
      </c>
    </row>
    <row r="763" spans="1:18" x14ac:dyDescent="0.3">
      <c r="A763" s="39">
        <v>302</v>
      </c>
      <c r="B763" s="5" t="s">
        <v>187</v>
      </c>
      <c r="C763" s="5" t="s">
        <v>152</v>
      </c>
      <c r="D763" s="5" t="s">
        <v>8</v>
      </c>
      <c r="E763" s="5" t="s">
        <v>9</v>
      </c>
      <c r="F763" s="6">
        <v>45291</v>
      </c>
      <c r="G763" s="5">
        <f t="shared" si="161"/>
        <v>2023</v>
      </c>
      <c r="H763" s="5" t="str">
        <f t="shared" si="159"/>
        <v>Diciembre</v>
      </c>
      <c r="I763" s="6" t="str">
        <f t="shared" si="162"/>
        <v>2023-2</v>
      </c>
      <c r="J763" s="5">
        <v>0</v>
      </c>
      <c r="K763" s="5">
        <v>21237</v>
      </c>
      <c r="L763" s="21" t="str">
        <f>IFERROR(K763/J763,"")</f>
        <v/>
      </c>
      <c r="M763" s="15" t="str">
        <f t="shared" si="160"/>
        <v/>
      </c>
      <c r="N763" s="5"/>
      <c r="O763" s="5"/>
      <c r="P763" s="5">
        <v>0</v>
      </c>
      <c r="Q763" s="5">
        <v>0</v>
      </c>
      <c r="R763" s="5" t="str">
        <f t="shared" si="156"/>
        <v>302-2023-12-31</v>
      </c>
    </row>
    <row r="764" spans="1:18" x14ac:dyDescent="0.3">
      <c r="A764" s="5">
        <v>302</v>
      </c>
      <c r="B764" s="5" t="s">
        <v>187</v>
      </c>
      <c r="C764" s="5" t="s">
        <v>152</v>
      </c>
      <c r="D764" s="5" t="s">
        <v>8</v>
      </c>
      <c r="E764" s="5" t="s">
        <v>9</v>
      </c>
      <c r="F764" s="6">
        <v>45473</v>
      </c>
      <c r="G764" s="5">
        <f t="shared" si="161"/>
        <v>2024</v>
      </c>
      <c r="H764" s="5" t="str">
        <f t="shared" si="159"/>
        <v>Junio</v>
      </c>
      <c r="I764" s="6" t="str">
        <f t="shared" si="162"/>
        <v>2024-1</v>
      </c>
      <c r="J764" s="5">
        <v>0</v>
      </c>
      <c r="K764" s="5">
        <v>18355</v>
      </c>
      <c r="L764" s="15" t="str">
        <f>IFERROR(IF((K764/J764)&gt;1.3,1.3,K764/J764),"")</f>
        <v/>
      </c>
      <c r="M764" s="15" t="str">
        <f t="shared" si="160"/>
        <v/>
      </c>
      <c r="N764" s="5"/>
      <c r="O764" s="5"/>
      <c r="P764" s="5">
        <v>0</v>
      </c>
      <c r="Q764" s="5">
        <v>0</v>
      </c>
      <c r="R764" s="5" t="str">
        <f t="shared" si="156"/>
        <v>302-2024-06-30</v>
      </c>
    </row>
    <row r="765" spans="1:18" x14ac:dyDescent="0.3">
      <c r="A765" s="5">
        <v>302</v>
      </c>
      <c r="B765" s="5" t="s">
        <v>187</v>
      </c>
      <c r="C765" s="5" t="s">
        <v>152</v>
      </c>
      <c r="D765" s="5" t="s">
        <v>8</v>
      </c>
      <c r="E765" s="5" t="s">
        <v>9</v>
      </c>
      <c r="F765" s="6">
        <v>45657</v>
      </c>
      <c r="G765" s="5">
        <f t="shared" si="161"/>
        <v>2024</v>
      </c>
      <c r="H765" s="5" t="str">
        <f t="shared" si="159"/>
        <v>Diciembre</v>
      </c>
      <c r="I765" s="6" t="str">
        <f t="shared" si="162"/>
        <v>2024-2</v>
      </c>
      <c r="J765" s="5">
        <v>0</v>
      </c>
      <c r="K765" s="5">
        <v>0</v>
      </c>
      <c r="L765" s="15" t="str">
        <f>IFERROR(IF((K765/J765)&gt;1.3,1.3,K765/J765),"")</f>
        <v/>
      </c>
      <c r="M765" s="15" t="str">
        <f t="shared" si="160"/>
        <v/>
      </c>
      <c r="N765" s="5"/>
      <c r="O765" s="5"/>
      <c r="P765" s="5">
        <v>0</v>
      </c>
      <c r="Q765" s="5">
        <v>0</v>
      </c>
      <c r="R765" s="5" t="str">
        <f t="shared" si="156"/>
        <v>302-2024-12-31</v>
      </c>
    </row>
    <row r="766" spans="1:18" x14ac:dyDescent="0.3">
      <c r="A766" s="43">
        <v>303</v>
      </c>
      <c r="B766" s="5" t="s">
        <v>188</v>
      </c>
      <c r="C766" s="5" t="s">
        <v>189</v>
      </c>
      <c r="D766" s="5" t="s">
        <v>8</v>
      </c>
      <c r="E766" s="5" t="s">
        <v>9</v>
      </c>
      <c r="F766" s="6">
        <v>45107</v>
      </c>
      <c r="G766" s="5">
        <f t="shared" si="161"/>
        <v>2023</v>
      </c>
      <c r="H766" s="5" t="str">
        <f t="shared" si="159"/>
        <v>Junio</v>
      </c>
      <c r="I766" s="6" t="str">
        <f t="shared" si="162"/>
        <v>2023-1</v>
      </c>
      <c r="J766" s="5">
        <v>100</v>
      </c>
      <c r="K766" s="5">
        <v>75.760000000000005</v>
      </c>
      <c r="L766" s="21">
        <f>IFERROR(K766/J766,"")</f>
        <v>0.75760000000000005</v>
      </c>
      <c r="M766" s="15">
        <f t="shared" si="160"/>
        <v>0.75760000000000005</v>
      </c>
      <c r="N766" s="5" t="s">
        <v>347</v>
      </c>
      <c r="O766" s="5" t="s">
        <v>347</v>
      </c>
      <c r="P766" s="5">
        <v>0</v>
      </c>
      <c r="Q766" s="5">
        <v>0</v>
      </c>
      <c r="R766" s="5" t="str">
        <f t="shared" si="156"/>
        <v>303-2023-06-30</v>
      </c>
    </row>
    <row r="767" spans="1:18" x14ac:dyDescent="0.3">
      <c r="A767" s="39">
        <v>303</v>
      </c>
      <c r="B767" s="5" t="s">
        <v>188</v>
      </c>
      <c r="C767" s="5" t="s">
        <v>189</v>
      </c>
      <c r="D767" s="5" t="s">
        <v>8</v>
      </c>
      <c r="E767" s="5" t="s">
        <v>9</v>
      </c>
      <c r="F767" s="6">
        <v>45291</v>
      </c>
      <c r="G767" s="5">
        <f t="shared" si="161"/>
        <v>2023</v>
      </c>
      <c r="H767" s="5" t="str">
        <f t="shared" si="159"/>
        <v>Diciembre</v>
      </c>
      <c r="I767" s="6" t="str">
        <f t="shared" si="162"/>
        <v>2023-2</v>
      </c>
      <c r="J767" s="5">
        <v>100</v>
      </c>
      <c r="K767" s="5">
        <v>79.55</v>
      </c>
      <c r="L767" s="21">
        <f>IFERROR(K767/J767,"")</f>
        <v>0.79549999999999998</v>
      </c>
      <c r="M767" s="15">
        <f t="shared" si="160"/>
        <v>0.79549999999999998</v>
      </c>
      <c r="N767" s="5" t="s">
        <v>347</v>
      </c>
      <c r="O767" s="5" t="s">
        <v>347</v>
      </c>
      <c r="P767" s="5">
        <v>0</v>
      </c>
      <c r="Q767" s="5">
        <v>0</v>
      </c>
      <c r="R767" s="5" t="str">
        <f t="shared" si="156"/>
        <v>303-2023-12-31</v>
      </c>
    </row>
    <row r="768" spans="1:18" x14ac:dyDescent="0.3">
      <c r="A768" s="5">
        <v>303</v>
      </c>
      <c r="B768" s="5" t="s">
        <v>188</v>
      </c>
      <c r="C768" s="5" t="s">
        <v>189</v>
      </c>
      <c r="D768" s="5" t="s">
        <v>8</v>
      </c>
      <c r="E768" s="5" t="s">
        <v>9</v>
      </c>
      <c r="F768" s="6">
        <v>45473</v>
      </c>
      <c r="G768" s="5">
        <f t="shared" si="161"/>
        <v>2024</v>
      </c>
      <c r="H768" s="5" t="str">
        <f t="shared" si="159"/>
        <v>Junio</v>
      </c>
      <c r="I768" s="6" t="str">
        <f t="shared" si="162"/>
        <v>2024-1</v>
      </c>
      <c r="J768" s="5">
        <v>95</v>
      </c>
      <c r="K768" s="5">
        <v>100</v>
      </c>
      <c r="L768" s="15">
        <f t="shared" ref="L768:L773" si="163">IFERROR(IF((K768/J768)&gt;1.3,1.3,K768/J768),"")</f>
        <v>1.0526315789473684</v>
      </c>
      <c r="M768" s="15">
        <f t="shared" si="160"/>
        <v>1.0526315789473684</v>
      </c>
      <c r="N768" s="5" t="s">
        <v>347</v>
      </c>
      <c r="O768" s="5" t="s">
        <v>347</v>
      </c>
      <c r="P768" s="5">
        <v>0</v>
      </c>
      <c r="Q768" s="5">
        <v>0</v>
      </c>
      <c r="R768" s="5" t="str">
        <f t="shared" si="156"/>
        <v>303-2024-06-30</v>
      </c>
    </row>
    <row r="769" spans="1:18" x14ac:dyDescent="0.3">
      <c r="A769" s="5">
        <v>303</v>
      </c>
      <c r="B769" s="5" t="s">
        <v>188</v>
      </c>
      <c r="C769" s="5" t="s">
        <v>189</v>
      </c>
      <c r="D769" s="5" t="s">
        <v>8</v>
      </c>
      <c r="E769" s="5" t="s">
        <v>9</v>
      </c>
      <c r="F769" s="6">
        <v>45657</v>
      </c>
      <c r="G769" s="5">
        <f t="shared" si="161"/>
        <v>2024</v>
      </c>
      <c r="H769" s="5" t="str">
        <f t="shared" si="159"/>
        <v>Diciembre</v>
      </c>
      <c r="I769" s="6" t="str">
        <f t="shared" si="162"/>
        <v>2024-2</v>
      </c>
      <c r="J769" s="5">
        <v>95</v>
      </c>
      <c r="K769" s="5">
        <v>95.652173913043399</v>
      </c>
      <c r="L769" s="15">
        <f t="shared" si="163"/>
        <v>1.0068649885583516</v>
      </c>
      <c r="M769" s="15">
        <f t="shared" si="160"/>
        <v>1.0068649885583516</v>
      </c>
      <c r="N769" s="5" t="s">
        <v>347</v>
      </c>
      <c r="O769" s="5" t="s">
        <v>347</v>
      </c>
      <c r="P769" s="5">
        <v>0</v>
      </c>
      <c r="Q769" s="5">
        <v>0</v>
      </c>
      <c r="R769" s="5" t="str">
        <f t="shared" si="156"/>
        <v>303-2024-12-31</v>
      </c>
    </row>
    <row r="770" spans="1:18" x14ac:dyDescent="0.3">
      <c r="A770" s="43">
        <v>304</v>
      </c>
      <c r="B770" s="5" t="s">
        <v>190</v>
      </c>
      <c r="C770" s="5" t="s">
        <v>189</v>
      </c>
      <c r="D770" s="5" t="s">
        <v>8</v>
      </c>
      <c r="E770" s="5" t="s">
        <v>9</v>
      </c>
      <c r="F770" s="6">
        <v>45107</v>
      </c>
      <c r="G770" s="5">
        <f t="shared" si="161"/>
        <v>2023</v>
      </c>
      <c r="H770" s="5" t="str">
        <f t="shared" si="159"/>
        <v>Junio</v>
      </c>
      <c r="I770" s="6" t="str">
        <f t="shared" si="162"/>
        <v>2023-1</v>
      </c>
      <c r="J770" s="5">
        <v>1863</v>
      </c>
      <c r="K770" s="5">
        <v>3537</v>
      </c>
      <c r="L770" s="15">
        <f t="shared" si="163"/>
        <v>1.3</v>
      </c>
      <c r="M770" s="15">
        <f t="shared" si="160"/>
        <v>1.8985507246376812</v>
      </c>
      <c r="N770" s="5" t="s">
        <v>490</v>
      </c>
      <c r="O770" s="5" t="s">
        <v>490</v>
      </c>
      <c r="P770" s="5">
        <v>0</v>
      </c>
      <c r="Q770" s="5">
        <v>0</v>
      </c>
      <c r="R770" s="5" t="str">
        <f t="shared" ref="R770:R833" si="164">A770&amp;"-"&amp;YEAR(F770)&amp;"-"&amp;IF(LEN(MONTH(F770))=1,"0"&amp;MONTH(F770),MONTH(F770))&amp;"-"&amp;DAY(F770)</f>
        <v>304-2023-06-30</v>
      </c>
    </row>
    <row r="771" spans="1:18" x14ac:dyDescent="0.3">
      <c r="A771" s="39">
        <v>304</v>
      </c>
      <c r="B771" s="5" t="s">
        <v>190</v>
      </c>
      <c r="C771" s="5" t="s">
        <v>189</v>
      </c>
      <c r="D771" s="5" t="s">
        <v>8</v>
      </c>
      <c r="E771" s="5" t="s">
        <v>9</v>
      </c>
      <c r="F771" s="6">
        <v>45291</v>
      </c>
      <c r="G771" s="5">
        <f t="shared" si="161"/>
        <v>2023</v>
      </c>
      <c r="H771" s="5" t="str">
        <f t="shared" si="159"/>
        <v>Diciembre</v>
      </c>
      <c r="I771" s="6" t="str">
        <f t="shared" si="162"/>
        <v>2023-2</v>
      </c>
      <c r="J771" s="5">
        <v>1863</v>
      </c>
      <c r="K771" s="5">
        <v>3285</v>
      </c>
      <c r="L771" s="15">
        <f t="shared" si="163"/>
        <v>1.3</v>
      </c>
      <c r="M771" s="15">
        <f t="shared" si="160"/>
        <v>1.7632850241545894</v>
      </c>
      <c r="N771" s="5" t="s">
        <v>490</v>
      </c>
      <c r="O771" s="5" t="s">
        <v>490</v>
      </c>
      <c r="P771" s="5">
        <v>0</v>
      </c>
      <c r="Q771" s="5">
        <v>0</v>
      </c>
      <c r="R771" s="5" t="str">
        <f t="shared" si="164"/>
        <v>304-2023-12-31</v>
      </c>
    </row>
    <row r="772" spans="1:18" x14ac:dyDescent="0.3">
      <c r="A772" s="5">
        <v>304</v>
      </c>
      <c r="B772" s="5" t="s">
        <v>190</v>
      </c>
      <c r="C772" s="5" t="s">
        <v>189</v>
      </c>
      <c r="D772" s="5" t="s">
        <v>8</v>
      </c>
      <c r="E772" s="5" t="s">
        <v>9</v>
      </c>
      <c r="F772" s="6">
        <v>45473</v>
      </c>
      <c r="G772" s="5">
        <f t="shared" si="161"/>
        <v>2024</v>
      </c>
      <c r="H772" s="5" t="str">
        <f t="shared" si="159"/>
        <v>Junio</v>
      </c>
      <c r="I772" s="6" t="str">
        <f t="shared" si="162"/>
        <v>2024-1</v>
      </c>
      <c r="J772" s="5">
        <v>3400</v>
      </c>
      <c r="K772" s="5">
        <v>3404</v>
      </c>
      <c r="L772" s="15">
        <f t="shared" si="163"/>
        <v>1.0011764705882353</v>
      </c>
      <c r="M772" s="15">
        <f t="shared" si="160"/>
        <v>1.0011764705882353</v>
      </c>
      <c r="N772" s="5" t="s">
        <v>490</v>
      </c>
      <c r="O772" s="5" t="s">
        <v>490</v>
      </c>
      <c r="P772" s="5">
        <v>0</v>
      </c>
      <c r="Q772" s="5">
        <v>0</v>
      </c>
      <c r="R772" s="5" t="str">
        <f t="shared" si="164"/>
        <v>304-2024-06-30</v>
      </c>
    </row>
    <row r="773" spans="1:18" x14ac:dyDescent="0.3">
      <c r="A773" s="5">
        <v>304</v>
      </c>
      <c r="B773" s="5" t="s">
        <v>190</v>
      </c>
      <c r="C773" s="5" t="s">
        <v>189</v>
      </c>
      <c r="D773" s="5" t="s">
        <v>8</v>
      </c>
      <c r="E773" s="5" t="s">
        <v>9</v>
      </c>
      <c r="F773" s="6">
        <v>45657</v>
      </c>
      <c r="G773" s="5">
        <f t="shared" si="161"/>
        <v>2024</v>
      </c>
      <c r="H773" s="5" t="str">
        <f t="shared" si="159"/>
        <v>Diciembre</v>
      </c>
      <c r="I773" s="6" t="str">
        <f t="shared" si="162"/>
        <v>2024-2</v>
      </c>
      <c r="J773" s="5">
        <v>3400</v>
      </c>
      <c r="K773" s="10">
        <v>2841</v>
      </c>
      <c r="L773" s="15">
        <f t="shared" si="163"/>
        <v>0.83558823529411763</v>
      </c>
      <c r="M773" s="15">
        <f t="shared" si="160"/>
        <v>0.83558823529411763</v>
      </c>
      <c r="N773" s="5" t="s">
        <v>490</v>
      </c>
      <c r="O773" s="5" t="s">
        <v>490</v>
      </c>
      <c r="P773" s="5">
        <v>0</v>
      </c>
      <c r="Q773" s="5">
        <v>0</v>
      </c>
      <c r="R773" s="5" t="str">
        <f t="shared" si="164"/>
        <v>304-2024-12-31</v>
      </c>
    </row>
    <row r="774" spans="1:18" x14ac:dyDescent="0.3">
      <c r="A774" s="39">
        <v>305</v>
      </c>
      <c r="B774" s="5" t="s">
        <v>191</v>
      </c>
      <c r="C774" s="5" t="s">
        <v>189</v>
      </c>
      <c r="D774" s="5" t="s">
        <v>25</v>
      </c>
      <c r="E774" s="5" t="s">
        <v>9</v>
      </c>
      <c r="F774" s="6">
        <v>45291</v>
      </c>
      <c r="G774" s="5">
        <f t="shared" si="161"/>
        <v>2023</v>
      </c>
      <c r="H774" s="5" t="str">
        <f t="shared" si="159"/>
        <v>Diciembre</v>
      </c>
      <c r="I774" s="6" t="str">
        <f t="shared" si="162"/>
        <v>2023-2</v>
      </c>
      <c r="J774" s="5">
        <v>100</v>
      </c>
      <c r="K774" s="5">
        <v>100</v>
      </c>
      <c r="L774" s="21">
        <f>IFERROR(K774/J774,"")</f>
        <v>1</v>
      </c>
      <c r="M774" s="15">
        <f t="shared" si="160"/>
        <v>1</v>
      </c>
      <c r="N774" s="5" t="s">
        <v>347</v>
      </c>
      <c r="O774" s="5" t="s">
        <v>347</v>
      </c>
      <c r="P774" s="5">
        <v>0</v>
      </c>
      <c r="Q774" s="5">
        <v>0</v>
      </c>
      <c r="R774" s="5" t="str">
        <f t="shared" si="164"/>
        <v>305-2023-12-31</v>
      </c>
    </row>
    <row r="775" spans="1:18" x14ac:dyDescent="0.3">
      <c r="A775" s="5">
        <v>305</v>
      </c>
      <c r="B775" s="5" t="s">
        <v>191</v>
      </c>
      <c r="C775" s="5" t="s">
        <v>189</v>
      </c>
      <c r="D775" s="5" t="s">
        <v>25</v>
      </c>
      <c r="E775" s="5" t="s">
        <v>9</v>
      </c>
      <c r="F775" s="6">
        <v>45657</v>
      </c>
      <c r="G775" s="5">
        <f t="shared" si="161"/>
        <v>2024</v>
      </c>
      <c r="H775" s="5" t="str">
        <f t="shared" si="159"/>
        <v>Diciembre</v>
      </c>
      <c r="I775" s="6" t="str">
        <f t="shared" si="162"/>
        <v>2024-2</v>
      </c>
      <c r="J775" s="5">
        <v>100</v>
      </c>
      <c r="K775" s="5">
        <v>100</v>
      </c>
      <c r="L775" s="15">
        <f>IFERROR(IF((K775/J775)&gt;1.3,1.3,K775/J775),"")</f>
        <v>1</v>
      </c>
      <c r="M775" s="15">
        <f t="shared" si="160"/>
        <v>1</v>
      </c>
      <c r="N775" s="5"/>
      <c r="O775" s="5"/>
      <c r="P775" s="5">
        <v>0</v>
      </c>
      <c r="Q775" s="5">
        <v>0</v>
      </c>
      <c r="R775" s="5" t="str">
        <f t="shared" si="164"/>
        <v>305-2024-12-31</v>
      </c>
    </row>
    <row r="776" spans="1:18" x14ac:dyDescent="0.3">
      <c r="A776" s="39">
        <v>306</v>
      </c>
      <c r="B776" s="5" t="s">
        <v>192</v>
      </c>
      <c r="C776" s="5" t="s">
        <v>134</v>
      </c>
      <c r="D776" s="5" t="s">
        <v>11</v>
      </c>
      <c r="E776" s="5" t="s">
        <v>9</v>
      </c>
      <c r="F776" s="6">
        <v>45107</v>
      </c>
      <c r="G776" s="5">
        <f t="shared" si="161"/>
        <v>2023</v>
      </c>
      <c r="H776" s="5" t="str">
        <f t="shared" si="159"/>
        <v>Junio</v>
      </c>
      <c r="I776" s="6" t="str">
        <f t="shared" si="162"/>
        <v>2023-1</v>
      </c>
      <c r="J776" s="5">
        <v>100</v>
      </c>
      <c r="K776" s="5">
        <v>120.5</v>
      </c>
      <c r="L776" s="21">
        <f>IFERROR(K776/J776,"")</f>
        <v>1.2050000000000001</v>
      </c>
      <c r="M776" s="15">
        <f t="shared" si="160"/>
        <v>1.2050000000000001</v>
      </c>
      <c r="N776" s="5" t="s">
        <v>347</v>
      </c>
      <c r="O776" s="5" t="s">
        <v>347</v>
      </c>
      <c r="P776" s="5">
        <v>0</v>
      </c>
      <c r="Q776" s="5">
        <v>0</v>
      </c>
      <c r="R776" s="5" t="str">
        <f t="shared" si="164"/>
        <v>306-2023-06-30</v>
      </c>
    </row>
    <row r="777" spans="1:18" x14ac:dyDescent="0.3">
      <c r="A777" s="43">
        <v>306</v>
      </c>
      <c r="B777" s="5" t="s">
        <v>192</v>
      </c>
      <c r="C777" s="5" t="s">
        <v>134</v>
      </c>
      <c r="D777" s="5" t="s">
        <v>11</v>
      </c>
      <c r="E777" s="5" t="s">
        <v>9</v>
      </c>
      <c r="F777" s="6">
        <v>45199</v>
      </c>
      <c r="G777" s="5">
        <f t="shared" si="161"/>
        <v>2023</v>
      </c>
      <c r="H777" s="5" t="str">
        <f t="shared" si="159"/>
        <v>Septiembre</v>
      </c>
      <c r="I777" s="6" t="str">
        <f t="shared" si="162"/>
        <v>2023-2</v>
      </c>
      <c r="J777" s="5">
        <v>100</v>
      </c>
      <c r="K777" s="5">
        <v>103.17</v>
      </c>
      <c r="L777" s="21">
        <f>IFERROR(K777/J777,"")</f>
        <v>1.0317000000000001</v>
      </c>
      <c r="M777" s="15">
        <f t="shared" si="160"/>
        <v>1.0317000000000001</v>
      </c>
      <c r="N777" s="5" t="s">
        <v>347</v>
      </c>
      <c r="O777" s="5" t="s">
        <v>347</v>
      </c>
      <c r="P777" s="5">
        <v>0</v>
      </c>
      <c r="Q777" s="5">
        <v>0</v>
      </c>
      <c r="R777" s="5" t="str">
        <f t="shared" si="164"/>
        <v>306-2023-09-30</v>
      </c>
    </row>
    <row r="778" spans="1:18" x14ac:dyDescent="0.3">
      <c r="A778" s="39">
        <v>306</v>
      </c>
      <c r="B778" s="5" t="s">
        <v>192</v>
      </c>
      <c r="C778" s="5" t="s">
        <v>134</v>
      </c>
      <c r="D778" s="5" t="s">
        <v>11</v>
      </c>
      <c r="E778" s="5" t="s">
        <v>9</v>
      </c>
      <c r="F778" s="6">
        <v>45291</v>
      </c>
      <c r="G778" s="5">
        <f t="shared" si="161"/>
        <v>2023</v>
      </c>
      <c r="H778" s="5" t="str">
        <f t="shared" si="159"/>
        <v>Diciembre</v>
      </c>
      <c r="I778" s="6" t="str">
        <f t="shared" si="162"/>
        <v>2023-2</v>
      </c>
      <c r="J778" s="5">
        <v>100</v>
      </c>
      <c r="K778" s="5">
        <v>104.5</v>
      </c>
      <c r="L778" s="21">
        <f>IFERROR(K778/J778,"")</f>
        <v>1.0449999999999999</v>
      </c>
      <c r="M778" s="15">
        <f t="shared" si="160"/>
        <v>1.0449999999999999</v>
      </c>
      <c r="N778" s="5" t="s">
        <v>347</v>
      </c>
      <c r="O778" s="5" t="s">
        <v>347</v>
      </c>
      <c r="P778" s="5">
        <v>0</v>
      </c>
      <c r="Q778" s="5">
        <v>0</v>
      </c>
      <c r="R778" s="5" t="str">
        <f t="shared" si="164"/>
        <v>306-2023-12-31</v>
      </c>
    </row>
    <row r="779" spans="1:18" x14ac:dyDescent="0.3">
      <c r="A779" s="5">
        <v>306</v>
      </c>
      <c r="B779" s="5" t="s">
        <v>192</v>
      </c>
      <c r="C779" s="5" t="s">
        <v>134</v>
      </c>
      <c r="D779" s="5" t="s">
        <v>11</v>
      </c>
      <c r="E779" s="5" t="s">
        <v>9</v>
      </c>
      <c r="F779" s="6">
        <v>45473</v>
      </c>
      <c r="G779" s="5">
        <f t="shared" si="161"/>
        <v>2024</v>
      </c>
      <c r="H779" s="5" t="str">
        <f t="shared" si="159"/>
        <v>Junio</v>
      </c>
      <c r="I779" s="6" t="str">
        <f t="shared" si="162"/>
        <v>2024-1</v>
      </c>
      <c r="J779" s="5">
        <v>100</v>
      </c>
      <c r="K779" s="5">
        <v>601</v>
      </c>
      <c r="L779" s="15">
        <f>IFERROR(IF((K779/J779)&gt;1.3,1.3,K779/J779),"")</f>
        <v>1.3</v>
      </c>
      <c r="M779" s="15">
        <f t="shared" si="160"/>
        <v>6.01</v>
      </c>
      <c r="N779" s="5"/>
      <c r="O779" s="5"/>
      <c r="P779" s="5">
        <v>0</v>
      </c>
      <c r="Q779" s="5">
        <v>0</v>
      </c>
      <c r="R779" s="5" t="str">
        <f t="shared" si="164"/>
        <v>306-2024-06-30</v>
      </c>
    </row>
    <row r="780" spans="1:18" x14ac:dyDescent="0.3">
      <c r="A780" s="5">
        <v>306</v>
      </c>
      <c r="B780" s="5" t="s">
        <v>192</v>
      </c>
      <c r="C780" s="5" t="s">
        <v>134</v>
      </c>
      <c r="D780" s="5" t="s">
        <v>11</v>
      </c>
      <c r="E780" s="5" t="s">
        <v>9</v>
      </c>
      <c r="F780" s="6">
        <v>45657</v>
      </c>
      <c r="G780" s="5">
        <f t="shared" si="161"/>
        <v>2024</v>
      </c>
      <c r="H780" s="5" t="str">
        <f t="shared" si="159"/>
        <v>Diciembre</v>
      </c>
      <c r="I780" s="6" t="str">
        <f t="shared" si="162"/>
        <v>2024-2</v>
      </c>
      <c r="J780" s="5">
        <v>100</v>
      </c>
      <c r="K780" s="5">
        <v>0</v>
      </c>
      <c r="L780" s="15">
        <f>IFERROR(IF((K780/J780)&gt;1.3,1.3,K780/J780),"")</f>
        <v>0</v>
      </c>
      <c r="M780" s="15">
        <f t="shared" si="160"/>
        <v>0</v>
      </c>
      <c r="N780" s="5"/>
      <c r="O780" s="5"/>
      <c r="P780" s="5">
        <v>0</v>
      </c>
      <c r="Q780" s="5">
        <v>0</v>
      </c>
      <c r="R780" s="5" t="str">
        <f t="shared" si="164"/>
        <v>306-2024-12-31</v>
      </c>
    </row>
    <row r="781" spans="1:18" x14ac:dyDescent="0.3">
      <c r="A781" s="43">
        <v>307</v>
      </c>
      <c r="B781" s="5" t="s">
        <v>193</v>
      </c>
      <c r="C781" s="5" t="s">
        <v>53</v>
      </c>
      <c r="D781" s="5" t="s">
        <v>8</v>
      </c>
      <c r="E781" s="5" t="s">
        <v>9</v>
      </c>
      <c r="F781" s="6">
        <v>45107</v>
      </c>
      <c r="G781" s="5">
        <f t="shared" si="161"/>
        <v>2023</v>
      </c>
      <c r="H781" s="5" t="str">
        <f t="shared" si="159"/>
        <v>Junio</v>
      </c>
      <c r="I781" s="6" t="str">
        <f t="shared" si="162"/>
        <v>2023-1</v>
      </c>
      <c r="J781" s="5">
        <v>20</v>
      </c>
      <c r="K781" s="5">
        <v>25</v>
      </c>
      <c r="L781" s="21" t="s">
        <v>417</v>
      </c>
      <c r="M781" s="15">
        <f t="shared" si="160"/>
        <v>1.25</v>
      </c>
      <c r="N781" s="5"/>
      <c r="O781" s="5"/>
      <c r="P781" s="5">
        <v>0</v>
      </c>
      <c r="Q781" s="5">
        <v>0</v>
      </c>
      <c r="R781" s="5" t="str">
        <f t="shared" si="164"/>
        <v>307-2023-06-30</v>
      </c>
    </row>
    <row r="782" spans="1:18" x14ac:dyDescent="0.3">
      <c r="A782" s="39">
        <v>307</v>
      </c>
      <c r="B782" s="5" t="s">
        <v>193</v>
      </c>
      <c r="C782" s="5" t="s">
        <v>53</v>
      </c>
      <c r="D782" s="5" t="s">
        <v>8</v>
      </c>
      <c r="E782" s="5" t="s">
        <v>9</v>
      </c>
      <c r="F782" s="6">
        <v>45291</v>
      </c>
      <c r="G782" s="5">
        <f t="shared" si="161"/>
        <v>2023</v>
      </c>
      <c r="H782" s="5" t="str">
        <f t="shared" si="159"/>
        <v>Diciembre</v>
      </c>
      <c r="I782" s="6" t="str">
        <f t="shared" si="162"/>
        <v>2023-2</v>
      </c>
      <c r="J782" s="5">
        <v>26</v>
      </c>
      <c r="K782" s="5">
        <v>82</v>
      </c>
      <c r="L782" s="21">
        <f>IFERROR(K782/J782,"")</f>
        <v>3.1538461538461537</v>
      </c>
      <c r="M782" s="15">
        <f t="shared" ref="M782:M813" si="165">IFERROR(K782/J782,"")</f>
        <v>3.1538461538461537</v>
      </c>
      <c r="N782" s="5"/>
      <c r="O782" s="5"/>
      <c r="P782" s="5">
        <v>0</v>
      </c>
      <c r="Q782" s="5">
        <v>0</v>
      </c>
      <c r="R782" s="5" t="str">
        <f t="shared" si="164"/>
        <v>307-2023-12-31</v>
      </c>
    </row>
    <row r="783" spans="1:18" x14ac:dyDescent="0.3">
      <c r="A783" s="5">
        <v>307</v>
      </c>
      <c r="B783" s="5" t="s">
        <v>193</v>
      </c>
      <c r="C783" s="5" t="s">
        <v>53</v>
      </c>
      <c r="D783" s="5" t="s">
        <v>8</v>
      </c>
      <c r="E783" s="5" t="s">
        <v>9</v>
      </c>
      <c r="F783" s="6">
        <v>45473</v>
      </c>
      <c r="G783" s="5">
        <f t="shared" si="161"/>
        <v>2024</v>
      </c>
      <c r="H783" s="5" t="str">
        <f t="shared" si="159"/>
        <v>Junio</v>
      </c>
      <c r="I783" s="6" t="str">
        <f t="shared" si="162"/>
        <v>2024-1</v>
      </c>
      <c r="J783" s="5">
        <v>100</v>
      </c>
      <c r="K783" s="5">
        <v>112</v>
      </c>
      <c r="L783" s="15">
        <f>IFERROR(IF((K783/J783)&gt;1.3,1.3,K783/J783),"")</f>
        <v>1.1200000000000001</v>
      </c>
      <c r="M783" s="15">
        <f t="shared" si="165"/>
        <v>1.1200000000000001</v>
      </c>
      <c r="N783" s="5"/>
      <c r="O783" s="5"/>
      <c r="P783" s="5">
        <v>0</v>
      </c>
      <c r="Q783" s="5">
        <v>0</v>
      </c>
      <c r="R783" s="5" t="str">
        <f t="shared" si="164"/>
        <v>307-2024-06-30</v>
      </c>
    </row>
    <row r="784" spans="1:18" x14ac:dyDescent="0.3">
      <c r="A784" s="5">
        <v>307</v>
      </c>
      <c r="B784" s="5" t="s">
        <v>193</v>
      </c>
      <c r="C784" s="5" t="s">
        <v>53</v>
      </c>
      <c r="D784" s="5" t="s">
        <v>8</v>
      </c>
      <c r="E784" s="5" t="s">
        <v>9</v>
      </c>
      <c r="F784" s="6">
        <v>45657</v>
      </c>
      <c r="G784" s="5">
        <f t="shared" si="161"/>
        <v>2024</v>
      </c>
      <c r="H784" s="5" t="str">
        <f t="shared" si="159"/>
        <v>Diciembre</v>
      </c>
      <c r="I784" s="6" t="str">
        <f t="shared" si="162"/>
        <v>2024-2</v>
      </c>
      <c r="J784" s="5">
        <v>100</v>
      </c>
      <c r="K784" s="5">
        <v>413.33</v>
      </c>
      <c r="L784" s="15">
        <f>IFERROR(IF((K784/J784)&gt;1.3,1.3,K784/J784),"")</f>
        <v>1.3</v>
      </c>
      <c r="M784" s="15">
        <f t="shared" si="165"/>
        <v>4.1333000000000002</v>
      </c>
      <c r="N784" s="5"/>
      <c r="O784" s="5"/>
      <c r="P784" s="5">
        <v>0</v>
      </c>
      <c r="Q784" s="5">
        <v>0</v>
      </c>
      <c r="R784" s="5" t="str">
        <f t="shared" si="164"/>
        <v>307-2024-12-31</v>
      </c>
    </row>
    <row r="785" spans="1:18" x14ac:dyDescent="0.3">
      <c r="A785" s="43">
        <v>308</v>
      </c>
      <c r="B785" s="5" t="s">
        <v>194</v>
      </c>
      <c r="C785" s="5" t="s">
        <v>53</v>
      </c>
      <c r="D785" s="5" t="s">
        <v>8</v>
      </c>
      <c r="E785" s="5" t="s">
        <v>9</v>
      </c>
      <c r="F785" s="6">
        <v>45107</v>
      </c>
      <c r="G785" s="5">
        <f t="shared" si="161"/>
        <v>2023</v>
      </c>
      <c r="H785" s="5" t="str">
        <f t="shared" si="159"/>
        <v>Junio</v>
      </c>
      <c r="I785" s="6" t="str">
        <f t="shared" si="162"/>
        <v>2023-1</v>
      </c>
      <c r="J785" s="5">
        <v>12</v>
      </c>
      <c r="K785" s="3">
        <v>27</v>
      </c>
      <c r="L785" s="21">
        <f>IFERROR(K785/J785,"")</f>
        <v>2.25</v>
      </c>
      <c r="M785" s="15">
        <f t="shared" si="165"/>
        <v>2.25</v>
      </c>
      <c r="N785" s="5"/>
      <c r="O785" s="5"/>
      <c r="P785" s="5">
        <v>0</v>
      </c>
      <c r="Q785" s="5">
        <v>0</v>
      </c>
      <c r="R785" s="5" t="str">
        <f t="shared" si="164"/>
        <v>308-2023-06-30</v>
      </c>
    </row>
    <row r="786" spans="1:18" x14ac:dyDescent="0.3">
      <c r="A786" s="39">
        <v>308</v>
      </c>
      <c r="B786" s="5" t="s">
        <v>194</v>
      </c>
      <c r="C786" s="5" t="s">
        <v>53</v>
      </c>
      <c r="D786" s="5" t="s">
        <v>8</v>
      </c>
      <c r="E786" s="5" t="s">
        <v>9</v>
      </c>
      <c r="F786" s="6">
        <v>45291</v>
      </c>
      <c r="G786" s="5">
        <f t="shared" si="161"/>
        <v>2023</v>
      </c>
      <c r="H786" s="5" t="str">
        <f t="shared" si="159"/>
        <v>Diciembre</v>
      </c>
      <c r="I786" s="6" t="str">
        <f t="shared" si="162"/>
        <v>2023-2</v>
      </c>
      <c r="J786" s="5">
        <v>20</v>
      </c>
      <c r="K786" s="3">
        <v>54</v>
      </c>
      <c r="L786" s="21">
        <f>IFERROR(K786/J786,"")</f>
        <v>2.7</v>
      </c>
      <c r="M786" s="15">
        <f t="shared" si="165"/>
        <v>2.7</v>
      </c>
      <c r="N786" s="5"/>
      <c r="O786" s="5"/>
      <c r="P786" s="5">
        <v>0</v>
      </c>
      <c r="Q786" s="5">
        <v>0</v>
      </c>
      <c r="R786" s="5" t="str">
        <f t="shared" si="164"/>
        <v>308-2023-12-31</v>
      </c>
    </row>
    <row r="787" spans="1:18" x14ac:dyDescent="0.3">
      <c r="A787" s="5">
        <v>308</v>
      </c>
      <c r="B787" s="5" t="s">
        <v>194</v>
      </c>
      <c r="C787" s="5" t="s">
        <v>53</v>
      </c>
      <c r="D787" s="5" t="s">
        <v>8</v>
      </c>
      <c r="E787" s="5" t="s">
        <v>9</v>
      </c>
      <c r="F787" s="6">
        <v>45473</v>
      </c>
      <c r="G787" s="5">
        <f t="shared" si="161"/>
        <v>2024</v>
      </c>
      <c r="H787" s="5" t="str">
        <f t="shared" si="159"/>
        <v>Junio</v>
      </c>
      <c r="I787" s="6" t="str">
        <f t="shared" si="162"/>
        <v>2024-1</v>
      </c>
      <c r="J787" s="5">
        <v>100</v>
      </c>
      <c r="K787" s="5">
        <v>100</v>
      </c>
      <c r="L787" s="15">
        <f>IFERROR(IF((K787/J787)&gt;1.3,1.3,K787/J787),"")</f>
        <v>1</v>
      </c>
      <c r="M787" s="15">
        <f t="shared" si="165"/>
        <v>1</v>
      </c>
      <c r="N787" s="5"/>
      <c r="O787" s="5"/>
      <c r="P787" s="5">
        <v>0</v>
      </c>
      <c r="Q787" s="5">
        <v>0</v>
      </c>
      <c r="R787" s="5" t="str">
        <f t="shared" si="164"/>
        <v>308-2024-06-30</v>
      </c>
    </row>
    <row r="788" spans="1:18" x14ac:dyDescent="0.3">
      <c r="A788" s="5">
        <v>308</v>
      </c>
      <c r="B788" s="5" t="s">
        <v>194</v>
      </c>
      <c r="C788" s="5" t="s">
        <v>53</v>
      </c>
      <c r="D788" s="5" t="s">
        <v>8</v>
      </c>
      <c r="E788" s="5" t="s">
        <v>9</v>
      </c>
      <c r="F788" s="6">
        <v>45657</v>
      </c>
      <c r="G788" s="5">
        <f t="shared" si="161"/>
        <v>2024</v>
      </c>
      <c r="H788" s="5" t="str">
        <f t="shared" si="159"/>
        <v>Diciembre</v>
      </c>
      <c r="I788" s="6" t="str">
        <f t="shared" si="162"/>
        <v>2024-2</v>
      </c>
      <c r="J788" s="5">
        <v>100</v>
      </c>
      <c r="K788" s="5">
        <v>100</v>
      </c>
      <c r="L788" s="15">
        <f>IFERROR(IF((K788/J788)&gt;1.3,1.3,K788/J788),"")</f>
        <v>1</v>
      </c>
      <c r="M788" s="15">
        <f t="shared" si="165"/>
        <v>1</v>
      </c>
      <c r="N788" s="5"/>
      <c r="O788" s="5"/>
      <c r="P788" s="5">
        <v>0</v>
      </c>
      <c r="Q788" s="5">
        <v>0</v>
      </c>
      <c r="R788" s="5" t="str">
        <f t="shared" si="164"/>
        <v>308-2024-12-31</v>
      </c>
    </row>
    <row r="789" spans="1:18" x14ac:dyDescent="0.3">
      <c r="A789" s="43">
        <v>309</v>
      </c>
      <c r="B789" s="5" t="s">
        <v>195</v>
      </c>
      <c r="C789" s="5" t="s">
        <v>53</v>
      </c>
      <c r="D789" s="5" t="s">
        <v>8</v>
      </c>
      <c r="E789" s="5" t="s">
        <v>9</v>
      </c>
      <c r="F789" s="6">
        <v>45107</v>
      </c>
      <c r="G789" s="5">
        <f t="shared" si="161"/>
        <v>2023</v>
      </c>
      <c r="H789" s="5" t="str">
        <f t="shared" si="159"/>
        <v>Junio</v>
      </c>
      <c r="I789" s="6" t="str">
        <f t="shared" si="162"/>
        <v>2023-1</v>
      </c>
      <c r="J789" s="5">
        <v>19</v>
      </c>
      <c r="K789" s="3">
        <v>27</v>
      </c>
      <c r="L789" s="21">
        <f>IFERROR(K789/J789,"")</f>
        <v>1.4210526315789473</v>
      </c>
      <c r="M789" s="15">
        <f t="shared" si="165"/>
        <v>1.4210526315789473</v>
      </c>
      <c r="N789" s="5"/>
      <c r="O789" s="5"/>
      <c r="P789" s="5">
        <v>0</v>
      </c>
      <c r="Q789" s="5">
        <v>0</v>
      </c>
      <c r="R789" s="5" t="str">
        <f t="shared" si="164"/>
        <v>309-2023-06-30</v>
      </c>
    </row>
    <row r="790" spans="1:18" x14ac:dyDescent="0.3">
      <c r="A790" s="39">
        <v>309</v>
      </c>
      <c r="B790" s="5" t="s">
        <v>195</v>
      </c>
      <c r="C790" s="5" t="s">
        <v>53</v>
      </c>
      <c r="D790" s="5" t="s">
        <v>8</v>
      </c>
      <c r="E790" s="5" t="s">
        <v>9</v>
      </c>
      <c r="F790" s="6">
        <v>45291</v>
      </c>
      <c r="G790" s="5">
        <f t="shared" si="161"/>
        <v>2023</v>
      </c>
      <c r="H790" s="5" t="str">
        <f t="shared" si="159"/>
        <v>Diciembre</v>
      </c>
      <c r="I790" s="6" t="str">
        <f t="shared" si="162"/>
        <v>2023-2</v>
      </c>
      <c r="J790" s="5">
        <v>45</v>
      </c>
      <c r="K790" s="3">
        <v>76</v>
      </c>
      <c r="L790" s="21">
        <f>IFERROR(K790/J790,"")</f>
        <v>1.6888888888888889</v>
      </c>
      <c r="M790" s="15">
        <f t="shared" si="165"/>
        <v>1.6888888888888889</v>
      </c>
      <c r="N790" s="5"/>
      <c r="O790" s="5"/>
      <c r="P790" s="5">
        <v>0</v>
      </c>
      <c r="Q790" s="5">
        <v>0</v>
      </c>
      <c r="R790" s="5" t="str">
        <f t="shared" si="164"/>
        <v>309-2023-12-31</v>
      </c>
    </row>
    <row r="791" spans="1:18" x14ac:dyDescent="0.3">
      <c r="A791" s="5">
        <v>309</v>
      </c>
      <c r="B791" s="5" t="s">
        <v>730</v>
      </c>
      <c r="C791" s="5" t="s">
        <v>53</v>
      </c>
      <c r="D791" s="5" t="s">
        <v>8</v>
      </c>
      <c r="E791" s="5" t="s">
        <v>9</v>
      </c>
      <c r="F791" s="6">
        <v>45473</v>
      </c>
      <c r="G791" s="5">
        <f t="shared" si="161"/>
        <v>2024</v>
      </c>
      <c r="H791" s="5" t="str">
        <f t="shared" si="159"/>
        <v>Junio</v>
      </c>
      <c r="I791" s="6" t="str">
        <f t="shared" ref="I791:I822" si="166">IF(OR(H791="Enero",H791="Febrero",H791="Marzo",H791="Abril",H791="Mayo",H791="Junio"),G791&amp;"-1",IF(OR(H791="Julio",H791="Agosto",H791="Septiembre",H791="Octubre",H791="Noviembre",H791="Diciembre"),G791&amp;"-2"))</f>
        <v>2024-1</v>
      </c>
      <c r="J791" s="5">
        <v>100</v>
      </c>
      <c r="K791" s="5">
        <v>216</v>
      </c>
      <c r="L791" s="15">
        <f>IFERROR(IF((K791/J791)&gt;1.3,1.3,K791/J791),"")</f>
        <v>1.3</v>
      </c>
      <c r="M791" s="15">
        <f t="shared" si="165"/>
        <v>2.16</v>
      </c>
      <c r="N791" s="5"/>
      <c r="O791" s="5"/>
      <c r="P791" s="5">
        <v>0</v>
      </c>
      <c r="Q791" s="5">
        <v>0</v>
      </c>
      <c r="R791" s="5" t="str">
        <f t="shared" si="164"/>
        <v>309-2024-06-30</v>
      </c>
    </row>
    <row r="792" spans="1:18" x14ac:dyDescent="0.3">
      <c r="A792" s="5">
        <v>309</v>
      </c>
      <c r="B792" s="5" t="s">
        <v>730</v>
      </c>
      <c r="C792" s="5" t="s">
        <v>53</v>
      </c>
      <c r="D792" s="5" t="s">
        <v>8</v>
      </c>
      <c r="E792" s="5" t="s">
        <v>9</v>
      </c>
      <c r="F792" s="6">
        <v>45657</v>
      </c>
      <c r="G792" s="5">
        <f t="shared" si="161"/>
        <v>2024</v>
      </c>
      <c r="H792" s="5" t="str">
        <f t="shared" si="159"/>
        <v>Diciembre</v>
      </c>
      <c r="I792" s="6" t="str">
        <f t="shared" si="166"/>
        <v>2024-2</v>
      </c>
      <c r="J792" s="5">
        <v>100</v>
      </c>
      <c r="K792" s="5">
        <v>154.66999999999999</v>
      </c>
      <c r="L792" s="15">
        <f>IFERROR(IF((K792/J792)&gt;1.3,1.3,K792/J792),"")</f>
        <v>1.3</v>
      </c>
      <c r="M792" s="15">
        <f t="shared" si="165"/>
        <v>1.5467</v>
      </c>
      <c r="N792" s="5"/>
      <c r="O792" s="5"/>
      <c r="P792" s="5">
        <v>0</v>
      </c>
      <c r="Q792" s="5">
        <v>0</v>
      </c>
      <c r="R792" s="5" t="str">
        <f t="shared" si="164"/>
        <v>309-2024-12-31</v>
      </c>
    </row>
    <row r="793" spans="1:18" x14ac:dyDescent="0.3">
      <c r="A793" s="43">
        <v>310</v>
      </c>
      <c r="B793" s="5" t="s">
        <v>196</v>
      </c>
      <c r="C793" s="5" t="s">
        <v>53</v>
      </c>
      <c r="D793" s="5" t="s">
        <v>8</v>
      </c>
      <c r="E793" s="5" t="s">
        <v>9</v>
      </c>
      <c r="F793" s="6">
        <v>45107</v>
      </c>
      <c r="G793" s="5">
        <f t="shared" si="161"/>
        <v>2023</v>
      </c>
      <c r="H793" s="5" t="str">
        <f t="shared" si="159"/>
        <v>Junio</v>
      </c>
      <c r="I793" s="6" t="str">
        <f t="shared" si="166"/>
        <v>2023-1</v>
      </c>
      <c r="J793" s="5">
        <v>14</v>
      </c>
      <c r="K793" s="5">
        <v>48</v>
      </c>
      <c r="L793" s="21">
        <f>IFERROR(K793/J793,"")</f>
        <v>3.4285714285714284</v>
      </c>
      <c r="M793" s="15">
        <f t="shared" si="165"/>
        <v>3.4285714285714284</v>
      </c>
      <c r="N793" s="5"/>
      <c r="O793" s="5"/>
      <c r="P793" s="5">
        <v>0</v>
      </c>
      <c r="Q793" s="5">
        <v>0</v>
      </c>
      <c r="R793" s="5" t="str">
        <f t="shared" si="164"/>
        <v>310-2023-06-30</v>
      </c>
    </row>
    <row r="794" spans="1:18" x14ac:dyDescent="0.3">
      <c r="A794" s="39">
        <v>310</v>
      </c>
      <c r="B794" s="5" t="s">
        <v>196</v>
      </c>
      <c r="C794" s="5" t="s">
        <v>53</v>
      </c>
      <c r="D794" s="5" t="s">
        <v>8</v>
      </c>
      <c r="E794" s="5" t="s">
        <v>9</v>
      </c>
      <c r="F794" s="6">
        <v>45291</v>
      </c>
      <c r="G794" s="5">
        <f t="shared" si="161"/>
        <v>2023</v>
      </c>
      <c r="H794" s="5" t="str">
        <f t="shared" si="159"/>
        <v>Diciembre</v>
      </c>
      <c r="I794" s="6" t="str">
        <f t="shared" si="166"/>
        <v>2023-2</v>
      </c>
      <c r="J794" s="5">
        <v>70</v>
      </c>
      <c r="K794" s="5">
        <v>118</v>
      </c>
      <c r="L794" s="21">
        <f>IFERROR(K794/J794,"")</f>
        <v>1.6857142857142857</v>
      </c>
      <c r="M794" s="15">
        <f t="shared" si="165"/>
        <v>1.6857142857142857</v>
      </c>
      <c r="N794" s="5"/>
      <c r="O794" s="5"/>
      <c r="P794" s="5">
        <v>0</v>
      </c>
      <c r="Q794" s="5">
        <v>0</v>
      </c>
      <c r="R794" s="5" t="str">
        <f t="shared" si="164"/>
        <v>310-2023-12-31</v>
      </c>
    </row>
    <row r="795" spans="1:18" x14ac:dyDescent="0.3">
      <c r="A795" s="5">
        <v>310</v>
      </c>
      <c r="B795" s="5" t="s">
        <v>196</v>
      </c>
      <c r="C795" s="5" t="s">
        <v>53</v>
      </c>
      <c r="D795" s="5" t="s">
        <v>8</v>
      </c>
      <c r="E795" s="5" t="s">
        <v>9</v>
      </c>
      <c r="F795" s="6">
        <v>45473</v>
      </c>
      <c r="G795" s="5">
        <f t="shared" si="161"/>
        <v>2024</v>
      </c>
      <c r="H795" s="5" t="str">
        <f t="shared" si="159"/>
        <v>Junio</v>
      </c>
      <c r="I795" s="6" t="str">
        <f t="shared" si="166"/>
        <v>2024-1</v>
      </c>
      <c r="J795" s="5">
        <v>100</v>
      </c>
      <c r="K795" s="5">
        <v>95.56</v>
      </c>
      <c r="L795" s="15">
        <f>IFERROR(IF((K795/J795)&gt;1.3,1.3,K795/J795),"")</f>
        <v>0.9556</v>
      </c>
      <c r="M795" s="15">
        <f t="shared" si="165"/>
        <v>0.9556</v>
      </c>
      <c r="N795" s="5"/>
      <c r="O795" s="5"/>
      <c r="P795" s="5">
        <v>0</v>
      </c>
      <c r="Q795" s="5">
        <v>0</v>
      </c>
      <c r="R795" s="5" t="str">
        <f t="shared" si="164"/>
        <v>310-2024-06-30</v>
      </c>
    </row>
    <row r="796" spans="1:18" x14ac:dyDescent="0.3">
      <c r="A796" s="5">
        <v>310</v>
      </c>
      <c r="B796" s="5" t="s">
        <v>196</v>
      </c>
      <c r="C796" s="5" t="s">
        <v>53</v>
      </c>
      <c r="D796" s="5" t="s">
        <v>8</v>
      </c>
      <c r="E796" s="5" t="s">
        <v>9</v>
      </c>
      <c r="F796" s="6">
        <v>45657</v>
      </c>
      <c r="G796" s="5">
        <f t="shared" si="161"/>
        <v>2024</v>
      </c>
      <c r="H796" s="5" t="str">
        <f t="shared" si="159"/>
        <v>Diciembre</v>
      </c>
      <c r="I796" s="6" t="str">
        <f t="shared" si="166"/>
        <v>2024-2</v>
      </c>
      <c r="J796" s="5">
        <v>100</v>
      </c>
      <c r="K796" s="5">
        <v>79.13</v>
      </c>
      <c r="L796" s="15">
        <f>IFERROR(IF((K796/J796)&gt;1.3,1.3,K796/J796),"")</f>
        <v>0.7913</v>
      </c>
      <c r="M796" s="15">
        <f t="shared" si="165"/>
        <v>0.7913</v>
      </c>
      <c r="N796" s="5"/>
      <c r="O796" s="5"/>
      <c r="P796" s="5">
        <v>0</v>
      </c>
      <c r="Q796" s="5">
        <v>0</v>
      </c>
      <c r="R796" s="5" t="str">
        <f t="shared" si="164"/>
        <v>310-2024-12-31</v>
      </c>
    </row>
    <row r="797" spans="1:18" x14ac:dyDescent="0.3">
      <c r="A797" s="43">
        <v>311</v>
      </c>
      <c r="B797" s="5" t="s">
        <v>197</v>
      </c>
      <c r="C797" s="5" t="s">
        <v>53</v>
      </c>
      <c r="D797" s="5" t="s">
        <v>8</v>
      </c>
      <c r="E797" s="5" t="s">
        <v>9</v>
      </c>
      <c r="F797" s="6">
        <v>45107</v>
      </c>
      <c r="G797" s="5">
        <f t="shared" si="161"/>
        <v>2023</v>
      </c>
      <c r="H797" s="5" t="str">
        <f t="shared" si="159"/>
        <v>Junio</v>
      </c>
      <c r="I797" s="6" t="str">
        <f t="shared" si="166"/>
        <v>2023-1</v>
      </c>
      <c r="J797" s="5">
        <v>22</v>
      </c>
      <c r="K797" s="5">
        <v>85</v>
      </c>
      <c r="L797" s="21">
        <f>IFERROR(K797/J797,"")</f>
        <v>3.8636363636363638</v>
      </c>
      <c r="M797" s="15">
        <f t="shared" si="165"/>
        <v>3.8636363636363638</v>
      </c>
      <c r="N797" s="5"/>
      <c r="O797" s="5"/>
      <c r="P797" s="5">
        <v>0</v>
      </c>
      <c r="Q797" s="5">
        <v>0</v>
      </c>
      <c r="R797" s="5" t="str">
        <f t="shared" si="164"/>
        <v>311-2023-06-30</v>
      </c>
    </row>
    <row r="798" spans="1:18" x14ac:dyDescent="0.3">
      <c r="A798" s="39">
        <v>311</v>
      </c>
      <c r="B798" s="5" t="s">
        <v>197</v>
      </c>
      <c r="C798" s="5" t="s">
        <v>53</v>
      </c>
      <c r="D798" s="5" t="s">
        <v>8</v>
      </c>
      <c r="E798" s="5" t="s">
        <v>9</v>
      </c>
      <c r="F798" s="6">
        <v>45291</v>
      </c>
      <c r="G798" s="5">
        <f t="shared" si="161"/>
        <v>2023</v>
      </c>
      <c r="H798" s="5" t="str">
        <f t="shared" si="159"/>
        <v>Diciembre</v>
      </c>
      <c r="I798" s="6" t="str">
        <f t="shared" si="166"/>
        <v>2023-2</v>
      </c>
      <c r="J798" s="5">
        <v>245</v>
      </c>
      <c r="K798" s="5">
        <v>247</v>
      </c>
      <c r="L798" s="21">
        <f>IFERROR(K798/J798,"")</f>
        <v>1.0081632653061225</v>
      </c>
      <c r="M798" s="15">
        <f t="shared" si="165"/>
        <v>1.0081632653061225</v>
      </c>
      <c r="N798" s="5"/>
      <c r="O798" s="5"/>
      <c r="P798" s="5">
        <v>0</v>
      </c>
      <c r="Q798" s="5">
        <v>0</v>
      </c>
      <c r="R798" s="5" t="str">
        <f t="shared" si="164"/>
        <v>311-2023-12-31</v>
      </c>
    </row>
    <row r="799" spans="1:18" x14ac:dyDescent="0.3">
      <c r="A799" s="5">
        <v>311</v>
      </c>
      <c r="B799" s="5" t="s">
        <v>197</v>
      </c>
      <c r="C799" s="5" t="s">
        <v>53</v>
      </c>
      <c r="D799" s="5" t="s">
        <v>8</v>
      </c>
      <c r="E799" s="5" t="s">
        <v>9</v>
      </c>
      <c r="F799" s="6">
        <v>45473</v>
      </c>
      <c r="G799" s="5">
        <f t="shared" si="161"/>
        <v>2024</v>
      </c>
      <c r="H799" s="5" t="str">
        <f t="shared" si="159"/>
        <v>Junio</v>
      </c>
      <c r="I799" s="6" t="str">
        <f t="shared" si="166"/>
        <v>2024-1</v>
      </c>
      <c r="J799" s="5">
        <v>100</v>
      </c>
      <c r="K799" s="5">
        <v>117.65</v>
      </c>
      <c r="L799" s="15">
        <f>IFERROR(IF((K799/J799)&gt;1.3,1.3,K799/J799),"")</f>
        <v>1.1765000000000001</v>
      </c>
      <c r="M799" s="15">
        <f t="shared" si="165"/>
        <v>1.1765000000000001</v>
      </c>
      <c r="N799" s="5"/>
      <c r="O799" s="5"/>
      <c r="P799" s="5">
        <v>0</v>
      </c>
      <c r="Q799" s="5">
        <v>0</v>
      </c>
      <c r="R799" s="5" t="str">
        <f t="shared" si="164"/>
        <v>311-2024-06-30</v>
      </c>
    </row>
    <row r="800" spans="1:18" x14ac:dyDescent="0.3">
      <c r="A800" s="5">
        <v>311</v>
      </c>
      <c r="B800" s="5" t="s">
        <v>197</v>
      </c>
      <c r="C800" s="5" t="s">
        <v>53</v>
      </c>
      <c r="D800" s="5" t="s">
        <v>8</v>
      </c>
      <c r="E800" s="5" t="s">
        <v>9</v>
      </c>
      <c r="F800" s="6">
        <v>45657</v>
      </c>
      <c r="G800" s="5">
        <f t="shared" si="161"/>
        <v>2024</v>
      </c>
      <c r="H800" s="5" t="str">
        <f t="shared" ref="H800:H863" si="167">PROPER(TEXT(F800,"mmmm"))</f>
        <v>Diciembre</v>
      </c>
      <c r="I800" s="6" t="str">
        <f t="shared" si="166"/>
        <v>2024-2</v>
      </c>
      <c r="J800" s="5">
        <v>100</v>
      </c>
      <c r="K800" s="5">
        <v>67.760000000000005</v>
      </c>
      <c r="L800" s="15">
        <f>IFERROR(IF((K800/J800)&gt;1.3,1.3,K800/J800),"")</f>
        <v>0.67760000000000009</v>
      </c>
      <c r="M800" s="15">
        <f t="shared" si="165"/>
        <v>0.67760000000000009</v>
      </c>
      <c r="N800" s="5"/>
      <c r="O800" s="5"/>
      <c r="P800" s="5">
        <v>0</v>
      </c>
      <c r="Q800" s="5">
        <v>0</v>
      </c>
      <c r="R800" s="5" t="str">
        <f t="shared" si="164"/>
        <v>311-2024-12-31</v>
      </c>
    </row>
    <row r="801" spans="1:18" x14ac:dyDescent="0.3">
      <c r="A801" s="43">
        <v>312</v>
      </c>
      <c r="B801" s="5" t="s">
        <v>198</v>
      </c>
      <c r="C801" s="5" t="s">
        <v>53</v>
      </c>
      <c r="D801" s="5" t="s">
        <v>8</v>
      </c>
      <c r="E801" s="5" t="s">
        <v>9</v>
      </c>
      <c r="F801" s="6">
        <v>45107</v>
      </c>
      <c r="G801" s="5">
        <f t="shared" si="161"/>
        <v>2023</v>
      </c>
      <c r="H801" s="5" t="str">
        <f t="shared" si="167"/>
        <v>Junio</v>
      </c>
      <c r="I801" s="6" t="str">
        <f t="shared" si="166"/>
        <v>2023-1</v>
      </c>
      <c r="J801" s="5">
        <v>113</v>
      </c>
      <c r="K801" s="5">
        <v>125</v>
      </c>
      <c r="L801" s="21">
        <f>IFERROR(K801/J801,"")</f>
        <v>1.1061946902654867</v>
      </c>
      <c r="M801" s="15">
        <f t="shared" si="165"/>
        <v>1.1061946902654867</v>
      </c>
      <c r="N801" s="5"/>
      <c r="O801" s="5"/>
      <c r="P801" s="5">
        <v>0</v>
      </c>
      <c r="Q801" s="5">
        <v>0</v>
      </c>
      <c r="R801" s="5" t="str">
        <f t="shared" si="164"/>
        <v>312-2023-06-30</v>
      </c>
    </row>
    <row r="802" spans="1:18" x14ac:dyDescent="0.3">
      <c r="A802" s="39">
        <v>312</v>
      </c>
      <c r="B802" s="5" t="s">
        <v>198</v>
      </c>
      <c r="C802" s="5" t="s">
        <v>53</v>
      </c>
      <c r="D802" s="5" t="s">
        <v>8</v>
      </c>
      <c r="E802" s="5" t="s">
        <v>9</v>
      </c>
      <c r="F802" s="6">
        <v>45291</v>
      </c>
      <c r="G802" s="5">
        <f t="shared" si="161"/>
        <v>2023</v>
      </c>
      <c r="H802" s="5" t="str">
        <f t="shared" si="167"/>
        <v>Diciembre</v>
      </c>
      <c r="I802" s="6" t="str">
        <f t="shared" si="166"/>
        <v>2023-2</v>
      </c>
      <c r="J802" s="5">
        <v>108</v>
      </c>
      <c r="K802" s="5">
        <v>118</v>
      </c>
      <c r="L802" s="21">
        <f>IFERROR(K802/J802,"")</f>
        <v>1.0925925925925926</v>
      </c>
      <c r="M802" s="15">
        <f t="shared" si="165"/>
        <v>1.0925925925925926</v>
      </c>
      <c r="N802" s="5"/>
      <c r="O802" s="5"/>
      <c r="P802" s="5">
        <v>0</v>
      </c>
      <c r="Q802" s="5">
        <v>0</v>
      </c>
      <c r="R802" s="5" t="str">
        <f t="shared" si="164"/>
        <v>312-2023-12-31</v>
      </c>
    </row>
    <row r="803" spans="1:18" x14ac:dyDescent="0.3">
      <c r="A803" s="5">
        <v>312</v>
      </c>
      <c r="B803" s="5" t="s">
        <v>198</v>
      </c>
      <c r="C803" s="5" t="s">
        <v>53</v>
      </c>
      <c r="D803" s="5" t="s">
        <v>8</v>
      </c>
      <c r="E803" s="5" t="s">
        <v>9</v>
      </c>
      <c r="F803" s="6">
        <v>45473</v>
      </c>
      <c r="G803" s="5">
        <f t="shared" si="161"/>
        <v>2024</v>
      </c>
      <c r="H803" s="5" t="str">
        <f t="shared" si="167"/>
        <v>Junio</v>
      </c>
      <c r="I803" s="6" t="str">
        <f t="shared" si="166"/>
        <v>2024-1</v>
      </c>
      <c r="J803" s="5">
        <v>100</v>
      </c>
      <c r="K803" s="5">
        <v>126</v>
      </c>
      <c r="L803" s="15">
        <f>IFERROR(IF((K803/J803)&gt;1.3,1.3,K803/J803),"")</f>
        <v>1.26</v>
      </c>
      <c r="M803" s="15">
        <f t="shared" si="165"/>
        <v>1.26</v>
      </c>
      <c r="N803" s="5"/>
      <c r="O803" s="5"/>
      <c r="P803" s="5">
        <v>0</v>
      </c>
      <c r="Q803" s="5">
        <v>0</v>
      </c>
      <c r="R803" s="5" t="str">
        <f t="shared" si="164"/>
        <v>312-2024-06-30</v>
      </c>
    </row>
    <row r="804" spans="1:18" x14ac:dyDescent="0.3">
      <c r="A804" s="5">
        <v>312</v>
      </c>
      <c r="B804" s="5" t="s">
        <v>198</v>
      </c>
      <c r="C804" s="5" t="s">
        <v>53</v>
      </c>
      <c r="D804" s="5" t="s">
        <v>8</v>
      </c>
      <c r="E804" s="5" t="s">
        <v>9</v>
      </c>
      <c r="F804" s="6">
        <v>45657</v>
      </c>
      <c r="G804" s="5">
        <f t="shared" si="161"/>
        <v>2024</v>
      </c>
      <c r="H804" s="5" t="str">
        <f t="shared" si="167"/>
        <v>Diciembre</v>
      </c>
      <c r="I804" s="6" t="str">
        <f t="shared" si="166"/>
        <v>2024-2</v>
      </c>
      <c r="J804" s="5">
        <v>100</v>
      </c>
      <c r="K804" s="5">
        <v>137</v>
      </c>
      <c r="L804" s="15">
        <f>IFERROR(IF((K804/J804)&gt;1.3,1.3,K804/J804),"")</f>
        <v>1.3</v>
      </c>
      <c r="M804" s="15">
        <f t="shared" si="165"/>
        <v>1.37</v>
      </c>
      <c r="N804" s="5"/>
      <c r="O804" s="5"/>
      <c r="P804" s="5">
        <v>0</v>
      </c>
      <c r="Q804" s="5">
        <v>0</v>
      </c>
      <c r="R804" s="5" t="str">
        <f t="shared" si="164"/>
        <v>312-2024-12-31</v>
      </c>
    </row>
    <row r="805" spans="1:18" x14ac:dyDescent="0.3">
      <c r="A805" s="43">
        <v>313</v>
      </c>
      <c r="B805" s="5" t="s">
        <v>199</v>
      </c>
      <c r="C805" s="5" t="s">
        <v>53</v>
      </c>
      <c r="D805" s="5" t="s">
        <v>8</v>
      </c>
      <c r="E805" s="5" t="s">
        <v>9</v>
      </c>
      <c r="F805" s="6">
        <v>45107</v>
      </c>
      <c r="G805" s="5">
        <f t="shared" si="161"/>
        <v>2023</v>
      </c>
      <c r="H805" s="5" t="str">
        <f t="shared" si="167"/>
        <v>Junio</v>
      </c>
      <c r="I805" s="6" t="str">
        <f t="shared" si="166"/>
        <v>2023-1</v>
      </c>
      <c r="J805" s="5">
        <v>13</v>
      </c>
      <c r="K805" s="5">
        <v>13</v>
      </c>
      <c r="L805" s="21">
        <f>IFERROR(K805/J805,"")</f>
        <v>1</v>
      </c>
      <c r="M805" s="15">
        <f t="shared" si="165"/>
        <v>1</v>
      </c>
      <c r="N805" s="5"/>
      <c r="O805" s="5"/>
      <c r="P805" s="5">
        <v>0</v>
      </c>
      <c r="Q805" s="5">
        <v>0</v>
      </c>
      <c r="R805" s="5" t="str">
        <f t="shared" si="164"/>
        <v>313-2023-06-30</v>
      </c>
    </row>
    <row r="806" spans="1:18" x14ac:dyDescent="0.3">
      <c r="A806" s="39">
        <v>313</v>
      </c>
      <c r="B806" s="5" t="s">
        <v>199</v>
      </c>
      <c r="C806" s="5" t="s">
        <v>53</v>
      </c>
      <c r="D806" s="5" t="s">
        <v>8</v>
      </c>
      <c r="E806" s="5" t="s">
        <v>9</v>
      </c>
      <c r="F806" s="6">
        <v>45291</v>
      </c>
      <c r="G806" s="5">
        <f t="shared" si="161"/>
        <v>2023</v>
      </c>
      <c r="H806" s="5" t="str">
        <f t="shared" si="167"/>
        <v>Diciembre</v>
      </c>
      <c r="I806" s="6" t="str">
        <f t="shared" si="166"/>
        <v>2023-2</v>
      </c>
      <c r="J806" s="5">
        <v>15</v>
      </c>
      <c r="K806" s="5">
        <v>12</v>
      </c>
      <c r="L806" s="21">
        <f>IFERROR(K806/J806,"")</f>
        <v>0.8</v>
      </c>
      <c r="M806" s="15">
        <f t="shared" si="165"/>
        <v>0.8</v>
      </c>
      <c r="N806" s="5"/>
      <c r="O806" s="5"/>
      <c r="P806" s="5">
        <v>0</v>
      </c>
      <c r="Q806" s="5">
        <v>0</v>
      </c>
      <c r="R806" s="5" t="str">
        <f t="shared" si="164"/>
        <v>313-2023-12-31</v>
      </c>
    </row>
    <row r="807" spans="1:18" x14ac:dyDescent="0.3">
      <c r="A807" s="5">
        <v>313</v>
      </c>
      <c r="B807" s="5" t="s">
        <v>199</v>
      </c>
      <c r="C807" s="5" t="s">
        <v>53</v>
      </c>
      <c r="D807" s="5" t="s">
        <v>8</v>
      </c>
      <c r="E807" s="5" t="s">
        <v>9</v>
      </c>
      <c r="F807" s="6">
        <v>45473</v>
      </c>
      <c r="G807" s="5">
        <f t="shared" si="161"/>
        <v>2024</v>
      </c>
      <c r="H807" s="5" t="str">
        <f t="shared" si="167"/>
        <v>Junio</v>
      </c>
      <c r="I807" s="6" t="str">
        <f t="shared" si="166"/>
        <v>2024-1</v>
      </c>
      <c r="J807" s="5">
        <v>100</v>
      </c>
      <c r="K807" s="5">
        <v>100</v>
      </c>
      <c r="L807" s="15">
        <f>IFERROR(IF((K807/J807)&gt;1.3,1.3,K807/J807),"")</f>
        <v>1</v>
      </c>
      <c r="M807" s="15">
        <f t="shared" si="165"/>
        <v>1</v>
      </c>
      <c r="N807" s="5"/>
      <c r="O807" s="5"/>
      <c r="P807" s="5">
        <v>0</v>
      </c>
      <c r="Q807" s="5">
        <v>0</v>
      </c>
      <c r="R807" s="5" t="str">
        <f t="shared" si="164"/>
        <v>313-2024-06-30</v>
      </c>
    </row>
    <row r="808" spans="1:18" x14ac:dyDescent="0.3">
      <c r="A808" s="5">
        <v>313</v>
      </c>
      <c r="B808" s="5" t="s">
        <v>199</v>
      </c>
      <c r="C808" s="5" t="s">
        <v>53</v>
      </c>
      <c r="D808" s="5" t="s">
        <v>8</v>
      </c>
      <c r="E808" s="5" t="s">
        <v>9</v>
      </c>
      <c r="F808" s="6">
        <v>45657</v>
      </c>
      <c r="G808" s="5">
        <f t="shared" si="161"/>
        <v>2024</v>
      </c>
      <c r="H808" s="5" t="str">
        <f t="shared" si="167"/>
        <v>Diciembre</v>
      </c>
      <c r="I808" s="6" t="str">
        <f t="shared" si="166"/>
        <v>2024-2</v>
      </c>
      <c r="J808" s="5">
        <v>100</v>
      </c>
      <c r="K808" s="5">
        <v>100</v>
      </c>
      <c r="L808" s="15">
        <f>IFERROR(IF((K808/J808)&gt;1.3,1.3,K808/J808),"")</f>
        <v>1</v>
      </c>
      <c r="M808" s="15">
        <f t="shared" si="165"/>
        <v>1</v>
      </c>
      <c r="N808" s="5"/>
      <c r="O808" s="5"/>
      <c r="P808" s="5">
        <v>0</v>
      </c>
      <c r="Q808" s="5">
        <v>0</v>
      </c>
      <c r="R808" s="5" t="str">
        <f t="shared" si="164"/>
        <v>313-2024-12-31</v>
      </c>
    </row>
    <row r="809" spans="1:18" x14ac:dyDescent="0.3">
      <c r="A809" s="43">
        <v>314</v>
      </c>
      <c r="B809" s="5" t="s">
        <v>200</v>
      </c>
      <c r="C809" s="5" t="s">
        <v>53</v>
      </c>
      <c r="D809" s="5" t="s">
        <v>8</v>
      </c>
      <c r="E809" s="5" t="s">
        <v>9</v>
      </c>
      <c r="F809" s="6">
        <v>45107</v>
      </c>
      <c r="G809" s="5">
        <f t="shared" si="161"/>
        <v>2023</v>
      </c>
      <c r="H809" s="5" t="str">
        <f t="shared" si="167"/>
        <v>Junio</v>
      </c>
      <c r="I809" s="6" t="str">
        <f t="shared" si="166"/>
        <v>2023-1</v>
      </c>
      <c r="J809" s="5">
        <v>9</v>
      </c>
      <c r="K809" s="5">
        <v>13</v>
      </c>
      <c r="L809" s="21">
        <f>IFERROR(K809/J809,"")</f>
        <v>1.4444444444444444</v>
      </c>
      <c r="M809" s="15">
        <f t="shared" si="165"/>
        <v>1.4444444444444444</v>
      </c>
      <c r="N809" s="5"/>
      <c r="O809" s="5"/>
      <c r="P809" s="5">
        <v>0</v>
      </c>
      <c r="Q809" s="5">
        <v>0</v>
      </c>
      <c r="R809" s="5" t="str">
        <f t="shared" si="164"/>
        <v>314-2023-06-30</v>
      </c>
    </row>
    <row r="810" spans="1:18" x14ac:dyDescent="0.3">
      <c r="A810" s="39">
        <v>314</v>
      </c>
      <c r="B810" s="5" t="s">
        <v>200</v>
      </c>
      <c r="C810" s="5" t="s">
        <v>53</v>
      </c>
      <c r="D810" s="5" t="s">
        <v>8</v>
      </c>
      <c r="E810" s="5" t="s">
        <v>9</v>
      </c>
      <c r="F810" s="6">
        <v>45291</v>
      </c>
      <c r="G810" s="5">
        <f t="shared" si="161"/>
        <v>2023</v>
      </c>
      <c r="H810" s="5" t="str">
        <f t="shared" si="167"/>
        <v>Diciembre</v>
      </c>
      <c r="I810" s="6" t="str">
        <f t="shared" si="166"/>
        <v>2023-2</v>
      </c>
      <c r="J810" s="5">
        <v>14</v>
      </c>
      <c r="K810" s="5">
        <v>16</v>
      </c>
      <c r="L810" s="21">
        <f>IFERROR(K810/J810,"")</f>
        <v>1.1428571428571428</v>
      </c>
      <c r="M810" s="15">
        <f t="shared" si="165"/>
        <v>1.1428571428571428</v>
      </c>
      <c r="N810" s="5"/>
      <c r="O810" s="5"/>
      <c r="P810" s="5">
        <v>0</v>
      </c>
      <c r="Q810" s="5">
        <v>0</v>
      </c>
      <c r="R810" s="5" t="str">
        <f t="shared" si="164"/>
        <v>314-2023-12-31</v>
      </c>
    </row>
    <row r="811" spans="1:18" x14ac:dyDescent="0.3">
      <c r="A811" s="5">
        <v>314</v>
      </c>
      <c r="B811" s="5" t="s">
        <v>200</v>
      </c>
      <c r="C811" s="5" t="s">
        <v>53</v>
      </c>
      <c r="D811" s="5" t="s">
        <v>8</v>
      </c>
      <c r="E811" s="5" t="s">
        <v>9</v>
      </c>
      <c r="F811" s="6">
        <v>45473</v>
      </c>
      <c r="G811" s="5">
        <f t="shared" si="161"/>
        <v>2024</v>
      </c>
      <c r="H811" s="5" t="str">
        <f t="shared" si="167"/>
        <v>Junio</v>
      </c>
      <c r="I811" s="6" t="str">
        <f t="shared" si="166"/>
        <v>2024-1</v>
      </c>
      <c r="J811" s="5">
        <v>100</v>
      </c>
      <c r="K811" s="5">
        <v>140</v>
      </c>
      <c r="L811" s="15">
        <f>IFERROR(IF((K811/J811)&gt;1.3,1.3,K811/J811),"")</f>
        <v>1.3</v>
      </c>
      <c r="M811" s="15">
        <f t="shared" si="165"/>
        <v>1.4</v>
      </c>
      <c r="N811" s="5"/>
      <c r="O811" s="5"/>
      <c r="P811" s="5">
        <v>0</v>
      </c>
      <c r="Q811" s="5">
        <v>0</v>
      </c>
      <c r="R811" s="5" t="str">
        <f t="shared" si="164"/>
        <v>314-2024-06-30</v>
      </c>
    </row>
    <row r="812" spans="1:18" x14ac:dyDescent="0.3">
      <c r="A812" s="5">
        <v>314</v>
      </c>
      <c r="B812" s="5" t="s">
        <v>200</v>
      </c>
      <c r="C812" s="5" t="s">
        <v>53</v>
      </c>
      <c r="D812" s="5" t="s">
        <v>8</v>
      </c>
      <c r="E812" s="5" t="s">
        <v>9</v>
      </c>
      <c r="F812" s="6">
        <v>45657</v>
      </c>
      <c r="G812" s="5">
        <f t="shared" si="161"/>
        <v>2024</v>
      </c>
      <c r="H812" s="5" t="str">
        <f t="shared" si="167"/>
        <v>Diciembre</v>
      </c>
      <c r="I812" s="6" t="str">
        <f t="shared" si="166"/>
        <v>2024-2</v>
      </c>
      <c r="J812" s="5">
        <v>100</v>
      </c>
      <c r="K812" s="5">
        <v>145</v>
      </c>
      <c r="L812" s="15">
        <f>IFERROR(IF((K812/J812)&gt;1.3,1.3,K812/J812),"")</f>
        <v>1.3</v>
      </c>
      <c r="M812" s="15">
        <f t="shared" si="165"/>
        <v>1.45</v>
      </c>
      <c r="N812" s="5"/>
      <c r="O812" s="5"/>
      <c r="P812" s="5">
        <v>0</v>
      </c>
      <c r="Q812" s="5">
        <v>0</v>
      </c>
      <c r="R812" s="5" t="str">
        <f t="shared" si="164"/>
        <v>314-2024-12-31</v>
      </c>
    </row>
    <row r="813" spans="1:18" x14ac:dyDescent="0.3">
      <c r="A813" s="43">
        <v>315</v>
      </c>
      <c r="B813" s="5" t="s">
        <v>201</v>
      </c>
      <c r="C813" s="5" t="s">
        <v>53</v>
      </c>
      <c r="D813" s="5" t="s">
        <v>8</v>
      </c>
      <c r="E813" s="5" t="s">
        <v>9</v>
      </c>
      <c r="F813" s="6">
        <v>45107</v>
      </c>
      <c r="G813" s="5">
        <f t="shared" si="161"/>
        <v>2023</v>
      </c>
      <c r="H813" s="5" t="str">
        <f t="shared" si="167"/>
        <v>Junio</v>
      </c>
      <c r="I813" s="6" t="str">
        <f t="shared" si="166"/>
        <v>2023-1</v>
      </c>
      <c r="J813" s="5">
        <v>5</v>
      </c>
      <c r="K813" s="5">
        <v>7</v>
      </c>
      <c r="L813" s="21" t="s">
        <v>417</v>
      </c>
      <c r="M813" s="15">
        <f t="shared" si="165"/>
        <v>1.4</v>
      </c>
      <c r="N813" s="5"/>
      <c r="O813" s="5"/>
      <c r="P813" s="5">
        <v>0</v>
      </c>
      <c r="Q813" s="5">
        <v>0</v>
      </c>
      <c r="R813" s="5" t="str">
        <f t="shared" si="164"/>
        <v>315-2023-06-30</v>
      </c>
    </row>
    <row r="814" spans="1:18" x14ac:dyDescent="0.3">
      <c r="A814" s="39">
        <v>315</v>
      </c>
      <c r="B814" s="5" t="s">
        <v>201</v>
      </c>
      <c r="C814" s="5" t="s">
        <v>53</v>
      </c>
      <c r="D814" s="5" t="s">
        <v>8</v>
      </c>
      <c r="E814" s="5" t="s">
        <v>9</v>
      </c>
      <c r="F814" s="6">
        <v>45291</v>
      </c>
      <c r="G814" s="5">
        <f t="shared" si="161"/>
        <v>2023</v>
      </c>
      <c r="H814" s="5" t="str">
        <f t="shared" si="167"/>
        <v>Diciembre</v>
      </c>
      <c r="I814" s="6" t="str">
        <f t="shared" si="166"/>
        <v>2023-2</v>
      </c>
      <c r="J814" s="5">
        <v>0</v>
      </c>
      <c r="K814" s="5">
        <v>0</v>
      </c>
      <c r="L814" s="21" t="str">
        <f>IFERROR(K814/J814,"")</f>
        <v/>
      </c>
      <c r="M814" s="15" t="str">
        <f t="shared" ref="M814:M848" si="168">IFERROR(K814/J814,"")</f>
        <v/>
      </c>
      <c r="N814" s="5"/>
      <c r="O814" s="5"/>
      <c r="P814" s="5">
        <v>0</v>
      </c>
      <c r="Q814" s="5">
        <v>0</v>
      </c>
      <c r="R814" s="5" t="str">
        <f t="shared" si="164"/>
        <v>315-2023-12-31</v>
      </c>
    </row>
    <row r="815" spans="1:18" x14ac:dyDescent="0.3">
      <c r="A815" s="5">
        <v>315</v>
      </c>
      <c r="B815" s="5" t="s">
        <v>498</v>
      </c>
      <c r="C815" s="5" t="s">
        <v>53</v>
      </c>
      <c r="D815" s="5" t="s">
        <v>8</v>
      </c>
      <c r="E815" s="5" t="s">
        <v>9</v>
      </c>
      <c r="F815" s="6">
        <v>45473</v>
      </c>
      <c r="G815" s="5">
        <f t="shared" si="161"/>
        <v>2024</v>
      </c>
      <c r="H815" s="5" t="str">
        <f t="shared" si="167"/>
        <v>Junio</v>
      </c>
      <c r="I815" s="6" t="str">
        <f t="shared" si="166"/>
        <v>2024-1</v>
      </c>
      <c r="J815" s="5"/>
      <c r="K815" s="5"/>
      <c r="L815" s="15" t="str">
        <f>IFERROR(IF((K815/J815)&gt;1.3,1.3,K815/J815),"")</f>
        <v/>
      </c>
      <c r="M815" s="15" t="str">
        <f t="shared" si="168"/>
        <v/>
      </c>
      <c r="N815" s="5"/>
      <c r="O815" s="5"/>
      <c r="P815" s="5">
        <v>0</v>
      </c>
      <c r="Q815" s="5">
        <v>0</v>
      </c>
      <c r="R815" s="5" t="str">
        <f t="shared" si="164"/>
        <v>315-2024-06-30</v>
      </c>
    </row>
    <row r="816" spans="1:18" x14ac:dyDescent="0.3">
      <c r="A816" s="5">
        <v>315</v>
      </c>
      <c r="B816" s="5" t="s">
        <v>498</v>
      </c>
      <c r="C816" s="5" t="s">
        <v>53</v>
      </c>
      <c r="D816" s="5" t="s">
        <v>8</v>
      </c>
      <c r="E816" s="5" t="s">
        <v>9</v>
      </c>
      <c r="F816" s="6">
        <v>45657</v>
      </c>
      <c r="G816" s="5">
        <f t="shared" si="161"/>
        <v>2024</v>
      </c>
      <c r="H816" s="5" t="str">
        <f t="shared" si="167"/>
        <v>Diciembre</v>
      </c>
      <c r="I816" s="6" t="str">
        <f t="shared" si="166"/>
        <v>2024-2</v>
      </c>
      <c r="J816" s="5"/>
      <c r="K816" s="5"/>
      <c r="L816" s="15" t="str">
        <f>IFERROR(IF((K816/J816)&gt;1.3,1.3,K816/J816),"")</f>
        <v/>
      </c>
      <c r="M816" s="15" t="str">
        <f t="shared" si="168"/>
        <v/>
      </c>
      <c r="N816" s="5"/>
      <c r="O816" s="5"/>
      <c r="P816" s="5">
        <v>0</v>
      </c>
      <c r="Q816" s="5">
        <v>0</v>
      </c>
      <c r="R816" s="5" t="str">
        <f t="shared" si="164"/>
        <v>315-2024-12-31</v>
      </c>
    </row>
    <row r="817" spans="1:18" x14ac:dyDescent="0.3">
      <c r="A817" s="43">
        <v>316</v>
      </c>
      <c r="B817" s="5" t="s">
        <v>202</v>
      </c>
      <c r="C817" s="5" t="s">
        <v>53</v>
      </c>
      <c r="D817" s="5" t="s">
        <v>8</v>
      </c>
      <c r="E817" s="5" t="s">
        <v>9</v>
      </c>
      <c r="F817" s="6">
        <v>45107</v>
      </c>
      <c r="G817" s="5">
        <f t="shared" si="161"/>
        <v>2023</v>
      </c>
      <c r="H817" s="5" t="str">
        <f t="shared" si="167"/>
        <v>Junio</v>
      </c>
      <c r="I817" s="6" t="str">
        <f t="shared" si="166"/>
        <v>2023-1</v>
      </c>
      <c r="J817" s="5">
        <v>9</v>
      </c>
      <c r="K817" s="5">
        <v>11</v>
      </c>
      <c r="L817" s="21" t="s">
        <v>417</v>
      </c>
      <c r="M817" s="15">
        <f t="shared" si="168"/>
        <v>1.2222222222222223</v>
      </c>
      <c r="N817" s="5"/>
      <c r="O817" s="5"/>
      <c r="P817" s="5">
        <v>0</v>
      </c>
      <c r="Q817" s="5">
        <v>0</v>
      </c>
      <c r="R817" s="5" t="str">
        <f t="shared" si="164"/>
        <v>316-2023-06-30</v>
      </c>
    </row>
    <row r="818" spans="1:18" x14ac:dyDescent="0.3">
      <c r="A818" s="39">
        <v>316</v>
      </c>
      <c r="B818" s="5" t="s">
        <v>202</v>
      </c>
      <c r="C818" s="5" t="s">
        <v>53</v>
      </c>
      <c r="D818" s="5" t="s">
        <v>8</v>
      </c>
      <c r="E818" s="5" t="s">
        <v>9</v>
      </c>
      <c r="F818" s="6">
        <v>45291</v>
      </c>
      <c r="G818" s="5">
        <f t="shared" si="161"/>
        <v>2023</v>
      </c>
      <c r="H818" s="5" t="str">
        <f t="shared" si="167"/>
        <v>Diciembre</v>
      </c>
      <c r="I818" s="6" t="str">
        <f t="shared" si="166"/>
        <v>2023-2</v>
      </c>
      <c r="J818" s="5">
        <v>12</v>
      </c>
      <c r="K818" s="5">
        <v>11</v>
      </c>
      <c r="L818" s="21">
        <f>IFERROR(K818/J818,"")</f>
        <v>0.91666666666666663</v>
      </c>
      <c r="M818" s="15">
        <f t="shared" si="168"/>
        <v>0.91666666666666663</v>
      </c>
      <c r="N818" s="5"/>
      <c r="O818" s="5"/>
      <c r="P818" s="5">
        <v>0</v>
      </c>
      <c r="Q818" s="5">
        <v>0</v>
      </c>
      <c r="R818" s="5" t="str">
        <f t="shared" si="164"/>
        <v>316-2023-12-31</v>
      </c>
    </row>
    <row r="819" spans="1:18" x14ac:dyDescent="0.3">
      <c r="A819" s="39">
        <v>317</v>
      </c>
      <c r="B819" s="5" t="s">
        <v>203</v>
      </c>
      <c r="C819" s="5" t="s">
        <v>53</v>
      </c>
      <c r="D819" s="5" t="s">
        <v>25</v>
      </c>
      <c r="E819" s="5" t="s">
        <v>9</v>
      </c>
      <c r="F819" s="6">
        <v>45291</v>
      </c>
      <c r="G819" s="5">
        <f t="shared" ref="G819:G882" si="169">YEAR(F819)</f>
        <v>2023</v>
      </c>
      <c r="H819" s="5" t="str">
        <f t="shared" si="167"/>
        <v>Diciembre</v>
      </c>
      <c r="I819" s="6" t="str">
        <f t="shared" si="166"/>
        <v>2023-2</v>
      </c>
      <c r="J819" s="5">
        <v>12</v>
      </c>
      <c r="K819" s="5">
        <v>12</v>
      </c>
      <c r="L819" s="21">
        <f>IFERROR(K819/J819,"")</f>
        <v>1</v>
      </c>
      <c r="M819" s="15">
        <f t="shared" si="168"/>
        <v>1</v>
      </c>
      <c r="N819" s="5"/>
      <c r="O819" s="5"/>
      <c r="P819" s="5">
        <v>0</v>
      </c>
      <c r="Q819" s="5">
        <v>0</v>
      </c>
      <c r="R819" s="5" t="str">
        <f t="shared" si="164"/>
        <v>317-2023-12-31</v>
      </c>
    </row>
    <row r="820" spans="1:18" x14ac:dyDescent="0.3">
      <c r="A820" s="5">
        <v>317</v>
      </c>
      <c r="B820" s="5" t="s">
        <v>203</v>
      </c>
      <c r="C820" s="5" t="s">
        <v>53</v>
      </c>
      <c r="D820" s="5" t="s">
        <v>25</v>
      </c>
      <c r="E820" s="5" t="s">
        <v>9</v>
      </c>
      <c r="F820" s="6">
        <v>45657</v>
      </c>
      <c r="G820" s="5">
        <f t="shared" si="169"/>
        <v>2024</v>
      </c>
      <c r="H820" s="5" t="str">
        <f t="shared" si="167"/>
        <v>Diciembre</v>
      </c>
      <c r="I820" s="6" t="str">
        <f t="shared" si="166"/>
        <v>2024-2</v>
      </c>
      <c r="J820" s="5">
        <v>100</v>
      </c>
      <c r="K820" s="5">
        <v>100</v>
      </c>
      <c r="L820" s="15">
        <f>IFERROR(IF((K820/J820)&gt;1.3,1.3,K820/J820),"")</f>
        <v>1</v>
      </c>
      <c r="M820" s="15">
        <f t="shared" si="168"/>
        <v>1</v>
      </c>
      <c r="N820" s="5"/>
      <c r="O820" s="5"/>
      <c r="P820" s="5">
        <v>0</v>
      </c>
      <c r="Q820" s="5">
        <v>0</v>
      </c>
      <c r="R820" s="5" t="str">
        <f t="shared" si="164"/>
        <v>317-2024-12-31</v>
      </c>
    </row>
    <row r="821" spans="1:18" x14ac:dyDescent="0.3">
      <c r="A821" s="43">
        <v>318</v>
      </c>
      <c r="B821" s="5" t="s">
        <v>204</v>
      </c>
      <c r="C821" s="5" t="s">
        <v>53</v>
      </c>
      <c r="D821" s="5" t="s">
        <v>8</v>
      </c>
      <c r="E821" s="5" t="s">
        <v>9</v>
      </c>
      <c r="F821" s="6">
        <v>45107</v>
      </c>
      <c r="G821" s="5">
        <f t="shared" si="169"/>
        <v>2023</v>
      </c>
      <c r="H821" s="5" t="str">
        <f t="shared" si="167"/>
        <v>Junio</v>
      </c>
      <c r="I821" s="6" t="str">
        <f t="shared" si="166"/>
        <v>2023-1</v>
      </c>
      <c r="J821" s="5">
        <v>80</v>
      </c>
      <c r="K821" s="5">
        <v>85.98</v>
      </c>
      <c r="L821" s="21" t="s">
        <v>417</v>
      </c>
      <c r="M821" s="15">
        <f t="shared" si="168"/>
        <v>1.0747500000000001</v>
      </c>
      <c r="N821" s="5" t="s">
        <v>347</v>
      </c>
      <c r="O821" s="5" t="s">
        <v>347</v>
      </c>
      <c r="P821" s="5">
        <v>0</v>
      </c>
      <c r="Q821" s="5">
        <v>0</v>
      </c>
      <c r="R821" s="5" t="str">
        <f t="shared" si="164"/>
        <v>318-2023-06-30</v>
      </c>
    </row>
    <row r="822" spans="1:18" x14ac:dyDescent="0.3">
      <c r="A822" s="39">
        <v>318</v>
      </c>
      <c r="B822" s="5" t="s">
        <v>204</v>
      </c>
      <c r="C822" s="5" t="s">
        <v>53</v>
      </c>
      <c r="D822" s="5" t="s">
        <v>8</v>
      </c>
      <c r="E822" s="5" t="s">
        <v>9</v>
      </c>
      <c r="F822" s="6">
        <v>45291</v>
      </c>
      <c r="G822" s="5">
        <f t="shared" si="169"/>
        <v>2023</v>
      </c>
      <c r="H822" s="5" t="str">
        <f t="shared" si="167"/>
        <v>Diciembre</v>
      </c>
      <c r="I822" s="6" t="str">
        <f t="shared" si="166"/>
        <v>2023-2</v>
      </c>
      <c r="J822" s="5">
        <v>80</v>
      </c>
      <c r="K822" s="5">
        <v>90.91</v>
      </c>
      <c r="L822" s="21">
        <f>IFERROR(K822/J822,"")</f>
        <v>1.1363749999999999</v>
      </c>
      <c r="M822" s="15">
        <f t="shared" si="168"/>
        <v>1.1363749999999999</v>
      </c>
      <c r="N822" s="5" t="s">
        <v>347</v>
      </c>
      <c r="O822" s="5" t="s">
        <v>347</v>
      </c>
      <c r="P822" s="5">
        <v>0</v>
      </c>
      <c r="Q822" s="5">
        <v>0</v>
      </c>
      <c r="R822" s="5" t="str">
        <f t="shared" si="164"/>
        <v>318-2023-12-31</v>
      </c>
    </row>
    <row r="823" spans="1:18" x14ac:dyDescent="0.3">
      <c r="A823" s="5">
        <v>318</v>
      </c>
      <c r="B823" s="5" t="s">
        <v>731</v>
      </c>
      <c r="C823" s="5" t="s">
        <v>53</v>
      </c>
      <c r="D823" s="5" t="s">
        <v>25</v>
      </c>
      <c r="E823" s="5" t="s">
        <v>9</v>
      </c>
      <c r="F823" s="6">
        <v>45657</v>
      </c>
      <c r="G823" s="5">
        <f t="shared" si="169"/>
        <v>2024</v>
      </c>
      <c r="H823" s="5" t="str">
        <f t="shared" si="167"/>
        <v>Diciembre</v>
      </c>
      <c r="I823" s="6" t="str">
        <f t="shared" ref="I823:I836" si="170">IF(OR(H823="Enero",H823="Febrero",H823="Marzo",H823="Abril",H823="Mayo",H823="Junio"),G823&amp;"-1",IF(OR(H823="Julio",H823="Agosto",H823="Septiembre",H823="Octubre",H823="Noviembre",H823="Diciembre"),G823&amp;"-2"))</f>
        <v>2024-2</v>
      </c>
      <c r="J823" s="5">
        <v>80</v>
      </c>
      <c r="K823" s="5">
        <v>90.28</v>
      </c>
      <c r="L823" s="15">
        <f>IFERROR(IF((K823/J823)&gt;1.3,1.3,K823/J823),"")</f>
        <v>1.1285000000000001</v>
      </c>
      <c r="M823" s="15">
        <f t="shared" si="168"/>
        <v>1.1285000000000001</v>
      </c>
      <c r="N823" s="5"/>
      <c r="O823" s="5"/>
      <c r="P823" s="5">
        <v>0</v>
      </c>
      <c r="Q823" s="5">
        <v>0</v>
      </c>
      <c r="R823" s="5" t="str">
        <f t="shared" si="164"/>
        <v>318-2024-12-31</v>
      </c>
    </row>
    <row r="824" spans="1:18" x14ac:dyDescent="0.3">
      <c r="A824" s="43">
        <v>319</v>
      </c>
      <c r="B824" s="5" t="s">
        <v>205</v>
      </c>
      <c r="C824" s="5" t="s">
        <v>53</v>
      </c>
      <c r="D824" s="5" t="s">
        <v>8</v>
      </c>
      <c r="E824" s="5" t="s">
        <v>9</v>
      </c>
      <c r="F824" s="6">
        <v>45107</v>
      </c>
      <c r="G824" s="5">
        <f t="shared" si="169"/>
        <v>2023</v>
      </c>
      <c r="H824" s="5" t="str">
        <f t="shared" si="167"/>
        <v>Junio</v>
      </c>
      <c r="I824" s="6" t="str">
        <f t="shared" si="170"/>
        <v>2023-1</v>
      </c>
      <c r="J824" s="5">
        <v>100</v>
      </c>
      <c r="K824" s="5">
        <v>80</v>
      </c>
      <c r="L824" s="21">
        <f>IFERROR(K824/J824,"")</f>
        <v>0.8</v>
      </c>
      <c r="M824" s="15">
        <f t="shared" si="168"/>
        <v>0.8</v>
      </c>
      <c r="N824" s="5" t="s">
        <v>347</v>
      </c>
      <c r="O824" s="5" t="s">
        <v>347</v>
      </c>
      <c r="P824" s="5">
        <v>0</v>
      </c>
      <c r="Q824" s="5">
        <v>0</v>
      </c>
      <c r="R824" s="5" t="str">
        <f t="shared" si="164"/>
        <v>319-2023-06-30</v>
      </c>
    </row>
    <row r="825" spans="1:18" x14ac:dyDescent="0.3">
      <c r="A825" s="39">
        <v>319</v>
      </c>
      <c r="B825" s="5" t="s">
        <v>205</v>
      </c>
      <c r="C825" s="5" t="s">
        <v>53</v>
      </c>
      <c r="D825" s="5" t="s">
        <v>8</v>
      </c>
      <c r="E825" s="5" t="s">
        <v>9</v>
      </c>
      <c r="F825" s="6">
        <v>45291</v>
      </c>
      <c r="G825" s="5">
        <f t="shared" si="169"/>
        <v>2023</v>
      </c>
      <c r="H825" s="5" t="str">
        <f t="shared" si="167"/>
        <v>Diciembre</v>
      </c>
      <c r="I825" s="6" t="str">
        <f t="shared" si="170"/>
        <v>2023-2</v>
      </c>
      <c r="J825" s="5">
        <v>100</v>
      </c>
      <c r="K825" s="5">
        <v>100</v>
      </c>
      <c r="L825" s="21">
        <f>IFERROR(K825/J825,"")</f>
        <v>1</v>
      </c>
      <c r="M825" s="15">
        <f t="shared" si="168"/>
        <v>1</v>
      </c>
      <c r="N825" s="5" t="s">
        <v>347</v>
      </c>
      <c r="O825" s="5" t="s">
        <v>347</v>
      </c>
      <c r="P825" s="5">
        <v>0</v>
      </c>
      <c r="Q825" s="5">
        <v>0</v>
      </c>
      <c r="R825" s="5" t="str">
        <f t="shared" si="164"/>
        <v>319-2023-12-31</v>
      </c>
    </row>
    <row r="826" spans="1:18" x14ac:dyDescent="0.3">
      <c r="A826" s="5">
        <v>319</v>
      </c>
      <c r="B826" s="5" t="s">
        <v>205</v>
      </c>
      <c r="C826" s="5" t="s">
        <v>53</v>
      </c>
      <c r="D826" s="5" t="s">
        <v>8</v>
      </c>
      <c r="E826" s="5" t="s">
        <v>9</v>
      </c>
      <c r="F826" s="6">
        <v>45473</v>
      </c>
      <c r="G826" s="5">
        <f t="shared" si="169"/>
        <v>2024</v>
      </c>
      <c r="H826" s="5" t="str">
        <f t="shared" si="167"/>
        <v>Junio</v>
      </c>
      <c r="I826" s="6" t="str">
        <f t="shared" si="170"/>
        <v>2024-1</v>
      </c>
      <c r="J826" s="5">
        <v>100</v>
      </c>
      <c r="K826" s="5">
        <v>100</v>
      </c>
      <c r="L826" s="15">
        <f>IFERROR(IF((K826/J826)&gt;1.3,1.3,K826/J826),"")</f>
        <v>1</v>
      </c>
      <c r="M826" s="15">
        <f t="shared" si="168"/>
        <v>1</v>
      </c>
      <c r="N826" s="5"/>
      <c r="O826" s="5"/>
      <c r="P826" s="5">
        <v>0</v>
      </c>
      <c r="Q826" s="5">
        <v>0</v>
      </c>
      <c r="R826" s="5" t="str">
        <f t="shared" si="164"/>
        <v>319-2024-06-30</v>
      </c>
    </row>
    <row r="827" spans="1:18" x14ac:dyDescent="0.3">
      <c r="A827" s="5">
        <v>319</v>
      </c>
      <c r="B827" s="5" t="s">
        <v>205</v>
      </c>
      <c r="C827" s="5" t="s">
        <v>53</v>
      </c>
      <c r="D827" s="5" t="s">
        <v>8</v>
      </c>
      <c r="E827" s="5" t="s">
        <v>9</v>
      </c>
      <c r="F827" s="6">
        <v>45657</v>
      </c>
      <c r="G827" s="5">
        <f t="shared" si="169"/>
        <v>2024</v>
      </c>
      <c r="H827" s="5" t="str">
        <f t="shared" si="167"/>
        <v>Diciembre</v>
      </c>
      <c r="I827" s="6" t="str">
        <f t="shared" si="170"/>
        <v>2024-2</v>
      </c>
      <c r="J827" s="5">
        <v>100</v>
      </c>
      <c r="K827" s="5">
        <v>100</v>
      </c>
      <c r="L827" s="15">
        <f>IFERROR(IF((K827/J827)&gt;1.3,1.3,K827/J827),"")</f>
        <v>1</v>
      </c>
      <c r="M827" s="15">
        <f t="shared" si="168"/>
        <v>1</v>
      </c>
      <c r="N827" s="5"/>
      <c r="O827" s="5"/>
      <c r="P827" s="5">
        <v>0</v>
      </c>
      <c r="Q827" s="5">
        <v>0</v>
      </c>
      <c r="R827" s="5" t="str">
        <f t="shared" si="164"/>
        <v>319-2024-12-31</v>
      </c>
    </row>
    <row r="828" spans="1:18" x14ac:dyDescent="0.3">
      <c r="A828" s="43">
        <v>320</v>
      </c>
      <c r="B828" s="5" t="s">
        <v>206</v>
      </c>
      <c r="C828" s="5" t="s">
        <v>53</v>
      </c>
      <c r="D828" s="5" t="s">
        <v>8</v>
      </c>
      <c r="E828" s="5" t="s">
        <v>9</v>
      </c>
      <c r="F828" s="6">
        <v>45107</v>
      </c>
      <c r="G828" s="5">
        <f t="shared" si="169"/>
        <v>2023</v>
      </c>
      <c r="H828" s="5" t="str">
        <f t="shared" si="167"/>
        <v>Junio</v>
      </c>
      <c r="I828" s="6" t="str">
        <f t="shared" si="170"/>
        <v>2023-1</v>
      </c>
      <c r="J828" s="5">
        <v>26</v>
      </c>
      <c r="K828" s="5">
        <v>12</v>
      </c>
      <c r="L828" s="21">
        <f>IFERROR(K828/J828,"")</f>
        <v>0.46153846153846156</v>
      </c>
      <c r="M828" s="15">
        <f t="shared" si="168"/>
        <v>0.46153846153846156</v>
      </c>
      <c r="N828" s="5"/>
      <c r="O828" s="5"/>
      <c r="P828" s="5">
        <v>0</v>
      </c>
      <c r="Q828" s="5">
        <v>0</v>
      </c>
      <c r="R828" s="5" t="str">
        <f t="shared" si="164"/>
        <v>320-2023-06-30</v>
      </c>
    </row>
    <row r="829" spans="1:18" x14ac:dyDescent="0.3">
      <c r="A829" s="39">
        <v>320</v>
      </c>
      <c r="B829" s="5" t="s">
        <v>206</v>
      </c>
      <c r="C829" s="5" t="s">
        <v>53</v>
      </c>
      <c r="D829" s="5" t="s">
        <v>8</v>
      </c>
      <c r="E829" s="5" t="s">
        <v>9</v>
      </c>
      <c r="F829" s="6">
        <v>45291</v>
      </c>
      <c r="G829" s="5">
        <f t="shared" si="169"/>
        <v>2023</v>
      </c>
      <c r="H829" s="5" t="str">
        <f t="shared" si="167"/>
        <v>Diciembre</v>
      </c>
      <c r="I829" s="6" t="str">
        <f t="shared" si="170"/>
        <v>2023-2</v>
      </c>
      <c r="J829" s="5">
        <v>15</v>
      </c>
      <c r="K829" s="5">
        <v>17</v>
      </c>
      <c r="L829" s="21">
        <f>IFERROR(K829/J829,"")</f>
        <v>1.1333333333333333</v>
      </c>
      <c r="M829" s="15">
        <f t="shared" si="168"/>
        <v>1.1333333333333333</v>
      </c>
      <c r="N829" s="5"/>
      <c r="O829" s="5"/>
      <c r="P829" s="5">
        <v>0</v>
      </c>
      <c r="Q829" s="5">
        <v>0</v>
      </c>
      <c r="R829" s="5" t="str">
        <f t="shared" si="164"/>
        <v>320-2023-12-31</v>
      </c>
    </row>
    <row r="830" spans="1:18" x14ac:dyDescent="0.3">
      <c r="A830" s="5">
        <v>320</v>
      </c>
      <c r="B830" s="5" t="s">
        <v>499</v>
      </c>
      <c r="C830" s="5" t="s">
        <v>53</v>
      </c>
      <c r="D830" s="5" t="s">
        <v>8</v>
      </c>
      <c r="E830" s="5" t="s">
        <v>9</v>
      </c>
      <c r="F830" s="6">
        <v>45473</v>
      </c>
      <c r="G830" s="5">
        <f t="shared" si="169"/>
        <v>2024</v>
      </c>
      <c r="H830" s="5" t="str">
        <f t="shared" si="167"/>
        <v>Junio</v>
      </c>
      <c r="I830" s="6" t="str">
        <f t="shared" si="170"/>
        <v>2024-1</v>
      </c>
      <c r="J830" s="5">
        <v>100</v>
      </c>
      <c r="K830" s="5">
        <v>140</v>
      </c>
      <c r="L830" s="15">
        <f>IFERROR(IF((K830/J830)&gt;1.3,1.3,K830/J830),"")</f>
        <v>1.3</v>
      </c>
      <c r="M830" s="15">
        <f t="shared" si="168"/>
        <v>1.4</v>
      </c>
      <c r="N830" s="5"/>
      <c r="O830" s="5"/>
      <c r="P830" s="5">
        <v>0</v>
      </c>
      <c r="Q830" s="5">
        <v>0</v>
      </c>
      <c r="R830" s="5" t="str">
        <f t="shared" si="164"/>
        <v>320-2024-06-30</v>
      </c>
    </row>
    <row r="831" spans="1:18" x14ac:dyDescent="0.3">
      <c r="A831" s="5">
        <v>320</v>
      </c>
      <c r="B831" s="5" t="s">
        <v>499</v>
      </c>
      <c r="C831" s="5" t="s">
        <v>53</v>
      </c>
      <c r="D831" s="5" t="s">
        <v>8</v>
      </c>
      <c r="E831" s="5" t="s">
        <v>9</v>
      </c>
      <c r="F831" s="6">
        <v>45657</v>
      </c>
      <c r="G831" s="5">
        <f t="shared" si="169"/>
        <v>2024</v>
      </c>
      <c r="H831" s="5" t="str">
        <f t="shared" si="167"/>
        <v>Diciembre</v>
      </c>
      <c r="I831" s="6" t="str">
        <f t="shared" si="170"/>
        <v>2024-2</v>
      </c>
      <c r="J831" s="5">
        <v>100</v>
      </c>
      <c r="K831" s="5">
        <v>115</v>
      </c>
      <c r="L831" s="15">
        <f>IFERROR(IF((K831/J831)&gt;1.3,1.3,K831/J831),"")</f>
        <v>1.1499999999999999</v>
      </c>
      <c r="M831" s="15">
        <f t="shared" si="168"/>
        <v>1.1499999999999999</v>
      </c>
      <c r="N831" s="5"/>
      <c r="O831" s="5"/>
      <c r="P831" s="5">
        <v>0</v>
      </c>
      <c r="Q831" s="5">
        <v>0</v>
      </c>
      <c r="R831" s="5" t="str">
        <f t="shared" si="164"/>
        <v>320-2024-12-31</v>
      </c>
    </row>
    <row r="832" spans="1:18" x14ac:dyDescent="0.3">
      <c r="A832" s="43">
        <v>321</v>
      </c>
      <c r="B832" s="5" t="s">
        <v>207</v>
      </c>
      <c r="C832" s="5" t="s">
        <v>53</v>
      </c>
      <c r="D832" s="5" t="s">
        <v>8</v>
      </c>
      <c r="E832" s="5" t="s">
        <v>9</v>
      </c>
      <c r="F832" s="6">
        <v>45107</v>
      </c>
      <c r="G832" s="5">
        <f t="shared" si="169"/>
        <v>2023</v>
      </c>
      <c r="H832" s="5" t="str">
        <f t="shared" si="167"/>
        <v>Junio</v>
      </c>
      <c r="I832" s="6" t="str">
        <f t="shared" si="170"/>
        <v>2023-1</v>
      </c>
      <c r="J832" s="5">
        <v>180</v>
      </c>
      <c r="K832" s="5">
        <v>236</v>
      </c>
      <c r="L832" s="15">
        <f>IF(IFERROR(K832/J832,"")&gt;130%,130%,K832/J832)</f>
        <v>1.3</v>
      </c>
      <c r="M832" s="15">
        <f t="shared" si="168"/>
        <v>1.3111111111111111</v>
      </c>
      <c r="N832" s="5"/>
      <c r="O832" s="5"/>
      <c r="P832" s="5">
        <v>0</v>
      </c>
      <c r="Q832" s="5">
        <v>0</v>
      </c>
      <c r="R832" s="5" t="str">
        <f t="shared" si="164"/>
        <v>321-2023-06-30</v>
      </c>
    </row>
    <row r="833" spans="1:18" x14ac:dyDescent="0.3">
      <c r="A833" s="39">
        <v>321</v>
      </c>
      <c r="B833" s="5" t="s">
        <v>207</v>
      </c>
      <c r="C833" s="5" t="s">
        <v>53</v>
      </c>
      <c r="D833" s="5" t="s">
        <v>8</v>
      </c>
      <c r="E833" s="5" t="s">
        <v>9</v>
      </c>
      <c r="F833" s="6">
        <v>45291</v>
      </c>
      <c r="G833" s="5">
        <f t="shared" si="169"/>
        <v>2023</v>
      </c>
      <c r="H833" s="5" t="str">
        <f t="shared" si="167"/>
        <v>Diciembre</v>
      </c>
      <c r="I833" s="6" t="str">
        <f t="shared" si="170"/>
        <v>2023-2</v>
      </c>
      <c r="J833" s="5">
        <v>180</v>
      </c>
      <c r="K833" s="5">
        <v>231</v>
      </c>
      <c r="L833" s="21">
        <f>IFERROR(K833/J833,"")</f>
        <v>1.2833333333333334</v>
      </c>
      <c r="M833" s="15">
        <f t="shared" si="168"/>
        <v>1.2833333333333334</v>
      </c>
      <c r="N833" s="5"/>
      <c r="O833" s="5"/>
      <c r="P833" s="5">
        <v>0</v>
      </c>
      <c r="Q833" s="5">
        <v>0</v>
      </c>
      <c r="R833" s="5" t="str">
        <f t="shared" si="164"/>
        <v>321-2023-12-31</v>
      </c>
    </row>
    <row r="834" spans="1:18" x14ac:dyDescent="0.3">
      <c r="A834" s="5">
        <v>321</v>
      </c>
      <c r="B834" s="5" t="s">
        <v>500</v>
      </c>
      <c r="C834" s="5" t="s">
        <v>53</v>
      </c>
      <c r="D834" s="5" t="s">
        <v>8</v>
      </c>
      <c r="E834" s="5" t="s">
        <v>9</v>
      </c>
      <c r="F834" s="6">
        <v>45473</v>
      </c>
      <c r="G834" s="5">
        <f t="shared" si="169"/>
        <v>2024</v>
      </c>
      <c r="H834" s="5" t="str">
        <f t="shared" si="167"/>
        <v>Junio</v>
      </c>
      <c r="I834" s="6" t="str">
        <f t="shared" si="170"/>
        <v>2024-1</v>
      </c>
      <c r="J834" s="5">
        <v>100</v>
      </c>
      <c r="K834" s="5">
        <v>106.52</v>
      </c>
      <c r="L834" s="15">
        <f t="shared" ref="L834:L840" si="171">IFERROR(IF((K834/J834)&gt;1.3,1.3,K834/J834),"")</f>
        <v>1.0651999999999999</v>
      </c>
      <c r="M834" s="15">
        <f t="shared" si="168"/>
        <v>1.0651999999999999</v>
      </c>
      <c r="N834" s="5"/>
      <c r="O834" s="5"/>
      <c r="P834" s="5">
        <v>0</v>
      </c>
      <c r="Q834" s="5">
        <v>0</v>
      </c>
      <c r="R834" s="5" t="str">
        <f t="shared" ref="R834:R897" si="172">A834&amp;"-"&amp;YEAR(F834)&amp;"-"&amp;IF(LEN(MONTH(F834))=1,"0"&amp;MONTH(F834),MONTH(F834))&amp;"-"&amp;DAY(F834)</f>
        <v>321-2024-06-30</v>
      </c>
    </row>
    <row r="835" spans="1:18" x14ac:dyDescent="0.3">
      <c r="A835" s="5">
        <v>321</v>
      </c>
      <c r="B835" s="5" t="s">
        <v>500</v>
      </c>
      <c r="C835" s="5" t="s">
        <v>53</v>
      </c>
      <c r="D835" s="5" t="s">
        <v>8</v>
      </c>
      <c r="E835" s="5" t="s">
        <v>9</v>
      </c>
      <c r="F835" s="6">
        <v>45657</v>
      </c>
      <c r="G835" s="5">
        <f t="shared" si="169"/>
        <v>2024</v>
      </c>
      <c r="H835" s="5" t="str">
        <f t="shared" si="167"/>
        <v>Diciembre</v>
      </c>
      <c r="I835" s="6" t="str">
        <f t="shared" si="170"/>
        <v>2024-2</v>
      </c>
      <c r="J835" s="5">
        <v>100</v>
      </c>
      <c r="K835" s="5">
        <v>502.17</v>
      </c>
      <c r="L835" s="15">
        <f t="shared" si="171"/>
        <v>1.3</v>
      </c>
      <c r="M835" s="15">
        <f t="shared" si="168"/>
        <v>5.0217000000000001</v>
      </c>
      <c r="N835" s="5"/>
      <c r="O835" s="5"/>
      <c r="P835" s="5">
        <v>0</v>
      </c>
      <c r="Q835" s="5">
        <v>0</v>
      </c>
      <c r="R835" s="5" t="str">
        <f t="shared" si="172"/>
        <v>321-2024-12-31</v>
      </c>
    </row>
    <row r="836" spans="1:18" x14ac:dyDescent="0.3">
      <c r="A836" s="39">
        <v>323</v>
      </c>
      <c r="B836" s="5" t="s">
        <v>208</v>
      </c>
      <c r="C836" s="5" t="s">
        <v>209</v>
      </c>
      <c r="D836" s="5" t="s">
        <v>8</v>
      </c>
      <c r="E836" s="5" t="s">
        <v>9</v>
      </c>
      <c r="F836" s="17">
        <v>44926</v>
      </c>
      <c r="G836" s="5">
        <f t="shared" si="169"/>
        <v>2022</v>
      </c>
      <c r="H836" s="5" t="str">
        <f t="shared" si="167"/>
        <v>Diciembre</v>
      </c>
      <c r="I836" s="6" t="str">
        <f t="shared" si="170"/>
        <v>2022-2</v>
      </c>
      <c r="J836" s="5">
        <v>3</v>
      </c>
      <c r="K836" s="5">
        <v>3</v>
      </c>
      <c r="L836" s="15">
        <f t="shared" si="171"/>
        <v>1</v>
      </c>
      <c r="M836" s="15">
        <f t="shared" si="168"/>
        <v>1</v>
      </c>
      <c r="N836" s="5"/>
      <c r="O836" s="5"/>
      <c r="P836" s="5">
        <v>0</v>
      </c>
      <c r="Q836" s="5">
        <v>0</v>
      </c>
      <c r="R836" s="5" t="str">
        <f t="shared" si="172"/>
        <v>323-2022-12-31</v>
      </c>
    </row>
    <row r="837" spans="1:18" x14ac:dyDescent="0.3">
      <c r="A837" s="5">
        <v>323</v>
      </c>
      <c r="B837" s="5" t="s">
        <v>208</v>
      </c>
      <c r="C837" s="5" t="s">
        <v>209</v>
      </c>
      <c r="D837" s="5" t="s">
        <v>8</v>
      </c>
      <c r="E837" s="5" t="s">
        <v>9</v>
      </c>
      <c r="F837" s="17">
        <v>45107</v>
      </c>
      <c r="G837" s="16">
        <f t="shared" si="169"/>
        <v>2023</v>
      </c>
      <c r="H837" s="6" t="str">
        <f t="shared" si="167"/>
        <v>Junio</v>
      </c>
      <c r="I837" s="41" t="s">
        <v>422</v>
      </c>
      <c r="J837" s="5">
        <v>2</v>
      </c>
      <c r="K837" s="5">
        <v>2</v>
      </c>
      <c r="L837" s="15">
        <f t="shared" si="171"/>
        <v>1</v>
      </c>
      <c r="M837" s="15">
        <f t="shared" si="168"/>
        <v>1</v>
      </c>
      <c r="N837" s="5"/>
      <c r="O837" s="5"/>
      <c r="P837" s="5">
        <v>0</v>
      </c>
      <c r="Q837" s="5">
        <v>0</v>
      </c>
      <c r="R837" s="5" t="str">
        <f t="shared" si="172"/>
        <v>323-2023-06-30</v>
      </c>
    </row>
    <row r="838" spans="1:18" x14ac:dyDescent="0.3">
      <c r="A838" s="39">
        <v>323</v>
      </c>
      <c r="B838" s="5" t="s">
        <v>208</v>
      </c>
      <c r="C838" s="5" t="s">
        <v>209</v>
      </c>
      <c r="D838" s="5" t="s">
        <v>8</v>
      </c>
      <c r="E838" s="5" t="s">
        <v>9</v>
      </c>
      <c r="F838" s="6">
        <v>45291</v>
      </c>
      <c r="G838" s="5">
        <f t="shared" si="169"/>
        <v>2023</v>
      </c>
      <c r="H838" s="5" t="str">
        <f t="shared" si="167"/>
        <v>Diciembre</v>
      </c>
      <c r="I838" s="6" t="str">
        <f t="shared" ref="I838:I844" si="173">IF(OR(H838="Enero",H838="Febrero",H838="Marzo",H838="Abril",H838="Mayo",H838="Junio"),G838&amp;"-1",IF(OR(H838="Julio",H838="Agosto",H838="Septiembre",H838="Octubre",H838="Noviembre",H838="Diciembre"),G838&amp;"-2"))</f>
        <v>2023-2</v>
      </c>
      <c r="J838" s="5">
        <v>6</v>
      </c>
      <c r="K838" s="5">
        <v>6</v>
      </c>
      <c r="L838" s="15">
        <f t="shared" si="171"/>
        <v>1</v>
      </c>
      <c r="M838" s="15">
        <f t="shared" si="168"/>
        <v>1</v>
      </c>
      <c r="N838" s="5"/>
      <c r="O838" s="5"/>
      <c r="P838" s="5">
        <v>0</v>
      </c>
      <c r="Q838" s="5">
        <v>0</v>
      </c>
      <c r="R838" s="5" t="str">
        <f t="shared" si="172"/>
        <v>323-2023-12-31</v>
      </c>
    </row>
    <row r="839" spans="1:18" x14ac:dyDescent="0.3">
      <c r="A839" s="39">
        <v>323</v>
      </c>
      <c r="B839" s="5" t="s">
        <v>208</v>
      </c>
      <c r="C839" s="5" t="s">
        <v>209</v>
      </c>
      <c r="D839" s="5" t="s">
        <v>8</v>
      </c>
      <c r="E839" s="5" t="s">
        <v>9</v>
      </c>
      <c r="F839" s="17">
        <v>45473</v>
      </c>
      <c r="G839" s="5">
        <f t="shared" si="169"/>
        <v>2024</v>
      </c>
      <c r="H839" s="5" t="str">
        <f t="shared" si="167"/>
        <v>Junio</v>
      </c>
      <c r="I839" s="6" t="str">
        <f t="shared" si="173"/>
        <v>2024-1</v>
      </c>
      <c r="J839" s="5">
        <v>3</v>
      </c>
      <c r="K839" s="5">
        <v>3</v>
      </c>
      <c r="L839" s="15">
        <f t="shared" si="171"/>
        <v>1</v>
      </c>
      <c r="M839" s="15">
        <f t="shared" si="168"/>
        <v>1</v>
      </c>
      <c r="N839" s="5"/>
      <c r="O839" s="5"/>
      <c r="P839" s="5">
        <v>0</v>
      </c>
      <c r="Q839" s="5">
        <v>0</v>
      </c>
      <c r="R839" s="5" t="str">
        <f t="shared" si="172"/>
        <v>323-2024-06-30</v>
      </c>
    </row>
    <row r="840" spans="1:18" x14ac:dyDescent="0.3">
      <c r="A840" s="39">
        <v>323</v>
      </c>
      <c r="B840" s="5" t="s">
        <v>208</v>
      </c>
      <c r="C840" s="5" t="s">
        <v>209</v>
      </c>
      <c r="D840" s="5" t="s">
        <v>8</v>
      </c>
      <c r="E840" s="5" t="s">
        <v>9</v>
      </c>
      <c r="F840" s="17">
        <v>45657</v>
      </c>
      <c r="G840" s="5">
        <f t="shared" si="169"/>
        <v>2024</v>
      </c>
      <c r="H840" s="5" t="str">
        <f t="shared" si="167"/>
        <v>Diciembre</v>
      </c>
      <c r="I840" s="6" t="str">
        <f t="shared" si="173"/>
        <v>2024-2</v>
      </c>
      <c r="J840" s="5">
        <v>0</v>
      </c>
      <c r="K840" s="5">
        <v>0</v>
      </c>
      <c r="L840" s="15" t="str">
        <f t="shared" si="171"/>
        <v/>
      </c>
      <c r="M840" s="15" t="str">
        <f t="shared" si="168"/>
        <v/>
      </c>
      <c r="N840" s="5"/>
      <c r="O840" s="5"/>
      <c r="P840" s="5">
        <v>0</v>
      </c>
      <c r="Q840" s="5">
        <v>0</v>
      </c>
      <c r="R840" s="5" t="str">
        <f t="shared" si="172"/>
        <v>323-2024-12-31</v>
      </c>
    </row>
    <row r="841" spans="1:18" x14ac:dyDescent="0.3">
      <c r="A841" s="43">
        <v>324</v>
      </c>
      <c r="B841" s="5" t="s">
        <v>210</v>
      </c>
      <c r="C841" s="5" t="s">
        <v>209</v>
      </c>
      <c r="D841" s="5" t="s">
        <v>8</v>
      </c>
      <c r="E841" s="5" t="s">
        <v>9</v>
      </c>
      <c r="F841" s="6">
        <v>45107</v>
      </c>
      <c r="G841" s="5">
        <f t="shared" si="169"/>
        <v>2023</v>
      </c>
      <c r="H841" s="5" t="str">
        <f t="shared" si="167"/>
        <v>Junio</v>
      </c>
      <c r="I841" s="6" t="str">
        <f t="shared" si="173"/>
        <v>2023-1</v>
      </c>
      <c r="J841" s="5">
        <v>0</v>
      </c>
      <c r="K841" s="5">
        <v>0</v>
      </c>
      <c r="L841" s="21" t="s">
        <v>417</v>
      </c>
      <c r="M841" s="15" t="str">
        <f t="shared" si="168"/>
        <v/>
      </c>
      <c r="N841" s="5"/>
      <c r="O841" s="5"/>
      <c r="P841" s="5">
        <v>0</v>
      </c>
      <c r="Q841" s="5">
        <v>0</v>
      </c>
      <c r="R841" s="5" t="str">
        <f t="shared" si="172"/>
        <v>324-2023-06-30</v>
      </c>
    </row>
    <row r="842" spans="1:18" x14ac:dyDescent="0.3">
      <c r="A842" s="39">
        <v>324</v>
      </c>
      <c r="B842" s="5" t="s">
        <v>210</v>
      </c>
      <c r="C842" s="5" t="s">
        <v>209</v>
      </c>
      <c r="D842" s="5" t="s">
        <v>8</v>
      </c>
      <c r="E842" s="5" t="s">
        <v>9</v>
      </c>
      <c r="F842" s="6">
        <v>45291</v>
      </c>
      <c r="G842" s="5">
        <f t="shared" si="169"/>
        <v>2023</v>
      </c>
      <c r="H842" s="5" t="str">
        <f t="shared" si="167"/>
        <v>Diciembre</v>
      </c>
      <c r="I842" s="6" t="str">
        <f t="shared" si="173"/>
        <v>2023-2</v>
      </c>
      <c r="J842" s="5">
        <v>12</v>
      </c>
      <c r="K842" s="5">
        <v>12</v>
      </c>
      <c r="L842" s="21">
        <f>IFERROR(K842/J842,"")</f>
        <v>1</v>
      </c>
      <c r="M842" s="15">
        <f t="shared" si="168"/>
        <v>1</v>
      </c>
      <c r="N842" s="5" t="s">
        <v>490</v>
      </c>
      <c r="O842" s="5" t="s">
        <v>490</v>
      </c>
      <c r="P842" s="5">
        <v>0</v>
      </c>
      <c r="Q842" s="5">
        <v>0</v>
      </c>
      <c r="R842" s="5" t="str">
        <f t="shared" si="172"/>
        <v>324-2023-12-31</v>
      </c>
    </row>
    <row r="843" spans="1:18" x14ac:dyDescent="0.3">
      <c r="A843" s="5">
        <v>324</v>
      </c>
      <c r="B843" s="5" t="s">
        <v>210</v>
      </c>
      <c r="C843" s="5" t="s">
        <v>209</v>
      </c>
      <c r="D843" s="5" t="s">
        <v>8</v>
      </c>
      <c r="E843" s="5" t="s">
        <v>9</v>
      </c>
      <c r="F843" s="6">
        <v>45473</v>
      </c>
      <c r="G843" s="5">
        <f t="shared" si="169"/>
        <v>2024</v>
      </c>
      <c r="H843" s="5" t="str">
        <f t="shared" si="167"/>
        <v>Junio</v>
      </c>
      <c r="I843" s="6" t="str">
        <f t="shared" si="173"/>
        <v>2024-1</v>
      </c>
      <c r="J843" s="5"/>
      <c r="K843" s="5"/>
      <c r="L843" s="15" t="str">
        <f t="shared" ref="L843:L848" si="174">IFERROR(IF((K843/J843)&gt;1.3,1.3,K843/J843),"")</f>
        <v/>
      </c>
      <c r="M843" s="15" t="str">
        <f t="shared" si="168"/>
        <v/>
      </c>
      <c r="N843" s="5"/>
      <c r="O843" s="5"/>
      <c r="P843" s="5">
        <v>0</v>
      </c>
      <c r="Q843" s="5">
        <v>0</v>
      </c>
      <c r="R843" s="5" t="str">
        <f t="shared" si="172"/>
        <v>324-2024-06-30</v>
      </c>
    </row>
    <row r="844" spans="1:18" x14ac:dyDescent="0.3">
      <c r="A844" s="5">
        <v>324</v>
      </c>
      <c r="B844" s="5" t="s">
        <v>210</v>
      </c>
      <c r="C844" s="5" t="s">
        <v>209</v>
      </c>
      <c r="D844" s="5" t="s">
        <v>8</v>
      </c>
      <c r="E844" s="5" t="s">
        <v>9</v>
      </c>
      <c r="F844" s="6">
        <v>45657</v>
      </c>
      <c r="G844" s="5">
        <f t="shared" si="169"/>
        <v>2024</v>
      </c>
      <c r="H844" s="5" t="str">
        <f t="shared" si="167"/>
        <v>Diciembre</v>
      </c>
      <c r="I844" s="6" t="str">
        <f t="shared" si="173"/>
        <v>2024-2</v>
      </c>
      <c r="J844" s="5">
        <v>6</v>
      </c>
      <c r="K844" s="5">
        <v>6</v>
      </c>
      <c r="L844" s="15">
        <f t="shared" si="174"/>
        <v>1</v>
      </c>
      <c r="M844" s="15">
        <f t="shared" si="168"/>
        <v>1</v>
      </c>
      <c r="N844" s="5" t="s">
        <v>490</v>
      </c>
      <c r="O844" s="5" t="s">
        <v>490</v>
      </c>
      <c r="P844" s="5">
        <v>0</v>
      </c>
      <c r="Q844" s="5">
        <v>0</v>
      </c>
      <c r="R844" s="5" t="str">
        <f t="shared" si="172"/>
        <v>324-2024-12-31</v>
      </c>
    </row>
    <row r="845" spans="1:18" x14ac:dyDescent="0.3">
      <c r="A845" s="5">
        <v>325</v>
      </c>
      <c r="B845" s="5" t="s">
        <v>211</v>
      </c>
      <c r="C845" s="5" t="s">
        <v>209</v>
      </c>
      <c r="D845" s="5" t="s">
        <v>8</v>
      </c>
      <c r="E845" s="5" t="s">
        <v>9</v>
      </c>
      <c r="F845" s="17">
        <v>44742</v>
      </c>
      <c r="G845" s="16">
        <f t="shared" si="169"/>
        <v>2022</v>
      </c>
      <c r="H845" s="6" t="str">
        <f t="shared" si="167"/>
        <v>Junio</v>
      </c>
      <c r="I845" s="41" t="s">
        <v>426</v>
      </c>
      <c r="J845" s="5">
        <v>3</v>
      </c>
      <c r="K845" s="5">
        <v>3</v>
      </c>
      <c r="L845" s="15">
        <f t="shared" si="174"/>
        <v>1</v>
      </c>
      <c r="M845" s="15">
        <f t="shared" si="168"/>
        <v>1</v>
      </c>
      <c r="N845" s="5" t="s">
        <v>490</v>
      </c>
      <c r="O845" s="5" t="s">
        <v>490</v>
      </c>
      <c r="P845" s="5">
        <v>0</v>
      </c>
      <c r="Q845" s="5">
        <v>0</v>
      </c>
      <c r="R845" s="5" t="str">
        <f t="shared" si="172"/>
        <v>325-2022-06-30</v>
      </c>
    </row>
    <row r="846" spans="1:18" x14ac:dyDescent="0.3">
      <c r="A846" s="5">
        <v>325</v>
      </c>
      <c r="B846" s="5" t="s">
        <v>211</v>
      </c>
      <c r="C846" s="5" t="s">
        <v>209</v>
      </c>
      <c r="D846" s="5" t="s">
        <v>8</v>
      </c>
      <c r="E846" s="5" t="s">
        <v>9</v>
      </c>
      <c r="F846" s="17">
        <v>44926</v>
      </c>
      <c r="G846" s="16">
        <f t="shared" si="169"/>
        <v>2022</v>
      </c>
      <c r="H846" s="6" t="str">
        <f t="shared" si="167"/>
        <v>Diciembre</v>
      </c>
      <c r="I846" s="41" t="s">
        <v>423</v>
      </c>
      <c r="J846" s="5">
        <v>3</v>
      </c>
      <c r="K846" s="5">
        <v>3</v>
      </c>
      <c r="L846" s="15">
        <f t="shared" si="174"/>
        <v>1</v>
      </c>
      <c r="M846" s="15">
        <f t="shared" si="168"/>
        <v>1</v>
      </c>
      <c r="N846" s="5" t="s">
        <v>490</v>
      </c>
      <c r="O846" s="5" t="s">
        <v>490</v>
      </c>
      <c r="P846" s="5">
        <v>0</v>
      </c>
      <c r="Q846" s="5">
        <v>0</v>
      </c>
      <c r="R846" s="5" t="str">
        <f t="shared" si="172"/>
        <v>325-2022-12-31</v>
      </c>
    </row>
    <row r="847" spans="1:18" x14ac:dyDescent="0.3">
      <c r="A847" s="5">
        <v>325</v>
      </c>
      <c r="B847" s="5" t="s">
        <v>211</v>
      </c>
      <c r="C847" s="5" t="s">
        <v>209</v>
      </c>
      <c r="D847" s="5" t="s">
        <v>8</v>
      </c>
      <c r="E847" s="5" t="s">
        <v>9</v>
      </c>
      <c r="F847" s="17">
        <v>45107</v>
      </c>
      <c r="G847" s="16">
        <f t="shared" si="169"/>
        <v>2023</v>
      </c>
      <c r="H847" s="6" t="str">
        <f t="shared" si="167"/>
        <v>Junio</v>
      </c>
      <c r="I847" s="41" t="s">
        <v>422</v>
      </c>
      <c r="J847" s="5">
        <v>1</v>
      </c>
      <c r="K847" s="5">
        <v>1</v>
      </c>
      <c r="L847" s="15">
        <f t="shared" si="174"/>
        <v>1</v>
      </c>
      <c r="M847" s="15">
        <f t="shared" si="168"/>
        <v>1</v>
      </c>
      <c r="N847" s="5" t="s">
        <v>490</v>
      </c>
      <c r="O847" s="5" t="s">
        <v>490</v>
      </c>
      <c r="P847" s="5">
        <v>0</v>
      </c>
      <c r="Q847" s="5">
        <v>0</v>
      </c>
      <c r="R847" s="5" t="str">
        <f t="shared" si="172"/>
        <v>325-2023-06-30</v>
      </c>
    </row>
    <row r="848" spans="1:18" x14ac:dyDescent="0.3">
      <c r="A848" s="39">
        <v>325</v>
      </c>
      <c r="B848" s="5" t="s">
        <v>211</v>
      </c>
      <c r="C848" s="5" t="s">
        <v>209</v>
      </c>
      <c r="D848" s="5" t="s">
        <v>8</v>
      </c>
      <c r="E848" s="5" t="s">
        <v>9</v>
      </c>
      <c r="F848" s="6">
        <v>45291</v>
      </c>
      <c r="G848" s="5">
        <f t="shared" si="169"/>
        <v>2023</v>
      </c>
      <c r="H848" s="5" t="str">
        <f t="shared" si="167"/>
        <v>Diciembre</v>
      </c>
      <c r="I848" s="6" t="str">
        <f t="shared" ref="I848:I863" si="175">IF(OR(H848="Enero",H848="Febrero",H848="Marzo",H848="Abril",H848="Mayo",H848="Junio"),G848&amp;"-1",IF(OR(H848="Julio",H848="Agosto",H848="Septiembre",H848="Octubre",H848="Noviembre",H848="Diciembre"),G848&amp;"-2"))</f>
        <v>2023-2</v>
      </c>
      <c r="J848" s="5">
        <v>0</v>
      </c>
      <c r="K848" s="5">
        <v>0</v>
      </c>
      <c r="L848" s="15" t="str">
        <f t="shared" si="174"/>
        <v/>
      </c>
      <c r="M848" s="15" t="str">
        <f t="shared" si="168"/>
        <v/>
      </c>
      <c r="N848" s="5"/>
      <c r="O848" s="5"/>
      <c r="P848" s="5">
        <v>0</v>
      </c>
      <c r="Q848" s="5">
        <v>0</v>
      </c>
      <c r="R848" s="5" t="str">
        <f t="shared" si="172"/>
        <v>325-2023-12-31</v>
      </c>
    </row>
    <row r="849" spans="1:18" x14ac:dyDescent="0.3">
      <c r="A849" s="5">
        <v>325</v>
      </c>
      <c r="B849" s="5" t="s">
        <v>211</v>
      </c>
      <c r="C849" s="5" t="s">
        <v>209</v>
      </c>
      <c r="D849" s="5" t="s">
        <v>8</v>
      </c>
      <c r="E849" s="5" t="s">
        <v>9</v>
      </c>
      <c r="F849" s="6">
        <v>45473</v>
      </c>
      <c r="G849" s="5">
        <f t="shared" si="169"/>
        <v>2024</v>
      </c>
      <c r="H849" s="5" t="str">
        <f t="shared" si="167"/>
        <v>Junio</v>
      </c>
      <c r="I849" s="6" t="str">
        <f t="shared" si="175"/>
        <v>2024-1</v>
      </c>
      <c r="J849" s="5">
        <v>5</v>
      </c>
      <c r="K849" s="10">
        <v>5</v>
      </c>
      <c r="L849" s="15">
        <v>1</v>
      </c>
      <c r="M849" s="15">
        <v>1</v>
      </c>
      <c r="N849" s="5" t="s">
        <v>490</v>
      </c>
      <c r="O849" s="5" t="s">
        <v>490</v>
      </c>
      <c r="P849" s="5">
        <v>0</v>
      </c>
      <c r="Q849" s="5">
        <v>0</v>
      </c>
      <c r="R849" s="5" t="str">
        <f t="shared" si="172"/>
        <v>325-2024-06-30</v>
      </c>
    </row>
    <row r="850" spans="1:18" x14ac:dyDescent="0.3">
      <c r="A850" s="5">
        <v>325</v>
      </c>
      <c r="B850" s="5" t="s">
        <v>211</v>
      </c>
      <c r="C850" s="5" t="s">
        <v>209</v>
      </c>
      <c r="D850" s="5" t="s">
        <v>8</v>
      </c>
      <c r="E850" s="5" t="s">
        <v>9</v>
      </c>
      <c r="F850" s="6">
        <v>45657</v>
      </c>
      <c r="G850" s="5">
        <f t="shared" si="169"/>
        <v>2024</v>
      </c>
      <c r="H850" s="5" t="str">
        <f t="shared" si="167"/>
        <v>Diciembre</v>
      </c>
      <c r="I850" s="6" t="str">
        <f t="shared" si="175"/>
        <v>2024-2</v>
      </c>
      <c r="J850" s="5">
        <v>3</v>
      </c>
      <c r="K850" s="10">
        <v>3</v>
      </c>
      <c r="L850" s="15">
        <v>1</v>
      </c>
      <c r="M850" s="15">
        <v>1</v>
      </c>
      <c r="N850" s="5" t="s">
        <v>490</v>
      </c>
      <c r="O850" s="5" t="s">
        <v>490</v>
      </c>
      <c r="P850" s="5">
        <v>0</v>
      </c>
      <c r="Q850" s="5">
        <v>0</v>
      </c>
      <c r="R850" s="5" t="str">
        <f t="shared" si="172"/>
        <v>325-2024-12-31</v>
      </c>
    </row>
    <row r="851" spans="1:18" x14ac:dyDescent="0.3">
      <c r="A851" s="39">
        <v>326</v>
      </c>
      <c r="B851" s="5" t="s">
        <v>212</v>
      </c>
      <c r="C851" s="5" t="s">
        <v>158</v>
      </c>
      <c r="D851" s="5" t="s">
        <v>25</v>
      </c>
      <c r="E851" s="5" t="s">
        <v>9</v>
      </c>
      <c r="F851" s="6">
        <v>45291</v>
      </c>
      <c r="G851" s="5">
        <f t="shared" si="169"/>
        <v>2023</v>
      </c>
      <c r="H851" s="5" t="str">
        <f t="shared" si="167"/>
        <v>Diciembre</v>
      </c>
      <c r="I851" s="6" t="str">
        <f t="shared" si="175"/>
        <v>2023-2</v>
      </c>
      <c r="J851" s="5">
        <v>5</v>
      </c>
      <c r="K851" s="5">
        <v>5</v>
      </c>
      <c r="L851" s="21">
        <f>IFERROR(K851/J851,"")</f>
        <v>1</v>
      </c>
      <c r="M851" s="15">
        <f>IFERROR(K851/J851,"")</f>
        <v>1</v>
      </c>
      <c r="N851" s="5"/>
      <c r="O851" s="5"/>
      <c r="P851" s="5">
        <v>0</v>
      </c>
      <c r="Q851" s="5">
        <v>0</v>
      </c>
      <c r="R851" s="5" t="str">
        <f t="shared" si="172"/>
        <v>326-2023-12-31</v>
      </c>
    </row>
    <row r="852" spans="1:18" x14ac:dyDescent="0.3">
      <c r="A852" s="5">
        <v>326</v>
      </c>
      <c r="B852" s="5" t="s">
        <v>212</v>
      </c>
      <c r="C852" s="5" t="s">
        <v>158</v>
      </c>
      <c r="D852" s="5" t="s">
        <v>25</v>
      </c>
      <c r="E852" s="5" t="s">
        <v>9</v>
      </c>
      <c r="F852" s="6">
        <v>45657</v>
      </c>
      <c r="G852" s="5">
        <f t="shared" si="169"/>
        <v>2024</v>
      </c>
      <c r="H852" s="5" t="str">
        <f t="shared" si="167"/>
        <v>Diciembre</v>
      </c>
      <c r="I852" s="6" t="str">
        <f t="shared" si="175"/>
        <v>2024-2</v>
      </c>
      <c r="J852" s="5">
        <v>0</v>
      </c>
      <c r="K852" s="5"/>
      <c r="L852" s="15" t="str">
        <f>IFERROR(IF((K852/J852)&gt;1.3,1.3,K852/J852),"")</f>
        <v/>
      </c>
      <c r="M852" s="15" t="str">
        <f>IFERROR(K852/J852,"")</f>
        <v/>
      </c>
      <c r="N852" s="5" t="s">
        <v>490</v>
      </c>
      <c r="O852" s="5" t="s">
        <v>81</v>
      </c>
      <c r="P852" s="5">
        <v>0</v>
      </c>
      <c r="Q852" s="5">
        <v>0</v>
      </c>
      <c r="R852" s="5" t="str">
        <f t="shared" si="172"/>
        <v>326-2024-12-31</v>
      </c>
    </row>
    <row r="853" spans="1:18" x14ac:dyDescent="0.3">
      <c r="A853" s="39">
        <v>327</v>
      </c>
      <c r="B853" s="5" t="s">
        <v>213</v>
      </c>
      <c r="C853" s="5" t="s">
        <v>158</v>
      </c>
      <c r="D853" s="5" t="s">
        <v>8</v>
      </c>
      <c r="E853" s="5" t="s">
        <v>9</v>
      </c>
      <c r="F853" s="6">
        <v>44926</v>
      </c>
      <c r="G853" s="5">
        <f t="shared" si="169"/>
        <v>2022</v>
      </c>
      <c r="H853" s="5" t="str">
        <f t="shared" si="167"/>
        <v>Diciembre</v>
      </c>
      <c r="I853" s="6" t="str">
        <f t="shared" si="175"/>
        <v>2022-2</v>
      </c>
      <c r="J853" s="5">
        <v>0</v>
      </c>
      <c r="K853" s="5">
        <v>0</v>
      </c>
      <c r="L853" s="21" t="str">
        <f>IFERROR(K853/J853,"")</f>
        <v/>
      </c>
      <c r="M853" s="15" t="str">
        <f>IFERROR(K853/J853,"")</f>
        <v/>
      </c>
      <c r="N853" s="5"/>
      <c r="O853" s="5"/>
      <c r="P853" s="5">
        <v>0</v>
      </c>
      <c r="Q853" s="5">
        <v>0</v>
      </c>
      <c r="R853" s="5" t="str">
        <f t="shared" si="172"/>
        <v>327-2022-12-31</v>
      </c>
    </row>
    <row r="854" spans="1:18" x14ac:dyDescent="0.3">
      <c r="A854" s="43">
        <v>327</v>
      </c>
      <c r="B854" s="5" t="s">
        <v>213</v>
      </c>
      <c r="C854" s="5" t="s">
        <v>158</v>
      </c>
      <c r="D854" s="5" t="s">
        <v>8</v>
      </c>
      <c r="E854" s="5" t="s">
        <v>9</v>
      </c>
      <c r="F854" s="6">
        <v>45107</v>
      </c>
      <c r="G854" s="5">
        <f t="shared" si="169"/>
        <v>2023</v>
      </c>
      <c r="H854" s="5" t="str">
        <f t="shared" si="167"/>
        <v>Junio</v>
      </c>
      <c r="I854" s="6" t="str">
        <f t="shared" si="175"/>
        <v>2023-1</v>
      </c>
      <c r="J854" s="5">
        <v>0</v>
      </c>
      <c r="K854" s="5">
        <v>0</v>
      </c>
      <c r="L854" s="21" t="str">
        <f>IFERROR(K854/J854,"")</f>
        <v/>
      </c>
      <c r="M854" s="15" t="str">
        <f>IFERROR(K854/J854,"")</f>
        <v/>
      </c>
      <c r="N854" s="5"/>
      <c r="O854" s="5"/>
      <c r="P854" s="5">
        <v>0</v>
      </c>
      <c r="Q854" s="5">
        <v>0</v>
      </c>
      <c r="R854" s="5" t="str">
        <f t="shared" si="172"/>
        <v>327-2023-06-30</v>
      </c>
    </row>
    <row r="855" spans="1:18" x14ac:dyDescent="0.3">
      <c r="A855" s="39">
        <v>327</v>
      </c>
      <c r="B855" s="5" t="s">
        <v>213</v>
      </c>
      <c r="C855" s="5" t="s">
        <v>158</v>
      </c>
      <c r="D855" s="5" t="s">
        <v>8</v>
      </c>
      <c r="E855" s="5" t="s">
        <v>9</v>
      </c>
      <c r="F855" s="6">
        <v>45291</v>
      </c>
      <c r="G855" s="5">
        <f t="shared" si="169"/>
        <v>2023</v>
      </c>
      <c r="H855" s="5" t="str">
        <f t="shared" si="167"/>
        <v>Diciembre</v>
      </c>
      <c r="I855" s="6" t="str">
        <f t="shared" si="175"/>
        <v>2023-2</v>
      </c>
      <c r="J855" s="5">
        <v>2</v>
      </c>
      <c r="K855" s="5">
        <v>2</v>
      </c>
      <c r="L855" s="21">
        <f>IFERROR(K855/J855,"")</f>
        <v>1</v>
      </c>
      <c r="M855" s="15">
        <f>IFERROR(K855/J855,"")</f>
        <v>1</v>
      </c>
      <c r="N855" s="5" t="s">
        <v>490</v>
      </c>
      <c r="O855" s="5" t="s">
        <v>490</v>
      </c>
      <c r="P855" s="5">
        <v>0</v>
      </c>
      <c r="Q855" s="5">
        <v>0</v>
      </c>
      <c r="R855" s="5" t="str">
        <f t="shared" si="172"/>
        <v>327-2023-12-31</v>
      </c>
    </row>
    <row r="856" spans="1:18" x14ac:dyDescent="0.3">
      <c r="A856" s="5">
        <v>327</v>
      </c>
      <c r="B856" s="5" t="s">
        <v>213</v>
      </c>
      <c r="C856" s="5" t="s">
        <v>158</v>
      </c>
      <c r="D856" s="5" t="s">
        <v>8</v>
      </c>
      <c r="E856" s="5" t="s">
        <v>9</v>
      </c>
      <c r="F856" s="6">
        <v>45473</v>
      </c>
      <c r="G856" s="5">
        <f t="shared" si="169"/>
        <v>2024</v>
      </c>
      <c r="H856" s="5" t="str">
        <f t="shared" si="167"/>
        <v>Junio</v>
      </c>
      <c r="I856" s="6" t="str">
        <f t="shared" si="175"/>
        <v>2024-1</v>
      </c>
      <c r="J856" s="5">
        <v>0</v>
      </c>
      <c r="K856" s="10">
        <v>0</v>
      </c>
      <c r="L856" s="15"/>
      <c r="M856" s="15"/>
      <c r="N856" s="5"/>
      <c r="O856" s="5"/>
      <c r="P856" s="5">
        <v>0</v>
      </c>
      <c r="Q856" s="5">
        <v>0</v>
      </c>
      <c r="R856" s="5" t="str">
        <f t="shared" si="172"/>
        <v>327-2024-06-30</v>
      </c>
    </row>
    <row r="857" spans="1:18" x14ac:dyDescent="0.3">
      <c r="A857" s="5">
        <v>327</v>
      </c>
      <c r="B857" s="5" t="s">
        <v>213</v>
      </c>
      <c r="C857" s="5" t="s">
        <v>158</v>
      </c>
      <c r="D857" s="5" t="s">
        <v>8</v>
      </c>
      <c r="E857" s="5" t="s">
        <v>9</v>
      </c>
      <c r="F857" s="6">
        <v>45657</v>
      </c>
      <c r="G857" s="5">
        <f t="shared" si="169"/>
        <v>2024</v>
      </c>
      <c r="H857" s="5" t="str">
        <f t="shared" si="167"/>
        <v>Diciembre</v>
      </c>
      <c r="I857" s="6" t="str">
        <f t="shared" si="175"/>
        <v>2024-2</v>
      </c>
      <c r="J857" s="5">
        <v>0</v>
      </c>
      <c r="K857" s="5">
        <v>0</v>
      </c>
      <c r="L857" s="15" t="str">
        <f>IFERROR(IF((K857/J857)&gt;1.3,1.3,K857/J857),"")</f>
        <v/>
      </c>
      <c r="M857" s="15" t="str">
        <f t="shared" ref="M857:M863" si="176">IFERROR(K857/J857,"")</f>
        <v/>
      </c>
      <c r="N857" s="5"/>
      <c r="O857" s="5"/>
      <c r="P857" s="5">
        <v>0</v>
      </c>
      <c r="Q857" s="5">
        <v>0</v>
      </c>
      <c r="R857" s="5" t="str">
        <f t="shared" si="172"/>
        <v>327-2024-12-31</v>
      </c>
    </row>
    <row r="858" spans="1:18" x14ac:dyDescent="0.3">
      <c r="A858" s="39">
        <v>328</v>
      </c>
      <c r="B858" s="5" t="s">
        <v>459</v>
      </c>
      <c r="C858" s="5" t="s">
        <v>214</v>
      </c>
      <c r="D858" s="5" t="s">
        <v>25</v>
      </c>
      <c r="E858" s="5" t="s">
        <v>9</v>
      </c>
      <c r="F858" s="6">
        <v>45291</v>
      </c>
      <c r="G858" s="5">
        <f t="shared" si="169"/>
        <v>2023</v>
      </c>
      <c r="H858" s="5" t="str">
        <f t="shared" si="167"/>
        <v>Diciembre</v>
      </c>
      <c r="I858" s="6" t="str">
        <f t="shared" si="175"/>
        <v>2023-2</v>
      </c>
      <c r="J858" s="5">
        <v>800</v>
      </c>
      <c r="K858" s="5">
        <v>1035</v>
      </c>
      <c r="L858" s="21">
        <f>IFERROR(K858/J858,"")</f>
        <v>1.29375</v>
      </c>
      <c r="M858" s="15">
        <f t="shared" si="176"/>
        <v>1.29375</v>
      </c>
      <c r="N858" s="5"/>
      <c r="O858" s="5"/>
      <c r="P858" s="5">
        <v>0</v>
      </c>
      <c r="Q858" s="5">
        <v>0</v>
      </c>
      <c r="R858" s="5" t="str">
        <f t="shared" si="172"/>
        <v>328-2023-12-31</v>
      </c>
    </row>
    <row r="859" spans="1:18" x14ac:dyDescent="0.3">
      <c r="A859" s="5">
        <v>328</v>
      </c>
      <c r="B859" s="5" t="s">
        <v>459</v>
      </c>
      <c r="C859" s="5" t="s">
        <v>214</v>
      </c>
      <c r="D859" s="5" t="s">
        <v>25</v>
      </c>
      <c r="E859" s="5" t="s">
        <v>9</v>
      </c>
      <c r="F859" s="6">
        <v>45657</v>
      </c>
      <c r="G859" s="5">
        <f t="shared" si="169"/>
        <v>2024</v>
      </c>
      <c r="H859" s="5" t="str">
        <f t="shared" si="167"/>
        <v>Diciembre</v>
      </c>
      <c r="I859" s="6" t="str">
        <f t="shared" si="175"/>
        <v>2024-2</v>
      </c>
      <c r="J859" s="5">
        <v>100</v>
      </c>
      <c r="K859" s="5">
        <v>157</v>
      </c>
      <c r="L859" s="15">
        <f>IFERROR(IF((K859/J859)&gt;1.3,1.3,K859/J859),"")</f>
        <v>1.3</v>
      </c>
      <c r="M859" s="15">
        <f t="shared" si="176"/>
        <v>1.57</v>
      </c>
      <c r="N859" s="5"/>
      <c r="O859" s="5"/>
      <c r="P859" s="5">
        <v>0</v>
      </c>
      <c r="Q859" s="5">
        <v>0</v>
      </c>
      <c r="R859" s="5" t="str">
        <f t="shared" si="172"/>
        <v>328-2024-12-31</v>
      </c>
    </row>
    <row r="860" spans="1:18" x14ac:dyDescent="0.3">
      <c r="A860" s="39">
        <v>329</v>
      </c>
      <c r="B860" s="5" t="s">
        <v>215</v>
      </c>
      <c r="C860" s="5" t="s">
        <v>214</v>
      </c>
      <c r="D860" s="5" t="s">
        <v>25</v>
      </c>
      <c r="E860" s="5" t="s">
        <v>9</v>
      </c>
      <c r="F860" s="6">
        <v>45291</v>
      </c>
      <c r="G860" s="5">
        <f t="shared" si="169"/>
        <v>2023</v>
      </c>
      <c r="H860" s="5" t="str">
        <f t="shared" si="167"/>
        <v>Diciembre</v>
      </c>
      <c r="I860" s="6" t="str">
        <f t="shared" si="175"/>
        <v>2023-2</v>
      </c>
      <c r="J860" s="5">
        <v>3000</v>
      </c>
      <c r="K860" s="5">
        <v>3315</v>
      </c>
      <c r="L860" s="21">
        <f>IFERROR(K860/J860,"")</f>
        <v>1.105</v>
      </c>
      <c r="M860" s="15">
        <f t="shared" si="176"/>
        <v>1.105</v>
      </c>
      <c r="N860" s="5"/>
      <c r="O860" s="5"/>
      <c r="P860" s="5">
        <v>0</v>
      </c>
      <c r="Q860" s="5">
        <v>0</v>
      </c>
      <c r="R860" s="5" t="str">
        <f t="shared" si="172"/>
        <v>329-2023-12-31</v>
      </c>
    </row>
    <row r="861" spans="1:18" x14ac:dyDescent="0.3">
      <c r="A861" s="5">
        <v>329</v>
      </c>
      <c r="B861" s="5" t="s">
        <v>215</v>
      </c>
      <c r="C861" s="5" t="s">
        <v>214</v>
      </c>
      <c r="D861" s="5" t="s">
        <v>25</v>
      </c>
      <c r="E861" s="5" t="s">
        <v>9</v>
      </c>
      <c r="F861" s="6">
        <v>45657</v>
      </c>
      <c r="G861" s="5">
        <f t="shared" si="169"/>
        <v>2024</v>
      </c>
      <c r="H861" s="5" t="str">
        <f t="shared" si="167"/>
        <v>Diciembre</v>
      </c>
      <c r="I861" s="6" t="str">
        <f t="shared" si="175"/>
        <v>2024-2</v>
      </c>
      <c r="J861" s="5">
        <v>100</v>
      </c>
      <c r="K861" s="5">
        <v>106.63</v>
      </c>
      <c r="L861" s="15">
        <f>IFERROR(IF((K861/J861)&gt;1.3,1.3,K861/J861),"")</f>
        <v>1.0663</v>
      </c>
      <c r="M861" s="15">
        <f t="shared" si="176"/>
        <v>1.0663</v>
      </c>
      <c r="N861" s="5"/>
      <c r="O861" s="5"/>
      <c r="P861" s="5">
        <v>0</v>
      </c>
      <c r="Q861" s="5">
        <v>0</v>
      </c>
      <c r="R861" s="5" t="str">
        <f t="shared" si="172"/>
        <v>329-2024-12-31</v>
      </c>
    </row>
    <row r="862" spans="1:18" x14ac:dyDescent="0.3">
      <c r="A862" s="39">
        <v>331</v>
      </c>
      <c r="B862" s="5" t="s">
        <v>216</v>
      </c>
      <c r="C862" s="5" t="s">
        <v>214</v>
      </c>
      <c r="D862" s="5" t="s">
        <v>25</v>
      </c>
      <c r="E862" s="5" t="s">
        <v>9</v>
      </c>
      <c r="F862" s="6">
        <v>45291</v>
      </c>
      <c r="G862" s="5">
        <f t="shared" si="169"/>
        <v>2023</v>
      </c>
      <c r="H862" s="5" t="str">
        <f t="shared" si="167"/>
        <v>Diciembre</v>
      </c>
      <c r="I862" s="6" t="str">
        <f t="shared" si="175"/>
        <v>2023-2</v>
      </c>
      <c r="J862" s="5">
        <v>0</v>
      </c>
      <c r="K862" s="5">
        <v>81</v>
      </c>
      <c r="L862" s="15" t="str">
        <f>IFERROR(IF((K862/J862)&gt;1.3,1.3,K862/J862),"")</f>
        <v/>
      </c>
      <c r="M862" s="15" t="str">
        <f t="shared" si="176"/>
        <v/>
      </c>
      <c r="N862" s="5" t="s">
        <v>728</v>
      </c>
      <c r="O862" s="5" t="s">
        <v>347</v>
      </c>
      <c r="P862" s="5">
        <v>0</v>
      </c>
      <c r="Q862" s="5">
        <v>0</v>
      </c>
      <c r="R862" s="5" t="str">
        <f t="shared" si="172"/>
        <v>331-2023-12-31</v>
      </c>
    </row>
    <row r="863" spans="1:18" x14ac:dyDescent="0.3">
      <c r="A863" s="39">
        <v>331</v>
      </c>
      <c r="B863" s="5" t="s">
        <v>216</v>
      </c>
      <c r="C863" s="5" t="s">
        <v>214</v>
      </c>
      <c r="D863" s="5" t="s">
        <v>25</v>
      </c>
      <c r="E863" s="5" t="s">
        <v>9</v>
      </c>
      <c r="F863" s="6">
        <v>45657</v>
      </c>
      <c r="G863" s="5">
        <f t="shared" si="169"/>
        <v>2024</v>
      </c>
      <c r="H863" s="5" t="str">
        <f t="shared" si="167"/>
        <v>Diciembre</v>
      </c>
      <c r="I863" s="6" t="str">
        <f t="shared" si="175"/>
        <v>2024-2</v>
      </c>
      <c r="J863" s="5">
        <v>0</v>
      </c>
      <c r="K863" s="5">
        <v>82</v>
      </c>
      <c r="L863" s="15" t="str">
        <f>IFERROR(IF((K863/J863)&gt;1.3,1.3,K863/J863),"")</f>
        <v/>
      </c>
      <c r="M863" s="15" t="str">
        <f t="shared" si="176"/>
        <v/>
      </c>
      <c r="N863" s="5" t="s">
        <v>728</v>
      </c>
      <c r="O863" s="5" t="s">
        <v>347</v>
      </c>
      <c r="P863" s="5">
        <v>0</v>
      </c>
      <c r="Q863" s="5">
        <v>0</v>
      </c>
      <c r="R863" s="5" t="str">
        <f t="shared" si="172"/>
        <v>331-2024-12-31</v>
      </c>
    </row>
    <row r="864" spans="1:18" x14ac:dyDescent="0.3">
      <c r="A864" s="5">
        <v>332</v>
      </c>
      <c r="B864" s="5" t="s">
        <v>217</v>
      </c>
      <c r="C864" s="5" t="s">
        <v>13</v>
      </c>
      <c r="D864" s="5" t="s">
        <v>8</v>
      </c>
      <c r="E864" s="5" t="s">
        <v>14</v>
      </c>
      <c r="F864" s="17">
        <v>44742</v>
      </c>
      <c r="G864" s="16">
        <f t="shared" si="169"/>
        <v>2022</v>
      </c>
      <c r="H864" s="6" t="str">
        <f t="shared" ref="H864:H927" si="177">PROPER(TEXT(F864,"mmmm"))</f>
        <v>Junio</v>
      </c>
      <c r="I864" s="41" t="s">
        <v>426</v>
      </c>
      <c r="J864" s="5">
        <v>1.6</v>
      </c>
      <c r="K864" s="5">
        <v>1.8</v>
      </c>
      <c r="L864" s="15">
        <f t="shared" ref="L864:L869" si="178">IFERROR(IF((J864/K864)&gt;1.3,1.3,J864/K864),"")</f>
        <v>0.88888888888888895</v>
      </c>
      <c r="M864" s="15">
        <f t="shared" ref="M864:M869" si="179">IFERROR(J864/K864,"")</f>
        <v>0.88888888888888895</v>
      </c>
      <c r="N864" s="5" t="s">
        <v>478</v>
      </c>
      <c r="O864" s="5" t="s">
        <v>478</v>
      </c>
      <c r="P864" s="5">
        <v>1</v>
      </c>
      <c r="Q864" s="5">
        <v>1</v>
      </c>
      <c r="R864" s="5" t="str">
        <f t="shared" si="172"/>
        <v>332-2022-06-30</v>
      </c>
    </row>
    <row r="865" spans="1:18" x14ac:dyDescent="0.3">
      <c r="A865" s="5">
        <v>332</v>
      </c>
      <c r="B865" s="5" t="s">
        <v>217</v>
      </c>
      <c r="C865" s="5" t="s">
        <v>13</v>
      </c>
      <c r="D865" s="5" t="s">
        <v>8</v>
      </c>
      <c r="E865" s="5" t="s">
        <v>14</v>
      </c>
      <c r="F865" s="17">
        <v>44926</v>
      </c>
      <c r="G865" s="16">
        <f t="shared" si="169"/>
        <v>2022</v>
      </c>
      <c r="H865" s="6" t="str">
        <f t="shared" si="177"/>
        <v>Diciembre</v>
      </c>
      <c r="I865" s="41" t="s">
        <v>423</v>
      </c>
      <c r="J865" s="5">
        <v>1.6</v>
      </c>
      <c r="K865" s="5">
        <v>1.75</v>
      </c>
      <c r="L865" s="15">
        <f t="shared" si="178"/>
        <v>0.91428571428571437</v>
      </c>
      <c r="M865" s="15">
        <f t="shared" si="179"/>
        <v>0.91428571428571437</v>
      </c>
      <c r="N865" s="5" t="s">
        <v>478</v>
      </c>
      <c r="O865" s="5" t="s">
        <v>478</v>
      </c>
      <c r="P865" s="5">
        <v>1</v>
      </c>
      <c r="Q865" s="5">
        <v>2</v>
      </c>
      <c r="R865" s="5" t="str">
        <f t="shared" si="172"/>
        <v>332-2022-12-31</v>
      </c>
    </row>
    <row r="866" spans="1:18" x14ac:dyDescent="0.3">
      <c r="A866" s="5">
        <v>332</v>
      </c>
      <c r="B866" s="5" t="s">
        <v>217</v>
      </c>
      <c r="C866" s="5" t="s">
        <v>13</v>
      </c>
      <c r="D866" s="5" t="s">
        <v>8</v>
      </c>
      <c r="E866" s="5" t="s">
        <v>14</v>
      </c>
      <c r="F866" s="17">
        <v>45107</v>
      </c>
      <c r="G866" s="16">
        <f t="shared" si="169"/>
        <v>2023</v>
      </c>
      <c r="H866" s="6" t="str">
        <f t="shared" si="177"/>
        <v>Junio</v>
      </c>
      <c r="I866" s="41" t="s">
        <v>422</v>
      </c>
      <c r="J866" s="5">
        <v>1.8</v>
      </c>
      <c r="K866" s="5">
        <v>1.57</v>
      </c>
      <c r="L866" s="15">
        <f t="shared" si="178"/>
        <v>1.1464968152866242</v>
      </c>
      <c r="M866" s="15">
        <f t="shared" si="179"/>
        <v>1.1464968152866242</v>
      </c>
      <c r="N866" s="5" t="s">
        <v>478</v>
      </c>
      <c r="O866" s="5" t="s">
        <v>478</v>
      </c>
      <c r="P866" s="5">
        <v>1</v>
      </c>
      <c r="Q866" s="5">
        <v>2</v>
      </c>
      <c r="R866" s="5" t="str">
        <f t="shared" si="172"/>
        <v>332-2023-06-30</v>
      </c>
    </row>
    <row r="867" spans="1:18" x14ac:dyDescent="0.3">
      <c r="A867" s="39">
        <v>332</v>
      </c>
      <c r="B867" s="5" t="s">
        <v>217</v>
      </c>
      <c r="C867" s="5" t="s">
        <v>13</v>
      </c>
      <c r="D867" s="5" t="s">
        <v>8</v>
      </c>
      <c r="E867" s="5" t="s">
        <v>14</v>
      </c>
      <c r="F867" s="6">
        <v>45291</v>
      </c>
      <c r="G867" s="5">
        <f t="shared" si="169"/>
        <v>2023</v>
      </c>
      <c r="H867" s="5" t="str">
        <f t="shared" si="177"/>
        <v>Diciembre</v>
      </c>
      <c r="I867" s="6" t="str">
        <f t="shared" ref="I867:I898" si="180">IF(OR(H867="Enero",H867="Febrero",H867="Marzo",H867="Abril",H867="Mayo",H867="Junio"),G867&amp;"-1",IF(OR(H867="Julio",H867="Agosto",H867="Septiembre",H867="Octubre",H867="Noviembre",H867="Diciembre"),G867&amp;"-2"))</f>
        <v>2023-2</v>
      </c>
      <c r="J867" s="5">
        <v>1.8</v>
      </c>
      <c r="K867" s="5">
        <v>1.3</v>
      </c>
      <c r="L867" s="15">
        <f t="shared" si="178"/>
        <v>1.3</v>
      </c>
      <c r="M867" s="15">
        <f t="shared" si="179"/>
        <v>1.3846153846153846</v>
      </c>
      <c r="N867" s="5" t="s">
        <v>478</v>
      </c>
      <c r="O867" s="5" t="s">
        <v>478</v>
      </c>
      <c r="P867" s="5">
        <v>1</v>
      </c>
      <c r="Q867" s="5">
        <v>1</v>
      </c>
      <c r="R867" s="5" t="str">
        <f t="shared" si="172"/>
        <v>332-2023-12-31</v>
      </c>
    </row>
    <row r="868" spans="1:18" x14ac:dyDescent="0.3">
      <c r="A868" s="5">
        <v>332</v>
      </c>
      <c r="B868" s="5" t="s">
        <v>217</v>
      </c>
      <c r="C868" s="5" t="s">
        <v>13</v>
      </c>
      <c r="D868" s="5" t="s">
        <v>8</v>
      </c>
      <c r="E868" s="5" t="s">
        <v>14</v>
      </c>
      <c r="F868" s="6">
        <v>45473</v>
      </c>
      <c r="G868" s="5">
        <f t="shared" si="169"/>
        <v>2024</v>
      </c>
      <c r="H868" s="5" t="str">
        <f t="shared" si="177"/>
        <v>Junio</v>
      </c>
      <c r="I868" s="6" t="str">
        <f t="shared" si="180"/>
        <v>2024-1</v>
      </c>
      <c r="J868" s="5">
        <v>1.5</v>
      </c>
      <c r="K868" s="10">
        <v>1.48</v>
      </c>
      <c r="L868" s="15">
        <f t="shared" si="178"/>
        <v>1.0135135135135136</v>
      </c>
      <c r="M868" s="15">
        <f t="shared" si="179"/>
        <v>1.0135135135135136</v>
      </c>
      <c r="N868" s="5" t="s">
        <v>478</v>
      </c>
      <c r="O868" s="5" t="s">
        <v>478</v>
      </c>
      <c r="P868" s="5">
        <v>1</v>
      </c>
      <c r="Q868" s="5">
        <v>2</v>
      </c>
      <c r="R868" s="5" t="str">
        <f t="shared" si="172"/>
        <v>332-2024-06-30</v>
      </c>
    </row>
    <row r="869" spans="1:18" x14ac:dyDescent="0.3">
      <c r="A869" s="5">
        <v>332</v>
      </c>
      <c r="B869" s="5" t="s">
        <v>217</v>
      </c>
      <c r="C869" s="5" t="s">
        <v>13</v>
      </c>
      <c r="D869" s="5" t="s">
        <v>8</v>
      </c>
      <c r="E869" s="5" t="s">
        <v>14</v>
      </c>
      <c r="F869" s="6">
        <v>45657</v>
      </c>
      <c r="G869" s="5">
        <f t="shared" si="169"/>
        <v>2024</v>
      </c>
      <c r="H869" s="5" t="str">
        <f t="shared" si="177"/>
        <v>Diciembre</v>
      </c>
      <c r="I869" s="6" t="str">
        <f t="shared" si="180"/>
        <v>2024-2</v>
      </c>
      <c r="J869" s="5">
        <v>1.8</v>
      </c>
      <c r="K869" s="5">
        <v>0.82</v>
      </c>
      <c r="L869" s="15">
        <f t="shared" si="178"/>
        <v>1.3</v>
      </c>
      <c r="M869" s="15">
        <f t="shared" si="179"/>
        <v>2.1951219512195124</v>
      </c>
      <c r="N869" s="5" t="s">
        <v>478</v>
      </c>
      <c r="O869" s="5" t="s">
        <v>478</v>
      </c>
      <c r="P869" s="5">
        <v>1</v>
      </c>
      <c r="Q869" s="5">
        <v>2</v>
      </c>
      <c r="R869" s="5" t="str">
        <f t="shared" si="172"/>
        <v>332-2024-12-31</v>
      </c>
    </row>
    <row r="870" spans="1:18" x14ac:dyDescent="0.3">
      <c r="A870" s="39">
        <v>334</v>
      </c>
      <c r="B870" s="5" t="s">
        <v>218</v>
      </c>
      <c r="C870" s="5" t="s">
        <v>13</v>
      </c>
      <c r="D870" s="5" t="s">
        <v>25</v>
      </c>
      <c r="E870" s="5" t="s">
        <v>9</v>
      </c>
      <c r="F870" s="6">
        <v>45291</v>
      </c>
      <c r="G870" s="5">
        <f t="shared" si="169"/>
        <v>2023</v>
      </c>
      <c r="H870" s="5" t="str">
        <f t="shared" si="177"/>
        <v>Diciembre</v>
      </c>
      <c r="I870" s="6" t="str">
        <f t="shared" si="180"/>
        <v>2023-2</v>
      </c>
      <c r="J870" s="5">
        <v>88</v>
      </c>
      <c r="K870" s="5">
        <v>88.39</v>
      </c>
      <c r="L870" s="15">
        <f>IFERROR(IF((K870/J870)&gt;1.3,1.3,K870/J870),"")</f>
        <v>1.0044318181818181</v>
      </c>
      <c r="M870" s="15">
        <f>IFERROR(K870/J870,"")</f>
        <v>1.0044318181818181</v>
      </c>
      <c r="N870" s="5"/>
      <c r="O870" s="5"/>
      <c r="P870" s="5">
        <v>0</v>
      </c>
      <c r="Q870" s="5">
        <v>0</v>
      </c>
      <c r="R870" s="5" t="str">
        <f t="shared" si="172"/>
        <v>334-2023-12-31</v>
      </c>
    </row>
    <row r="871" spans="1:18" x14ac:dyDescent="0.3">
      <c r="A871" s="5">
        <v>334</v>
      </c>
      <c r="B871" s="5" t="s">
        <v>218</v>
      </c>
      <c r="C871" s="5" t="s">
        <v>13</v>
      </c>
      <c r="D871" s="5" t="s">
        <v>25</v>
      </c>
      <c r="E871" s="5" t="s">
        <v>9</v>
      </c>
      <c r="F871" s="6">
        <v>45657</v>
      </c>
      <c r="G871" s="5">
        <f t="shared" si="169"/>
        <v>2024</v>
      </c>
      <c r="H871" s="5" t="str">
        <f t="shared" si="177"/>
        <v>Diciembre</v>
      </c>
      <c r="I871" s="6" t="str">
        <f t="shared" si="180"/>
        <v>2024-2</v>
      </c>
      <c r="J871" s="5">
        <v>88</v>
      </c>
      <c r="K871" s="5">
        <v>88.84</v>
      </c>
      <c r="L871" s="15">
        <f>IFERROR(IF((K871/J871)&gt;1.3,1.3,K871/J871),"")</f>
        <v>1.0095454545454545</v>
      </c>
      <c r="M871" s="15">
        <f>IFERROR(K871/J871,"")</f>
        <v>1.0095454545454545</v>
      </c>
      <c r="N871" s="5"/>
      <c r="O871" s="5"/>
      <c r="P871" s="5">
        <v>0</v>
      </c>
      <c r="Q871" s="5">
        <v>0</v>
      </c>
      <c r="R871" s="5" t="str">
        <f t="shared" si="172"/>
        <v>334-2024-12-31</v>
      </c>
    </row>
    <row r="872" spans="1:18" x14ac:dyDescent="0.3">
      <c r="A872" s="39">
        <v>335</v>
      </c>
      <c r="B872" s="5" t="s">
        <v>219</v>
      </c>
      <c r="C872" s="5" t="s">
        <v>13</v>
      </c>
      <c r="D872" s="5" t="s">
        <v>25</v>
      </c>
      <c r="E872" s="5" t="s">
        <v>9</v>
      </c>
      <c r="F872" s="6">
        <v>45291</v>
      </c>
      <c r="G872" s="5">
        <f t="shared" si="169"/>
        <v>2023</v>
      </c>
      <c r="H872" s="5" t="str">
        <f t="shared" si="177"/>
        <v>Diciembre</v>
      </c>
      <c r="I872" s="6" t="str">
        <f t="shared" si="180"/>
        <v>2023-2</v>
      </c>
      <c r="J872" s="5">
        <v>80</v>
      </c>
      <c r="K872" s="5">
        <v>93.85</v>
      </c>
      <c r="L872" s="21">
        <f>IFERROR(K872/J872,"")</f>
        <v>1.173125</v>
      </c>
      <c r="M872" s="15">
        <f>IFERROR(K872/J872,"")</f>
        <v>1.173125</v>
      </c>
      <c r="N872" s="5" t="s">
        <v>347</v>
      </c>
      <c r="O872" s="5" t="s">
        <v>347</v>
      </c>
      <c r="P872" s="5">
        <v>0</v>
      </c>
      <c r="Q872" s="5">
        <v>0</v>
      </c>
      <c r="R872" s="5" t="str">
        <f t="shared" si="172"/>
        <v>335-2023-12-31</v>
      </c>
    </row>
    <row r="873" spans="1:18" x14ac:dyDescent="0.3">
      <c r="A873" s="5">
        <v>335</v>
      </c>
      <c r="B873" s="5" t="s">
        <v>219</v>
      </c>
      <c r="C873" s="5" t="s">
        <v>13</v>
      </c>
      <c r="D873" s="5" t="s">
        <v>25</v>
      </c>
      <c r="E873" s="5" t="s">
        <v>9</v>
      </c>
      <c r="F873" s="6">
        <v>45657</v>
      </c>
      <c r="G873" s="5">
        <f t="shared" si="169"/>
        <v>2024</v>
      </c>
      <c r="H873" s="5" t="str">
        <f t="shared" si="177"/>
        <v>Diciembre</v>
      </c>
      <c r="I873" s="6" t="str">
        <f t="shared" si="180"/>
        <v>2024-2</v>
      </c>
      <c r="J873" s="5">
        <v>82</v>
      </c>
      <c r="K873" s="5">
        <v>80.95</v>
      </c>
      <c r="L873" s="15">
        <f>IFERROR(IF((K873/J873)&gt;1.3,1.3,K873/J873),"")</f>
        <v>0.9871951219512195</v>
      </c>
      <c r="M873" s="15">
        <f>IFERROR(K873/J873,"")</f>
        <v>0.9871951219512195</v>
      </c>
      <c r="N873" s="5"/>
      <c r="O873" s="5"/>
      <c r="P873" s="5">
        <v>0</v>
      </c>
      <c r="Q873" s="5">
        <v>0</v>
      </c>
      <c r="R873" s="5" t="str">
        <f t="shared" si="172"/>
        <v>335-2024-12-31</v>
      </c>
    </row>
    <row r="874" spans="1:18" x14ac:dyDescent="0.3">
      <c r="A874" s="39">
        <v>336</v>
      </c>
      <c r="B874" s="5" t="s">
        <v>220</v>
      </c>
      <c r="C874" s="5" t="s">
        <v>55</v>
      </c>
      <c r="D874" s="5" t="s">
        <v>25</v>
      </c>
      <c r="E874" s="5" t="s">
        <v>14</v>
      </c>
      <c r="F874" s="6">
        <v>45291</v>
      </c>
      <c r="G874" s="5">
        <f t="shared" si="169"/>
        <v>2023</v>
      </c>
      <c r="H874" s="5" t="str">
        <f t="shared" si="177"/>
        <v>Diciembre</v>
      </c>
      <c r="I874" s="6" t="str">
        <f t="shared" si="180"/>
        <v>2023-2</v>
      </c>
      <c r="J874" s="5" t="s">
        <v>417</v>
      </c>
      <c r="K874" s="5">
        <v>0</v>
      </c>
      <c r="L874" s="15" t="str">
        <f>IFERROR(IF((J874/K874)&gt;1.3,1.3,J874/K874),"")</f>
        <v/>
      </c>
      <c r="M874" s="15" t="str">
        <f>IFERROR(J874/K874,"")</f>
        <v/>
      </c>
      <c r="N874" s="5"/>
      <c r="O874" s="5"/>
      <c r="P874" s="5">
        <v>0</v>
      </c>
      <c r="Q874" s="5">
        <v>0</v>
      </c>
      <c r="R874" s="5" t="str">
        <f t="shared" si="172"/>
        <v>336-2023-12-31</v>
      </c>
    </row>
    <row r="875" spans="1:18" x14ac:dyDescent="0.3">
      <c r="A875" s="5">
        <v>336</v>
      </c>
      <c r="B875" s="5" t="s">
        <v>220</v>
      </c>
      <c r="C875" s="5" t="s">
        <v>55</v>
      </c>
      <c r="D875" s="5" t="s">
        <v>25</v>
      </c>
      <c r="E875" s="5" t="s">
        <v>14</v>
      </c>
      <c r="F875" s="6">
        <v>45657</v>
      </c>
      <c r="G875" s="5">
        <f t="shared" si="169"/>
        <v>2024</v>
      </c>
      <c r="H875" s="5" t="str">
        <f t="shared" si="177"/>
        <v>Diciembre</v>
      </c>
      <c r="I875" s="6" t="str">
        <f t="shared" si="180"/>
        <v>2024-2</v>
      </c>
      <c r="J875" s="5">
        <v>2</v>
      </c>
      <c r="K875" s="5">
        <v>0.79</v>
      </c>
      <c r="L875" s="15">
        <f>IFERROR(IF((K875/J875)&gt;1.3,1.3,K875/J875),"")</f>
        <v>0.39500000000000002</v>
      </c>
      <c r="M875" s="15">
        <f t="shared" ref="M875:M885" si="181">IFERROR(K875/J875,"")</f>
        <v>0.39500000000000002</v>
      </c>
      <c r="N875" s="5"/>
      <c r="O875" s="5"/>
      <c r="P875" s="5">
        <v>0</v>
      </c>
      <c r="Q875" s="5">
        <v>0</v>
      </c>
      <c r="R875" s="5" t="str">
        <f t="shared" si="172"/>
        <v>336-2024-12-31</v>
      </c>
    </row>
    <row r="876" spans="1:18" x14ac:dyDescent="0.3">
      <c r="A876" s="43">
        <v>337</v>
      </c>
      <c r="B876" s="5" t="s">
        <v>221</v>
      </c>
      <c r="C876" s="5" t="s">
        <v>158</v>
      </c>
      <c r="D876" s="5" t="s">
        <v>8</v>
      </c>
      <c r="E876" s="5" t="s">
        <v>9</v>
      </c>
      <c r="F876" s="6">
        <v>45107</v>
      </c>
      <c r="G876" s="5">
        <f t="shared" si="169"/>
        <v>2023</v>
      </c>
      <c r="H876" s="5" t="str">
        <f t="shared" si="177"/>
        <v>Junio</v>
      </c>
      <c r="I876" s="6" t="str">
        <f t="shared" si="180"/>
        <v>2023-1</v>
      </c>
      <c r="J876" s="5"/>
      <c r="K876" s="5"/>
      <c r="L876" s="21" t="s">
        <v>417</v>
      </c>
      <c r="M876" s="15" t="str">
        <f t="shared" si="181"/>
        <v/>
      </c>
      <c r="N876" s="5"/>
      <c r="O876" s="5"/>
      <c r="P876" s="5">
        <v>0</v>
      </c>
      <c r="Q876" s="5">
        <v>0</v>
      </c>
      <c r="R876" s="5" t="str">
        <f t="shared" si="172"/>
        <v>337-2023-06-30</v>
      </c>
    </row>
    <row r="877" spans="1:18" x14ac:dyDescent="0.3">
      <c r="A877" s="39">
        <v>337</v>
      </c>
      <c r="B877" s="5" t="s">
        <v>221</v>
      </c>
      <c r="C877" s="5" t="s">
        <v>158</v>
      </c>
      <c r="D877" s="5" t="s">
        <v>8</v>
      </c>
      <c r="E877" s="5" t="s">
        <v>9</v>
      </c>
      <c r="F877" s="6">
        <v>45291</v>
      </c>
      <c r="G877" s="5">
        <f t="shared" si="169"/>
        <v>2023</v>
      </c>
      <c r="H877" s="5" t="str">
        <f t="shared" si="177"/>
        <v>Diciembre</v>
      </c>
      <c r="I877" s="6" t="str">
        <f t="shared" si="180"/>
        <v>2023-2</v>
      </c>
      <c r="J877" s="5">
        <v>3</v>
      </c>
      <c r="K877" s="5">
        <v>3</v>
      </c>
      <c r="L877" s="21">
        <f>IFERROR(K877/J877,"")</f>
        <v>1</v>
      </c>
      <c r="M877" s="15">
        <f t="shared" si="181"/>
        <v>1</v>
      </c>
      <c r="N877" s="5" t="s">
        <v>490</v>
      </c>
      <c r="O877" s="5" t="s">
        <v>490</v>
      </c>
      <c r="P877" s="5">
        <v>0</v>
      </c>
      <c r="Q877" s="5">
        <v>0</v>
      </c>
      <c r="R877" s="5" t="str">
        <f t="shared" si="172"/>
        <v>337-2023-12-31</v>
      </c>
    </row>
    <row r="878" spans="1:18" x14ac:dyDescent="0.3">
      <c r="A878" s="5">
        <v>337</v>
      </c>
      <c r="B878" s="5" t="s">
        <v>221</v>
      </c>
      <c r="C878" s="5" t="s">
        <v>158</v>
      </c>
      <c r="D878" s="5" t="s">
        <v>8</v>
      </c>
      <c r="E878" s="5" t="s">
        <v>9</v>
      </c>
      <c r="F878" s="6">
        <v>45473</v>
      </c>
      <c r="G878" s="5">
        <f t="shared" si="169"/>
        <v>2024</v>
      </c>
      <c r="H878" s="5" t="str">
        <f t="shared" si="177"/>
        <v>Junio</v>
      </c>
      <c r="I878" s="6" t="str">
        <f t="shared" si="180"/>
        <v>2024-1</v>
      </c>
      <c r="J878" s="5">
        <v>1</v>
      </c>
      <c r="K878" s="5">
        <v>1</v>
      </c>
      <c r="L878" s="15">
        <f>IFERROR(IF((K878/J878)&gt;1.3,1.3,K878/J878),"")</f>
        <v>1</v>
      </c>
      <c r="M878" s="15">
        <f t="shared" si="181"/>
        <v>1</v>
      </c>
      <c r="N878" s="5" t="s">
        <v>490</v>
      </c>
      <c r="O878" s="5" t="s">
        <v>490</v>
      </c>
      <c r="P878" s="5">
        <v>0</v>
      </c>
      <c r="Q878" s="5">
        <v>0</v>
      </c>
      <c r="R878" s="5" t="str">
        <f t="shared" si="172"/>
        <v>337-2024-06-30</v>
      </c>
    </row>
    <row r="879" spans="1:18" x14ac:dyDescent="0.3">
      <c r="A879" s="5">
        <v>337</v>
      </c>
      <c r="B879" s="5" t="s">
        <v>221</v>
      </c>
      <c r="C879" s="5" t="s">
        <v>158</v>
      </c>
      <c r="D879" s="5" t="s">
        <v>8</v>
      </c>
      <c r="E879" s="5" t="s">
        <v>9</v>
      </c>
      <c r="F879" s="6">
        <v>45657</v>
      </c>
      <c r="G879" s="5">
        <f t="shared" si="169"/>
        <v>2024</v>
      </c>
      <c r="H879" s="5" t="str">
        <f t="shared" si="177"/>
        <v>Diciembre</v>
      </c>
      <c r="I879" s="6" t="str">
        <f t="shared" si="180"/>
        <v>2024-2</v>
      </c>
      <c r="J879" s="5"/>
      <c r="K879" s="5"/>
      <c r="L879" s="15" t="str">
        <f>IFERROR(IF((K879/J879)&gt;1.3,1.3,K879/J879),"")</f>
        <v/>
      </c>
      <c r="M879" s="15" t="str">
        <f t="shared" si="181"/>
        <v/>
      </c>
      <c r="N879" s="5"/>
      <c r="O879" s="5"/>
      <c r="P879" s="5">
        <v>0</v>
      </c>
      <c r="Q879" s="5">
        <v>0</v>
      </c>
      <c r="R879" s="5" t="str">
        <f t="shared" si="172"/>
        <v>337-2024-12-31</v>
      </c>
    </row>
    <row r="880" spans="1:18" x14ac:dyDescent="0.3">
      <c r="A880" s="43">
        <v>338</v>
      </c>
      <c r="B880" s="5" t="s">
        <v>222</v>
      </c>
      <c r="C880" s="5" t="s">
        <v>158</v>
      </c>
      <c r="D880" s="5" t="s">
        <v>8</v>
      </c>
      <c r="E880" s="5" t="s">
        <v>9</v>
      </c>
      <c r="F880" s="6">
        <v>45107</v>
      </c>
      <c r="G880" s="5">
        <f t="shared" si="169"/>
        <v>2023</v>
      </c>
      <c r="H880" s="5" t="str">
        <f t="shared" si="177"/>
        <v>Junio</v>
      </c>
      <c r="I880" s="6" t="str">
        <f t="shared" si="180"/>
        <v>2023-1</v>
      </c>
      <c r="J880" s="5">
        <v>5</v>
      </c>
      <c r="K880" s="5">
        <v>5</v>
      </c>
      <c r="L880" s="21">
        <f>IFERROR(K880/J880,"")</f>
        <v>1</v>
      </c>
      <c r="M880" s="15">
        <f t="shared" si="181"/>
        <v>1</v>
      </c>
      <c r="N880" s="5" t="s">
        <v>490</v>
      </c>
      <c r="O880" s="5" t="s">
        <v>490</v>
      </c>
      <c r="P880" s="5">
        <v>0</v>
      </c>
      <c r="Q880" s="5">
        <v>0</v>
      </c>
      <c r="R880" s="5" t="str">
        <f t="shared" si="172"/>
        <v>338-2023-06-30</v>
      </c>
    </row>
    <row r="881" spans="1:18" x14ac:dyDescent="0.3">
      <c r="A881" s="39">
        <v>338</v>
      </c>
      <c r="B881" s="5" t="s">
        <v>222</v>
      </c>
      <c r="C881" s="5" t="s">
        <v>158</v>
      </c>
      <c r="D881" s="5" t="s">
        <v>8</v>
      </c>
      <c r="E881" s="5" t="s">
        <v>9</v>
      </c>
      <c r="F881" s="6">
        <v>45291</v>
      </c>
      <c r="G881" s="5">
        <f t="shared" si="169"/>
        <v>2023</v>
      </c>
      <c r="H881" s="5" t="str">
        <f t="shared" si="177"/>
        <v>Diciembre</v>
      </c>
      <c r="I881" s="6" t="str">
        <f t="shared" si="180"/>
        <v>2023-2</v>
      </c>
      <c r="J881" s="5">
        <v>0</v>
      </c>
      <c r="K881" s="5">
        <v>0</v>
      </c>
      <c r="L881" s="21" t="str">
        <f>IFERROR(K881/J881,"")</f>
        <v/>
      </c>
      <c r="M881" s="15" t="str">
        <f t="shared" si="181"/>
        <v/>
      </c>
      <c r="N881" s="5"/>
      <c r="O881" s="5"/>
      <c r="P881" s="5">
        <v>0</v>
      </c>
      <c r="Q881" s="5">
        <v>0</v>
      </c>
      <c r="R881" s="5" t="str">
        <f t="shared" si="172"/>
        <v>338-2023-12-31</v>
      </c>
    </row>
    <row r="882" spans="1:18" x14ac:dyDescent="0.3">
      <c r="A882" s="43">
        <v>338</v>
      </c>
      <c r="B882" s="5" t="s">
        <v>222</v>
      </c>
      <c r="C882" s="5" t="s">
        <v>158</v>
      </c>
      <c r="D882" s="5" t="s">
        <v>8</v>
      </c>
      <c r="E882" s="5" t="s">
        <v>9</v>
      </c>
      <c r="F882" s="6">
        <v>45473</v>
      </c>
      <c r="G882" s="5">
        <f t="shared" si="169"/>
        <v>2024</v>
      </c>
      <c r="H882" s="5" t="str">
        <f t="shared" si="177"/>
        <v>Junio</v>
      </c>
      <c r="I882" s="6" t="str">
        <f t="shared" si="180"/>
        <v>2024-1</v>
      </c>
      <c r="J882" s="5">
        <v>3</v>
      </c>
      <c r="K882" s="5">
        <v>3</v>
      </c>
      <c r="L882" s="21">
        <f>IFERROR(K882/J882,"")</f>
        <v>1</v>
      </c>
      <c r="M882" s="15">
        <f t="shared" si="181"/>
        <v>1</v>
      </c>
      <c r="N882" s="5" t="s">
        <v>490</v>
      </c>
      <c r="O882" s="5" t="s">
        <v>490</v>
      </c>
      <c r="P882" s="5">
        <v>0</v>
      </c>
      <c r="Q882" s="5">
        <v>0</v>
      </c>
      <c r="R882" s="5" t="str">
        <f t="shared" si="172"/>
        <v>338-2024-06-30</v>
      </c>
    </row>
    <row r="883" spans="1:18" x14ac:dyDescent="0.3">
      <c r="A883" s="43">
        <v>338</v>
      </c>
      <c r="B883" s="5" t="s">
        <v>222</v>
      </c>
      <c r="C883" s="5" t="s">
        <v>158</v>
      </c>
      <c r="D883" s="5" t="s">
        <v>8</v>
      </c>
      <c r="E883" s="5" t="s">
        <v>9</v>
      </c>
      <c r="F883" s="6">
        <v>45657</v>
      </c>
      <c r="G883" s="5">
        <f t="shared" ref="G883:G945" si="182">YEAR(F883)</f>
        <v>2024</v>
      </c>
      <c r="H883" s="5" t="str">
        <f t="shared" si="177"/>
        <v>Diciembre</v>
      </c>
      <c r="I883" s="6" t="str">
        <f t="shared" si="180"/>
        <v>2024-2</v>
      </c>
      <c r="J883" s="5">
        <v>0</v>
      </c>
      <c r="K883" s="5">
        <v>0</v>
      </c>
      <c r="L883" s="21" t="str">
        <f>IFERROR(K883/J883,"")</f>
        <v/>
      </c>
      <c r="M883" s="15" t="str">
        <f t="shared" si="181"/>
        <v/>
      </c>
      <c r="N883" s="5"/>
      <c r="O883" s="5"/>
      <c r="P883" s="5">
        <v>0</v>
      </c>
      <c r="Q883" s="5">
        <v>0</v>
      </c>
      <c r="R883" s="5" t="str">
        <f t="shared" si="172"/>
        <v>338-2024-12-31</v>
      </c>
    </row>
    <row r="884" spans="1:18" x14ac:dyDescent="0.3">
      <c r="A884" s="39">
        <v>339</v>
      </c>
      <c r="B884" s="5" t="s">
        <v>223</v>
      </c>
      <c r="C884" s="5" t="s">
        <v>224</v>
      </c>
      <c r="D884" s="5" t="s">
        <v>25</v>
      </c>
      <c r="E884" s="5" t="s">
        <v>9</v>
      </c>
      <c r="F884" s="6">
        <v>45291</v>
      </c>
      <c r="G884" s="5">
        <f t="shared" si="182"/>
        <v>2023</v>
      </c>
      <c r="H884" s="5" t="str">
        <f t="shared" si="177"/>
        <v>Diciembre</v>
      </c>
      <c r="I884" s="6" t="str">
        <f t="shared" si="180"/>
        <v>2023-2</v>
      </c>
      <c r="J884" s="5">
        <v>30</v>
      </c>
      <c r="K884" s="5">
        <v>28.57</v>
      </c>
      <c r="L884" s="15">
        <f>IFERROR(IF((K884/J884)&gt;1.3,1.3,K884/J884),"")</f>
        <v>0.95233333333333337</v>
      </c>
      <c r="M884" s="15">
        <f t="shared" si="181"/>
        <v>0.95233333333333337</v>
      </c>
      <c r="N884" s="5" t="s">
        <v>347</v>
      </c>
      <c r="O884" s="5" t="s">
        <v>347</v>
      </c>
      <c r="P884" s="5">
        <v>0</v>
      </c>
      <c r="Q884" s="5">
        <v>1</v>
      </c>
      <c r="R884" s="5" t="str">
        <f t="shared" si="172"/>
        <v>339-2023-12-31</v>
      </c>
    </row>
    <row r="885" spans="1:18" x14ac:dyDescent="0.3">
      <c r="A885" s="5">
        <v>339</v>
      </c>
      <c r="B885" s="5" t="s">
        <v>223</v>
      </c>
      <c r="C885" s="5" t="s">
        <v>224</v>
      </c>
      <c r="D885" s="5" t="s">
        <v>25</v>
      </c>
      <c r="E885" s="5" t="s">
        <v>9</v>
      </c>
      <c r="F885" s="6">
        <v>45657</v>
      </c>
      <c r="G885" s="5">
        <f t="shared" si="182"/>
        <v>2024</v>
      </c>
      <c r="H885" s="5" t="str">
        <f t="shared" si="177"/>
        <v>Diciembre</v>
      </c>
      <c r="I885" s="6" t="str">
        <f t="shared" si="180"/>
        <v>2024-2</v>
      </c>
      <c r="J885" s="5">
        <v>30</v>
      </c>
      <c r="K885" s="5">
        <v>30.3</v>
      </c>
      <c r="L885" s="15">
        <f>IFERROR(IF((K885/J885)&gt;1.3,1.3,K885/J885),"")</f>
        <v>1.01</v>
      </c>
      <c r="M885" s="15">
        <f t="shared" si="181"/>
        <v>1.01</v>
      </c>
      <c r="N885" s="5" t="s">
        <v>347</v>
      </c>
      <c r="O885" s="5" t="s">
        <v>347</v>
      </c>
      <c r="P885" s="5">
        <v>0</v>
      </c>
      <c r="Q885" s="5">
        <v>1</v>
      </c>
      <c r="R885" s="5" t="str">
        <f t="shared" si="172"/>
        <v>339-2024-12-31</v>
      </c>
    </row>
    <row r="886" spans="1:18" x14ac:dyDescent="0.3">
      <c r="A886" s="39">
        <v>340</v>
      </c>
      <c r="B886" s="5" t="s">
        <v>225</v>
      </c>
      <c r="C886" s="5" t="s">
        <v>43</v>
      </c>
      <c r="D886" s="5" t="s">
        <v>11</v>
      </c>
      <c r="E886" s="5" t="s">
        <v>9</v>
      </c>
      <c r="F886" s="6">
        <v>45107</v>
      </c>
      <c r="G886" s="5">
        <f t="shared" si="182"/>
        <v>2023</v>
      </c>
      <c r="H886" s="5" t="str">
        <f t="shared" si="177"/>
        <v>Junio</v>
      </c>
      <c r="I886" s="6" t="str">
        <f t="shared" si="180"/>
        <v>2023-1</v>
      </c>
      <c r="J886" s="5">
        <v>90</v>
      </c>
      <c r="K886" s="5">
        <v>100</v>
      </c>
      <c r="L886" s="15">
        <f>IFERROR(IF((K886/J886)&gt;1,1,K886/J886),"")</f>
        <v>1</v>
      </c>
      <c r="M886" s="15">
        <f>IFERROR(IF((K886/J886)&gt;1,1,K886/J886),"")</f>
        <v>1</v>
      </c>
      <c r="N886" s="5" t="s">
        <v>347</v>
      </c>
      <c r="O886" s="5" t="s">
        <v>347</v>
      </c>
      <c r="P886" s="5">
        <v>0</v>
      </c>
      <c r="Q886" s="5">
        <v>0</v>
      </c>
      <c r="R886" s="5" t="str">
        <f t="shared" si="172"/>
        <v>340-2023-06-30</v>
      </c>
    </row>
    <row r="887" spans="1:18" x14ac:dyDescent="0.3">
      <c r="A887" s="39">
        <v>340</v>
      </c>
      <c r="B887" s="5" t="s">
        <v>225</v>
      </c>
      <c r="C887" s="5" t="s">
        <v>43</v>
      </c>
      <c r="D887" s="5" t="s">
        <v>11</v>
      </c>
      <c r="E887" s="5" t="s">
        <v>9</v>
      </c>
      <c r="F887" s="6">
        <v>45291</v>
      </c>
      <c r="G887" s="5">
        <f t="shared" si="182"/>
        <v>2023</v>
      </c>
      <c r="H887" s="5" t="str">
        <f t="shared" si="177"/>
        <v>Diciembre</v>
      </c>
      <c r="I887" s="6" t="str">
        <f t="shared" si="180"/>
        <v>2023-2</v>
      </c>
      <c r="J887" s="5">
        <v>90</v>
      </c>
      <c r="K887" s="5">
        <v>100</v>
      </c>
      <c r="L887" s="15">
        <f>IFERROR(IF((K887/J887)&gt;1,1,K887/J887),"")</f>
        <v>1</v>
      </c>
      <c r="M887" s="15">
        <f>IFERROR(IF((K887/J887)&gt;1,1,K887/J887),"")</f>
        <v>1</v>
      </c>
      <c r="N887" s="5" t="s">
        <v>347</v>
      </c>
      <c r="O887" s="5" t="s">
        <v>347</v>
      </c>
      <c r="P887" s="5">
        <v>0</v>
      </c>
      <c r="Q887" s="5">
        <v>0</v>
      </c>
      <c r="R887" s="5" t="str">
        <f t="shared" si="172"/>
        <v>340-2023-12-31</v>
      </c>
    </row>
    <row r="888" spans="1:18" x14ac:dyDescent="0.3">
      <c r="A888" s="5">
        <v>340</v>
      </c>
      <c r="B888" s="5" t="s">
        <v>225</v>
      </c>
      <c r="C888" s="5" t="s">
        <v>43</v>
      </c>
      <c r="D888" s="5" t="s">
        <v>11</v>
      </c>
      <c r="E888" s="5" t="s">
        <v>9</v>
      </c>
      <c r="F888" s="6">
        <v>45473</v>
      </c>
      <c r="G888" s="5">
        <f t="shared" si="182"/>
        <v>2024</v>
      </c>
      <c r="H888" s="5" t="str">
        <f t="shared" si="177"/>
        <v>Junio</v>
      </c>
      <c r="I888" s="6" t="str">
        <f t="shared" si="180"/>
        <v>2024-1</v>
      </c>
      <c r="J888" s="5">
        <v>95</v>
      </c>
      <c r="K888" s="5">
        <v>100</v>
      </c>
      <c r="L888" s="15">
        <f>IFERROR(IF((K888/J888)&gt;1,1,K888/J888),"")</f>
        <v>1</v>
      </c>
      <c r="M888" s="15">
        <f>IFERROR(IF((K888/J888)&gt;1,1,K888/J888),"")</f>
        <v>1</v>
      </c>
      <c r="N888" s="5" t="s">
        <v>347</v>
      </c>
      <c r="O888" s="5" t="s">
        <v>347</v>
      </c>
      <c r="P888" s="5">
        <v>0</v>
      </c>
      <c r="Q888" s="5">
        <v>0</v>
      </c>
      <c r="R888" s="5" t="str">
        <f t="shared" si="172"/>
        <v>340-2024-06-30</v>
      </c>
    </row>
    <row r="889" spans="1:18" x14ac:dyDescent="0.3">
      <c r="A889" s="5">
        <v>340</v>
      </c>
      <c r="B889" s="5" t="s">
        <v>225</v>
      </c>
      <c r="C889" s="5" t="s">
        <v>43</v>
      </c>
      <c r="D889" s="5" t="s">
        <v>11</v>
      </c>
      <c r="E889" s="5" t="s">
        <v>9</v>
      </c>
      <c r="F889" s="6">
        <v>45657</v>
      </c>
      <c r="G889" s="5">
        <f t="shared" si="182"/>
        <v>2024</v>
      </c>
      <c r="H889" s="5" t="str">
        <f t="shared" si="177"/>
        <v>Diciembre</v>
      </c>
      <c r="I889" s="6" t="str">
        <f t="shared" si="180"/>
        <v>2024-2</v>
      </c>
      <c r="J889" s="5">
        <v>95</v>
      </c>
      <c r="K889" s="5">
        <v>100</v>
      </c>
      <c r="L889" s="15">
        <f>IFERROR(IF((K889/J889)&gt;1,1,K889/J889),"")</f>
        <v>1</v>
      </c>
      <c r="M889" s="15">
        <f>IFERROR(IF((K889/J889)&gt;1,1,K889/J889),"")</f>
        <v>1</v>
      </c>
      <c r="N889" s="5" t="s">
        <v>347</v>
      </c>
      <c r="O889" s="5" t="s">
        <v>347</v>
      </c>
      <c r="P889" s="5">
        <v>0</v>
      </c>
      <c r="Q889" s="5">
        <v>0</v>
      </c>
      <c r="R889" s="5" t="str">
        <f t="shared" si="172"/>
        <v>340-2024-12-31</v>
      </c>
    </row>
    <row r="890" spans="1:18" x14ac:dyDescent="0.3">
      <c r="A890" s="43">
        <v>341</v>
      </c>
      <c r="B890" s="5" t="s">
        <v>226</v>
      </c>
      <c r="C890" s="5" t="s">
        <v>7</v>
      </c>
      <c r="D890" s="5" t="s">
        <v>8</v>
      </c>
      <c r="E890" s="5" t="s">
        <v>9</v>
      </c>
      <c r="F890" s="6">
        <v>45107</v>
      </c>
      <c r="G890" s="5">
        <f t="shared" si="182"/>
        <v>2023</v>
      </c>
      <c r="H890" s="5" t="str">
        <f t="shared" si="177"/>
        <v>Junio</v>
      </c>
      <c r="I890" s="6" t="str">
        <f t="shared" si="180"/>
        <v>2023-1</v>
      </c>
      <c r="J890" s="11">
        <v>600000000</v>
      </c>
      <c r="K890" s="11">
        <v>743218000</v>
      </c>
      <c r="L890" s="24">
        <f>IFERROR(IF(K890/J890&gt;1.3,1.3,K890/J890),"")</f>
        <v>1.2386966666666666</v>
      </c>
      <c r="M890" s="15">
        <f>IFERROR(K890/J890,"")</f>
        <v>1.2386966666666666</v>
      </c>
      <c r="N890" s="5" t="s">
        <v>474</v>
      </c>
      <c r="O890" s="5" t="s">
        <v>474</v>
      </c>
      <c r="P890" s="5">
        <v>0</v>
      </c>
      <c r="Q890" s="5">
        <v>0</v>
      </c>
      <c r="R890" s="5" t="str">
        <f t="shared" si="172"/>
        <v>341-2023-06-30</v>
      </c>
    </row>
    <row r="891" spans="1:18" x14ac:dyDescent="0.3">
      <c r="A891" s="39">
        <v>341</v>
      </c>
      <c r="B891" s="5" t="s">
        <v>226</v>
      </c>
      <c r="C891" s="5" t="s">
        <v>7</v>
      </c>
      <c r="D891" s="5" t="s">
        <v>8</v>
      </c>
      <c r="E891" s="5" t="s">
        <v>9</v>
      </c>
      <c r="F891" s="6">
        <v>45291</v>
      </c>
      <c r="G891" s="5">
        <f t="shared" si="182"/>
        <v>2023</v>
      </c>
      <c r="H891" s="5" t="str">
        <f t="shared" si="177"/>
        <v>Diciembre</v>
      </c>
      <c r="I891" s="6" t="str">
        <f t="shared" si="180"/>
        <v>2023-2</v>
      </c>
      <c r="J891" s="11">
        <v>900000000</v>
      </c>
      <c r="K891" s="11">
        <v>1175172000</v>
      </c>
      <c r="L891" s="24">
        <f>IFERROR(IF(K891/J891&gt;1.3,1.3,K891/J891),"")</f>
        <v>1.3</v>
      </c>
      <c r="M891" s="15">
        <f>IFERROR(K891/J891,"")</f>
        <v>1.3057466666666666</v>
      </c>
      <c r="N891" s="5" t="s">
        <v>474</v>
      </c>
      <c r="O891" s="5" t="s">
        <v>474</v>
      </c>
      <c r="P891" s="5">
        <v>0</v>
      </c>
      <c r="Q891" s="5">
        <v>0</v>
      </c>
      <c r="R891" s="5" t="str">
        <f t="shared" si="172"/>
        <v>341-2023-12-31</v>
      </c>
    </row>
    <row r="892" spans="1:18" x14ac:dyDescent="0.3">
      <c r="A892" s="5">
        <v>341</v>
      </c>
      <c r="B892" s="5" t="s">
        <v>501</v>
      </c>
      <c r="C892" s="5" t="s">
        <v>7</v>
      </c>
      <c r="D892" s="5" t="s">
        <v>8</v>
      </c>
      <c r="E892" s="5" t="s">
        <v>9</v>
      </c>
      <c r="F892" s="6">
        <v>45473</v>
      </c>
      <c r="G892" s="5">
        <f t="shared" si="182"/>
        <v>2024</v>
      </c>
      <c r="H892" s="5" t="str">
        <f t="shared" si="177"/>
        <v>Junio</v>
      </c>
      <c r="I892" s="6" t="str">
        <f t="shared" si="180"/>
        <v>2024-1</v>
      </c>
      <c r="J892" s="9">
        <v>600000000</v>
      </c>
      <c r="K892" s="9">
        <v>750000000</v>
      </c>
      <c r="L892" s="24">
        <f>IFERROR(IF(K892/J892&gt;1.3,1.3,K892/J892),"")</f>
        <v>1.25</v>
      </c>
      <c r="M892" s="15">
        <f>IFERROR(K892/J892,"")</f>
        <v>1.25</v>
      </c>
      <c r="N892" s="5" t="s">
        <v>474</v>
      </c>
      <c r="O892" s="5" t="s">
        <v>474</v>
      </c>
      <c r="P892" s="5">
        <v>0</v>
      </c>
      <c r="Q892" s="5">
        <v>0</v>
      </c>
      <c r="R892" s="5" t="str">
        <f t="shared" si="172"/>
        <v>341-2024-06-30</v>
      </c>
    </row>
    <row r="893" spans="1:18" x14ac:dyDescent="0.3">
      <c r="A893" s="5">
        <v>341</v>
      </c>
      <c r="B893" s="5" t="s">
        <v>501</v>
      </c>
      <c r="C893" s="5" t="s">
        <v>7</v>
      </c>
      <c r="D893" s="5" t="s">
        <v>8</v>
      </c>
      <c r="E893" s="5" t="s">
        <v>9</v>
      </c>
      <c r="F893" s="6">
        <v>45657</v>
      </c>
      <c r="G893" s="5">
        <f t="shared" si="182"/>
        <v>2024</v>
      </c>
      <c r="H893" s="5" t="str">
        <f t="shared" si="177"/>
        <v>Diciembre</v>
      </c>
      <c r="I893" s="6" t="str">
        <f t="shared" si="180"/>
        <v>2024-2</v>
      </c>
      <c r="J893" s="9">
        <v>900000000</v>
      </c>
      <c r="K893" s="9">
        <v>922000000</v>
      </c>
      <c r="L893" s="24">
        <f>IFERROR(IF(K893/J893&gt;1.3,1.3,K893/J893),"")</f>
        <v>1.0244444444444445</v>
      </c>
      <c r="M893" s="15">
        <f>IFERROR(K893/J893,"")</f>
        <v>1.0244444444444445</v>
      </c>
      <c r="N893" s="5" t="s">
        <v>474</v>
      </c>
      <c r="O893" s="5" t="s">
        <v>474</v>
      </c>
      <c r="P893" s="5">
        <v>0</v>
      </c>
      <c r="Q893" s="5">
        <v>0</v>
      </c>
      <c r="R893" s="5" t="str">
        <f t="shared" si="172"/>
        <v>341-2024-12-31</v>
      </c>
    </row>
    <row r="894" spans="1:18" x14ac:dyDescent="0.3">
      <c r="A894" s="43">
        <v>344</v>
      </c>
      <c r="B894" s="5" t="s">
        <v>227</v>
      </c>
      <c r="C894" s="5" t="s">
        <v>13</v>
      </c>
      <c r="D894" s="5" t="s">
        <v>8</v>
      </c>
      <c r="E894" s="5" t="s">
        <v>9</v>
      </c>
      <c r="F894" s="6">
        <v>45107</v>
      </c>
      <c r="G894" s="5">
        <f t="shared" si="182"/>
        <v>2023</v>
      </c>
      <c r="H894" s="5" t="str">
        <f t="shared" si="177"/>
        <v>Junio</v>
      </c>
      <c r="I894" s="6" t="str">
        <f t="shared" si="180"/>
        <v>2023-1</v>
      </c>
      <c r="J894" s="5">
        <v>90</v>
      </c>
      <c r="K894" s="5">
        <v>97.74</v>
      </c>
      <c r="L894" s="21">
        <f>IFERROR(K894/J894,"")</f>
        <v>1.0859999999999999</v>
      </c>
      <c r="M894" s="15">
        <f t="shared" ref="M894:M900" si="183">IFERROR(K894/J894,"")</f>
        <v>1.0859999999999999</v>
      </c>
      <c r="N894" s="5" t="s">
        <v>347</v>
      </c>
      <c r="O894" s="5" t="s">
        <v>347</v>
      </c>
      <c r="P894" s="5">
        <v>0</v>
      </c>
      <c r="Q894" s="5">
        <v>0</v>
      </c>
      <c r="R894" s="5" t="str">
        <f t="shared" si="172"/>
        <v>344-2023-06-30</v>
      </c>
    </row>
    <row r="895" spans="1:18" x14ac:dyDescent="0.3">
      <c r="A895" s="39">
        <v>344</v>
      </c>
      <c r="B895" s="5" t="s">
        <v>227</v>
      </c>
      <c r="C895" s="5" t="s">
        <v>13</v>
      </c>
      <c r="D895" s="5" t="s">
        <v>8</v>
      </c>
      <c r="E895" s="5" t="s">
        <v>9</v>
      </c>
      <c r="F895" s="6">
        <v>45291</v>
      </c>
      <c r="G895" s="5">
        <f t="shared" si="182"/>
        <v>2023</v>
      </c>
      <c r="H895" s="5" t="str">
        <f t="shared" si="177"/>
        <v>Diciembre</v>
      </c>
      <c r="I895" s="6" t="str">
        <f t="shared" si="180"/>
        <v>2023-2</v>
      </c>
      <c r="J895" s="5">
        <v>90</v>
      </c>
      <c r="K895" s="5">
        <v>97.76</v>
      </c>
      <c r="L895" s="21">
        <f>IFERROR(K895/J895,"")</f>
        <v>1.0862222222222222</v>
      </c>
      <c r="M895" s="15">
        <f t="shared" si="183"/>
        <v>1.0862222222222222</v>
      </c>
      <c r="N895" s="5" t="s">
        <v>347</v>
      </c>
      <c r="O895" s="5" t="s">
        <v>347</v>
      </c>
      <c r="P895" s="5">
        <v>0</v>
      </c>
      <c r="Q895" s="5">
        <v>0</v>
      </c>
      <c r="R895" s="5" t="str">
        <f t="shared" si="172"/>
        <v>344-2023-12-31</v>
      </c>
    </row>
    <row r="896" spans="1:18" x14ac:dyDescent="0.3">
      <c r="A896" s="5">
        <v>344</v>
      </c>
      <c r="B896" s="5" t="s">
        <v>227</v>
      </c>
      <c r="C896" s="5" t="s">
        <v>13</v>
      </c>
      <c r="D896" s="5" t="s">
        <v>8</v>
      </c>
      <c r="E896" s="5" t="s">
        <v>9</v>
      </c>
      <c r="F896" s="6">
        <v>45473</v>
      </c>
      <c r="G896" s="5">
        <f t="shared" si="182"/>
        <v>2024</v>
      </c>
      <c r="H896" s="5" t="str">
        <f t="shared" si="177"/>
        <v>Junio</v>
      </c>
      <c r="I896" s="6" t="str">
        <f t="shared" si="180"/>
        <v>2024-1</v>
      </c>
      <c r="J896" s="5">
        <v>93</v>
      </c>
      <c r="K896" s="5">
        <v>97.34</v>
      </c>
      <c r="L896" s="15">
        <f>IFERROR(IF((K896/J896)&gt;1.3,1.3,K896/J896),"")</f>
        <v>1.0466666666666666</v>
      </c>
      <c r="M896" s="15">
        <f t="shared" si="183"/>
        <v>1.0466666666666666</v>
      </c>
      <c r="N896" s="5" t="s">
        <v>347</v>
      </c>
      <c r="O896" s="5" t="s">
        <v>347</v>
      </c>
      <c r="P896" s="5">
        <v>0</v>
      </c>
      <c r="Q896" s="5">
        <v>0</v>
      </c>
      <c r="R896" s="5" t="str">
        <f t="shared" si="172"/>
        <v>344-2024-06-30</v>
      </c>
    </row>
    <row r="897" spans="1:18" x14ac:dyDescent="0.3">
      <c r="A897" s="5">
        <v>344</v>
      </c>
      <c r="B897" s="5" t="s">
        <v>227</v>
      </c>
      <c r="C897" s="5" t="s">
        <v>13</v>
      </c>
      <c r="D897" s="5" t="s">
        <v>8</v>
      </c>
      <c r="E897" s="5" t="s">
        <v>9</v>
      </c>
      <c r="F897" s="6">
        <v>45657</v>
      </c>
      <c r="G897" s="5">
        <f t="shared" si="182"/>
        <v>2024</v>
      </c>
      <c r="H897" s="5" t="str">
        <f t="shared" si="177"/>
        <v>Diciembre</v>
      </c>
      <c r="I897" s="6" t="str">
        <f t="shared" si="180"/>
        <v>2024-2</v>
      </c>
      <c r="J897" s="5">
        <v>93</v>
      </c>
      <c r="K897" s="5">
        <v>99.19</v>
      </c>
      <c r="L897" s="15">
        <f>IFERROR(IF((K897/J897)&gt;1.3,1.3,K897/J897),"")</f>
        <v>1.0665591397849463</v>
      </c>
      <c r="M897" s="15">
        <f t="shared" si="183"/>
        <v>1.0665591397849463</v>
      </c>
      <c r="N897" s="5" t="s">
        <v>347</v>
      </c>
      <c r="O897" s="5" t="s">
        <v>347</v>
      </c>
      <c r="P897" s="5">
        <v>0</v>
      </c>
      <c r="Q897" s="5">
        <v>0</v>
      </c>
      <c r="R897" s="5" t="str">
        <f t="shared" si="172"/>
        <v>344-2024-12-31</v>
      </c>
    </row>
    <row r="898" spans="1:18" x14ac:dyDescent="0.3">
      <c r="A898" s="39">
        <v>345</v>
      </c>
      <c r="B898" s="5" t="s">
        <v>228</v>
      </c>
      <c r="C898" s="5" t="s">
        <v>13</v>
      </c>
      <c r="D898" s="5" t="s">
        <v>25</v>
      </c>
      <c r="E898" s="5" t="s">
        <v>9</v>
      </c>
      <c r="F898" s="6">
        <v>45291</v>
      </c>
      <c r="G898" s="5">
        <f t="shared" si="182"/>
        <v>2023</v>
      </c>
      <c r="H898" s="5" t="str">
        <f t="shared" si="177"/>
        <v>Diciembre</v>
      </c>
      <c r="I898" s="6" t="str">
        <f t="shared" si="180"/>
        <v>2023-2</v>
      </c>
      <c r="J898" s="5"/>
      <c r="K898" s="5">
        <v>94.85</v>
      </c>
      <c r="L898" s="15" t="str">
        <f>IFERROR(IF((K898/J898)&gt;1.3,1.3,K898/J898),"")</f>
        <v/>
      </c>
      <c r="M898" s="15" t="str">
        <f t="shared" si="183"/>
        <v/>
      </c>
      <c r="N898" s="5" t="s">
        <v>487</v>
      </c>
      <c r="O898" s="5" t="s">
        <v>347</v>
      </c>
      <c r="P898" s="5">
        <v>0</v>
      </c>
      <c r="Q898" s="5">
        <v>0</v>
      </c>
      <c r="R898" s="5" t="str">
        <f t="shared" ref="R898:R961" si="184">A898&amp;"-"&amp;YEAR(F898)&amp;"-"&amp;IF(LEN(MONTH(F898))=1,"0"&amp;MONTH(F898),MONTH(F898))&amp;"-"&amp;DAY(F898)</f>
        <v>345-2023-12-31</v>
      </c>
    </row>
    <row r="899" spans="1:18" x14ac:dyDescent="0.3">
      <c r="A899" s="39">
        <v>346</v>
      </c>
      <c r="B899" s="5" t="s">
        <v>229</v>
      </c>
      <c r="C899" s="5" t="s">
        <v>13</v>
      </c>
      <c r="D899" s="5" t="s">
        <v>25</v>
      </c>
      <c r="E899" s="5" t="s">
        <v>9</v>
      </c>
      <c r="F899" s="6">
        <v>45291</v>
      </c>
      <c r="G899" s="5">
        <f t="shared" si="182"/>
        <v>2023</v>
      </c>
      <c r="H899" s="5" t="str">
        <f t="shared" si="177"/>
        <v>Diciembre</v>
      </c>
      <c r="I899" s="6" t="str">
        <f t="shared" ref="I899:I920" si="185">IF(OR(H899="Enero",H899="Febrero",H899="Marzo",H899="Abril",H899="Mayo",H899="Junio"),G899&amp;"-1",IF(OR(H899="Julio",H899="Agosto",H899="Septiembre",H899="Octubre",H899="Noviembre",H899="Diciembre"),G899&amp;"-2"))</f>
        <v>2023-2</v>
      </c>
      <c r="J899" s="5"/>
      <c r="K899" s="5">
        <v>88.24</v>
      </c>
      <c r="L899" s="21" t="str">
        <f>IFERROR(K899/J899,"")</f>
        <v/>
      </c>
      <c r="M899" s="15" t="str">
        <f t="shared" si="183"/>
        <v/>
      </c>
      <c r="N899" s="5" t="s">
        <v>487</v>
      </c>
      <c r="O899" s="5" t="s">
        <v>347</v>
      </c>
      <c r="P899" s="5">
        <v>0</v>
      </c>
      <c r="Q899" s="5">
        <v>0</v>
      </c>
      <c r="R899" s="5" t="str">
        <f t="shared" si="184"/>
        <v>346-2023-12-31</v>
      </c>
    </row>
    <row r="900" spans="1:18" x14ac:dyDescent="0.3">
      <c r="A900" s="5">
        <v>346</v>
      </c>
      <c r="B900" s="5" t="s">
        <v>229</v>
      </c>
      <c r="C900" s="5" t="s">
        <v>13</v>
      </c>
      <c r="D900" s="5" t="s">
        <v>25</v>
      </c>
      <c r="E900" s="5" t="s">
        <v>9</v>
      </c>
      <c r="F900" s="6">
        <v>45657</v>
      </c>
      <c r="G900" s="5">
        <f t="shared" si="182"/>
        <v>2024</v>
      </c>
      <c r="H900" s="5" t="str">
        <f t="shared" si="177"/>
        <v>Diciembre</v>
      </c>
      <c r="I900" s="6" t="str">
        <f t="shared" si="185"/>
        <v>2024-2</v>
      </c>
      <c r="J900" s="5">
        <v>85</v>
      </c>
      <c r="K900" s="5">
        <v>91.88</v>
      </c>
      <c r="L900" s="15">
        <f>IFERROR(IF((K900/J900)&gt;1.3,1.3,K900/J900),"")</f>
        <v>1.0809411764705881</v>
      </c>
      <c r="M900" s="15">
        <f t="shared" si="183"/>
        <v>1.0809411764705881</v>
      </c>
      <c r="N900" s="5"/>
      <c r="O900" s="5"/>
      <c r="P900" s="5">
        <v>0</v>
      </c>
      <c r="Q900" s="5">
        <v>0</v>
      </c>
      <c r="R900" s="5" t="str">
        <f t="shared" si="184"/>
        <v>346-2024-12-31</v>
      </c>
    </row>
    <row r="901" spans="1:18" x14ac:dyDescent="0.3">
      <c r="A901" s="39">
        <v>347</v>
      </c>
      <c r="B901" s="5" t="s">
        <v>230</v>
      </c>
      <c r="C901" s="5" t="s">
        <v>231</v>
      </c>
      <c r="D901" s="5" t="s">
        <v>11</v>
      </c>
      <c r="E901" s="5" t="s">
        <v>14</v>
      </c>
      <c r="F901" s="6">
        <v>45107</v>
      </c>
      <c r="G901" s="5">
        <f t="shared" si="182"/>
        <v>2023</v>
      </c>
      <c r="H901" s="5" t="str">
        <f t="shared" si="177"/>
        <v>Junio</v>
      </c>
      <c r="I901" s="6" t="str">
        <f t="shared" si="185"/>
        <v>2023-1</v>
      </c>
      <c r="J901" s="16">
        <v>1.0000000000000001E-5</v>
      </c>
      <c r="K901" s="5">
        <v>13</v>
      </c>
      <c r="L901" s="15">
        <v>0.87</v>
      </c>
      <c r="M901" s="15">
        <v>0.87</v>
      </c>
      <c r="N901" s="5" t="s">
        <v>490</v>
      </c>
      <c r="O901" s="5" t="s">
        <v>490</v>
      </c>
      <c r="P901" s="5">
        <v>0</v>
      </c>
      <c r="Q901" s="5">
        <v>0</v>
      </c>
      <c r="R901" s="5" t="str">
        <f t="shared" si="184"/>
        <v>347-2023-06-30</v>
      </c>
    </row>
    <row r="902" spans="1:18" x14ac:dyDescent="0.3">
      <c r="A902" s="39">
        <v>347</v>
      </c>
      <c r="B902" s="5" t="s">
        <v>230</v>
      </c>
      <c r="C902" s="5" t="s">
        <v>231</v>
      </c>
      <c r="D902" s="5" t="s">
        <v>11</v>
      </c>
      <c r="E902" s="5" t="s">
        <v>14</v>
      </c>
      <c r="F902" s="6">
        <v>45291</v>
      </c>
      <c r="G902" s="5">
        <f t="shared" si="182"/>
        <v>2023</v>
      </c>
      <c r="H902" s="5" t="str">
        <f t="shared" si="177"/>
        <v>Diciembre</v>
      </c>
      <c r="I902" s="6" t="str">
        <f t="shared" si="185"/>
        <v>2023-2</v>
      </c>
      <c r="J902" s="16">
        <v>1.0000000000000001E-5</v>
      </c>
      <c r="K902" s="5">
        <v>14</v>
      </c>
      <c r="L902" s="15">
        <v>0.86</v>
      </c>
      <c r="M902" s="15">
        <v>0.86</v>
      </c>
      <c r="N902" s="5" t="s">
        <v>490</v>
      </c>
      <c r="O902" s="5" t="s">
        <v>490</v>
      </c>
      <c r="P902" s="5">
        <v>0</v>
      </c>
      <c r="Q902" s="5">
        <v>0</v>
      </c>
      <c r="R902" s="5" t="str">
        <f t="shared" si="184"/>
        <v>347-2023-12-31</v>
      </c>
    </row>
    <row r="903" spans="1:18" x14ac:dyDescent="0.3">
      <c r="A903" s="5">
        <v>347</v>
      </c>
      <c r="B903" s="5" t="s">
        <v>230</v>
      </c>
      <c r="C903" s="5" t="s">
        <v>231</v>
      </c>
      <c r="D903" s="5" t="s">
        <v>11</v>
      </c>
      <c r="E903" s="5" t="s">
        <v>14</v>
      </c>
      <c r="F903" s="6">
        <v>45473</v>
      </c>
      <c r="G903" s="5">
        <f t="shared" si="182"/>
        <v>2024</v>
      </c>
      <c r="H903" s="5" t="str">
        <f t="shared" si="177"/>
        <v>Junio</v>
      </c>
      <c r="I903" s="6" t="str">
        <f t="shared" si="185"/>
        <v>2024-1</v>
      </c>
      <c r="J903" s="5">
        <v>5</v>
      </c>
      <c r="K903" s="5">
        <v>3</v>
      </c>
      <c r="L903" s="15">
        <f>IFERROR(IF((K903&lt;J903),1,0),"")</f>
        <v>1</v>
      </c>
      <c r="M903" s="15">
        <f>IFERROR(IF((K903&lt;J903),1,0),"")</f>
        <v>1</v>
      </c>
      <c r="N903" s="5" t="s">
        <v>490</v>
      </c>
      <c r="O903" s="5" t="s">
        <v>490</v>
      </c>
      <c r="P903" s="5">
        <v>0</v>
      </c>
      <c r="Q903" s="5">
        <v>0</v>
      </c>
      <c r="R903" s="5" t="str">
        <f t="shared" si="184"/>
        <v>347-2024-06-30</v>
      </c>
    </row>
    <row r="904" spans="1:18" x14ac:dyDescent="0.3">
      <c r="A904" s="5">
        <v>347</v>
      </c>
      <c r="B904" s="5" t="s">
        <v>230</v>
      </c>
      <c r="C904" s="5" t="s">
        <v>231</v>
      </c>
      <c r="D904" s="5" t="s">
        <v>11</v>
      </c>
      <c r="E904" s="5" t="s">
        <v>14</v>
      </c>
      <c r="F904" s="6">
        <v>45657</v>
      </c>
      <c r="G904" s="5">
        <f t="shared" si="182"/>
        <v>2024</v>
      </c>
      <c r="H904" s="5" t="str">
        <f t="shared" si="177"/>
        <v>Diciembre</v>
      </c>
      <c r="I904" s="6" t="str">
        <f t="shared" si="185"/>
        <v>2024-2</v>
      </c>
      <c r="J904" s="5">
        <v>5</v>
      </c>
      <c r="K904" s="5">
        <v>0</v>
      </c>
      <c r="L904" s="15">
        <f>IFERROR(IF((K904&lt;J904),1,0),"")</f>
        <v>1</v>
      </c>
      <c r="M904" s="15">
        <f>IFERROR(IF((K904&lt;J904),1,0),"")</f>
        <v>1</v>
      </c>
      <c r="N904" s="5" t="s">
        <v>490</v>
      </c>
      <c r="O904" s="5" t="s">
        <v>490</v>
      </c>
      <c r="P904" s="5">
        <v>0</v>
      </c>
      <c r="Q904" s="5">
        <v>0</v>
      </c>
      <c r="R904" s="5" t="str">
        <f t="shared" si="184"/>
        <v>347-2024-12-31</v>
      </c>
    </row>
    <row r="905" spans="1:18" x14ac:dyDescent="0.3">
      <c r="A905" s="54">
        <v>348</v>
      </c>
      <c r="B905" s="5" t="s">
        <v>232</v>
      </c>
      <c r="C905" s="5" t="s">
        <v>231</v>
      </c>
      <c r="D905" s="5" t="s">
        <v>11</v>
      </c>
      <c r="E905" s="5" t="s">
        <v>9</v>
      </c>
      <c r="F905" s="6">
        <v>45016</v>
      </c>
      <c r="G905" s="5">
        <f t="shared" si="182"/>
        <v>2023</v>
      </c>
      <c r="H905" s="5" t="str">
        <f t="shared" si="177"/>
        <v>Marzo</v>
      </c>
      <c r="I905" s="6" t="str">
        <f t="shared" si="185"/>
        <v>2023-1</v>
      </c>
      <c r="J905" s="5">
        <v>99</v>
      </c>
      <c r="K905" s="5">
        <v>99.94</v>
      </c>
      <c r="L905" s="21">
        <f>IFERROR(K905/J905,"")</f>
        <v>1.0094949494949494</v>
      </c>
      <c r="M905" s="15">
        <f t="shared" ref="M905:M912" si="186">IFERROR(K905/J905,"")</f>
        <v>1.0094949494949494</v>
      </c>
      <c r="N905" s="5" t="s">
        <v>347</v>
      </c>
      <c r="O905" s="5" t="s">
        <v>347</v>
      </c>
      <c r="P905" s="5">
        <v>0</v>
      </c>
      <c r="Q905" s="5">
        <v>1</v>
      </c>
      <c r="R905" s="5" t="str">
        <f t="shared" si="184"/>
        <v>348-2023-03-31</v>
      </c>
    </row>
    <row r="906" spans="1:18" x14ac:dyDescent="0.3">
      <c r="A906" s="39">
        <v>348</v>
      </c>
      <c r="B906" s="5" t="s">
        <v>232</v>
      </c>
      <c r="C906" s="5" t="s">
        <v>231</v>
      </c>
      <c r="D906" s="5" t="s">
        <v>11</v>
      </c>
      <c r="E906" s="5" t="s">
        <v>9</v>
      </c>
      <c r="F906" s="6">
        <v>45107</v>
      </c>
      <c r="G906" s="5">
        <f t="shared" si="182"/>
        <v>2023</v>
      </c>
      <c r="H906" s="5" t="str">
        <f t="shared" si="177"/>
        <v>Junio</v>
      </c>
      <c r="I906" s="6" t="str">
        <f t="shared" si="185"/>
        <v>2023-1</v>
      </c>
      <c r="J906" s="5">
        <v>99</v>
      </c>
      <c r="K906" s="5">
        <v>99.7</v>
      </c>
      <c r="L906" s="21">
        <f>IFERROR(K906/J906,"")</f>
        <v>1.007070707070707</v>
      </c>
      <c r="M906" s="15">
        <f t="shared" si="186"/>
        <v>1.007070707070707</v>
      </c>
      <c r="N906" s="5" t="s">
        <v>347</v>
      </c>
      <c r="O906" s="5" t="s">
        <v>347</v>
      </c>
      <c r="P906" s="5">
        <v>0</v>
      </c>
      <c r="Q906" s="5">
        <v>1</v>
      </c>
      <c r="R906" s="5" t="str">
        <f t="shared" si="184"/>
        <v>348-2023-06-30</v>
      </c>
    </row>
    <row r="907" spans="1:18" x14ac:dyDescent="0.3">
      <c r="A907" s="43">
        <v>348</v>
      </c>
      <c r="B907" s="5" t="s">
        <v>232</v>
      </c>
      <c r="C907" s="5" t="s">
        <v>231</v>
      </c>
      <c r="D907" s="5" t="s">
        <v>11</v>
      </c>
      <c r="E907" s="5" t="s">
        <v>9</v>
      </c>
      <c r="F907" s="6">
        <v>45199</v>
      </c>
      <c r="G907" s="5">
        <f t="shared" si="182"/>
        <v>2023</v>
      </c>
      <c r="H907" s="5" t="str">
        <f t="shared" si="177"/>
        <v>Septiembre</v>
      </c>
      <c r="I907" s="6" t="str">
        <f t="shared" si="185"/>
        <v>2023-2</v>
      </c>
      <c r="J907" s="5">
        <v>99</v>
      </c>
      <c r="K907" s="5">
        <v>100</v>
      </c>
      <c r="L907" s="21">
        <f>IFERROR(K907/J907,"")</f>
        <v>1.0101010101010102</v>
      </c>
      <c r="M907" s="15">
        <f t="shared" si="186"/>
        <v>1.0101010101010102</v>
      </c>
      <c r="N907" s="5" t="s">
        <v>347</v>
      </c>
      <c r="O907" s="5" t="s">
        <v>347</v>
      </c>
      <c r="P907" s="5">
        <v>0</v>
      </c>
      <c r="Q907" s="5">
        <v>1</v>
      </c>
      <c r="R907" s="5" t="str">
        <f t="shared" si="184"/>
        <v>348-2023-09-30</v>
      </c>
    </row>
    <row r="908" spans="1:18" x14ac:dyDescent="0.3">
      <c r="A908" s="39">
        <v>348</v>
      </c>
      <c r="B908" s="5" t="s">
        <v>232</v>
      </c>
      <c r="C908" s="5" t="s">
        <v>231</v>
      </c>
      <c r="D908" s="5" t="s">
        <v>11</v>
      </c>
      <c r="E908" s="5" t="s">
        <v>9</v>
      </c>
      <c r="F908" s="6">
        <v>45291</v>
      </c>
      <c r="G908" s="5">
        <f t="shared" si="182"/>
        <v>2023</v>
      </c>
      <c r="H908" s="5" t="str">
        <f t="shared" si="177"/>
        <v>Diciembre</v>
      </c>
      <c r="I908" s="6" t="str">
        <f t="shared" si="185"/>
        <v>2023-2</v>
      </c>
      <c r="J908" s="5">
        <v>99</v>
      </c>
      <c r="K908" s="5">
        <v>100</v>
      </c>
      <c r="L908" s="21">
        <f>IFERROR(K908/J908,"")</f>
        <v>1.0101010101010102</v>
      </c>
      <c r="M908" s="15">
        <f t="shared" si="186"/>
        <v>1.0101010101010102</v>
      </c>
      <c r="N908" s="5" t="s">
        <v>347</v>
      </c>
      <c r="O908" s="5" t="s">
        <v>347</v>
      </c>
      <c r="P908" s="5">
        <v>0</v>
      </c>
      <c r="Q908" s="5">
        <v>1</v>
      </c>
      <c r="R908" s="5" t="str">
        <f t="shared" si="184"/>
        <v>348-2023-12-31</v>
      </c>
    </row>
    <row r="909" spans="1:18" x14ac:dyDescent="0.3">
      <c r="A909" s="5">
        <v>348</v>
      </c>
      <c r="B909" s="5" t="s">
        <v>232</v>
      </c>
      <c r="C909" s="5" t="s">
        <v>231</v>
      </c>
      <c r="D909" s="5" t="s">
        <v>11</v>
      </c>
      <c r="E909" s="5" t="s">
        <v>9</v>
      </c>
      <c r="F909" s="6">
        <v>45473</v>
      </c>
      <c r="G909" s="5">
        <f t="shared" si="182"/>
        <v>2024</v>
      </c>
      <c r="H909" s="5" t="str">
        <f t="shared" si="177"/>
        <v>Junio</v>
      </c>
      <c r="I909" s="6" t="str">
        <f t="shared" si="185"/>
        <v>2024-1</v>
      </c>
      <c r="J909" s="5">
        <v>99</v>
      </c>
      <c r="K909" s="5">
        <v>99.9</v>
      </c>
      <c r="L909" s="15">
        <f>IFERROR(IF((K909/J909)&gt;1.3,1.3,K909/J909),"")</f>
        <v>1.009090909090909</v>
      </c>
      <c r="M909" s="15">
        <f t="shared" si="186"/>
        <v>1.009090909090909</v>
      </c>
      <c r="N909" s="5" t="s">
        <v>347</v>
      </c>
      <c r="O909" s="5" t="s">
        <v>347</v>
      </c>
      <c r="P909" s="5">
        <v>0</v>
      </c>
      <c r="Q909" s="5">
        <v>0</v>
      </c>
      <c r="R909" s="5" t="str">
        <f t="shared" si="184"/>
        <v>348-2024-06-30</v>
      </c>
    </row>
    <row r="910" spans="1:18" x14ac:dyDescent="0.3">
      <c r="A910" s="5">
        <v>348</v>
      </c>
      <c r="B910" s="5" t="s">
        <v>232</v>
      </c>
      <c r="C910" s="5" t="s">
        <v>231</v>
      </c>
      <c r="D910" s="5" t="s">
        <v>11</v>
      </c>
      <c r="E910" s="5" t="s">
        <v>9</v>
      </c>
      <c r="F910" s="6">
        <v>45657</v>
      </c>
      <c r="G910" s="5">
        <f t="shared" si="182"/>
        <v>2024</v>
      </c>
      <c r="H910" s="5" t="str">
        <f t="shared" si="177"/>
        <v>Diciembre</v>
      </c>
      <c r="I910" s="6" t="str">
        <f t="shared" si="185"/>
        <v>2024-2</v>
      </c>
      <c r="J910" s="5">
        <v>99</v>
      </c>
      <c r="K910" s="5">
        <v>100</v>
      </c>
      <c r="L910" s="15">
        <f>IFERROR(IF((K910/J910)&gt;1.3,1.3,K910/J910),"")</f>
        <v>1.0101010101010102</v>
      </c>
      <c r="M910" s="15">
        <f t="shared" si="186"/>
        <v>1.0101010101010102</v>
      </c>
      <c r="N910" s="5" t="s">
        <v>347</v>
      </c>
      <c r="O910" s="5" t="s">
        <v>347</v>
      </c>
      <c r="P910" s="5">
        <v>0</v>
      </c>
      <c r="Q910" s="5">
        <v>0</v>
      </c>
      <c r="R910" s="5" t="str">
        <f t="shared" si="184"/>
        <v>348-2024-12-31</v>
      </c>
    </row>
    <row r="911" spans="1:18" x14ac:dyDescent="0.3">
      <c r="A911" s="39">
        <v>349</v>
      </c>
      <c r="B911" s="5" t="s">
        <v>233</v>
      </c>
      <c r="C911" s="5" t="s">
        <v>59</v>
      </c>
      <c r="D911" s="5" t="s">
        <v>25</v>
      </c>
      <c r="E911" s="5" t="s">
        <v>9</v>
      </c>
      <c r="F911" s="6">
        <v>45291</v>
      </c>
      <c r="G911" s="5">
        <f t="shared" si="182"/>
        <v>2023</v>
      </c>
      <c r="H911" s="5" t="str">
        <f t="shared" si="177"/>
        <v>Diciembre</v>
      </c>
      <c r="I911" s="6" t="str">
        <f t="shared" si="185"/>
        <v>2023-2</v>
      </c>
      <c r="J911" s="5" t="s">
        <v>417</v>
      </c>
      <c r="K911" s="5">
        <v>0</v>
      </c>
      <c r="L911" s="21" t="str">
        <f>IFERROR(K911/J911,"")</f>
        <v/>
      </c>
      <c r="M911" s="15" t="str">
        <f t="shared" si="186"/>
        <v/>
      </c>
      <c r="N911" s="5"/>
      <c r="O911" s="5"/>
      <c r="P911" s="5">
        <v>0</v>
      </c>
      <c r="Q911" s="5">
        <v>0</v>
      </c>
      <c r="R911" s="5" t="str">
        <f t="shared" si="184"/>
        <v>349-2023-12-31</v>
      </c>
    </row>
    <row r="912" spans="1:18" x14ac:dyDescent="0.3">
      <c r="A912" s="39">
        <v>350</v>
      </c>
      <c r="B912" s="5" t="s">
        <v>234</v>
      </c>
      <c r="C912" s="5" t="s">
        <v>59</v>
      </c>
      <c r="D912" s="5" t="s">
        <v>25</v>
      </c>
      <c r="E912" s="5" t="s">
        <v>9</v>
      </c>
      <c r="F912" s="6">
        <v>45291</v>
      </c>
      <c r="G912" s="5">
        <f t="shared" si="182"/>
        <v>2023</v>
      </c>
      <c r="H912" s="5" t="str">
        <f t="shared" si="177"/>
        <v>Diciembre</v>
      </c>
      <c r="I912" s="6" t="str">
        <f t="shared" si="185"/>
        <v>2023-2</v>
      </c>
      <c r="J912" s="5" t="s">
        <v>417</v>
      </c>
      <c r="K912" s="5">
        <v>0</v>
      </c>
      <c r="L912" s="21" t="str">
        <f>IFERROR(K912/J912,"")</f>
        <v/>
      </c>
      <c r="M912" s="15" t="str">
        <f t="shared" si="186"/>
        <v/>
      </c>
      <c r="N912" s="5"/>
      <c r="O912" s="5"/>
      <c r="P912" s="5">
        <v>0</v>
      </c>
      <c r="Q912" s="5">
        <v>0</v>
      </c>
      <c r="R912" s="5" t="str">
        <f t="shared" si="184"/>
        <v>350-2023-12-31</v>
      </c>
    </row>
    <row r="913" spans="1:18" x14ac:dyDescent="0.3">
      <c r="A913" s="39">
        <v>351</v>
      </c>
      <c r="B913" s="5" t="s">
        <v>235</v>
      </c>
      <c r="C913" s="5" t="s">
        <v>231</v>
      </c>
      <c r="D913" s="5" t="s">
        <v>11</v>
      </c>
      <c r="E913" s="5" t="s">
        <v>14</v>
      </c>
      <c r="F913" s="6">
        <v>45107</v>
      </c>
      <c r="G913" s="5">
        <f t="shared" si="182"/>
        <v>2023</v>
      </c>
      <c r="H913" s="5" t="str">
        <f t="shared" si="177"/>
        <v>Junio</v>
      </c>
      <c r="I913" s="6" t="str">
        <f t="shared" si="185"/>
        <v>2023-1</v>
      </c>
      <c r="J913" s="5">
        <v>5</v>
      </c>
      <c r="K913" s="5">
        <v>8.2333989618757997</v>
      </c>
      <c r="L913" s="8">
        <v>0.92900000000000005</v>
      </c>
      <c r="M913" s="8">
        <v>0.92900000000000005</v>
      </c>
      <c r="N913" s="5" t="s">
        <v>490</v>
      </c>
      <c r="O913" s="5" t="s">
        <v>490</v>
      </c>
      <c r="P913" s="5">
        <v>0</v>
      </c>
      <c r="Q913" s="5">
        <v>1</v>
      </c>
      <c r="R913" s="5" t="str">
        <f t="shared" si="184"/>
        <v>351-2023-06-30</v>
      </c>
    </row>
    <row r="914" spans="1:18" x14ac:dyDescent="0.3">
      <c r="A914" s="39">
        <v>351</v>
      </c>
      <c r="B914" s="5" t="s">
        <v>235</v>
      </c>
      <c r="C914" s="5" t="s">
        <v>231</v>
      </c>
      <c r="D914" s="5" t="s">
        <v>11</v>
      </c>
      <c r="E914" s="5" t="s">
        <v>14</v>
      </c>
      <c r="F914" s="6">
        <v>45291</v>
      </c>
      <c r="G914" s="5">
        <f t="shared" si="182"/>
        <v>2023</v>
      </c>
      <c r="H914" s="5" t="str">
        <f t="shared" si="177"/>
        <v>Diciembre</v>
      </c>
      <c r="I914" s="6" t="str">
        <f t="shared" si="185"/>
        <v>2023-2</v>
      </c>
      <c r="J914" s="5">
        <v>5</v>
      </c>
      <c r="K914" s="5">
        <v>3.54</v>
      </c>
      <c r="L914" s="15">
        <f>IFERROR(IF(K914&lt;J914,1,0),"")</f>
        <v>1</v>
      </c>
      <c r="M914" s="8">
        <f>IFERROR(IF(K914&lt;J914,1,0),"")</f>
        <v>1</v>
      </c>
      <c r="N914" s="5" t="s">
        <v>490</v>
      </c>
      <c r="O914" s="5" t="s">
        <v>490</v>
      </c>
      <c r="P914" s="5">
        <v>0</v>
      </c>
      <c r="Q914" s="5">
        <v>1</v>
      </c>
      <c r="R914" s="5" t="str">
        <f t="shared" si="184"/>
        <v>351-2023-12-31</v>
      </c>
    </row>
    <row r="915" spans="1:18" x14ac:dyDescent="0.3">
      <c r="A915" s="5">
        <v>351</v>
      </c>
      <c r="B915" s="5" t="s">
        <v>235</v>
      </c>
      <c r="C915" s="5" t="s">
        <v>231</v>
      </c>
      <c r="D915" s="5" t="s">
        <v>11</v>
      </c>
      <c r="E915" s="5" t="s">
        <v>14</v>
      </c>
      <c r="F915" s="6">
        <v>45473</v>
      </c>
      <c r="G915" s="5">
        <f t="shared" si="182"/>
        <v>2024</v>
      </c>
      <c r="H915" s="5" t="str">
        <f t="shared" si="177"/>
        <v>Junio</v>
      </c>
      <c r="I915" s="6" t="str">
        <f t="shared" si="185"/>
        <v>2024-1</v>
      </c>
      <c r="J915" s="5">
        <v>5</v>
      </c>
      <c r="K915" s="5">
        <v>8.77</v>
      </c>
      <c r="L915" s="15">
        <v>0.9</v>
      </c>
      <c r="M915" s="15">
        <v>0.9</v>
      </c>
      <c r="N915" s="5" t="s">
        <v>490</v>
      </c>
      <c r="O915" s="5" t="s">
        <v>490</v>
      </c>
      <c r="P915" s="5">
        <v>0</v>
      </c>
      <c r="Q915" s="5">
        <v>1</v>
      </c>
      <c r="R915" s="5" t="str">
        <f t="shared" si="184"/>
        <v>351-2024-06-30</v>
      </c>
    </row>
    <row r="916" spans="1:18" x14ac:dyDescent="0.3">
      <c r="A916" s="5">
        <v>351</v>
      </c>
      <c r="B916" s="5" t="s">
        <v>235</v>
      </c>
      <c r="C916" s="5" t="s">
        <v>231</v>
      </c>
      <c r="D916" s="5" t="s">
        <v>11</v>
      </c>
      <c r="E916" s="5" t="s">
        <v>14</v>
      </c>
      <c r="F916" s="6">
        <v>45657</v>
      </c>
      <c r="G916" s="5">
        <f t="shared" si="182"/>
        <v>2024</v>
      </c>
      <c r="H916" s="5" t="str">
        <f t="shared" si="177"/>
        <v>Diciembre</v>
      </c>
      <c r="I916" s="6" t="str">
        <f t="shared" si="185"/>
        <v>2024-2</v>
      </c>
      <c r="J916" s="5">
        <v>5</v>
      </c>
      <c r="K916" s="5">
        <v>2.34</v>
      </c>
      <c r="L916" s="15">
        <f>IFERROR(IF(K916&lt;J916,1,0),"")</f>
        <v>1</v>
      </c>
      <c r="M916" s="8">
        <f>IFERROR(IF(K916&lt;J916,1,0),"")</f>
        <v>1</v>
      </c>
      <c r="N916" s="5" t="s">
        <v>490</v>
      </c>
      <c r="O916" s="5" t="s">
        <v>490</v>
      </c>
      <c r="P916" s="5">
        <v>0</v>
      </c>
      <c r="Q916" s="5">
        <v>1</v>
      </c>
      <c r="R916" s="5" t="str">
        <f t="shared" si="184"/>
        <v>351-2024-12-31</v>
      </c>
    </row>
    <row r="917" spans="1:18" x14ac:dyDescent="0.3">
      <c r="A917" s="39">
        <v>352</v>
      </c>
      <c r="B917" s="5" t="s">
        <v>412</v>
      </c>
      <c r="C917" s="5" t="s">
        <v>231</v>
      </c>
      <c r="D917" s="5" t="s">
        <v>11</v>
      </c>
      <c r="E917" s="5" t="s">
        <v>14</v>
      </c>
      <c r="F917" s="6">
        <v>45107</v>
      </c>
      <c r="G917" s="5">
        <f t="shared" si="182"/>
        <v>2023</v>
      </c>
      <c r="H917" s="5" t="str">
        <f t="shared" si="177"/>
        <v>Junio</v>
      </c>
      <c r="I917" s="6" t="str">
        <f t="shared" si="185"/>
        <v>2023-1</v>
      </c>
      <c r="J917" s="16">
        <v>9.9999999999999995E-7</v>
      </c>
      <c r="K917" s="5">
        <v>0.19</v>
      </c>
      <c r="L917" s="15">
        <f>(100%)-(K917/100)</f>
        <v>0.99809999999999999</v>
      </c>
      <c r="M917" s="15">
        <f>(100%)-(K917/100)</f>
        <v>0.99809999999999999</v>
      </c>
      <c r="N917" s="5" t="s">
        <v>347</v>
      </c>
      <c r="O917" s="5" t="s">
        <v>347</v>
      </c>
      <c r="P917" s="5">
        <v>2</v>
      </c>
      <c r="Q917" s="5">
        <v>2</v>
      </c>
      <c r="R917" s="5" t="str">
        <f t="shared" si="184"/>
        <v>352-2023-06-30</v>
      </c>
    </row>
    <row r="918" spans="1:18" x14ac:dyDescent="0.3">
      <c r="A918" s="39">
        <v>352</v>
      </c>
      <c r="B918" s="5" t="s">
        <v>412</v>
      </c>
      <c r="C918" s="5" t="s">
        <v>231</v>
      </c>
      <c r="D918" s="5" t="s">
        <v>11</v>
      </c>
      <c r="E918" s="5" t="s">
        <v>14</v>
      </c>
      <c r="F918" s="6">
        <v>45291</v>
      </c>
      <c r="G918" s="5">
        <f t="shared" si="182"/>
        <v>2023</v>
      </c>
      <c r="H918" s="5" t="str">
        <f t="shared" si="177"/>
        <v>Diciembre</v>
      </c>
      <c r="I918" s="6" t="str">
        <f t="shared" si="185"/>
        <v>2023-2</v>
      </c>
      <c r="J918" s="16">
        <v>9.9999999999999995E-7</v>
      </c>
      <c r="K918" s="5">
        <v>0.16</v>
      </c>
      <c r="L918" s="15">
        <f>(100%)-(K918/100)</f>
        <v>0.99839999999999995</v>
      </c>
      <c r="M918" s="15">
        <f>(100%)-(K918/100)</f>
        <v>0.99839999999999995</v>
      </c>
      <c r="N918" s="5" t="s">
        <v>347</v>
      </c>
      <c r="O918" s="5" t="s">
        <v>347</v>
      </c>
      <c r="P918" s="5">
        <v>2</v>
      </c>
      <c r="Q918" s="5">
        <v>2</v>
      </c>
      <c r="R918" s="5" t="str">
        <f t="shared" si="184"/>
        <v>352-2023-12-31</v>
      </c>
    </row>
    <row r="919" spans="1:18" x14ac:dyDescent="0.3">
      <c r="A919" s="5">
        <v>352</v>
      </c>
      <c r="B919" s="5" t="s">
        <v>412</v>
      </c>
      <c r="C919" s="5" t="s">
        <v>231</v>
      </c>
      <c r="D919" s="5" t="s">
        <v>11</v>
      </c>
      <c r="E919" s="5" t="s">
        <v>14</v>
      </c>
      <c r="F919" s="6">
        <v>45473</v>
      </c>
      <c r="G919" s="5">
        <f t="shared" si="182"/>
        <v>2024</v>
      </c>
      <c r="H919" s="5" t="str">
        <f t="shared" si="177"/>
        <v>Junio</v>
      </c>
      <c r="I919" s="6" t="str">
        <f t="shared" si="185"/>
        <v>2024-1</v>
      </c>
      <c r="J919" s="5">
        <v>0</v>
      </c>
      <c r="K919" s="5">
        <v>0.04</v>
      </c>
      <c r="L919" s="15">
        <f>(100%)-(K919/100)</f>
        <v>0.99960000000000004</v>
      </c>
      <c r="M919" s="15">
        <f>(100%)-(K919/100)</f>
        <v>0.99960000000000004</v>
      </c>
      <c r="N919" s="5" t="s">
        <v>347</v>
      </c>
      <c r="O919" s="5" t="s">
        <v>347</v>
      </c>
      <c r="P919" s="5">
        <v>0</v>
      </c>
      <c r="Q919" s="5">
        <v>0</v>
      </c>
      <c r="R919" s="5" t="str">
        <f t="shared" si="184"/>
        <v>352-2024-06-30</v>
      </c>
    </row>
    <row r="920" spans="1:18" x14ac:dyDescent="0.3">
      <c r="A920" s="5">
        <v>352</v>
      </c>
      <c r="B920" s="5" t="s">
        <v>412</v>
      </c>
      <c r="C920" s="5" t="s">
        <v>231</v>
      </c>
      <c r="D920" s="5" t="s">
        <v>11</v>
      </c>
      <c r="E920" s="5" t="s">
        <v>14</v>
      </c>
      <c r="F920" s="6">
        <v>45657</v>
      </c>
      <c r="G920" s="5">
        <f t="shared" si="182"/>
        <v>2024</v>
      </c>
      <c r="H920" s="5" t="str">
        <f t="shared" si="177"/>
        <v>Diciembre</v>
      </c>
      <c r="I920" s="6" t="str">
        <f t="shared" si="185"/>
        <v>2024-2</v>
      </c>
      <c r="J920" s="5">
        <v>0</v>
      </c>
      <c r="K920" s="5">
        <v>0</v>
      </c>
      <c r="L920" s="15">
        <f>(100%)-(K920/100)</f>
        <v>1</v>
      </c>
      <c r="M920" s="15">
        <f>(100%)-(K920/100)</f>
        <v>1</v>
      </c>
      <c r="N920" s="5" t="s">
        <v>347</v>
      </c>
      <c r="O920" s="5" t="s">
        <v>347</v>
      </c>
      <c r="P920" s="5">
        <v>0</v>
      </c>
      <c r="Q920" s="5">
        <v>0</v>
      </c>
      <c r="R920" s="5" t="str">
        <f t="shared" si="184"/>
        <v>352-2024-12-31</v>
      </c>
    </row>
    <row r="921" spans="1:18" x14ac:dyDescent="0.3">
      <c r="A921" s="5">
        <v>353</v>
      </c>
      <c r="B921" s="5" t="s">
        <v>236</v>
      </c>
      <c r="C921" s="5" t="s">
        <v>237</v>
      </c>
      <c r="D921" s="5" t="s">
        <v>8</v>
      </c>
      <c r="E921" s="5" t="s">
        <v>9</v>
      </c>
      <c r="F921" s="17">
        <v>45107</v>
      </c>
      <c r="G921" s="16">
        <f t="shared" si="182"/>
        <v>2023</v>
      </c>
      <c r="H921" s="6" t="str">
        <f t="shared" si="177"/>
        <v>Junio</v>
      </c>
      <c r="I921" s="41" t="s">
        <v>422</v>
      </c>
      <c r="J921" s="5">
        <v>25</v>
      </c>
      <c r="K921" s="5">
        <v>40.384615384615401</v>
      </c>
      <c r="L921" s="15">
        <f>IFERROR(IF((K921/J921)&gt;1.3,1.3,K921/J921),"")</f>
        <v>1.3</v>
      </c>
      <c r="M921" s="15">
        <f t="shared" ref="M921:M926" si="187">IFERROR(K921/J921,"")</f>
        <v>1.6153846153846161</v>
      </c>
      <c r="N921" s="5"/>
      <c r="O921" s="5"/>
      <c r="P921" s="5">
        <v>1</v>
      </c>
      <c r="Q921" s="5">
        <v>1</v>
      </c>
      <c r="R921" s="5" t="str">
        <f t="shared" si="184"/>
        <v>353-2023-06-30</v>
      </c>
    </row>
    <row r="922" spans="1:18" x14ac:dyDescent="0.3">
      <c r="A922" s="39">
        <v>353</v>
      </c>
      <c r="B922" s="5" t="s">
        <v>236</v>
      </c>
      <c r="C922" s="5" t="s">
        <v>237</v>
      </c>
      <c r="D922" s="5" t="s">
        <v>8</v>
      </c>
      <c r="E922" s="5" t="s">
        <v>9</v>
      </c>
      <c r="F922" s="6">
        <v>45291</v>
      </c>
      <c r="G922" s="5">
        <f t="shared" si="182"/>
        <v>2023</v>
      </c>
      <c r="H922" s="5" t="str">
        <f t="shared" si="177"/>
        <v>Diciembre</v>
      </c>
      <c r="I922" s="6" t="str">
        <f t="shared" ref="I922:I951" si="188">IF(OR(H922="Enero",H922="Febrero",H922="Marzo",H922="Abril",H922="Mayo",H922="Junio"),G922&amp;"-1",IF(OR(H922="Julio",H922="Agosto",H922="Septiembre",H922="Octubre",H922="Noviembre",H922="Diciembre"),G922&amp;"-2"))</f>
        <v>2023-2</v>
      </c>
      <c r="J922" s="5">
        <v>35</v>
      </c>
      <c r="K922" s="5">
        <v>40.384615384615401</v>
      </c>
      <c r="L922" s="15">
        <f>IFERROR(IF((K922/J922)&gt;1.3,1.3,K922/J922),"")</f>
        <v>1.1538461538461544</v>
      </c>
      <c r="M922" s="15">
        <f t="shared" si="187"/>
        <v>1.1538461538461544</v>
      </c>
      <c r="N922" s="5"/>
      <c r="O922" s="5"/>
      <c r="P922" s="5">
        <v>1</v>
      </c>
      <c r="Q922" s="5">
        <v>1</v>
      </c>
      <c r="R922" s="5" t="str">
        <f t="shared" si="184"/>
        <v>353-2023-12-31</v>
      </c>
    </row>
    <row r="923" spans="1:18" x14ac:dyDescent="0.3">
      <c r="A923" s="43">
        <v>354</v>
      </c>
      <c r="B923" s="5" t="s">
        <v>238</v>
      </c>
      <c r="C923" s="5" t="s">
        <v>237</v>
      </c>
      <c r="D923" s="5" t="s">
        <v>8</v>
      </c>
      <c r="E923" s="5" t="s">
        <v>9</v>
      </c>
      <c r="F923" s="6">
        <v>45107</v>
      </c>
      <c r="G923" s="5">
        <f t="shared" si="182"/>
        <v>2023</v>
      </c>
      <c r="H923" s="5" t="str">
        <f t="shared" si="177"/>
        <v>Junio</v>
      </c>
      <c r="I923" s="6" t="str">
        <f t="shared" si="188"/>
        <v>2023-1</v>
      </c>
      <c r="J923" s="5">
        <v>10</v>
      </c>
      <c r="K923" s="5">
        <v>5.07</v>
      </c>
      <c r="L923" s="21">
        <f>IFERROR(K923/J923,"")</f>
        <v>0.50700000000000001</v>
      </c>
      <c r="M923" s="15">
        <f t="shared" si="187"/>
        <v>0.50700000000000001</v>
      </c>
      <c r="N923" s="5"/>
      <c r="O923" s="5"/>
      <c r="P923" s="5">
        <v>1</v>
      </c>
      <c r="Q923" s="5">
        <v>1</v>
      </c>
      <c r="R923" s="5" t="str">
        <f t="shared" si="184"/>
        <v>354-2023-06-30</v>
      </c>
    </row>
    <row r="924" spans="1:18" x14ac:dyDescent="0.3">
      <c r="A924" s="39">
        <v>354</v>
      </c>
      <c r="B924" s="5" t="s">
        <v>238</v>
      </c>
      <c r="C924" s="5" t="s">
        <v>237</v>
      </c>
      <c r="D924" s="5" t="s">
        <v>8</v>
      </c>
      <c r="E924" s="5" t="s">
        <v>9</v>
      </c>
      <c r="F924" s="6">
        <v>45291</v>
      </c>
      <c r="G924" s="5">
        <f t="shared" si="182"/>
        <v>2023</v>
      </c>
      <c r="H924" s="5" t="str">
        <f t="shared" si="177"/>
        <v>Diciembre</v>
      </c>
      <c r="I924" s="6" t="str">
        <f t="shared" si="188"/>
        <v>2023-2</v>
      </c>
      <c r="J924" s="5">
        <v>10</v>
      </c>
      <c r="K924" s="5">
        <v>31.77</v>
      </c>
      <c r="L924" s="21">
        <f>IFERROR(K924/J924,"")</f>
        <v>3.177</v>
      </c>
      <c r="M924" s="15">
        <f t="shared" si="187"/>
        <v>3.177</v>
      </c>
      <c r="N924" s="5"/>
      <c r="O924" s="5"/>
      <c r="P924" s="5">
        <v>1</v>
      </c>
      <c r="Q924" s="5">
        <v>1</v>
      </c>
      <c r="R924" s="5" t="str">
        <f t="shared" si="184"/>
        <v>354-2023-12-31</v>
      </c>
    </row>
    <row r="925" spans="1:18" x14ac:dyDescent="0.3">
      <c r="A925" s="39">
        <v>355</v>
      </c>
      <c r="B925" s="5" t="s">
        <v>239</v>
      </c>
      <c r="C925" s="5" t="s">
        <v>240</v>
      </c>
      <c r="D925" s="5" t="s">
        <v>25</v>
      </c>
      <c r="E925" s="5" t="s">
        <v>9</v>
      </c>
      <c r="F925" s="6">
        <v>45291</v>
      </c>
      <c r="G925" s="5">
        <f t="shared" si="182"/>
        <v>2023</v>
      </c>
      <c r="H925" s="5" t="str">
        <f t="shared" si="177"/>
        <v>Diciembre</v>
      </c>
      <c r="I925" s="6" t="str">
        <f t="shared" si="188"/>
        <v>2023-2</v>
      </c>
      <c r="J925" s="5">
        <v>1</v>
      </c>
      <c r="K925" s="5">
        <v>1.65</v>
      </c>
      <c r="L925" s="21">
        <f>IFERROR(K925/J925,"")</f>
        <v>1.65</v>
      </c>
      <c r="M925" s="15">
        <f t="shared" si="187"/>
        <v>1.65</v>
      </c>
      <c r="N925" s="5"/>
      <c r="O925" s="5"/>
      <c r="P925" s="5">
        <v>1</v>
      </c>
      <c r="Q925" s="5">
        <v>1</v>
      </c>
      <c r="R925" s="5" t="str">
        <f t="shared" si="184"/>
        <v>355-2023-12-31</v>
      </c>
    </row>
    <row r="926" spans="1:18" x14ac:dyDescent="0.3">
      <c r="A926" s="5">
        <v>355</v>
      </c>
      <c r="B926" s="5" t="s">
        <v>239</v>
      </c>
      <c r="C926" s="5" t="s">
        <v>240</v>
      </c>
      <c r="D926" s="5" t="s">
        <v>25</v>
      </c>
      <c r="E926" s="5" t="s">
        <v>9</v>
      </c>
      <c r="F926" s="6">
        <v>45657</v>
      </c>
      <c r="G926" s="5">
        <f t="shared" si="182"/>
        <v>2024</v>
      </c>
      <c r="H926" s="5" t="str">
        <f t="shared" si="177"/>
        <v>Diciembre</v>
      </c>
      <c r="I926" s="6" t="str">
        <f t="shared" si="188"/>
        <v>2024-2</v>
      </c>
      <c r="J926" s="5"/>
      <c r="K926" s="5"/>
      <c r="L926" s="15" t="str">
        <f>IFERROR(IF((K926/J926)&gt;1.3,1.3,K926/J926),"")</f>
        <v/>
      </c>
      <c r="M926" s="15" t="str">
        <f t="shared" si="187"/>
        <v/>
      </c>
      <c r="N926" s="5"/>
      <c r="O926" s="5"/>
      <c r="P926" s="5">
        <v>0</v>
      </c>
      <c r="Q926" s="5">
        <v>0</v>
      </c>
      <c r="R926" s="5" t="str">
        <f t="shared" si="184"/>
        <v>355-2024-12-31</v>
      </c>
    </row>
    <row r="927" spans="1:18" x14ac:dyDescent="0.3">
      <c r="A927" s="43">
        <v>356</v>
      </c>
      <c r="B927" s="5" t="s">
        <v>241</v>
      </c>
      <c r="C927" s="5" t="s">
        <v>240</v>
      </c>
      <c r="D927" s="5" t="s">
        <v>8</v>
      </c>
      <c r="E927" s="5" t="s">
        <v>14</v>
      </c>
      <c r="F927" s="6">
        <v>45107</v>
      </c>
      <c r="G927" s="5">
        <f t="shared" si="182"/>
        <v>2023</v>
      </c>
      <c r="H927" s="5" t="str">
        <f t="shared" si="177"/>
        <v>Junio</v>
      </c>
      <c r="I927" s="6" t="str">
        <f t="shared" si="188"/>
        <v>2023-1</v>
      </c>
      <c r="J927" s="5">
        <v>60</v>
      </c>
      <c r="K927" s="5">
        <v>49.21</v>
      </c>
      <c r="L927" s="15">
        <f>IFERROR(IF((J927/K927)&gt;1.3,1.3,J927/K927),"")</f>
        <v>1.2192643771591141</v>
      </c>
      <c r="M927" s="15">
        <f>IFERROR(J927/K927,"")</f>
        <v>1.2192643771591141</v>
      </c>
      <c r="N927" s="5" t="s">
        <v>347</v>
      </c>
      <c r="O927" s="5" t="s">
        <v>347</v>
      </c>
      <c r="P927" s="5">
        <v>1</v>
      </c>
      <c r="Q927" s="5">
        <v>1</v>
      </c>
      <c r="R927" s="5" t="str">
        <f t="shared" si="184"/>
        <v>356-2023-06-30</v>
      </c>
    </row>
    <row r="928" spans="1:18" x14ac:dyDescent="0.3">
      <c r="A928" s="39">
        <v>356</v>
      </c>
      <c r="B928" s="5" t="s">
        <v>241</v>
      </c>
      <c r="C928" s="5" t="s">
        <v>240</v>
      </c>
      <c r="D928" s="5" t="s">
        <v>8</v>
      </c>
      <c r="E928" s="5" t="s">
        <v>14</v>
      </c>
      <c r="F928" s="6">
        <v>45291</v>
      </c>
      <c r="G928" s="5">
        <f t="shared" si="182"/>
        <v>2023</v>
      </c>
      <c r="H928" s="5" t="str">
        <f t="shared" ref="H928:H989" si="189">PROPER(TEXT(F928,"mmmm"))</f>
        <v>Diciembre</v>
      </c>
      <c r="I928" s="6" t="str">
        <f t="shared" si="188"/>
        <v>2023-2</v>
      </c>
      <c r="J928" s="5">
        <v>60</v>
      </c>
      <c r="K928" s="5">
        <v>61.54</v>
      </c>
      <c r="L928" s="15">
        <f t="shared" ref="L928:L930" si="190">IFERROR(IF((J928/K928)&gt;1.3,1.3,J928/K928),"")</f>
        <v>0.9749756256093598</v>
      </c>
      <c r="M928" s="15">
        <f t="shared" ref="M928:M930" si="191">IFERROR(J928/K928,"")</f>
        <v>0.9749756256093598</v>
      </c>
      <c r="N928" s="5" t="s">
        <v>347</v>
      </c>
      <c r="O928" s="5" t="s">
        <v>347</v>
      </c>
      <c r="P928" s="5">
        <v>1</v>
      </c>
      <c r="Q928" s="5">
        <v>1</v>
      </c>
      <c r="R928" s="5" t="str">
        <f t="shared" si="184"/>
        <v>356-2023-12-31</v>
      </c>
    </row>
    <row r="929" spans="1:18" x14ac:dyDescent="0.3">
      <c r="A929" s="5">
        <v>356</v>
      </c>
      <c r="B929" s="5" t="s">
        <v>241</v>
      </c>
      <c r="C929" s="5" t="s">
        <v>240</v>
      </c>
      <c r="D929" s="5" t="s">
        <v>8</v>
      </c>
      <c r="E929" s="5" t="s">
        <v>14</v>
      </c>
      <c r="F929" s="6">
        <v>45473</v>
      </c>
      <c r="G929" s="5">
        <f t="shared" si="182"/>
        <v>2024</v>
      </c>
      <c r="H929" s="5" t="str">
        <f t="shared" si="189"/>
        <v>Junio</v>
      </c>
      <c r="I929" s="6" t="str">
        <f t="shared" si="188"/>
        <v>2024-1</v>
      </c>
      <c r="J929" s="5">
        <v>60</v>
      </c>
      <c r="K929" s="5">
        <v>54.08</v>
      </c>
      <c r="L929" s="15">
        <f t="shared" si="190"/>
        <v>1.1094674556213018</v>
      </c>
      <c r="M929" s="15">
        <f t="shared" si="191"/>
        <v>1.1094674556213018</v>
      </c>
      <c r="N929" s="5" t="s">
        <v>347</v>
      </c>
      <c r="O929" s="5" t="s">
        <v>347</v>
      </c>
      <c r="P929" s="5">
        <v>0</v>
      </c>
      <c r="Q929" s="5">
        <v>0</v>
      </c>
      <c r="R929" s="5" t="str">
        <f t="shared" si="184"/>
        <v>356-2024-06-30</v>
      </c>
    </row>
    <row r="930" spans="1:18" x14ac:dyDescent="0.3">
      <c r="A930" s="5">
        <v>356</v>
      </c>
      <c r="B930" s="5" t="s">
        <v>241</v>
      </c>
      <c r="C930" s="5" t="s">
        <v>240</v>
      </c>
      <c r="D930" s="5" t="s">
        <v>8</v>
      </c>
      <c r="E930" s="5" t="s">
        <v>14</v>
      </c>
      <c r="F930" s="6">
        <v>45657</v>
      </c>
      <c r="G930" s="5">
        <f t="shared" si="182"/>
        <v>2024</v>
      </c>
      <c r="H930" s="5" t="str">
        <f t="shared" si="189"/>
        <v>Diciembre</v>
      </c>
      <c r="I930" s="6" t="str">
        <f t="shared" si="188"/>
        <v>2024-2</v>
      </c>
      <c r="J930" s="5">
        <v>60</v>
      </c>
      <c r="K930" s="10">
        <v>65.55</v>
      </c>
      <c r="L930" s="15">
        <f t="shared" si="190"/>
        <v>0.91533180778032042</v>
      </c>
      <c r="M930" s="15">
        <f t="shared" si="191"/>
        <v>0.91533180778032042</v>
      </c>
      <c r="N930" s="5" t="s">
        <v>347</v>
      </c>
      <c r="O930" s="5" t="s">
        <v>347</v>
      </c>
      <c r="P930" s="5">
        <v>0</v>
      </c>
      <c r="Q930" s="5">
        <v>0</v>
      </c>
      <c r="R930" s="5" t="str">
        <f t="shared" si="184"/>
        <v>356-2024-12-31</v>
      </c>
    </row>
    <row r="931" spans="1:18" x14ac:dyDescent="0.3">
      <c r="A931" s="43">
        <v>357</v>
      </c>
      <c r="B931" s="5" t="s">
        <v>242</v>
      </c>
      <c r="C931" s="5" t="s">
        <v>240</v>
      </c>
      <c r="D931" s="5" t="s">
        <v>8</v>
      </c>
      <c r="E931" s="5" t="s">
        <v>9</v>
      </c>
      <c r="F931" s="6">
        <v>45107</v>
      </c>
      <c r="G931" s="5">
        <f t="shared" si="182"/>
        <v>2023</v>
      </c>
      <c r="H931" s="5" t="str">
        <f t="shared" si="189"/>
        <v>Junio</v>
      </c>
      <c r="I931" s="6" t="str">
        <f t="shared" si="188"/>
        <v>2023-1</v>
      </c>
      <c r="J931" s="5"/>
      <c r="K931" s="5">
        <v>3.01</v>
      </c>
      <c r="L931" s="21" t="s">
        <v>417</v>
      </c>
      <c r="M931" s="15" t="str">
        <f t="shared" ref="M931:M951" si="192">IFERROR(K931/J931,"")</f>
        <v/>
      </c>
      <c r="N931" s="5" t="s">
        <v>728</v>
      </c>
      <c r="O931" s="5"/>
      <c r="P931" s="5">
        <v>0</v>
      </c>
      <c r="Q931" s="5">
        <v>2</v>
      </c>
      <c r="R931" s="5" t="str">
        <f t="shared" si="184"/>
        <v>357-2023-06-30</v>
      </c>
    </row>
    <row r="932" spans="1:18" x14ac:dyDescent="0.3">
      <c r="A932" s="39">
        <v>357</v>
      </c>
      <c r="B932" s="5" t="s">
        <v>242</v>
      </c>
      <c r="C932" s="5" t="s">
        <v>240</v>
      </c>
      <c r="D932" s="5" t="s">
        <v>8</v>
      </c>
      <c r="E932" s="5" t="s">
        <v>9</v>
      </c>
      <c r="F932" s="6">
        <v>45291</v>
      </c>
      <c r="G932" s="5">
        <f t="shared" si="182"/>
        <v>2023</v>
      </c>
      <c r="H932" s="5" t="str">
        <f t="shared" si="189"/>
        <v>Diciembre</v>
      </c>
      <c r="I932" s="6" t="str">
        <f t="shared" si="188"/>
        <v>2023-2</v>
      </c>
      <c r="J932" s="5"/>
      <c r="K932" s="5">
        <v>4.45</v>
      </c>
      <c r="L932" s="21" t="str">
        <f>IFERROR(K932/J932,"")</f>
        <v/>
      </c>
      <c r="M932" s="15" t="str">
        <f t="shared" si="192"/>
        <v/>
      </c>
      <c r="N932" s="5" t="s">
        <v>728</v>
      </c>
      <c r="O932" s="5"/>
      <c r="P932" s="5">
        <v>0</v>
      </c>
      <c r="Q932" s="5">
        <v>2</v>
      </c>
      <c r="R932" s="5" t="str">
        <f t="shared" si="184"/>
        <v>357-2023-12-31</v>
      </c>
    </row>
    <row r="933" spans="1:18" x14ac:dyDescent="0.3">
      <c r="A933" s="5">
        <v>357</v>
      </c>
      <c r="B933" s="5" t="s">
        <v>242</v>
      </c>
      <c r="C933" s="5" t="s">
        <v>240</v>
      </c>
      <c r="D933" s="5" t="s">
        <v>8</v>
      </c>
      <c r="E933" s="5" t="s">
        <v>9</v>
      </c>
      <c r="F933" s="6">
        <v>45473</v>
      </c>
      <c r="G933" s="5">
        <f t="shared" si="182"/>
        <v>2024</v>
      </c>
      <c r="H933" s="5" t="str">
        <f t="shared" si="189"/>
        <v>Junio</v>
      </c>
      <c r="I933" s="6" t="str">
        <f t="shared" si="188"/>
        <v>2024-1</v>
      </c>
      <c r="J933" s="5"/>
      <c r="K933" s="5">
        <v>3.87</v>
      </c>
      <c r="L933" s="15" t="str">
        <f>IFERROR(IF((K933/J933)&gt;1.3,1.3,K933/J933),"")</f>
        <v/>
      </c>
      <c r="M933" s="15" t="str">
        <f t="shared" si="192"/>
        <v/>
      </c>
      <c r="N933" s="5" t="s">
        <v>728</v>
      </c>
      <c r="O933" s="5"/>
      <c r="P933" s="5">
        <v>0</v>
      </c>
      <c r="Q933" s="5">
        <v>2</v>
      </c>
      <c r="R933" s="5" t="str">
        <f t="shared" si="184"/>
        <v>357-2024-06-30</v>
      </c>
    </row>
    <row r="934" spans="1:18" x14ac:dyDescent="0.3">
      <c r="A934" s="5">
        <v>357</v>
      </c>
      <c r="B934" s="5" t="s">
        <v>242</v>
      </c>
      <c r="C934" s="5" t="s">
        <v>240</v>
      </c>
      <c r="D934" s="5" t="s">
        <v>8</v>
      </c>
      <c r="E934" s="5" t="s">
        <v>9</v>
      </c>
      <c r="F934" s="6">
        <v>45657</v>
      </c>
      <c r="G934" s="5">
        <f t="shared" si="182"/>
        <v>2024</v>
      </c>
      <c r="H934" s="5" t="str">
        <f t="shared" si="189"/>
        <v>Diciembre</v>
      </c>
      <c r="I934" s="6" t="str">
        <f t="shared" si="188"/>
        <v>2024-2</v>
      </c>
      <c r="J934" s="5"/>
      <c r="K934" s="5">
        <v>0.51</v>
      </c>
      <c r="L934" s="15" t="str">
        <f>IFERROR(IF((K934/J934)&gt;1.3,1.3,K934/J934),"")</f>
        <v/>
      </c>
      <c r="M934" s="15" t="str">
        <f t="shared" si="192"/>
        <v/>
      </c>
      <c r="N934" s="5" t="s">
        <v>728</v>
      </c>
      <c r="O934" s="5"/>
      <c r="P934" s="5">
        <v>0</v>
      </c>
      <c r="Q934" s="5">
        <v>2</v>
      </c>
      <c r="R934" s="5" t="str">
        <f t="shared" si="184"/>
        <v>357-2024-12-31</v>
      </c>
    </row>
    <row r="935" spans="1:18" x14ac:dyDescent="0.3">
      <c r="A935" s="43">
        <v>358</v>
      </c>
      <c r="B935" s="5" t="s">
        <v>243</v>
      </c>
      <c r="C935" s="5" t="s">
        <v>244</v>
      </c>
      <c r="D935" s="5" t="s">
        <v>8</v>
      </c>
      <c r="E935" s="5" t="s">
        <v>9</v>
      </c>
      <c r="F935" s="6">
        <v>45107</v>
      </c>
      <c r="G935" s="5">
        <f t="shared" si="182"/>
        <v>2023</v>
      </c>
      <c r="H935" s="5" t="str">
        <f t="shared" si="189"/>
        <v>Junio</v>
      </c>
      <c r="I935" s="6" t="str">
        <f t="shared" si="188"/>
        <v>2023-1</v>
      </c>
      <c r="J935" s="5">
        <v>87</v>
      </c>
      <c r="K935" s="5">
        <v>86.98</v>
      </c>
      <c r="L935" s="21">
        <f>IFERROR(K935/J935,"")</f>
        <v>0.99977011494252876</v>
      </c>
      <c r="M935" s="15">
        <f t="shared" si="192"/>
        <v>0.99977011494252876</v>
      </c>
      <c r="N935" s="5" t="s">
        <v>347</v>
      </c>
      <c r="O935" s="5" t="s">
        <v>347</v>
      </c>
      <c r="P935" s="5">
        <v>0</v>
      </c>
      <c r="Q935" s="5">
        <v>0</v>
      </c>
      <c r="R935" s="5" t="str">
        <f t="shared" si="184"/>
        <v>358-2023-06-30</v>
      </c>
    </row>
    <row r="936" spans="1:18" x14ac:dyDescent="0.3">
      <c r="A936" s="39">
        <v>358</v>
      </c>
      <c r="B936" s="5" t="s">
        <v>243</v>
      </c>
      <c r="C936" s="5" t="s">
        <v>244</v>
      </c>
      <c r="D936" s="5" t="s">
        <v>8</v>
      </c>
      <c r="E936" s="5" t="s">
        <v>9</v>
      </c>
      <c r="F936" s="6">
        <v>45291</v>
      </c>
      <c r="G936" s="5">
        <f t="shared" si="182"/>
        <v>2023</v>
      </c>
      <c r="H936" s="5" t="str">
        <f t="shared" si="189"/>
        <v>Diciembre</v>
      </c>
      <c r="I936" s="6" t="str">
        <f t="shared" si="188"/>
        <v>2023-2</v>
      </c>
      <c r="J936" s="5">
        <v>87</v>
      </c>
      <c r="K936" s="5">
        <v>95</v>
      </c>
      <c r="L936" s="21">
        <f>IFERROR(K936/J936,"")</f>
        <v>1.0919540229885059</v>
      </c>
      <c r="M936" s="15">
        <f t="shared" si="192"/>
        <v>1.0919540229885059</v>
      </c>
      <c r="N936" s="5" t="s">
        <v>347</v>
      </c>
      <c r="O936" s="5" t="s">
        <v>347</v>
      </c>
      <c r="P936" s="5">
        <v>0</v>
      </c>
      <c r="Q936" s="5">
        <v>0</v>
      </c>
      <c r="R936" s="5" t="str">
        <f t="shared" si="184"/>
        <v>358-2023-12-31</v>
      </c>
    </row>
    <row r="937" spans="1:18" x14ac:dyDescent="0.3">
      <c r="A937" s="5">
        <v>358</v>
      </c>
      <c r="B937" s="5" t="s">
        <v>243</v>
      </c>
      <c r="C937" s="5" t="s">
        <v>244</v>
      </c>
      <c r="D937" s="5" t="s">
        <v>8</v>
      </c>
      <c r="E937" s="5" t="s">
        <v>9</v>
      </c>
      <c r="F937" s="6">
        <v>45473</v>
      </c>
      <c r="G937" s="5">
        <f t="shared" si="182"/>
        <v>2024</v>
      </c>
      <c r="H937" s="5" t="str">
        <f t="shared" si="189"/>
        <v>Junio</v>
      </c>
      <c r="I937" s="6" t="str">
        <f t="shared" si="188"/>
        <v>2024-1</v>
      </c>
      <c r="J937" s="5">
        <v>87</v>
      </c>
      <c r="K937" s="5">
        <v>97.99</v>
      </c>
      <c r="L937" s="15">
        <f>IFERROR(IF((K937/J937)&gt;1.3,1.3,K937/J937),"")</f>
        <v>1.1263218390804597</v>
      </c>
      <c r="M937" s="15">
        <f t="shared" si="192"/>
        <v>1.1263218390804597</v>
      </c>
      <c r="N937" s="5" t="s">
        <v>347</v>
      </c>
      <c r="O937" s="5" t="s">
        <v>347</v>
      </c>
      <c r="P937" s="5">
        <v>0</v>
      </c>
      <c r="Q937" s="5">
        <v>0</v>
      </c>
      <c r="R937" s="5" t="str">
        <f t="shared" si="184"/>
        <v>358-2024-06-30</v>
      </c>
    </row>
    <row r="938" spans="1:18" x14ac:dyDescent="0.3">
      <c r="A938" s="5">
        <v>358</v>
      </c>
      <c r="B938" s="5" t="s">
        <v>243</v>
      </c>
      <c r="C938" s="5" t="s">
        <v>244</v>
      </c>
      <c r="D938" s="5" t="s">
        <v>8</v>
      </c>
      <c r="E938" s="5" t="s">
        <v>9</v>
      </c>
      <c r="F938" s="6">
        <v>45657</v>
      </c>
      <c r="G938" s="5">
        <f t="shared" si="182"/>
        <v>2024</v>
      </c>
      <c r="H938" s="5" t="str">
        <f t="shared" si="189"/>
        <v>Diciembre</v>
      </c>
      <c r="I938" s="6" t="str">
        <f t="shared" si="188"/>
        <v>2024-2</v>
      </c>
      <c r="J938" s="5">
        <v>87</v>
      </c>
      <c r="K938" s="5">
        <v>100</v>
      </c>
      <c r="L938" s="15">
        <f>IFERROR(IF((K938/J938)&gt;1.3,1.3,K938/J938),"")</f>
        <v>1.1494252873563218</v>
      </c>
      <c r="M938" s="15">
        <f t="shared" si="192"/>
        <v>1.1494252873563218</v>
      </c>
      <c r="N938" s="5" t="s">
        <v>347</v>
      </c>
      <c r="O938" s="5" t="s">
        <v>347</v>
      </c>
      <c r="P938" s="5">
        <v>0</v>
      </c>
      <c r="Q938" s="5">
        <v>0</v>
      </c>
      <c r="R938" s="5" t="str">
        <f t="shared" si="184"/>
        <v>358-2024-12-31</v>
      </c>
    </row>
    <row r="939" spans="1:18" x14ac:dyDescent="0.3">
      <c r="A939" s="39">
        <v>359</v>
      </c>
      <c r="B939" s="5" t="s">
        <v>245</v>
      </c>
      <c r="C939" s="5" t="s">
        <v>160</v>
      </c>
      <c r="D939" s="5" t="s">
        <v>25</v>
      </c>
      <c r="E939" s="5" t="s">
        <v>9</v>
      </c>
      <c r="F939" s="6">
        <v>45291</v>
      </c>
      <c r="G939" s="5">
        <f t="shared" si="182"/>
        <v>2023</v>
      </c>
      <c r="H939" s="5" t="str">
        <f t="shared" si="189"/>
        <v>Diciembre</v>
      </c>
      <c r="I939" s="6" t="str">
        <f t="shared" si="188"/>
        <v>2023-2</v>
      </c>
      <c r="J939" s="5" t="s">
        <v>417</v>
      </c>
      <c r="K939" s="5">
        <v>0</v>
      </c>
      <c r="L939" s="21" t="str">
        <f>IFERROR(K939/J939,"")</f>
        <v/>
      </c>
      <c r="M939" s="15" t="str">
        <f t="shared" si="192"/>
        <v/>
      </c>
      <c r="N939" s="5"/>
      <c r="O939" s="5"/>
      <c r="P939" s="5">
        <v>0</v>
      </c>
      <c r="Q939" s="5">
        <v>0</v>
      </c>
      <c r="R939" s="5" t="str">
        <f t="shared" si="184"/>
        <v>359-2023-12-31</v>
      </c>
    </row>
    <row r="940" spans="1:18" x14ac:dyDescent="0.3">
      <c r="A940" s="5">
        <v>359</v>
      </c>
      <c r="B940" s="5" t="s">
        <v>502</v>
      </c>
      <c r="C940" s="5" t="s">
        <v>160</v>
      </c>
      <c r="D940" s="5" t="s">
        <v>8</v>
      </c>
      <c r="E940" s="5" t="s">
        <v>9</v>
      </c>
      <c r="F940" s="6">
        <v>45657</v>
      </c>
      <c r="G940" s="5">
        <f t="shared" si="182"/>
        <v>2024</v>
      </c>
      <c r="H940" s="5" t="str">
        <f t="shared" si="189"/>
        <v>Diciembre</v>
      </c>
      <c r="I940" s="6" t="str">
        <f t="shared" si="188"/>
        <v>2024-2</v>
      </c>
      <c r="J940" s="5">
        <v>80</v>
      </c>
      <c r="K940" s="5">
        <v>86</v>
      </c>
      <c r="L940" s="15">
        <f>IFERROR(IF((K940/J940)&gt;1.3,1.3,K940/J940),"")</f>
        <v>1.075</v>
      </c>
      <c r="M940" s="15">
        <f t="shared" si="192"/>
        <v>1.075</v>
      </c>
      <c r="N940" s="5" t="s">
        <v>347</v>
      </c>
      <c r="O940" s="5" t="s">
        <v>347</v>
      </c>
      <c r="P940" s="5">
        <v>0</v>
      </c>
      <c r="Q940" s="5">
        <v>0</v>
      </c>
      <c r="R940" s="5" t="str">
        <f t="shared" si="184"/>
        <v>359-2024-12-31</v>
      </c>
    </row>
    <row r="941" spans="1:18" x14ac:dyDescent="0.3">
      <c r="A941" s="43">
        <v>360</v>
      </c>
      <c r="B941" s="5" t="s">
        <v>246</v>
      </c>
      <c r="C941" s="5" t="s">
        <v>160</v>
      </c>
      <c r="D941" s="5" t="s">
        <v>8</v>
      </c>
      <c r="E941" s="5" t="s">
        <v>9</v>
      </c>
      <c r="F941" s="6">
        <v>45107</v>
      </c>
      <c r="G941" s="5">
        <f t="shared" si="182"/>
        <v>2023</v>
      </c>
      <c r="H941" s="5" t="str">
        <f t="shared" si="189"/>
        <v>Junio</v>
      </c>
      <c r="I941" s="6" t="str">
        <f t="shared" si="188"/>
        <v>2023-1</v>
      </c>
      <c r="J941" s="5">
        <v>0</v>
      </c>
      <c r="K941" s="5">
        <v>0</v>
      </c>
      <c r="L941" s="15" t="s">
        <v>417</v>
      </c>
      <c r="M941" s="15" t="str">
        <f t="shared" si="192"/>
        <v/>
      </c>
      <c r="N941" s="5"/>
      <c r="O941" s="5"/>
      <c r="P941" s="5">
        <v>0</v>
      </c>
      <c r="Q941" s="5">
        <v>0</v>
      </c>
      <c r="R941" s="5" t="str">
        <f t="shared" si="184"/>
        <v>360-2023-06-30</v>
      </c>
    </row>
    <row r="942" spans="1:18" x14ac:dyDescent="0.3">
      <c r="A942" s="39">
        <v>360</v>
      </c>
      <c r="B942" s="5" t="s">
        <v>246</v>
      </c>
      <c r="C942" s="5" t="s">
        <v>160</v>
      </c>
      <c r="D942" s="5" t="s">
        <v>8</v>
      </c>
      <c r="E942" s="5" t="s">
        <v>9</v>
      </c>
      <c r="F942" s="6">
        <v>45291</v>
      </c>
      <c r="G942" s="5">
        <f t="shared" si="182"/>
        <v>2023</v>
      </c>
      <c r="H942" s="5" t="str">
        <f t="shared" si="189"/>
        <v>Diciembre</v>
      </c>
      <c r="I942" s="6" t="str">
        <f t="shared" si="188"/>
        <v>2023-2</v>
      </c>
      <c r="J942" s="5">
        <v>0</v>
      </c>
      <c r="K942" s="5">
        <v>0</v>
      </c>
      <c r="L942" s="15" t="str">
        <f>IFERROR(IF((K942/J942)&gt;1.3,1.3,K942/J942),"")</f>
        <v/>
      </c>
      <c r="M942" s="15" t="str">
        <f t="shared" si="192"/>
        <v/>
      </c>
      <c r="N942" s="5"/>
      <c r="O942" s="5"/>
      <c r="P942" s="5">
        <v>0</v>
      </c>
      <c r="Q942" s="5">
        <v>0</v>
      </c>
      <c r="R942" s="5" t="str">
        <f t="shared" si="184"/>
        <v>360-2023-12-31</v>
      </c>
    </row>
    <row r="943" spans="1:18" x14ac:dyDescent="0.3">
      <c r="A943" s="39">
        <v>361</v>
      </c>
      <c r="B943" s="5" t="s">
        <v>247</v>
      </c>
      <c r="C943" s="5" t="s">
        <v>248</v>
      </c>
      <c r="D943" s="5" t="s">
        <v>25</v>
      </c>
      <c r="E943" s="5" t="s">
        <v>9</v>
      </c>
      <c r="F943" s="6">
        <v>45291</v>
      </c>
      <c r="G943" s="5">
        <f t="shared" si="182"/>
        <v>2023</v>
      </c>
      <c r="H943" s="5" t="str">
        <f t="shared" si="189"/>
        <v>Diciembre</v>
      </c>
      <c r="I943" s="6" t="str">
        <f t="shared" si="188"/>
        <v>2023-2</v>
      </c>
      <c r="J943" s="5">
        <v>4.5</v>
      </c>
      <c r="K943" s="5">
        <v>4.5599999999999996</v>
      </c>
      <c r="L943" s="15">
        <f>IFERROR(IF((K943/J943)&gt;1.3,1.3,K943/J943),"")</f>
        <v>1.0133333333333332</v>
      </c>
      <c r="M943" s="15">
        <f t="shared" si="192"/>
        <v>1.0133333333333332</v>
      </c>
      <c r="N943" s="5"/>
      <c r="O943" s="5"/>
      <c r="P943" s="5">
        <v>2</v>
      </c>
      <c r="Q943" s="5">
        <v>2</v>
      </c>
      <c r="R943" s="5" t="str">
        <f t="shared" si="184"/>
        <v>361-2023-12-31</v>
      </c>
    </row>
    <row r="944" spans="1:18" x14ac:dyDescent="0.3">
      <c r="A944" s="5">
        <v>361</v>
      </c>
      <c r="B944" s="5" t="s">
        <v>247</v>
      </c>
      <c r="C944" s="5" t="s">
        <v>248</v>
      </c>
      <c r="D944" s="5" t="s">
        <v>25</v>
      </c>
      <c r="E944" s="5" t="s">
        <v>9</v>
      </c>
      <c r="F944" s="6">
        <v>45657</v>
      </c>
      <c r="G944" s="5">
        <f t="shared" si="182"/>
        <v>2024</v>
      </c>
      <c r="H944" s="5" t="str">
        <f t="shared" si="189"/>
        <v>Diciembre</v>
      </c>
      <c r="I944" s="6" t="str">
        <f t="shared" si="188"/>
        <v>2024-2</v>
      </c>
      <c r="J944" s="5">
        <v>0</v>
      </c>
      <c r="K944" s="5"/>
      <c r="L944" s="15" t="str">
        <f>IFERROR(IF((K944/J944)&gt;1.3,1.3,K944/J944),"")</f>
        <v/>
      </c>
      <c r="M944" s="15" t="str">
        <f t="shared" si="192"/>
        <v/>
      </c>
      <c r="N944" s="5" t="s">
        <v>490</v>
      </c>
      <c r="O944" s="5" t="s">
        <v>81</v>
      </c>
      <c r="P944" s="5">
        <v>0</v>
      </c>
      <c r="Q944" s="5">
        <v>0</v>
      </c>
      <c r="R944" s="5" t="str">
        <f t="shared" si="184"/>
        <v>361-2024-12-31</v>
      </c>
    </row>
    <row r="945" spans="1:18" x14ac:dyDescent="0.3">
      <c r="A945" s="39">
        <v>362</v>
      </c>
      <c r="B945" s="5" t="s">
        <v>460</v>
      </c>
      <c r="C945" s="5" t="s">
        <v>249</v>
      </c>
      <c r="D945" s="5" t="s">
        <v>8</v>
      </c>
      <c r="E945" s="5" t="s">
        <v>9</v>
      </c>
      <c r="F945" s="6">
        <v>45291</v>
      </c>
      <c r="G945" s="5">
        <f t="shared" si="182"/>
        <v>2023</v>
      </c>
      <c r="H945" s="5" t="str">
        <f t="shared" si="189"/>
        <v>Diciembre</v>
      </c>
      <c r="I945" s="6" t="str">
        <f t="shared" si="188"/>
        <v>2023-2</v>
      </c>
      <c r="J945" s="5">
        <v>100</v>
      </c>
      <c r="K945" s="5">
        <v>99.16</v>
      </c>
      <c r="L945" s="21">
        <f>IFERROR(K945/J945,"")</f>
        <v>0.99159999999999993</v>
      </c>
      <c r="M945" s="15">
        <f t="shared" si="192"/>
        <v>0.99159999999999993</v>
      </c>
      <c r="N945" s="5" t="s">
        <v>347</v>
      </c>
      <c r="O945" s="5" t="s">
        <v>347</v>
      </c>
      <c r="P945" s="5">
        <v>0</v>
      </c>
      <c r="Q945" s="5">
        <v>0</v>
      </c>
      <c r="R945" s="5" t="str">
        <f t="shared" si="184"/>
        <v>362-2023-12-31</v>
      </c>
    </row>
    <row r="946" spans="1:18" x14ac:dyDescent="0.3">
      <c r="A946" s="5">
        <v>362</v>
      </c>
      <c r="B946" s="5" t="s">
        <v>460</v>
      </c>
      <c r="C946" s="5" t="s">
        <v>762</v>
      </c>
      <c r="D946" s="5" t="s">
        <v>8</v>
      </c>
      <c r="E946" s="5" t="s">
        <v>9</v>
      </c>
      <c r="F946" s="6">
        <v>45473</v>
      </c>
      <c r="G946" s="5">
        <f t="shared" ref="G946:G1008" si="193">YEAR(F946)</f>
        <v>2024</v>
      </c>
      <c r="H946" s="5" t="str">
        <f t="shared" si="189"/>
        <v>Junio</v>
      </c>
      <c r="I946" s="6" t="str">
        <f t="shared" si="188"/>
        <v>2024-1</v>
      </c>
      <c r="J946" s="5">
        <v>98</v>
      </c>
      <c r="K946" s="5">
        <v>99.584323040379999</v>
      </c>
      <c r="L946" s="15">
        <f>IFERROR(IF((K946/J946)&gt;1.3,1.3,K946/J946),"")</f>
        <v>1.0161665616365305</v>
      </c>
      <c r="M946" s="15">
        <f t="shared" si="192"/>
        <v>1.0161665616365305</v>
      </c>
      <c r="N946" s="5" t="s">
        <v>347</v>
      </c>
      <c r="O946" s="5" t="s">
        <v>347</v>
      </c>
      <c r="P946" s="5">
        <v>0</v>
      </c>
      <c r="Q946" s="5">
        <v>0</v>
      </c>
      <c r="R946" s="5" t="str">
        <f t="shared" si="184"/>
        <v>362-2024-06-30</v>
      </c>
    </row>
    <row r="947" spans="1:18" x14ac:dyDescent="0.3">
      <c r="A947" s="5">
        <v>362</v>
      </c>
      <c r="B947" s="5" t="s">
        <v>460</v>
      </c>
      <c r="C947" s="5" t="s">
        <v>762</v>
      </c>
      <c r="D947" s="5" t="s">
        <v>8</v>
      </c>
      <c r="E947" s="5" t="s">
        <v>9</v>
      </c>
      <c r="F947" s="6">
        <v>45657</v>
      </c>
      <c r="G947" s="5">
        <f t="shared" si="193"/>
        <v>2024</v>
      </c>
      <c r="H947" s="5" t="str">
        <f t="shared" si="189"/>
        <v>Diciembre</v>
      </c>
      <c r="I947" s="6" t="str">
        <f t="shared" si="188"/>
        <v>2024-2</v>
      </c>
      <c r="J947" s="5">
        <v>98</v>
      </c>
      <c r="K947" s="5">
        <v>99.49</v>
      </c>
      <c r="L947" s="15">
        <f>IFERROR(IF((K947/J947)&gt;1.3,1.3,K947/J947),"")</f>
        <v>1.0152040816326531</v>
      </c>
      <c r="M947" s="15">
        <f t="shared" si="192"/>
        <v>1.0152040816326531</v>
      </c>
      <c r="N947" s="5" t="s">
        <v>347</v>
      </c>
      <c r="O947" s="5" t="s">
        <v>347</v>
      </c>
      <c r="P947" s="5">
        <v>0</v>
      </c>
      <c r="Q947" s="5">
        <v>0</v>
      </c>
      <c r="R947" s="5" t="str">
        <f t="shared" si="184"/>
        <v>362-2024-12-31</v>
      </c>
    </row>
    <row r="948" spans="1:18" x14ac:dyDescent="0.3">
      <c r="A948" s="43">
        <v>363</v>
      </c>
      <c r="B948" s="5" t="s">
        <v>250</v>
      </c>
      <c r="C948" s="5" t="s">
        <v>251</v>
      </c>
      <c r="D948" s="5" t="s">
        <v>8</v>
      </c>
      <c r="E948" s="5" t="s">
        <v>9</v>
      </c>
      <c r="F948" s="6">
        <v>45107</v>
      </c>
      <c r="G948" s="5">
        <f t="shared" si="193"/>
        <v>2023</v>
      </c>
      <c r="H948" s="5" t="str">
        <f t="shared" si="189"/>
        <v>Junio</v>
      </c>
      <c r="I948" s="6" t="str">
        <f t="shared" si="188"/>
        <v>2023-1</v>
      </c>
      <c r="J948" s="5">
        <v>0</v>
      </c>
      <c r="K948" s="5">
        <v>0</v>
      </c>
      <c r="L948" s="21" t="s">
        <v>417</v>
      </c>
      <c r="M948" s="15" t="str">
        <f t="shared" si="192"/>
        <v/>
      </c>
      <c r="N948" s="5"/>
      <c r="O948" s="5"/>
      <c r="P948" s="5">
        <v>0</v>
      </c>
      <c r="Q948" s="5">
        <v>0</v>
      </c>
      <c r="R948" s="5" t="str">
        <f t="shared" si="184"/>
        <v>363-2023-06-30</v>
      </c>
    </row>
    <row r="949" spans="1:18" x14ac:dyDescent="0.3">
      <c r="A949" s="39">
        <v>363</v>
      </c>
      <c r="B949" s="5" t="s">
        <v>250</v>
      </c>
      <c r="C949" s="5" t="s">
        <v>251</v>
      </c>
      <c r="D949" s="5" t="s">
        <v>8</v>
      </c>
      <c r="E949" s="5" t="s">
        <v>9</v>
      </c>
      <c r="F949" s="6">
        <v>45291</v>
      </c>
      <c r="G949" s="5">
        <f t="shared" si="193"/>
        <v>2023</v>
      </c>
      <c r="H949" s="5" t="str">
        <f t="shared" si="189"/>
        <v>Diciembre</v>
      </c>
      <c r="I949" s="6" t="str">
        <f t="shared" si="188"/>
        <v>2023-2</v>
      </c>
      <c r="J949" s="5">
        <v>0</v>
      </c>
      <c r="K949" s="5">
        <v>0</v>
      </c>
      <c r="L949" s="21" t="str">
        <f>IFERROR(K949/J949,"")</f>
        <v/>
      </c>
      <c r="M949" s="15" t="str">
        <f t="shared" si="192"/>
        <v/>
      </c>
      <c r="N949" s="5"/>
      <c r="O949" s="5"/>
      <c r="P949" s="5">
        <v>0</v>
      </c>
      <c r="Q949" s="5">
        <v>0</v>
      </c>
      <c r="R949" s="5" t="str">
        <f t="shared" si="184"/>
        <v>363-2023-12-31</v>
      </c>
    </row>
    <row r="950" spans="1:18" x14ac:dyDescent="0.3">
      <c r="A950" s="5">
        <v>363</v>
      </c>
      <c r="B950" s="5" t="s">
        <v>250</v>
      </c>
      <c r="C950" s="5" t="s">
        <v>762</v>
      </c>
      <c r="D950" s="5" t="s">
        <v>8</v>
      </c>
      <c r="E950" s="5" t="s">
        <v>9</v>
      </c>
      <c r="F950" s="6">
        <v>45473</v>
      </c>
      <c r="G950" s="5">
        <f t="shared" si="193"/>
        <v>2024</v>
      </c>
      <c r="H950" s="5" t="str">
        <f t="shared" si="189"/>
        <v>Junio</v>
      </c>
      <c r="I950" s="6" t="str">
        <f t="shared" si="188"/>
        <v>2024-1</v>
      </c>
      <c r="J950" s="5">
        <v>100</v>
      </c>
      <c r="K950" s="5">
        <v>100</v>
      </c>
      <c r="L950" s="15">
        <f>IFERROR(IF((K950/J950)&gt;1.3,1.3,K950/J950),"")</f>
        <v>1</v>
      </c>
      <c r="M950" s="15">
        <f t="shared" si="192"/>
        <v>1</v>
      </c>
      <c r="N950" s="5"/>
      <c r="O950" s="5"/>
      <c r="P950" s="5">
        <v>0</v>
      </c>
      <c r="Q950" s="5">
        <v>0</v>
      </c>
      <c r="R950" s="5" t="str">
        <f t="shared" si="184"/>
        <v>363-2024-06-30</v>
      </c>
    </row>
    <row r="951" spans="1:18" x14ac:dyDescent="0.3">
      <c r="A951" s="5">
        <v>363</v>
      </c>
      <c r="B951" s="5" t="s">
        <v>250</v>
      </c>
      <c r="C951" s="5" t="s">
        <v>762</v>
      </c>
      <c r="D951" s="5" t="s">
        <v>8</v>
      </c>
      <c r="E951" s="5" t="s">
        <v>9</v>
      </c>
      <c r="F951" s="6">
        <v>45657</v>
      </c>
      <c r="G951" s="5">
        <f t="shared" si="193"/>
        <v>2024</v>
      </c>
      <c r="H951" s="5" t="str">
        <f t="shared" si="189"/>
        <v>Diciembre</v>
      </c>
      <c r="I951" s="6" t="str">
        <f t="shared" si="188"/>
        <v>2024-2</v>
      </c>
      <c r="J951" s="5">
        <v>100</v>
      </c>
      <c r="K951" s="5">
        <v>100</v>
      </c>
      <c r="L951" s="15">
        <f>IFERROR(IF((K951/J951)&gt;1.3,1.3,K951/J951),"")</f>
        <v>1</v>
      </c>
      <c r="M951" s="15">
        <f t="shared" si="192"/>
        <v>1</v>
      </c>
      <c r="N951" s="5"/>
      <c r="O951" s="5"/>
      <c r="P951" s="5">
        <v>0</v>
      </c>
      <c r="Q951" s="5">
        <v>0</v>
      </c>
      <c r="R951" s="5" t="str">
        <f t="shared" si="184"/>
        <v>363-2024-12-31</v>
      </c>
    </row>
    <row r="952" spans="1:18" x14ac:dyDescent="0.3">
      <c r="A952" s="5">
        <v>364</v>
      </c>
      <c r="B952" s="5" t="s">
        <v>252</v>
      </c>
      <c r="C952" s="5" t="s">
        <v>248</v>
      </c>
      <c r="D952" s="5" t="s">
        <v>8</v>
      </c>
      <c r="E952" s="5" t="s">
        <v>14</v>
      </c>
      <c r="F952" s="17">
        <v>45107</v>
      </c>
      <c r="G952" s="16">
        <f t="shared" si="193"/>
        <v>2023</v>
      </c>
      <c r="H952" s="6" t="str">
        <f t="shared" si="189"/>
        <v>Junio</v>
      </c>
      <c r="I952" s="41" t="s">
        <v>422</v>
      </c>
      <c r="J952" s="5">
        <v>0</v>
      </c>
      <c r="K952" s="5">
        <v>30173</v>
      </c>
      <c r="L952" s="15">
        <f>IFERROR(IF((J952/K952)&gt;1.3,1.3,J952/K952),"")</f>
        <v>0</v>
      </c>
      <c r="M952" s="15">
        <f>IFERROR(J952/K952,"")</f>
        <v>0</v>
      </c>
      <c r="N952" s="5" t="s">
        <v>487</v>
      </c>
      <c r="O952" s="5" t="s">
        <v>490</v>
      </c>
      <c r="P952" s="5">
        <v>0</v>
      </c>
      <c r="Q952" s="5">
        <v>0</v>
      </c>
      <c r="R952" s="5" t="str">
        <f t="shared" si="184"/>
        <v>364-2023-06-30</v>
      </c>
    </row>
    <row r="953" spans="1:18" x14ac:dyDescent="0.3">
      <c r="A953" s="39">
        <v>364</v>
      </c>
      <c r="B953" s="5" t="s">
        <v>252</v>
      </c>
      <c r="C953" s="5" t="s">
        <v>248</v>
      </c>
      <c r="D953" s="5" t="s">
        <v>8</v>
      </c>
      <c r="E953" s="5" t="s">
        <v>14</v>
      </c>
      <c r="F953" s="6">
        <v>45291</v>
      </c>
      <c r="G953" s="5">
        <f t="shared" si="193"/>
        <v>2023</v>
      </c>
      <c r="H953" s="5" t="str">
        <f t="shared" si="189"/>
        <v>Diciembre</v>
      </c>
      <c r="I953" s="6" t="str">
        <f t="shared" ref="I953:I963" si="194">IF(OR(H953="Enero",H953="Febrero",H953="Marzo",H953="Abril",H953="Mayo",H953="Junio"),G953&amp;"-1",IF(OR(H953="Julio",H953="Agosto",H953="Septiembre",H953="Octubre",H953="Noviembre",H953="Diciembre"),G953&amp;"-2"))</f>
        <v>2023-2</v>
      </c>
      <c r="J953" s="5">
        <v>0</v>
      </c>
      <c r="K953" s="5">
        <v>48277</v>
      </c>
      <c r="L953" s="15">
        <f>IFERROR(IF((J953/K953)&gt;1.3,1.3,J953/K953),"")</f>
        <v>0</v>
      </c>
      <c r="M953" s="15">
        <f>IFERROR(J953/K953,"")</f>
        <v>0</v>
      </c>
      <c r="N953" s="5" t="s">
        <v>487</v>
      </c>
      <c r="O953" s="5" t="s">
        <v>490</v>
      </c>
      <c r="P953" s="5">
        <v>0</v>
      </c>
      <c r="Q953" s="5">
        <v>0</v>
      </c>
      <c r="R953" s="5" t="str">
        <f t="shared" si="184"/>
        <v>364-2023-12-31</v>
      </c>
    </row>
    <row r="954" spans="1:18" x14ac:dyDescent="0.3">
      <c r="A954" s="5">
        <v>364</v>
      </c>
      <c r="B954" s="5" t="s">
        <v>252</v>
      </c>
      <c r="C954" s="5" t="s">
        <v>248</v>
      </c>
      <c r="D954" s="5" t="s">
        <v>8</v>
      </c>
      <c r="E954" s="5" t="s">
        <v>9</v>
      </c>
      <c r="F954" s="6">
        <v>45473</v>
      </c>
      <c r="G954" s="5">
        <f t="shared" si="193"/>
        <v>2024</v>
      </c>
      <c r="H954" s="5" t="str">
        <f t="shared" si="189"/>
        <v>Junio</v>
      </c>
      <c r="I954" s="6" t="str">
        <f t="shared" si="194"/>
        <v>2024-1</v>
      </c>
      <c r="J954" s="10">
        <v>31694</v>
      </c>
      <c r="K954" s="10">
        <v>42069</v>
      </c>
      <c r="L954" s="15">
        <v>1.0135135135135136</v>
      </c>
      <c r="M954" s="15">
        <v>1.0135135135135136</v>
      </c>
      <c r="N954" s="5" t="s">
        <v>490</v>
      </c>
      <c r="O954" s="5" t="s">
        <v>490</v>
      </c>
      <c r="P954" s="5">
        <v>0</v>
      </c>
      <c r="Q954" s="5">
        <v>0</v>
      </c>
      <c r="R954" s="5" t="str">
        <f t="shared" si="184"/>
        <v>364-2024-06-30</v>
      </c>
    </row>
    <row r="955" spans="1:18" x14ac:dyDescent="0.3">
      <c r="A955" s="5">
        <v>364</v>
      </c>
      <c r="B955" s="5" t="s">
        <v>252</v>
      </c>
      <c r="C955" s="5" t="s">
        <v>248</v>
      </c>
      <c r="D955" s="5" t="s">
        <v>8</v>
      </c>
      <c r="E955" s="5" t="s">
        <v>9</v>
      </c>
      <c r="F955" s="6">
        <v>45657</v>
      </c>
      <c r="G955" s="5">
        <f t="shared" si="193"/>
        <v>2024</v>
      </c>
      <c r="H955" s="5" t="str">
        <f t="shared" si="189"/>
        <v>Diciembre</v>
      </c>
      <c r="I955" s="6" t="str">
        <f t="shared" si="194"/>
        <v>2024-2</v>
      </c>
      <c r="J955" s="10">
        <v>47541</v>
      </c>
      <c r="K955" s="10">
        <v>46635</v>
      </c>
      <c r="L955" s="15">
        <f>IFERROR(IF((K955/J955)&gt;1.3,1.3,K955/J955),"")</f>
        <v>0.98094276519214996</v>
      </c>
      <c r="M955" s="15">
        <f t="shared" ref="M955:M991" si="195">IFERROR(K955/J955,"")</f>
        <v>0.98094276519214996</v>
      </c>
      <c r="N955" s="5" t="s">
        <v>490</v>
      </c>
      <c r="O955" s="5" t="s">
        <v>490</v>
      </c>
      <c r="P955" s="5">
        <v>0</v>
      </c>
      <c r="Q955" s="5">
        <v>0</v>
      </c>
      <c r="R955" s="5" t="str">
        <f t="shared" si="184"/>
        <v>364-2024-12-31</v>
      </c>
    </row>
    <row r="956" spans="1:18" x14ac:dyDescent="0.3">
      <c r="A956" s="39">
        <v>365</v>
      </c>
      <c r="B956" s="5" t="s">
        <v>461</v>
      </c>
      <c r="C956" s="5" t="s">
        <v>249</v>
      </c>
      <c r="D956" s="5" t="s">
        <v>8</v>
      </c>
      <c r="E956" s="5" t="s">
        <v>9</v>
      </c>
      <c r="F956" s="6">
        <v>45291</v>
      </c>
      <c r="G956" s="5">
        <f t="shared" si="193"/>
        <v>2023</v>
      </c>
      <c r="H956" s="5" t="str">
        <f t="shared" si="189"/>
        <v>Diciembre</v>
      </c>
      <c r="I956" s="6" t="str">
        <f t="shared" si="194"/>
        <v>2023-2</v>
      </c>
      <c r="J956" s="5">
        <v>100</v>
      </c>
      <c r="K956" s="5">
        <v>100</v>
      </c>
      <c r="L956" s="21">
        <f>IFERROR(K956/J956,"")</f>
        <v>1</v>
      </c>
      <c r="M956" s="15">
        <f t="shared" si="195"/>
        <v>1</v>
      </c>
      <c r="N956" s="5" t="s">
        <v>347</v>
      </c>
      <c r="O956" s="5" t="s">
        <v>347</v>
      </c>
      <c r="P956" s="5">
        <v>0</v>
      </c>
      <c r="Q956" s="5">
        <v>0</v>
      </c>
      <c r="R956" s="5" t="str">
        <f t="shared" si="184"/>
        <v>365-2023-12-31</v>
      </c>
    </row>
    <row r="957" spans="1:18" x14ac:dyDescent="0.3">
      <c r="A957" s="39">
        <v>366</v>
      </c>
      <c r="B957" s="5" t="s">
        <v>253</v>
      </c>
      <c r="C957" s="5" t="s">
        <v>249</v>
      </c>
      <c r="D957" s="5" t="s">
        <v>25</v>
      </c>
      <c r="E957" s="5" t="s">
        <v>9</v>
      </c>
      <c r="F957" s="6">
        <v>45291</v>
      </c>
      <c r="G957" s="5">
        <f t="shared" si="193"/>
        <v>2023</v>
      </c>
      <c r="H957" s="5" t="str">
        <f t="shared" si="189"/>
        <v>Diciembre</v>
      </c>
      <c r="I957" s="6" t="str">
        <f t="shared" si="194"/>
        <v>2023-2</v>
      </c>
      <c r="J957" s="5">
        <v>100</v>
      </c>
      <c r="K957" s="5">
        <v>100</v>
      </c>
      <c r="L957" s="21">
        <f>IFERROR(K957/J957,"")</f>
        <v>1</v>
      </c>
      <c r="M957" s="15">
        <f t="shared" si="195"/>
        <v>1</v>
      </c>
      <c r="N957" s="5"/>
      <c r="O957" s="5"/>
      <c r="P957" s="5">
        <v>0</v>
      </c>
      <c r="Q957" s="5">
        <v>0</v>
      </c>
      <c r="R957" s="5" t="str">
        <f t="shared" si="184"/>
        <v>366-2023-12-31</v>
      </c>
    </row>
    <row r="958" spans="1:18" x14ac:dyDescent="0.3">
      <c r="A958" s="5">
        <v>366</v>
      </c>
      <c r="B958" s="5" t="s">
        <v>253</v>
      </c>
      <c r="C958" s="5" t="s">
        <v>762</v>
      </c>
      <c r="D958" s="5" t="s">
        <v>25</v>
      </c>
      <c r="E958" s="5" t="s">
        <v>9</v>
      </c>
      <c r="F958" s="6">
        <v>45657</v>
      </c>
      <c r="G958" s="5">
        <f t="shared" si="193"/>
        <v>2024</v>
      </c>
      <c r="H958" s="5" t="str">
        <f t="shared" si="189"/>
        <v>Diciembre</v>
      </c>
      <c r="I958" s="6" t="str">
        <f t="shared" si="194"/>
        <v>2024-2</v>
      </c>
      <c r="J958" s="5">
        <v>100</v>
      </c>
      <c r="K958" s="5">
        <v>100</v>
      </c>
      <c r="L958" s="15">
        <f>IFERROR(IF((K958/J958)&gt;1.3,1.3,K958/J958),"")</f>
        <v>1</v>
      </c>
      <c r="M958" s="15">
        <f t="shared" si="195"/>
        <v>1</v>
      </c>
      <c r="N958" s="5"/>
      <c r="O958" s="5"/>
      <c r="P958" s="5">
        <v>0</v>
      </c>
      <c r="Q958" s="5">
        <v>0</v>
      </c>
      <c r="R958" s="5" t="str">
        <f t="shared" si="184"/>
        <v>366-2024-12-31</v>
      </c>
    </row>
    <row r="959" spans="1:18" x14ac:dyDescent="0.3">
      <c r="A959" s="39">
        <v>367</v>
      </c>
      <c r="B959" s="5" t="s">
        <v>254</v>
      </c>
      <c r="C959" s="5" t="s">
        <v>248</v>
      </c>
      <c r="D959" s="5" t="s">
        <v>25</v>
      </c>
      <c r="E959" s="5" t="s">
        <v>9</v>
      </c>
      <c r="F959" s="6">
        <v>45291</v>
      </c>
      <c r="G959" s="5">
        <f t="shared" si="193"/>
        <v>2023</v>
      </c>
      <c r="H959" s="5" t="str">
        <f t="shared" si="189"/>
        <v>Diciembre</v>
      </c>
      <c r="I959" s="6" t="str">
        <f t="shared" si="194"/>
        <v>2023-2</v>
      </c>
      <c r="J959" s="5">
        <v>5</v>
      </c>
      <c r="K959" s="5">
        <v>6.25</v>
      </c>
      <c r="L959" s="21">
        <f>IFERROR(K959/J959,"")</f>
        <v>1.25</v>
      </c>
      <c r="M959" s="15">
        <f t="shared" si="195"/>
        <v>1.25</v>
      </c>
      <c r="N959" s="5" t="s">
        <v>347</v>
      </c>
      <c r="O959" s="5" t="s">
        <v>347</v>
      </c>
      <c r="P959" s="5">
        <v>2</v>
      </c>
      <c r="Q959" s="5">
        <v>2</v>
      </c>
      <c r="R959" s="5" t="str">
        <f t="shared" si="184"/>
        <v>367-2023-12-31</v>
      </c>
    </row>
    <row r="960" spans="1:18" x14ac:dyDescent="0.3">
      <c r="A960" s="39">
        <v>367</v>
      </c>
      <c r="B960" s="5" t="s">
        <v>254</v>
      </c>
      <c r="C960" s="5" t="s">
        <v>248</v>
      </c>
      <c r="D960" s="5" t="s">
        <v>25</v>
      </c>
      <c r="E960" s="5" t="s">
        <v>9</v>
      </c>
      <c r="F960" s="6">
        <v>45657</v>
      </c>
      <c r="G960" s="5">
        <f t="shared" si="193"/>
        <v>2024</v>
      </c>
      <c r="H960" s="5" t="str">
        <f t="shared" si="189"/>
        <v>Diciembre</v>
      </c>
      <c r="I960" s="6" t="str">
        <f t="shared" si="194"/>
        <v>2024-2</v>
      </c>
      <c r="J960" s="5">
        <v>5</v>
      </c>
      <c r="K960" s="5">
        <v>4.96</v>
      </c>
      <c r="L960" s="21">
        <f>IFERROR(K960/J960,"")</f>
        <v>0.99199999999999999</v>
      </c>
      <c r="M960" s="15">
        <f t="shared" si="195"/>
        <v>0.99199999999999999</v>
      </c>
      <c r="N960" s="5" t="s">
        <v>347</v>
      </c>
      <c r="O960" s="5" t="s">
        <v>347</v>
      </c>
      <c r="P960" s="5">
        <v>2</v>
      </c>
      <c r="Q960" s="5">
        <v>2</v>
      </c>
      <c r="R960" s="5" t="str">
        <f t="shared" si="184"/>
        <v>367-2024-12-31</v>
      </c>
    </row>
    <row r="961" spans="1:18" x14ac:dyDescent="0.3">
      <c r="A961" s="39">
        <v>368</v>
      </c>
      <c r="B961" s="5" t="s">
        <v>255</v>
      </c>
      <c r="C961" s="5" t="s">
        <v>256</v>
      </c>
      <c r="D961" s="5" t="s">
        <v>11</v>
      </c>
      <c r="E961" s="5" t="s">
        <v>9</v>
      </c>
      <c r="F961" s="6">
        <v>45291</v>
      </c>
      <c r="G961" s="5">
        <f t="shared" si="193"/>
        <v>2023</v>
      </c>
      <c r="H961" s="5" t="str">
        <f t="shared" si="189"/>
        <v>Diciembre</v>
      </c>
      <c r="I961" s="6" t="str">
        <f t="shared" si="194"/>
        <v>2023-2</v>
      </c>
      <c r="J961" s="5">
        <v>90</v>
      </c>
      <c r="K961" s="5">
        <v>94.5</v>
      </c>
      <c r="L961" s="21">
        <f>IFERROR(K961/J961,"")</f>
        <v>1.05</v>
      </c>
      <c r="M961" s="15">
        <f t="shared" si="195"/>
        <v>1.05</v>
      </c>
      <c r="N961" s="5" t="s">
        <v>347</v>
      </c>
      <c r="O961" s="5" t="s">
        <v>347</v>
      </c>
      <c r="P961" s="5">
        <v>0</v>
      </c>
      <c r="Q961" s="5">
        <v>0</v>
      </c>
      <c r="R961" s="5" t="str">
        <f t="shared" si="184"/>
        <v>368-2023-12-31</v>
      </c>
    </row>
    <row r="962" spans="1:18" x14ac:dyDescent="0.3">
      <c r="A962" s="5">
        <v>368</v>
      </c>
      <c r="B962" s="5" t="s">
        <v>255</v>
      </c>
      <c r="C962" s="5" t="s">
        <v>256</v>
      </c>
      <c r="D962" s="5" t="s">
        <v>11</v>
      </c>
      <c r="E962" s="5" t="s">
        <v>9</v>
      </c>
      <c r="F962" s="6">
        <v>45473</v>
      </c>
      <c r="G962" s="5">
        <f t="shared" si="193"/>
        <v>2024</v>
      </c>
      <c r="H962" s="5" t="str">
        <f t="shared" si="189"/>
        <v>Junio</v>
      </c>
      <c r="I962" s="6" t="str">
        <f t="shared" si="194"/>
        <v>2024-1</v>
      </c>
      <c r="J962" s="5">
        <v>90</v>
      </c>
      <c r="K962" s="5">
        <v>95</v>
      </c>
      <c r="L962" s="15">
        <f t="shared" ref="L962:L967" si="196">IFERROR(IF((K962/J962)&gt;1.3,1.3,K962/J962),"")</f>
        <v>1.0555555555555556</v>
      </c>
      <c r="M962" s="15">
        <f t="shared" si="195"/>
        <v>1.0555555555555556</v>
      </c>
      <c r="N962" s="5" t="s">
        <v>347</v>
      </c>
      <c r="O962" s="5" t="s">
        <v>347</v>
      </c>
      <c r="P962" s="5">
        <v>0</v>
      </c>
      <c r="Q962" s="5">
        <v>0</v>
      </c>
      <c r="R962" s="5" t="str">
        <f t="shared" ref="R962:R1015" si="197">A962&amp;"-"&amp;YEAR(F962)&amp;"-"&amp;IF(LEN(MONTH(F962))=1,"0"&amp;MONTH(F962),MONTH(F962))&amp;"-"&amp;DAY(F962)</f>
        <v>368-2024-06-30</v>
      </c>
    </row>
    <row r="963" spans="1:18" x14ac:dyDescent="0.3">
      <c r="A963" s="5">
        <v>368</v>
      </c>
      <c r="B963" s="5" t="s">
        <v>255</v>
      </c>
      <c r="C963" s="5" t="s">
        <v>256</v>
      </c>
      <c r="D963" s="5" t="s">
        <v>11</v>
      </c>
      <c r="E963" s="5" t="s">
        <v>9</v>
      </c>
      <c r="F963" s="6">
        <v>45657</v>
      </c>
      <c r="G963" s="5">
        <f t="shared" si="193"/>
        <v>2024</v>
      </c>
      <c r="H963" s="5" t="str">
        <f t="shared" si="189"/>
        <v>Diciembre</v>
      </c>
      <c r="I963" s="6" t="str">
        <f t="shared" si="194"/>
        <v>2024-2</v>
      </c>
      <c r="J963" s="5">
        <v>90</v>
      </c>
      <c r="K963" s="5">
        <v>94</v>
      </c>
      <c r="L963" s="15">
        <f t="shared" si="196"/>
        <v>1.0444444444444445</v>
      </c>
      <c r="M963" s="15">
        <f t="shared" si="195"/>
        <v>1.0444444444444445</v>
      </c>
      <c r="N963" s="5" t="s">
        <v>347</v>
      </c>
      <c r="O963" s="5" t="s">
        <v>347</v>
      </c>
      <c r="P963" s="5">
        <v>0</v>
      </c>
      <c r="Q963" s="5">
        <v>0</v>
      </c>
      <c r="R963" s="5" t="str">
        <f t="shared" si="197"/>
        <v>368-2024-12-31</v>
      </c>
    </row>
    <row r="964" spans="1:18" x14ac:dyDescent="0.3">
      <c r="A964" s="5">
        <v>369</v>
      </c>
      <c r="B964" s="5" t="s">
        <v>257</v>
      </c>
      <c r="C964" s="5" t="s">
        <v>248</v>
      </c>
      <c r="D964" s="5" t="s">
        <v>8</v>
      </c>
      <c r="E964" s="5" t="s">
        <v>9</v>
      </c>
      <c r="F964" s="17">
        <v>45107</v>
      </c>
      <c r="G964" s="16">
        <f t="shared" si="193"/>
        <v>2023</v>
      </c>
      <c r="H964" s="6" t="str">
        <f t="shared" si="189"/>
        <v>Junio</v>
      </c>
      <c r="I964" s="41" t="s">
        <v>422</v>
      </c>
      <c r="J964" s="5">
        <v>0</v>
      </c>
      <c r="K964" s="5">
        <v>78</v>
      </c>
      <c r="L964" s="15" t="str">
        <f t="shared" si="196"/>
        <v/>
      </c>
      <c r="M964" s="15" t="str">
        <f t="shared" si="195"/>
        <v/>
      </c>
      <c r="N964" s="5" t="s">
        <v>477</v>
      </c>
      <c r="O964" s="5" t="s">
        <v>490</v>
      </c>
      <c r="P964" s="5">
        <v>0</v>
      </c>
      <c r="Q964" s="5">
        <v>0</v>
      </c>
      <c r="R964" s="5" t="str">
        <f t="shared" si="197"/>
        <v>369-2023-06-30</v>
      </c>
    </row>
    <row r="965" spans="1:18" x14ac:dyDescent="0.3">
      <c r="A965" s="39">
        <v>369</v>
      </c>
      <c r="B965" s="5" t="s">
        <v>257</v>
      </c>
      <c r="C965" s="5" t="s">
        <v>248</v>
      </c>
      <c r="D965" s="5" t="s">
        <v>8</v>
      </c>
      <c r="E965" s="5" t="s">
        <v>9</v>
      </c>
      <c r="F965" s="6">
        <v>45291</v>
      </c>
      <c r="G965" s="5">
        <f t="shared" si="193"/>
        <v>2023</v>
      </c>
      <c r="H965" s="5" t="str">
        <f t="shared" si="189"/>
        <v>Diciembre</v>
      </c>
      <c r="I965" s="6" t="str">
        <f t="shared" ref="I965:I987" si="198">IF(OR(H965="Enero",H965="Febrero",H965="Marzo",H965="Abril",H965="Mayo",H965="Junio"),G965&amp;"-1",IF(OR(H965="Julio",H965="Agosto",H965="Septiembre",H965="Octubre",H965="Noviembre",H965="Diciembre"),G965&amp;"-2"))</f>
        <v>2023-2</v>
      </c>
      <c r="J965" s="5">
        <v>0</v>
      </c>
      <c r="K965" s="5">
        <v>96</v>
      </c>
      <c r="L965" s="15" t="str">
        <f t="shared" si="196"/>
        <v/>
      </c>
      <c r="M965" s="15" t="str">
        <f t="shared" si="195"/>
        <v/>
      </c>
      <c r="N965" s="5" t="s">
        <v>477</v>
      </c>
      <c r="O965" s="5" t="s">
        <v>490</v>
      </c>
      <c r="P965" s="5">
        <v>0</v>
      </c>
      <c r="Q965" s="5">
        <v>0</v>
      </c>
      <c r="R965" s="5" t="str">
        <f t="shared" si="197"/>
        <v>369-2023-12-31</v>
      </c>
    </row>
    <row r="966" spans="1:18" x14ac:dyDescent="0.3">
      <c r="A966" s="5">
        <v>369</v>
      </c>
      <c r="B966" s="5" t="s">
        <v>257</v>
      </c>
      <c r="C966" s="5" t="s">
        <v>248</v>
      </c>
      <c r="D966" s="5" t="s">
        <v>8</v>
      </c>
      <c r="E966" s="5" t="s">
        <v>9</v>
      </c>
      <c r="F966" s="17">
        <v>45473</v>
      </c>
      <c r="G966" s="16">
        <f t="shared" si="193"/>
        <v>2024</v>
      </c>
      <c r="H966" s="6" t="str">
        <f t="shared" si="189"/>
        <v>Junio</v>
      </c>
      <c r="I966" s="6" t="str">
        <f t="shared" si="198"/>
        <v>2024-1</v>
      </c>
      <c r="J966" s="5">
        <v>80</v>
      </c>
      <c r="K966" s="5">
        <v>61</v>
      </c>
      <c r="L966" s="15">
        <f t="shared" si="196"/>
        <v>0.76249999999999996</v>
      </c>
      <c r="M966" s="15">
        <f t="shared" si="195"/>
        <v>0.76249999999999996</v>
      </c>
      <c r="N966" s="5" t="s">
        <v>490</v>
      </c>
      <c r="O966" s="5" t="s">
        <v>490</v>
      </c>
      <c r="P966" s="5">
        <v>0</v>
      </c>
      <c r="Q966" s="5">
        <v>0</v>
      </c>
      <c r="R966" s="5" t="str">
        <f t="shared" si="197"/>
        <v>369-2024-06-30</v>
      </c>
    </row>
    <row r="967" spans="1:18" x14ac:dyDescent="0.3">
      <c r="A967" s="5">
        <v>369</v>
      </c>
      <c r="B967" s="5" t="s">
        <v>257</v>
      </c>
      <c r="C967" s="5" t="s">
        <v>248</v>
      </c>
      <c r="D967" s="5" t="s">
        <v>8</v>
      </c>
      <c r="E967" s="5" t="s">
        <v>9</v>
      </c>
      <c r="F967" s="6">
        <v>45657</v>
      </c>
      <c r="G967" s="16">
        <f t="shared" si="193"/>
        <v>2024</v>
      </c>
      <c r="H967" s="6" t="str">
        <f t="shared" si="189"/>
        <v>Diciembre</v>
      </c>
      <c r="I967" s="6" t="str">
        <f t="shared" si="198"/>
        <v>2024-2</v>
      </c>
      <c r="J967" s="5">
        <v>108</v>
      </c>
      <c r="K967" s="5">
        <v>77</v>
      </c>
      <c r="L967" s="15">
        <f t="shared" si="196"/>
        <v>0.71296296296296291</v>
      </c>
      <c r="M967" s="15">
        <f t="shared" si="195"/>
        <v>0.71296296296296291</v>
      </c>
      <c r="N967" s="5" t="s">
        <v>490</v>
      </c>
      <c r="O967" s="5" t="s">
        <v>490</v>
      </c>
      <c r="P967" s="5">
        <v>0</v>
      </c>
      <c r="Q967" s="5">
        <v>0</v>
      </c>
      <c r="R967" s="5" t="str">
        <f t="shared" si="197"/>
        <v>369-2024-12-31</v>
      </c>
    </row>
    <row r="968" spans="1:18" x14ac:dyDescent="0.3">
      <c r="A968" s="43">
        <v>370</v>
      </c>
      <c r="B968" s="5" t="s">
        <v>258</v>
      </c>
      <c r="C968" s="5" t="s">
        <v>248</v>
      </c>
      <c r="D968" s="5" t="s">
        <v>8</v>
      </c>
      <c r="E968" s="5" t="s">
        <v>9</v>
      </c>
      <c r="F968" s="6">
        <v>45107</v>
      </c>
      <c r="G968" s="5">
        <f t="shared" si="193"/>
        <v>2023</v>
      </c>
      <c r="H968" s="5" t="str">
        <f t="shared" si="189"/>
        <v>Junio</v>
      </c>
      <c r="I968" s="6" t="str">
        <f t="shared" si="198"/>
        <v>2023-1</v>
      </c>
      <c r="J968" s="5">
        <v>0</v>
      </c>
      <c r="K968" s="5">
        <v>0</v>
      </c>
      <c r="L968" s="21" t="s">
        <v>417</v>
      </c>
      <c r="M968" s="15" t="str">
        <f t="shared" si="195"/>
        <v/>
      </c>
      <c r="N968" s="5"/>
      <c r="O968" s="5"/>
      <c r="P968" s="5">
        <v>0</v>
      </c>
      <c r="Q968" s="5">
        <v>0</v>
      </c>
      <c r="R968" s="5" t="str">
        <f t="shared" si="197"/>
        <v>370-2023-06-30</v>
      </c>
    </row>
    <row r="969" spans="1:18" x14ac:dyDescent="0.3">
      <c r="A969" s="39">
        <v>370</v>
      </c>
      <c r="B969" s="5" t="s">
        <v>258</v>
      </c>
      <c r="C969" s="5" t="s">
        <v>248</v>
      </c>
      <c r="D969" s="5" t="s">
        <v>8</v>
      </c>
      <c r="E969" s="5" t="s">
        <v>9</v>
      </c>
      <c r="F969" s="6">
        <v>45291</v>
      </c>
      <c r="G969" s="5">
        <f t="shared" si="193"/>
        <v>2023</v>
      </c>
      <c r="H969" s="5" t="str">
        <f t="shared" si="189"/>
        <v>Diciembre</v>
      </c>
      <c r="I969" s="6" t="str">
        <f t="shared" si="198"/>
        <v>2023-2</v>
      </c>
      <c r="J969" s="5">
        <v>0</v>
      </c>
      <c r="K969" s="5">
        <v>0</v>
      </c>
      <c r="L969" s="21" t="str">
        <f>IFERROR(K969/J969,"")</f>
        <v/>
      </c>
      <c r="M969" s="15" t="str">
        <f t="shared" si="195"/>
        <v/>
      </c>
      <c r="N969" s="5"/>
      <c r="O969" s="5"/>
      <c r="P969" s="5">
        <v>0</v>
      </c>
      <c r="Q969" s="5">
        <v>0</v>
      </c>
      <c r="R969" s="5" t="str">
        <f t="shared" si="197"/>
        <v>370-2023-12-31</v>
      </c>
    </row>
    <row r="970" spans="1:18" x14ac:dyDescent="0.3">
      <c r="A970" s="43">
        <v>371</v>
      </c>
      <c r="B970" s="5" t="s">
        <v>259</v>
      </c>
      <c r="C970" s="5" t="s">
        <v>248</v>
      </c>
      <c r="D970" s="5" t="s">
        <v>8</v>
      </c>
      <c r="E970" s="5" t="s">
        <v>9</v>
      </c>
      <c r="F970" s="6">
        <v>45107</v>
      </c>
      <c r="G970" s="5">
        <f t="shared" si="193"/>
        <v>2023</v>
      </c>
      <c r="H970" s="5" t="str">
        <f t="shared" si="189"/>
        <v>Junio</v>
      </c>
      <c r="I970" s="6" t="str">
        <f t="shared" si="198"/>
        <v>2023-1</v>
      </c>
      <c r="J970" s="9">
        <v>2750000000</v>
      </c>
      <c r="K970" s="9">
        <v>4331325417</v>
      </c>
      <c r="L970" s="21" t="s">
        <v>417</v>
      </c>
      <c r="M970" s="15">
        <f t="shared" si="195"/>
        <v>1.5750274243636364</v>
      </c>
      <c r="N970" s="5" t="s">
        <v>474</v>
      </c>
      <c r="O970" s="5" t="s">
        <v>474</v>
      </c>
      <c r="P970" s="5">
        <v>0</v>
      </c>
      <c r="Q970" s="5">
        <v>0</v>
      </c>
      <c r="R970" s="5" t="str">
        <f t="shared" si="197"/>
        <v>371-2023-06-30</v>
      </c>
    </row>
    <row r="971" spans="1:18" x14ac:dyDescent="0.3">
      <c r="A971" s="39">
        <v>371</v>
      </c>
      <c r="B971" s="5" t="s">
        <v>259</v>
      </c>
      <c r="C971" s="5" t="s">
        <v>248</v>
      </c>
      <c r="D971" s="5" t="s">
        <v>8</v>
      </c>
      <c r="E971" s="5" t="s">
        <v>9</v>
      </c>
      <c r="F971" s="6">
        <v>45291</v>
      </c>
      <c r="G971" s="5">
        <f t="shared" si="193"/>
        <v>2023</v>
      </c>
      <c r="H971" s="5" t="str">
        <f t="shared" si="189"/>
        <v>Diciembre</v>
      </c>
      <c r="I971" s="6" t="str">
        <f t="shared" si="198"/>
        <v>2023-2</v>
      </c>
      <c r="J971" s="9">
        <v>2750000000</v>
      </c>
      <c r="K971" s="9">
        <v>5187526725</v>
      </c>
      <c r="L971" s="21">
        <f>IFERROR(K971/J971,"")</f>
        <v>1.8863733545454546</v>
      </c>
      <c r="M971" s="15">
        <f t="shared" si="195"/>
        <v>1.8863733545454546</v>
      </c>
      <c r="N971" s="5" t="s">
        <v>474</v>
      </c>
      <c r="O971" s="5" t="s">
        <v>474</v>
      </c>
      <c r="P971" s="5">
        <v>0</v>
      </c>
      <c r="Q971" s="5">
        <v>0</v>
      </c>
      <c r="R971" s="5" t="str">
        <f t="shared" si="197"/>
        <v>371-2023-12-31</v>
      </c>
    </row>
    <row r="972" spans="1:18" x14ac:dyDescent="0.3">
      <c r="A972" s="5">
        <v>371</v>
      </c>
      <c r="B972" s="5" t="s">
        <v>259</v>
      </c>
      <c r="C972" s="5" t="s">
        <v>248</v>
      </c>
      <c r="D972" s="5" t="s">
        <v>8</v>
      </c>
      <c r="E972" s="5" t="s">
        <v>9</v>
      </c>
      <c r="F972" s="6">
        <v>45473</v>
      </c>
      <c r="G972" s="5">
        <f t="shared" si="193"/>
        <v>2024</v>
      </c>
      <c r="H972" s="5" t="str">
        <f t="shared" si="189"/>
        <v>Junio</v>
      </c>
      <c r="I972" s="6" t="str">
        <f t="shared" si="198"/>
        <v>2024-1</v>
      </c>
      <c r="J972" s="11">
        <v>620023081</v>
      </c>
      <c r="K972" s="11">
        <v>928306953</v>
      </c>
      <c r="L972" s="15">
        <f>IFERROR(IF((K972/J972)&gt;1.3,1.3,K972/J972),"")</f>
        <v>1.3</v>
      </c>
      <c r="M972" s="15">
        <f t="shared" si="195"/>
        <v>1.4972135416358798</v>
      </c>
      <c r="N972" s="5" t="s">
        <v>474</v>
      </c>
      <c r="O972" s="5" t="s">
        <v>474</v>
      </c>
      <c r="P972" s="5">
        <v>0</v>
      </c>
      <c r="Q972" s="5">
        <v>0</v>
      </c>
      <c r="R972" s="5" t="str">
        <f t="shared" si="197"/>
        <v>371-2024-06-30</v>
      </c>
    </row>
    <row r="973" spans="1:18" x14ac:dyDescent="0.3">
      <c r="A973" s="5">
        <v>371</v>
      </c>
      <c r="B973" s="5" t="s">
        <v>259</v>
      </c>
      <c r="C973" s="5" t="s">
        <v>248</v>
      </c>
      <c r="D973" s="5" t="s">
        <v>8</v>
      </c>
      <c r="E973" s="5" t="s">
        <v>9</v>
      </c>
      <c r="F973" s="6">
        <v>45657</v>
      </c>
      <c r="G973" s="5">
        <f t="shared" si="193"/>
        <v>2024</v>
      </c>
      <c r="H973" s="5" t="str">
        <f t="shared" si="189"/>
        <v>Diciembre</v>
      </c>
      <c r="I973" s="6" t="str">
        <f t="shared" si="198"/>
        <v>2024-2</v>
      </c>
      <c r="J973" s="5">
        <v>1151471436.895</v>
      </c>
      <c r="K973" s="5">
        <v>1116821067</v>
      </c>
      <c r="L973" s="15">
        <f>IFERROR(IF((K973/J973)&gt;1.3,1.3,K973/J973),"")</f>
        <v>0.96990774691864134</v>
      </c>
      <c r="M973" s="15">
        <f t="shared" si="195"/>
        <v>0.96990774691864134</v>
      </c>
      <c r="N973" s="5" t="s">
        <v>474</v>
      </c>
      <c r="O973" s="5" t="s">
        <v>474</v>
      </c>
      <c r="P973" s="5">
        <v>0</v>
      </c>
      <c r="Q973" s="5">
        <v>0</v>
      </c>
      <c r="R973" s="5" t="str">
        <f t="shared" si="197"/>
        <v>371-2024-12-31</v>
      </c>
    </row>
    <row r="974" spans="1:18" x14ac:dyDescent="0.3">
      <c r="A974" s="43">
        <v>372</v>
      </c>
      <c r="B974" s="5" t="s">
        <v>260</v>
      </c>
      <c r="C974" s="5" t="s">
        <v>256</v>
      </c>
      <c r="D974" s="5" t="s">
        <v>11</v>
      </c>
      <c r="E974" s="5" t="s">
        <v>9</v>
      </c>
      <c r="F974" s="6">
        <v>45199</v>
      </c>
      <c r="G974" s="5">
        <f t="shared" si="193"/>
        <v>2023</v>
      </c>
      <c r="H974" s="5" t="str">
        <f t="shared" si="189"/>
        <v>Septiembre</v>
      </c>
      <c r="I974" s="6" t="str">
        <f t="shared" si="198"/>
        <v>2023-2</v>
      </c>
      <c r="J974" s="5">
        <v>87</v>
      </c>
      <c r="K974" s="5">
        <v>96</v>
      </c>
      <c r="L974" s="21">
        <f>IFERROR(K974/J974,"")</f>
        <v>1.103448275862069</v>
      </c>
      <c r="M974" s="15">
        <f t="shared" si="195"/>
        <v>1.103448275862069</v>
      </c>
      <c r="N974" s="5" t="s">
        <v>347</v>
      </c>
      <c r="O974" s="5" t="s">
        <v>347</v>
      </c>
      <c r="P974" s="5">
        <v>0</v>
      </c>
      <c r="Q974" s="5">
        <v>0</v>
      </c>
      <c r="R974" s="5" t="str">
        <f t="shared" si="197"/>
        <v>372-2023-09-30</v>
      </c>
    </row>
    <row r="975" spans="1:18" x14ac:dyDescent="0.3">
      <c r="A975" s="39">
        <v>372</v>
      </c>
      <c r="B975" s="5" t="s">
        <v>260</v>
      </c>
      <c r="C975" s="5" t="s">
        <v>256</v>
      </c>
      <c r="D975" s="5" t="s">
        <v>11</v>
      </c>
      <c r="E975" s="5" t="s">
        <v>9</v>
      </c>
      <c r="F975" s="6">
        <v>45291</v>
      </c>
      <c r="G975" s="5">
        <f t="shared" si="193"/>
        <v>2023</v>
      </c>
      <c r="H975" s="5" t="str">
        <f t="shared" si="189"/>
        <v>Diciembre</v>
      </c>
      <c r="I975" s="6" t="str">
        <f t="shared" si="198"/>
        <v>2023-2</v>
      </c>
      <c r="J975" s="5">
        <v>87</v>
      </c>
      <c r="K975" s="5">
        <v>95</v>
      </c>
      <c r="L975" s="21">
        <f>IFERROR(K975/J975,"")</f>
        <v>1.0919540229885059</v>
      </c>
      <c r="M975" s="15">
        <f t="shared" si="195"/>
        <v>1.0919540229885059</v>
      </c>
      <c r="N975" s="5" t="s">
        <v>347</v>
      </c>
      <c r="O975" s="5" t="s">
        <v>347</v>
      </c>
      <c r="P975" s="5">
        <v>0</v>
      </c>
      <c r="Q975" s="5">
        <v>0</v>
      </c>
      <c r="R975" s="5" t="str">
        <f t="shared" si="197"/>
        <v>372-2023-12-31</v>
      </c>
    </row>
    <row r="976" spans="1:18" x14ac:dyDescent="0.3">
      <c r="A976" s="5">
        <v>372</v>
      </c>
      <c r="B976" s="5" t="s">
        <v>260</v>
      </c>
      <c r="C976" s="5" t="s">
        <v>256</v>
      </c>
      <c r="D976" s="5" t="s">
        <v>11</v>
      </c>
      <c r="E976" s="5" t="s">
        <v>9</v>
      </c>
      <c r="F976" s="6">
        <v>45473</v>
      </c>
      <c r="G976" s="5">
        <f t="shared" si="193"/>
        <v>2024</v>
      </c>
      <c r="H976" s="5" t="str">
        <f t="shared" si="189"/>
        <v>Junio</v>
      </c>
      <c r="I976" s="6" t="str">
        <f t="shared" si="198"/>
        <v>2024-1</v>
      </c>
      <c r="J976" s="5">
        <v>87</v>
      </c>
      <c r="K976" s="5">
        <v>90</v>
      </c>
      <c r="L976" s="15">
        <f>IFERROR(IF((K976/J976)&gt;1.3,1.3,K976/J976),"")</f>
        <v>1.0344827586206897</v>
      </c>
      <c r="M976" s="15">
        <f t="shared" si="195"/>
        <v>1.0344827586206897</v>
      </c>
      <c r="N976" s="5" t="s">
        <v>347</v>
      </c>
      <c r="O976" s="5" t="s">
        <v>347</v>
      </c>
      <c r="P976" s="5">
        <v>0</v>
      </c>
      <c r="Q976" s="5">
        <v>0</v>
      </c>
      <c r="R976" s="5" t="str">
        <f t="shared" si="197"/>
        <v>372-2024-06-30</v>
      </c>
    </row>
    <row r="977" spans="1:18" x14ac:dyDescent="0.3">
      <c r="A977" s="5">
        <v>372</v>
      </c>
      <c r="B977" s="5" t="s">
        <v>260</v>
      </c>
      <c r="C977" s="5" t="s">
        <v>256</v>
      </c>
      <c r="D977" s="5" t="s">
        <v>11</v>
      </c>
      <c r="E977" s="5" t="s">
        <v>9</v>
      </c>
      <c r="F977" s="6">
        <v>45657</v>
      </c>
      <c r="G977" s="5">
        <f t="shared" si="193"/>
        <v>2024</v>
      </c>
      <c r="H977" s="5" t="str">
        <f t="shared" si="189"/>
        <v>Diciembre</v>
      </c>
      <c r="I977" s="6" t="str">
        <f t="shared" si="198"/>
        <v>2024-2</v>
      </c>
      <c r="J977" s="5">
        <v>87</v>
      </c>
      <c r="K977" s="5">
        <v>93</v>
      </c>
      <c r="L977" s="15">
        <f>IFERROR(IF((K977/J977)&gt;1.3,1.3,K977/J977),"")</f>
        <v>1.0689655172413792</v>
      </c>
      <c r="M977" s="15">
        <f t="shared" si="195"/>
        <v>1.0689655172413792</v>
      </c>
      <c r="N977" s="5" t="s">
        <v>347</v>
      </c>
      <c r="O977" s="5" t="s">
        <v>347</v>
      </c>
      <c r="P977" s="5">
        <v>0</v>
      </c>
      <c r="Q977" s="5">
        <v>0</v>
      </c>
      <c r="R977" s="5" t="str">
        <f t="shared" si="197"/>
        <v>372-2024-12-31</v>
      </c>
    </row>
    <row r="978" spans="1:18" x14ac:dyDescent="0.3">
      <c r="A978" s="54">
        <v>373</v>
      </c>
      <c r="B978" s="5" t="s">
        <v>261</v>
      </c>
      <c r="C978" s="5" t="s">
        <v>131</v>
      </c>
      <c r="D978" s="5" t="s">
        <v>11</v>
      </c>
      <c r="E978" s="5" t="s">
        <v>9</v>
      </c>
      <c r="F978" s="6">
        <v>45016</v>
      </c>
      <c r="G978" s="5">
        <f t="shared" si="193"/>
        <v>2023</v>
      </c>
      <c r="H978" s="5" t="str">
        <f t="shared" si="189"/>
        <v>Marzo</v>
      </c>
      <c r="I978" s="6" t="str">
        <f t="shared" si="198"/>
        <v>2023-1</v>
      </c>
      <c r="J978" s="5" t="s">
        <v>417</v>
      </c>
      <c r="K978" s="5" t="s">
        <v>417</v>
      </c>
      <c r="L978" s="21" t="s">
        <v>417</v>
      </c>
      <c r="M978" s="15" t="str">
        <f t="shared" si="195"/>
        <v/>
      </c>
      <c r="N978" s="5" t="s">
        <v>347</v>
      </c>
      <c r="O978" s="5" t="s">
        <v>347</v>
      </c>
      <c r="P978" s="5">
        <v>0</v>
      </c>
      <c r="Q978" s="5">
        <v>0</v>
      </c>
      <c r="R978" s="5" t="str">
        <f t="shared" si="197"/>
        <v>373-2023-03-31</v>
      </c>
    </row>
    <row r="979" spans="1:18" x14ac:dyDescent="0.3">
      <c r="A979" s="39">
        <v>373</v>
      </c>
      <c r="B979" s="5" t="s">
        <v>261</v>
      </c>
      <c r="C979" s="5" t="s">
        <v>131</v>
      </c>
      <c r="D979" s="5" t="s">
        <v>11</v>
      </c>
      <c r="E979" s="5" t="s">
        <v>9</v>
      </c>
      <c r="F979" s="6">
        <v>45107</v>
      </c>
      <c r="G979" s="5">
        <f t="shared" si="193"/>
        <v>2023</v>
      </c>
      <c r="H979" s="5" t="str">
        <f t="shared" si="189"/>
        <v>Junio</v>
      </c>
      <c r="I979" s="6" t="str">
        <f t="shared" si="198"/>
        <v>2023-1</v>
      </c>
      <c r="J979" s="5">
        <v>100</v>
      </c>
      <c r="K979" s="5">
        <v>107.17</v>
      </c>
      <c r="L979" s="21" t="s">
        <v>417</v>
      </c>
      <c r="M979" s="15">
        <f t="shared" si="195"/>
        <v>1.0717000000000001</v>
      </c>
      <c r="N979" s="5" t="s">
        <v>347</v>
      </c>
      <c r="O979" s="5" t="s">
        <v>347</v>
      </c>
      <c r="P979" s="5">
        <v>0</v>
      </c>
      <c r="Q979" s="5">
        <v>0</v>
      </c>
      <c r="R979" s="5" t="str">
        <f t="shared" si="197"/>
        <v>373-2023-06-30</v>
      </c>
    </row>
    <row r="980" spans="1:18" x14ac:dyDescent="0.3">
      <c r="A980" s="43">
        <v>373</v>
      </c>
      <c r="B980" s="5" t="s">
        <v>261</v>
      </c>
      <c r="C980" s="5" t="s">
        <v>131</v>
      </c>
      <c r="D980" s="5" t="s">
        <v>11</v>
      </c>
      <c r="E980" s="5" t="s">
        <v>9</v>
      </c>
      <c r="F980" s="6">
        <v>45199</v>
      </c>
      <c r="G980" s="5">
        <f t="shared" si="193"/>
        <v>2023</v>
      </c>
      <c r="H980" s="5" t="str">
        <f t="shared" si="189"/>
        <v>Septiembre</v>
      </c>
      <c r="I980" s="6" t="str">
        <f t="shared" si="198"/>
        <v>2023-2</v>
      </c>
      <c r="J980" s="5">
        <v>100</v>
      </c>
      <c r="K980" s="5">
        <v>91.51</v>
      </c>
      <c r="L980" s="21" t="s">
        <v>417</v>
      </c>
      <c r="M980" s="15">
        <f t="shared" si="195"/>
        <v>0.91510000000000002</v>
      </c>
      <c r="N980" s="5" t="s">
        <v>347</v>
      </c>
      <c r="O980" s="5" t="s">
        <v>347</v>
      </c>
      <c r="P980" s="5">
        <v>0</v>
      </c>
      <c r="Q980" s="5">
        <v>0</v>
      </c>
      <c r="R980" s="5" t="str">
        <f t="shared" si="197"/>
        <v>373-2023-09-30</v>
      </c>
    </row>
    <row r="981" spans="1:18" x14ac:dyDescent="0.3">
      <c r="A981" s="39">
        <v>373</v>
      </c>
      <c r="B981" s="5" t="s">
        <v>261</v>
      </c>
      <c r="C981" s="5" t="s">
        <v>131</v>
      </c>
      <c r="D981" s="5" t="s">
        <v>11</v>
      </c>
      <c r="E981" s="5" t="s">
        <v>9</v>
      </c>
      <c r="F981" s="6">
        <v>45291</v>
      </c>
      <c r="G981" s="5">
        <f t="shared" si="193"/>
        <v>2023</v>
      </c>
      <c r="H981" s="5" t="str">
        <f t="shared" si="189"/>
        <v>Diciembre</v>
      </c>
      <c r="I981" s="6" t="str">
        <f t="shared" si="198"/>
        <v>2023-2</v>
      </c>
      <c r="J981" s="5">
        <v>100</v>
      </c>
      <c r="K981" s="5">
        <v>97.17</v>
      </c>
      <c r="L981" s="21">
        <f>IFERROR(K981/J981,"")</f>
        <v>0.97170000000000001</v>
      </c>
      <c r="M981" s="15">
        <f t="shared" si="195"/>
        <v>0.97170000000000001</v>
      </c>
      <c r="N981" s="5" t="s">
        <v>347</v>
      </c>
      <c r="O981" s="5" t="s">
        <v>347</v>
      </c>
      <c r="P981" s="5">
        <v>0</v>
      </c>
      <c r="Q981" s="5">
        <v>0</v>
      </c>
      <c r="R981" s="5" t="str">
        <f t="shared" si="197"/>
        <v>373-2023-12-31</v>
      </c>
    </row>
    <row r="982" spans="1:18" x14ac:dyDescent="0.3">
      <c r="A982" s="5">
        <v>373</v>
      </c>
      <c r="B982" s="5" t="s">
        <v>261</v>
      </c>
      <c r="C982" s="5" t="s">
        <v>131</v>
      </c>
      <c r="D982" s="5" t="s">
        <v>11</v>
      </c>
      <c r="E982" s="5" t="s">
        <v>9</v>
      </c>
      <c r="F982" s="6">
        <v>45473</v>
      </c>
      <c r="G982" s="5">
        <f t="shared" si="193"/>
        <v>2024</v>
      </c>
      <c r="H982" s="5" t="str">
        <f t="shared" si="189"/>
        <v>Junio</v>
      </c>
      <c r="I982" s="6" t="str">
        <f t="shared" si="198"/>
        <v>2024-1</v>
      </c>
      <c r="J982" s="5">
        <v>100</v>
      </c>
      <c r="K982" s="5">
        <v>106.8</v>
      </c>
      <c r="L982" s="15">
        <f>IFERROR(IF((K982/J982)&gt;1.3,1.3,K982/J982),"")</f>
        <v>1.0680000000000001</v>
      </c>
      <c r="M982" s="15">
        <f t="shared" si="195"/>
        <v>1.0680000000000001</v>
      </c>
      <c r="N982" s="5"/>
      <c r="O982" s="5"/>
      <c r="P982" s="5">
        <v>0</v>
      </c>
      <c r="Q982" s="5">
        <v>0</v>
      </c>
      <c r="R982" s="5" t="str">
        <f t="shared" si="197"/>
        <v>373-2024-06-30</v>
      </c>
    </row>
    <row r="983" spans="1:18" x14ac:dyDescent="0.3">
      <c r="A983" s="5">
        <v>373</v>
      </c>
      <c r="B983" s="5" t="s">
        <v>261</v>
      </c>
      <c r="C983" s="5" t="s">
        <v>131</v>
      </c>
      <c r="D983" s="5" t="s">
        <v>11</v>
      </c>
      <c r="E983" s="5" t="s">
        <v>9</v>
      </c>
      <c r="F983" s="6">
        <v>45657</v>
      </c>
      <c r="G983" s="5">
        <f t="shared" si="193"/>
        <v>2024</v>
      </c>
      <c r="H983" s="5" t="str">
        <f t="shared" si="189"/>
        <v>Diciembre</v>
      </c>
      <c r="I983" s="6" t="str">
        <f t="shared" si="198"/>
        <v>2024-2</v>
      </c>
      <c r="J983" s="5">
        <v>100</v>
      </c>
      <c r="K983" s="5">
        <v>0</v>
      </c>
      <c r="L983" s="15">
        <f>IFERROR(IF((K983/J983)&gt;1.3,1.3,K983/J983),"")</f>
        <v>0</v>
      </c>
      <c r="M983" s="15">
        <f t="shared" si="195"/>
        <v>0</v>
      </c>
      <c r="N983" s="5"/>
      <c r="O983" s="5"/>
      <c r="P983" s="5">
        <v>0</v>
      </c>
      <c r="Q983" s="5">
        <v>0</v>
      </c>
      <c r="R983" s="5" t="str">
        <f t="shared" si="197"/>
        <v>373-2024-12-31</v>
      </c>
    </row>
    <row r="984" spans="1:18" x14ac:dyDescent="0.3">
      <c r="A984" s="39">
        <v>374</v>
      </c>
      <c r="B984" s="5" t="s">
        <v>262</v>
      </c>
      <c r="C984" s="5" t="s">
        <v>251</v>
      </c>
      <c r="D984" s="5" t="s">
        <v>8</v>
      </c>
      <c r="E984" s="5" t="s">
        <v>9</v>
      </c>
      <c r="F984" s="6">
        <v>45291</v>
      </c>
      <c r="G984" s="5">
        <f t="shared" si="193"/>
        <v>2023</v>
      </c>
      <c r="H984" s="5" t="str">
        <f t="shared" si="189"/>
        <v>Diciembre</v>
      </c>
      <c r="I984" s="6" t="str">
        <f t="shared" si="198"/>
        <v>2023-2</v>
      </c>
      <c r="J984" s="5">
        <v>100</v>
      </c>
      <c r="K984" s="5">
        <v>100</v>
      </c>
      <c r="L984" s="21">
        <f>IFERROR(K984/J984,"")</f>
        <v>1</v>
      </c>
      <c r="M984" s="15">
        <f t="shared" si="195"/>
        <v>1</v>
      </c>
      <c r="N984" s="5"/>
      <c r="O984" s="5"/>
      <c r="P984" s="5">
        <v>0</v>
      </c>
      <c r="Q984" s="5">
        <v>0</v>
      </c>
      <c r="R984" s="5" t="str">
        <f t="shared" si="197"/>
        <v>374-2023-12-31</v>
      </c>
    </row>
    <row r="985" spans="1:18" x14ac:dyDescent="0.3">
      <c r="A985" s="39">
        <v>375</v>
      </c>
      <c r="B985" s="5" t="s">
        <v>462</v>
      </c>
      <c r="C985" s="5" t="s">
        <v>249</v>
      </c>
      <c r="D985" s="5" t="s">
        <v>8</v>
      </c>
      <c r="E985" s="5" t="s">
        <v>9</v>
      </c>
      <c r="F985" s="6">
        <v>45291</v>
      </c>
      <c r="G985" s="5">
        <f t="shared" si="193"/>
        <v>2023</v>
      </c>
      <c r="H985" s="5" t="str">
        <f t="shared" si="189"/>
        <v>Diciembre</v>
      </c>
      <c r="I985" s="6" t="str">
        <f t="shared" si="198"/>
        <v>2023-2</v>
      </c>
      <c r="J985" s="5">
        <v>100</v>
      </c>
      <c r="K985" s="5">
        <v>100</v>
      </c>
      <c r="L985" s="21">
        <f>IFERROR(K985/J985,"")</f>
        <v>1</v>
      </c>
      <c r="M985" s="15">
        <f t="shared" si="195"/>
        <v>1</v>
      </c>
      <c r="N985" s="5" t="s">
        <v>347</v>
      </c>
      <c r="O985" s="5" t="s">
        <v>347</v>
      </c>
      <c r="P985" s="5">
        <v>0</v>
      </c>
      <c r="Q985" s="5">
        <v>0</v>
      </c>
      <c r="R985" s="5" t="str">
        <f t="shared" si="197"/>
        <v>375-2023-12-31</v>
      </c>
    </row>
    <row r="986" spans="1:18" x14ac:dyDescent="0.3">
      <c r="A986" s="5">
        <v>375</v>
      </c>
      <c r="B986" s="5" t="s">
        <v>462</v>
      </c>
      <c r="C986" s="5" t="s">
        <v>762</v>
      </c>
      <c r="D986" s="5" t="s">
        <v>8</v>
      </c>
      <c r="E986" s="5" t="s">
        <v>9</v>
      </c>
      <c r="F986" s="6">
        <v>45473</v>
      </c>
      <c r="G986" s="5">
        <f t="shared" si="193"/>
        <v>2024</v>
      </c>
      <c r="H986" s="5" t="str">
        <f t="shared" si="189"/>
        <v>Junio</v>
      </c>
      <c r="I986" s="6" t="str">
        <f t="shared" si="198"/>
        <v>2024-1</v>
      </c>
      <c r="J986" s="5">
        <v>100</v>
      </c>
      <c r="K986" s="5">
        <v>100</v>
      </c>
      <c r="L986" s="15">
        <f t="shared" ref="L986:L991" si="199">IFERROR(IF((K986/J986)&gt;1.3,1.3,K986/J986),"")</f>
        <v>1</v>
      </c>
      <c r="M986" s="15">
        <f t="shared" si="195"/>
        <v>1</v>
      </c>
      <c r="N986" s="5" t="s">
        <v>347</v>
      </c>
      <c r="O986" s="5" t="s">
        <v>347</v>
      </c>
      <c r="P986" s="5">
        <v>0</v>
      </c>
      <c r="Q986" s="5">
        <v>0</v>
      </c>
      <c r="R986" s="5" t="str">
        <f t="shared" si="197"/>
        <v>375-2024-06-30</v>
      </c>
    </row>
    <row r="987" spans="1:18" x14ac:dyDescent="0.3">
      <c r="A987" s="5">
        <v>375</v>
      </c>
      <c r="B987" s="5" t="s">
        <v>462</v>
      </c>
      <c r="C987" s="5" t="s">
        <v>762</v>
      </c>
      <c r="D987" s="5" t="s">
        <v>8</v>
      </c>
      <c r="E987" s="5" t="s">
        <v>9</v>
      </c>
      <c r="F987" s="6">
        <v>45657</v>
      </c>
      <c r="G987" s="5">
        <f t="shared" si="193"/>
        <v>2024</v>
      </c>
      <c r="H987" s="5" t="str">
        <f t="shared" si="189"/>
        <v>Diciembre</v>
      </c>
      <c r="I987" s="6" t="str">
        <f t="shared" si="198"/>
        <v>2024-2</v>
      </c>
      <c r="J987" s="5">
        <v>100</v>
      </c>
      <c r="K987" s="5">
        <v>100</v>
      </c>
      <c r="L987" s="15">
        <f t="shared" si="199"/>
        <v>1</v>
      </c>
      <c r="M987" s="15">
        <f t="shared" si="195"/>
        <v>1</v>
      </c>
      <c r="N987" s="5" t="s">
        <v>347</v>
      </c>
      <c r="O987" s="5" t="s">
        <v>347</v>
      </c>
      <c r="P987" s="5">
        <v>0</v>
      </c>
      <c r="Q987" s="5">
        <v>0</v>
      </c>
      <c r="R987" s="5" t="str">
        <f t="shared" si="197"/>
        <v>375-2024-12-31</v>
      </c>
    </row>
    <row r="988" spans="1:18" x14ac:dyDescent="0.3">
      <c r="A988" s="5">
        <v>376</v>
      </c>
      <c r="B988" s="5" t="s">
        <v>263</v>
      </c>
      <c r="C988" s="5" t="s">
        <v>84</v>
      </c>
      <c r="D988" s="5" t="s">
        <v>8</v>
      </c>
      <c r="E988" s="5" t="s">
        <v>9</v>
      </c>
      <c r="F988" s="17">
        <v>44742</v>
      </c>
      <c r="G988" s="16">
        <f t="shared" si="193"/>
        <v>2022</v>
      </c>
      <c r="H988" s="6" t="str">
        <f t="shared" si="189"/>
        <v>Junio</v>
      </c>
      <c r="I988" s="41" t="s">
        <v>426</v>
      </c>
      <c r="J988" s="11">
        <v>10494</v>
      </c>
      <c r="K988" s="11">
        <v>14221</v>
      </c>
      <c r="L988" s="15">
        <f t="shared" si="199"/>
        <v>1.3</v>
      </c>
      <c r="M988" s="15">
        <f t="shared" si="195"/>
        <v>1.35515532685344</v>
      </c>
      <c r="N988" s="5" t="s">
        <v>474</v>
      </c>
      <c r="O988" s="5" t="s">
        <v>474</v>
      </c>
      <c r="P988" s="5">
        <v>0</v>
      </c>
      <c r="Q988" s="5">
        <v>0</v>
      </c>
      <c r="R988" s="5" t="str">
        <f t="shared" si="197"/>
        <v>376-2022-06-30</v>
      </c>
    </row>
    <row r="989" spans="1:18" x14ac:dyDescent="0.3">
      <c r="A989" s="5">
        <v>376</v>
      </c>
      <c r="B989" s="5" t="s">
        <v>263</v>
      </c>
      <c r="C989" s="5" t="s">
        <v>84</v>
      </c>
      <c r="D989" s="5" t="s">
        <v>8</v>
      </c>
      <c r="E989" s="5" t="s">
        <v>9</v>
      </c>
      <c r="F989" s="17">
        <v>44925</v>
      </c>
      <c r="G989" s="16">
        <f t="shared" si="193"/>
        <v>2022</v>
      </c>
      <c r="H989" s="6" t="str">
        <f t="shared" si="189"/>
        <v>Diciembre</v>
      </c>
      <c r="I989" s="41" t="s">
        <v>423</v>
      </c>
      <c r="J989" s="11">
        <v>5570</v>
      </c>
      <c r="K989" s="11">
        <v>9919</v>
      </c>
      <c r="L989" s="15">
        <f t="shared" si="199"/>
        <v>1.3</v>
      </c>
      <c r="M989" s="15">
        <f t="shared" si="195"/>
        <v>1.7807899461400358</v>
      </c>
      <c r="N989" s="5" t="s">
        <v>474</v>
      </c>
      <c r="O989" s="5" t="s">
        <v>474</v>
      </c>
      <c r="P989" s="5">
        <v>0</v>
      </c>
      <c r="Q989" s="5">
        <v>0</v>
      </c>
      <c r="R989" s="5" t="str">
        <f t="shared" si="197"/>
        <v>376-2022-12-30</v>
      </c>
    </row>
    <row r="990" spans="1:18" x14ac:dyDescent="0.3">
      <c r="A990" s="5">
        <v>376</v>
      </c>
      <c r="B990" s="5" t="s">
        <v>263</v>
      </c>
      <c r="C990" s="5" t="s">
        <v>84</v>
      </c>
      <c r="D990" s="5" t="s">
        <v>8</v>
      </c>
      <c r="E990" s="5" t="s">
        <v>9</v>
      </c>
      <c r="F990" s="17">
        <v>45107</v>
      </c>
      <c r="G990" s="16">
        <f t="shared" si="193"/>
        <v>2023</v>
      </c>
      <c r="H990" s="6" t="str">
        <f t="shared" ref="H990:H1050" si="200">PROPER(TEXT(F990,"mmmm"))</f>
        <v>Junio</v>
      </c>
      <c r="I990" s="41" t="s">
        <v>422</v>
      </c>
      <c r="J990" s="11">
        <v>8796.2412700000004</v>
      </c>
      <c r="K990" s="11">
        <v>13169.941457999999</v>
      </c>
      <c r="L990" s="15">
        <f t="shared" si="199"/>
        <v>1.3</v>
      </c>
      <c r="M990" s="15">
        <f t="shared" si="195"/>
        <v>1.4972237633950209</v>
      </c>
      <c r="N990" s="5" t="s">
        <v>474</v>
      </c>
      <c r="O990" s="5" t="s">
        <v>474</v>
      </c>
      <c r="P990" s="5">
        <v>0</v>
      </c>
      <c r="Q990" s="5">
        <v>0</v>
      </c>
      <c r="R990" s="5" t="str">
        <f t="shared" si="197"/>
        <v>376-2023-06-30</v>
      </c>
    </row>
    <row r="991" spans="1:18" x14ac:dyDescent="0.3">
      <c r="A991" s="39">
        <v>376</v>
      </c>
      <c r="B991" s="5" t="s">
        <v>263</v>
      </c>
      <c r="C991" s="5" t="s">
        <v>84</v>
      </c>
      <c r="D991" s="5" t="s">
        <v>8</v>
      </c>
      <c r="E991" s="5" t="s">
        <v>9</v>
      </c>
      <c r="F991" s="6">
        <v>45291</v>
      </c>
      <c r="G991" s="5">
        <f t="shared" si="193"/>
        <v>2023</v>
      </c>
      <c r="H991" s="5" t="str">
        <f t="shared" si="200"/>
        <v>Diciembre</v>
      </c>
      <c r="I991" s="6" t="str">
        <f>IF(OR(H991="Enero",H991="Febrero",H991="Marzo",H991="Abril",H991="Mayo",H991="Junio"),G991&amp;"-1",IF(OR(H991="Julio",H991="Agosto",H991="Septiembre",H991="Octubre",H991="Noviembre",H991="Diciembre"),G991&amp;"-2"))</f>
        <v>2023-2</v>
      </c>
      <c r="J991" s="11">
        <v>26073.472702718544</v>
      </c>
      <c r="K991" s="11">
        <v>26403.087925999949</v>
      </c>
      <c r="L991" s="15">
        <f t="shared" si="199"/>
        <v>1.0126417845079394</v>
      </c>
      <c r="M991" s="15">
        <f t="shared" si="195"/>
        <v>1.0126417845079394</v>
      </c>
      <c r="N991" s="5" t="s">
        <v>474</v>
      </c>
      <c r="O991" s="5" t="s">
        <v>474</v>
      </c>
      <c r="P991" s="5">
        <v>0</v>
      </c>
      <c r="Q991" s="5">
        <v>0</v>
      </c>
      <c r="R991" s="5" t="str">
        <f t="shared" si="197"/>
        <v>376-2023-12-31</v>
      </c>
    </row>
    <row r="992" spans="1:18" x14ac:dyDescent="0.3">
      <c r="A992" s="5">
        <v>376</v>
      </c>
      <c r="B992" s="5" t="s">
        <v>263</v>
      </c>
      <c r="C992" s="5" t="s">
        <v>84</v>
      </c>
      <c r="D992" s="5" t="s">
        <v>8</v>
      </c>
      <c r="E992" s="5" t="s">
        <v>9</v>
      </c>
      <c r="F992" s="6">
        <v>45473</v>
      </c>
      <c r="G992" s="5">
        <f t="shared" si="193"/>
        <v>2024</v>
      </c>
      <c r="H992" s="5" t="str">
        <f t="shared" si="200"/>
        <v>Junio</v>
      </c>
      <c r="I992" s="6" t="str">
        <f>IF(OR(H992="Enero",H992="Febrero",H992="Marzo",H992="Abril",H992="Mayo",H992="Junio"),G992&amp;"-1",IF(OR(H992="Julio",H992="Agosto",H992="Septiembre",H992="Octubre",H992="Noviembre",H992="Diciembre"),G992&amp;"-2"))</f>
        <v>2024-1</v>
      </c>
      <c r="J992" s="11">
        <v>14136.961539</v>
      </c>
      <c r="K992" s="11">
        <v>14702.219810000001</v>
      </c>
      <c r="L992" s="15">
        <v>1.0399844244776792</v>
      </c>
      <c r="M992" s="15">
        <v>1.0399844244776792</v>
      </c>
      <c r="N992" s="5" t="s">
        <v>474</v>
      </c>
      <c r="O992" s="5" t="s">
        <v>474</v>
      </c>
      <c r="P992" s="5">
        <v>0</v>
      </c>
      <c r="Q992" s="5">
        <v>0</v>
      </c>
      <c r="R992" s="5" t="str">
        <f t="shared" si="197"/>
        <v>376-2024-06-30</v>
      </c>
    </row>
    <row r="993" spans="1:18" x14ac:dyDescent="0.3">
      <c r="A993" s="5">
        <v>376</v>
      </c>
      <c r="B993" s="5" t="s">
        <v>263</v>
      </c>
      <c r="C993" s="5" t="s">
        <v>84</v>
      </c>
      <c r="D993" s="5" t="s">
        <v>8</v>
      </c>
      <c r="E993" s="5" t="s">
        <v>9</v>
      </c>
      <c r="F993" s="6">
        <v>45657</v>
      </c>
      <c r="G993" s="5">
        <f t="shared" si="193"/>
        <v>2024</v>
      </c>
      <c r="H993" s="5" t="str">
        <f t="shared" si="200"/>
        <v>Diciembre</v>
      </c>
      <c r="I993" s="6" t="str">
        <f>IF(OR(H993="Enero",H993="Febrero",H993="Marzo",H993="Abril",H993="Mayo",H993="Junio"),G993&amp;"-1",IF(OR(H993="Julio",H993="Agosto",H993="Septiembre",H993="Octubre",H993="Noviembre",H993="Diciembre"),G993&amp;"-2"))</f>
        <v>2024-2</v>
      </c>
      <c r="J993" s="11">
        <v>27010.108280834509</v>
      </c>
      <c r="K993" s="11">
        <f>29467922112/1000000</f>
        <v>29467.922112</v>
      </c>
      <c r="L993" s="15">
        <f>IFERROR(IF((K993/J993)&gt;1.3,1.3,K993/J993),"")</f>
        <v>1.0909960747143497</v>
      </c>
      <c r="M993" s="15">
        <f>IFERROR(K993/J993,"")</f>
        <v>1.0909960747143497</v>
      </c>
      <c r="N993" s="5" t="s">
        <v>474</v>
      </c>
      <c r="O993" s="5" t="s">
        <v>474</v>
      </c>
      <c r="P993" s="5">
        <v>0</v>
      </c>
      <c r="Q993" s="5">
        <v>0</v>
      </c>
      <c r="R993" s="5" t="str">
        <f t="shared" si="197"/>
        <v>376-2024-12-31</v>
      </c>
    </row>
    <row r="994" spans="1:18" x14ac:dyDescent="0.3">
      <c r="A994" s="5">
        <v>377</v>
      </c>
      <c r="B994" s="5" t="s">
        <v>264</v>
      </c>
      <c r="C994" s="5" t="s">
        <v>84</v>
      </c>
      <c r="D994" s="5" t="s">
        <v>8</v>
      </c>
      <c r="E994" s="5" t="s">
        <v>14</v>
      </c>
      <c r="F994" s="17">
        <v>45107</v>
      </c>
      <c r="G994" s="16">
        <f t="shared" si="193"/>
        <v>2023</v>
      </c>
      <c r="H994" s="6" t="str">
        <f t="shared" si="200"/>
        <v>Junio</v>
      </c>
      <c r="I994" s="41" t="s">
        <v>422</v>
      </c>
      <c r="J994" s="12">
        <v>7200.908222</v>
      </c>
      <c r="K994" s="12">
        <v>1606.8681489999999</v>
      </c>
      <c r="L994" s="15">
        <f>IFERROR(IF((J994/K994)&gt;1.3,1.3,J994/K994),"")</f>
        <v>1.3</v>
      </c>
      <c r="M994" s="15">
        <f>IFERROR(J994/K994,"")</f>
        <v>4.4813311076464686</v>
      </c>
      <c r="N994" s="5" t="s">
        <v>474</v>
      </c>
      <c r="O994" s="5" t="s">
        <v>474</v>
      </c>
      <c r="P994" s="5">
        <v>0</v>
      </c>
      <c r="Q994" s="5">
        <v>0</v>
      </c>
      <c r="R994" s="5" t="str">
        <f t="shared" si="197"/>
        <v>377-2023-06-30</v>
      </c>
    </row>
    <row r="995" spans="1:18" x14ac:dyDescent="0.3">
      <c r="A995" s="39">
        <v>377</v>
      </c>
      <c r="B995" s="5" t="s">
        <v>264</v>
      </c>
      <c r="C995" s="5" t="s">
        <v>84</v>
      </c>
      <c r="D995" s="5" t="s">
        <v>8</v>
      </c>
      <c r="E995" s="5" t="s">
        <v>14</v>
      </c>
      <c r="F995" s="6">
        <v>45291</v>
      </c>
      <c r="G995" s="5">
        <f t="shared" si="193"/>
        <v>2023</v>
      </c>
      <c r="H995" s="5" t="str">
        <f t="shared" si="200"/>
        <v>Diciembre</v>
      </c>
      <c r="I995" s="6" t="str">
        <f t="shared" ref="I995:I1001" si="201">IF(OR(H995="Enero",H995="Febrero",H995="Marzo",H995="Abril",H995="Mayo",H995="Junio"),G995&amp;"-1",IF(OR(H995="Julio",H995="Agosto",H995="Septiembre",H995="Octubre",H995="Noviembre",H995="Diciembre"),G995&amp;"-2"))</f>
        <v>2023-2</v>
      </c>
      <c r="J995" s="9">
        <v>12518.005306706254</v>
      </c>
      <c r="K995" s="9">
        <v>7607.1384189999999</v>
      </c>
      <c r="L995" s="15">
        <f>IFERROR(IF((J995/K995)&gt;1.3,1.3,J995/K995),"")</f>
        <v>1.3</v>
      </c>
      <c r="M995" s="15">
        <f>IFERROR(J995/K995,"")</f>
        <v>1.6455603430904593</v>
      </c>
      <c r="N995" s="5" t="s">
        <v>474</v>
      </c>
      <c r="O995" s="5" t="s">
        <v>474</v>
      </c>
      <c r="P995" s="5">
        <v>0</v>
      </c>
      <c r="Q995" s="5">
        <v>0</v>
      </c>
      <c r="R995" s="5" t="str">
        <f t="shared" si="197"/>
        <v>377-2023-12-31</v>
      </c>
    </row>
    <row r="996" spans="1:18" x14ac:dyDescent="0.3">
      <c r="A996" s="5">
        <v>377</v>
      </c>
      <c r="B996" s="5" t="s">
        <v>264</v>
      </c>
      <c r="C996" s="5" t="s">
        <v>84</v>
      </c>
      <c r="D996" s="5" t="s">
        <v>8</v>
      </c>
      <c r="E996" s="5" t="s">
        <v>14</v>
      </c>
      <c r="F996" s="6">
        <v>45473</v>
      </c>
      <c r="G996" s="5">
        <f t="shared" si="193"/>
        <v>2024</v>
      </c>
      <c r="H996" s="5" t="str">
        <f t="shared" si="200"/>
        <v>Junio</v>
      </c>
      <c r="I996" s="6" t="str">
        <f t="shared" si="201"/>
        <v>2024-1</v>
      </c>
      <c r="J996" s="11">
        <v>4468.4024010000003</v>
      </c>
      <c r="K996" s="11">
        <v>2155.4775049999998</v>
      </c>
      <c r="L996" s="15">
        <f>IFERROR(IF((J996/K996)&gt;1.3,1.3,J996/K996),"")</f>
        <v>1.3</v>
      </c>
      <c r="M996" s="15">
        <v>2.0730452489690911</v>
      </c>
      <c r="N996" s="5" t="s">
        <v>474</v>
      </c>
      <c r="O996" s="5" t="s">
        <v>474</v>
      </c>
      <c r="P996" s="5">
        <v>0</v>
      </c>
      <c r="Q996" s="5">
        <v>0</v>
      </c>
      <c r="R996" s="5" t="str">
        <f t="shared" si="197"/>
        <v>377-2024-06-30</v>
      </c>
    </row>
    <row r="997" spans="1:18" x14ac:dyDescent="0.3">
      <c r="A997" s="5">
        <v>377</v>
      </c>
      <c r="B997" s="5" t="s">
        <v>264</v>
      </c>
      <c r="C997" s="5" t="s">
        <v>84</v>
      </c>
      <c r="D997" s="5" t="s">
        <v>8</v>
      </c>
      <c r="E997" s="5" t="s">
        <v>14</v>
      </c>
      <c r="F997" s="6">
        <v>45657</v>
      </c>
      <c r="G997" s="5">
        <f t="shared" si="193"/>
        <v>2024</v>
      </c>
      <c r="H997" s="5" t="str">
        <f t="shared" si="200"/>
        <v>Diciembre</v>
      </c>
      <c r="I997" s="6" t="str">
        <f t="shared" si="201"/>
        <v>2024-2</v>
      </c>
      <c r="J997" s="11">
        <v>9557.1950106811255</v>
      </c>
      <c r="K997" s="11">
        <v>11947.626618</v>
      </c>
      <c r="L997" s="15">
        <f>IFERROR(IF((K997/J997)&gt;1.3,1.3,K997/J997),"")</f>
        <v>1.2501185342192271</v>
      </c>
      <c r="M997" s="15">
        <f t="shared" ref="M997:M1007" si="202">IFERROR(K997/J997,"")</f>
        <v>1.2501185342192271</v>
      </c>
      <c r="N997" s="5" t="s">
        <v>474</v>
      </c>
      <c r="O997" s="5" t="s">
        <v>474</v>
      </c>
      <c r="P997" s="5">
        <v>0</v>
      </c>
      <c r="Q997" s="5">
        <v>0</v>
      </c>
      <c r="R997" s="5" t="str">
        <f t="shared" si="197"/>
        <v>377-2024-12-31</v>
      </c>
    </row>
    <row r="998" spans="1:18" x14ac:dyDescent="0.3">
      <c r="A998" s="39">
        <v>378</v>
      </c>
      <c r="B998" s="5" t="s">
        <v>265</v>
      </c>
      <c r="C998" s="5" t="s">
        <v>17</v>
      </c>
      <c r="D998" s="5" t="s">
        <v>18</v>
      </c>
      <c r="E998" s="5" t="s">
        <v>9</v>
      </c>
      <c r="F998" s="6">
        <v>45107</v>
      </c>
      <c r="G998" s="5">
        <f t="shared" si="193"/>
        <v>2023</v>
      </c>
      <c r="H998" s="5" t="str">
        <f t="shared" si="200"/>
        <v>Junio</v>
      </c>
      <c r="I998" s="6" t="str">
        <f t="shared" si="201"/>
        <v>2023-1</v>
      </c>
      <c r="J998" s="5">
        <v>92</v>
      </c>
      <c r="K998" s="5">
        <v>93.83</v>
      </c>
      <c r="L998" s="21">
        <f>IFERROR(K998/J998,"")</f>
        <v>1.0198913043478262</v>
      </c>
      <c r="M998" s="15">
        <f t="shared" si="202"/>
        <v>1.0198913043478262</v>
      </c>
      <c r="N998" s="5" t="s">
        <v>347</v>
      </c>
      <c r="O998" s="5" t="s">
        <v>347</v>
      </c>
      <c r="P998" s="5">
        <v>0</v>
      </c>
      <c r="Q998" s="5">
        <v>0</v>
      </c>
      <c r="R998" s="5" t="str">
        <f t="shared" si="197"/>
        <v>378-2023-06-30</v>
      </c>
    </row>
    <row r="999" spans="1:18" x14ac:dyDescent="0.3">
      <c r="A999" s="39">
        <v>378</v>
      </c>
      <c r="B999" s="5" t="s">
        <v>265</v>
      </c>
      <c r="C999" s="5" t="s">
        <v>17</v>
      </c>
      <c r="D999" s="5" t="s">
        <v>18</v>
      </c>
      <c r="E999" s="5" t="s">
        <v>9</v>
      </c>
      <c r="F999" s="6">
        <v>45291</v>
      </c>
      <c r="G999" s="5">
        <f t="shared" si="193"/>
        <v>2023</v>
      </c>
      <c r="H999" s="5" t="str">
        <f t="shared" si="200"/>
        <v>Diciembre</v>
      </c>
      <c r="I999" s="6" t="str">
        <f t="shared" si="201"/>
        <v>2023-2</v>
      </c>
      <c r="J999" s="5">
        <v>92</v>
      </c>
      <c r="K999" s="5">
        <v>97.3</v>
      </c>
      <c r="L999" s="21">
        <f>IFERROR(K999/J999,"")</f>
        <v>1.057608695652174</v>
      </c>
      <c r="M999" s="15">
        <f t="shared" si="202"/>
        <v>1.057608695652174</v>
      </c>
      <c r="N999" s="5" t="s">
        <v>347</v>
      </c>
      <c r="O999" s="5" t="s">
        <v>347</v>
      </c>
      <c r="P999" s="5">
        <v>0</v>
      </c>
      <c r="Q999" s="5">
        <v>0</v>
      </c>
      <c r="R999" s="5" t="str">
        <f t="shared" si="197"/>
        <v>378-2023-12-31</v>
      </c>
    </row>
    <row r="1000" spans="1:18" x14ac:dyDescent="0.3">
      <c r="A1000" s="5">
        <v>378</v>
      </c>
      <c r="B1000" s="5" t="s">
        <v>265</v>
      </c>
      <c r="C1000" s="5" t="s">
        <v>17</v>
      </c>
      <c r="D1000" s="5" t="s">
        <v>18</v>
      </c>
      <c r="E1000" s="5" t="s">
        <v>9</v>
      </c>
      <c r="F1000" s="6">
        <v>45473</v>
      </c>
      <c r="G1000" s="5">
        <f t="shared" si="193"/>
        <v>2024</v>
      </c>
      <c r="H1000" s="5" t="str">
        <f t="shared" si="200"/>
        <v>Junio</v>
      </c>
      <c r="I1000" s="6" t="str">
        <f t="shared" si="201"/>
        <v>2024-1</v>
      </c>
      <c r="J1000" s="5">
        <v>92</v>
      </c>
      <c r="K1000" s="5">
        <v>98.5</v>
      </c>
      <c r="L1000" s="15">
        <f t="shared" ref="L1000:L1007" si="203">IFERROR(IF((K1000/J1000)&gt;1.3,1.3,K1000/J1000),"")</f>
        <v>1.0706521739130435</v>
      </c>
      <c r="M1000" s="15">
        <f t="shared" si="202"/>
        <v>1.0706521739130435</v>
      </c>
      <c r="N1000" s="5"/>
      <c r="O1000" s="5"/>
      <c r="P1000" s="5">
        <v>0</v>
      </c>
      <c r="Q1000" s="5">
        <v>0</v>
      </c>
      <c r="R1000" s="5" t="str">
        <f t="shared" si="197"/>
        <v>378-2024-06-30</v>
      </c>
    </row>
    <row r="1001" spans="1:18" x14ac:dyDescent="0.3">
      <c r="A1001" s="5">
        <v>378</v>
      </c>
      <c r="B1001" s="5" t="s">
        <v>265</v>
      </c>
      <c r="C1001" s="5" t="s">
        <v>17</v>
      </c>
      <c r="D1001" s="5" t="s">
        <v>18</v>
      </c>
      <c r="E1001" s="5" t="s">
        <v>9</v>
      </c>
      <c r="F1001" s="6">
        <v>45657</v>
      </c>
      <c r="G1001" s="5">
        <f t="shared" si="193"/>
        <v>2024</v>
      </c>
      <c r="H1001" s="5" t="str">
        <f t="shared" si="200"/>
        <v>Diciembre</v>
      </c>
      <c r="I1001" s="6" t="str">
        <f t="shared" si="201"/>
        <v>2024-2</v>
      </c>
      <c r="J1001" s="5">
        <v>0</v>
      </c>
      <c r="K1001" s="5">
        <v>0</v>
      </c>
      <c r="L1001" s="15" t="str">
        <f t="shared" si="203"/>
        <v/>
      </c>
      <c r="M1001" s="15" t="str">
        <f t="shared" si="202"/>
        <v/>
      </c>
      <c r="N1001" s="5"/>
      <c r="O1001" s="5"/>
      <c r="P1001" s="5">
        <v>0</v>
      </c>
      <c r="Q1001" s="5">
        <v>0</v>
      </c>
      <c r="R1001" s="5" t="str">
        <f t="shared" si="197"/>
        <v>378-2024-12-31</v>
      </c>
    </row>
    <row r="1002" spans="1:18" x14ac:dyDescent="0.3">
      <c r="A1002" s="5">
        <v>379</v>
      </c>
      <c r="B1002" s="5" t="s">
        <v>266</v>
      </c>
      <c r="C1002" s="5" t="s">
        <v>267</v>
      </c>
      <c r="D1002" s="5" t="s">
        <v>8</v>
      </c>
      <c r="E1002" s="5" t="s">
        <v>9</v>
      </c>
      <c r="F1002" s="17">
        <v>44742</v>
      </c>
      <c r="G1002" s="16">
        <f t="shared" si="193"/>
        <v>2022</v>
      </c>
      <c r="H1002" s="6" t="str">
        <f t="shared" si="200"/>
        <v>Junio</v>
      </c>
      <c r="I1002" s="41" t="s">
        <v>426</v>
      </c>
      <c r="J1002" s="34">
        <v>10808</v>
      </c>
      <c r="K1002" s="34">
        <v>11013</v>
      </c>
      <c r="L1002" s="15">
        <f t="shared" si="203"/>
        <v>1.0189674315321984</v>
      </c>
      <c r="M1002" s="15">
        <f t="shared" si="202"/>
        <v>1.0189674315321984</v>
      </c>
      <c r="N1002" s="5" t="s">
        <v>490</v>
      </c>
      <c r="O1002" s="5" t="s">
        <v>490</v>
      </c>
      <c r="P1002" s="5">
        <v>0</v>
      </c>
      <c r="Q1002" s="5">
        <v>0</v>
      </c>
      <c r="R1002" s="5" t="str">
        <f t="shared" si="197"/>
        <v>379-2022-06-30</v>
      </c>
    </row>
    <row r="1003" spans="1:18" x14ac:dyDescent="0.3">
      <c r="A1003" s="5">
        <v>379</v>
      </c>
      <c r="B1003" s="5" t="s">
        <v>266</v>
      </c>
      <c r="C1003" s="5" t="s">
        <v>267</v>
      </c>
      <c r="D1003" s="5" t="s">
        <v>8</v>
      </c>
      <c r="E1003" s="5" t="s">
        <v>9</v>
      </c>
      <c r="F1003" s="17">
        <v>44926</v>
      </c>
      <c r="G1003" s="16">
        <f t="shared" si="193"/>
        <v>2022</v>
      </c>
      <c r="H1003" s="6" t="str">
        <f t="shared" si="200"/>
        <v>Diciembre</v>
      </c>
      <c r="I1003" s="41" t="s">
        <v>423</v>
      </c>
      <c r="J1003" s="34">
        <v>9192</v>
      </c>
      <c r="K1003" s="34">
        <v>9678</v>
      </c>
      <c r="L1003" s="15">
        <f t="shared" si="203"/>
        <v>1.0528720626631853</v>
      </c>
      <c r="M1003" s="15">
        <f t="shared" si="202"/>
        <v>1.0528720626631853</v>
      </c>
      <c r="N1003" s="5" t="s">
        <v>490</v>
      </c>
      <c r="O1003" s="5" t="s">
        <v>490</v>
      </c>
      <c r="P1003" s="5">
        <v>0</v>
      </c>
      <c r="Q1003" s="5">
        <v>0</v>
      </c>
      <c r="R1003" s="5" t="str">
        <f t="shared" si="197"/>
        <v>379-2022-12-31</v>
      </c>
    </row>
    <row r="1004" spans="1:18" x14ac:dyDescent="0.3">
      <c r="A1004" s="5">
        <v>379</v>
      </c>
      <c r="B1004" s="5" t="s">
        <v>266</v>
      </c>
      <c r="C1004" s="5" t="s">
        <v>267</v>
      </c>
      <c r="D1004" s="5" t="s">
        <v>8</v>
      </c>
      <c r="E1004" s="5" t="s">
        <v>9</v>
      </c>
      <c r="F1004" s="17">
        <v>45107</v>
      </c>
      <c r="G1004" s="16">
        <f t="shared" si="193"/>
        <v>2023</v>
      </c>
      <c r="H1004" s="6" t="str">
        <f t="shared" si="200"/>
        <v>Junio</v>
      </c>
      <c r="I1004" s="41" t="s">
        <v>422</v>
      </c>
      <c r="J1004" s="34">
        <v>12130</v>
      </c>
      <c r="K1004" s="34">
        <v>12382</v>
      </c>
      <c r="L1004" s="15">
        <f t="shared" si="203"/>
        <v>1.0207749381698268</v>
      </c>
      <c r="M1004" s="15">
        <f t="shared" si="202"/>
        <v>1.0207749381698268</v>
      </c>
      <c r="N1004" s="5" t="s">
        <v>490</v>
      </c>
      <c r="O1004" s="5" t="s">
        <v>490</v>
      </c>
      <c r="P1004" s="5">
        <v>0</v>
      </c>
      <c r="Q1004" s="5">
        <v>0</v>
      </c>
      <c r="R1004" s="5" t="str">
        <f t="shared" si="197"/>
        <v>379-2023-06-30</v>
      </c>
    </row>
    <row r="1005" spans="1:18" x14ac:dyDescent="0.3">
      <c r="A1005" s="39">
        <v>379</v>
      </c>
      <c r="B1005" s="5" t="s">
        <v>266</v>
      </c>
      <c r="C1005" s="5" t="s">
        <v>267</v>
      </c>
      <c r="D1005" s="5" t="s">
        <v>8</v>
      </c>
      <c r="E1005" s="5" t="s">
        <v>9</v>
      </c>
      <c r="F1005" s="6">
        <v>45291</v>
      </c>
      <c r="G1005" s="5">
        <f t="shared" si="193"/>
        <v>2023</v>
      </c>
      <c r="H1005" s="5" t="str">
        <f t="shared" si="200"/>
        <v>Diciembre</v>
      </c>
      <c r="I1005" s="6" t="str">
        <f t="shared" ref="I1005:I1036" si="204">IF(OR(H1005="Enero",H1005="Febrero",H1005="Marzo",H1005="Abril",H1005="Mayo",H1005="Junio"),G1005&amp;"-1",IF(OR(H1005="Julio",H1005="Agosto",H1005="Septiembre",H1005="Octubre",H1005="Noviembre",H1005="Diciembre"),G1005&amp;"-2"))</f>
        <v>2023-2</v>
      </c>
      <c r="J1005" s="9">
        <v>9876</v>
      </c>
      <c r="K1005" s="9">
        <v>10604</v>
      </c>
      <c r="L1005" s="15">
        <f t="shared" si="203"/>
        <v>1.0737140542729851</v>
      </c>
      <c r="M1005" s="15">
        <f t="shared" si="202"/>
        <v>1.0737140542729851</v>
      </c>
      <c r="N1005" s="5" t="s">
        <v>490</v>
      </c>
      <c r="O1005" s="5" t="s">
        <v>490</v>
      </c>
      <c r="P1005" s="5">
        <v>0</v>
      </c>
      <c r="Q1005" s="5">
        <v>0</v>
      </c>
      <c r="R1005" s="5" t="str">
        <f t="shared" si="197"/>
        <v>379-2023-12-31</v>
      </c>
    </row>
    <row r="1006" spans="1:18" x14ac:dyDescent="0.3">
      <c r="A1006" s="5">
        <v>379</v>
      </c>
      <c r="B1006" s="5" t="s">
        <v>266</v>
      </c>
      <c r="C1006" s="5" t="s">
        <v>267</v>
      </c>
      <c r="D1006" s="5" t="s">
        <v>8</v>
      </c>
      <c r="E1006" s="5" t="s">
        <v>9</v>
      </c>
      <c r="F1006" s="6">
        <v>45473</v>
      </c>
      <c r="G1006" s="5">
        <f t="shared" si="193"/>
        <v>2024</v>
      </c>
      <c r="H1006" s="5" t="str">
        <f t="shared" si="200"/>
        <v>Junio</v>
      </c>
      <c r="I1006" s="6" t="str">
        <f t="shared" si="204"/>
        <v>2024-1</v>
      </c>
      <c r="J1006" s="9">
        <v>13590</v>
      </c>
      <c r="K1006" s="9">
        <v>12987</v>
      </c>
      <c r="L1006" s="15">
        <f t="shared" si="203"/>
        <v>0.95562913907284763</v>
      </c>
      <c r="M1006" s="15">
        <f t="shared" si="202"/>
        <v>0.95562913907284763</v>
      </c>
      <c r="N1006" s="5" t="s">
        <v>490</v>
      </c>
      <c r="O1006" s="5" t="s">
        <v>490</v>
      </c>
      <c r="P1006" s="5">
        <v>0</v>
      </c>
      <c r="Q1006" s="5">
        <v>0</v>
      </c>
      <c r="R1006" s="5" t="str">
        <f t="shared" si="197"/>
        <v>379-2024-06-30</v>
      </c>
    </row>
    <row r="1007" spans="1:18" x14ac:dyDescent="0.3">
      <c r="A1007" s="5">
        <v>379</v>
      </c>
      <c r="B1007" s="5" t="s">
        <v>266</v>
      </c>
      <c r="C1007" s="5" t="s">
        <v>267</v>
      </c>
      <c r="D1007" s="5" t="s">
        <v>8</v>
      </c>
      <c r="E1007" s="5" t="s">
        <v>9</v>
      </c>
      <c r="F1007" s="6">
        <v>45657</v>
      </c>
      <c r="G1007" s="5">
        <f t="shared" si="193"/>
        <v>2024</v>
      </c>
      <c r="H1007" s="5" t="str">
        <f t="shared" si="200"/>
        <v>Diciembre</v>
      </c>
      <c r="I1007" s="6" t="str">
        <f t="shared" si="204"/>
        <v>2024-2</v>
      </c>
      <c r="J1007" s="9">
        <v>10675</v>
      </c>
      <c r="K1007" s="9">
        <v>10569</v>
      </c>
      <c r="L1007" s="15">
        <f t="shared" si="203"/>
        <v>0.99007025761124123</v>
      </c>
      <c r="M1007" s="15">
        <f t="shared" si="202"/>
        <v>0.99007025761124123</v>
      </c>
      <c r="N1007" s="5" t="s">
        <v>490</v>
      </c>
      <c r="O1007" s="5" t="s">
        <v>490</v>
      </c>
      <c r="P1007" s="5">
        <v>0</v>
      </c>
      <c r="Q1007" s="5">
        <v>0</v>
      </c>
      <c r="R1007" s="5" t="str">
        <f t="shared" si="197"/>
        <v>379-2024-12-31</v>
      </c>
    </row>
    <row r="1008" spans="1:18" x14ac:dyDescent="0.3">
      <c r="A1008" s="43">
        <v>380</v>
      </c>
      <c r="B1008" s="5" t="s">
        <v>268</v>
      </c>
      <c r="C1008" s="5" t="s">
        <v>267</v>
      </c>
      <c r="D1008" s="5" t="s">
        <v>8</v>
      </c>
      <c r="E1008" s="5" t="s">
        <v>9</v>
      </c>
      <c r="F1008" s="6">
        <v>45107</v>
      </c>
      <c r="G1008" s="5">
        <f t="shared" si="193"/>
        <v>2023</v>
      </c>
      <c r="H1008" s="5" t="str">
        <f t="shared" si="200"/>
        <v>Junio</v>
      </c>
      <c r="I1008" s="6" t="str">
        <f t="shared" si="204"/>
        <v>2023-1</v>
      </c>
      <c r="J1008" s="9">
        <v>24659.314309000001</v>
      </c>
      <c r="K1008" s="9">
        <v>25754.085545999998</v>
      </c>
      <c r="L1008" s="21">
        <f>IFERROR(K1008/J1008,"")</f>
        <v>1.0443958507232471</v>
      </c>
      <c r="M1008" s="15">
        <f t="shared" ref="M1008:M1017" si="205">IFERROR(K1008/J1008,"")</f>
        <v>1.0443958507232471</v>
      </c>
      <c r="N1008" s="5" t="s">
        <v>474</v>
      </c>
      <c r="O1008" s="5" t="s">
        <v>474</v>
      </c>
      <c r="P1008" s="5">
        <v>0</v>
      </c>
      <c r="Q1008" s="5">
        <v>0</v>
      </c>
      <c r="R1008" s="5" t="str">
        <f t="shared" si="197"/>
        <v>380-2023-06-30</v>
      </c>
    </row>
    <row r="1009" spans="1:18" x14ac:dyDescent="0.3">
      <c r="A1009" s="39">
        <v>380</v>
      </c>
      <c r="B1009" s="5" t="s">
        <v>268</v>
      </c>
      <c r="C1009" s="5" t="s">
        <v>267</v>
      </c>
      <c r="D1009" s="5" t="s">
        <v>8</v>
      </c>
      <c r="E1009" s="5" t="s">
        <v>9</v>
      </c>
      <c r="F1009" s="6">
        <v>45291</v>
      </c>
      <c r="G1009" s="5">
        <f t="shared" ref="G1009:G1069" si="206">YEAR(F1009)</f>
        <v>2023</v>
      </c>
      <c r="H1009" s="5" t="str">
        <f t="shared" si="200"/>
        <v>Diciembre</v>
      </c>
      <c r="I1009" s="6" t="str">
        <f t="shared" si="204"/>
        <v>2023-2</v>
      </c>
      <c r="J1009" s="9">
        <v>24724.802793999999</v>
      </c>
      <c r="K1009" s="34">
        <v>25340.546505999999</v>
      </c>
      <c r="L1009" s="21">
        <f>IFERROR(K1009/J1009,"")</f>
        <v>1.0249038876924601</v>
      </c>
      <c r="M1009" s="15">
        <f t="shared" si="205"/>
        <v>1.0249038876924601</v>
      </c>
      <c r="N1009" s="5" t="s">
        <v>474</v>
      </c>
      <c r="O1009" s="5" t="s">
        <v>474</v>
      </c>
      <c r="P1009" s="5">
        <v>0</v>
      </c>
      <c r="Q1009" s="5">
        <v>0</v>
      </c>
      <c r="R1009" s="5" t="str">
        <f t="shared" si="197"/>
        <v>380-2023-12-31</v>
      </c>
    </row>
    <row r="1010" spans="1:18" x14ac:dyDescent="0.3">
      <c r="A1010" s="39">
        <v>380</v>
      </c>
      <c r="B1010" s="5" t="s">
        <v>268</v>
      </c>
      <c r="C1010" s="5" t="s">
        <v>267</v>
      </c>
      <c r="D1010" s="5" t="s">
        <v>8</v>
      </c>
      <c r="E1010" s="5" t="s">
        <v>9</v>
      </c>
      <c r="F1010" s="6">
        <v>45473</v>
      </c>
      <c r="G1010" s="5">
        <f t="shared" si="206"/>
        <v>2024</v>
      </c>
      <c r="H1010" s="5" t="str">
        <f t="shared" si="200"/>
        <v>Junio</v>
      </c>
      <c r="I1010" s="6" t="str">
        <f t="shared" si="204"/>
        <v>2024-1</v>
      </c>
      <c r="J1010" s="12">
        <v>29596.26987</v>
      </c>
      <c r="K1010" s="12">
        <v>28449.632913000001</v>
      </c>
      <c r="L1010" s="21">
        <f>IFERROR(K1010/J1010,"")</f>
        <v>0.96125738270273453</v>
      </c>
      <c r="M1010" s="15">
        <f t="shared" si="205"/>
        <v>0.96125738270273453</v>
      </c>
      <c r="N1010" s="5" t="s">
        <v>474</v>
      </c>
      <c r="O1010" s="5" t="s">
        <v>474</v>
      </c>
      <c r="P1010" s="5">
        <v>0</v>
      </c>
      <c r="Q1010" s="5">
        <v>0</v>
      </c>
      <c r="R1010" s="5" t="str">
        <f t="shared" si="197"/>
        <v>380-2024-06-30</v>
      </c>
    </row>
    <row r="1011" spans="1:18" x14ac:dyDescent="0.3">
      <c r="A1011" s="5">
        <v>380</v>
      </c>
      <c r="B1011" s="5" t="s">
        <v>268</v>
      </c>
      <c r="C1011" s="5" t="s">
        <v>267</v>
      </c>
      <c r="D1011" s="5" t="s">
        <v>8</v>
      </c>
      <c r="E1011" s="5" t="s">
        <v>9</v>
      </c>
      <c r="F1011" s="6">
        <v>45657</v>
      </c>
      <c r="G1011" s="5">
        <f t="shared" si="206"/>
        <v>2024</v>
      </c>
      <c r="H1011" s="5" t="str">
        <f t="shared" si="200"/>
        <v>Diciembre</v>
      </c>
      <c r="I1011" s="6" t="str">
        <f t="shared" si="204"/>
        <v>2024-2</v>
      </c>
      <c r="J1011" s="5">
        <v>100</v>
      </c>
      <c r="K1011" s="5">
        <v>78.92</v>
      </c>
      <c r="L1011" s="15">
        <f>IFERROR(IF((K1011/J1011)&gt;1.3,1.3,K1011/J1011),"")</f>
        <v>0.78920000000000001</v>
      </c>
      <c r="M1011" s="15">
        <f t="shared" si="205"/>
        <v>0.78920000000000001</v>
      </c>
      <c r="N1011" s="5"/>
      <c r="O1011" s="5"/>
      <c r="P1011" s="5">
        <v>0</v>
      </c>
      <c r="Q1011" s="5">
        <v>0</v>
      </c>
      <c r="R1011" s="5" t="str">
        <f t="shared" si="197"/>
        <v>380-2024-12-31</v>
      </c>
    </row>
    <row r="1012" spans="1:18" x14ac:dyDescent="0.3">
      <c r="A1012" s="39">
        <v>381</v>
      </c>
      <c r="B1012" s="5" t="s">
        <v>269</v>
      </c>
      <c r="C1012" s="5" t="s">
        <v>267</v>
      </c>
      <c r="D1012" s="5" t="s">
        <v>8</v>
      </c>
      <c r="E1012" s="5" t="s">
        <v>9</v>
      </c>
      <c r="F1012" s="6">
        <v>44742</v>
      </c>
      <c r="G1012" s="5">
        <f t="shared" si="206"/>
        <v>2022</v>
      </c>
      <c r="H1012" s="5" t="str">
        <f t="shared" si="200"/>
        <v>Junio</v>
      </c>
      <c r="I1012" s="6" t="str">
        <f t="shared" si="204"/>
        <v>2022-1</v>
      </c>
      <c r="J1012" s="5">
        <v>1424</v>
      </c>
      <c r="K1012" s="5">
        <v>1366</v>
      </c>
      <c r="L1012" s="21">
        <f t="shared" ref="L1012:L1027" si="207">IFERROR(K1012/J1012,"")</f>
        <v>0.9592696629213483</v>
      </c>
      <c r="M1012" s="15">
        <f t="shared" si="205"/>
        <v>0.9592696629213483</v>
      </c>
      <c r="N1012" s="5" t="s">
        <v>490</v>
      </c>
      <c r="O1012" s="5" t="s">
        <v>490</v>
      </c>
      <c r="P1012" s="5">
        <v>0</v>
      </c>
      <c r="Q1012" s="5">
        <v>0</v>
      </c>
      <c r="R1012" s="5" t="str">
        <f t="shared" si="197"/>
        <v>381-2022-06-30</v>
      </c>
    </row>
    <row r="1013" spans="1:18" x14ac:dyDescent="0.3">
      <c r="A1013" s="39">
        <v>381</v>
      </c>
      <c r="B1013" s="5" t="s">
        <v>269</v>
      </c>
      <c r="C1013" s="5" t="s">
        <v>267</v>
      </c>
      <c r="D1013" s="5" t="s">
        <v>8</v>
      </c>
      <c r="E1013" s="5" t="s">
        <v>9</v>
      </c>
      <c r="F1013" s="6">
        <v>44926</v>
      </c>
      <c r="G1013" s="5">
        <f t="shared" si="206"/>
        <v>2022</v>
      </c>
      <c r="H1013" s="5" t="str">
        <f t="shared" si="200"/>
        <v>Diciembre</v>
      </c>
      <c r="I1013" s="6" t="str">
        <f t="shared" si="204"/>
        <v>2022-2</v>
      </c>
      <c r="J1013" s="5">
        <v>988</v>
      </c>
      <c r="K1013" s="5">
        <v>1086</v>
      </c>
      <c r="L1013" s="21">
        <f t="shared" si="207"/>
        <v>1.0991902834008098</v>
      </c>
      <c r="M1013" s="15">
        <f t="shared" si="205"/>
        <v>1.0991902834008098</v>
      </c>
      <c r="N1013" s="5" t="s">
        <v>490</v>
      </c>
      <c r="O1013" s="5" t="s">
        <v>490</v>
      </c>
      <c r="P1013" s="5">
        <v>0</v>
      </c>
      <c r="Q1013" s="5">
        <v>0</v>
      </c>
      <c r="R1013" s="5" t="str">
        <f t="shared" si="197"/>
        <v>381-2022-12-31</v>
      </c>
    </row>
    <row r="1014" spans="1:18" x14ac:dyDescent="0.3">
      <c r="A1014" s="39">
        <v>381</v>
      </c>
      <c r="B1014" s="5" t="s">
        <v>269</v>
      </c>
      <c r="C1014" s="5" t="s">
        <v>267</v>
      </c>
      <c r="D1014" s="5" t="s">
        <v>8</v>
      </c>
      <c r="E1014" s="5" t="s">
        <v>9</v>
      </c>
      <c r="F1014" s="6">
        <v>45107</v>
      </c>
      <c r="G1014" s="5">
        <f t="shared" si="206"/>
        <v>2023</v>
      </c>
      <c r="H1014" s="5" t="str">
        <f t="shared" si="200"/>
        <v>Junio</v>
      </c>
      <c r="I1014" s="6" t="str">
        <f t="shared" si="204"/>
        <v>2023-1</v>
      </c>
      <c r="J1014" s="5">
        <v>1428</v>
      </c>
      <c r="K1014" s="5">
        <v>1498</v>
      </c>
      <c r="L1014" s="21">
        <f t="shared" si="207"/>
        <v>1.0490196078431373</v>
      </c>
      <c r="M1014" s="15">
        <f t="shared" si="205"/>
        <v>1.0490196078431373</v>
      </c>
      <c r="N1014" s="5" t="s">
        <v>490</v>
      </c>
      <c r="O1014" s="5" t="s">
        <v>490</v>
      </c>
      <c r="P1014" s="5">
        <v>0</v>
      </c>
      <c r="Q1014" s="5">
        <v>0</v>
      </c>
      <c r="R1014" s="5" t="str">
        <f t="shared" si="197"/>
        <v>381-2023-06-30</v>
      </c>
    </row>
    <row r="1015" spans="1:18" x14ac:dyDescent="0.3">
      <c r="A1015" s="39">
        <v>381</v>
      </c>
      <c r="B1015" s="5" t="s">
        <v>269</v>
      </c>
      <c r="C1015" s="5" t="s">
        <v>267</v>
      </c>
      <c r="D1015" s="5" t="s">
        <v>8</v>
      </c>
      <c r="E1015" s="5" t="s">
        <v>9</v>
      </c>
      <c r="F1015" s="6">
        <v>45291</v>
      </c>
      <c r="G1015" s="5">
        <f t="shared" si="206"/>
        <v>2023</v>
      </c>
      <c r="H1015" s="5" t="str">
        <f t="shared" si="200"/>
        <v>Diciembre</v>
      </c>
      <c r="I1015" s="6" t="str">
        <f t="shared" si="204"/>
        <v>2023-2</v>
      </c>
      <c r="J1015" s="5">
        <v>1168</v>
      </c>
      <c r="K1015" s="5">
        <v>1341</v>
      </c>
      <c r="L1015" s="21">
        <f t="shared" si="207"/>
        <v>1.1481164383561644</v>
      </c>
      <c r="M1015" s="15">
        <f t="shared" si="205"/>
        <v>1.1481164383561644</v>
      </c>
      <c r="N1015" s="5" t="s">
        <v>490</v>
      </c>
      <c r="O1015" s="5" t="s">
        <v>490</v>
      </c>
      <c r="P1015" s="5">
        <v>0</v>
      </c>
      <c r="Q1015" s="5">
        <v>0</v>
      </c>
      <c r="R1015" s="5" t="str">
        <f t="shared" si="197"/>
        <v>381-2023-12-31</v>
      </c>
    </row>
    <row r="1016" spans="1:18" x14ac:dyDescent="0.3">
      <c r="A1016" s="39">
        <v>381</v>
      </c>
      <c r="B1016" s="5" t="s">
        <v>269</v>
      </c>
      <c r="C1016" s="5" t="s">
        <v>267</v>
      </c>
      <c r="D1016" s="5" t="s">
        <v>8</v>
      </c>
      <c r="E1016" s="5" t="s">
        <v>9</v>
      </c>
      <c r="F1016" s="6">
        <v>45473</v>
      </c>
      <c r="G1016" s="5">
        <f t="shared" si="206"/>
        <v>2024</v>
      </c>
      <c r="H1016" s="5" t="str">
        <f t="shared" si="200"/>
        <v>Junio</v>
      </c>
      <c r="I1016" s="6" t="str">
        <f t="shared" si="204"/>
        <v>2024-1</v>
      </c>
      <c r="J1016" s="5">
        <v>1482</v>
      </c>
      <c r="K1016" s="5">
        <v>1560</v>
      </c>
      <c r="L1016" s="21">
        <f t="shared" si="207"/>
        <v>1.0526315789473684</v>
      </c>
      <c r="M1016" s="15">
        <f t="shared" si="205"/>
        <v>1.0526315789473684</v>
      </c>
      <c r="N1016" s="5" t="s">
        <v>490</v>
      </c>
      <c r="O1016" s="5" t="s">
        <v>490</v>
      </c>
      <c r="P1016" s="5">
        <v>0</v>
      </c>
      <c r="Q1016" s="5">
        <v>0</v>
      </c>
      <c r="R1016" s="5" t="s">
        <v>543</v>
      </c>
    </row>
    <row r="1017" spans="1:18" x14ac:dyDescent="0.3">
      <c r="A1017" s="5">
        <v>381</v>
      </c>
      <c r="B1017" s="5" t="s">
        <v>269</v>
      </c>
      <c r="C1017" s="5" t="s">
        <v>267</v>
      </c>
      <c r="D1017" s="5" t="s">
        <v>8</v>
      </c>
      <c r="E1017" s="5" t="s">
        <v>9</v>
      </c>
      <c r="F1017" s="6">
        <v>45657</v>
      </c>
      <c r="G1017" s="5">
        <f t="shared" si="206"/>
        <v>2024</v>
      </c>
      <c r="H1017" s="5" t="str">
        <f t="shared" si="200"/>
        <v>Diciembre</v>
      </c>
      <c r="I1017" s="6" t="str">
        <f t="shared" si="204"/>
        <v>2024-2</v>
      </c>
      <c r="J1017" s="5">
        <v>1101</v>
      </c>
      <c r="K1017" s="5">
        <v>982</v>
      </c>
      <c r="L1017" s="21">
        <f t="shared" si="207"/>
        <v>0.89191643960036326</v>
      </c>
      <c r="M1017" s="15">
        <f t="shared" si="205"/>
        <v>0.89191643960036326</v>
      </c>
      <c r="N1017" s="5" t="s">
        <v>490</v>
      </c>
      <c r="O1017" s="5" t="s">
        <v>490</v>
      </c>
      <c r="P1017" s="5">
        <v>0</v>
      </c>
      <c r="Q1017" s="5">
        <v>0</v>
      </c>
      <c r="R1017" s="5" t="str">
        <f>A1017&amp;"-"&amp;YEAR(F1017)&amp;"-"&amp;IF(LEN(MONTH(F1017))=1,"0"&amp;MONTH(F1017),MONTH(F1017))&amp;"-"&amp;DAY(F1017)</f>
        <v>381-2024-12-31</v>
      </c>
    </row>
    <row r="1018" spans="1:18" x14ac:dyDescent="0.3">
      <c r="A1018" s="39">
        <v>382</v>
      </c>
      <c r="B1018" s="5" t="s">
        <v>270</v>
      </c>
      <c r="C1018" s="5" t="s">
        <v>267</v>
      </c>
      <c r="D1018" s="5" t="s">
        <v>8</v>
      </c>
      <c r="E1018" s="5" t="s">
        <v>9</v>
      </c>
      <c r="F1018" s="6">
        <v>44742</v>
      </c>
      <c r="G1018" s="5">
        <f t="shared" si="206"/>
        <v>2022</v>
      </c>
      <c r="H1018" s="5" t="str">
        <f t="shared" si="200"/>
        <v>Junio</v>
      </c>
      <c r="I1018" s="6" t="str">
        <f t="shared" si="204"/>
        <v>2022-1</v>
      </c>
      <c r="J1018" s="5">
        <v>8041</v>
      </c>
      <c r="K1018" s="5">
        <v>8156</v>
      </c>
      <c r="L1018" s="21">
        <f t="shared" si="207"/>
        <v>1.0143017037681881</v>
      </c>
      <c r="M1018" s="15">
        <f t="shared" ref="M1018:M1021" si="208">IFERROR(K1018/J1018,"")</f>
        <v>1.0143017037681881</v>
      </c>
      <c r="N1018" s="5" t="s">
        <v>490</v>
      </c>
      <c r="O1018" s="5" t="s">
        <v>490</v>
      </c>
      <c r="P1018" s="5">
        <v>0</v>
      </c>
      <c r="Q1018" s="5">
        <v>0</v>
      </c>
      <c r="R1018" s="5" t="str">
        <f>A1018&amp;"-"&amp;YEAR(F1018)&amp;"-"&amp;IF(LEN(MONTH(F1018))=1,"0"&amp;MONTH(F1018),MONTH(F1018))&amp;"-"&amp;DAY(F1018)</f>
        <v>382-2022-06-30</v>
      </c>
    </row>
    <row r="1019" spans="1:18" x14ac:dyDescent="0.3">
      <c r="A1019" s="39">
        <v>382</v>
      </c>
      <c r="B1019" s="5" t="s">
        <v>270</v>
      </c>
      <c r="C1019" s="5" t="s">
        <v>267</v>
      </c>
      <c r="D1019" s="5" t="s">
        <v>8</v>
      </c>
      <c r="E1019" s="5" t="s">
        <v>9</v>
      </c>
      <c r="F1019" s="6">
        <v>44926</v>
      </c>
      <c r="G1019" s="5">
        <f t="shared" si="206"/>
        <v>2022</v>
      </c>
      <c r="H1019" s="5" t="str">
        <f t="shared" si="200"/>
        <v>Diciembre</v>
      </c>
      <c r="I1019" s="6" t="str">
        <f t="shared" si="204"/>
        <v>2022-2</v>
      </c>
      <c r="J1019" s="5">
        <v>7245</v>
      </c>
      <c r="K1019" s="5">
        <v>7311</v>
      </c>
      <c r="L1019" s="21">
        <f t="shared" si="207"/>
        <v>1.0091097308488612</v>
      </c>
      <c r="M1019" s="15">
        <f t="shared" si="208"/>
        <v>1.0091097308488612</v>
      </c>
      <c r="N1019" s="5" t="s">
        <v>490</v>
      </c>
      <c r="O1019" s="5" t="s">
        <v>490</v>
      </c>
      <c r="P1019" s="5">
        <v>0</v>
      </c>
      <c r="Q1019" s="5">
        <v>0</v>
      </c>
      <c r="R1019" s="5" t="str">
        <f>A1019&amp;"-"&amp;YEAR(F1019)&amp;"-"&amp;IF(LEN(MONTH(F1019))=1,"0"&amp;MONTH(F1019),MONTH(F1019))&amp;"-"&amp;DAY(F1019)</f>
        <v>382-2022-12-31</v>
      </c>
    </row>
    <row r="1020" spans="1:18" x14ac:dyDescent="0.3">
      <c r="A1020" s="39">
        <v>382</v>
      </c>
      <c r="B1020" s="5" t="s">
        <v>270</v>
      </c>
      <c r="C1020" s="5" t="s">
        <v>267</v>
      </c>
      <c r="D1020" s="5" t="s">
        <v>8</v>
      </c>
      <c r="E1020" s="5" t="s">
        <v>9</v>
      </c>
      <c r="F1020" s="6">
        <v>45107</v>
      </c>
      <c r="G1020" s="5">
        <f t="shared" si="206"/>
        <v>2023</v>
      </c>
      <c r="H1020" s="5" t="str">
        <f t="shared" si="200"/>
        <v>Junio</v>
      </c>
      <c r="I1020" s="6" t="str">
        <f t="shared" si="204"/>
        <v>2023-1</v>
      </c>
      <c r="J1020" s="5">
        <v>9117</v>
      </c>
      <c r="K1020" s="5">
        <v>9174</v>
      </c>
      <c r="L1020" s="21">
        <f t="shared" si="207"/>
        <v>1.006252056597565</v>
      </c>
      <c r="M1020" s="15">
        <f t="shared" si="208"/>
        <v>1.006252056597565</v>
      </c>
      <c r="N1020" s="5" t="s">
        <v>490</v>
      </c>
      <c r="O1020" s="5" t="s">
        <v>490</v>
      </c>
      <c r="P1020" s="5">
        <v>0</v>
      </c>
      <c r="Q1020" s="5">
        <v>0</v>
      </c>
      <c r="R1020" s="5" t="str">
        <f>A1020&amp;"-"&amp;YEAR(F1020)&amp;"-"&amp;IF(LEN(MONTH(F1020))=1,"0"&amp;MONTH(F1020),MONTH(F1020))&amp;"-"&amp;DAY(F1020)</f>
        <v>382-2023-06-30</v>
      </c>
    </row>
    <row r="1021" spans="1:18" x14ac:dyDescent="0.3">
      <c r="A1021" s="39">
        <v>382</v>
      </c>
      <c r="B1021" s="5" t="s">
        <v>270</v>
      </c>
      <c r="C1021" s="5" t="s">
        <v>267</v>
      </c>
      <c r="D1021" s="5" t="s">
        <v>8</v>
      </c>
      <c r="E1021" s="5" t="s">
        <v>9</v>
      </c>
      <c r="F1021" s="6">
        <v>45291</v>
      </c>
      <c r="G1021" s="5">
        <f t="shared" si="206"/>
        <v>2023</v>
      </c>
      <c r="H1021" s="5" t="str">
        <f t="shared" si="200"/>
        <v>Diciembre</v>
      </c>
      <c r="I1021" s="6" t="str">
        <f t="shared" si="204"/>
        <v>2023-2</v>
      </c>
      <c r="J1021" s="5">
        <v>7616</v>
      </c>
      <c r="K1021" s="5">
        <v>7735</v>
      </c>
      <c r="L1021" s="21">
        <f t="shared" si="207"/>
        <v>1.015625</v>
      </c>
      <c r="M1021" s="15">
        <f t="shared" si="208"/>
        <v>1.015625</v>
      </c>
      <c r="N1021" s="5" t="s">
        <v>490</v>
      </c>
      <c r="O1021" s="5" t="s">
        <v>490</v>
      </c>
      <c r="P1021" s="5">
        <v>0</v>
      </c>
      <c r="Q1021" s="5">
        <v>0</v>
      </c>
      <c r="R1021" s="5" t="str">
        <f>A1021&amp;"-"&amp;YEAR(F1021)&amp;"-"&amp;IF(LEN(MONTH(F1021))=1,"0"&amp;MONTH(F1021),MONTH(F1021))&amp;"-"&amp;DAY(F1021)</f>
        <v>382-2023-12-31</v>
      </c>
    </row>
    <row r="1022" spans="1:18" x14ac:dyDescent="0.3">
      <c r="A1022" s="39">
        <v>382</v>
      </c>
      <c r="B1022" s="5" t="s">
        <v>270</v>
      </c>
      <c r="C1022" s="5" t="s">
        <v>267</v>
      </c>
      <c r="D1022" s="5" t="s">
        <v>8</v>
      </c>
      <c r="E1022" s="5" t="s">
        <v>9</v>
      </c>
      <c r="F1022" s="6">
        <v>45473</v>
      </c>
      <c r="G1022" s="5">
        <f t="shared" si="206"/>
        <v>2024</v>
      </c>
      <c r="H1022" s="5" t="str">
        <f t="shared" si="200"/>
        <v>Junio</v>
      </c>
      <c r="I1022" s="6" t="str">
        <f t="shared" si="204"/>
        <v>2024-1</v>
      </c>
      <c r="J1022" s="5">
        <v>10220</v>
      </c>
      <c r="K1022" s="5">
        <v>9547</v>
      </c>
      <c r="L1022" s="21">
        <f t="shared" si="207"/>
        <v>0.93414872798434445</v>
      </c>
      <c r="M1022" s="15">
        <v>1.006252056597565</v>
      </c>
      <c r="N1022" s="5" t="s">
        <v>490</v>
      </c>
      <c r="O1022" s="5" t="s">
        <v>490</v>
      </c>
      <c r="P1022" s="5">
        <v>0</v>
      </c>
      <c r="Q1022" s="5">
        <v>0</v>
      </c>
      <c r="R1022" s="5" t="s">
        <v>544</v>
      </c>
    </row>
    <row r="1023" spans="1:18" x14ac:dyDescent="0.3">
      <c r="A1023" s="5">
        <v>382</v>
      </c>
      <c r="B1023" s="5" t="s">
        <v>270</v>
      </c>
      <c r="C1023" s="5" t="s">
        <v>267</v>
      </c>
      <c r="D1023" s="5" t="s">
        <v>8</v>
      </c>
      <c r="E1023" s="5" t="s">
        <v>9</v>
      </c>
      <c r="F1023" s="6">
        <v>45657</v>
      </c>
      <c r="G1023" s="5">
        <f t="shared" si="206"/>
        <v>2024</v>
      </c>
      <c r="H1023" s="5" t="str">
        <f t="shared" si="200"/>
        <v>Diciembre</v>
      </c>
      <c r="I1023" s="6" t="str">
        <f t="shared" si="204"/>
        <v>2024-2</v>
      </c>
      <c r="J1023" s="5">
        <v>8220</v>
      </c>
      <c r="K1023" s="5">
        <v>8039</v>
      </c>
      <c r="L1023" s="21">
        <f t="shared" si="207"/>
        <v>0.97798053527980533</v>
      </c>
      <c r="M1023" s="15">
        <f t="shared" ref="M1023:M1027" si="209">IFERROR(K1023/J1023,"")</f>
        <v>0.97798053527980533</v>
      </c>
      <c r="N1023" s="5" t="s">
        <v>490</v>
      </c>
      <c r="O1023" s="5" t="s">
        <v>490</v>
      </c>
      <c r="P1023" s="5">
        <v>0</v>
      </c>
      <c r="Q1023" s="5">
        <v>0</v>
      </c>
      <c r="R1023" s="5" t="str">
        <f>A1023&amp;"-"&amp;YEAR(F1023)&amp;"-"&amp;IF(LEN(MONTH(F1023))=1,"0"&amp;MONTH(F1023),MONTH(F1023))&amp;"-"&amp;DAY(F1023)</f>
        <v>382-2024-12-31</v>
      </c>
    </row>
    <row r="1024" spans="1:18" x14ac:dyDescent="0.3">
      <c r="A1024" s="39">
        <v>383</v>
      </c>
      <c r="B1024" s="5" t="s">
        <v>271</v>
      </c>
      <c r="C1024" s="5" t="s">
        <v>267</v>
      </c>
      <c r="D1024" s="5" t="s">
        <v>8</v>
      </c>
      <c r="E1024" s="5" t="s">
        <v>9</v>
      </c>
      <c r="F1024" s="6">
        <v>44742</v>
      </c>
      <c r="G1024" s="5">
        <f t="shared" si="206"/>
        <v>2022</v>
      </c>
      <c r="H1024" s="5" t="str">
        <f t="shared" si="200"/>
        <v>Junio</v>
      </c>
      <c r="I1024" s="6" t="str">
        <f t="shared" si="204"/>
        <v>2022-1</v>
      </c>
      <c r="J1024" s="5">
        <v>1004</v>
      </c>
      <c r="K1024" s="5">
        <v>1191</v>
      </c>
      <c r="L1024" s="21">
        <f t="shared" si="207"/>
        <v>1.1862549800796813</v>
      </c>
      <c r="M1024" s="15">
        <f t="shared" si="209"/>
        <v>1.1862549800796813</v>
      </c>
      <c r="N1024" s="5" t="s">
        <v>490</v>
      </c>
      <c r="O1024" s="5" t="s">
        <v>490</v>
      </c>
      <c r="P1024" s="5">
        <v>0</v>
      </c>
      <c r="Q1024" s="5">
        <v>0</v>
      </c>
      <c r="R1024" s="5" t="str">
        <f>A1024&amp;"-"&amp;YEAR(F1024)&amp;"-"&amp;IF(LEN(MONTH(F1024))=1,"0"&amp;MONTH(F1024),MONTH(F1024))&amp;"-"&amp;DAY(F1024)</f>
        <v>383-2022-06-30</v>
      </c>
    </row>
    <row r="1025" spans="1:18" x14ac:dyDescent="0.3">
      <c r="A1025" s="39">
        <v>383</v>
      </c>
      <c r="B1025" s="5" t="s">
        <v>271</v>
      </c>
      <c r="C1025" s="5" t="s">
        <v>267</v>
      </c>
      <c r="D1025" s="5" t="s">
        <v>8</v>
      </c>
      <c r="E1025" s="5" t="s">
        <v>9</v>
      </c>
      <c r="F1025" s="6">
        <v>44926</v>
      </c>
      <c r="G1025" s="5">
        <f t="shared" si="206"/>
        <v>2022</v>
      </c>
      <c r="H1025" s="5" t="str">
        <f t="shared" si="200"/>
        <v>Diciembre</v>
      </c>
      <c r="I1025" s="6" t="str">
        <f t="shared" si="204"/>
        <v>2022-2</v>
      </c>
      <c r="J1025" s="5">
        <v>764</v>
      </c>
      <c r="K1025" s="5">
        <v>993</v>
      </c>
      <c r="L1025" s="21">
        <f t="shared" si="207"/>
        <v>1.299738219895288</v>
      </c>
      <c r="M1025" s="15">
        <f t="shared" si="209"/>
        <v>1.299738219895288</v>
      </c>
      <c r="N1025" s="5" t="s">
        <v>490</v>
      </c>
      <c r="O1025" s="5" t="s">
        <v>490</v>
      </c>
      <c r="P1025" s="5">
        <v>0</v>
      </c>
      <c r="Q1025" s="5">
        <v>0</v>
      </c>
      <c r="R1025" s="5" t="str">
        <f>A1025&amp;"-"&amp;YEAR(F1025)&amp;"-"&amp;IF(LEN(MONTH(F1025))=1,"0"&amp;MONTH(F1025),MONTH(F1025))&amp;"-"&amp;DAY(F1025)</f>
        <v>383-2022-12-31</v>
      </c>
    </row>
    <row r="1026" spans="1:18" x14ac:dyDescent="0.3">
      <c r="A1026" s="39">
        <v>383</v>
      </c>
      <c r="B1026" s="5" t="s">
        <v>271</v>
      </c>
      <c r="C1026" s="5" t="s">
        <v>267</v>
      </c>
      <c r="D1026" s="5" t="s">
        <v>8</v>
      </c>
      <c r="E1026" s="5" t="s">
        <v>9</v>
      </c>
      <c r="F1026" s="6">
        <v>45107</v>
      </c>
      <c r="G1026" s="5">
        <f t="shared" si="206"/>
        <v>2023</v>
      </c>
      <c r="H1026" s="5" t="str">
        <f t="shared" si="200"/>
        <v>Junio</v>
      </c>
      <c r="I1026" s="6" t="str">
        <f t="shared" si="204"/>
        <v>2023-1</v>
      </c>
      <c r="J1026" s="5">
        <v>1279</v>
      </c>
      <c r="K1026" s="5">
        <v>1378</v>
      </c>
      <c r="L1026" s="21">
        <f t="shared" si="207"/>
        <v>1.0774042220484754</v>
      </c>
      <c r="M1026" s="15">
        <f t="shared" si="209"/>
        <v>1.0774042220484754</v>
      </c>
      <c r="N1026" s="5" t="s">
        <v>490</v>
      </c>
      <c r="O1026" s="5" t="s">
        <v>490</v>
      </c>
      <c r="P1026" s="5">
        <v>0</v>
      </c>
      <c r="Q1026" s="5">
        <v>0</v>
      </c>
      <c r="R1026" s="5" t="str">
        <f>A1026&amp;"-"&amp;YEAR(F1026)&amp;"-"&amp;IF(LEN(MONTH(F1026))=1,"0"&amp;MONTH(F1026),MONTH(F1026))&amp;"-"&amp;DAY(F1026)</f>
        <v>383-2023-06-30</v>
      </c>
    </row>
    <row r="1027" spans="1:18" x14ac:dyDescent="0.3">
      <c r="A1027" s="39">
        <v>383</v>
      </c>
      <c r="B1027" s="5" t="s">
        <v>271</v>
      </c>
      <c r="C1027" s="5" t="s">
        <v>267</v>
      </c>
      <c r="D1027" s="5" t="s">
        <v>8</v>
      </c>
      <c r="E1027" s="5" t="s">
        <v>9</v>
      </c>
      <c r="F1027" s="6">
        <v>45291</v>
      </c>
      <c r="G1027" s="5">
        <f t="shared" si="206"/>
        <v>2023</v>
      </c>
      <c r="H1027" s="5" t="str">
        <f t="shared" si="200"/>
        <v>Diciembre</v>
      </c>
      <c r="I1027" s="6" t="str">
        <f t="shared" si="204"/>
        <v>2023-2</v>
      </c>
      <c r="J1027" s="5">
        <v>896</v>
      </c>
      <c r="K1027" s="5">
        <v>1303</v>
      </c>
      <c r="L1027" s="21">
        <f t="shared" si="207"/>
        <v>1.4542410714285714</v>
      </c>
      <c r="M1027" s="15">
        <f t="shared" si="209"/>
        <v>1.4542410714285714</v>
      </c>
      <c r="N1027" s="5" t="s">
        <v>490</v>
      </c>
      <c r="O1027" s="5" t="s">
        <v>490</v>
      </c>
      <c r="P1027" s="5">
        <v>0</v>
      </c>
      <c r="Q1027" s="5">
        <v>0</v>
      </c>
      <c r="R1027" s="5" t="str">
        <f>A1027&amp;"-"&amp;YEAR(F1027)&amp;"-"&amp;IF(LEN(MONTH(F1027))=1,"0"&amp;MONTH(F1027),MONTH(F1027))&amp;"-"&amp;DAY(F1027)</f>
        <v>383-2023-12-31</v>
      </c>
    </row>
    <row r="1028" spans="1:18" x14ac:dyDescent="0.3">
      <c r="A1028" s="39">
        <v>383</v>
      </c>
      <c r="B1028" s="5" t="s">
        <v>271</v>
      </c>
      <c r="C1028" s="5" t="s">
        <v>267</v>
      </c>
      <c r="D1028" s="5" t="s">
        <v>8</v>
      </c>
      <c r="E1028" s="5" t="s">
        <v>9</v>
      </c>
      <c r="F1028" s="6">
        <v>45473</v>
      </c>
      <c r="G1028" s="5">
        <f t="shared" si="206"/>
        <v>2024</v>
      </c>
      <c r="H1028" s="5" t="str">
        <f t="shared" si="200"/>
        <v>Junio</v>
      </c>
      <c r="I1028" s="6" t="str">
        <f t="shared" si="204"/>
        <v>2024-1</v>
      </c>
      <c r="J1028" s="3">
        <v>1525</v>
      </c>
      <c r="K1028" s="9">
        <v>1506</v>
      </c>
      <c r="L1028" s="21">
        <v>1.0774042220484754</v>
      </c>
      <c r="M1028" s="15">
        <v>1.0774042220484754</v>
      </c>
      <c r="N1028" s="5" t="s">
        <v>490</v>
      </c>
      <c r="O1028" s="5" t="s">
        <v>490</v>
      </c>
      <c r="P1028" s="5">
        <v>0</v>
      </c>
      <c r="Q1028" s="5">
        <v>0</v>
      </c>
      <c r="R1028" s="5" t="s">
        <v>545</v>
      </c>
    </row>
    <row r="1029" spans="1:18" x14ac:dyDescent="0.3">
      <c r="A1029" s="5">
        <v>383</v>
      </c>
      <c r="B1029" s="5" t="s">
        <v>271</v>
      </c>
      <c r="C1029" s="5" t="s">
        <v>267</v>
      </c>
      <c r="D1029" s="5" t="s">
        <v>8</v>
      </c>
      <c r="E1029" s="5" t="s">
        <v>9</v>
      </c>
      <c r="F1029" s="6">
        <v>45473</v>
      </c>
      <c r="G1029" s="5">
        <f t="shared" si="206"/>
        <v>2024</v>
      </c>
      <c r="H1029" s="5" t="str">
        <f t="shared" si="200"/>
        <v>Junio</v>
      </c>
      <c r="I1029" s="6" t="str">
        <f t="shared" si="204"/>
        <v>2024-1</v>
      </c>
      <c r="J1029" s="3">
        <v>1106</v>
      </c>
      <c r="K1029" s="10">
        <v>1317</v>
      </c>
      <c r="L1029" s="15">
        <f>IFERROR(IF((K1029/J1029)&gt;1.3,1.3,K1029/J1029),"")</f>
        <v>1.1907775768535263</v>
      </c>
      <c r="M1029" s="15">
        <f t="shared" ref="M1029:M1036" si="210">IFERROR(K1029/J1029,"")</f>
        <v>1.1907775768535263</v>
      </c>
      <c r="N1029" s="5" t="s">
        <v>490</v>
      </c>
      <c r="O1029" s="5" t="s">
        <v>490</v>
      </c>
      <c r="P1029" s="5">
        <v>0</v>
      </c>
      <c r="Q1029" s="5">
        <v>0</v>
      </c>
      <c r="R1029" s="5" t="str">
        <f t="shared" ref="R1029:R1034" si="211">A1029&amp;"-"&amp;YEAR(F1029)&amp;"-"&amp;IF(LEN(MONTH(F1029))=1,"0"&amp;MONTH(F1029),MONTH(F1029))&amp;"-"&amp;DAY(F1029)</f>
        <v>383-2024-06-30</v>
      </c>
    </row>
    <row r="1030" spans="1:18" x14ac:dyDescent="0.3">
      <c r="A1030" s="5">
        <v>383</v>
      </c>
      <c r="B1030" s="5" t="s">
        <v>271</v>
      </c>
      <c r="C1030" s="5" t="s">
        <v>267</v>
      </c>
      <c r="D1030" s="5" t="s">
        <v>8</v>
      </c>
      <c r="E1030" s="5" t="s">
        <v>9</v>
      </c>
      <c r="F1030" s="6">
        <v>45657</v>
      </c>
      <c r="G1030" s="5">
        <f t="shared" si="206"/>
        <v>2024</v>
      </c>
      <c r="H1030" s="5" t="str">
        <f t="shared" si="200"/>
        <v>Diciembre</v>
      </c>
      <c r="I1030" s="6" t="str">
        <f t="shared" si="204"/>
        <v>2024-2</v>
      </c>
      <c r="J1030" s="3">
        <v>1599</v>
      </c>
      <c r="K1030" s="9">
        <v>2165</v>
      </c>
      <c r="L1030" s="15">
        <f>IFERROR(IF((K1030/J1030)&gt;1.3,1.3,K1030/J1030),"")</f>
        <v>1.3</v>
      </c>
      <c r="M1030" s="15">
        <f t="shared" si="210"/>
        <v>1.3539712320200126</v>
      </c>
      <c r="N1030" s="5" t="s">
        <v>490</v>
      </c>
      <c r="O1030" s="5" t="s">
        <v>490</v>
      </c>
      <c r="P1030" s="5">
        <v>0</v>
      </c>
      <c r="Q1030" s="5">
        <v>0</v>
      </c>
      <c r="R1030" s="5" t="str">
        <f t="shared" si="211"/>
        <v>383-2024-12-31</v>
      </c>
    </row>
    <row r="1031" spans="1:18" x14ac:dyDescent="0.3">
      <c r="A1031" s="39">
        <v>384</v>
      </c>
      <c r="B1031" s="5" t="s">
        <v>272</v>
      </c>
      <c r="C1031" s="5" t="s">
        <v>267</v>
      </c>
      <c r="D1031" s="5" t="s">
        <v>8</v>
      </c>
      <c r="E1031" s="5" t="s">
        <v>9</v>
      </c>
      <c r="F1031" s="6">
        <v>44742</v>
      </c>
      <c r="G1031" s="5">
        <f t="shared" si="206"/>
        <v>2022</v>
      </c>
      <c r="H1031" s="5" t="str">
        <f t="shared" si="200"/>
        <v>Junio</v>
      </c>
      <c r="I1031" s="6" t="str">
        <f t="shared" si="204"/>
        <v>2022-1</v>
      </c>
      <c r="J1031" s="5">
        <v>339</v>
      </c>
      <c r="K1031" s="5">
        <v>299</v>
      </c>
      <c r="L1031" s="15">
        <f t="shared" ref="L1031:L1046" si="212">IFERROR(IF((K1031/J1031)&gt;1.3,1.3,K1031/J1031),"")</f>
        <v>0.88200589970501475</v>
      </c>
      <c r="M1031" s="15">
        <f t="shared" si="210"/>
        <v>0.88200589970501475</v>
      </c>
      <c r="N1031" s="5" t="s">
        <v>490</v>
      </c>
      <c r="O1031" s="5" t="s">
        <v>490</v>
      </c>
      <c r="P1031" s="5">
        <v>0</v>
      </c>
      <c r="Q1031" s="5">
        <v>0</v>
      </c>
      <c r="R1031" s="5" t="str">
        <f t="shared" si="211"/>
        <v>384-2022-06-30</v>
      </c>
    </row>
    <row r="1032" spans="1:18" x14ac:dyDescent="0.3">
      <c r="A1032" s="39">
        <v>384</v>
      </c>
      <c r="B1032" s="5" t="s">
        <v>272</v>
      </c>
      <c r="C1032" s="5" t="s">
        <v>267</v>
      </c>
      <c r="D1032" s="5" t="s">
        <v>8</v>
      </c>
      <c r="E1032" s="5" t="s">
        <v>9</v>
      </c>
      <c r="F1032" s="6">
        <v>44926</v>
      </c>
      <c r="G1032" s="5">
        <f t="shared" si="206"/>
        <v>2022</v>
      </c>
      <c r="H1032" s="5" t="str">
        <f t="shared" si="200"/>
        <v>Diciembre</v>
      </c>
      <c r="I1032" s="6" t="str">
        <f t="shared" si="204"/>
        <v>2022-2</v>
      </c>
      <c r="J1032" s="5">
        <v>195</v>
      </c>
      <c r="K1032" s="5">
        <v>188</v>
      </c>
      <c r="L1032" s="15">
        <f t="shared" si="212"/>
        <v>0.96410256410256412</v>
      </c>
      <c r="M1032" s="15">
        <f t="shared" si="210"/>
        <v>0.96410256410256412</v>
      </c>
      <c r="N1032" s="5" t="s">
        <v>490</v>
      </c>
      <c r="O1032" s="5" t="s">
        <v>490</v>
      </c>
      <c r="P1032" s="5">
        <v>0</v>
      </c>
      <c r="Q1032" s="5">
        <v>0</v>
      </c>
      <c r="R1032" s="5" t="str">
        <f t="shared" si="211"/>
        <v>384-2022-12-31</v>
      </c>
    </row>
    <row r="1033" spans="1:18" x14ac:dyDescent="0.3">
      <c r="A1033" s="39">
        <v>384</v>
      </c>
      <c r="B1033" s="5" t="s">
        <v>272</v>
      </c>
      <c r="C1033" s="5" t="s">
        <v>267</v>
      </c>
      <c r="D1033" s="5" t="s">
        <v>8</v>
      </c>
      <c r="E1033" s="5" t="s">
        <v>9</v>
      </c>
      <c r="F1033" s="6">
        <v>45107</v>
      </c>
      <c r="G1033" s="5">
        <f t="shared" si="206"/>
        <v>2023</v>
      </c>
      <c r="H1033" s="5" t="str">
        <f t="shared" si="200"/>
        <v>Junio</v>
      </c>
      <c r="I1033" s="6" t="str">
        <f t="shared" si="204"/>
        <v>2023-1</v>
      </c>
      <c r="J1033" s="5">
        <v>306</v>
      </c>
      <c r="K1033" s="9">
        <v>332</v>
      </c>
      <c r="L1033" s="15">
        <f t="shared" si="212"/>
        <v>1.0849673202614378</v>
      </c>
      <c r="M1033" s="15">
        <f t="shared" si="210"/>
        <v>1.0849673202614378</v>
      </c>
      <c r="N1033" s="5" t="s">
        <v>490</v>
      </c>
      <c r="O1033" s="5" t="s">
        <v>490</v>
      </c>
      <c r="P1033" s="5">
        <v>0</v>
      </c>
      <c r="Q1033" s="5">
        <v>0</v>
      </c>
      <c r="R1033" s="5" t="str">
        <f t="shared" si="211"/>
        <v>384-2023-06-30</v>
      </c>
    </row>
    <row r="1034" spans="1:18" x14ac:dyDescent="0.3">
      <c r="A1034" s="39">
        <v>384</v>
      </c>
      <c r="B1034" s="5" t="s">
        <v>272</v>
      </c>
      <c r="C1034" s="5" t="s">
        <v>267</v>
      </c>
      <c r="D1034" s="5" t="s">
        <v>8</v>
      </c>
      <c r="E1034" s="5" t="s">
        <v>9</v>
      </c>
      <c r="F1034" s="6">
        <v>45291</v>
      </c>
      <c r="G1034" s="5">
        <f t="shared" si="206"/>
        <v>2023</v>
      </c>
      <c r="H1034" s="5" t="str">
        <f t="shared" si="200"/>
        <v>Diciembre</v>
      </c>
      <c r="I1034" s="6" t="str">
        <f t="shared" si="204"/>
        <v>2023-2</v>
      </c>
      <c r="J1034" s="5">
        <v>195</v>
      </c>
      <c r="K1034" s="9">
        <v>224</v>
      </c>
      <c r="L1034" s="15">
        <f t="shared" si="212"/>
        <v>1.1487179487179486</v>
      </c>
      <c r="M1034" s="15">
        <f t="shared" si="210"/>
        <v>1.1487179487179486</v>
      </c>
      <c r="N1034" s="5" t="s">
        <v>490</v>
      </c>
      <c r="O1034" s="5" t="s">
        <v>490</v>
      </c>
      <c r="P1034" s="5">
        <v>0</v>
      </c>
      <c r="Q1034" s="5">
        <v>0</v>
      </c>
      <c r="R1034" s="5" t="str">
        <f t="shared" si="211"/>
        <v>384-2023-12-31</v>
      </c>
    </row>
    <row r="1035" spans="1:18" x14ac:dyDescent="0.3">
      <c r="A1035" s="39">
        <v>384</v>
      </c>
      <c r="B1035" s="5" t="s">
        <v>272</v>
      </c>
      <c r="C1035" s="5" t="s">
        <v>267</v>
      </c>
      <c r="D1035" s="5" t="s">
        <v>8</v>
      </c>
      <c r="E1035" s="5" t="s">
        <v>9</v>
      </c>
      <c r="F1035" s="6">
        <v>45473</v>
      </c>
      <c r="G1035" s="5">
        <f t="shared" si="206"/>
        <v>2024</v>
      </c>
      <c r="H1035" s="5" t="str">
        <f t="shared" si="200"/>
        <v>Junio</v>
      </c>
      <c r="I1035" s="6" t="str">
        <f t="shared" si="204"/>
        <v>2024-1</v>
      </c>
      <c r="J1035" s="5">
        <v>363</v>
      </c>
      <c r="K1035" s="9">
        <v>361</v>
      </c>
      <c r="L1035" s="15">
        <f t="shared" si="212"/>
        <v>0.99449035812672182</v>
      </c>
      <c r="M1035" s="15">
        <f t="shared" si="210"/>
        <v>0.99449035812672182</v>
      </c>
      <c r="N1035" s="5" t="s">
        <v>490</v>
      </c>
      <c r="O1035" s="5" t="s">
        <v>490</v>
      </c>
      <c r="P1035" s="5">
        <v>0</v>
      </c>
      <c r="Q1035" s="5">
        <v>0</v>
      </c>
      <c r="R1035" s="5" t="s">
        <v>546</v>
      </c>
    </row>
    <row r="1036" spans="1:18" x14ac:dyDescent="0.3">
      <c r="A1036" s="5">
        <v>384</v>
      </c>
      <c r="B1036" s="5" t="s">
        <v>272</v>
      </c>
      <c r="C1036" s="5" t="s">
        <v>267</v>
      </c>
      <c r="D1036" s="5" t="s">
        <v>8</v>
      </c>
      <c r="E1036" s="5" t="s">
        <v>9</v>
      </c>
      <c r="F1036" s="6">
        <v>45657</v>
      </c>
      <c r="G1036" s="5">
        <f t="shared" si="206"/>
        <v>2024</v>
      </c>
      <c r="H1036" s="5" t="str">
        <f t="shared" si="200"/>
        <v>Diciembre</v>
      </c>
      <c r="I1036" s="6" t="str">
        <f t="shared" si="204"/>
        <v>2024-2</v>
      </c>
      <c r="J1036" s="5">
        <v>248</v>
      </c>
      <c r="K1036" s="10">
        <v>218</v>
      </c>
      <c r="L1036" s="15">
        <f t="shared" si="212"/>
        <v>0.87903225806451613</v>
      </c>
      <c r="M1036" s="15">
        <f t="shared" si="210"/>
        <v>0.87903225806451613</v>
      </c>
      <c r="N1036" s="5" t="s">
        <v>490</v>
      </c>
      <c r="O1036" s="5" t="s">
        <v>490</v>
      </c>
      <c r="P1036" s="5">
        <v>0</v>
      </c>
      <c r="Q1036" s="5">
        <v>0</v>
      </c>
      <c r="R1036" s="5" t="str">
        <f t="shared" ref="R1036:R1099" si="213">A1036&amp;"-"&amp;YEAR(F1036)&amp;"-"&amp;IF(LEN(MONTH(F1036))=1,"0"&amp;MONTH(F1036),MONTH(F1036))&amp;"-"&amp;DAY(F1036)</f>
        <v>384-2024-12-31</v>
      </c>
    </row>
    <row r="1037" spans="1:18" x14ac:dyDescent="0.3">
      <c r="A1037" s="5">
        <v>385</v>
      </c>
      <c r="B1037" s="5" t="s">
        <v>273</v>
      </c>
      <c r="C1037" s="5" t="s">
        <v>274</v>
      </c>
      <c r="D1037" s="5" t="s">
        <v>8</v>
      </c>
      <c r="E1037" s="5" t="s">
        <v>9</v>
      </c>
      <c r="F1037" s="17">
        <v>44742</v>
      </c>
      <c r="G1037" s="16">
        <f t="shared" si="206"/>
        <v>2022</v>
      </c>
      <c r="H1037" s="6" t="str">
        <f t="shared" si="200"/>
        <v>Junio</v>
      </c>
      <c r="I1037" s="41" t="s">
        <v>426</v>
      </c>
      <c r="J1037" s="11">
        <v>4345.5951990000003</v>
      </c>
      <c r="K1037" s="11">
        <v>4697.0352290000001</v>
      </c>
      <c r="L1037" s="15">
        <f t="shared" si="212"/>
        <v>1.0808727030260141</v>
      </c>
      <c r="M1037" s="15">
        <f t="shared" ref="M1037:M1044" si="214">IFERROR(K1037/J1037,"")</f>
        <v>1.0808727030260141</v>
      </c>
      <c r="N1037" s="5" t="s">
        <v>474</v>
      </c>
      <c r="O1037" s="5" t="s">
        <v>474</v>
      </c>
      <c r="P1037" s="5">
        <v>0</v>
      </c>
      <c r="Q1037" s="5">
        <v>0</v>
      </c>
      <c r="R1037" s="5" t="str">
        <f t="shared" si="213"/>
        <v>385-2022-06-30</v>
      </c>
    </row>
    <row r="1038" spans="1:18" x14ac:dyDescent="0.3">
      <c r="A1038" s="5">
        <v>385</v>
      </c>
      <c r="B1038" s="5" t="s">
        <v>273</v>
      </c>
      <c r="C1038" s="5" t="s">
        <v>274</v>
      </c>
      <c r="D1038" s="5" t="s">
        <v>8</v>
      </c>
      <c r="E1038" s="5" t="s">
        <v>9</v>
      </c>
      <c r="F1038" s="17">
        <v>44926</v>
      </c>
      <c r="G1038" s="16">
        <f t="shared" si="206"/>
        <v>2022</v>
      </c>
      <c r="H1038" s="6" t="str">
        <f t="shared" si="200"/>
        <v>Diciembre</v>
      </c>
      <c r="I1038" s="41" t="s">
        <v>423</v>
      </c>
      <c r="J1038" s="5">
        <v>9015.4048010000006</v>
      </c>
      <c r="K1038" s="5">
        <v>5338.2766619999993</v>
      </c>
      <c r="L1038" s="15">
        <f t="shared" si="212"/>
        <v>0.59212833808725596</v>
      </c>
      <c r="M1038" s="15">
        <f t="shared" si="214"/>
        <v>0.59212833808725596</v>
      </c>
      <c r="N1038" s="5" t="s">
        <v>474</v>
      </c>
      <c r="O1038" s="5" t="s">
        <v>474</v>
      </c>
      <c r="P1038" s="5">
        <v>0</v>
      </c>
      <c r="Q1038" s="5">
        <v>0</v>
      </c>
      <c r="R1038" s="5" t="str">
        <f t="shared" si="213"/>
        <v>385-2022-12-31</v>
      </c>
    </row>
    <row r="1039" spans="1:18" x14ac:dyDescent="0.3">
      <c r="A1039" s="5">
        <v>385</v>
      </c>
      <c r="B1039" s="5" t="s">
        <v>273</v>
      </c>
      <c r="C1039" s="5" t="s">
        <v>274</v>
      </c>
      <c r="D1039" s="5" t="s">
        <v>8</v>
      </c>
      <c r="E1039" s="5" t="s">
        <v>9</v>
      </c>
      <c r="F1039" s="17">
        <v>45107</v>
      </c>
      <c r="G1039" s="16">
        <f t="shared" si="206"/>
        <v>2023</v>
      </c>
      <c r="H1039" s="6" t="str">
        <f t="shared" si="200"/>
        <v>Junio</v>
      </c>
      <c r="I1039" s="41" t="s">
        <v>422</v>
      </c>
      <c r="J1039" s="11">
        <v>5315.2060000000001</v>
      </c>
      <c r="K1039" s="11">
        <v>5473.8577590000004</v>
      </c>
      <c r="L1039" s="15">
        <f t="shared" si="212"/>
        <v>1.0298486566654237</v>
      </c>
      <c r="M1039" s="15">
        <f t="shared" si="214"/>
        <v>1.0298486566654237</v>
      </c>
      <c r="N1039" s="5" t="s">
        <v>474</v>
      </c>
      <c r="O1039" s="5" t="s">
        <v>474</v>
      </c>
      <c r="P1039" s="5">
        <v>0</v>
      </c>
      <c r="Q1039" s="5">
        <v>0</v>
      </c>
      <c r="R1039" s="5" t="str">
        <f t="shared" si="213"/>
        <v>385-2023-06-30</v>
      </c>
    </row>
    <row r="1040" spans="1:18" x14ac:dyDescent="0.3">
      <c r="A1040" s="39">
        <v>385</v>
      </c>
      <c r="B1040" s="5" t="s">
        <v>273</v>
      </c>
      <c r="C1040" s="5" t="s">
        <v>274</v>
      </c>
      <c r="D1040" s="5" t="s">
        <v>8</v>
      </c>
      <c r="E1040" s="5" t="s">
        <v>9</v>
      </c>
      <c r="F1040" s="6">
        <v>45291</v>
      </c>
      <c r="G1040" s="5">
        <f t="shared" si="206"/>
        <v>2023</v>
      </c>
      <c r="H1040" s="5" t="str">
        <f t="shared" si="200"/>
        <v>Diciembre</v>
      </c>
      <c r="I1040" s="6" t="str">
        <f t="shared" ref="I1040:I1087" si="215">IF(OR(H1040="Enero",H1040="Febrero",H1040="Marzo",H1040="Abril",H1040="Mayo",H1040="Junio"),G1040&amp;"-1",IF(OR(H1040="Julio",H1040="Agosto",H1040="Septiembre",H1040="Octubre",H1040="Noviembre",H1040="Diciembre"),G1040&amp;"-2"))</f>
        <v>2023-2</v>
      </c>
      <c r="J1040" s="5">
        <v>8782.5149999999994</v>
      </c>
      <c r="K1040" s="5">
        <v>12223.222767999998</v>
      </c>
      <c r="L1040" s="15">
        <f t="shared" si="212"/>
        <v>1.3</v>
      </c>
      <c r="M1040" s="15">
        <f t="shared" si="214"/>
        <v>1.391767935266834</v>
      </c>
      <c r="N1040" s="5" t="s">
        <v>474</v>
      </c>
      <c r="O1040" s="5" t="s">
        <v>474</v>
      </c>
      <c r="P1040" s="5">
        <v>0</v>
      </c>
      <c r="Q1040" s="5">
        <v>0</v>
      </c>
      <c r="R1040" s="5" t="str">
        <f t="shared" si="213"/>
        <v>385-2023-12-31</v>
      </c>
    </row>
    <row r="1041" spans="1:18" x14ac:dyDescent="0.3">
      <c r="A1041" s="5">
        <v>385</v>
      </c>
      <c r="B1041" s="5" t="s">
        <v>273</v>
      </c>
      <c r="C1041" s="5" t="s">
        <v>274</v>
      </c>
      <c r="D1041" s="5" t="s">
        <v>8</v>
      </c>
      <c r="E1041" s="5" t="s">
        <v>9</v>
      </c>
      <c r="F1041" s="6">
        <v>45473</v>
      </c>
      <c r="G1041" s="5">
        <f t="shared" si="206"/>
        <v>2024</v>
      </c>
      <c r="H1041" s="5" t="str">
        <f t="shared" si="200"/>
        <v>Junio</v>
      </c>
      <c r="I1041" s="6" t="str">
        <f t="shared" si="215"/>
        <v>2024-1</v>
      </c>
      <c r="J1041" s="5">
        <v>5441.4588450000001</v>
      </c>
      <c r="K1041" s="5">
        <v>6182.8620629999996</v>
      </c>
      <c r="L1041" s="15">
        <f t="shared" si="212"/>
        <v>1.1362508178631643</v>
      </c>
      <c r="M1041" s="15">
        <f t="shared" si="214"/>
        <v>1.1362508178631643</v>
      </c>
      <c r="N1041" s="5" t="s">
        <v>474</v>
      </c>
      <c r="O1041" s="5" t="s">
        <v>474</v>
      </c>
      <c r="P1041" s="5">
        <v>0</v>
      </c>
      <c r="Q1041" s="5">
        <v>0</v>
      </c>
      <c r="R1041" s="5" t="str">
        <f t="shared" si="213"/>
        <v>385-2024-06-30</v>
      </c>
    </row>
    <row r="1042" spans="1:18" x14ac:dyDescent="0.3">
      <c r="A1042" s="5">
        <v>385</v>
      </c>
      <c r="B1042" s="5" t="s">
        <v>273</v>
      </c>
      <c r="C1042" s="5" t="s">
        <v>274</v>
      </c>
      <c r="D1042" s="5" t="s">
        <v>8</v>
      </c>
      <c r="E1042" s="5" t="s">
        <v>9</v>
      </c>
      <c r="F1042" s="6">
        <v>45657</v>
      </c>
      <c r="G1042" s="5">
        <f t="shared" si="206"/>
        <v>2024</v>
      </c>
      <c r="H1042" s="5" t="str">
        <f t="shared" si="200"/>
        <v>Diciembre</v>
      </c>
      <c r="I1042" s="6" t="str">
        <f t="shared" si="215"/>
        <v>2024-2</v>
      </c>
      <c r="J1042" s="5">
        <v>10066.034254999999</v>
      </c>
      <c r="K1042" s="12">
        <v>7060.2767860000013</v>
      </c>
      <c r="L1042" s="15">
        <f t="shared" si="212"/>
        <v>0.70139606195886151</v>
      </c>
      <c r="M1042" s="15">
        <f t="shared" si="214"/>
        <v>0.70139606195886151</v>
      </c>
      <c r="N1042" s="5" t="s">
        <v>474</v>
      </c>
      <c r="O1042" s="5" t="s">
        <v>474</v>
      </c>
      <c r="P1042" s="5">
        <v>0</v>
      </c>
      <c r="Q1042" s="5">
        <v>0</v>
      </c>
      <c r="R1042" s="5" t="str">
        <f t="shared" si="213"/>
        <v>385-2024-12-31</v>
      </c>
    </row>
    <row r="1043" spans="1:18" x14ac:dyDescent="0.3">
      <c r="A1043" s="43">
        <v>386</v>
      </c>
      <c r="B1043" s="5" t="s">
        <v>275</v>
      </c>
      <c r="C1043" s="5" t="s">
        <v>274</v>
      </c>
      <c r="D1043" s="5" t="s">
        <v>8</v>
      </c>
      <c r="E1043" s="5" t="s">
        <v>9</v>
      </c>
      <c r="F1043" s="6">
        <v>45107</v>
      </c>
      <c r="G1043" s="5">
        <f t="shared" si="206"/>
        <v>2023</v>
      </c>
      <c r="H1043" s="5" t="str">
        <f t="shared" si="200"/>
        <v>Junio</v>
      </c>
      <c r="I1043" s="6" t="str">
        <f t="shared" si="215"/>
        <v>2023-1</v>
      </c>
      <c r="J1043" s="9">
        <f>5315206000/1000000</f>
        <v>5315.2060000000001</v>
      </c>
      <c r="K1043" s="9">
        <f>5473857759/1000000</f>
        <v>5473.8577590000004</v>
      </c>
      <c r="L1043" s="15">
        <f t="shared" si="212"/>
        <v>1.0298486566654237</v>
      </c>
      <c r="M1043" s="15">
        <f t="shared" si="214"/>
        <v>1.0298486566654237</v>
      </c>
      <c r="N1043" s="5" t="s">
        <v>474</v>
      </c>
      <c r="O1043" s="5" t="s">
        <v>474</v>
      </c>
      <c r="P1043" s="5">
        <v>0</v>
      </c>
      <c r="Q1043" s="5">
        <v>0</v>
      </c>
      <c r="R1043" s="5" t="str">
        <f t="shared" si="213"/>
        <v>386-2023-06-30</v>
      </c>
    </row>
    <row r="1044" spans="1:18" x14ac:dyDescent="0.3">
      <c r="A1044" s="39">
        <v>386</v>
      </c>
      <c r="B1044" s="5" t="s">
        <v>275</v>
      </c>
      <c r="C1044" s="5" t="s">
        <v>274</v>
      </c>
      <c r="D1044" s="5" t="s">
        <v>8</v>
      </c>
      <c r="E1044" s="5" t="s">
        <v>9</v>
      </c>
      <c r="F1044" s="6">
        <v>45291</v>
      </c>
      <c r="G1044" s="5">
        <f t="shared" si="206"/>
        <v>2023</v>
      </c>
      <c r="H1044" s="5" t="str">
        <f t="shared" si="200"/>
        <v>Diciembre</v>
      </c>
      <c r="I1044" s="6" t="str">
        <f t="shared" si="215"/>
        <v>2023-2</v>
      </c>
      <c r="J1044" s="9">
        <f>8782515000/1000000</f>
        <v>8782.5149999999994</v>
      </c>
      <c r="K1044" s="9">
        <f>12139120171/1000000</f>
        <v>12139.120171</v>
      </c>
      <c r="L1044" s="15">
        <f t="shared" si="212"/>
        <v>1.3</v>
      </c>
      <c r="M1044" s="15">
        <f t="shared" si="214"/>
        <v>1.3821917948332569</v>
      </c>
      <c r="N1044" s="5" t="s">
        <v>474</v>
      </c>
      <c r="O1044" s="5" t="s">
        <v>474</v>
      </c>
      <c r="P1044" s="5">
        <v>0</v>
      </c>
      <c r="Q1044" s="5">
        <v>0</v>
      </c>
      <c r="R1044" s="5" t="str">
        <f t="shared" si="213"/>
        <v>386-2023-12-31</v>
      </c>
    </row>
    <row r="1045" spans="1:18" x14ac:dyDescent="0.3">
      <c r="A1045" s="5">
        <v>386</v>
      </c>
      <c r="B1045" s="5" t="s">
        <v>275</v>
      </c>
      <c r="C1045" s="5" t="s">
        <v>274</v>
      </c>
      <c r="D1045" s="5" t="s">
        <v>8</v>
      </c>
      <c r="E1045" s="5" t="s">
        <v>9</v>
      </c>
      <c r="F1045" s="6">
        <v>45473</v>
      </c>
      <c r="G1045" s="5">
        <f t="shared" si="206"/>
        <v>2024</v>
      </c>
      <c r="H1045" s="5" t="str">
        <f t="shared" si="200"/>
        <v>Junio</v>
      </c>
      <c r="I1045" s="6" t="str">
        <f t="shared" si="215"/>
        <v>2024-1</v>
      </c>
      <c r="J1045" s="9">
        <v>5441.4588450000001</v>
      </c>
      <c r="K1045" s="9">
        <v>6182.8620629999996</v>
      </c>
      <c r="L1045" s="15">
        <f t="shared" si="212"/>
        <v>1.1362508178631643</v>
      </c>
      <c r="M1045" s="15">
        <v>1.1362508178631643</v>
      </c>
      <c r="N1045" s="5" t="s">
        <v>474</v>
      </c>
      <c r="O1045" s="5" t="s">
        <v>474</v>
      </c>
      <c r="P1045" s="5">
        <v>0</v>
      </c>
      <c r="Q1045" s="5">
        <v>0</v>
      </c>
      <c r="R1045" s="5" t="str">
        <f t="shared" si="213"/>
        <v>386-2024-06-30</v>
      </c>
    </row>
    <row r="1046" spans="1:18" x14ac:dyDescent="0.3">
      <c r="A1046" s="5">
        <v>386</v>
      </c>
      <c r="B1046" s="5" t="s">
        <v>275</v>
      </c>
      <c r="C1046" s="5" t="s">
        <v>274</v>
      </c>
      <c r="D1046" s="5" t="s">
        <v>8</v>
      </c>
      <c r="E1046" s="5" t="s">
        <v>9</v>
      </c>
      <c r="F1046" s="6">
        <v>45657</v>
      </c>
      <c r="G1046" s="5">
        <f t="shared" si="206"/>
        <v>2024</v>
      </c>
      <c r="H1046" s="5" t="str">
        <f t="shared" si="200"/>
        <v>Diciembre</v>
      </c>
      <c r="I1046" s="6" t="str">
        <f t="shared" si="215"/>
        <v>2024-2</v>
      </c>
      <c r="J1046" s="9">
        <f>10066034255/1000000</f>
        <v>10066.034255</v>
      </c>
      <c r="K1046" s="9">
        <f>7550531691/1000000</f>
        <v>7550.5316910000001</v>
      </c>
      <c r="L1046" s="15">
        <f t="shared" si="212"/>
        <v>0.75009994002846747</v>
      </c>
      <c r="M1046" s="15">
        <f t="shared" ref="M1046:M1068" si="216">IFERROR(K1046/J1046,"")</f>
        <v>0.75009994002846747</v>
      </c>
      <c r="N1046" s="5" t="s">
        <v>474</v>
      </c>
      <c r="O1046" s="5" t="s">
        <v>474</v>
      </c>
      <c r="P1046" s="5">
        <v>0</v>
      </c>
      <c r="Q1046" s="5">
        <v>0</v>
      </c>
      <c r="R1046" s="5" t="str">
        <f t="shared" si="213"/>
        <v>386-2024-12-31</v>
      </c>
    </row>
    <row r="1047" spans="1:18" x14ac:dyDescent="0.3">
      <c r="A1047" s="43">
        <v>387</v>
      </c>
      <c r="B1047" s="5" t="s">
        <v>276</v>
      </c>
      <c r="C1047" s="5" t="s">
        <v>129</v>
      </c>
      <c r="D1047" s="5" t="s">
        <v>8</v>
      </c>
      <c r="E1047" s="5" t="s">
        <v>9</v>
      </c>
      <c r="F1047" s="6">
        <v>45107</v>
      </c>
      <c r="G1047" s="5">
        <f t="shared" si="206"/>
        <v>2023</v>
      </c>
      <c r="H1047" s="5" t="str">
        <f t="shared" si="200"/>
        <v>Junio</v>
      </c>
      <c r="I1047" s="6" t="str">
        <f t="shared" si="215"/>
        <v>2023-1</v>
      </c>
      <c r="J1047" s="5">
        <v>38</v>
      </c>
      <c r="K1047" s="5">
        <v>38</v>
      </c>
      <c r="L1047" s="21">
        <f t="shared" ref="L1047:L1052" si="217">IFERROR(K1047/J1047,"")</f>
        <v>1</v>
      </c>
      <c r="M1047" s="15">
        <f t="shared" si="216"/>
        <v>1</v>
      </c>
      <c r="N1047" s="5"/>
      <c r="O1047" s="5"/>
      <c r="P1047" s="5">
        <v>0</v>
      </c>
      <c r="Q1047" s="5">
        <v>0</v>
      </c>
      <c r="R1047" s="5" t="str">
        <f t="shared" si="213"/>
        <v>387-2023-06-30</v>
      </c>
    </row>
    <row r="1048" spans="1:18" x14ac:dyDescent="0.3">
      <c r="A1048" s="39">
        <v>387</v>
      </c>
      <c r="B1048" s="5" t="s">
        <v>276</v>
      </c>
      <c r="C1048" s="5" t="s">
        <v>129</v>
      </c>
      <c r="D1048" s="5" t="s">
        <v>8</v>
      </c>
      <c r="E1048" s="5" t="s">
        <v>9</v>
      </c>
      <c r="F1048" s="6">
        <v>45291</v>
      </c>
      <c r="G1048" s="5">
        <f t="shared" si="206"/>
        <v>2023</v>
      </c>
      <c r="H1048" s="5" t="str">
        <f t="shared" si="200"/>
        <v>Diciembre</v>
      </c>
      <c r="I1048" s="6" t="str">
        <f t="shared" si="215"/>
        <v>2023-2</v>
      </c>
      <c r="J1048" s="5"/>
      <c r="K1048" s="5"/>
      <c r="L1048" s="21" t="str">
        <f t="shared" si="217"/>
        <v/>
      </c>
      <c r="M1048" s="15" t="str">
        <f t="shared" si="216"/>
        <v/>
      </c>
      <c r="N1048" s="5"/>
      <c r="O1048" s="5"/>
      <c r="P1048" s="5">
        <v>0</v>
      </c>
      <c r="Q1048" s="5">
        <v>0</v>
      </c>
      <c r="R1048" s="5" t="str">
        <f t="shared" si="213"/>
        <v>387-2023-12-31</v>
      </c>
    </row>
    <row r="1049" spans="1:18" x14ac:dyDescent="0.3">
      <c r="A1049" s="43">
        <v>388</v>
      </c>
      <c r="B1049" s="5" t="s">
        <v>277</v>
      </c>
      <c r="C1049" s="5" t="s">
        <v>129</v>
      </c>
      <c r="D1049" s="5" t="s">
        <v>8</v>
      </c>
      <c r="E1049" s="5" t="s">
        <v>9</v>
      </c>
      <c r="F1049" s="6">
        <v>45107</v>
      </c>
      <c r="G1049" s="5">
        <f t="shared" si="206"/>
        <v>2023</v>
      </c>
      <c r="H1049" s="5" t="str">
        <f t="shared" si="200"/>
        <v>Junio</v>
      </c>
      <c r="I1049" s="6" t="str">
        <f t="shared" si="215"/>
        <v>2023-1</v>
      </c>
      <c r="J1049" s="5">
        <v>77</v>
      </c>
      <c r="K1049" s="5">
        <v>77</v>
      </c>
      <c r="L1049" s="21">
        <f t="shared" si="217"/>
        <v>1</v>
      </c>
      <c r="M1049" s="15">
        <f t="shared" si="216"/>
        <v>1</v>
      </c>
      <c r="N1049" s="5"/>
      <c r="O1049" s="5"/>
      <c r="P1049" s="5">
        <v>0</v>
      </c>
      <c r="Q1049" s="5">
        <v>0</v>
      </c>
      <c r="R1049" s="5" t="str">
        <f t="shared" si="213"/>
        <v>388-2023-06-30</v>
      </c>
    </row>
    <row r="1050" spans="1:18" x14ac:dyDescent="0.3">
      <c r="A1050" s="39">
        <v>388</v>
      </c>
      <c r="B1050" s="5" t="s">
        <v>277</v>
      </c>
      <c r="C1050" s="5" t="s">
        <v>129</v>
      </c>
      <c r="D1050" s="5" t="s">
        <v>8</v>
      </c>
      <c r="E1050" s="5" t="s">
        <v>9</v>
      </c>
      <c r="F1050" s="6">
        <v>45291</v>
      </c>
      <c r="G1050" s="5">
        <f t="shared" si="206"/>
        <v>2023</v>
      </c>
      <c r="H1050" s="5" t="str">
        <f t="shared" si="200"/>
        <v>Diciembre</v>
      </c>
      <c r="I1050" s="6" t="str">
        <f t="shared" si="215"/>
        <v>2023-2</v>
      </c>
      <c r="J1050" s="5">
        <v>16</v>
      </c>
      <c r="K1050" s="5">
        <v>16</v>
      </c>
      <c r="L1050" s="21">
        <f t="shared" si="217"/>
        <v>1</v>
      </c>
      <c r="M1050" s="15">
        <f t="shared" si="216"/>
        <v>1</v>
      </c>
      <c r="N1050" s="5"/>
      <c r="O1050" s="5"/>
      <c r="P1050" s="5">
        <v>0</v>
      </c>
      <c r="Q1050" s="5">
        <v>0</v>
      </c>
      <c r="R1050" s="5" t="str">
        <f t="shared" si="213"/>
        <v>388-2023-12-31</v>
      </c>
    </row>
    <row r="1051" spans="1:18" x14ac:dyDescent="0.3">
      <c r="A1051" s="43">
        <v>389</v>
      </c>
      <c r="B1051" s="5" t="s">
        <v>278</v>
      </c>
      <c r="C1051" s="5" t="s">
        <v>124</v>
      </c>
      <c r="D1051" s="5" t="s">
        <v>8</v>
      </c>
      <c r="E1051" s="5" t="s">
        <v>9</v>
      </c>
      <c r="F1051" s="6">
        <v>45107</v>
      </c>
      <c r="G1051" s="5">
        <f t="shared" si="206"/>
        <v>2023</v>
      </c>
      <c r="H1051" s="5" t="str">
        <f t="shared" ref="H1051:H1114" si="218">PROPER(TEXT(F1051,"mmmm"))</f>
        <v>Junio</v>
      </c>
      <c r="I1051" s="6" t="str">
        <f t="shared" si="215"/>
        <v>2023-1</v>
      </c>
      <c r="J1051" s="5">
        <v>91</v>
      </c>
      <c r="K1051" s="5">
        <v>84.783333333333303</v>
      </c>
      <c r="L1051" s="21">
        <f t="shared" si="217"/>
        <v>0.93168498168498137</v>
      </c>
      <c r="M1051" s="15">
        <f t="shared" si="216"/>
        <v>0.93168498168498137</v>
      </c>
      <c r="N1051" s="5" t="s">
        <v>347</v>
      </c>
      <c r="O1051" s="5" t="s">
        <v>347</v>
      </c>
      <c r="P1051" s="5">
        <v>0</v>
      </c>
      <c r="Q1051" s="5">
        <v>0</v>
      </c>
      <c r="R1051" s="5" t="str">
        <f t="shared" si="213"/>
        <v>389-2023-06-30</v>
      </c>
    </row>
    <row r="1052" spans="1:18" x14ac:dyDescent="0.3">
      <c r="A1052" s="39">
        <v>389</v>
      </c>
      <c r="B1052" s="5" t="s">
        <v>278</v>
      </c>
      <c r="C1052" s="5" t="s">
        <v>124</v>
      </c>
      <c r="D1052" s="5" t="s">
        <v>8</v>
      </c>
      <c r="E1052" s="5" t="s">
        <v>9</v>
      </c>
      <c r="F1052" s="6">
        <v>45291</v>
      </c>
      <c r="G1052" s="5">
        <f t="shared" si="206"/>
        <v>2023</v>
      </c>
      <c r="H1052" s="5" t="str">
        <f t="shared" si="218"/>
        <v>Diciembre</v>
      </c>
      <c r="I1052" s="6" t="str">
        <f t="shared" si="215"/>
        <v>2023-2</v>
      </c>
      <c r="J1052" s="5">
        <v>91</v>
      </c>
      <c r="K1052" s="5">
        <v>85.42</v>
      </c>
      <c r="L1052" s="21">
        <f t="shared" si="217"/>
        <v>0.93868131868131865</v>
      </c>
      <c r="M1052" s="15">
        <f t="shared" si="216"/>
        <v>0.93868131868131865</v>
      </c>
      <c r="N1052" s="5" t="s">
        <v>347</v>
      </c>
      <c r="O1052" s="5" t="s">
        <v>347</v>
      </c>
      <c r="P1052" s="5">
        <v>0</v>
      </c>
      <c r="Q1052" s="5">
        <v>0</v>
      </c>
      <c r="R1052" s="5" t="str">
        <f t="shared" si="213"/>
        <v>389-2023-12-31</v>
      </c>
    </row>
    <row r="1053" spans="1:18" x14ac:dyDescent="0.3">
      <c r="A1053" s="5">
        <v>389</v>
      </c>
      <c r="B1053" s="5" t="s">
        <v>278</v>
      </c>
      <c r="C1053" s="5" t="s">
        <v>124</v>
      </c>
      <c r="D1053" s="5" t="s">
        <v>8</v>
      </c>
      <c r="E1053" s="5" t="s">
        <v>9</v>
      </c>
      <c r="F1053" s="6">
        <v>45473</v>
      </c>
      <c r="G1053" s="5">
        <f t="shared" si="206"/>
        <v>2024</v>
      </c>
      <c r="H1053" s="5" t="str">
        <f t="shared" si="218"/>
        <v>Junio</v>
      </c>
      <c r="I1053" s="6" t="str">
        <f t="shared" si="215"/>
        <v>2024-1</v>
      </c>
      <c r="J1053" s="5">
        <v>85</v>
      </c>
      <c r="K1053" s="5">
        <v>84.433333333333294</v>
      </c>
      <c r="L1053" s="15">
        <f>IFERROR(IF((K1053/J1053)&gt;1.3,1.3,K1053/J1053),"")</f>
        <v>0.99333333333333285</v>
      </c>
      <c r="M1053" s="15">
        <f t="shared" si="216"/>
        <v>0.99333333333333285</v>
      </c>
      <c r="N1053" s="5"/>
      <c r="O1053" s="5"/>
      <c r="P1053" s="5">
        <v>0</v>
      </c>
      <c r="Q1053" s="5">
        <v>0</v>
      </c>
      <c r="R1053" s="5" t="str">
        <f t="shared" si="213"/>
        <v>389-2024-06-30</v>
      </c>
    </row>
    <row r="1054" spans="1:18" x14ac:dyDescent="0.3">
      <c r="A1054" s="5">
        <v>389</v>
      </c>
      <c r="B1054" s="5" t="s">
        <v>278</v>
      </c>
      <c r="C1054" s="5" t="s">
        <v>124</v>
      </c>
      <c r="D1054" s="5" t="s">
        <v>8</v>
      </c>
      <c r="E1054" s="5" t="s">
        <v>9</v>
      </c>
      <c r="F1054" s="6">
        <v>45657</v>
      </c>
      <c r="G1054" s="5">
        <f t="shared" si="206"/>
        <v>2024</v>
      </c>
      <c r="H1054" s="5" t="str">
        <f t="shared" si="218"/>
        <v>Diciembre</v>
      </c>
      <c r="I1054" s="6" t="str">
        <f t="shared" si="215"/>
        <v>2024-2</v>
      </c>
      <c r="J1054" s="5">
        <v>85</v>
      </c>
      <c r="K1054" s="5">
        <v>0</v>
      </c>
      <c r="L1054" s="15">
        <f>IFERROR(IF((K1054/J1054)&gt;1.3,1.3,K1054/J1054),"")</f>
        <v>0</v>
      </c>
      <c r="M1054" s="15">
        <f t="shared" si="216"/>
        <v>0</v>
      </c>
      <c r="N1054" s="5"/>
      <c r="O1054" s="5"/>
      <c r="P1054" s="5">
        <v>0</v>
      </c>
      <c r="Q1054" s="5">
        <v>0</v>
      </c>
      <c r="R1054" s="5" t="str">
        <f t="shared" si="213"/>
        <v>389-2024-12-31</v>
      </c>
    </row>
    <row r="1055" spans="1:18" x14ac:dyDescent="0.3">
      <c r="A1055" s="54">
        <v>390</v>
      </c>
      <c r="B1055" s="5" t="s">
        <v>279</v>
      </c>
      <c r="C1055" s="5" t="s">
        <v>131</v>
      </c>
      <c r="D1055" s="5" t="s">
        <v>11</v>
      </c>
      <c r="E1055" s="5" t="s">
        <v>9</v>
      </c>
      <c r="F1055" s="6">
        <v>45016</v>
      </c>
      <c r="G1055" s="5">
        <f t="shared" si="206"/>
        <v>2023</v>
      </c>
      <c r="H1055" s="5" t="str">
        <f t="shared" si="218"/>
        <v>Marzo</v>
      </c>
      <c r="I1055" s="6" t="str">
        <f t="shared" si="215"/>
        <v>2023-1</v>
      </c>
      <c r="J1055" s="5" t="s">
        <v>417</v>
      </c>
      <c r="K1055" s="5" t="s">
        <v>417</v>
      </c>
      <c r="L1055" s="21" t="s">
        <v>417</v>
      </c>
      <c r="M1055" s="15" t="str">
        <f t="shared" si="216"/>
        <v/>
      </c>
      <c r="N1055" s="5"/>
      <c r="O1055" s="5"/>
      <c r="P1055" s="5">
        <v>0</v>
      </c>
      <c r="Q1055" s="5">
        <v>0</v>
      </c>
      <c r="R1055" s="5" t="str">
        <f t="shared" si="213"/>
        <v>390-2023-03-31</v>
      </c>
    </row>
    <row r="1056" spans="1:18" x14ac:dyDescent="0.3">
      <c r="A1056" s="39">
        <v>390</v>
      </c>
      <c r="B1056" s="5" t="s">
        <v>279</v>
      </c>
      <c r="C1056" s="5" t="s">
        <v>131</v>
      </c>
      <c r="D1056" s="5" t="s">
        <v>11</v>
      </c>
      <c r="E1056" s="5" t="s">
        <v>9</v>
      </c>
      <c r="F1056" s="6">
        <v>45107</v>
      </c>
      <c r="G1056" s="5">
        <f t="shared" si="206"/>
        <v>2023</v>
      </c>
      <c r="H1056" s="5" t="str">
        <f t="shared" si="218"/>
        <v>Junio</v>
      </c>
      <c r="I1056" s="6" t="str">
        <f t="shared" si="215"/>
        <v>2023-1</v>
      </c>
      <c r="J1056" s="5">
        <v>100</v>
      </c>
      <c r="K1056" s="5">
        <v>110.38</v>
      </c>
      <c r="L1056" s="21" t="s">
        <v>417</v>
      </c>
      <c r="M1056" s="15">
        <f t="shared" si="216"/>
        <v>1.1037999999999999</v>
      </c>
      <c r="N1056" s="5"/>
      <c r="O1056" s="5"/>
      <c r="P1056" s="5">
        <v>0</v>
      </c>
      <c r="Q1056" s="5">
        <v>0</v>
      </c>
      <c r="R1056" s="5" t="str">
        <f t="shared" si="213"/>
        <v>390-2023-06-30</v>
      </c>
    </row>
    <row r="1057" spans="1:18" x14ac:dyDescent="0.3">
      <c r="A1057" s="43">
        <v>390</v>
      </c>
      <c r="B1057" s="5" t="s">
        <v>279</v>
      </c>
      <c r="C1057" s="5" t="s">
        <v>131</v>
      </c>
      <c r="D1057" s="5" t="s">
        <v>11</v>
      </c>
      <c r="E1057" s="5" t="s">
        <v>9</v>
      </c>
      <c r="F1057" s="6">
        <v>45199</v>
      </c>
      <c r="G1057" s="5">
        <f t="shared" si="206"/>
        <v>2023</v>
      </c>
      <c r="H1057" s="5" t="str">
        <f t="shared" si="218"/>
        <v>Septiembre</v>
      </c>
      <c r="I1057" s="6" t="str">
        <f t="shared" si="215"/>
        <v>2023-2</v>
      </c>
      <c r="J1057" s="5">
        <v>100</v>
      </c>
      <c r="K1057" s="5">
        <v>95.34</v>
      </c>
      <c r="L1057" s="21" t="s">
        <v>417</v>
      </c>
      <c r="M1057" s="15">
        <f t="shared" si="216"/>
        <v>0.95340000000000003</v>
      </c>
      <c r="N1057" s="5"/>
      <c r="O1057" s="5"/>
      <c r="P1057" s="5">
        <v>0</v>
      </c>
      <c r="Q1057" s="5">
        <v>0</v>
      </c>
      <c r="R1057" s="5" t="str">
        <f t="shared" si="213"/>
        <v>390-2023-09-30</v>
      </c>
    </row>
    <row r="1058" spans="1:18" x14ac:dyDescent="0.3">
      <c r="A1058" s="39">
        <v>390</v>
      </c>
      <c r="B1058" s="5" t="s">
        <v>279</v>
      </c>
      <c r="C1058" s="5" t="s">
        <v>131</v>
      </c>
      <c r="D1058" s="5" t="s">
        <v>11</v>
      </c>
      <c r="E1058" s="5" t="s">
        <v>9</v>
      </c>
      <c r="F1058" s="6">
        <v>45291</v>
      </c>
      <c r="G1058" s="5">
        <f t="shared" si="206"/>
        <v>2023</v>
      </c>
      <c r="H1058" s="5" t="str">
        <f t="shared" si="218"/>
        <v>Diciembre</v>
      </c>
      <c r="I1058" s="6" t="str">
        <f t="shared" si="215"/>
        <v>2023-2</v>
      </c>
      <c r="J1058" s="5">
        <v>100</v>
      </c>
      <c r="K1058" s="5">
        <v>99.25</v>
      </c>
      <c r="L1058" s="21">
        <f>IFERROR(K1058/J1058,"")</f>
        <v>0.99250000000000005</v>
      </c>
      <c r="M1058" s="15">
        <f t="shared" si="216"/>
        <v>0.99250000000000005</v>
      </c>
      <c r="N1058" s="5"/>
      <c r="O1058" s="5"/>
      <c r="P1058" s="5">
        <v>0</v>
      </c>
      <c r="Q1058" s="5">
        <v>0</v>
      </c>
      <c r="R1058" s="5" t="str">
        <f t="shared" si="213"/>
        <v>390-2023-12-31</v>
      </c>
    </row>
    <row r="1059" spans="1:18" x14ac:dyDescent="0.3">
      <c r="A1059" s="5">
        <v>390</v>
      </c>
      <c r="B1059" s="5" t="s">
        <v>279</v>
      </c>
      <c r="C1059" s="5" t="s">
        <v>131</v>
      </c>
      <c r="D1059" s="5" t="s">
        <v>11</v>
      </c>
      <c r="E1059" s="5" t="s">
        <v>9</v>
      </c>
      <c r="F1059" s="6">
        <v>45473</v>
      </c>
      <c r="G1059" s="5">
        <f t="shared" si="206"/>
        <v>2024</v>
      </c>
      <c r="H1059" s="5" t="str">
        <f t="shared" si="218"/>
        <v>Junio</v>
      </c>
      <c r="I1059" s="6" t="str">
        <f t="shared" si="215"/>
        <v>2024-1</v>
      </c>
      <c r="J1059" s="5">
        <v>100</v>
      </c>
      <c r="K1059" s="5">
        <v>110.59</v>
      </c>
      <c r="L1059" s="15">
        <f>IFERROR(IF((K1059/J1059)&gt;1.3,1.3,K1059/J1059),"")</f>
        <v>1.1059000000000001</v>
      </c>
      <c r="M1059" s="15">
        <f t="shared" si="216"/>
        <v>1.1059000000000001</v>
      </c>
      <c r="N1059" s="5"/>
      <c r="O1059" s="5"/>
      <c r="P1059" s="5">
        <v>0</v>
      </c>
      <c r="Q1059" s="5">
        <v>0</v>
      </c>
      <c r="R1059" s="5" t="str">
        <f t="shared" si="213"/>
        <v>390-2024-06-30</v>
      </c>
    </row>
    <row r="1060" spans="1:18" x14ac:dyDescent="0.3">
      <c r="A1060" s="5">
        <v>390</v>
      </c>
      <c r="B1060" s="5" t="s">
        <v>279</v>
      </c>
      <c r="C1060" s="5" t="s">
        <v>131</v>
      </c>
      <c r="D1060" s="5" t="s">
        <v>11</v>
      </c>
      <c r="E1060" s="5" t="s">
        <v>9</v>
      </c>
      <c r="F1060" s="6">
        <v>45657</v>
      </c>
      <c r="G1060" s="5">
        <f t="shared" si="206"/>
        <v>2024</v>
      </c>
      <c r="H1060" s="5" t="str">
        <f t="shared" si="218"/>
        <v>Diciembre</v>
      </c>
      <c r="I1060" s="6" t="str">
        <f t="shared" si="215"/>
        <v>2024-2</v>
      </c>
      <c r="J1060" s="5">
        <v>100</v>
      </c>
      <c r="K1060" s="5">
        <v>0</v>
      </c>
      <c r="L1060" s="15">
        <f>IFERROR(IF((K1060/J1060)&gt;1.3,1.3,K1060/J1060),"")</f>
        <v>0</v>
      </c>
      <c r="M1060" s="15">
        <f t="shared" si="216"/>
        <v>0</v>
      </c>
      <c r="N1060" s="5"/>
      <c r="O1060" s="5"/>
      <c r="P1060" s="5">
        <v>0</v>
      </c>
      <c r="Q1060" s="5">
        <v>0</v>
      </c>
      <c r="R1060" s="5" t="str">
        <f t="shared" si="213"/>
        <v>390-2024-12-31</v>
      </c>
    </row>
    <row r="1061" spans="1:18" x14ac:dyDescent="0.3">
      <c r="A1061" s="43">
        <v>391</v>
      </c>
      <c r="B1061" s="5" t="s">
        <v>280</v>
      </c>
      <c r="C1061" s="5" t="s">
        <v>281</v>
      </c>
      <c r="D1061" s="5" t="s">
        <v>8</v>
      </c>
      <c r="E1061" s="5" t="s">
        <v>9</v>
      </c>
      <c r="F1061" s="6">
        <v>45107</v>
      </c>
      <c r="G1061" s="5">
        <f t="shared" si="206"/>
        <v>2023</v>
      </c>
      <c r="H1061" s="5" t="str">
        <f t="shared" si="218"/>
        <v>Junio</v>
      </c>
      <c r="I1061" s="6" t="str">
        <f t="shared" si="215"/>
        <v>2023-1</v>
      </c>
      <c r="J1061" s="5">
        <v>100</v>
      </c>
      <c r="K1061" s="5">
        <v>100</v>
      </c>
      <c r="L1061" s="21">
        <f>IFERROR(K1061/J1061,"")</f>
        <v>1</v>
      </c>
      <c r="M1061" s="15">
        <f t="shared" si="216"/>
        <v>1</v>
      </c>
      <c r="N1061" s="5" t="s">
        <v>347</v>
      </c>
      <c r="O1061" s="5" t="s">
        <v>347</v>
      </c>
      <c r="P1061" s="5">
        <v>0</v>
      </c>
      <c r="Q1061" s="5">
        <v>0</v>
      </c>
      <c r="R1061" s="5" t="str">
        <f t="shared" si="213"/>
        <v>391-2023-06-30</v>
      </c>
    </row>
    <row r="1062" spans="1:18" x14ac:dyDescent="0.3">
      <c r="A1062" s="39">
        <v>391</v>
      </c>
      <c r="B1062" s="5" t="s">
        <v>280</v>
      </c>
      <c r="C1062" s="5" t="s">
        <v>281</v>
      </c>
      <c r="D1062" s="5" t="s">
        <v>8</v>
      </c>
      <c r="E1062" s="5" t="s">
        <v>9</v>
      </c>
      <c r="F1062" s="6">
        <v>45291</v>
      </c>
      <c r="G1062" s="5">
        <f t="shared" si="206"/>
        <v>2023</v>
      </c>
      <c r="H1062" s="5" t="str">
        <f t="shared" si="218"/>
        <v>Diciembre</v>
      </c>
      <c r="I1062" s="6" t="str">
        <f t="shared" si="215"/>
        <v>2023-2</v>
      </c>
      <c r="J1062" s="5">
        <v>100</v>
      </c>
      <c r="K1062" s="5">
        <v>100</v>
      </c>
      <c r="L1062" s="21">
        <f>IFERROR(K1062/J1062,"")</f>
        <v>1</v>
      </c>
      <c r="M1062" s="15">
        <f t="shared" si="216"/>
        <v>1</v>
      </c>
      <c r="N1062" s="5" t="s">
        <v>347</v>
      </c>
      <c r="O1062" s="5" t="s">
        <v>347</v>
      </c>
      <c r="P1062" s="5">
        <v>0</v>
      </c>
      <c r="Q1062" s="5">
        <v>0</v>
      </c>
      <c r="R1062" s="5" t="str">
        <f t="shared" si="213"/>
        <v>391-2023-12-31</v>
      </c>
    </row>
    <row r="1063" spans="1:18" x14ac:dyDescent="0.3">
      <c r="A1063" s="5">
        <v>391</v>
      </c>
      <c r="B1063" s="5" t="s">
        <v>280</v>
      </c>
      <c r="C1063" s="5" t="s">
        <v>281</v>
      </c>
      <c r="D1063" s="5" t="s">
        <v>8</v>
      </c>
      <c r="E1063" s="5" t="s">
        <v>9</v>
      </c>
      <c r="F1063" s="6">
        <v>45473</v>
      </c>
      <c r="G1063" s="5">
        <f t="shared" si="206"/>
        <v>2024</v>
      </c>
      <c r="H1063" s="5" t="str">
        <f t="shared" si="218"/>
        <v>Junio</v>
      </c>
      <c r="I1063" s="6" t="str">
        <f t="shared" si="215"/>
        <v>2024-1</v>
      </c>
      <c r="J1063" s="5">
        <v>96</v>
      </c>
      <c r="K1063" s="5">
        <v>100</v>
      </c>
      <c r="L1063" s="15">
        <f>IFERROR(IF((K1063/J1063)&gt;1.3,1.3,K1063/J1063),"")</f>
        <v>1.0416666666666667</v>
      </c>
      <c r="M1063" s="15">
        <f t="shared" si="216"/>
        <v>1.0416666666666667</v>
      </c>
      <c r="N1063" s="5"/>
      <c r="O1063" s="5"/>
      <c r="P1063" s="5">
        <v>0</v>
      </c>
      <c r="Q1063" s="5">
        <v>0</v>
      </c>
      <c r="R1063" s="5" t="str">
        <f t="shared" si="213"/>
        <v>391-2024-06-30</v>
      </c>
    </row>
    <row r="1064" spans="1:18" x14ac:dyDescent="0.3">
      <c r="A1064" s="5">
        <v>391</v>
      </c>
      <c r="B1064" s="5" t="s">
        <v>280</v>
      </c>
      <c r="C1064" s="5" t="s">
        <v>281</v>
      </c>
      <c r="D1064" s="5" t="s">
        <v>8</v>
      </c>
      <c r="E1064" s="5" t="s">
        <v>9</v>
      </c>
      <c r="F1064" s="6">
        <v>45657</v>
      </c>
      <c r="G1064" s="5">
        <f t="shared" si="206"/>
        <v>2024</v>
      </c>
      <c r="H1064" s="5" t="str">
        <f t="shared" si="218"/>
        <v>Diciembre</v>
      </c>
      <c r="I1064" s="6" t="str">
        <f t="shared" si="215"/>
        <v>2024-2</v>
      </c>
      <c r="J1064" s="5">
        <v>96</v>
      </c>
      <c r="K1064" s="5">
        <v>100</v>
      </c>
      <c r="L1064" s="15">
        <f>IFERROR(IF((K1064/J1064)&gt;1.3,1.3,K1064/J1064),"")</f>
        <v>1.0416666666666667</v>
      </c>
      <c r="M1064" s="15">
        <f t="shared" si="216"/>
        <v>1.0416666666666667</v>
      </c>
      <c r="N1064" s="5"/>
      <c r="O1064" s="5"/>
      <c r="P1064" s="5">
        <v>0</v>
      </c>
      <c r="Q1064" s="5">
        <v>0</v>
      </c>
      <c r="R1064" s="5" t="str">
        <f t="shared" si="213"/>
        <v>391-2024-12-31</v>
      </c>
    </row>
    <row r="1065" spans="1:18" x14ac:dyDescent="0.3">
      <c r="A1065" s="43">
        <v>392</v>
      </c>
      <c r="B1065" s="5" t="s">
        <v>282</v>
      </c>
      <c r="C1065" s="5" t="s">
        <v>281</v>
      </c>
      <c r="D1065" s="5" t="s">
        <v>8</v>
      </c>
      <c r="E1065" s="5" t="s">
        <v>9</v>
      </c>
      <c r="F1065" s="6">
        <v>45107</v>
      </c>
      <c r="G1065" s="5">
        <f t="shared" si="206"/>
        <v>2023</v>
      </c>
      <c r="H1065" s="5" t="str">
        <f t="shared" si="218"/>
        <v>Junio</v>
      </c>
      <c r="I1065" s="6" t="str">
        <f t="shared" si="215"/>
        <v>2023-1</v>
      </c>
      <c r="J1065" s="34">
        <v>310000000</v>
      </c>
      <c r="K1065" s="34">
        <v>341285148</v>
      </c>
      <c r="L1065" s="21">
        <f>IFERROR(K1065/J1065,"")</f>
        <v>1.1009198322580644</v>
      </c>
      <c r="M1065" s="15">
        <f t="shared" si="216"/>
        <v>1.1009198322580644</v>
      </c>
      <c r="N1065" s="5"/>
      <c r="O1065" s="5"/>
      <c r="P1065" s="5">
        <v>0</v>
      </c>
      <c r="Q1065" s="5">
        <v>0</v>
      </c>
      <c r="R1065" s="5" t="str">
        <f t="shared" si="213"/>
        <v>392-2023-06-30</v>
      </c>
    </row>
    <row r="1066" spans="1:18" x14ac:dyDescent="0.3">
      <c r="A1066" s="39">
        <v>392</v>
      </c>
      <c r="B1066" s="5" t="s">
        <v>282</v>
      </c>
      <c r="C1066" s="5" t="s">
        <v>281</v>
      </c>
      <c r="D1066" s="5" t="s">
        <v>8</v>
      </c>
      <c r="E1066" s="5" t="s">
        <v>9</v>
      </c>
      <c r="F1066" s="6">
        <v>45291</v>
      </c>
      <c r="G1066" s="5">
        <f t="shared" si="206"/>
        <v>2023</v>
      </c>
      <c r="H1066" s="5" t="str">
        <f t="shared" si="218"/>
        <v>Diciembre</v>
      </c>
      <c r="I1066" s="6" t="str">
        <f t="shared" si="215"/>
        <v>2023-2</v>
      </c>
      <c r="J1066" s="34">
        <v>420000000</v>
      </c>
      <c r="K1066" s="34">
        <v>1075863089</v>
      </c>
      <c r="L1066" s="21">
        <f>IFERROR(K1066/J1066,"")</f>
        <v>2.5615787833333332</v>
      </c>
      <c r="M1066" s="15">
        <f t="shared" si="216"/>
        <v>2.5615787833333332</v>
      </c>
      <c r="N1066" s="5"/>
      <c r="O1066" s="5"/>
      <c r="P1066" s="5">
        <v>0</v>
      </c>
      <c r="Q1066" s="5">
        <v>0</v>
      </c>
      <c r="R1066" s="5" t="str">
        <f t="shared" si="213"/>
        <v>392-2023-12-31</v>
      </c>
    </row>
    <row r="1067" spans="1:18" x14ac:dyDescent="0.3">
      <c r="A1067" s="5">
        <v>392</v>
      </c>
      <c r="B1067" s="5" t="s">
        <v>282</v>
      </c>
      <c r="C1067" s="5" t="s">
        <v>281</v>
      </c>
      <c r="D1067" s="5" t="s">
        <v>8</v>
      </c>
      <c r="E1067" s="5" t="s">
        <v>9</v>
      </c>
      <c r="F1067" s="6">
        <v>45473</v>
      </c>
      <c r="G1067" s="5">
        <f t="shared" si="206"/>
        <v>2024</v>
      </c>
      <c r="H1067" s="5" t="str">
        <f t="shared" si="218"/>
        <v>Junio</v>
      </c>
      <c r="I1067" s="6" t="str">
        <f t="shared" si="215"/>
        <v>2024-1</v>
      </c>
      <c r="J1067" s="5">
        <v>100</v>
      </c>
      <c r="K1067" s="5">
        <v>98.11</v>
      </c>
      <c r="L1067" s="15">
        <f>IFERROR(IF((K1067/J1067)&gt;1.3,1.3,K1067/J1067),"")</f>
        <v>0.98109999999999997</v>
      </c>
      <c r="M1067" s="15">
        <f t="shared" si="216"/>
        <v>0.98109999999999997</v>
      </c>
      <c r="N1067" s="5"/>
      <c r="O1067" s="5"/>
      <c r="P1067" s="5">
        <v>0</v>
      </c>
      <c r="Q1067" s="5">
        <v>0</v>
      </c>
      <c r="R1067" s="5" t="str">
        <f t="shared" si="213"/>
        <v>392-2024-06-30</v>
      </c>
    </row>
    <row r="1068" spans="1:18" x14ac:dyDescent="0.3">
      <c r="A1068" s="5">
        <v>392</v>
      </c>
      <c r="B1068" s="5" t="s">
        <v>282</v>
      </c>
      <c r="C1068" s="5" t="s">
        <v>281</v>
      </c>
      <c r="D1068" s="5" t="s">
        <v>8</v>
      </c>
      <c r="E1068" s="5" t="s">
        <v>9</v>
      </c>
      <c r="F1068" s="6">
        <v>45657</v>
      </c>
      <c r="G1068" s="5">
        <f t="shared" si="206"/>
        <v>2024</v>
      </c>
      <c r="H1068" s="5" t="str">
        <f t="shared" si="218"/>
        <v>Diciembre</v>
      </c>
      <c r="I1068" s="6" t="str">
        <f t="shared" si="215"/>
        <v>2024-2</v>
      </c>
      <c r="J1068" s="5">
        <v>100</v>
      </c>
      <c r="K1068" s="5">
        <v>252.39</v>
      </c>
      <c r="L1068" s="15">
        <f>IFERROR(IF((K1068/J1068)&gt;1.3,1.3,K1068/J1068),"")</f>
        <v>1.3</v>
      </c>
      <c r="M1068" s="15">
        <f t="shared" si="216"/>
        <v>2.5238999999999998</v>
      </c>
      <c r="N1068" s="5"/>
      <c r="O1068" s="5"/>
      <c r="P1068" s="5">
        <v>0</v>
      </c>
      <c r="Q1068" s="5">
        <v>0</v>
      </c>
      <c r="R1068" s="5" t="str">
        <f t="shared" si="213"/>
        <v>392-2024-12-31</v>
      </c>
    </row>
    <row r="1069" spans="1:18" x14ac:dyDescent="0.3">
      <c r="A1069" s="39">
        <v>393</v>
      </c>
      <c r="B1069" s="5" t="s">
        <v>283</v>
      </c>
      <c r="C1069" s="5" t="s">
        <v>281</v>
      </c>
      <c r="D1069" s="5" t="s">
        <v>25</v>
      </c>
      <c r="E1069" s="5" t="s">
        <v>9</v>
      </c>
      <c r="F1069" s="6">
        <v>45291</v>
      </c>
      <c r="G1069" s="5">
        <f t="shared" si="206"/>
        <v>2023</v>
      </c>
      <c r="H1069" s="5" t="str">
        <f t="shared" si="218"/>
        <v>Diciembre</v>
      </c>
      <c r="I1069" s="6" t="str">
        <f t="shared" si="215"/>
        <v>2023-2</v>
      </c>
      <c r="J1069" s="5">
        <v>15</v>
      </c>
      <c r="K1069" s="5">
        <v>15.45</v>
      </c>
      <c r="L1069" s="21">
        <f>IFERROR(J1069/K1069,"")</f>
        <v>0.970873786407767</v>
      </c>
      <c r="M1069" s="15">
        <f>IFERROR(J1069/K1069,"")</f>
        <v>0.970873786407767</v>
      </c>
      <c r="N1069" s="5"/>
      <c r="O1069" s="5"/>
      <c r="P1069" s="5">
        <v>1</v>
      </c>
      <c r="Q1069" s="5">
        <v>1</v>
      </c>
      <c r="R1069" s="5" t="str">
        <f t="shared" si="213"/>
        <v>393-2023-12-31</v>
      </c>
    </row>
    <row r="1070" spans="1:18" x14ac:dyDescent="0.3">
      <c r="A1070" s="5">
        <v>393</v>
      </c>
      <c r="B1070" s="5" t="s">
        <v>283</v>
      </c>
      <c r="C1070" s="5" t="s">
        <v>281</v>
      </c>
      <c r="D1070" s="5" t="s">
        <v>25</v>
      </c>
      <c r="E1070" s="5" t="s">
        <v>14</v>
      </c>
      <c r="F1070" s="6">
        <v>45657</v>
      </c>
      <c r="G1070" s="5">
        <f t="shared" ref="G1070:G1133" si="219">YEAR(F1070)</f>
        <v>2024</v>
      </c>
      <c r="H1070" s="5" t="str">
        <f t="shared" si="218"/>
        <v>Diciembre</v>
      </c>
      <c r="I1070" s="6" t="str">
        <f t="shared" si="215"/>
        <v>2024-2</v>
      </c>
      <c r="J1070" s="5">
        <v>15</v>
      </c>
      <c r="K1070" s="5">
        <v>13</v>
      </c>
      <c r="L1070" s="15">
        <f t="shared" ref="L1070:L1078" si="220">IFERROR(IF((K1070/J1070)&gt;1.3,1.3,K1070/J1070),"")</f>
        <v>0.8666666666666667</v>
      </c>
      <c r="M1070" s="15">
        <f t="shared" ref="M1070:M1105" si="221">IFERROR(K1070/J1070,"")</f>
        <v>0.8666666666666667</v>
      </c>
      <c r="N1070" s="5"/>
      <c r="O1070" s="5"/>
      <c r="P1070" s="5">
        <v>0</v>
      </c>
      <c r="Q1070" s="5">
        <v>0</v>
      </c>
      <c r="R1070" s="5" t="str">
        <f t="shared" si="213"/>
        <v>393-2024-12-31</v>
      </c>
    </row>
    <row r="1071" spans="1:18" x14ac:dyDescent="0.3">
      <c r="A1071" s="43">
        <v>394</v>
      </c>
      <c r="B1071" s="5" t="s">
        <v>284</v>
      </c>
      <c r="C1071" s="5" t="s">
        <v>285</v>
      </c>
      <c r="D1071" s="5" t="s">
        <v>8</v>
      </c>
      <c r="E1071" s="5" t="s">
        <v>9</v>
      </c>
      <c r="F1071" s="6">
        <v>45107</v>
      </c>
      <c r="G1071" s="5">
        <f t="shared" si="219"/>
        <v>2023</v>
      </c>
      <c r="H1071" s="5" t="str">
        <f t="shared" si="218"/>
        <v>Junio</v>
      </c>
      <c r="I1071" s="6" t="str">
        <f t="shared" si="215"/>
        <v>2023-1</v>
      </c>
      <c r="J1071" s="5">
        <v>175</v>
      </c>
      <c r="K1071" s="5">
        <v>482</v>
      </c>
      <c r="L1071" s="15">
        <f t="shared" si="220"/>
        <v>1.3</v>
      </c>
      <c r="M1071" s="15">
        <f t="shared" si="221"/>
        <v>2.7542857142857144</v>
      </c>
      <c r="N1071" s="5" t="s">
        <v>490</v>
      </c>
      <c r="O1071" s="5" t="s">
        <v>490</v>
      </c>
      <c r="P1071" s="5">
        <v>0</v>
      </c>
      <c r="Q1071" s="5">
        <v>0</v>
      </c>
      <c r="R1071" s="5" t="str">
        <f t="shared" si="213"/>
        <v>394-2023-06-30</v>
      </c>
    </row>
    <row r="1072" spans="1:18" x14ac:dyDescent="0.3">
      <c r="A1072" s="39">
        <v>394</v>
      </c>
      <c r="B1072" s="5" t="s">
        <v>284</v>
      </c>
      <c r="C1072" s="5" t="s">
        <v>285</v>
      </c>
      <c r="D1072" s="5" t="s">
        <v>8</v>
      </c>
      <c r="E1072" s="5" t="s">
        <v>9</v>
      </c>
      <c r="F1072" s="6">
        <v>45291</v>
      </c>
      <c r="G1072" s="5">
        <f t="shared" si="219"/>
        <v>2023</v>
      </c>
      <c r="H1072" s="5" t="str">
        <f t="shared" si="218"/>
        <v>Diciembre</v>
      </c>
      <c r="I1072" s="6" t="str">
        <f t="shared" si="215"/>
        <v>2023-2</v>
      </c>
      <c r="J1072" s="5">
        <v>175</v>
      </c>
      <c r="K1072" s="5">
        <v>612</v>
      </c>
      <c r="L1072" s="15">
        <f t="shared" si="220"/>
        <v>1.3</v>
      </c>
      <c r="M1072" s="15">
        <f t="shared" si="221"/>
        <v>3.4971428571428573</v>
      </c>
      <c r="N1072" s="5" t="s">
        <v>490</v>
      </c>
      <c r="O1072" s="5" t="s">
        <v>490</v>
      </c>
      <c r="P1072" s="5">
        <v>0</v>
      </c>
      <c r="Q1072" s="5">
        <v>0</v>
      </c>
      <c r="R1072" s="5" t="str">
        <f t="shared" si="213"/>
        <v>394-2023-12-31</v>
      </c>
    </row>
    <row r="1073" spans="1:18" x14ac:dyDescent="0.3">
      <c r="A1073" s="5">
        <v>394</v>
      </c>
      <c r="B1073" s="5" t="s">
        <v>284</v>
      </c>
      <c r="C1073" s="5" t="s">
        <v>285</v>
      </c>
      <c r="D1073" s="5" t="s">
        <v>8</v>
      </c>
      <c r="E1073" s="5" t="s">
        <v>9</v>
      </c>
      <c r="F1073" s="6">
        <v>45473</v>
      </c>
      <c r="G1073" s="5">
        <f t="shared" si="219"/>
        <v>2024</v>
      </c>
      <c r="H1073" s="5" t="str">
        <f t="shared" si="218"/>
        <v>Junio</v>
      </c>
      <c r="I1073" s="6" t="str">
        <f t="shared" si="215"/>
        <v>2024-1</v>
      </c>
      <c r="J1073" s="5">
        <v>500</v>
      </c>
      <c r="K1073" s="5">
        <v>593</v>
      </c>
      <c r="L1073" s="15">
        <f t="shared" si="220"/>
        <v>1.1859999999999999</v>
      </c>
      <c r="M1073" s="15">
        <f t="shared" si="221"/>
        <v>1.1859999999999999</v>
      </c>
      <c r="N1073" s="5" t="s">
        <v>490</v>
      </c>
      <c r="O1073" s="5" t="s">
        <v>490</v>
      </c>
      <c r="P1073" s="5">
        <v>0</v>
      </c>
      <c r="Q1073" s="5">
        <v>0</v>
      </c>
      <c r="R1073" s="5" t="str">
        <f t="shared" si="213"/>
        <v>394-2024-06-30</v>
      </c>
    </row>
    <row r="1074" spans="1:18" x14ac:dyDescent="0.3">
      <c r="A1074" s="5">
        <v>394</v>
      </c>
      <c r="B1074" s="5" t="s">
        <v>284</v>
      </c>
      <c r="C1074" s="5" t="s">
        <v>285</v>
      </c>
      <c r="D1074" s="5" t="s">
        <v>8</v>
      </c>
      <c r="E1074" s="5" t="s">
        <v>9</v>
      </c>
      <c r="F1074" s="6">
        <v>45657</v>
      </c>
      <c r="G1074" s="5">
        <f t="shared" si="219"/>
        <v>2024</v>
      </c>
      <c r="H1074" s="5" t="str">
        <f t="shared" si="218"/>
        <v>Diciembre</v>
      </c>
      <c r="I1074" s="6" t="str">
        <f t="shared" si="215"/>
        <v>2024-2</v>
      </c>
      <c r="J1074" s="5">
        <v>500</v>
      </c>
      <c r="K1074" s="10">
        <v>960</v>
      </c>
      <c r="L1074" s="15">
        <f t="shared" si="220"/>
        <v>1.3</v>
      </c>
      <c r="M1074" s="15">
        <f>IFERROR(K1074/J1074,"")</f>
        <v>1.92</v>
      </c>
      <c r="N1074" s="5" t="s">
        <v>490</v>
      </c>
      <c r="O1074" s="5" t="s">
        <v>490</v>
      </c>
      <c r="P1074" s="5">
        <v>0</v>
      </c>
      <c r="Q1074" s="5">
        <v>0</v>
      </c>
      <c r="R1074" s="5" t="str">
        <f t="shared" si="213"/>
        <v>394-2024-12-31</v>
      </c>
    </row>
    <row r="1075" spans="1:18" x14ac:dyDescent="0.3">
      <c r="A1075" s="43">
        <v>395</v>
      </c>
      <c r="B1075" s="5" t="s">
        <v>286</v>
      </c>
      <c r="C1075" s="5" t="s">
        <v>285</v>
      </c>
      <c r="D1075" s="5" t="s">
        <v>8</v>
      </c>
      <c r="E1075" s="5" t="s">
        <v>9</v>
      </c>
      <c r="F1075" s="6">
        <v>45107</v>
      </c>
      <c r="G1075" s="5">
        <f t="shared" si="219"/>
        <v>2023</v>
      </c>
      <c r="H1075" s="5" t="str">
        <f t="shared" si="218"/>
        <v>Junio</v>
      </c>
      <c r="I1075" s="6" t="str">
        <f t="shared" si="215"/>
        <v>2023-1</v>
      </c>
      <c r="J1075" s="5">
        <v>17</v>
      </c>
      <c r="K1075" s="5">
        <v>50</v>
      </c>
      <c r="L1075" s="15">
        <f t="shared" si="220"/>
        <v>1.3</v>
      </c>
      <c r="M1075" s="15">
        <f t="shared" si="221"/>
        <v>2.9411764705882355</v>
      </c>
      <c r="N1075" s="5" t="s">
        <v>490</v>
      </c>
      <c r="O1075" s="5" t="s">
        <v>490</v>
      </c>
      <c r="P1075" s="5">
        <v>0</v>
      </c>
      <c r="Q1075" s="5">
        <v>0</v>
      </c>
      <c r="R1075" s="5" t="str">
        <f t="shared" si="213"/>
        <v>395-2023-06-30</v>
      </c>
    </row>
    <row r="1076" spans="1:18" x14ac:dyDescent="0.3">
      <c r="A1076" s="39">
        <v>395</v>
      </c>
      <c r="B1076" s="5" t="s">
        <v>286</v>
      </c>
      <c r="C1076" s="5" t="s">
        <v>285</v>
      </c>
      <c r="D1076" s="5" t="s">
        <v>8</v>
      </c>
      <c r="E1076" s="5" t="s">
        <v>9</v>
      </c>
      <c r="F1076" s="6">
        <v>45291</v>
      </c>
      <c r="G1076" s="5">
        <f t="shared" si="219"/>
        <v>2023</v>
      </c>
      <c r="H1076" s="5" t="str">
        <f t="shared" si="218"/>
        <v>Diciembre</v>
      </c>
      <c r="I1076" s="6" t="str">
        <f t="shared" si="215"/>
        <v>2023-2</v>
      </c>
      <c r="J1076" s="5">
        <v>18</v>
      </c>
      <c r="K1076" s="5">
        <v>48</v>
      </c>
      <c r="L1076" s="15">
        <f t="shared" si="220"/>
        <v>1.3</v>
      </c>
      <c r="M1076" s="15">
        <f t="shared" si="221"/>
        <v>2.6666666666666665</v>
      </c>
      <c r="N1076" s="5" t="s">
        <v>490</v>
      </c>
      <c r="O1076" s="5" t="s">
        <v>490</v>
      </c>
      <c r="P1076" s="5">
        <v>0</v>
      </c>
      <c r="Q1076" s="5">
        <v>0</v>
      </c>
      <c r="R1076" s="5" t="str">
        <f t="shared" si="213"/>
        <v>395-2023-12-31</v>
      </c>
    </row>
    <row r="1077" spans="1:18" x14ac:dyDescent="0.3">
      <c r="A1077" s="5">
        <v>395</v>
      </c>
      <c r="B1077" s="5" t="s">
        <v>505</v>
      </c>
      <c r="C1077" s="5" t="s">
        <v>285</v>
      </c>
      <c r="D1077" s="5" t="s">
        <v>8</v>
      </c>
      <c r="E1077" s="5" t="s">
        <v>9</v>
      </c>
      <c r="F1077" s="6">
        <v>45473</v>
      </c>
      <c r="G1077" s="5">
        <f t="shared" si="219"/>
        <v>2024</v>
      </c>
      <c r="H1077" s="5" t="str">
        <f t="shared" si="218"/>
        <v>Junio</v>
      </c>
      <c r="I1077" s="6" t="str">
        <f t="shared" si="215"/>
        <v>2024-1</v>
      </c>
      <c r="J1077" s="5">
        <v>90</v>
      </c>
      <c r="K1077" s="5">
        <v>99</v>
      </c>
      <c r="L1077" s="15">
        <f t="shared" si="220"/>
        <v>1.1000000000000001</v>
      </c>
      <c r="M1077" s="15">
        <f t="shared" si="221"/>
        <v>1.1000000000000001</v>
      </c>
      <c r="N1077" s="5" t="s">
        <v>490</v>
      </c>
      <c r="O1077" s="5" t="s">
        <v>490</v>
      </c>
      <c r="P1077" s="5">
        <v>0</v>
      </c>
      <c r="Q1077" s="5">
        <v>0</v>
      </c>
      <c r="R1077" s="5" t="str">
        <f t="shared" si="213"/>
        <v>395-2024-06-30</v>
      </c>
    </row>
    <row r="1078" spans="1:18" x14ac:dyDescent="0.3">
      <c r="A1078" s="5">
        <v>395</v>
      </c>
      <c r="B1078" s="5" t="s">
        <v>505</v>
      </c>
      <c r="C1078" s="5" t="s">
        <v>285</v>
      </c>
      <c r="D1078" s="5" t="s">
        <v>8</v>
      </c>
      <c r="E1078" s="5" t="s">
        <v>9</v>
      </c>
      <c r="F1078" s="6">
        <v>45657</v>
      </c>
      <c r="G1078" s="5">
        <f t="shared" si="219"/>
        <v>2024</v>
      </c>
      <c r="H1078" s="5" t="str">
        <f t="shared" si="218"/>
        <v>Diciembre</v>
      </c>
      <c r="I1078" s="6" t="str">
        <f t="shared" si="215"/>
        <v>2024-2</v>
      </c>
      <c r="J1078" s="5">
        <v>90</v>
      </c>
      <c r="K1078" s="16">
        <v>134</v>
      </c>
      <c r="L1078" s="15">
        <f t="shared" si="220"/>
        <v>1.3</v>
      </c>
      <c r="M1078" s="15">
        <f t="shared" si="221"/>
        <v>1.4888888888888889</v>
      </c>
      <c r="N1078" s="5" t="s">
        <v>490</v>
      </c>
      <c r="O1078" s="5" t="s">
        <v>490</v>
      </c>
      <c r="P1078" s="5">
        <v>0</v>
      </c>
      <c r="Q1078" s="5">
        <v>0</v>
      </c>
      <c r="R1078" s="5" t="str">
        <f t="shared" si="213"/>
        <v>395-2024-12-31</v>
      </c>
    </row>
    <row r="1079" spans="1:18" x14ac:dyDescent="0.3">
      <c r="A1079" s="39">
        <v>396</v>
      </c>
      <c r="B1079" s="5" t="s">
        <v>287</v>
      </c>
      <c r="C1079" s="5" t="s">
        <v>281</v>
      </c>
      <c r="D1079" s="5" t="s">
        <v>8</v>
      </c>
      <c r="E1079" s="5" t="s">
        <v>9</v>
      </c>
      <c r="F1079" s="6">
        <v>45107</v>
      </c>
      <c r="G1079" s="5">
        <f t="shared" si="219"/>
        <v>2023</v>
      </c>
      <c r="H1079" s="5" t="str">
        <f t="shared" si="218"/>
        <v>Junio</v>
      </c>
      <c r="I1079" s="6" t="str">
        <f t="shared" si="215"/>
        <v>2023-1</v>
      </c>
      <c r="J1079" s="5">
        <v>80</v>
      </c>
      <c r="K1079" s="75">
        <v>91.07</v>
      </c>
      <c r="L1079" s="21">
        <f>IFERROR(K1079/J1079,"")</f>
        <v>1.1383749999999999</v>
      </c>
      <c r="M1079" s="15">
        <f t="shared" si="221"/>
        <v>1.1383749999999999</v>
      </c>
      <c r="N1079" s="5" t="s">
        <v>347</v>
      </c>
      <c r="O1079" s="5" t="s">
        <v>347</v>
      </c>
      <c r="P1079" s="5">
        <v>0</v>
      </c>
      <c r="Q1079" s="5">
        <v>1</v>
      </c>
      <c r="R1079" s="5" t="str">
        <f t="shared" si="213"/>
        <v>396-2023-06-30</v>
      </c>
    </row>
    <row r="1080" spans="1:18" x14ac:dyDescent="0.3">
      <c r="A1080" s="43">
        <v>397</v>
      </c>
      <c r="B1080" t="s">
        <v>801</v>
      </c>
      <c r="C1080" s="5" t="s">
        <v>506</v>
      </c>
      <c r="D1080" s="5" t="s">
        <v>8</v>
      </c>
      <c r="E1080" s="5" t="s">
        <v>9</v>
      </c>
      <c r="F1080" s="6">
        <v>45107</v>
      </c>
      <c r="G1080" s="5">
        <f t="shared" si="219"/>
        <v>2023</v>
      </c>
      <c r="H1080" s="5" t="str">
        <f t="shared" si="218"/>
        <v>Junio</v>
      </c>
      <c r="I1080" s="6" t="str">
        <f t="shared" si="215"/>
        <v>2023-1</v>
      </c>
      <c r="J1080" s="5">
        <v>80</v>
      </c>
      <c r="K1080" s="5">
        <v>91.07</v>
      </c>
      <c r="L1080" s="21">
        <f>IFERROR(K1080/J1080,"")</f>
        <v>1.1383749999999999</v>
      </c>
      <c r="M1080" s="15">
        <f t="shared" si="221"/>
        <v>1.1383749999999999</v>
      </c>
      <c r="N1080" s="5" t="s">
        <v>347</v>
      </c>
      <c r="O1080" s="5" t="s">
        <v>347</v>
      </c>
      <c r="P1080" s="5">
        <v>1</v>
      </c>
      <c r="Q1080" s="5">
        <v>1</v>
      </c>
      <c r="R1080" s="5" t="str">
        <f t="shared" si="213"/>
        <v>397-2023-06-30</v>
      </c>
    </row>
    <row r="1081" spans="1:18" x14ac:dyDescent="0.3">
      <c r="A1081" s="39">
        <v>397</v>
      </c>
      <c r="B1081" t="s">
        <v>801</v>
      </c>
      <c r="C1081" s="5" t="s">
        <v>506</v>
      </c>
      <c r="D1081" s="5" t="s">
        <v>8</v>
      </c>
      <c r="E1081" s="5" t="s">
        <v>9</v>
      </c>
      <c r="F1081" s="6">
        <v>45291</v>
      </c>
      <c r="G1081" s="5">
        <f t="shared" si="219"/>
        <v>2023</v>
      </c>
      <c r="H1081" s="5" t="str">
        <f t="shared" si="218"/>
        <v>Diciembre</v>
      </c>
      <c r="I1081" s="6" t="str">
        <f t="shared" si="215"/>
        <v>2023-2</v>
      </c>
      <c r="J1081" s="5">
        <v>80</v>
      </c>
      <c r="K1081" s="5">
        <v>92.96</v>
      </c>
      <c r="L1081" s="21">
        <f>IFERROR(K1081/J1081,"")</f>
        <v>1.1619999999999999</v>
      </c>
      <c r="M1081" s="15">
        <f t="shared" si="221"/>
        <v>1.1619999999999999</v>
      </c>
      <c r="N1081" s="5" t="s">
        <v>347</v>
      </c>
      <c r="O1081" s="5" t="s">
        <v>347</v>
      </c>
      <c r="P1081" s="5">
        <v>1</v>
      </c>
      <c r="Q1081" s="5">
        <v>1</v>
      </c>
      <c r="R1081" s="5" t="str">
        <f t="shared" si="213"/>
        <v>397-2023-12-31</v>
      </c>
    </row>
    <row r="1082" spans="1:18" x14ac:dyDescent="0.3">
      <c r="A1082" s="5">
        <v>397</v>
      </c>
      <c r="B1082" t="s">
        <v>801</v>
      </c>
      <c r="C1082" s="5" t="s">
        <v>506</v>
      </c>
      <c r="D1082" s="5" t="s">
        <v>8</v>
      </c>
      <c r="E1082" s="5" t="s">
        <v>9</v>
      </c>
      <c r="F1082" s="6">
        <v>45473</v>
      </c>
      <c r="G1082" s="5">
        <f t="shared" si="219"/>
        <v>2024</v>
      </c>
      <c r="H1082" s="5" t="str">
        <f t="shared" si="218"/>
        <v>Junio</v>
      </c>
      <c r="I1082" s="6" t="str">
        <f t="shared" si="215"/>
        <v>2024-1</v>
      </c>
      <c r="J1082" s="5">
        <v>80</v>
      </c>
      <c r="K1082" s="5">
        <v>88.08</v>
      </c>
      <c r="L1082" s="15">
        <f t="shared" ref="L1082:L1091" si="222">IFERROR(IF((K1082/J1082)&gt;1.3,1.3,K1082/J1082),"")</f>
        <v>1.101</v>
      </c>
      <c r="M1082" s="15">
        <f t="shared" si="221"/>
        <v>1.101</v>
      </c>
      <c r="N1082" s="5" t="s">
        <v>347</v>
      </c>
      <c r="O1082" s="5" t="s">
        <v>347</v>
      </c>
      <c r="P1082" s="5">
        <v>0</v>
      </c>
      <c r="Q1082" s="5">
        <v>0</v>
      </c>
      <c r="R1082" s="5" t="str">
        <f t="shared" si="213"/>
        <v>397-2024-06-30</v>
      </c>
    </row>
    <row r="1083" spans="1:18" x14ac:dyDescent="0.3">
      <c r="A1083" s="5">
        <v>397</v>
      </c>
      <c r="B1083" t="s">
        <v>801</v>
      </c>
      <c r="C1083" s="5" t="s">
        <v>506</v>
      </c>
      <c r="D1083" s="5" t="s">
        <v>8</v>
      </c>
      <c r="E1083" s="5" t="s">
        <v>9</v>
      </c>
      <c r="F1083" s="6">
        <v>45657</v>
      </c>
      <c r="G1083" s="5">
        <f t="shared" si="219"/>
        <v>2024</v>
      </c>
      <c r="H1083" s="5" t="str">
        <f t="shared" si="218"/>
        <v>Diciembre</v>
      </c>
      <c r="I1083" s="6" t="str">
        <f t="shared" si="215"/>
        <v>2024-2</v>
      </c>
      <c r="J1083" s="5">
        <v>80</v>
      </c>
      <c r="K1083" s="5">
        <v>94.88</v>
      </c>
      <c r="L1083" s="15">
        <f t="shared" si="222"/>
        <v>1.1859999999999999</v>
      </c>
      <c r="M1083" s="15">
        <f t="shared" si="221"/>
        <v>1.1859999999999999</v>
      </c>
      <c r="N1083" s="5" t="s">
        <v>347</v>
      </c>
      <c r="O1083" s="5" t="s">
        <v>347</v>
      </c>
      <c r="P1083" s="5">
        <v>0</v>
      </c>
      <c r="Q1083" s="5">
        <v>0</v>
      </c>
      <c r="R1083" s="5" t="str">
        <f t="shared" si="213"/>
        <v>397-2024-12-31</v>
      </c>
    </row>
    <row r="1084" spans="1:18" x14ac:dyDescent="0.3">
      <c r="A1084" s="43">
        <v>398</v>
      </c>
      <c r="B1084" s="5" t="s">
        <v>289</v>
      </c>
      <c r="C1084" s="5" t="s">
        <v>290</v>
      </c>
      <c r="D1084" s="5" t="s">
        <v>8</v>
      </c>
      <c r="E1084" s="5" t="s">
        <v>9</v>
      </c>
      <c r="F1084" s="6">
        <v>45107</v>
      </c>
      <c r="G1084" s="5">
        <f t="shared" si="219"/>
        <v>2023</v>
      </c>
      <c r="H1084" s="5" t="str">
        <f t="shared" si="218"/>
        <v>Junio</v>
      </c>
      <c r="I1084" s="6" t="str">
        <f t="shared" si="215"/>
        <v>2023-1</v>
      </c>
      <c r="J1084" s="5">
        <v>1000</v>
      </c>
      <c r="K1084" s="5">
        <v>2568</v>
      </c>
      <c r="L1084" s="15">
        <f t="shared" si="222"/>
        <v>1.3</v>
      </c>
      <c r="M1084" s="15">
        <f>IFERROR(K1084/J1084,"")</f>
        <v>2.5680000000000001</v>
      </c>
      <c r="N1084" s="5" t="s">
        <v>490</v>
      </c>
      <c r="O1084" s="5" t="s">
        <v>490</v>
      </c>
      <c r="P1084" s="5">
        <v>0</v>
      </c>
      <c r="Q1084" s="5">
        <v>0</v>
      </c>
      <c r="R1084" s="5" t="str">
        <f t="shared" si="213"/>
        <v>398-2023-06-30</v>
      </c>
    </row>
    <row r="1085" spans="1:18" x14ac:dyDescent="0.3">
      <c r="A1085" s="39">
        <v>398</v>
      </c>
      <c r="B1085" s="5" t="s">
        <v>289</v>
      </c>
      <c r="C1085" s="5" t="s">
        <v>290</v>
      </c>
      <c r="D1085" s="5" t="s">
        <v>8</v>
      </c>
      <c r="E1085" s="5" t="s">
        <v>9</v>
      </c>
      <c r="F1085" s="6">
        <v>45291</v>
      </c>
      <c r="G1085" s="5">
        <f t="shared" si="219"/>
        <v>2023</v>
      </c>
      <c r="H1085" s="5" t="str">
        <f t="shared" si="218"/>
        <v>Diciembre</v>
      </c>
      <c r="I1085" s="6" t="str">
        <f t="shared" si="215"/>
        <v>2023-2</v>
      </c>
      <c r="J1085" s="5">
        <v>1000</v>
      </c>
      <c r="K1085" s="5">
        <v>2344</v>
      </c>
      <c r="L1085" s="15">
        <f t="shared" si="222"/>
        <v>1.3</v>
      </c>
      <c r="M1085" s="15">
        <f>IFERROR(K1085/J1085,"")</f>
        <v>2.3439999999999999</v>
      </c>
      <c r="N1085" s="5" t="s">
        <v>490</v>
      </c>
      <c r="O1085" s="5" t="s">
        <v>490</v>
      </c>
      <c r="P1085" s="5">
        <v>0</v>
      </c>
      <c r="Q1085" s="5">
        <v>0</v>
      </c>
      <c r="R1085" s="5" t="str">
        <f t="shared" si="213"/>
        <v>398-2023-12-31</v>
      </c>
    </row>
    <row r="1086" spans="1:18" x14ac:dyDescent="0.3">
      <c r="A1086" s="5">
        <v>398</v>
      </c>
      <c r="B1086" s="5" t="s">
        <v>289</v>
      </c>
      <c r="C1086" s="5" t="s">
        <v>290</v>
      </c>
      <c r="D1086" s="5" t="s">
        <v>8</v>
      </c>
      <c r="E1086" s="5" t="s">
        <v>9</v>
      </c>
      <c r="F1086" s="6">
        <v>45473</v>
      </c>
      <c r="G1086" s="5">
        <f t="shared" si="219"/>
        <v>2024</v>
      </c>
      <c r="H1086" s="5" t="str">
        <f t="shared" si="218"/>
        <v>Junio</v>
      </c>
      <c r="I1086" s="6" t="str">
        <f t="shared" si="215"/>
        <v>2024-1</v>
      </c>
      <c r="J1086" s="5">
        <v>1250</v>
      </c>
      <c r="K1086" s="5">
        <v>3478</v>
      </c>
      <c r="L1086" s="15">
        <f t="shared" si="222"/>
        <v>1.3</v>
      </c>
      <c r="M1086" s="15">
        <f>IFERROR(K1086/J1086,"")</f>
        <v>2.7824</v>
      </c>
      <c r="N1086" s="5" t="s">
        <v>490</v>
      </c>
      <c r="O1086" s="5" t="s">
        <v>490</v>
      </c>
      <c r="P1086" s="5">
        <v>0</v>
      </c>
      <c r="Q1086" s="5">
        <v>0</v>
      </c>
      <c r="R1086" s="5" t="str">
        <f t="shared" si="213"/>
        <v>398-2024-06-30</v>
      </c>
    </row>
    <row r="1087" spans="1:18" x14ac:dyDescent="0.3">
      <c r="A1087" s="5">
        <v>398</v>
      </c>
      <c r="B1087" s="5" t="s">
        <v>289</v>
      </c>
      <c r="C1087" s="5" t="s">
        <v>290</v>
      </c>
      <c r="D1087" s="5" t="s">
        <v>8</v>
      </c>
      <c r="E1087" s="5" t="s">
        <v>9</v>
      </c>
      <c r="F1087" s="6">
        <v>45657</v>
      </c>
      <c r="G1087" s="5">
        <f t="shared" si="219"/>
        <v>2024</v>
      </c>
      <c r="H1087" s="5" t="str">
        <f t="shared" si="218"/>
        <v>Diciembre</v>
      </c>
      <c r="I1087" s="6" t="str">
        <f t="shared" si="215"/>
        <v>2024-2</v>
      </c>
      <c r="J1087" s="5">
        <v>1250</v>
      </c>
      <c r="K1087" s="10">
        <v>2000</v>
      </c>
      <c r="L1087" s="15">
        <f t="shared" si="222"/>
        <v>1.3</v>
      </c>
      <c r="M1087" s="15">
        <f>IFERROR(K1087/J1087,"")</f>
        <v>1.6</v>
      </c>
      <c r="N1087" s="5" t="s">
        <v>490</v>
      </c>
      <c r="O1087" s="5" t="s">
        <v>490</v>
      </c>
      <c r="P1087" s="5">
        <v>0</v>
      </c>
      <c r="Q1087" s="5">
        <v>0</v>
      </c>
      <c r="R1087" s="5" t="str">
        <f t="shared" si="213"/>
        <v>398-2024-12-31</v>
      </c>
    </row>
    <row r="1088" spans="1:18" x14ac:dyDescent="0.3">
      <c r="A1088" s="5">
        <v>399</v>
      </c>
      <c r="B1088" s="5" t="s">
        <v>291</v>
      </c>
      <c r="C1088" s="5" t="s">
        <v>290</v>
      </c>
      <c r="D1088" s="5" t="s">
        <v>8</v>
      </c>
      <c r="E1088" s="5" t="s">
        <v>9</v>
      </c>
      <c r="F1088" s="17">
        <v>45107</v>
      </c>
      <c r="G1088" s="16">
        <f t="shared" si="219"/>
        <v>2023</v>
      </c>
      <c r="H1088" s="6" t="str">
        <f t="shared" si="218"/>
        <v>Junio</v>
      </c>
      <c r="I1088" s="41" t="s">
        <v>422</v>
      </c>
      <c r="J1088" s="5">
        <v>500</v>
      </c>
      <c r="K1088" s="5">
        <v>589</v>
      </c>
      <c r="L1088" s="15">
        <f t="shared" si="222"/>
        <v>1.1779999999999999</v>
      </c>
      <c r="M1088" s="15">
        <f t="shared" si="221"/>
        <v>1.1779999999999999</v>
      </c>
      <c r="N1088" s="5" t="s">
        <v>490</v>
      </c>
      <c r="O1088" s="5" t="s">
        <v>490</v>
      </c>
      <c r="P1088" s="5">
        <v>0</v>
      </c>
      <c r="Q1088" s="5">
        <v>0</v>
      </c>
      <c r="R1088" s="5" t="str">
        <f t="shared" si="213"/>
        <v>399-2023-06-30</v>
      </c>
    </row>
    <row r="1089" spans="1:18" x14ac:dyDescent="0.3">
      <c r="A1089" s="39">
        <v>399</v>
      </c>
      <c r="B1089" s="5" t="s">
        <v>291</v>
      </c>
      <c r="C1089" s="5" t="s">
        <v>290</v>
      </c>
      <c r="D1089" s="5" t="s">
        <v>8</v>
      </c>
      <c r="E1089" s="5" t="s">
        <v>9</v>
      </c>
      <c r="F1089" s="6">
        <v>45291</v>
      </c>
      <c r="G1089" s="5">
        <f t="shared" si="219"/>
        <v>2023</v>
      </c>
      <c r="H1089" s="5" t="str">
        <f t="shared" si="218"/>
        <v>Diciembre</v>
      </c>
      <c r="I1089" s="6" t="str">
        <f t="shared" ref="I1089:I1120" si="223">IF(OR(H1089="Enero",H1089="Febrero",H1089="Marzo",H1089="Abril",H1089="Mayo",H1089="Junio"),G1089&amp;"-1",IF(OR(H1089="Julio",H1089="Agosto",H1089="Septiembre",H1089="Octubre",H1089="Noviembre",H1089="Diciembre"),G1089&amp;"-2"))</f>
        <v>2023-2</v>
      </c>
      <c r="J1089" s="5">
        <v>500</v>
      </c>
      <c r="K1089" s="5">
        <v>745</v>
      </c>
      <c r="L1089" s="15">
        <f t="shared" si="222"/>
        <v>1.3</v>
      </c>
      <c r="M1089" s="15">
        <f t="shared" si="221"/>
        <v>1.49</v>
      </c>
      <c r="N1089" s="5" t="s">
        <v>490</v>
      </c>
      <c r="O1089" s="5" t="s">
        <v>490</v>
      </c>
      <c r="P1089" s="5">
        <v>0</v>
      </c>
      <c r="Q1089" s="5">
        <v>0</v>
      </c>
      <c r="R1089" s="5" t="str">
        <f t="shared" si="213"/>
        <v>399-2023-12-31</v>
      </c>
    </row>
    <row r="1090" spans="1:18" x14ac:dyDescent="0.3">
      <c r="A1090" s="5">
        <v>399</v>
      </c>
      <c r="B1090" s="5" t="s">
        <v>507</v>
      </c>
      <c r="C1090" s="5" t="s">
        <v>290</v>
      </c>
      <c r="D1090" s="5" t="s">
        <v>8</v>
      </c>
      <c r="E1090" s="5" t="s">
        <v>9</v>
      </c>
      <c r="F1090" s="6">
        <v>45473</v>
      </c>
      <c r="G1090" s="5">
        <f t="shared" si="219"/>
        <v>2024</v>
      </c>
      <c r="H1090" s="5" t="str">
        <f t="shared" si="218"/>
        <v>Junio</v>
      </c>
      <c r="I1090" s="6" t="str">
        <f t="shared" si="223"/>
        <v>2024-1</v>
      </c>
      <c r="J1090" s="5">
        <v>625</v>
      </c>
      <c r="K1090" s="5">
        <v>696</v>
      </c>
      <c r="L1090" s="15">
        <f t="shared" si="222"/>
        <v>1.1135999999999999</v>
      </c>
      <c r="M1090" s="15">
        <f t="shared" si="221"/>
        <v>1.1135999999999999</v>
      </c>
      <c r="N1090" s="5" t="s">
        <v>490</v>
      </c>
      <c r="O1090" s="5" t="s">
        <v>490</v>
      </c>
      <c r="P1090" s="5">
        <v>0</v>
      </c>
      <c r="Q1090" s="5">
        <v>0</v>
      </c>
      <c r="R1090" s="5" t="str">
        <f t="shared" si="213"/>
        <v>399-2024-06-30</v>
      </c>
    </row>
    <row r="1091" spans="1:18" x14ac:dyDescent="0.3">
      <c r="A1091" s="5">
        <v>399</v>
      </c>
      <c r="B1091" s="5" t="s">
        <v>507</v>
      </c>
      <c r="C1091" s="5" t="s">
        <v>290</v>
      </c>
      <c r="D1091" s="5" t="s">
        <v>8</v>
      </c>
      <c r="E1091" s="5" t="s">
        <v>9</v>
      </c>
      <c r="F1091" s="6">
        <v>45657</v>
      </c>
      <c r="G1091" s="5">
        <f t="shared" si="219"/>
        <v>2024</v>
      </c>
      <c r="H1091" s="5" t="str">
        <f t="shared" si="218"/>
        <v>Diciembre</v>
      </c>
      <c r="I1091" s="6" t="str">
        <f t="shared" si="223"/>
        <v>2024-2</v>
      </c>
      <c r="J1091" s="5">
        <v>625</v>
      </c>
      <c r="K1091" s="5">
        <v>696</v>
      </c>
      <c r="L1091" s="15">
        <f t="shared" si="222"/>
        <v>1.1135999999999999</v>
      </c>
      <c r="M1091" s="15">
        <f t="shared" si="221"/>
        <v>1.1135999999999999</v>
      </c>
      <c r="N1091" s="5" t="s">
        <v>490</v>
      </c>
      <c r="O1091" s="5" t="s">
        <v>490</v>
      </c>
      <c r="P1091" s="5">
        <v>0</v>
      </c>
      <c r="Q1091" s="5">
        <v>0</v>
      </c>
      <c r="R1091" s="5" t="str">
        <f t="shared" si="213"/>
        <v>399-2024-12-31</v>
      </c>
    </row>
    <row r="1092" spans="1:18" x14ac:dyDescent="0.3">
      <c r="A1092" s="43">
        <v>400</v>
      </c>
      <c r="B1092" s="5" t="s">
        <v>292</v>
      </c>
      <c r="C1092" s="5" t="s">
        <v>290</v>
      </c>
      <c r="D1092" s="5" t="s">
        <v>8</v>
      </c>
      <c r="E1092" s="5" t="s">
        <v>9</v>
      </c>
      <c r="F1092" s="6">
        <v>45107</v>
      </c>
      <c r="G1092" s="5">
        <f t="shared" si="219"/>
        <v>2023</v>
      </c>
      <c r="H1092" s="5" t="str">
        <f t="shared" si="218"/>
        <v>Junio</v>
      </c>
      <c r="I1092" s="6" t="str">
        <f t="shared" si="223"/>
        <v>2023-1</v>
      </c>
      <c r="J1092" s="5">
        <v>35</v>
      </c>
      <c r="K1092" s="5">
        <v>77</v>
      </c>
      <c r="L1092" s="8">
        <f>IF(IFERROR(K1092/J1092,"")&gt;130%,130%,K1092/J1092)</f>
        <v>1.3</v>
      </c>
      <c r="M1092" s="15">
        <f t="shared" si="221"/>
        <v>2.2000000000000002</v>
      </c>
      <c r="N1092" s="5" t="s">
        <v>490</v>
      </c>
      <c r="O1092" s="5" t="s">
        <v>490</v>
      </c>
      <c r="P1092" s="5">
        <v>0</v>
      </c>
      <c r="Q1092" s="5">
        <v>0</v>
      </c>
      <c r="R1092" s="5" t="str">
        <f t="shared" si="213"/>
        <v>400-2023-06-30</v>
      </c>
    </row>
    <row r="1093" spans="1:18" x14ac:dyDescent="0.3">
      <c r="A1093" s="39">
        <v>400</v>
      </c>
      <c r="B1093" s="5" t="s">
        <v>292</v>
      </c>
      <c r="C1093" s="5" t="s">
        <v>290</v>
      </c>
      <c r="D1093" s="5" t="s">
        <v>8</v>
      </c>
      <c r="E1093" s="5" t="s">
        <v>9</v>
      </c>
      <c r="F1093" s="6">
        <v>45291</v>
      </c>
      <c r="G1093" s="5">
        <f t="shared" si="219"/>
        <v>2023</v>
      </c>
      <c r="H1093" s="5" t="str">
        <f t="shared" si="218"/>
        <v>Diciembre</v>
      </c>
      <c r="I1093" s="6" t="str">
        <f t="shared" si="223"/>
        <v>2023-2</v>
      </c>
      <c r="J1093" s="5">
        <v>35</v>
      </c>
      <c r="K1093" s="5">
        <v>99</v>
      </c>
      <c r="L1093" s="8">
        <f>IF(IFERROR(K1093/J1093,"")&gt;130%,130%,K1093/J1093)</f>
        <v>1.3</v>
      </c>
      <c r="M1093" s="15">
        <f t="shared" si="221"/>
        <v>2.8285714285714287</v>
      </c>
      <c r="N1093" s="5" t="s">
        <v>490</v>
      </c>
      <c r="O1093" s="5" t="s">
        <v>490</v>
      </c>
      <c r="P1093" s="5">
        <v>0</v>
      </c>
      <c r="Q1093" s="5">
        <v>0</v>
      </c>
      <c r="R1093" s="5" t="str">
        <f t="shared" si="213"/>
        <v>400-2023-12-31</v>
      </c>
    </row>
    <row r="1094" spans="1:18" x14ac:dyDescent="0.3">
      <c r="A1094" s="5">
        <v>400</v>
      </c>
      <c r="B1094" s="5" t="s">
        <v>292</v>
      </c>
      <c r="C1094" s="5" t="s">
        <v>290</v>
      </c>
      <c r="D1094" s="5" t="s">
        <v>8</v>
      </c>
      <c r="E1094" s="5" t="s">
        <v>9</v>
      </c>
      <c r="F1094" s="6">
        <v>45473</v>
      </c>
      <c r="G1094" s="5">
        <f t="shared" si="219"/>
        <v>2024</v>
      </c>
      <c r="H1094" s="5" t="str">
        <f t="shared" si="218"/>
        <v>Junio</v>
      </c>
      <c r="I1094" s="6" t="str">
        <f t="shared" si="223"/>
        <v>2024-1</v>
      </c>
      <c r="J1094" s="5">
        <v>44</v>
      </c>
      <c r="K1094" s="5">
        <v>119</v>
      </c>
      <c r="L1094" s="15">
        <f t="shared" ref="L1094:L1099" si="224">IFERROR(IF((K1094/J1094)&gt;1.3,1.3,K1094/J1094),"")</f>
        <v>1.3</v>
      </c>
      <c r="M1094" s="15">
        <f t="shared" si="221"/>
        <v>2.7045454545454546</v>
      </c>
      <c r="N1094" s="5" t="s">
        <v>490</v>
      </c>
      <c r="O1094" s="5" t="s">
        <v>490</v>
      </c>
      <c r="P1094" s="5">
        <v>0</v>
      </c>
      <c r="Q1094" s="5">
        <v>0</v>
      </c>
      <c r="R1094" s="5" t="str">
        <f t="shared" si="213"/>
        <v>400-2024-06-30</v>
      </c>
    </row>
    <row r="1095" spans="1:18" x14ac:dyDescent="0.3">
      <c r="A1095" s="5">
        <v>400</v>
      </c>
      <c r="B1095" s="5" t="s">
        <v>292</v>
      </c>
      <c r="C1095" s="5" t="s">
        <v>290</v>
      </c>
      <c r="D1095" s="5" t="s">
        <v>8</v>
      </c>
      <c r="E1095" s="5" t="s">
        <v>9</v>
      </c>
      <c r="F1095" s="6">
        <v>45657</v>
      </c>
      <c r="G1095" s="5">
        <f t="shared" si="219"/>
        <v>2024</v>
      </c>
      <c r="H1095" s="5" t="str">
        <f t="shared" si="218"/>
        <v>Diciembre</v>
      </c>
      <c r="I1095" s="6" t="str">
        <f t="shared" si="223"/>
        <v>2024-2</v>
      </c>
      <c r="J1095" s="5">
        <v>44</v>
      </c>
      <c r="K1095" s="10">
        <v>175</v>
      </c>
      <c r="L1095" s="15">
        <f t="shared" si="224"/>
        <v>1.3</v>
      </c>
      <c r="M1095" s="15">
        <f t="shared" si="221"/>
        <v>3.9772727272727271</v>
      </c>
      <c r="N1095" s="5" t="s">
        <v>490</v>
      </c>
      <c r="O1095" s="5" t="s">
        <v>490</v>
      </c>
      <c r="P1095" s="5">
        <v>0</v>
      </c>
      <c r="Q1095" s="5">
        <v>0</v>
      </c>
      <c r="R1095" s="5" t="str">
        <f t="shared" si="213"/>
        <v>400-2024-12-31</v>
      </c>
    </row>
    <row r="1096" spans="1:18" x14ac:dyDescent="0.3">
      <c r="A1096" s="43">
        <v>401</v>
      </c>
      <c r="B1096" s="5" t="s">
        <v>293</v>
      </c>
      <c r="C1096" s="5" t="s">
        <v>294</v>
      </c>
      <c r="D1096" s="5" t="s">
        <v>8</v>
      </c>
      <c r="E1096" s="5" t="s">
        <v>9</v>
      </c>
      <c r="F1096" s="6">
        <v>45107</v>
      </c>
      <c r="G1096" s="5">
        <f t="shared" si="219"/>
        <v>2023</v>
      </c>
      <c r="H1096" s="5" t="str">
        <f t="shared" si="218"/>
        <v>Junio</v>
      </c>
      <c r="I1096" s="6" t="str">
        <f t="shared" si="223"/>
        <v>2023-1</v>
      </c>
      <c r="J1096" s="5">
        <v>8</v>
      </c>
      <c r="K1096" s="5">
        <v>7</v>
      </c>
      <c r="L1096" s="15">
        <f t="shared" si="224"/>
        <v>0.875</v>
      </c>
      <c r="M1096" s="15">
        <f t="shared" si="221"/>
        <v>0.875</v>
      </c>
      <c r="N1096" s="5" t="s">
        <v>490</v>
      </c>
      <c r="O1096" s="5" t="s">
        <v>490</v>
      </c>
      <c r="P1096" s="5">
        <v>0</v>
      </c>
      <c r="Q1096" s="5">
        <v>0</v>
      </c>
      <c r="R1096" s="5" t="str">
        <f t="shared" si="213"/>
        <v>401-2023-06-30</v>
      </c>
    </row>
    <row r="1097" spans="1:18" x14ac:dyDescent="0.3">
      <c r="A1097" s="39">
        <v>401</v>
      </c>
      <c r="B1097" s="5" t="s">
        <v>293</v>
      </c>
      <c r="C1097" s="5" t="s">
        <v>294</v>
      </c>
      <c r="D1097" s="5" t="s">
        <v>8</v>
      </c>
      <c r="E1097" s="5" t="s">
        <v>9</v>
      </c>
      <c r="F1097" s="6">
        <v>45291</v>
      </c>
      <c r="G1097" s="5">
        <f t="shared" si="219"/>
        <v>2023</v>
      </c>
      <c r="H1097" s="5" t="str">
        <f t="shared" si="218"/>
        <v>Diciembre</v>
      </c>
      <c r="I1097" s="6" t="str">
        <f t="shared" si="223"/>
        <v>2023-2</v>
      </c>
      <c r="J1097" s="5">
        <v>8</v>
      </c>
      <c r="K1097" s="5">
        <v>10</v>
      </c>
      <c r="L1097" s="15">
        <f t="shared" si="224"/>
        <v>1.25</v>
      </c>
      <c r="M1097" s="15">
        <f t="shared" si="221"/>
        <v>1.25</v>
      </c>
      <c r="N1097" s="5" t="s">
        <v>490</v>
      </c>
      <c r="O1097" s="5" t="s">
        <v>490</v>
      </c>
      <c r="P1097" s="5">
        <v>0</v>
      </c>
      <c r="Q1097" s="5">
        <v>0</v>
      </c>
      <c r="R1097" s="5" t="str">
        <f t="shared" si="213"/>
        <v>401-2023-12-31</v>
      </c>
    </row>
    <row r="1098" spans="1:18" x14ac:dyDescent="0.3">
      <c r="A1098" s="5">
        <v>401</v>
      </c>
      <c r="B1098" s="5" t="s">
        <v>293</v>
      </c>
      <c r="C1098" s="5" t="s">
        <v>294</v>
      </c>
      <c r="D1098" s="5" t="s">
        <v>8</v>
      </c>
      <c r="E1098" s="5" t="s">
        <v>9</v>
      </c>
      <c r="F1098" s="6">
        <v>45473</v>
      </c>
      <c r="G1098" s="5">
        <f t="shared" si="219"/>
        <v>2024</v>
      </c>
      <c r="H1098" s="5" t="str">
        <f t="shared" si="218"/>
        <v>Junio</v>
      </c>
      <c r="I1098" s="6" t="str">
        <f t="shared" si="223"/>
        <v>2024-1</v>
      </c>
      <c r="J1098" s="5">
        <v>8</v>
      </c>
      <c r="K1098" s="5">
        <v>9</v>
      </c>
      <c r="L1098" s="15">
        <f t="shared" si="224"/>
        <v>1.125</v>
      </c>
      <c r="M1098" s="15">
        <f t="shared" si="221"/>
        <v>1.125</v>
      </c>
      <c r="N1098" s="5" t="s">
        <v>490</v>
      </c>
      <c r="O1098" s="5" t="s">
        <v>490</v>
      </c>
      <c r="P1098" s="5">
        <v>0</v>
      </c>
      <c r="Q1098" s="5">
        <v>0</v>
      </c>
      <c r="R1098" s="5" t="str">
        <f t="shared" si="213"/>
        <v>401-2024-06-30</v>
      </c>
    </row>
    <row r="1099" spans="1:18" x14ac:dyDescent="0.3">
      <c r="A1099" s="5">
        <v>401</v>
      </c>
      <c r="B1099" s="5" t="s">
        <v>293</v>
      </c>
      <c r="C1099" s="5" t="s">
        <v>294</v>
      </c>
      <c r="D1099" s="5" t="s">
        <v>8</v>
      </c>
      <c r="E1099" s="5" t="s">
        <v>9</v>
      </c>
      <c r="F1099" s="6">
        <v>45657</v>
      </c>
      <c r="G1099" s="5">
        <f t="shared" si="219"/>
        <v>2024</v>
      </c>
      <c r="H1099" s="5" t="str">
        <f t="shared" si="218"/>
        <v>Diciembre</v>
      </c>
      <c r="I1099" s="6" t="str">
        <f t="shared" si="223"/>
        <v>2024-2</v>
      </c>
      <c r="J1099" s="5">
        <v>8</v>
      </c>
      <c r="K1099" s="5">
        <v>8</v>
      </c>
      <c r="L1099" s="15">
        <f t="shared" si="224"/>
        <v>1</v>
      </c>
      <c r="M1099" s="15">
        <f t="shared" si="221"/>
        <v>1</v>
      </c>
      <c r="N1099" s="5" t="s">
        <v>490</v>
      </c>
      <c r="O1099" s="5" t="s">
        <v>490</v>
      </c>
      <c r="P1099" s="5">
        <v>0</v>
      </c>
      <c r="Q1099" s="5">
        <v>0</v>
      </c>
      <c r="R1099" s="5" t="str">
        <f t="shared" si="213"/>
        <v>401-2024-12-31</v>
      </c>
    </row>
    <row r="1100" spans="1:18" x14ac:dyDescent="0.3">
      <c r="A1100" s="39">
        <v>402</v>
      </c>
      <c r="B1100" s="5" t="s">
        <v>295</v>
      </c>
      <c r="C1100" s="5" t="s">
        <v>294</v>
      </c>
      <c r="D1100" s="5" t="s">
        <v>25</v>
      </c>
      <c r="E1100" s="5" t="s">
        <v>9</v>
      </c>
      <c r="F1100" s="6">
        <v>45291</v>
      </c>
      <c r="G1100" s="5">
        <f t="shared" si="219"/>
        <v>2023</v>
      </c>
      <c r="H1100" s="5" t="str">
        <f t="shared" si="218"/>
        <v>Diciembre</v>
      </c>
      <c r="I1100" s="6" t="str">
        <f t="shared" si="223"/>
        <v>2023-2</v>
      </c>
      <c r="J1100" s="5" t="s">
        <v>417</v>
      </c>
      <c r="K1100" s="5">
        <v>21000</v>
      </c>
      <c r="L1100" s="21" t="str">
        <f>IFERROR(K1100/J1100,"")</f>
        <v/>
      </c>
      <c r="M1100" s="15" t="str">
        <f t="shared" si="221"/>
        <v/>
      </c>
      <c r="N1100" s="5"/>
      <c r="O1100" s="5"/>
      <c r="P1100" s="5">
        <v>0</v>
      </c>
      <c r="Q1100" s="5">
        <v>0</v>
      </c>
      <c r="R1100" s="5" t="str">
        <f t="shared" ref="R1100:R1163" si="225">A1100&amp;"-"&amp;YEAR(F1100)&amp;"-"&amp;IF(LEN(MONTH(F1100))=1,"0"&amp;MONTH(F1100),MONTH(F1100))&amp;"-"&amp;DAY(F1100)</f>
        <v>402-2023-12-31</v>
      </c>
    </row>
    <row r="1101" spans="1:18" x14ac:dyDescent="0.3">
      <c r="A1101" s="5">
        <v>402</v>
      </c>
      <c r="B1101" s="5" t="s">
        <v>295</v>
      </c>
      <c r="C1101" s="5" t="s">
        <v>294</v>
      </c>
      <c r="D1101" s="5" t="s">
        <v>25</v>
      </c>
      <c r="E1101" s="5" t="s">
        <v>9</v>
      </c>
      <c r="F1101" s="6">
        <v>45657</v>
      </c>
      <c r="G1101" s="5">
        <f t="shared" si="219"/>
        <v>2024</v>
      </c>
      <c r="H1101" s="5" t="str">
        <f t="shared" si="218"/>
        <v>Diciembre</v>
      </c>
      <c r="I1101" s="6" t="str">
        <f t="shared" si="223"/>
        <v>2024-2</v>
      </c>
      <c r="J1101" s="5">
        <v>3</v>
      </c>
      <c r="K1101" s="5">
        <v>4.76</v>
      </c>
      <c r="L1101" s="15">
        <f>IFERROR(IF((K1101/J1101)&gt;1.3,1.3,K1101/J1101),"")</f>
        <v>1.3</v>
      </c>
      <c r="M1101" s="15">
        <f t="shared" si="221"/>
        <v>1.5866666666666667</v>
      </c>
      <c r="N1101" s="5"/>
      <c r="O1101" s="5"/>
      <c r="P1101" s="5">
        <v>0</v>
      </c>
      <c r="Q1101" s="5">
        <v>0</v>
      </c>
      <c r="R1101" s="5" t="str">
        <f t="shared" si="225"/>
        <v>402-2024-12-31</v>
      </c>
    </row>
    <row r="1102" spans="1:18" x14ac:dyDescent="0.3">
      <c r="A1102" s="43">
        <v>403</v>
      </c>
      <c r="B1102" s="5" t="s">
        <v>296</v>
      </c>
      <c r="C1102" s="5" t="s">
        <v>294</v>
      </c>
      <c r="D1102" s="5" t="s">
        <v>8</v>
      </c>
      <c r="E1102" s="5" t="s">
        <v>9</v>
      </c>
      <c r="F1102" s="6">
        <v>45107</v>
      </c>
      <c r="G1102" s="5">
        <f t="shared" si="219"/>
        <v>2023</v>
      </c>
      <c r="H1102" s="5" t="str">
        <f t="shared" si="218"/>
        <v>Junio</v>
      </c>
      <c r="I1102" s="6" t="str">
        <f t="shared" si="223"/>
        <v>2023-1</v>
      </c>
      <c r="J1102" s="5"/>
      <c r="K1102" s="5">
        <v>14370</v>
      </c>
      <c r="L1102" s="21" t="s">
        <v>417</v>
      </c>
      <c r="M1102" s="15" t="str">
        <f t="shared" si="221"/>
        <v/>
      </c>
      <c r="N1102" s="5" t="s">
        <v>728</v>
      </c>
      <c r="O1102" s="5"/>
      <c r="P1102" s="5">
        <v>0</v>
      </c>
      <c r="Q1102" s="5">
        <v>0</v>
      </c>
      <c r="R1102" s="5" t="str">
        <f t="shared" si="225"/>
        <v>403-2023-06-30</v>
      </c>
    </row>
    <row r="1103" spans="1:18" x14ac:dyDescent="0.3">
      <c r="A1103" s="39">
        <v>403</v>
      </c>
      <c r="B1103" s="5" t="s">
        <v>296</v>
      </c>
      <c r="C1103" s="5" t="s">
        <v>294</v>
      </c>
      <c r="D1103" s="5" t="s">
        <v>8</v>
      </c>
      <c r="E1103" s="5" t="s">
        <v>9</v>
      </c>
      <c r="F1103" s="6">
        <v>45291</v>
      </c>
      <c r="G1103" s="5">
        <f t="shared" si="219"/>
        <v>2023</v>
      </c>
      <c r="H1103" s="5" t="str">
        <f t="shared" si="218"/>
        <v>Diciembre</v>
      </c>
      <c r="I1103" s="6" t="str">
        <f t="shared" si="223"/>
        <v>2023-2</v>
      </c>
      <c r="J1103" s="5"/>
      <c r="K1103" s="5">
        <v>14220</v>
      </c>
      <c r="L1103" s="21" t="str">
        <f>IFERROR(K1103/J1103,"")</f>
        <v/>
      </c>
      <c r="M1103" s="15" t="str">
        <f t="shared" si="221"/>
        <v/>
      </c>
      <c r="N1103" s="5" t="s">
        <v>728</v>
      </c>
      <c r="O1103" s="5"/>
      <c r="P1103" s="5">
        <v>0</v>
      </c>
      <c r="Q1103" s="5">
        <v>0</v>
      </c>
      <c r="R1103" s="5" t="str">
        <f t="shared" si="225"/>
        <v>403-2023-12-31</v>
      </c>
    </row>
    <row r="1104" spans="1:18" x14ac:dyDescent="0.3">
      <c r="A1104" s="5">
        <v>403</v>
      </c>
      <c r="B1104" s="5" t="s">
        <v>296</v>
      </c>
      <c r="C1104" s="5" t="s">
        <v>294</v>
      </c>
      <c r="D1104" s="5" t="s">
        <v>8</v>
      </c>
      <c r="E1104" s="5" t="s">
        <v>9</v>
      </c>
      <c r="F1104" s="6">
        <v>45473</v>
      </c>
      <c r="G1104" s="5">
        <f t="shared" si="219"/>
        <v>2024</v>
      </c>
      <c r="H1104" s="5" t="str">
        <f t="shared" si="218"/>
        <v>Junio</v>
      </c>
      <c r="I1104" s="6" t="str">
        <f t="shared" si="223"/>
        <v>2024-1</v>
      </c>
      <c r="J1104" s="5"/>
      <c r="K1104" s="5">
        <v>14923</v>
      </c>
      <c r="L1104" s="15" t="str">
        <f>IFERROR(IF((K1104/J1104)&gt;1.3,1.3,K1104/J1104),"")</f>
        <v/>
      </c>
      <c r="M1104" s="15" t="str">
        <f t="shared" si="221"/>
        <v/>
      </c>
      <c r="N1104" s="5" t="s">
        <v>728</v>
      </c>
      <c r="O1104" s="5"/>
      <c r="P1104" s="5">
        <v>0</v>
      </c>
      <c r="Q1104" s="5">
        <v>0</v>
      </c>
      <c r="R1104" s="5" t="str">
        <f t="shared" si="225"/>
        <v>403-2024-06-30</v>
      </c>
    </row>
    <row r="1105" spans="1:18" x14ac:dyDescent="0.3">
      <c r="A1105" s="5">
        <v>403</v>
      </c>
      <c r="B1105" s="5" t="s">
        <v>296</v>
      </c>
      <c r="C1105" s="5" t="s">
        <v>294</v>
      </c>
      <c r="D1105" s="5" t="s">
        <v>8</v>
      </c>
      <c r="E1105" s="5" t="s">
        <v>9</v>
      </c>
      <c r="F1105" s="6">
        <v>45657</v>
      </c>
      <c r="G1105" s="5">
        <f t="shared" si="219"/>
        <v>2024</v>
      </c>
      <c r="H1105" s="5" t="str">
        <f t="shared" si="218"/>
        <v>Diciembre</v>
      </c>
      <c r="I1105" s="6" t="str">
        <f t="shared" si="223"/>
        <v>2024-2</v>
      </c>
      <c r="J1105" s="5"/>
      <c r="K1105" s="5">
        <v>14495</v>
      </c>
      <c r="L1105" s="15" t="str">
        <f>IFERROR(IF((K1105/J1105)&gt;1.3,1.3,K1105/J1105),"")</f>
        <v/>
      </c>
      <c r="M1105" s="15" t="str">
        <f t="shared" si="221"/>
        <v/>
      </c>
      <c r="N1105" s="5" t="s">
        <v>728</v>
      </c>
      <c r="O1105" s="5"/>
      <c r="P1105" s="5">
        <v>0</v>
      </c>
      <c r="Q1105" s="5">
        <v>0</v>
      </c>
      <c r="R1105" s="5" t="str">
        <f t="shared" si="225"/>
        <v>403-2024-12-31</v>
      </c>
    </row>
    <row r="1106" spans="1:18" x14ac:dyDescent="0.3">
      <c r="A1106" s="43">
        <v>404</v>
      </c>
      <c r="B1106" s="5" t="s">
        <v>297</v>
      </c>
      <c r="C1106" s="5" t="s">
        <v>294</v>
      </c>
      <c r="D1106" s="5" t="s">
        <v>8</v>
      </c>
      <c r="E1106" s="5" t="s">
        <v>14</v>
      </c>
      <c r="F1106" s="6">
        <v>45107</v>
      </c>
      <c r="G1106" s="5">
        <f t="shared" si="219"/>
        <v>2023</v>
      </c>
      <c r="H1106" s="5" t="str">
        <f t="shared" si="218"/>
        <v>Junio</v>
      </c>
      <c r="I1106" s="6" t="str">
        <f t="shared" si="223"/>
        <v>2023-1</v>
      </c>
      <c r="J1106" s="5">
        <v>20</v>
      </c>
      <c r="K1106" s="5">
        <v>2</v>
      </c>
      <c r="L1106" s="15">
        <v>1</v>
      </c>
      <c r="M1106" s="15">
        <v>1</v>
      </c>
      <c r="N1106" s="5" t="s">
        <v>347</v>
      </c>
      <c r="O1106" s="5" t="s">
        <v>347</v>
      </c>
      <c r="P1106" s="5">
        <v>0</v>
      </c>
      <c r="Q1106" s="5">
        <v>0</v>
      </c>
      <c r="R1106" s="5" t="str">
        <f t="shared" si="225"/>
        <v>404-2023-06-30</v>
      </c>
    </row>
    <row r="1107" spans="1:18" x14ac:dyDescent="0.3">
      <c r="A1107" s="39">
        <v>404</v>
      </c>
      <c r="B1107" s="5" t="s">
        <v>297</v>
      </c>
      <c r="C1107" s="5" t="s">
        <v>294</v>
      </c>
      <c r="D1107" s="5" t="s">
        <v>8</v>
      </c>
      <c r="E1107" s="5" t="s">
        <v>14</v>
      </c>
      <c r="F1107" s="6">
        <v>45291</v>
      </c>
      <c r="G1107" s="5">
        <f t="shared" si="219"/>
        <v>2023</v>
      </c>
      <c r="H1107" s="5" t="str">
        <f t="shared" si="218"/>
        <v>Diciembre</v>
      </c>
      <c r="I1107" s="6" t="str">
        <f t="shared" si="223"/>
        <v>2023-2</v>
      </c>
      <c r="J1107" s="5">
        <v>20</v>
      </c>
      <c r="K1107" s="5">
        <v>1.31</v>
      </c>
      <c r="L1107" s="15">
        <v>1</v>
      </c>
      <c r="M1107" s="15">
        <v>1</v>
      </c>
      <c r="N1107" s="5" t="s">
        <v>347</v>
      </c>
      <c r="O1107" s="5" t="s">
        <v>347</v>
      </c>
      <c r="P1107" s="5">
        <v>0</v>
      </c>
      <c r="Q1107" s="5">
        <v>0</v>
      </c>
      <c r="R1107" s="5" t="str">
        <f t="shared" si="225"/>
        <v>404-2023-12-31</v>
      </c>
    </row>
    <row r="1108" spans="1:18" x14ac:dyDescent="0.3">
      <c r="A1108" s="5">
        <v>404</v>
      </c>
      <c r="B1108" s="5" t="s">
        <v>297</v>
      </c>
      <c r="C1108" s="5" t="s">
        <v>294</v>
      </c>
      <c r="D1108" s="5" t="s">
        <v>8</v>
      </c>
      <c r="E1108" s="5" t="s">
        <v>14</v>
      </c>
      <c r="F1108" s="6">
        <v>45473</v>
      </c>
      <c r="G1108" s="5">
        <f t="shared" si="219"/>
        <v>2024</v>
      </c>
      <c r="H1108" s="5" t="str">
        <f t="shared" si="218"/>
        <v>Junio</v>
      </c>
      <c r="I1108" s="6" t="str">
        <f t="shared" si="223"/>
        <v>2024-1</v>
      </c>
      <c r="J1108" s="5">
        <v>10</v>
      </c>
      <c r="K1108" s="5">
        <v>5.85</v>
      </c>
      <c r="L1108" s="15">
        <f>IFERROR(IF((K1108/J1108)&gt;1.3,1.3,K1108/J1108),"")</f>
        <v>0.58499999999999996</v>
      </c>
      <c r="M1108" s="15">
        <f t="shared" ref="M1108:M1139" si="226">IFERROR(K1108/J1108,"")</f>
        <v>0.58499999999999996</v>
      </c>
      <c r="N1108" s="5"/>
      <c r="O1108" s="5"/>
      <c r="P1108" s="5">
        <v>0</v>
      </c>
      <c r="Q1108" s="5">
        <v>0</v>
      </c>
      <c r="R1108" s="5" t="str">
        <f t="shared" si="225"/>
        <v>404-2024-06-30</v>
      </c>
    </row>
    <row r="1109" spans="1:18" x14ac:dyDescent="0.3">
      <c r="A1109" s="5">
        <v>404</v>
      </c>
      <c r="B1109" s="5" t="s">
        <v>297</v>
      </c>
      <c r="C1109" s="5" t="s">
        <v>294</v>
      </c>
      <c r="D1109" s="5" t="s">
        <v>8</v>
      </c>
      <c r="E1109" s="5" t="s">
        <v>14</v>
      </c>
      <c r="F1109" s="6">
        <v>45657</v>
      </c>
      <c r="G1109" s="5">
        <f t="shared" si="219"/>
        <v>2024</v>
      </c>
      <c r="H1109" s="5" t="str">
        <f t="shared" si="218"/>
        <v>Diciembre</v>
      </c>
      <c r="I1109" s="6" t="str">
        <f t="shared" si="223"/>
        <v>2024-2</v>
      </c>
      <c r="J1109" s="5">
        <v>10</v>
      </c>
      <c r="K1109" s="5">
        <v>6.02</v>
      </c>
      <c r="L1109" s="15">
        <f>IFERROR(IF((K1109/J1109)&gt;1.3,1.3,K1109/J1109),"")</f>
        <v>0.60199999999999998</v>
      </c>
      <c r="M1109" s="15">
        <f t="shared" si="226"/>
        <v>0.60199999999999998</v>
      </c>
      <c r="N1109" s="5"/>
      <c r="O1109" s="5"/>
      <c r="P1109" s="5">
        <v>0</v>
      </c>
      <c r="Q1109" s="5">
        <v>0</v>
      </c>
      <c r="R1109" s="5" t="str">
        <f t="shared" si="225"/>
        <v>404-2024-12-31</v>
      </c>
    </row>
    <row r="1110" spans="1:18" x14ac:dyDescent="0.3">
      <c r="A1110" s="43">
        <v>405</v>
      </c>
      <c r="B1110" s="5" t="s">
        <v>298</v>
      </c>
      <c r="C1110" s="5" t="s">
        <v>294</v>
      </c>
      <c r="D1110" s="5" t="s">
        <v>8</v>
      </c>
      <c r="E1110" s="5" t="s">
        <v>9</v>
      </c>
      <c r="F1110" s="6">
        <v>45107</v>
      </c>
      <c r="G1110" s="5">
        <f t="shared" si="219"/>
        <v>2023</v>
      </c>
      <c r="H1110" s="5" t="str">
        <f t="shared" si="218"/>
        <v>Junio</v>
      </c>
      <c r="I1110" s="6" t="str">
        <f t="shared" si="223"/>
        <v>2023-1</v>
      </c>
      <c r="J1110" s="5">
        <v>25</v>
      </c>
      <c r="K1110" s="5">
        <v>30</v>
      </c>
      <c r="L1110" s="21">
        <f>IFERROR(K1110/J1110,"")</f>
        <v>1.2</v>
      </c>
      <c r="M1110" s="15">
        <f t="shared" si="226"/>
        <v>1.2</v>
      </c>
      <c r="N1110" s="5" t="s">
        <v>347</v>
      </c>
      <c r="O1110" s="5" t="s">
        <v>347</v>
      </c>
      <c r="P1110" s="5">
        <v>0</v>
      </c>
      <c r="Q1110" s="5">
        <v>0</v>
      </c>
      <c r="R1110" s="5" t="str">
        <f t="shared" si="225"/>
        <v>405-2023-06-30</v>
      </c>
    </row>
    <row r="1111" spans="1:18" x14ac:dyDescent="0.3">
      <c r="A1111" s="39">
        <v>405</v>
      </c>
      <c r="B1111" s="5" t="s">
        <v>298</v>
      </c>
      <c r="C1111" s="5" t="s">
        <v>294</v>
      </c>
      <c r="D1111" s="5" t="s">
        <v>8</v>
      </c>
      <c r="E1111" s="5" t="s">
        <v>9</v>
      </c>
      <c r="F1111" s="6">
        <v>45291</v>
      </c>
      <c r="G1111" s="5">
        <f t="shared" si="219"/>
        <v>2023</v>
      </c>
      <c r="H1111" s="5" t="str">
        <f t="shared" si="218"/>
        <v>Diciembre</v>
      </c>
      <c r="I1111" s="6" t="str">
        <f t="shared" si="223"/>
        <v>2023-2</v>
      </c>
      <c r="J1111" s="5">
        <v>50</v>
      </c>
      <c r="K1111" s="5">
        <v>62</v>
      </c>
      <c r="L1111" s="21">
        <f>IFERROR(K1111/J1111,"")</f>
        <v>1.24</v>
      </c>
      <c r="M1111" s="15">
        <f t="shared" si="226"/>
        <v>1.24</v>
      </c>
      <c r="N1111" s="5" t="s">
        <v>347</v>
      </c>
      <c r="O1111" s="5" t="s">
        <v>347</v>
      </c>
      <c r="P1111" s="5">
        <v>0</v>
      </c>
      <c r="Q1111" s="5">
        <v>0</v>
      </c>
      <c r="R1111" s="5" t="str">
        <f t="shared" si="225"/>
        <v>405-2023-12-31</v>
      </c>
    </row>
    <row r="1112" spans="1:18" x14ac:dyDescent="0.3">
      <c r="A1112" s="5">
        <v>405</v>
      </c>
      <c r="B1112" s="5" t="s">
        <v>298</v>
      </c>
      <c r="C1112" s="5" t="s">
        <v>294</v>
      </c>
      <c r="D1112" s="5" t="s">
        <v>8</v>
      </c>
      <c r="E1112" s="5" t="s">
        <v>9</v>
      </c>
      <c r="F1112" s="6">
        <v>45473</v>
      </c>
      <c r="G1112" s="5">
        <f t="shared" si="219"/>
        <v>2024</v>
      </c>
      <c r="H1112" s="5" t="str">
        <f t="shared" si="218"/>
        <v>Junio</v>
      </c>
      <c r="I1112" s="6" t="str">
        <f t="shared" si="223"/>
        <v>2024-1</v>
      </c>
      <c r="J1112" s="5">
        <v>100</v>
      </c>
      <c r="K1112" s="5">
        <v>97.39</v>
      </c>
      <c r="L1112" s="15">
        <f>IFERROR(IF((K1112/J1112)&gt;1.3,1.3,K1112/J1112),"")</f>
        <v>0.97389999999999999</v>
      </c>
      <c r="M1112" s="15">
        <f t="shared" si="226"/>
        <v>0.97389999999999999</v>
      </c>
      <c r="N1112" s="5"/>
      <c r="O1112" s="5"/>
      <c r="P1112" s="5">
        <v>0</v>
      </c>
      <c r="Q1112" s="5">
        <v>0</v>
      </c>
      <c r="R1112" s="5" t="str">
        <f t="shared" si="225"/>
        <v>405-2024-06-30</v>
      </c>
    </row>
    <row r="1113" spans="1:18" x14ac:dyDescent="0.3">
      <c r="A1113" s="5">
        <v>405</v>
      </c>
      <c r="B1113" s="5" t="s">
        <v>298</v>
      </c>
      <c r="C1113" s="5" t="s">
        <v>294</v>
      </c>
      <c r="D1113" s="5" t="s">
        <v>8</v>
      </c>
      <c r="E1113" s="5" t="s">
        <v>9</v>
      </c>
      <c r="F1113" s="6">
        <v>45657</v>
      </c>
      <c r="G1113" s="5">
        <f t="shared" si="219"/>
        <v>2024</v>
      </c>
      <c r="H1113" s="5" t="str">
        <f t="shared" si="218"/>
        <v>Diciembre</v>
      </c>
      <c r="I1113" s="6" t="str">
        <f t="shared" si="223"/>
        <v>2024-2</v>
      </c>
      <c r="J1113" s="5">
        <v>100</v>
      </c>
      <c r="K1113" s="5">
        <v>98</v>
      </c>
      <c r="L1113" s="15">
        <f>IFERROR(IF((K1113/J1113)&gt;1.3,1.3,K1113/J1113),"")</f>
        <v>0.98</v>
      </c>
      <c r="M1113" s="15">
        <f t="shared" si="226"/>
        <v>0.98</v>
      </c>
      <c r="N1113" s="5"/>
      <c r="O1113" s="5"/>
      <c r="P1113" s="5">
        <v>0</v>
      </c>
      <c r="Q1113" s="5">
        <v>0</v>
      </c>
      <c r="R1113" s="5" t="str">
        <f t="shared" si="225"/>
        <v>405-2024-12-31</v>
      </c>
    </row>
    <row r="1114" spans="1:18" x14ac:dyDescent="0.3">
      <c r="A1114" s="39">
        <v>406</v>
      </c>
      <c r="B1114" s="5" t="s">
        <v>299</v>
      </c>
      <c r="C1114" s="5" t="s">
        <v>209</v>
      </c>
      <c r="D1114" s="5" t="s">
        <v>8</v>
      </c>
      <c r="E1114" s="5" t="s">
        <v>9</v>
      </c>
      <c r="F1114" s="6">
        <v>45291</v>
      </c>
      <c r="G1114" s="5">
        <f t="shared" si="219"/>
        <v>2023</v>
      </c>
      <c r="H1114" s="5" t="str">
        <f t="shared" si="218"/>
        <v>Diciembre</v>
      </c>
      <c r="I1114" s="6" t="str">
        <f t="shared" si="223"/>
        <v>2023-2</v>
      </c>
      <c r="J1114" s="5">
        <v>5</v>
      </c>
      <c r="K1114" s="5">
        <v>5</v>
      </c>
      <c r="L1114" s="21">
        <f>IFERROR(K1114/J1114,"")</f>
        <v>1</v>
      </c>
      <c r="M1114" s="15">
        <f t="shared" si="226"/>
        <v>1</v>
      </c>
      <c r="N1114" s="5"/>
      <c r="O1114" s="5"/>
      <c r="P1114" s="5">
        <v>0</v>
      </c>
      <c r="Q1114" s="5">
        <v>0</v>
      </c>
      <c r="R1114" s="5" t="str">
        <f t="shared" si="225"/>
        <v>406-2023-12-31</v>
      </c>
    </row>
    <row r="1115" spans="1:18" x14ac:dyDescent="0.3">
      <c r="A1115" s="5">
        <v>406</v>
      </c>
      <c r="B1115" s="5" t="s">
        <v>299</v>
      </c>
      <c r="C1115" s="5" t="s">
        <v>158</v>
      </c>
      <c r="D1115" s="5" t="s">
        <v>8</v>
      </c>
      <c r="E1115" s="5" t="s">
        <v>9</v>
      </c>
      <c r="F1115" s="6">
        <v>45473</v>
      </c>
      <c r="G1115" s="5">
        <f t="shared" si="219"/>
        <v>2024</v>
      </c>
      <c r="H1115" s="5" t="str">
        <f t="shared" ref="H1115:H1178" si="227">PROPER(TEXT(F1115,"mmmm"))</f>
        <v>Junio</v>
      </c>
      <c r="I1115" s="6" t="str">
        <f t="shared" si="223"/>
        <v>2024-1</v>
      </c>
      <c r="J1115" s="5">
        <v>0</v>
      </c>
      <c r="K1115" s="5">
        <v>3</v>
      </c>
      <c r="L1115" s="15" t="str">
        <f>IFERROR(IF((K1115/J1115)&gt;1.3,1.3,K1115/J1115),"")</f>
        <v/>
      </c>
      <c r="M1115" s="15" t="str">
        <f t="shared" si="226"/>
        <v/>
      </c>
      <c r="N1115" s="5"/>
      <c r="O1115" s="5"/>
      <c r="P1115" s="5">
        <v>0</v>
      </c>
      <c r="Q1115" s="5">
        <v>0</v>
      </c>
      <c r="R1115" s="5" t="str">
        <f t="shared" si="225"/>
        <v>406-2024-06-30</v>
      </c>
    </row>
    <row r="1116" spans="1:18" x14ac:dyDescent="0.3">
      <c r="A1116" s="5">
        <v>406</v>
      </c>
      <c r="B1116" s="5" t="s">
        <v>299</v>
      </c>
      <c r="C1116" s="5" t="s">
        <v>158</v>
      </c>
      <c r="D1116" s="5" t="s">
        <v>8</v>
      </c>
      <c r="E1116" s="5" t="s">
        <v>9</v>
      </c>
      <c r="F1116" s="6">
        <v>45657</v>
      </c>
      <c r="G1116" s="5">
        <f t="shared" si="219"/>
        <v>2024</v>
      </c>
      <c r="H1116" s="5" t="str">
        <f t="shared" si="227"/>
        <v>Diciembre</v>
      </c>
      <c r="I1116" s="6" t="str">
        <f t="shared" si="223"/>
        <v>2024-2</v>
      </c>
      <c r="J1116" s="5">
        <v>0</v>
      </c>
      <c r="K1116" s="5"/>
      <c r="L1116" s="15" t="str">
        <f>IFERROR(IF((K1116/J1116)&gt;1.3,1.3,K1116/J1116),"")</f>
        <v/>
      </c>
      <c r="M1116" s="15" t="str">
        <f t="shared" si="226"/>
        <v/>
      </c>
      <c r="N1116" s="5" t="s">
        <v>490</v>
      </c>
      <c r="O1116" s="5" t="s">
        <v>81</v>
      </c>
      <c r="P1116" s="5">
        <v>0</v>
      </c>
      <c r="Q1116" s="5">
        <v>0</v>
      </c>
      <c r="R1116" s="5" t="str">
        <f t="shared" si="225"/>
        <v>406-2024-12-31</v>
      </c>
    </row>
    <row r="1117" spans="1:18" x14ac:dyDescent="0.3">
      <c r="A1117" s="39">
        <v>407</v>
      </c>
      <c r="B1117" s="5" t="s">
        <v>300</v>
      </c>
      <c r="C1117" s="5" t="s">
        <v>209</v>
      </c>
      <c r="D1117" s="5" t="s">
        <v>8</v>
      </c>
      <c r="E1117" s="5" t="s">
        <v>9</v>
      </c>
      <c r="F1117" s="6">
        <v>45291</v>
      </c>
      <c r="G1117" s="5">
        <f t="shared" si="219"/>
        <v>2023</v>
      </c>
      <c r="H1117" s="5" t="str">
        <f t="shared" si="227"/>
        <v>Diciembre</v>
      </c>
      <c r="I1117" s="6" t="str">
        <f t="shared" si="223"/>
        <v>2023-2</v>
      </c>
      <c r="J1117" s="5">
        <v>3</v>
      </c>
      <c r="K1117" s="5">
        <v>3</v>
      </c>
      <c r="L1117" s="21">
        <f>IFERROR(K1117/J1117,"")</f>
        <v>1</v>
      </c>
      <c r="M1117" s="15">
        <f t="shared" si="226"/>
        <v>1</v>
      </c>
      <c r="N1117" s="5"/>
      <c r="O1117" s="5"/>
      <c r="P1117" s="5">
        <v>0</v>
      </c>
      <c r="Q1117" s="5">
        <v>0</v>
      </c>
      <c r="R1117" s="5" t="str">
        <f t="shared" si="225"/>
        <v>407-2023-12-31</v>
      </c>
    </row>
    <row r="1118" spans="1:18" x14ac:dyDescent="0.3">
      <c r="A1118" s="5">
        <v>407</v>
      </c>
      <c r="B1118" s="5" t="s">
        <v>300</v>
      </c>
      <c r="C1118" s="5" t="s">
        <v>158</v>
      </c>
      <c r="D1118" s="5" t="s">
        <v>8</v>
      </c>
      <c r="E1118" s="5" t="s">
        <v>9</v>
      </c>
      <c r="F1118" s="6">
        <v>45473</v>
      </c>
      <c r="G1118" s="5">
        <f t="shared" si="219"/>
        <v>2024</v>
      </c>
      <c r="H1118" s="5" t="str">
        <f t="shared" si="227"/>
        <v>Junio</v>
      </c>
      <c r="I1118" s="6" t="str">
        <f t="shared" si="223"/>
        <v>2024-1</v>
      </c>
      <c r="J1118" s="5"/>
      <c r="K1118" s="5"/>
      <c r="L1118" s="15" t="str">
        <f>IFERROR(IF((K1118/J1118)&gt;1.3,1.3,K1118/J1118),"")</f>
        <v/>
      </c>
      <c r="M1118" s="15" t="str">
        <f t="shared" si="226"/>
        <v/>
      </c>
      <c r="N1118" s="5"/>
      <c r="O1118" s="5"/>
      <c r="P1118" s="5">
        <v>0</v>
      </c>
      <c r="Q1118" s="5">
        <v>0</v>
      </c>
      <c r="R1118" s="5" t="str">
        <f t="shared" si="225"/>
        <v>407-2024-06-30</v>
      </c>
    </row>
    <row r="1119" spans="1:18" x14ac:dyDescent="0.3">
      <c r="A1119" s="5">
        <v>407</v>
      </c>
      <c r="B1119" s="5" t="s">
        <v>300</v>
      </c>
      <c r="C1119" s="5" t="s">
        <v>158</v>
      </c>
      <c r="D1119" s="5" t="s">
        <v>8</v>
      </c>
      <c r="E1119" s="5" t="s">
        <v>9</v>
      </c>
      <c r="F1119" s="6">
        <v>45657</v>
      </c>
      <c r="G1119" s="5">
        <f t="shared" si="219"/>
        <v>2024</v>
      </c>
      <c r="H1119" s="5" t="str">
        <f t="shared" si="227"/>
        <v>Diciembre</v>
      </c>
      <c r="I1119" s="6" t="str">
        <f t="shared" si="223"/>
        <v>2024-2</v>
      </c>
      <c r="J1119" s="5">
        <v>100</v>
      </c>
      <c r="K1119" s="5"/>
      <c r="L1119" s="15">
        <f>IFERROR(IF((K1119/J1119)&gt;1.3,1.3,K1119/J1119),"")</f>
        <v>0</v>
      </c>
      <c r="M1119" s="15">
        <f t="shared" si="226"/>
        <v>0</v>
      </c>
      <c r="N1119" s="5" t="s">
        <v>490</v>
      </c>
      <c r="O1119" s="5" t="s">
        <v>81</v>
      </c>
      <c r="P1119" s="5">
        <v>0</v>
      </c>
      <c r="Q1119" s="5">
        <v>0</v>
      </c>
      <c r="R1119" s="5" t="str">
        <f t="shared" si="225"/>
        <v>407-2024-12-31</v>
      </c>
    </row>
    <row r="1120" spans="1:18" x14ac:dyDescent="0.3">
      <c r="A1120" s="39">
        <v>408</v>
      </c>
      <c r="B1120" s="5" t="s">
        <v>301</v>
      </c>
      <c r="C1120" s="5" t="s">
        <v>209</v>
      </c>
      <c r="D1120" s="5" t="s">
        <v>8</v>
      </c>
      <c r="E1120" s="5" t="s">
        <v>9</v>
      </c>
      <c r="F1120" s="6">
        <v>45291</v>
      </c>
      <c r="G1120" s="5">
        <f t="shared" si="219"/>
        <v>2023</v>
      </c>
      <c r="H1120" s="5" t="str">
        <f t="shared" si="227"/>
        <v>Diciembre</v>
      </c>
      <c r="I1120" s="6" t="str">
        <f t="shared" si="223"/>
        <v>2023-2</v>
      </c>
      <c r="J1120" s="5">
        <v>12</v>
      </c>
      <c r="K1120" s="5">
        <v>12</v>
      </c>
      <c r="L1120" s="21">
        <f>IFERROR(K1120/J1120,"")</f>
        <v>1</v>
      </c>
      <c r="M1120" s="15">
        <f t="shared" si="226"/>
        <v>1</v>
      </c>
      <c r="N1120" s="5"/>
      <c r="O1120" s="5"/>
      <c r="P1120" s="5">
        <v>0</v>
      </c>
      <c r="Q1120" s="5">
        <v>0</v>
      </c>
      <c r="R1120" s="5" t="str">
        <f t="shared" si="225"/>
        <v>408-2023-12-31</v>
      </c>
    </row>
    <row r="1121" spans="1:18" x14ac:dyDescent="0.3">
      <c r="A1121" s="5">
        <v>408</v>
      </c>
      <c r="B1121" s="5" t="s">
        <v>301</v>
      </c>
      <c r="C1121" s="5" t="s">
        <v>209</v>
      </c>
      <c r="D1121" s="5" t="s">
        <v>8</v>
      </c>
      <c r="E1121" s="5" t="s">
        <v>9</v>
      </c>
      <c r="F1121" s="6">
        <v>45473</v>
      </c>
      <c r="G1121" s="5">
        <f t="shared" si="219"/>
        <v>2024</v>
      </c>
      <c r="H1121" s="5" t="str">
        <f t="shared" si="227"/>
        <v>Junio</v>
      </c>
      <c r="I1121" s="6" t="str">
        <f t="shared" ref="I1121:I1152" si="228">IF(OR(H1121="Enero",H1121="Febrero",H1121="Marzo",H1121="Abril",H1121="Mayo",H1121="Junio"),G1121&amp;"-1",IF(OR(H1121="Julio",H1121="Agosto",H1121="Septiembre",H1121="Octubre",H1121="Noviembre",H1121="Diciembre"),G1121&amp;"-2"))</f>
        <v>2024-1</v>
      </c>
      <c r="J1121" s="5"/>
      <c r="K1121" s="5"/>
      <c r="L1121" s="15" t="str">
        <f>IFERROR(IF((K1121/J1121)&gt;1.3,1.3,K1121/J1121),"")</f>
        <v/>
      </c>
      <c r="M1121" s="15" t="str">
        <f t="shared" si="226"/>
        <v/>
      </c>
      <c r="N1121" s="5"/>
      <c r="O1121" s="5"/>
      <c r="P1121" s="5">
        <v>0</v>
      </c>
      <c r="Q1121" s="5">
        <v>0</v>
      </c>
      <c r="R1121" s="5" t="str">
        <f t="shared" si="225"/>
        <v>408-2024-06-30</v>
      </c>
    </row>
    <row r="1122" spans="1:18" x14ac:dyDescent="0.3">
      <c r="A1122" s="5">
        <v>408</v>
      </c>
      <c r="B1122" s="5" t="s">
        <v>301</v>
      </c>
      <c r="C1122" s="5" t="s">
        <v>209</v>
      </c>
      <c r="D1122" s="5" t="s">
        <v>8</v>
      </c>
      <c r="E1122" s="5" t="s">
        <v>9</v>
      </c>
      <c r="F1122" s="6">
        <v>45657</v>
      </c>
      <c r="G1122" s="5">
        <f t="shared" si="219"/>
        <v>2024</v>
      </c>
      <c r="H1122" s="5" t="str">
        <f t="shared" si="227"/>
        <v>Diciembre</v>
      </c>
      <c r="I1122" s="6" t="str">
        <f t="shared" si="228"/>
        <v>2024-2</v>
      </c>
      <c r="J1122" s="5">
        <v>100</v>
      </c>
      <c r="K1122" s="5">
        <v>100</v>
      </c>
      <c r="L1122" s="15">
        <f>IFERROR(IF((K1122/J1122)&gt;1.3,1.3,K1122/J1122),"")</f>
        <v>1</v>
      </c>
      <c r="M1122" s="15">
        <f t="shared" si="226"/>
        <v>1</v>
      </c>
      <c r="N1122" s="5"/>
      <c r="O1122" s="5"/>
      <c r="P1122" s="5">
        <v>0</v>
      </c>
      <c r="Q1122" s="5">
        <v>0</v>
      </c>
      <c r="R1122" s="5" t="str">
        <f t="shared" si="225"/>
        <v>408-2024-12-31</v>
      </c>
    </row>
    <row r="1123" spans="1:18" x14ac:dyDescent="0.3">
      <c r="A1123" s="39">
        <v>409</v>
      </c>
      <c r="B1123" s="5" t="s">
        <v>302</v>
      </c>
      <c r="C1123" s="5" t="s">
        <v>145</v>
      </c>
      <c r="D1123" s="5" t="s">
        <v>11</v>
      </c>
      <c r="E1123" s="5" t="s">
        <v>9</v>
      </c>
      <c r="F1123" s="6">
        <v>45107</v>
      </c>
      <c r="G1123" s="5">
        <f t="shared" si="219"/>
        <v>2023</v>
      </c>
      <c r="H1123" s="5" t="str">
        <f t="shared" si="227"/>
        <v>Junio</v>
      </c>
      <c r="I1123" s="6" t="str">
        <f t="shared" si="228"/>
        <v>2023-1</v>
      </c>
      <c r="J1123" s="5">
        <v>80</v>
      </c>
      <c r="K1123" s="5">
        <v>103.71885459278499</v>
      </c>
      <c r="L1123" s="21">
        <f>IFERROR(K1123/J1123,"")</f>
        <v>1.2964856824098123</v>
      </c>
      <c r="M1123" s="15">
        <f t="shared" si="226"/>
        <v>1.2964856824098123</v>
      </c>
      <c r="N1123" s="5" t="s">
        <v>347</v>
      </c>
      <c r="O1123" s="5" t="s">
        <v>347</v>
      </c>
      <c r="P1123" s="5">
        <v>0</v>
      </c>
      <c r="Q1123" s="5">
        <v>0</v>
      </c>
      <c r="R1123" s="5" t="str">
        <f t="shared" si="225"/>
        <v>409-2023-06-30</v>
      </c>
    </row>
    <row r="1124" spans="1:18" x14ac:dyDescent="0.3">
      <c r="A1124" s="39">
        <v>409</v>
      </c>
      <c r="B1124" s="5" t="s">
        <v>302</v>
      </c>
      <c r="C1124" s="5" t="s">
        <v>145</v>
      </c>
      <c r="D1124" s="5" t="s">
        <v>11</v>
      </c>
      <c r="E1124" s="5" t="s">
        <v>9</v>
      </c>
      <c r="F1124" s="6">
        <v>45291</v>
      </c>
      <c r="G1124" s="5">
        <f t="shared" si="219"/>
        <v>2023</v>
      </c>
      <c r="H1124" s="5" t="str">
        <f t="shared" si="227"/>
        <v>Diciembre</v>
      </c>
      <c r="I1124" s="6" t="str">
        <f t="shared" si="228"/>
        <v>2023-2</v>
      </c>
      <c r="J1124" s="5">
        <v>80</v>
      </c>
      <c r="K1124" s="5">
        <v>100</v>
      </c>
      <c r="L1124" s="21">
        <f>IFERROR(K1124/J1124,"")</f>
        <v>1.25</v>
      </c>
      <c r="M1124" s="15">
        <f t="shared" si="226"/>
        <v>1.25</v>
      </c>
      <c r="N1124" s="5" t="s">
        <v>347</v>
      </c>
      <c r="O1124" s="5" t="s">
        <v>347</v>
      </c>
      <c r="P1124" s="5">
        <v>0</v>
      </c>
      <c r="Q1124" s="5">
        <v>0</v>
      </c>
      <c r="R1124" s="5" t="str">
        <f t="shared" si="225"/>
        <v>409-2023-12-31</v>
      </c>
    </row>
    <row r="1125" spans="1:18" x14ac:dyDescent="0.3">
      <c r="A1125" s="5">
        <v>409</v>
      </c>
      <c r="B1125" s="5" t="s">
        <v>302</v>
      </c>
      <c r="C1125" s="5" t="s">
        <v>145</v>
      </c>
      <c r="D1125" s="5" t="s">
        <v>11</v>
      </c>
      <c r="E1125" s="5" t="s">
        <v>9</v>
      </c>
      <c r="F1125" s="6">
        <v>45473</v>
      </c>
      <c r="G1125" s="5">
        <f t="shared" si="219"/>
        <v>2024</v>
      </c>
      <c r="H1125" s="5" t="str">
        <f t="shared" si="227"/>
        <v>Junio</v>
      </c>
      <c r="I1125" s="6" t="str">
        <f t="shared" si="228"/>
        <v>2024-1</v>
      </c>
      <c r="J1125" s="5">
        <v>95</v>
      </c>
      <c r="K1125" s="5">
        <v>98.5</v>
      </c>
      <c r="L1125" s="15">
        <f>IFERROR(IF((K1125/J1125)&gt;1.3,1.3,K1125/J1125),"")</f>
        <v>1.0368421052631578</v>
      </c>
      <c r="M1125" s="15">
        <f t="shared" si="226"/>
        <v>1.0368421052631578</v>
      </c>
      <c r="N1125" s="5"/>
      <c r="O1125" s="5"/>
      <c r="P1125" s="5">
        <v>0</v>
      </c>
      <c r="Q1125" s="5">
        <v>0</v>
      </c>
      <c r="R1125" s="5" t="str">
        <f t="shared" si="225"/>
        <v>409-2024-06-30</v>
      </c>
    </row>
    <row r="1126" spans="1:18" x14ac:dyDescent="0.3">
      <c r="A1126" s="5">
        <v>409</v>
      </c>
      <c r="B1126" s="5" t="s">
        <v>302</v>
      </c>
      <c r="C1126" s="5" t="s">
        <v>145</v>
      </c>
      <c r="D1126" s="5" t="s">
        <v>11</v>
      </c>
      <c r="E1126" s="5" t="s">
        <v>9</v>
      </c>
      <c r="F1126" s="6">
        <v>45657</v>
      </c>
      <c r="G1126" s="5">
        <f t="shared" si="219"/>
        <v>2024</v>
      </c>
      <c r="H1126" s="5" t="str">
        <f t="shared" si="227"/>
        <v>Diciembre</v>
      </c>
      <c r="I1126" s="6" t="str">
        <f t="shared" si="228"/>
        <v>2024-2</v>
      </c>
      <c r="J1126" s="5">
        <v>95</v>
      </c>
      <c r="K1126" s="5">
        <v>96.46</v>
      </c>
      <c r="L1126" s="15">
        <f>IFERROR(IF((K1126/J1126)&gt;1.3,1.3,K1126/J1126),"")</f>
        <v>1.0153684210526315</v>
      </c>
      <c r="M1126" s="15">
        <f t="shared" si="226"/>
        <v>1.0153684210526315</v>
      </c>
      <c r="N1126" s="5"/>
      <c r="O1126" s="5"/>
      <c r="P1126" s="5">
        <v>0</v>
      </c>
      <c r="Q1126" s="5">
        <v>0</v>
      </c>
      <c r="R1126" s="5" t="str">
        <f t="shared" si="225"/>
        <v>409-2024-12-31</v>
      </c>
    </row>
    <row r="1127" spans="1:18" x14ac:dyDescent="0.3">
      <c r="A1127" s="39">
        <v>410</v>
      </c>
      <c r="B1127" s="5" t="s">
        <v>303</v>
      </c>
      <c r="C1127" s="5" t="s">
        <v>145</v>
      </c>
      <c r="D1127" s="5" t="s">
        <v>11</v>
      </c>
      <c r="E1127" s="5" t="s">
        <v>9</v>
      </c>
      <c r="F1127" s="6">
        <v>45291</v>
      </c>
      <c r="G1127" s="5">
        <f t="shared" si="219"/>
        <v>2023</v>
      </c>
      <c r="H1127" s="5" t="str">
        <f t="shared" si="227"/>
        <v>Diciembre</v>
      </c>
      <c r="I1127" s="6" t="str">
        <f t="shared" si="228"/>
        <v>2023-2</v>
      </c>
      <c r="J1127" s="5">
        <v>90</v>
      </c>
      <c r="K1127" s="5">
        <v>100</v>
      </c>
      <c r="L1127" s="21">
        <f>IFERROR(K1127/J1127,"")</f>
        <v>1.1111111111111112</v>
      </c>
      <c r="M1127" s="15">
        <f t="shared" si="226"/>
        <v>1.1111111111111112</v>
      </c>
      <c r="N1127" s="5" t="s">
        <v>347</v>
      </c>
      <c r="O1127" s="5" t="s">
        <v>347</v>
      </c>
      <c r="P1127" s="5">
        <v>0</v>
      </c>
      <c r="Q1127" s="5">
        <v>0</v>
      </c>
      <c r="R1127" s="5" t="str">
        <f t="shared" si="225"/>
        <v>410-2023-12-31</v>
      </c>
    </row>
    <row r="1128" spans="1:18" x14ac:dyDescent="0.3">
      <c r="A1128" s="43">
        <v>411</v>
      </c>
      <c r="B1128" s="5" t="s">
        <v>304</v>
      </c>
      <c r="C1128" s="5" t="s">
        <v>285</v>
      </c>
      <c r="D1128" s="5" t="s">
        <v>8</v>
      </c>
      <c r="E1128" s="5" t="s">
        <v>9</v>
      </c>
      <c r="F1128" s="6">
        <v>45107</v>
      </c>
      <c r="G1128" s="5">
        <f t="shared" si="219"/>
        <v>2023</v>
      </c>
      <c r="H1128" s="5" t="str">
        <f t="shared" si="227"/>
        <v>Junio</v>
      </c>
      <c r="I1128" s="6" t="str">
        <f t="shared" si="228"/>
        <v>2023-1</v>
      </c>
      <c r="J1128" s="5"/>
      <c r="K1128" s="5"/>
      <c r="L1128" s="21" t="str">
        <f>IFERROR(K1128/J1128,"")</f>
        <v/>
      </c>
      <c r="M1128" s="15" t="str">
        <f t="shared" si="226"/>
        <v/>
      </c>
      <c r="N1128" s="5"/>
      <c r="O1128" s="5"/>
      <c r="P1128" s="5">
        <v>0</v>
      </c>
      <c r="Q1128" s="5">
        <v>0</v>
      </c>
      <c r="R1128" s="5" t="str">
        <f t="shared" si="225"/>
        <v>411-2023-06-30</v>
      </c>
    </row>
    <row r="1129" spans="1:18" x14ac:dyDescent="0.3">
      <c r="A1129" s="39">
        <v>411</v>
      </c>
      <c r="B1129" s="5" t="s">
        <v>304</v>
      </c>
      <c r="C1129" s="5" t="s">
        <v>285</v>
      </c>
      <c r="D1129" s="5" t="s">
        <v>8</v>
      </c>
      <c r="E1129" s="5" t="s">
        <v>9</v>
      </c>
      <c r="F1129" s="6">
        <v>45291</v>
      </c>
      <c r="G1129" s="5">
        <f t="shared" si="219"/>
        <v>2023</v>
      </c>
      <c r="H1129" s="5" t="str">
        <f t="shared" si="227"/>
        <v>Diciembre</v>
      </c>
      <c r="I1129" s="6" t="str">
        <f t="shared" si="228"/>
        <v>2023-2</v>
      </c>
      <c r="J1129" s="5">
        <v>100</v>
      </c>
      <c r="K1129" s="5">
        <v>100</v>
      </c>
      <c r="L1129" s="21">
        <f>IFERROR(K1129/J1129,"")</f>
        <v>1</v>
      </c>
      <c r="M1129" s="15">
        <f t="shared" si="226"/>
        <v>1</v>
      </c>
      <c r="N1129" s="5" t="s">
        <v>347</v>
      </c>
      <c r="O1129" s="5" t="s">
        <v>347</v>
      </c>
      <c r="P1129" s="5">
        <v>0</v>
      </c>
      <c r="Q1129" s="5">
        <v>0</v>
      </c>
      <c r="R1129" s="5" t="str">
        <f t="shared" si="225"/>
        <v>411-2023-12-31</v>
      </c>
    </row>
    <row r="1130" spans="1:18" x14ac:dyDescent="0.3">
      <c r="A1130" s="39">
        <v>412</v>
      </c>
      <c r="B1130" s="5" t="s">
        <v>305</v>
      </c>
      <c r="C1130" s="5" t="s">
        <v>285</v>
      </c>
      <c r="D1130" s="5" t="s">
        <v>25</v>
      </c>
      <c r="E1130" s="5" t="s">
        <v>9</v>
      </c>
      <c r="F1130" s="6">
        <v>45291</v>
      </c>
      <c r="G1130" s="5">
        <f t="shared" si="219"/>
        <v>2023</v>
      </c>
      <c r="H1130" s="5" t="str">
        <f t="shared" si="227"/>
        <v>Diciembre</v>
      </c>
      <c r="I1130" s="6" t="str">
        <f t="shared" si="228"/>
        <v>2023-2</v>
      </c>
      <c r="J1130" s="5">
        <v>100</v>
      </c>
      <c r="K1130" s="5">
        <v>100</v>
      </c>
      <c r="L1130" s="21">
        <f>IFERROR(K1130/J1130,"")</f>
        <v>1</v>
      </c>
      <c r="M1130" s="15">
        <f t="shared" si="226"/>
        <v>1</v>
      </c>
      <c r="N1130" s="5" t="s">
        <v>347</v>
      </c>
      <c r="O1130" s="5" t="s">
        <v>347</v>
      </c>
      <c r="P1130" s="5">
        <v>0</v>
      </c>
      <c r="Q1130" s="5">
        <v>0</v>
      </c>
      <c r="R1130" s="5" t="str">
        <f t="shared" si="225"/>
        <v>412-2023-12-31</v>
      </c>
    </row>
    <row r="1131" spans="1:18" x14ac:dyDescent="0.3">
      <c r="A1131" s="5">
        <v>412</v>
      </c>
      <c r="B1131" s="5" t="s">
        <v>733</v>
      </c>
      <c r="C1131" s="5" t="s">
        <v>285</v>
      </c>
      <c r="D1131" s="5" t="s">
        <v>25</v>
      </c>
      <c r="E1131" s="5" t="s">
        <v>9</v>
      </c>
      <c r="F1131" s="6">
        <v>45657</v>
      </c>
      <c r="G1131" s="5">
        <f t="shared" si="219"/>
        <v>2024</v>
      </c>
      <c r="H1131" s="5" t="str">
        <f t="shared" si="227"/>
        <v>Diciembre</v>
      </c>
      <c r="I1131" s="6" t="str">
        <f t="shared" si="228"/>
        <v>2024-2</v>
      </c>
      <c r="J1131" s="5">
        <v>100</v>
      </c>
      <c r="K1131" s="5">
        <v>100</v>
      </c>
      <c r="L1131" s="15">
        <f>IFERROR(IF((K1131/J1131)&gt;1.3,1.3,K1131/J1131),"")</f>
        <v>1</v>
      </c>
      <c r="M1131" s="15">
        <f t="shared" si="226"/>
        <v>1</v>
      </c>
      <c r="N1131" s="5"/>
      <c r="O1131" s="5"/>
      <c r="P1131" s="5">
        <v>0</v>
      </c>
      <c r="Q1131" s="5">
        <v>0</v>
      </c>
      <c r="R1131" s="5" t="str">
        <f t="shared" si="225"/>
        <v>412-2024-12-31</v>
      </c>
    </row>
    <row r="1132" spans="1:18" x14ac:dyDescent="0.3">
      <c r="A1132" s="39">
        <v>413</v>
      </c>
      <c r="B1132" s="5" t="s">
        <v>306</v>
      </c>
      <c r="C1132" s="5" t="s">
        <v>285</v>
      </c>
      <c r="D1132" s="5" t="s">
        <v>25</v>
      </c>
      <c r="E1132" s="5" t="s">
        <v>9</v>
      </c>
      <c r="F1132" s="6">
        <v>45291</v>
      </c>
      <c r="G1132" s="5">
        <f t="shared" si="219"/>
        <v>2023</v>
      </c>
      <c r="H1132" s="5" t="str">
        <f t="shared" si="227"/>
        <v>Diciembre</v>
      </c>
      <c r="I1132" s="6" t="str">
        <f t="shared" si="228"/>
        <v>2023-2</v>
      </c>
      <c r="J1132" s="5"/>
      <c r="K1132" s="5">
        <v>2</v>
      </c>
      <c r="L1132" s="21" t="str">
        <f>IFERROR(K1132/J1132,"")</f>
        <v/>
      </c>
      <c r="M1132" s="15" t="str">
        <f t="shared" si="226"/>
        <v/>
      </c>
      <c r="N1132" s="5" t="s">
        <v>487</v>
      </c>
      <c r="O1132" s="5"/>
      <c r="P1132" s="5">
        <v>0</v>
      </c>
      <c r="Q1132" s="5">
        <v>0</v>
      </c>
      <c r="R1132" s="5" t="str">
        <f t="shared" si="225"/>
        <v>413-2023-12-31</v>
      </c>
    </row>
    <row r="1133" spans="1:18" x14ac:dyDescent="0.3">
      <c r="A1133" s="5">
        <v>413</v>
      </c>
      <c r="B1133" s="5" t="s">
        <v>734</v>
      </c>
      <c r="C1133" s="5" t="s">
        <v>285</v>
      </c>
      <c r="D1133" s="5" t="s">
        <v>25</v>
      </c>
      <c r="E1133" s="5" t="s">
        <v>9</v>
      </c>
      <c r="F1133" s="6">
        <v>45657</v>
      </c>
      <c r="G1133" s="5">
        <f t="shared" si="219"/>
        <v>2024</v>
      </c>
      <c r="H1133" s="5" t="str">
        <f t="shared" si="227"/>
        <v>Diciembre</v>
      </c>
      <c r="I1133" s="6" t="str">
        <f t="shared" si="228"/>
        <v>2024-2</v>
      </c>
      <c r="J1133" s="5">
        <v>100</v>
      </c>
      <c r="K1133" s="5">
        <v>100</v>
      </c>
      <c r="L1133" s="15">
        <f>IFERROR(IF((K1133/J1133)&gt;1.3,1.3,K1133/J1133),"")</f>
        <v>1</v>
      </c>
      <c r="M1133" s="15">
        <f t="shared" si="226"/>
        <v>1</v>
      </c>
      <c r="N1133" s="5"/>
      <c r="O1133" s="5"/>
      <c r="P1133" s="5">
        <v>0</v>
      </c>
      <c r="Q1133" s="5">
        <v>0</v>
      </c>
      <c r="R1133" s="5" t="str">
        <f t="shared" si="225"/>
        <v>413-2024-12-31</v>
      </c>
    </row>
    <row r="1134" spans="1:18" x14ac:dyDescent="0.3">
      <c r="A1134" s="54">
        <v>414</v>
      </c>
      <c r="B1134" s="5" t="s">
        <v>307</v>
      </c>
      <c r="C1134" s="5" t="s">
        <v>131</v>
      </c>
      <c r="D1134" s="5" t="s">
        <v>11</v>
      </c>
      <c r="E1134" s="5" t="s">
        <v>9</v>
      </c>
      <c r="F1134" s="6">
        <v>45016</v>
      </c>
      <c r="G1134" s="5">
        <f t="shared" ref="G1134:G1197" si="229">YEAR(F1134)</f>
        <v>2023</v>
      </c>
      <c r="H1134" s="5" t="str">
        <f t="shared" si="227"/>
        <v>Marzo</v>
      </c>
      <c r="I1134" s="6" t="str">
        <f t="shared" si="228"/>
        <v>2023-1</v>
      </c>
      <c r="J1134" s="5" t="s">
        <v>417</v>
      </c>
      <c r="K1134" s="5" t="s">
        <v>417</v>
      </c>
      <c r="L1134" s="21" t="s">
        <v>417</v>
      </c>
      <c r="M1134" s="15" t="str">
        <f t="shared" si="226"/>
        <v/>
      </c>
      <c r="N1134" s="5"/>
      <c r="O1134" s="5"/>
      <c r="P1134" s="5">
        <v>0</v>
      </c>
      <c r="Q1134" s="5">
        <v>0</v>
      </c>
      <c r="R1134" s="5" t="str">
        <f t="shared" si="225"/>
        <v>414-2023-03-31</v>
      </c>
    </row>
    <row r="1135" spans="1:18" x14ac:dyDescent="0.3">
      <c r="A1135" s="39">
        <v>414</v>
      </c>
      <c r="B1135" s="5" t="s">
        <v>307</v>
      </c>
      <c r="C1135" s="5" t="s">
        <v>131</v>
      </c>
      <c r="D1135" s="5" t="s">
        <v>11</v>
      </c>
      <c r="E1135" s="5" t="s">
        <v>9</v>
      </c>
      <c r="F1135" s="6">
        <v>45107</v>
      </c>
      <c r="G1135" s="5">
        <f t="shared" si="229"/>
        <v>2023</v>
      </c>
      <c r="H1135" s="5" t="str">
        <f t="shared" si="227"/>
        <v>Junio</v>
      </c>
      <c r="I1135" s="6" t="str">
        <f t="shared" si="228"/>
        <v>2023-1</v>
      </c>
      <c r="J1135" s="5">
        <v>100</v>
      </c>
      <c r="K1135" s="5">
        <v>110.1</v>
      </c>
      <c r="L1135" s="21" t="s">
        <v>417</v>
      </c>
      <c r="M1135" s="15">
        <f t="shared" si="226"/>
        <v>1.101</v>
      </c>
      <c r="N1135" s="5"/>
      <c r="O1135" s="5"/>
      <c r="P1135" s="5">
        <v>0</v>
      </c>
      <c r="Q1135" s="5">
        <v>0</v>
      </c>
      <c r="R1135" s="5" t="str">
        <f t="shared" si="225"/>
        <v>414-2023-06-30</v>
      </c>
    </row>
    <row r="1136" spans="1:18" x14ac:dyDescent="0.3">
      <c r="A1136" s="43">
        <v>414</v>
      </c>
      <c r="B1136" s="5" t="s">
        <v>307</v>
      </c>
      <c r="C1136" s="5" t="s">
        <v>131</v>
      </c>
      <c r="D1136" s="5" t="s">
        <v>11</v>
      </c>
      <c r="E1136" s="5" t="s">
        <v>9</v>
      </c>
      <c r="F1136" s="6">
        <v>45199</v>
      </c>
      <c r="G1136" s="5">
        <f t="shared" si="229"/>
        <v>2023</v>
      </c>
      <c r="H1136" s="5" t="str">
        <f t="shared" si="227"/>
        <v>Septiembre</v>
      </c>
      <c r="I1136" s="6" t="str">
        <f t="shared" si="228"/>
        <v>2023-2</v>
      </c>
      <c r="J1136" s="5">
        <v>100</v>
      </c>
      <c r="K1136" s="5">
        <v>93.54</v>
      </c>
      <c r="L1136" s="21" t="s">
        <v>417</v>
      </c>
      <c r="M1136" s="15">
        <f t="shared" si="226"/>
        <v>0.93540000000000001</v>
      </c>
      <c r="N1136" s="5"/>
      <c r="O1136" s="5"/>
      <c r="P1136" s="5">
        <v>0</v>
      </c>
      <c r="Q1136" s="5">
        <v>0</v>
      </c>
      <c r="R1136" s="5" t="str">
        <f t="shared" si="225"/>
        <v>414-2023-09-30</v>
      </c>
    </row>
    <row r="1137" spans="1:18" x14ac:dyDescent="0.3">
      <c r="A1137" s="39">
        <v>414</v>
      </c>
      <c r="B1137" s="5" t="s">
        <v>307</v>
      </c>
      <c r="C1137" s="5" t="s">
        <v>131</v>
      </c>
      <c r="D1137" s="5" t="s">
        <v>11</v>
      </c>
      <c r="E1137" s="5" t="s">
        <v>9</v>
      </c>
      <c r="F1137" s="6">
        <v>45291</v>
      </c>
      <c r="G1137" s="5">
        <f t="shared" si="229"/>
        <v>2023</v>
      </c>
      <c r="H1137" s="5" t="str">
        <f t="shared" si="227"/>
        <v>Diciembre</v>
      </c>
      <c r="I1137" s="6" t="str">
        <f t="shared" si="228"/>
        <v>2023-2</v>
      </c>
      <c r="J1137" s="5">
        <v>100</v>
      </c>
      <c r="K1137" s="5">
        <v>96.28</v>
      </c>
      <c r="L1137" s="21">
        <f>IFERROR(K1137/J1137,"")</f>
        <v>0.96279999999999999</v>
      </c>
      <c r="M1137" s="15">
        <f t="shared" si="226"/>
        <v>0.96279999999999999</v>
      </c>
      <c r="N1137" s="5"/>
      <c r="O1137" s="5"/>
      <c r="P1137" s="5">
        <v>0</v>
      </c>
      <c r="Q1137" s="5">
        <v>0</v>
      </c>
      <c r="R1137" s="5" t="str">
        <f t="shared" si="225"/>
        <v>414-2023-12-31</v>
      </c>
    </row>
    <row r="1138" spans="1:18" x14ac:dyDescent="0.3">
      <c r="A1138" s="5">
        <v>414</v>
      </c>
      <c r="B1138" s="5" t="s">
        <v>307</v>
      </c>
      <c r="C1138" s="5" t="s">
        <v>131</v>
      </c>
      <c r="D1138" s="5" t="s">
        <v>11</v>
      </c>
      <c r="E1138" s="5" t="s">
        <v>9</v>
      </c>
      <c r="F1138" s="6">
        <v>45473</v>
      </c>
      <c r="G1138" s="5">
        <f t="shared" si="229"/>
        <v>2024</v>
      </c>
      <c r="H1138" s="5" t="str">
        <f t="shared" si="227"/>
        <v>Junio</v>
      </c>
      <c r="I1138" s="6" t="str">
        <f t="shared" si="228"/>
        <v>2024-1</v>
      </c>
      <c r="J1138" s="5">
        <v>100</v>
      </c>
      <c r="K1138" s="5">
        <v>100.06</v>
      </c>
      <c r="L1138" s="15">
        <f>IFERROR(IF((K1138/J1138)&gt;1.3,1.3,K1138/J1138),"")</f>
        <v>1.0005999999999999</v>
      </c>
      <c r="M1138" s="15">
        <f t="shared" si="226"/>
        <v>1.0005999999999999</v>
      </c>
      <c r="N1138" s="5"/>
      <c r="O1138" s="5"/>
      <c r="P1138" s="5">
        <v>0</v>
      </c>
      <c r="Q1138" s="5">
        <v>0</v>
      </c>
      <c r="R1138" s="5" t="str">
        <f t="shared" si="225"/>
        <v>414-2024-06-30</v>
      </c>
    </row>
    <row r="1139" spans="1:18" x14ac:dyDescent="0.3">
      <c r="A1139" s="5">
        <v>414</v>
      </c>
      <c r="B1139" s="5" t="s">
        <v>307</v>
      </c>
      <c r="C1139" s="5" t="s">
        <v>131</v>
      </c>
      <c r="D1139" s="5" t="s">
        <v>11</v>
      </c>
      <c r="E1139" s="5" t="s">
        <v>9</v>
      </c>
      <c r="F1139" s="6">
        <v>45657</v>
      </c>
      <c r="G1139" s="5">
        <f t="shared" si="229"/>
        <v>2024</v>
      </c>
      <c r="H1139" s="5" t="str">
        <f t="shared" si="227"/>
        <v>Diciembre</v>
      </c>
      <c r="I1139" s="6" t="str">
        <f t="shared" si="228"/>
        <v>2024-2</v>
      </c>
      <c r="J1139" s="5">
        <v>100</v>
      </c>
      <c r="K1139" s="5">
        <v>0</v>
      </c>
      <c r="L1139" s="15">
        <f>IFERROR(IF((K1139/J1139)&gt;1.3,1.3,K1139/J1139),"")</f>
        <v>0</v>
      </c>
      <c r="M1139" s="15">
        <f t="shared" si="226"/>
        <v>0</v>
      </c>
      <c r="N1139" s="5"/>
      <c r="O1139" s="5"/>
      <c r="P1139" s="5">
        <v>0</v>
      </c>
      <c r="Q1139" s="5">
        <v>0</v>
      </c>
      <c r="R1139" s="5" t="str">
        <f t="shared" si="225"/>
        <v>414-2024-12-31</v>
      </c>
    </row>
    <row r="1140" spans="1:18" x14ac:dyDescent="0.3">
      <c r="A1140" s="54">
        <v>415</v>
      </c>
      <c r="B1140" s="5" t="s">
        <v>308</v>
      </c>
      <c r="C1140" s="5" t="s">
        <v>131</v>
      </c>
      <c r="D1140" s="5" t="s">
        <v>11</v>
      </c>
      <c r="E1140" s="5" t="s">
        <v>9</v>
      </c>
      <c r="F1140" s="6">
        <v>45016</v>
      </c>
      <c r="G1140" s="5">
        <f t="shared" si="229"/>
        <v>2023</v>
      </c>
      <c r="H1140" s="5" t="str">
        <f t="shared" si="227"/>
        <v>Marzo</v>
      </c>
      <c r="I1140" s="6" t="str">
        <f t="shared" si="228"/>
        <v>2023-1</v>
      </c>
      <c r="J1140" s="5" t="s">
        <v>417</v>
      </c>
      <c r="K1140" s="5" t="s">
        <v>417</v>
      </c>
      <c r="L1140" s="21" t="s">
        <v>417</v>
      </c>
      <c r="M1140" s="15" t="str">
        <f t="shared" ref="M1140:M1171" si="230">IFERROR(K1140/J1140,"")</f>
        <v/>
      </c>
      <c r="N1140" s="5"/>
      <c r="O1140" s="5"/>
      <c r="P1140" s="5">
        <v>0</v>
      </c>
      <c r="Q1140" s="5">
        <v>0</v>
      </c>
      <c r="R1140" s="5" t="str">
        <f t="shared" si="225"/>
        <v>415-2023-03-31</v>
      </c>
    </row>
    <row r="1141" spans="1:18" x14ac:dyDescent="0.3">
      <c r="A1141" s="39">
        <v>415</v>
      </c>
      <c r="B1141" s="5" t="s">
        <v>308</v>
      </c>
      <c r="C1141" s="5" t="s">
        <v>131</v>
      </c>
      <c r="D1141" s="5" t="s">
        <v>11</v>
      </c>
      <c r="E1141" s="5" t="s">
        <v>9</v>
      </c>
      <c r="F1141" s="6">
        <v>45107</v>
      </c>
      <c r="G1141" s="5">
        <f t="shared" si="229"/>
        <v>2023</v>
      </c>
      <c r="H1141" s="5" t="str">
        <f t="shared" si="227"/>
        <v>Junio</v>
      </c>
      <c r="I1141" s="6" t="str">
        <f t="shared" si="228"/>
        <v>2023-1</v>
      </c>
      <c r="J1141" s="5">
        <v>100</v>
      </c>
      <c r="K1141" s="5">
        <v>94.04</v>
      </c>
      <c r="L1141" s="21" t="s">
        <v>417</v>
      </c>
      <c r="M1141" s="15">
        <f t="shared" si="230"/>
        <v>0.94040000000000001</v>
      </c>
      <c r="N1141" s="5"/>
      <c r="O1141" s="5"/>
      <c r="P1141" s="5">
        <v>0</v>
      </c>
      <c r="Q1141" s="5">
        <v>0</v>
      </c>
      <c r="R1141" s="5" t="str">
        <f t="shared" si="225"/>
        <v>415-2023-06-30</v>
      </c>
    </row>
    <row r="1142" spans="1:18" x14ac:dyDescent="0.3">
      <c r="A1142" s="43">
        <v>415</v>
      </c>
      <c r="B1142" s="5" t="s">
        <v>308</v>
      </c>
      <c r="C1142" s="5" t="s">
        <v>131</v>
      </c>
      <c r="D1142" s="5" t="s">
        <v>11</v>
      </c>
      <c r="E1142" s="5" t="s">
        <v>9</v>
      </c>
      <c r="F1142" s="6">
        <v>45199</v>
      </c>
      <c r="G1142" s="5">
        <f t="shared" si="229"/>
        <v>2023</v>
      </c>
      <c r="H1142" s="5" t="str">
        <f t="shared" si="227"/>
        <v>Septiembre</v>
      </c>
      <c r="I1142" s="6" t="str">
        <f t="shared" si="228"/>
        <v>2023-2</v>
      </c>
      <c r="J1142" s="5">
        <v>100</v>
      </c>
      <c r="K1142" s="5">
        <v>93.94</v>
      </c>
      <c r="L1142" s="21" t="s">
        <v>417</v>
      </c>
      <c r="M1142" s="15">
        <f t="shared" si="230"/>
        <v>0.93940000000000001</v>
      </c>
      <c r="N1142" s="5"/>
      <c r="O1142" s="5"/>
      <c r="P1142" s="5">
        <v>0</v>
      </c>
      <c r="Q1142" s="5">
        <v>0</v>
      </c>
      <c r="R1142" s="5" t="str">
        <f t="shared" si="225"/>
        <v>415-2023-09-30</v>
      </c>
    </row>
    <row r="1143" spans="1:18" x14ac:dyDescent="0.3">
      <c r="A1143" s="39">
        <v>415</v>
      </c>
      <c r="B1143" s="5" t="s">
        <v>308</v>
      </c>
      <c r="C1143" s="5" t="s">
        <v>131</v>
      </c>
      <c r="D1143" s="5" t="s">
        <v>11</v>
      </c>
      <c r="E1143" s="5" t="s">
        <v>9</v>
      </c>
      <c r="F1143" s="6">
        <v>45291</v>
      </c>
      <c r="G1143" s="5">
        <f t="shared" si="229"/>
        <v>2023</v>
      </c>
      <c r="H1143" s="5" t="str">
        <f t="shared" si="227"/>
        <v>Diciembre</v>
      </c>
      <c r="I1143" s="6" t="str">
        <f t="shared" si="228"/>
        <v>2023-2</v>
      </c>
      <c r="J1143" s="5">
        <v>100</v>
      </c>
      <c r="K1143" s="5">
        <v>96.03</v>
      </c>
      <c r="L1143" s="21">
        <f>IFERROR(K1143/J1143,"")</f>
        <v>0.96030000000000004</v>
      </c>
      <c r="M1143" s="15">
        <f t="shared" si="230"/>
        <v>0.96030000000000004</v>
      </c>
      <c r="N1143" s="5"/>
      <c r="O1143" s="5"/>
      <c r="P1143" s="5">
        <v>0</v>
      </c>
      <c r="Q1143" s="5">
        <v>0</v>
      </c>
      <c r="R1143" s="5" t="str">
        <f t="shared" si="225"/>
        <v>415-2023-12-31</v>
      </c>
    </row>
    <row r="1144" spans="1:18" x14ac:dyDescent="0.3">
      <c r="A1144" s="5">
        <v>415</v>
      </c>
      <c r="B1144" s="5" t="s">
        <v>308</v>
      </c>
      <c r="C1144" s="5" t="s">
        <v>131</v>
      </c>
      <c r="D1144" s="5" t="s">
        <v>11</v>
      </c>
      <c r="E1144" s="5" t="s">
        <v>9</v>
      </c>
      <c r="F1144" s="6">
        <v>45473</v>
      </c>
      <c r="G1144" s="5">
        <f t="shared" si="229"/>
        <v>2024</v>
      </c>
      <c r="H1144" s="5" t="str">
        <f t="shared" si="227"/>
        <v>Junio</v>
      </c>
      <c r="I1144" s="6" t="str">
        <f t="shared" si="228"/>
        <v>2024-1</v>
      </c>
      <c r="J1144" s="5">
        <v>100</v>
      </c>
      <c r="K1144" s="5">
        <v>93.04</v>
      </c>
      <c r="L1144" s="15">
        <f>IFERROR(IF((K1144/J1144)&gt;1.3,1.3,K1144/J1144),"")</f>
        <v>0.93040000000000012</v>
      </c>
      <c r="M1144" s="15">
        <f t="shared" si="230"/>
        <v>0.93040000000000012</v>
      </c>
      <c r="N1144" s="5"/>
      <c r="O1144" s="5"/>
      <c r="P1144" s="5">
        <v>0</v>
      </c>
      <c r="Q1144" s="5">
        <v>0</v>
      </c>
      <c r="R1144" s="5" t="str">
        <f t="shared" si="225"/>
        <v>415-2024-06-30</v>
      </c>
    </row>
    <row r="1145" spans="1:18" x14ac:dyDescent="0.3">
      <c r="A1145" s="5">
        <v>415</v>
      </c>
      <c r="B1145" s="5" t="s">
        <v>308</v>
      </c>
      <c r="C1145" s="5" t="s">
        <v>131</v>
      </c>
      <c r="D1145" s="5" t="s">
        <v>11</v>
      </c>
      <c r="E1145" s="5" t="s">
        <v>9</v>
      </c>
      <c r="F1145" s="6">
        <v>45657</v>
      </c>
      <c r="G1145" s="5">
        <f t="shared" si="229"/>
        <v>2024</v>
      </c>
      <c r="H1145" s="5" t="str">
        <f t="shared" si="227"/>
        <v>Diciembre</v>
      </c>
      <c r="I1145" s="6" t="str">
        <f t="shared" si="228"/>
        <v>2024-2</v>
      </c>
      <c r="J1145" s="5">
        <v>100</v>
      </c>
      <c r="K1145" s="5">
        <v>0</v>
      </c>
      <c r="L1145" s="15">
        <f>IFERROR(IF((K1145/J1145)&gt;1.3,1.3,K1145/J1145),"")</f>
        <v>0</v>
      </c>
      <c r="M1145" s="15">
        <f t="shared" si="230"/>
        <v>0</v>
      </c>
      <c r="N1145" s="5"/>
      <c r="O1145" s="5"/>
      <c r="P1145" s="5">
        <v>0</v>
      </c>
      <c r="Q1145" s="5">
        <v>0</v>
      </c>
      <c r="R1145" s="5" t="str">
        <f t="shared" si="225"/>
        <v>415-2024-12-31</v>
      </c>
    </row>
    <row r="1146" spans="1:18" x14ac:dyDescent="0.3">
      <c r="A1146" s="54">
        <v>416</v>
      </c>
      <c r="B1146" s="5" t="s">
        <v>309</v>
      </c>
      <c r="C1146" s="5" t="s">
        <v>131</v>
      </c>
      <c r="D1146" s="5" t="s">
        <v>11</v>
      </c>
      <c r="E1146" s="5" t="s">
        <v>9</v>
      </c>
      <c r="F1146" s="6">
        <v>45016</v>
      </c>
      <c r="G1146" s="5">
        <f t="shared" si="229"/>
        <v>2023</v>
      </c>
      <c r="H1146" s="5" t="str">
        <f t="shared" si="227"/>
        <v>Marzo</v>
      </c>
      <c r="I1146" s="6" t="str">
        <f t="shared" si="228"/>
        <v>2023-1</v>
      </c>
      <c r="J1146" s="5" t="s">
        <v>417</v>
      </c>
      <c r="K1146" s="5" t="s">
        <v>417</v>
      </c>
      <c r="L1146" s="21" t="s">
        <v>417</v>
      </c>
      <c r="M1146" s="15" t="str">
        <f t="shared" si="230"/>
        <v/>
      </c>
      <c r="N1146" s="5"/>
      <c r="O1146" s="5"/>
      <c r="P1146" s="5">
        <v>0</v>
      </c>
      <c r="Q1146" s="5">
        <v>0</v>
      </c>
      <c r="R1146" s="5" t="str">
        <f t="shared" si="225"/>
        <v>416-2023-03-31</v>
      </c>
    </row>
    <row r="1147" spans="1:18" x14ac:dyDescent="0.3">
      <c r="A1147" s="39">
        <v>416</v>
      </c>
      <c r="B1147" s="5" t="s">
        <v>309</v>
      </c>
      <c r="C1147" s="5" t="s">
        <v>131</v>
      </c>
      <c r="D1147" s="5" t="s">
        <v>11</v>
      </c>
      <c r="E1147" s="5" t="s">
        <v>9</v>
      </c>
      <c r="F1147" s="6">
        <v>45107</v>
      </c>
      <c r="G1147" s="5">
        <f t="shared" si="229"/>
        <v>2023</v>
      </c>
      <c r="H1147" s="5" t="str">
        <f t="shared" si="227"/>
        <v>Junio</v>
      </c>
      <c r="I1147" s="6" t="str">
        <f t="shared" si="228"/>
        <v>2023-1</v>
      </c>
      <c r="J1147" s="5">
        <v>100</v>
      </c>
      <c r="K1147" s="5">
        <v>96</v>
      </c>
      <c r="L1147" s="21" t="s">
        <v>417</v>
      </c>
      <c r="M1147" s="15">
        <f t="shared" si="230"/>
        <v>0.96</v>
      </c>
      <c r="N1147" s="5"/>
      <c r="O1147" s="5"/>
      <c r="P1147" s="5">
        <v>0</v>
      </c>
      <c r="Q1147" s="5">
        <v>0</v>
      </c>
      <c r="R1147" s="5" t="str">
        <f t="shared" si="225"/>
        <v>416-2023-06-30</v>
      </c>
    </row>
    <row r="1148" spans="1:18" x14ac:dyDescent="0.3">
      <c r="A1148" s="43">
        <v>416</v>
      </c>
      <c r="B1148" s="5" t="s">
        <v>309</v>
      </c>
      <c r="C1148" s="5" t="s">
        <v>131</v>
      </c>
      <c r="D1148" s="5" t="s">
        <v>11</v>
      </c>
      <c r="E1148" s="5" t="s">
        <v>9</v>
      </c>
      <c r="F1148" s="6">
        <v>45199</v>
      </c>
      <c r="G1148" s="5">
        <f t="shared" si="229"/>
        <v>2023</v>
      </c>
      <c r="H1148" s="5" t="str">
        <f t="shared" si="227"/>
        <v>Septiembre</v>
      </c>
      <c r="I1148" s="6" t="str">
        <f t="shared" si="228"/>
        <v>2023-2</v>
      </c>
      <c r="J1148" s="5">
        <v>100</v>
      </c>
      <c r="K1148" s="5">
        <v>87.92</v>
      </c>
      <c r="L1148" s="21" t="s">
        <v>417</v>
      </c>
      <c r="M1148" s="15">
        <f t="shared" si="230"/>
        <v>0.87919999999999998</v>
      </c>
      <c r="N1148" s="5"/>
      <c r="O1148" s="5"/>
      <c r="P1148" s="5">
        <v>0</v>
      </c>
      <c r="Q1148" s="5">
        <v>0</v>
      </c>
      <c r="R1148" s="5" t="str">
        <f t="shared" si="225"/>
        <v>416-2023-09-30</v>
      </c>
    </row>
    <row r="1149" spans="1:18" x14ac:dyDescent="0.3">
      <c r="A1149" s="39">
        <v>416</v>
      </c>
      <c r="B1149" s="5" t="s">
        <v>309</v>
      </c>
      <c r="C1149" s="5" t="s">
        <v>131</v>
      </c>
      <c r="D1149" s="5" t="s">
        <v>11</v>
      </c>
      <c r="E1149" s="5" t="s">
        <v>9</v>
      </c>
      <c r="F1149" s="6">
        <v>45291</v>
      </c>
      <c r="G1149" s="5">
        <f t="shared" si="229"/>
        <v>2023</v>
      </c>
      <c r="H1149" s="5" t="str">
        <f t="shared" si="227"/>
        <v>Diciembre</v>
      </c>
      <c r="I1149" s="6" t="str">
        <f t="shared" si="228"/>
        <v>2023-2</v>
      </c>
      <c r="J1149" s="5">
        <v>100</v>
      </c>
      <c r="K1149" s="5">
        <v>98</v>
      </c>
      <c r="L1149" s="21">
        <f>IFERROR(K1149/J1149,"")</f>
        <v>0.98</v>
      </c>
      <c r="M1149" s="15">
        <f t="shared" si="230"/>
        <v>0.98</v>
      </c>
      <c r="N1149" s="5"/>
      <c r="O1149" s="5"/>
      <c r="P1149" s="5">
        <v>0</v>
      </c>
      <c r="Q1149" s="5">
        <v>0</v>
      </c>
      <c r="R1149" s="5" t="str">
        <f t="shared" si="225"/>
        <v>416-2023-12-31</v>
      </c>
    </row>
    <row r="1150" spans="1:18" x14ac:dyDescent="0.3">
      <c r="A1150" s="5">
        <v>416</v>
      </c>
      <c r="B1150" s="5" t="s">
        <v>309</v>
      </c>
      <c r="C1150" s="5" t="s">
        <v>131</v>
      </c>
      <c r="D1150" s="5" t="s">
        <v>11</v>
      </c>
      <c r="E1150" s="5" t="s">
        <v>9</v>
      </c>
      <c r="F1150" s="6">
        <v>45473</v>
      </c>
      <c r="G1150" s="5">
        <f t="shared" si="229"/>
        <v>2024</v>
      </c>
      <c r="H1150" s="5" t="str">
        <f t="shared" si="227"/>
        <v>Junio</v>
      </c>
      <c r="I1150" s="6" t="str">
        <f t="shared" si="228"/>
        <v>2024-1</v>
      </c>
      <c r="J1150" s="5">
        <v>100</v>
      </c>
      <c r="K1150" s="5">
        <v>117.1</v>
      </c>
      <c r="L1150" s="15">
        <f>IFERROR(IF((K1150/J1150)&gt;1.3,1.3,K1150/J1150),"")</f>
        <v>1.171</v>
      </c>
      <c r="M1150" s="15">
        <f t="shared" si="230"/>
        <v>1.171</v>
      </c>
      <c r="N1150" s="5"/>
      <c r="O1150" s="5"/>
      <c r="P1150" s="5">
        <v>0</v>
      </c>
      <c r="Q1150" s="5">
        <v>0</v>
      </c>
      <c r="R1150" s="5" t="str">
        <f t="shared" si="225"/>
        <v>416-2024-06-30</v>
      </c>
    </row>
    <row r="1151" spans="1:18" x14ac:dyDescent="0.3">
      <c r="A1151" s="5">
        <v>416</v>
      </c>
      <c r="B1151" s="5" t="s">
        <v>309</v>
      </c>
      <c r="C1151" s="5" t="s">
        <v>131</v>
      </c>
      <c r="D1151" s="5" t="s">
        <v>11</v>
      </c>
      <c r="E1151" s="5" t="s">
        <v>9</v>
      </c>
      <c r="F1151" s="6">
        <v>45657</v>
      </c>
      <c r="G1151" s="5">
        <f t="shared" si="229"/>
        <v>2024</v>
      </c>
      <c r="H1151" s="5" t="str">
        <f t="shared" si="227"/>
        <v>Diciembre</v>
      </c>
      <c r="I1151" s="6" t="str">
        <f t="shared" si="228"/>
        <v>2024-2</v>
      </c>
      <c r="J1151" s="5">
        <v>100</v>
      </c>
      <c r="K1151" s="5">
        <v>0</v>
      </c>
      <c r="L1151" s="15">
        <f>IFERROR(IF((K1151/J1151)&gt;1.3,1.3,K1151/J1151),"")</f>
        <v>0</v>
      </c>
      <c r="M1151" s="15">
        <f t="shared" si="230"/>
        <v>0</v>
      </c>
      <c r="N1151" s="5"/>
      <c r="O1151" s="5"/>
      <c r="P1151" s="5">
        <v>0</v>
      </c>
      <c r="Q1151" s="5">
        <v>0</v>
      </c>
      <c r="R1151" s="5" t="str">
        <f t="shared" si="225"/>
        <v>416-2024-12-31</v>
      </c>
    </row>
    <row r="1152" spans="1:18" x14ac:dyDescent="0.3">
      <c r="A1152" s="54">
        <v>417</v>
      </c>
      <c r="B1152" s="5" t="s">
        <v>310</v>
      </c>
      <c r="C1152" s="5" t="s">
        <v>131</v>
      </c>
      <c r="D1152" s="5" t="s">
        <v>11</v>
      </c>
      <c r="E1152" s="5" t="s">
        <v>9</v>
      </c>
      <c r="F1152" s="6">
        <v>45016</v>
      </c>
      <c r="G1152" s="5">
        <f t="shared" si="229"/>
        <v>2023</v>
      </c>
      <c r="H1152" s="5" t="str">
        <f t="shared" si="227"/>
        <v>Marzo</v>
      </c>
      <c r="I1152" s="6" t="str">
        <f t="shared" si="228"/>
        <v>2023-1</v>
      </c>
      <c r="J1152" s="5" t="s">
        <v>417</v>
      </c>
      <c r="K1152" s="5" t="s">
        <v>417</v>
      </c>
      <c r="L1152" s="21" t="s">
        <v>417</v>
      </c>
      <c r="M1152" s="15" t="str">
        <f t="shared" si="230"/>
        <v/>
      </c>
      <c r="N1152" s="5"/>
      <c r="O1152" s="5"/>
      <c r="P1152" s="5">
        <v>0</v>
      </c>
      <c r="Q1152" s="5">
        <v>0</v>
      </c>
      <c r="R1152" s="5" t="str">
        <f t="shared" si="225"/>
        <v>417-2023-03-31</v>
      </c>
    </row>
    <row r="1153" spans="1:18" x14ac:dyDescent="0.3">
      <c r="A1153" s="39">
        <v>417</v>
      </c>
      <c r="B1153" s="5" t="s">
        <v>310</v>
      </c>
      <c r="C1153" s="5" t="s">
        <v>131</v>
      </c>
      <c r="D1153" s="5" t="s">
        <v>11</v>
      </c>
      <c r="E1153" s="5" t="s">
        <v>9</v>
      </c>
      <c r="F1153" s="6">
        <v>45107</v>
      </c>
      <c r="G1153" s="5">
        <f t="shared" si="229"/>
        <v>2023</v>
      </c>
      <c r="H1153" s="5" t="str">
        <f t="shared" si="227"/>
        <v>Junio</v>
      </c>
      <c r="I1153" s="6" t="str">
        <f t="shared" ref="I1153:I1182" si="231">IF(OR(H1153="Enero",H1153="Febrero",H1153="Marzo",H1153="Abril",H1153="Mayo",H1153="Junio"),G1153&amp;"-1",IF(OR(H1153="Julio",H1153="Agosto",H1153="Septiembre",H1153="Octubre",H1153="Noviembre",H1153="Diciembre"),G1153&amp;"-2"))</f>
        <v>2023-1</v>
      </c>
      <c r="J1153" s="5">
        <v>100</v>
      </c>
      <c r="K1153" s="5">
        <v>110.67</v>
      </c>
      <c r="L1153" s="21" t="s">
        <v>417</v>
      </c>
      <c r="M1153" s="15">
        <f t="shared" si="230"/>
        <v>1.1067</v>
      </c>
      <c r="N1153" s="5"/>
      <c r="O1153" s="5"/>
      <c r="P1153" s="5">
        <v>0</v>
      </c>
      <c r="Q1153" s="5">
        <v>0</v>
      </c>
      <c r="R1153" s="5" t="str">
        <f t="shared" si="225"/>
        <v>417-2023-06-30</v>
      </c>
    </row>
    <row r="1154" spans="1:18" x14ac:dyDescent="0.3">
      <c r="A1154" s="43">
        <v>417</v>
      </c>
      <c r="B1154" s="5" t="s">
        <v>310</v>
      </c>
      <c r="C1154" s="5" t="s">
        <v>131</v>
      </c>
      <c r="D1154" s="5" t="s">
        <v>11</v>
      </c>
      <c r="E1154" s="5" t="s">
        <v>9</v>
      </c>
      <c r="F1154" s="6">
        <v>45199</v>
      </c>
      <c r="G1154" s="5">
        <f t="shared" si="229"/>
        <v>2023</v>
      </c>
      <c r="H1154" s="5" t="str">
        <f t="shared" si="227"/>
        <v>Septiembre</v>
      </c>
      <c r="I1154" s="6" t="str">
        <f t="shared" si="231"/>
        <v>2023-2</v>
      </c>
      <c r="J1154" s="5">
        <v>100</v>
      </c>
      <c r="K1154" s="5">
        <v>93.76</v>
      </c>
      <c r="L1154" s="21" t="s">
        <v>417</v>
      </c>
      <c r="M1154" s="15">
        <f t="shared" si="230"/>
        <v>0.9376000000000001</v>
      </c>
      <c r="N1154" s="5"/>
      <c r="O1154" s="5"/>
      <c r="P1154" s="5">
        <v>0</v>
      </c>
      <c r="Q1154" s="5">
        <v>0</v>
      </c>
      <c r="R1154" s="5" t="str">
        <f t="shared" si="225"/>
        <v>417-2023-09-30</v>
      </c>
    </row>
    <row r="1155" spans="1:18" x14ac:dyDescent="0.3">
      <c r="A1155" s="39">
        <v>417</v>
      </c>
      <c r="B1155" s="5" t="s">
        <v>310</v>
      </c>
      <c r="C1155" s="5" t="s">
        <v>131</v>
      </c>
      <c r="D1155" s="5" t="s">
        <v>11</v>
      </c>
      <c r="E1155" s="5" t="s">
        <v>9</v>
      </c>
      <c r="F1155" s="6">
        <v>45291</v>
      </c>
      <c r="G1155" s="5">
        <f t="shared" si="229"/>
        <v>2023</v>
      </c>
      <c r="H1155" s="5" t="str">
        <f t="shared" si="227"/>
        <v>Diciembre</v>
      </c>
      <c r="I1155" s="6" t="str">
        <f t="shared" si="231"/>
        <v>2023-2</v>
      </c>
      <c r="J1155" s="5">
        <v>100</v>
      </c>
      <c r="K1155" s="5">
        <v>94.39</v>
      </c>
      <c r="L1155" s="21">
        <f>IFERROR(K1155/J1155,"")</f>
        <v>0.94389999999999996</v>
      </c>
      <c r="M1155" s="15">
        <f t="shared" si="230"/>
        <v>0.94389999999999996</v>
      </c>
      <c r="N1155" s="5"/>
      <c r="O1155" s="5"/>
      <c r="P1155" s="5">
        <v>0</v>
      </c>
      <c r="Q1155" s="5">
        <v>0</v>
      </c>
      <c r="R1155" s="5" t="str">
        <f t="shared" si="225"/>
        <v>417-2023-12-31</v>
      </c>
    </row>
    <row r="1156" spans="1:18" x14ac:dyDescent="0.3">
      <c r="A1156" s="5">
        <v>417</v>
      </c>
      <c r="B1156" s="5" t="s">
        <v>310</v>
      </c>
      <c r="C1156" s="5" t="s">
        <v>131</v>
      </c>
      <c r="D1156" s="5" t="s">
        <v>11</v>
      </c>
      <c r="E1156" s="5" t="s">
        <v>9</v>
      </c>
      <c r="F1156" s="6">
        <v>45473</v>
      </c>
      <c r="G1156" s="5">
        <f t="shared" si="229"/>
        <v>2024</v>
      </c>
      <c r="H1156" s="5" t="str">
        <f t="shared" si="227"/>
        <v>Junio</v>
      </c>
      <c r="I1156" s="6" t="str">
        <f t="shared" si="231"/>
        <v>2024-1</v>
      </c>
      <c r="J1156" s="5">
        <v>100</v>
      </c>
      <c r="K1156" s="5">
        <v>112.12</v>
      </c>
      <c r="L1156" s="15">
        <f>IFERROR(IF((K1156/J1156)&gt;1.3,1.3,K1156/J1156),"")</f>
        <v>1.1212</v>
      </c>
      <c r="M1156" s="15">
        <f t="shared" si="230"/>
        <v>1.1212</v>
      </c>
      <c r="N1156" s="5"/>
      <c r="O1156" s="5"/>
      <c r="P1156" s="5">
        <v>0</v>
      </c>
      <c r="Q1156" s="5">
        <v>0</v>
      </c>
      <c r="R1156" s="5" t="str">
        <f t="shared" si="225"/>
        <v>417-2024-06-30</v>
      </c>
    </row>
    <row r="1157" spans="1:18" x14ac:dyDescent="0.3">
      <c r="A1157" s="5">
        <v>417</v>
      </c>
      <c r="B1157" s="5" t="s">
        <v>310</v>
      </c>
      <c r="C1157" s="5" t="s">
        <v>131</v>
      </c>
      <c r="D1157" s="5" t="s">
        <v>11</v>
      </c>
      <c r="E1157" s="5" t="s">
        <v>9</v>
      </c>
      <c r="F1157" s="6">
        <v>45657</v>
      </c>
      <c r="G1157" s="5">
        <f t="shared" si="229"/>
        <v>2024</v>
      </c>
      <c r="H1157" s="5" t="str">
        <f t="shared" si="227"/>
        <v>Diciembre</v>
      </c>
      <c r="I1157" s="6" t="str">
        <f t="shared" si="231"/>
        <v>2024-2</v>
      </c>
      <c r="J1157" s="5">
        <v>100</v>
      </c>
      <c r="K1157" s="5">
        <v>0</v>
      </c>
      <c r="L1157" s="15">
        <f>IFERROR(IF((K1157/J1157)&gt;1.3,1.3,K1157/J1157),"")</f>
        <v>0</v>
      </c>
      <c r="M1157" s="15">
        <f t="shared" si="230"/>
        <v>0</v>
      </c>
      <c r="N1157" s="5"/>
      <c r="O1157" s="5"/>
      <c r="P1157" s="5">
        <v>0</v>
      </c>
      <c r="Q1157" s="5">
        <v>0</v>
      </c>
      <c r="R1157" s="5" t="str">
        <f t="shared" si="225"/>
        <v>417-2024-12-31</v>
      </c>
    </row>
    <row r="1158" spans="1:18" x14ac:dyDescent="0.3">
      <c r="A1158" s="54">
        <v>418</v>
      </c>
      <c r="B1158" s="5" t="s">
        <v>311</v>
      </c>
      <c r="C1158" s="5" t="s">
        <v>131</v>
      </c>
      <c r="D1158" s="5" t="s">
        <v>11</v>
      </c>
      <c r="E1158" s="5" t="s">
        <v>9</v>
      </c>
      <c r="F1158" s="6">
        <v>45016</v>
      </c>
      <c r="G1158" s="5">
        <f t="shared" si="229"/>
        <v>2023</v>
      </c>
      <c r="H1158" s="5" t="str">
        <f t="shared" si="227"/>
        <v>Marzo</v>
      </c>
      <c r="I1158" s="6" t="str">
        <f t="shared" si="231"/>
        <v>2023-1</v>
      </c>
      <c r="J1158" s="5" t="s">
        <v>417</v>
      </c>
      <c r="K1158" s="5" t="s">
        <v>417</v>
      </c>
      <c r="L1158" s="21" t="s">
        <v>417</v>
      </c>
      <c r="M1158" s="15" t="str">
        <f t="shared" si="230"/>
        <v/>
      </c>
      <c r="N1158" s="5"/>
      <c r="O1158" s="5"/>
      <c r="P1158" s="5">
        <v>0</v>
      </c>
      <c r="Q1158" s="5">
        <v>0</v>
      </c>
      <c r="R1158" s="5" t="str">
        <f t="shared" si="225"/>
        <v>418-2023-03-31</v>
      </c>
    </row>
    <row r="1159" spans="1:18" x14ac:dyDescent="0.3">
      <c r="A1159" s="39">
        <v>418</v>
      </c>
      <c r="B1159" s="5" t="s">
        <v>311</v>
      </c>
      <c r="C1159" s="5" t="s">
        <v>131</v>
      </c>
      <c r="D1159" s="5" t="s">
        <v>11</v>
      </c>
      <c r="E1159" s="5" t="s">
        <v>9</v>
      </c>
      <c r="F1159" s="6">
        <v>45107</v>
      </c>
      <c r="G1159" s="5">
        <f t="shared" si="229"/>
        <v>2023</v>
      </c>
      <c r="H1159" s="5" t="str">
        <f t="shared" si="227"/>
        <v>Junio</v>
      </c>
      <c r="I1159" s="6" t="str">
        <f t="shared" si="231"/>
        <v>2023-1</v>
      </c>
      <c r="J1159" s="5">
        <v>100</v>
      </c>
      <c r="K1159" s="5">
        <v>104.36</v>
      </c>
      <c r="L1159" s="21" t="s">
        <v>417</v>
      </c>
      <c r="M1159" s="15">
        <f t="shared" si="230"/>
        <v>1.0436000000000001</v>
      </c>
      <c r="N1159" s="5"/>
      <c r="O1159" s="5"/>
      <c r="P1159" s="5">
        <v>0</v>
      </c>
      <c r="Q1159" s="5">
        <v>0</v>
      </c>
      <c r="R1159" s="5" t="str">
        <f t="shared" si="225"/>
        <v>418-2023-06-30</v>
      </c>
    </row>
    <row r="1160" spans="1:18" x14ac:dyDescent="0.3">
      <c r="A1160" s="43">
        <v>418</v>
      </c>
      <c r="B1160" s="5" t="s">
        <v>311</v>
      </c>
      <c r="C1160" s="5" t="s">
        <v>131</v>
      </c>
      <c r="D1160" s="5" t="s">
        <v>11</v>
      </c>
      <c r="E1160" s="5" t="s">
        <v>9</v>
      </c>
      <c r="F1160" s="6">
        <v>45199</v>
      </c>
      <c r="G1160" s="5">
        <f t="shared" si="229"/>
        <v>2023</v>
      </c>
      <c r="H1160" s="5" t="str">
        <f t="shared" si="227"/>
        <v>Septiembre</v>
      </c>
      <c r="I1160" s="6" t="str">
        <f t="shared" si="231"/>
        <v>2023-2</v>
      </c>
      <c r="J1160" s="5">
        <v>100</v>
      </c>
      <c r="K1160" s="5">
        <v>85.61</v>
      </c>
      <c r="L1160" s="21" t="s">
        <v>417</v>
      </c>
      <c r="M1160" s="15">
        <f t="shared" si="230"/>
        <v>0.85609999999999997</v>
      </c>
      <c r="N1160" s="5"/>
      <c r="O1160" s="5"/>
      <c r="P1160" s="5">
        <v>0</v>
      </c>
      <c r="Q1160" s="5">
        <v>0</v>
      </c>
      <c r="R1160" s="5" t="str">
        <f t="shared" si="225"/>
        <v>418-2023-09-30</v>
      </c>
    </row>
    <row r="1161" spans="1:18" x14ac:dyDescent="0.3">
      <c r="A1161" s="39">
        <v>418</v>
      </c>
      <c r="B1161" s="5" t="s">
        <v>311</v>
      </c>
      <c r="C1161" s="5" t="s">
        <v>131</v>
      </c>
      <c r="D1161" s="5" t="s">
        <v>11</v>
      </c>
      <c r="E1161" s="5" t="s">
        <v>9</v>
      </c>
      <c r="F1161" s="6">
        <v>45291</v>
      </c>
      <c r="G1161" s="5">
        <f t="shared" si="229"/>
        <v>2023</v>
      </c>
      <c r="H1161" s="5" t="str">
        <f t="shared" si="227"/>
        <v>Diciembre</v>
      </c>
      <c r="I1161" s="6" t="str">
        <f t="shared" si="231"/>
        <v>2023-2</v>
      </c>
      <c r="J1161" s="5">
        <v>100</v>
      </c>
      <c r="K1161" s="5">
        <v>95.8</v>
      </c>
      <c r="L1161" s="21">
        <f>IFERROR(K1161/J1161,"")</f>
        <v>0.95799999999999996</v>
      </c>
      <c r="M1161" s="15">
        <f t="shared" si="230"/>
        <v>0.95799999999999996</v>
      </c>
      <c r="N1161" s="5"/>
      <c r="O1161" s="5"/>
      <c r="P1161" s="5">
        <v>0</v>
      </c>
      <c r="Q1161" s="5">
        <v>0</v>
      </c>
      <c r="R1161" s="5" t="str">
        <f t="shared" si="225"/>
        <v>418-2023-12-31</v>
      </c>
    </row>
    <row r="1162" spans="1:18" x14ac:dyDescent="0.3">
      <c r="A1162" s="5">
        <v>418</v>
      </c>
      <c r="B1162" s="5" t="s">
        <v>311</v>
      </c>
      <c r="C1162" s="5" t="s">
        <v>131</v>
      </c>
      <c r="D1162" s="5" t="s">
        <v>11</v>
      </c>
      <c r="E1162" s="5" t="s">
        <v>9</v>
      </c>
      <c r="F1162" s="6">
        <v>45473</v>
      </c>
      <c r="G1162" s="5">
        <f t="shared" si="229"/>
        <v>2024</v>
      </c>
      <c r="H1162" s="5" t="str">
        <f t="shared" si="227"/>
        <v>Junio</v>
      </c>
      <c r="I1162" s="6" t="str">
        <f t="shared" si="231"/>
        <v>2024-1</v>
      </c>
      <c r="J1162" s="5">
        <v>100</v>
      </c>
      <c r="K1162" s="5">
        <v>100.79</v>
      </c>
      <c r="L1162" s="15">
        <f>IFERROR(IF((K1162/J1162)&gt;1.3,1.3,K1162/J1162),"")</f>
        <v>1.0079</v>
      </c>
      <c r="M1162" s="15">
        <f t="shared" si="230"/>
        <v>1.0079</v>
      </c>
      <c r="N1162" s="5"/>
      <c r="O1162" s="5"/>
      <c r="P1162" s="5">
        <v>0</v>
      </c>
      <c r="Q1162" s="5">
        <v>0</v>
      </c>
      <c r="R1162" s="5" t="str">
        <f t="shared" si="225"/>
        <v>418-2024-06-30</v>
      </c>
    </row>
    <row r="1163" spans="1:18" x14ac:dyDescent="0.3">
      <c r="A1163" s="5">
        <v>418</v>
      </c>
      <c r="B1163" s="5" t="s">
        <v>311</v>
      </c>
      <c r="C1163" s="5" t="s">
        <v>131</v>
      </c>
      <c r="D1163" s="5" t="s">
        <v>11</v>
      </c>
      <c r="E1163" s="5" t="s">
        <v>9</v>
      </c>
      <c r="F1163" s="6">
        <v>45657</v>
      </c>
      <c r="G1163" s="5">
        <f t="shared" si="229"/>
        <v>2024</v>
      </c>
      <c r="H1163" s="5" t="str">
        <f t="shared" si="227"/>
        <v>Diciembre</v>
      </c>
      <c r="I1163" s="6" t="str">
        <f t="shared" si="231"/>
        <v>2024-2</v>
      </c>
      <c r="J1163" s="5">
        <v>100</v>
      </c>
      <c r="K1163" s="5">
        <v>0</v>
      </c>
      <c r="L1163" s="15">
        <f>IFERROR(IF((K1163/J1163)&gt;1.3,1.3,K1163/J1163),"")</f>
        <v>0</v>
      </c>
      <c r="M1163" s="15">
        <f t="shared" si="230"/>
        <v>0</v>
      </c>
      <c r="N1163" s="5"/>
      <c r="O1163" s="5"/>
      <c r="P1163" s="5">
        <v>0</v>
      </c>
      <c r="Q1163" s="5">
        <v>0</v>
      </c>
      <c r="R1163" s="5" t="str">
        <f t="shared" si="225"/>
        <v>418-2024-12-31</v>
      </c>
    </row>
    <row r="1164" spans="1:18" x14ac:dyDescent="0.3">
      <c r="A1164" s="54">
        <v>419</v>
      </c>
      <c r="B1164" s="5" t="s">
        <v>312</v>
      </c>
      <c r="C1164" s="5" t="s">
        <v>131</v>
      </c>
      <c r="D1164" s="5" t="s">
        <v>11</v>
      </c>
      <c r="E1164" s="5" t="s">
        <v>9</v>
      </c>
      <c r="F1164" s="6">
        <v>45016</v>
      </c>
      <c r="G1164" s="5">
        <f t="shared" si="229"/>
        <v>2023</v>
      </c>
      <c r="H1164" s="5" t="str">
        <f t="shared" si="227"/>
        <v>Marzo</v>
      </c>
      <c r="I1164" s="6" t="str">
        <f t="shared" si="231"/>
        <v>2023-1</v>
      </c>
      <c r="J1164" s="5" t="s">
        <v>417</v>
      </c>
      <c r="K1164" s="5" t="s">
        <v>417</v>
      </c>
      <c r="L1164" s="21" t="s">
        <v>417</v>
      </c>
      <c r="M1164" s="15" t="str">
        <f t="shared" si="230"/>
        <v/>
      </c>
      <c r="N1164" s="5" t="s">
        <v>347</v>
      </c>
      <c r="O1164" s="5" t="s">
        <v>347</v>
      </c>
      <c r="P1164" s="5">
        <v>0</v>
      </c>
      <c r="Q1164" s="5">
        <v>0</v>
      </c>
      <c r="R1164" s="5" t="str">
        <f t="shared" ref="R1164:R1227" si="232">A1164&amp;"-"&amp;YEAR(F1164)&amp;"-"&amp;IF(LEN(MONTH(F1164))=1,"0"&amp;MONTH(F1164),MONTH(F1164))&amp;"-"&amp;DAY(F1164)</f>
        <v>419-2023-03-31</v>
      </c>
    </row>
    <row r="1165" spans="1:18" x14ac:dyDescent="0.3">
      <c r="A1165" s="39">
        <v>419</v>
      </c>
      <c r="B1165" s="5" t="s">
        <v>312</v>
      </c>
      <c r="C1165" s="5" t="s">
        <v>131</v>
      </c>
      <c r="D1165" s="5" t="s">
        <v>11</v>
      </c>
      <c r="E1165" s="5" t="s">
        <v>9</v>
      </c>
      <c r="F1165" s="6">
        <v>45107</v>
      </c>
      <c r="G1165" s="5">
        <f t="shared" si="229"/>
        <v>2023</v>
      </c>
      <c r="H1165" s="5" t="str">
        <f t="shared" si="227"/>
        <v>Junio</v>
      </c>
      <c r="I1165" s="6" t="str">
        <f t="shared" si="231"/>
        <v>2023-1</v>
      </c>
      <c r="J1165" s="5">
        <v>100</v>
      </c>
      <c r="K1165" s="5">
        <v>108.3</v>
      </c>
      <c r="L1165" s="21" t="s">
        <v>417</v>
      </c>
      <c r="M1165" s="15">
        <f t="shared" si="230"/>
        <v>1.083</v>
      </c>
      <c r="N1165" s="5" t="s">
        <v>347</v>
      </c>
      <c r="O1165" s="5" t="s">
        <v>347</v>
      </c>
      <c r="P1165" s="5">
        <v>0</v>
      </c>
      <c r="Q1165" s="5">
        <v>0</v>
      </c>
      <c r="R1165" s="5" t="str">
        <f t="shared" si="232"/>
        <v>419-2023-06-30</v>
      </c>
    </row>
    <row r="1166" spans="1:18" x14ac:dyDescent="0.3">
      <c r="A1166" s="43">
        <v>419</v>
      </c>
      <c r="B1166" s="5" t="s">
        <v>312</v>
      </c>
      <c r="C1166" s="5" t="s">
        <v>131</v>
      </c>
      <c r="D1166" s="5" t="s">
        <v>11</v>
      </c>
      <c r="E1166" s="5" t="s">
        <v>9</v>
      </c>
      <c r="F1166" s="6">
        <v>45199</v>
      </c>
      <c r="G1166" s="5">
        <f t="shared" si="229"/>
        <v>2023</v>
      </c>
      <c r="H1166" s="5" t="str">
        <f t="shared" si="227"/>
        <v>Septiembre</v>
      </c>
      <c r="I1166" s="6" t="str">
        <f t="shared" si="231"/>
        <v>2023-2</v>
      </c>
      <c r="J1166" s="5">
        <v>100</v>
      </c>
      <c r="K1166" s="5">
        <v>88.35</v>
      </c>
      <c r="L1166" s="21" t="s">
        <v>417</v>
      </c>
      <c r="M1166" s="15">
        <f t="shared" si="230"/>
        <v>0.88349999999999995</v>
      </c>
      <c r="N1166" s="5" t="s">
        <v>347</v>
      </c>
      <c r="O1166" s="5" t="s">
        <v>347</v>
      </c>
      <c r="P1166" s="5">
        <v>0</v>
      </c>
      <c r="Q1166" s="5">
        <v>0</v>
      </c>
      <c r="R1166" s="5" t="str">
        <f t="shared" si="232"/>
        <v>419-2023-09-30</v>
      </c>
    </row>
    <row r="1167" spans="1:18" x14ac:dyDescent="0.3">
      <c r="A1167" s="39">
        <v>419</v>
      </c>
      <c r="B1167" s="5" t="s">
        <v>312</v>
      </c>
      <c r="C1167" s="5" t="s">
        <v>131</v>
      </c>
      <c r="D1167" s="5" t="s">
        <v>11</v>
      </c>
      <c r="E1167" s="5" t="s">
        <v>9</v>
      </c>
      <c r="F1167" s="6">
        <v>45291</v>
      </c>
      <c r="G1167" s="5">
        <f t="shared" si="229"/>
        <v>2023</v>
      </c>
      <c r="H1167" s="5" t="str">
        <f t="shared" si="227"/>
        <v>Diciembre</v>
      </c>
      <c r="I1167" s="6" t="str">
        <f t="shared" si="231"/>
        <v>2023-2</v>
      </c>
      <c r="J1167" s="5">
        <v>100</v>
      </c>
      <c r="K1167" s="5">
        <v>93.56</v>
      </c>
      <c r="L1167" s="21">
        <f>IFERROR(K1167/J1167,"")</f>
        <v>0.93559999999999999</v>
      </c>
      <c r="M1167" s="15">
        <f t="shared" si="230"/>
        <v>0.93559999999999999</v>
      </c>
      <c r="N1167" s="5" t="s">
        <v>347</v>
      </c>
      <c r="O1167" s="5" t="s">
        <v>347</v>
      </c>
      <c r="P1167" s="5">
        <v>0</v>
      </c>
      <c r="Q1167" s="5">
        <v>0</v>
      </c>
      <c r="R1167" s="5" t="str">
        <f t="shared" si="232"/>
        <v>419-2023-12-31</v>
      </c>
    </row>
    <row r="1168" spans="1:18" x14ac:dyDescent="0.3">
      <c r="A1168" s="54">
        <v>420</v>
      </c>
      <c r="B1168" s="5" t="s">
        <v>313</v>
      </c>
      <c r="C1168" s="5" t="s">
        <v>131</v>
      </c>
      <c r="D1168" s="5" t="s">
        <v>11</v>
      </c>
      <c r="E1168" s="5" t="s">
        <v>9</v>
      </c>
      <c r="F1168" s="6">
        <v>45016</v>
      </c>
      <c r="G1168" s="5">
        <f t="shared" si="229"/>
        <v>2023</v>
      </c>
      <c r="H1168" s="5" t="str">
        <f t="shared" si="227"/>
        <v>Marzo</v>
      </c>
      <c r="I1168" s="6" t="str">
        <f t="shared" si="231"/>
        <v>2023-1</v>
      </c>
      <c r="J1168" s="5" t="s">
        <v>417</v>
      </c>
      <c r="K1168" s="5" t="s">
        <v>417</v>
      </c>
      <c r="L1168" s="21" t="s">
        <v>417</v>
      </c>
      <c r="M1168" s="15" t="str">
        <f t="shared" si="230"/>
        <v/>
      </c>
      <c r="N1168" s="5" t="s">
        <v>347</v>
      </c>
      <c r="O1168" s="5" t="s">
        <v>347</v>
      </c>
      <c r="P1168" s="5">
        <v>0</v>
      </c>
      <c r="Q1168" s="5">
        <v>0</v>
      </c>
      <c r="R1168" s="5" t="str">
        <f t="shared" si="232"/>
        <v>420-2023-03-31</v>
      </c>
    </row>
    <row r="1169" spans="1:18" x14ac:dyDescent="0.3">
      <c r="A1169" s="39">
        <v>420</v>
      </c>
      <c r="B1169" s="5" t="s">
        <v>313</v>
      </c>
      <c r="C1169" s="5" t="s">
        <v>131</v>
      </c>
      <c r="D1169" s="5" t="s">
        <v>11</v>
      </c>
      <c r="E1169" s="5" t="s">
        <v>9</v>
      </c>
      <c r="F1169" s="6">
        <v>45107</v>
      </c>
      <c r="G1169" s="5">
        <f t="shared" si="229"/>
        <v>2023</v>
      </c>
      <c r="H1169" s="5" t="str">
        <f t="shared" si="227"/>
        <v>Junio</v>
      </c>
      <c r="I1169" s="6" t="str">
        <f t="shared" si="231"/>
        <v>2023-1</v>
      </c>
      <c r="J1169" s="5">
        <v>100</v>
      </c>
      <c r="K1169" s="5">
        <v>112.97</v>
      </c>
      <c r="L1169" s="21" t="s">
        <v>417</v>
      </c>
      <c r="M1169" s="15">
        <f t="shared" si="230"/>
        <v>1.1296999999999999</v>
      </c>
      <c r="N1169" s="5" t="s">
        <v>347</v>
      </c>
      <c r="O1169" s="5" t="s">
        <v>347</v>
      </c>
      <c r="P1169" s="5">
        <v>0</v>
      </c>
      <c r="Q1169" s="5">
        <v>0</v>
      </c>
      <c r="R1169" s="5" t="str">
        <f t="shared" si="232"/>
        <v>420-2023-06-30</v>
      </c>
    </row>
    <row r="1170" spans="1:18" x14ac:dyDescent="0.3">
      <c r="A1170" s="43">
        <v>420</v>
      </c>
      <c r="B1170" s="5" t="s">
        <v>313</v>
      </c>
      <c r="C1170" s="5" t="s">
        <v>131</v>
      </c>
      <c r="D1170" s="5" t="s">
        <v>11</v>
      </c>
      <c r="E1170" s="5" t="s">
        <v>9</v>
      </c>
      <c r="F1170" s="6">
        <v>45199</v>
      </c>
      <c r="G1170" s="5">
        <f t="shared" si="229"/>
        <v>2023</v>
      </c>
      <c r="H1170" s="5" t="str">
        <f t="shared" si="227"/>
        <v>Septiembre</v>
      </c>
      <c r="I1170" s="6" t="str">
        <f t="shared" si="231"/>
        <v>2023-2</v>
      </c>
      <c r="J1170" s="5">
        <v>100</v>
      </c>
      <c r="K1170" s="5">
        <v>94.59</v>
      </c>
      <c r="L1170" s="21" t="s">
        <v>417</v>
      </c>
      <c r="M1170" s="15">
        <f t="shared" si="230"/>
        <v>0.94590000000000007</v>
      </c>
      <c r="N1170" s="5" t="s">
        <v>347</v>
      </c>
      <c r="O1170" s="5" t="s">
        <v>347</v>
      </c>
      <c r="P1170" s="5">
        <v>0</v>
      </c>
      <c r="Q1170" s="5">
        <v>0</v>
      </c>
      <c r="R1170" s="5" t="str">
        <f t="shared" si="232"/>
        <v>420-2023-09-30</v>
      </c>
    </row>
    <row r="1171" spans="1:18" x14ac:dyDescent="0.3">
      <c r="A1171" s="39">
        <v>420</v>
      </c>
      <c r="B1171" s="5" t="s">
        <v>313</v>
      </c>
      <c r="C1171" s="5" t="s">
        <v>131</v>
      </c>
      <c r="D1171" s="5" t="s">
        <v>11</v>
      </c>
      <c r="E1171" s="5" t="s">
        <v>9</v>
      </c>
      <c r="F1171" s="6">
        <v>45291</v>
      </c>
      <c r="G1171" s="5">
        <f t="shared" si="229"/>
        <v>2023</v>
      </c>
      <c r="H1171" s="5" t="str">
        <f t="shared" si="227"/>
        <v>Diciembre</v>
      </c>
      <c r="I1171" s="6" t="str">
        <f t="shared" si="231"/>
        <v>2023-2</v>
      </c>
      <c r="J1171" s="5">
        <v>100</v>
      </c>
      <c r="K1171" s="5">
        <v>100</v>
      </c>
      <c r="L1171" s="21">
        <f>IFERROR(K1171/J1171,"")</f>
        <v>1</v>
      </c>
      <c r="M1171" s="15">
        <f t="shared" si="230"/>
        <v>1</v>
      </c>
      <c r="N1171" s="5" t="s">
        <v>347</v>
      </c>
      <c r="O1171" s="5" t="s">
        <v>347</v>
      </c>
      <c r="P1171" s="5">
        <v>0</v>
      </c>
      <c r="Q1171" s="5">
        <v>0</v>
      </c>
      <c r="R1171" s="5" t="str">
        <f t="shared" si="232"/>
        <v>420-2023-12-31</v>
      </c>
    </row>
    <row r="1172" spans="1:18" x14ac:dyDescent="0.3">
      <c r="A1172" s="5">
        <v>420</v>
      </c>
      <c r="B1172" s="5" t="s">
        <v>313</v>
      </c>
      <c r="C1172" s="5" t="s">
        <v>131</v>
      </c>
      <c r="D1172" s="5" t="s">
        <v>11</v>
      </c>
      <c r="E1172" s="5" t="s">
        <v>9</v>
      </c>
      <c r="F1172" s="6">
        <v>45473</v>
      </c>
      <c r="G1172" s="5">
        <f t="shared" si="229"/>
        <v>2024</v>
      </c>
      <c r="H1172" s="5" t="str">
        <f t="shared" si="227"/>
        <v>Junio</v>
      </c>
      <c r="I1172" s="6" t="str">
        <f t="shared" si="231"/>
        <v>2024-1</v>
      </c>
      <c r="J1172" s="5">
        <v>100</v>
      </c>
      <c r="K1172" s="5">
        <v>89.33</v>
      </c>
      <c r="L1172" s="15">
        <f>IFERROR(IF((K1172/J1172)&gt;1.3,1.3,K1172/J1172),"")</f>
        <v>0.89329999999999998</v>
      </c>
      <c r="M1172" s="15">
        <f t="shared" ref="M1172:M1195" si="233">IFERROR(K1172/J1172,"")</f>
        <v>0.89329999999999998</v>
      </c>
      <c r="N1172" s="5"/>
      <c r="O1172" s="5"/>
      <c r="P1172" s="5">
        <v>0</v>
      </c>
      <c r="Q1172" s="5">
        <v>0</v>
      </c>
      <c r="R1172" s="5" t="str">
        <f t="shared" si="232"/>
        <v>420-2024-06-30</v>
      </c>
    </row>
    <row r="1173" spans="1:18" x14ac:dyDescent="0.3">
      <c r="A1173" s="5">
        <v>420</v>
      </c>
      <c r="B1173" s="5" t="s">
        <v>313</v>
      </c>
      <c r="C1173" s="5" t="s">
        <v>131</v>
      </c>
      <c r="D1173" s="5" t="s">
        <v>11</v>
      </c>
      <c r="E1173" s="5" t="s">
        <v>9</v>
      </c>
      <c r="F1173" s="6">
        <v>45657</v>
      </c>
      <c r="G1173" s="5">
        <f t="shared" si="229"/>
        <v>2024</v>
      </c>
      <c r="H1173" s="5" t="str">
        <f t="shared" si="227"/>
        <v>Diciembre</v>
      </c>
      <c r="I1173" s="6" t="str">
        <f t="shared" si="231"/>
        <v>2024-2</v>
      </c>
      <c r="J1173" s="5">
        <v>100</v>
      </c>
      <c r="K1173" s="5">
        <v>0</v>
      </c>
      <c r="L1173" s="15">
        <f>IFERROR(IF((K1173/J1173)&gt;1.3,1.3,K1173/J1173),"")</f>
        <v>0</v>
      </c>
      <c r="M1173" s="15">
        <f t="shared" si="233"/>
        <v>0</v>
      </c>
      <c r="N1173" s="5"/>
      <c r="O1173" s="5"/>
      <c r="P1173" s="5">
        <v>0</v>
      </c>
      <c r="Q1173" s="5">
        <v>0</v>
      </c>
      <c r="R1173" s="5" t="str">
        <f t="shared" si="232"/>
        <v>420-2024-12-31</v>
      </c>
    </row>
    <row r="1174" spans="1:18" x14ac:dyDescent="0.3">
      <c r="A1174" s="43">
        <v>421</v>
      </c>
      <c r="B1174" s="5" t="s">
        <v>314</v>
      </c>
      <c r="C1174" s="5" t="s">
        <v>315</v>
      </c>
      <c r="D1174" s="5" t="s">
        <v>8</v>
      </c>
      <c r="E1174" s="5" t="s">
        <v>9</v>
      </c>
      <c r="F1174" s="6">
        <v>45107</v>
      </c>
      <c r="G1174" s="5">
        <f t="shared" si="229"/>
        <v>2023</v>
      </c>
      <c r="H1174" s="5" t="str">
        <f t="shared" si="227"/>
        <v>Junio</v>
      </c>
      <c r="I1174" s="6" t="str">
        <f t="shared" si="231"/>
        <v>2023-1</v>
      </c>
      <c r="J1174" s="5">
        <v>104072</v>
      </c>
      <c r="K1174" s="5">
        <v>140002</v>
      </c>
      <c r="L1174" s="24">
        <f>IF(IFERROR(K1174/J1174,"")&gt;130%,130%,K1174/J1174)</f>
        <v>1.3</v>
      </c>
      <c r="M1174" s="15">
        <f t="shared" si="233"/>
        <v>1.3452417557075871</v>
      </c>
      <c r="N1174" s="5"/>
      <c r="O1174" s="5"/>
      <c r="P1174" s="5">
        <v>0</v>
      </c>
      <c r="Q1174" s="5">
        <v>0</v>
      </c>
      <c r="R1174" s="5" t="str">
        <f t="shared" si="232"/>
        <v>421-2023-06-30</v>
      </c>
    </row>
    <row r="1175" spans="1:18" x14ac:dyDescent="0.3">
      <c r="A1175" s="39">
        <v>421</v>
      </c>
      <c r="B1175" s="5" t="s">
        <v>314</v>
      </c>
      <c r="C1175" s="5" t="s">
        <v>315</v>
      </c>
      <c r="D1175" s="5" t="s">
        <v>8</v>
      </c>
      <c r="E1175" s="5" t="s">
        <v>9</v>
      </c>
      <c r="F1175" s="6">
        <v>45291</v>
      </c>
      <c r="G1175" s="5">
        <f t="shared" si="229"/>
        <v>2023</v>
      </c>
      <c r="H1175" s="5" t="str">
        <f t="shared" si="227"/>
        <v>Diciembre</v>
      </c>
      <c r="I1175" s="6" t="str">
        <f t="shared" si="231"/>
        <v>2023-2</v>
      </c>
      <c r="J1175" s="5">
        <v>97200</v>
      </c>
      <c r="K1175" s="5">
        <v>136199</v>
      </c>
      <c r="L1175" s="24">
        <f>IF(IFERROR(K1175/J1175,"")&gt;130%,130%,K1175/J1175)</f>
        <v>1.3</v>
      </c>
      <c r="M1175" s="15">
        <f t="shared" si="233"/>
        <v>1.4012242798353909</v>
      </c>
      <c r="N1175" s="5"/>
      <c r="O1175" s="5"/>
      <c r="P1175" s="5">
        <v>0</v>
      </c>
      <c r="Q1175" s="5">
        <v>0</v>
      </c>
      <c r="R1175" s="5" t="str">
        <f t="shared" si="232"/>
        <v>421-2023-12-31</v>
      </c>
    </row>
    <row r="1176" spans="1:18" x14ac:dyDescent="0.3">
      <c r="A1176" s="39">
        <v>421</v>
      </c>
      <c r="B1176" s="5" t="s">
        <v>314</v>
      </c>
      <c r="C1176" s="5" t="s">
        <v>315</v>
      </c>
      <c r="D1176" s="5" t="s">
        <v>8</v>
      </c>
      <c r="E1176" s="5" t="s">
        <v>9</v>
      </c>
      <c r="F1176" s="6">
        <v>45473</v>
      </c>
      <c r="G1176" s="5">
        <f t="shared" si="229"/>
        <v>2024</v>
      </c>
      <c r="H1176" s="5" t="str">
        <f t="shared" si="227"/>
        <v>Junio</v>
      </c>
      <c r="I1176" s="6" t="str">
        <f t="shared" si="231"/>
        <v>2024-1</v>
      </c>
      <c r="J1176" s="5">
        <v>147043</v>
      </c>
      <c r="K1176" s="5">
        <v>177740</v>
      </c>
      <c r="L1176" s="24">
        <f>IF(IFERROR(K1176/J1176,"")&gt;130%,130%,K1176/J1176)</f>
        <v>1.2087620627979572</v>
      </c>
      <c r="M1176" s="15">
        <f t="shared" si="233"/>
        <v>1.2087620627979572</v>
      </c>
      <c r="N1176" s="5"/>
      <c r="O1176" s="5"/>
      <c r="P1176" s="5">
        <v>0</v>
      </c>
      <c r="Q1176" s="5">
        <v>0</v>
      </c>
      <c r="R1176" s="5" t="str">
        <f t="shared" si="232"/>
        <v>421-2024-06-30</v>
      </c>
    </row>
    <row r="1177" spans="1:18" x14ac:dyDescent="0.3">
      <c r="A1177" s="5">
        <v>421</v>
      </c>
      <c r="B1177" s="5" t="s">
        <v>314</v>
      </c>
      <c r="C1177" s="5" t="s">
        <v>315</v>
      </c>
      <c r="D1177" s="5" t="s">
        <v>8</v>
      </c>
      <c r="E1177" s="5" t="s">
        <v>9</v>
      </c>
      <c r="F1177" s="6">
        <v>45657</v>
      </c>
      <c r="G1177" s="5">
        <f t="shared" si="229"/>
        <v>2024</v>
      </c>
      <c r="H1177" s="5" t="str">
        <f t="shared" si="227"/>
        <v>Diciembre</v>
      </c>
      <c r="I1177" s="6" t="str">
        <f t="shared" si="231"/>
        <v>2024-2</v>
      </c>
      <c r="J1177" s="5">
        <v>100</v>
      </c>
      <c r="K1177" s="5">
        <v>121.44</v>
      </c>
      <c r="L1177" s="15">
        <f>IFERROR(IF((K1177/J1177)&gt;1.3,1.3,K1177/J1177),"")</f>
        <v>1.2143999999999999</v>
      </c>
      <c r="M1177" s="15">
        <f t="shared" si="233"/>
        <v>1.2143999999999999</v>
      </c>
      <c r="N1177" s="5"/>
      <c r="O1177" s="5"/>
      <c r="P1177" s="5">
        <v>0</v>
      </c>
      <c r="Q1177" s="5">
        <v>0</v>
      </c>
      <c r="R1177" s="5" t="str">
        <f t="shared" si="232"/>
        <v>421-2024-12-31</v>
      </c>
    </row>
    <row r="1178" spans="1:18" x14ac:dyDescent="0.3">
      <c r="A1178" s="43">
        <v>422</v>
      </c>
      <c r="B1178" s="5" t="s">
        <v>316</v>
      </c>
      <c r="C1178" s="5" t="s">
        <v>315</v>
      </c>
      <c r="D1178" s="5" t="s">
        <v>8</v>
      </c>
      <c r="E1178" s="5" t="s">
        <v>9</v>
      </c>
      <c r="F1178" s="6">
        <v>45107</v>
      </c>
      <c r="G1178" s="5">
        <f t="shared" si="229"/>
        <v>2023</v>
      </c>
      <c r="H1178" s="5" t="str">
        <f t="shared" si="227"/>
        <v>Junio</v>
      </c>
      <c r="I1178" s="6" t="str">
        <f t="shared" si="231"/>
        <v>2023-1</v>
      </c>
      <c r="J1178" s="11">
        <v>11.7</v>
      </c>
      <c r="K1178" s="11">
        <v>11.97</v>
      </c>
      <c r="L1178" s="21">
        <f>IFERROR(K1178/J1178,"")</f>
        <v>1.0230769230769232</v>
      </c>
      <c r="M1178" s="15">
        <f t="shared" si="233"/>
        <v>1.0230769230769232</v>
      </c>
      <c r="N1178" s="5" t="s">
        <v>347</v>
      </c>
      <c r="O1178" s="5" t="s">
        <v>347</v>
      </c>
      <c r="P1178" s="5">
        <v>2</v>
      </c>
      <c r="Q1178" s="5">
        <v>2</v>
      </c>
      <c r="R1178" s="5" t="str">
        <f t="shared" si="232"/>
        <v>422-2023-06-30</v>
      </c>
    </row>
    <row r="1179" spans="1:18" x14ac:dyDescent="0.3">
      <c r="A1179" s="39">
        <v>422</v>
      </c>
      <c r="B1179" s="5" t="s">
        <v>316</v>
      </c>
      <c r="C1179" s="5" t="s">
        <v>315</v>
      </c>
      <c r="D1179" s="5" t="s">
        <v>8</v>
      </c>
      <c r="E1179" s="5" t="s">
        <v>9</v>
      </c>
      <c r="F1179" s="6">
        <v>45291</v>
      </c>
      <c r="G1179" s="5">
        <f t="shared" si="229"/>
        <v>2023</v>
      </c>
      <c r="H1179" s="5" t="str">
        <f t="shared" ref="H1179:H1242" si="234">PROPER(TEXT(F1179,"mmmm"))</f>
        <v>Diciembre</v>
      </c>
      <c r="I1179" s="6" t="str">
        <f t="shared" si="231"/>
        <v>2023-2</v>
      </c>
      <c r="J1179" s="5">
        <v>10.5</v>
      </c>
      <c r="K1179" s="5">
        <v>11.04</v>
      </c>
      <c r="L1179" s="21">
        <f>IFERROR(K1179/J1179,"")</f>
        <v>1.0514285714285714</v>
      </c>
      <c r="M1179" s="15">
        <f t="shared" si="233"/>
        <v>1.0514285714285714</v>
      </c>
      <c r="N1179" s="5" t="s">
        <v>347</v>
      </c>
      <c r="O1179" s="5" t="s">
        <v>347</v>
      </c>
      <c r="P1179" s="5">
        <v>2</v>
      </c>
      <c r="Q1179" s="5">
        <v>2</v>
      </c>
      <c r="R1179" s="5" t="str">
        <f t="shared" si="232"/>
        <v>422-2023-12-31</v>
      </c>
    </row>
    <row r="1180" spans="1:18" x14ac:dyDescent="0.3">
      <c r="A1180" s="39">
        <v>422</v>
      </c>
      <c r="B1180" s="5" t="s">
        <v>316</v>
      </c>
      <c r="C1180" s="5" t="s">
        <v>315</v>
      </c>
      <c r="D1180" s="5" t="s">
        <v>8</v>
      </c>
      <c r="E1180" s="5" t="s">
        <v>9</v>
      </c>
      <c r="F1180" s="6">
        <v>45291</v>
      </c>
      <c r="G1180" s="5">
        <f t="shared" si="229"/>
        <v>2023</v>
      </c>
      <c r="H1180" s="5" t="str">
        <f t="shared" si="234"/>
        <v>Diciembre</v>
      </c>
      <c r="I1180" s="6" t="str">
        <f t="shared" si="231"/>
        <v>2023-2</v>
      </c>
      <c r="J1180" s="5">
        <v>9.25</v>
      </c>
      <c r="K1180" s="5">
        <v>8.86</v>
      </c>
      <c r="L1180" s="21">
        <f>IFERROR(K1180/J1180,"")</f>
        <v>0.95783783783783782</v>
      </c>
      <c r="M1180" s="15">
        <f t="shared" si="233"/>
        <v>0.95783783783783782</v>
      </c>
      <c r="N1180" s="5" t="s">
        <v>347</v>
      </c>
      <c r="O1180" s="5" t="s">
        <v>347</v>
      </c>
      <c r="P1180" s="5">
        <v>2</v>
      </c>
      <c r="Q1180" s="5">
        <v>2</v>
      </c>
      <c r="R1180" s="5" t="str">
        <f t="shared" si="232"/>
        <v>422-2023-12-31</v>
      </c>
    </row>
    <row r="1181" spans="1:18" x14ac:dyDescent="0.3">
      <c r="A1181" s="5">
        <v>422</v>
      </c>
      <c r="B1181" s="5" t="s">
        <v>316</v>
      </c>
      <c r="C1181" s="5" t="s">
        <v>315</v>
      </c>
      <c r="D1181" s="5" t="s">
        <v>8</v>
      </c>
      <c r="E1181" s="5" t="s">
        <v>9</v>
      </c>
      <c r="F1181" s="6">
        <v>45473</v>
      </c>
      <c r="G1181" s="5">
        <f t="shared" si="229"/>
        <v>2024</v>
      </c>
      <c r="H1181" s="5" t="str">
        <f t="shared" si="234"/>
        <v>Junio</v>
      </c>
      <c r="I1181" s="6" t="str">
        <f t="shared" si="231"/>
        <v>2024-1</v>
      </c>
      <c r="J1181" s="5">
        <v>9.25</v>
      </c>
      <c r="K1181" s="5">
        <v>8.86</v>
      </c>
      <c r="L1181" s="15">
        <f t="shared" ref="L1181:L1188" si="235">IFERROR(IF((K1181/J1181)&gt;1.3,1.3,K1181/J1181),"")</f>
        <v>0.95783783783783782</v>
      </c>
      <c r="M1181" s="15">
        <f t="shared" si="233"/>
        <v>0.95783783783783782</v>
      </c>
      <c r="N1181" s="5"/>
      <c r="O1181" s="5"/>
      <c r="P1181" s="5">
        <v>0</v>
      </c>
      <c r="Q1181" s="5">
        <v>0</v>
      </c>
      <c r="R1181" s="5" t="str">
        <f t="shared" si="232"/>
        <v>422-2024-06-30</v>
      </c>
    </row>
    <row r="1182" spans="1:18" x14ac:dyDescent="0.3">
      <c r="A1182" s="5">
        <v>422</v>
      </c>
      <c r="B1182" s="5" t="s">
        <v>316</v>
      </c>
      <c r="C1182" s="5" t="s">
        <v>315</v>
      </c>
      <c r="D1182" s="5" t="s">
        <v>8</v>
      </c>
      <c r="E1182" s="5" t="s">
        <v>9</v>
      </c>
      <c r="F1182" s="6">
        <v>45657</v>
      </c>
      <c r="G1182" s="5">
        <f t="shared" si="229"/>
        <v>2024</v>
      </c>
      <c r="H1182" s="5" t="str">
        <f t="shared" si="234"/>
        <v>Diciembre</v>
      </c>
      <c r="I1182" s="6" t="str">
        <f t="shared" si="231"/>
        <v>2024-2</v>
      </c>
      <c r="J1182" s="5">
        <v>8.01</v>
      </c>
      <c r="K1182" s="5">
        <v>7.95</v>
      </c>
      <c r="L1182" s="15">
        <f t="shared" si="235"/>
        <v>0.99250936329588024</v>
      </c>
      <c r="M1182" s="15">
        <f t="shared" si="233"/>
        <v>0.99250936329588024</v>
      </c>
      <c r="N1182" s="5"/>
      <c r="O1182" s="5"/>
      <c r="P1182" s="5">
        <v>0</v>
      </c>
      <c r="Q1182" s="5">
        <v>0</v>
      </c>
      <c r="R1182" s="5" t="str">
        <f t="shared" si="232"/>
        <v>422-2024-12-31</v>
      </c>
    </row>
    <row r="1183" spans="1:18" x14ac:dyDescent="0.3">
      <c r="A1183" s="5">
        <v>423</v>
      </c>
      <c r="B1183" s="5" t="s">
        <v>317</v>
      </c>
      <c r="C1183" s="5" t="s">
        <v>315</v>
      </c>
      <c r="D1183" s="5" t="s">
        <v>25</v>
      </c>
      <c r="E1183" s="5" t="s">
        <v>9</v>
      </c>
      <c r="F1183" s="17">
        <v>44926</v>
      </c>
      <c r="G1183" s="16">
        <f t="shared" si="229"/>
        <v>2022</v>
      </c>
      <c r="H1183" s="6" t="str">
        <f t="shared" si="234"/>
        <v>Diciembre</v>
      </c>
      <c r="I1183" s="41" t="s">
        <v>423</v>
      </c>
      <c r="J1183" s="5">
        <v>8.8000000000000007</v>
      </c>
      <c r="K1183" s="5">
        <v>7.8</v>
      </c>
      <c r="L1183" s="15">
        <f t="shared" si="235"/>
        <v>0.88636363636363624</v>
      </c>
      <c r="M1183" s="15">
        <f t="shared" si="233"/>
        <v>0.88636363636363624</v>
      </c>
      <c r="N1183" s="5" t="s">
        <v>478</v>
      </c>
      <c r="O1183" s="5" t="s">
        <v>478</v>
      </c>
      <c r="P1183" s="5">
        <v>1</v>
      </c>
      <c r="Q1183" s="5">
        <v>1</v>
      </c>
      <c r="R1183" s="5" t="str">
        <f t="shared" si="232"/>
        <v>423-2022-12-31</v>
      </c>
    </row>
    <row r="1184" spans="1:18" x14ac:dyDescent="0.3">
      <c r="A1184" s="39">
        <v>423</v>
      </c>
      <c r="B1184" s="5" t="s">
        <v>317</v>
      </c>
      <c r="C1184" s="5" t="s">
        <v>315</v>
      </c>
      <c r="D1184" s="5" t="s">
        <v>25</v>
      </c>
      <c r="E1184" s="5" t="s">
        <v>9</v>
      </c>
      <c r="F1184" s="6">
        <v>45291</v>
      </c>
      <c r="G1184" s="5">
        <f t="shared" si="229"/>
        <v>2023</v>
      </c>
      <c r="H1184" s="5" t="str">
        <f t="shared" si="234"/>
        <v>Diciembre</v>
      </c>
      <c r="I1184" s="6" t="str">
        <f>IF(OR(H1184="Enero",H1184="Febrero",H1184="Marzo",H1184="Abril",H1184="Mayo",H1184="Junio"),G1184&amp;"-1",IF(OR(H1184="Julio",H1184="Agosto",H1184="Septiembre",H1184="Octubre",H1184="Noviembre",H1184="Diciembre"),G1184&amp;"-2"))</f>
        <v>2023-2</v>
      </c>
      <c r="J1184" s="5">
        <v>8.4</v>
      </c>
      <c r="K1184" s="5">
        <v>7.9</v>
      </c>
      <c r="L1184" s="15">
        <f t="shared" si="235"/>
        <v>0.94047619047619047</v>
      </c>
      <c r="M1184" s="15">
        <f t="shared" si="233"/>
        <v>0.94047619047619047</v>
      </c>
      <c r="N1184" s="5" t="s">
        <v>478</v>
      </c>
      <c r="O1184" s="5" t="s">
        <v>478</v>
      </c>
      <c r="P1184" s="5">
        <v>1</v>
      </c>
      <c r="Q1184" s="5">
        <v>1</v>
      </c>
      <c r="R1184" s="5" t="str">
        <f t="shared" si="232"/>
        <v>423-2023-12-31</v>
      </c>
    </row>
    <row r="1185" spans="1:18" x14ac:dyDescent="0.3">
      <c r="A1185" s="5">
        <v>423</v>
      </c>
      <c r="B1185" s="5" t="s">
        <v>317</v>
      </c>
      <c r="C1185" s="5" t="s">
        <v>315</v>
      </c>
      <c r="D1185" s="5" t="s">
        <v>25</v>
      </c>
      <c r="E1185" s="5" t="s">
        <v>9</v>
      </c>
      <c r="F1185" s="6">
        <v>45657</v>
      </c>
      <c r="G1185" s="5">
        <f t="shared" si="229"/>
        <v>2024</v>
      </c>
      <c r="H1185" s="5" t="str">
        <f t="shared" si="234"/>
        <v>Diciembre</v>
      </c>
      <c r="I1185" s="6" t="str">
        <f>IF(OR(H1185="Enero",H1185="Febrero",H1185="Marzo",H1185="Abril",H1185="Mayo",H1185="Junio"),G1185&amp;"-1",IF(OR(H1185="Julio",H1185="Agosto",H1185="Septiembre",H1185="Octubre",H1185="Noviembre",H1185="Diciembre"),G1185&amp;"-2"))</f>
        <v>2024-2</v>
      </c>
      <c r="J1185" s="5">
        <v>8.3000000000000007</v>
      </c>
      <c r="K1185" s="5">
        <v>12.3</v>
      </c>
      <c r="L1185" s="15">
        <f t="shared" si="235"/>
        <v>1.3</v>
      </c>
      <c r="M1185" s="15">
        <f t="shared" si="233"/>
        <v>1.4819277108433735</v>
      </c>
      <c r="N1185" s="5" t="s">
        <v>478</v>
      </c>
      <c r="O1185" s="5" t="s">
        <v>478</v>
      </c>
      <c r="P1185" s="5">
        <v>1</v>
      </c>
      <c r="Q1185" s="5">
        <v>1</v>
      </c>
      <c r="R1185" s="5" t="str">
        <f t="shared" si="232"/>
        <v>423-2024-12-31</v>
      </c>
    </row>
    <row r="1186" spans="1:18" x14ac:dyDescent="0.3">
      <c r="A1186" s="5">
        <v>424</v>
      </c>
      <c r="B1186" s="5" t="s">
        <v>433</v>
      </c>
      <c r="C1186" s="5" t="s">
        <v>315</v>
      </c>
      <c r="D1186" s="5" t="s">
        <v>25</v>
      </c>
      <c r="E1186" s="5" t="s">
        <v>9</v>
      </c>
      <c r="F1186" s="17">
        <v>44926</v>
      </c>
      <c r="G1186" s="16">
        <f t="shared" si="229"/>
        <v>2022</v>
      </c>
      <c r="H1186" s="6" t="str">
        <f t="shared" si="234"/>
        <v>Diciembre</v>
      </c>
      <c r="I1186" s="41" t="s">
        <v>423</v>
      </c>
      <c r="J1186" s="5">
        <v>6.5</v>
      </c>
      <c r="K1186" s="5">
        <v>5</v>
      </c>
      <c r="L1186" s="15">
        <f t="shared" si="235"/>
        <v>0.76923076923076927</v>
      </c>
      <c r="M1186" s="15">
        <f t="shared" si="233"/>
        <v>0.76923076923076927</v>
      </c>
      <c r="N1186" s="5" t="s">
        <v>478</v>
      </c>
      <c r="O1186" s="5" t="s">
        <v>490</v>
      </c>
      <c r="P1186" s="5">
        <v>1</v>
      </c>
      <c r="Q1186" s="5">
        <v>0</v>
      </c>
      <c r="R1186" s="5" t="str">
        <f t="shared" si="232"/>
        <v>424-2022-12-31</v>
      </c>
    </row>
    <row r="1187" spans="1:18" x14ac:dyDescent="0.3">
      <c r="A1187" s="39">
        <v>424</v>
      </c>
      <c r="B1187" s="5" t="s">
        <v>433</v>
      </c>
      <c r="C1187" s="5" t="s">
        <v>315</v>
      </c>
      <c r="D1187" s="5" t="s">
        <v>25</v>
      </c>
      <c r="E1187" s="5" t="s">
        <v>9</v>
      </c>
      <c r="F1187" s="6">
        <v>45291</v>
      </c>
      <c r="G1187" s="5">
        <f t="shared" si="229"/>
        <v>2023</v>
      </c>
      <c r="H1187" s="5" t="str">
        <f t="shared" si="234"/>
        <v>Diciembre</v>
      </c>
      <c r="I1187" s="6" t="str">
        <f t="shared" ref="I1187:I1211" si="236">IF(OR(H1187="Enero",H1187="Febrero",H1187="Marzo",H1187="Abril",H1187="Mayo",H1187="Junio"),G1187&amp;"-1",IF(OR(H1187="Julio",H1187="Agosto",H1187="Septiembre",H1187="Octubre",H1187="Noviembre",H1187="Diciembre"),G1187&amp;"-2"))</f>
        <v>2023-2</v>
      </c>
      <c r="J1187" s="5">
        <v>6</v>
      </c>
      <c r="K1187" s="5">
        <v>6</v>
      </c>
      <c r="L1187" s="15">
        <f t="shared" si="235"/>
        <v>1</v>
      </c>
      <c r="M1187" s="15">
        <f t="shared" si="233"/>
        <v>1</v>
      </c>
      <c r="N1187" s="5" t="s">
        <v>490</v>
      </c>
      <c r="O1187" s="5" t="s">
        <v>490</v>
      </c>
      <c r="P1187" s="5">
        <v>0</v>
      </c>
      <c r="Q1187" s="5">
        <v>0</v>
      </c>
      <c r="R1187" s="5" t="str">
        <f t="shared" si="232"/>
        <v>424-2023-12-31</v>
      </c>
    </row>
    <row r="1188" spans="1:18" x14ac:dyDescent="0.3">
      <c r="A1188" s="5">
        <v>424</v>
      </c>
      <c r="B1188" s="5" t="s">
        <v>433</v>
      </c>
      <c r="C1188" s="5" t="s">
        <v>315</v>
      </c>
      <c r="D1188" s="5" t="s">
        <v>25</v>
      </c>
      <c r="E1188" s="5" t="s">
        <v>9</v>
      </c>
      <c r="F1188" s="6">
        <v>45657</v>
      </c>
      <c r="G1188" s="5">
        <f t="shared" si="229"/>
        <v>2024</v>
      </c>
      <c r="H1188" s="5" t="str">
        <f t="shared" si="234"/>
        <v>Diciembre</v>
      </c>
      <c r="I1188" s="6" t="str">
        <f t="shared" si="236"/>
        <v>2024-2</v>
      </c>
      <c r="J1188" s="5">
        <v>7</v>
      </c>
      <c r="K1188" s="5">
        <v>9</v>
      </c>
      <c r="L1188" s="15">
        <f t="shared" si="235"/>
        <v>1.2857142857142858</v>
      </c>
      <c r="M1188" s="15">
        <f t="shared" si="233"/>
        <v>1.2857142857142858</v>
      </c>
      <c r="N1188" s="5" t="s">
        <v>490</v>
      </c>
      <c r="O1188" s="5" t="s">
        <v>490</v>
      </c>
      <c r="P1188" s="5">
        <v>0</v>
      </c>
      <c r="Q1188" s="5">
        <v>0</v>
      </c>
      <c r="R1188" s="5" t="str">
        <f t="shared" si="232"/>
        <v>424-2024-12-31</v>
      </c>
    </row>
    <row r="1189" spans="1:18" x14ac:dyDescent="0.3">
      <c r="A1189" s="39">
        <v>425</v>
      </c>
      <c r="B1189" s="5" t="s">
        <v>318</v>
      </c>
      <c r="C1189" s="5" t="s">
        <v>274</v>
      </c>
      <c r="D1189" s="5" t="s">
        <v>25</v>
      </c>
      <c r="E1189" s="5" t="s">
        <v>9</v>
      </c>
      <c r="F1189" s="6">
        <v>45291</v>
      </c>
      <c r="G1189" s="5">
        <f t="shared" si="229"/>
        <v>2023</v>
      </c>
      <c r="H1189" s="5" t="str">
        <f t="shared" si="234"/>
        <v>Diciembre</v>
      </c>
      <c r="I1189" s="6" t="str">
        <f t="shared" si="236"/>
        <v>2023-2</v>
      </c>
      <c r="J1189" s="5">
        <v>5500</v>
      </c>
      <c r="K1189" s="5">
        <v>5785</v>
      </c>
      <c r="L1189" s="21">
        <f>IFERROR(K1189/J1189,"")</f>
        <v>1.0518181818181818</v>
      </c>
      <c r="M1189" s="15">
        <f t="shared" si="233"/>
        <v>1.0518181818181818</v>
      </c>
      <c r="N1189" s="5"/>
      <c r="O1189" s="5"/>
      <c r="P1189" s="5">
        <v>0</v>
      </c>
      <c r="Q1189" s="5">
        <v>0</v>
      </c>
      <c r="R1189" s="5" t="str">
        <f t="shared" si="232"/>
        <v>425-2023-12-31</v>
      </c>
    </row>
    <row r="1190" spans="1:18" x14ac:dyDescent="0.3">
      <c r="A1190" s="5">
        <v>425</v>
      </c>
      <c r="B1190" s="5" t="s">
        <v>318</v>
      </c>
      <c r="C1190" s="5" t="s">
        <v>274</v>
      </c>
      <c r="D1190" s="5" t="s">
        <v>8</v>
      </c>
      <c r="E1190" s="5" t="s">
        <v>9</v>
      </c>
      <c r="F1190" s="6">
        <v>45473</v>
      </c>
      <c r="G1190" s="5">
        <f t="shared" si="229"/>
        <v>2024</v>
      </c>
      <c r="H1190" s="5" t="str">
        <f t="shared" si="234"/>
        <v>Junio</v>
      </c>
      <c r="I1190" s="6" t="str">
        <f t="shared" si="236"/>
        <v>2024-1</v>
      </c>
      <c r="J1190" s="5">
        <v>100</v>
      </c>
      <c r="K1190" s="5">
        <v>60.69</v>
      </c>
      <c r="L1190" s="15">
        <f>IFERROR(IF((K1190/J1190)&gt;1.3,1.3,K1190/J1190),"")</f>
        <v>0.6069</v>
      </c>
      <c r="M1190" s="15">
        <f t="shared" si="233"/>
        <v>0.6069</v>
      </c>
      <c r="N1190" s="5"/>
      <c r="O1190" s="5"/>
      <c r="P1190" s="5">
        <v>0</v>
      </c>
      <c r="Q1190" s="5">
        <v>0</v>
      </c>
      <c r="R1190" s="5" t="str">
        <f t="shared" si="232"/>
        <v>425-2024-06-30</v>
      </c>
    </row>
    <row r="1191" spans="1:18" x14ac:dyDescent="0.3">
      <c r="A1191" s="5">
        <v>425</v>
      </c>
      <c r="B1191" s="5" t="s">
        <v>318</v>
      </c>
      <c r="C1191" s="5" t="s">
        <v>274</v>
      </c>
      <c r="D1191" s="5" t="s">
        <v>8</v>
      </c>
      <c r="E1191" s="5" t="s">
        <v>9</v>
      </c>
      <c r="F1191" s="6">
        <v>45657</v>
      </c>
      <c r="G1191" s="5">
        <f t="shared" si="229"/>
        <v>2024</v>
      </c>
      <c r="H1191" s="5" t="str">
        <f t="shared" si="234"/>
        <v>Diciembre</v>
      </c>
      <c r="I1191" s="6" t="str">
        <f t="shared" si="236"/>
        <v>2024-2</v>
      </c>
      <c r="J1191" s="5">
        <v>100</v>
      </c>
      <c r="K1191" s="5">
        <v>164.69</v>
      </c>
      <c r="L1191" s="15">
        <f>IFERROR(IF((K1191/J1191)&gt;1.3,1.3,K1191/J1191),"")</f>
        <v>1.3</v>
      </c>
      <c r="M1191" s="15">
        <f t="shared" si="233"/>
        <v>1.6469</v>
      </c>
      <c r="N1191" s="5"/>
      <c r="O1191" s="5"/>
      <c r="P1191" s="5">
        <v>0</v>
      </c>
      <c r="Q1191" s="5">
        <v>0</v>
      </c>
      <c r="R1191" s="5" t="str">
        <f t="shared" si="232"/>
        <v>425-2024-12-31</v>
      </c>
    </row>
    <row r="1192" spans="1:18" x14ac:dyDescent="0.3">
      <c r="A1192" s="43">
        <v>426</v>
      </c>
      <c r="B1192" s="5" t="s">
        <v>319</v>
      </c>
      <c r="C1192" s="5" t="s">
        <v>320</v>
      </c>
      <c r="D1192" s="5" t="s">
        <v>8</v>
      </c>
      <c r="E1192" s="5" t="s">
        <v>9</v>
      </c>
      <c r="F1192" s="6">
        <v>45107</v>
      </c>
      <c r="G1192" s="5">
        <f t="shared" si="229"/>
        <v>2023</v>
      </c>
      <c r="H1192" s="5" t="str">
        <f t="shared" si="234"/>
        <v>Junio</v>
      </c>
      <c r="I1192" s="6" t="str">
        <f t="shared" si="236"/>
        <v>2023-1</v>
      </c>
      <c r="J1192" s="5"/>
      <c r="K1192" s="5">
        <v>86.98</v>
      </c>
      <c r="L1192" s="21" t="s">
        <v>417</v>
      </c>
      <c r="M1192" s="15" t="str">
        <f t="shared" si="233"/>
        <v/>
      </c>
      <c r="N1192" s="5" t="s">
        <v>477</v>
      </c>
      <c r="O1192" s="5" t="s">
        <v>347</v>
      </c>
      <c r="P1192" s="5">
        <v>0</v>
      </c>
      <c r="Q1192" s="5">
        <v>0</v>
      </c>
      <c r="R1192" s="5" t="str">
        <f t="shared" si="232"/>
        <v>426-2023-06-30</v>
      </c>
    </row>
    <row r="1193" spans="1:18" x14ac:dyDescent="0.3">
      <c r="A1193" s="39">
        <v>426</v>
      </c>
      <c r="B1193" s="5" t="s">
        <v>319</v>
      </c>
      <c r="C1193" s="5" t="s">
        <v>320</v>
      </c>
      <c r="D1193" s="5" t="s">
        <v>8</v>
      </c>
      <c r="E1193" s="5" t="s">
        <v>9</v>
      </c>
      <c r="F1193" s="6">
        <v>45291</v>
      </c>
      <c r="G1193" s="5">
        <f t="shared" si="229"/>
        <v>2023</v>
      </c>
      <c r="H1193" s="5" t="str">
        <f t="shared" si="234"/>
        <v>Diciembre</v>
      </c>
      <c r="I1193" s="6" t="str">
        <f t="shared" si="236"/>
        <v>2023-2</v>
      </c>
      <c r="J1193" s="5"/>
      <c r="K1193" s="5">
        <v>92.31</v>
      </c>
      <c r="L1193" s="21" t="str">
        <f>IFERROR(K1193/J1193,"")</f>
        <v/>
      </c>
      <c r="M1193" s="15" t="str">
        <f t="shared" si="233"/>
        <v/>
      </c>
      <c r="N1193" s="5" t="s">
        <v>477</v>
      </c>
      <c r="O1193" s="5" t="s">
        <v>347</v>
      </c>
      <c r="P1193" s="5">
        <v>0</v>
      </c>
      <c r="Q1193" s="5">
        <v>0</v>
      </c>
      <c r="R1193" s="5" t="str">
        <f t="shared" si="232"/>
        <v>426-2023-12-31</v>
      </c>
    </row>
    <row r="1194" spans="1:18" x14ac:dyDescent="0.3">
      <c r="A1194" s="5">
        <v>426</v>
      </c>
      <c r="B1194" s="5" t="s">
        <v>319</v>
      </c>
      <c r="C1194" s="5" t="s">
        <v>320</v>
      </c>
      <c r="D1194" s="5" t="s">
        <v>8</v>
      </c>
      <c r="E1194" s="5" t="s">
        <v>9</v>
      </c>
      <c r="F1194" s="6">
        <v>45473</v>
      </c>
      <c r="G1194" s="5">
        <f t="shared" si="229"/>
        <v>2024</v>
      </c>
      <c r="H1194" s="5" t="str">
        <f t="shared" si="234"/>
        <v>Junio</v>
      </c>
      <c r="I1194" s="6" t="str">
        <f t="shared" si="236"/>
        <v>2024-1</v>
      </c>
      <c r="J1194" s="5">
        <v>80</v>
      </c>
      <c r="K1194" s="5">
        <v>60.27</v>
      </c>
      <c r="L1194" s="15">
        <f>IFERROR(IF((K1194/J1194)&gt;1.3,1.3,K1194/J1194),"")</f>
        <v>0.75337500000000002</v>
      </c>
      <c r="M1194" s="15">
        <f t="shared" si="233"/>
        <v>0.75337500000000002</v>
      </c>
      <c r="N1194" s="5"/>
      <c r="O1194" s="5"/>
      <c r="P1194" s="5">
        <v>0</v>
      </c>
      <c r="Q1194" s="5">
        <v>0</v>
      </c>
      <c r="R1194" s="5" t="str">
        <f t="shared" si="232"/>
        <v>426-2024-06-30</v>
      </c>
    </row>
    <row r="1195" spans="1:18" x14ac:dyDescent="0.3">
      <c r="A1195" s="5">
        <v>426</v>
      </c>
      <c r="B1195" s="5" t="s">
        <v>319</v>
      </c>
      <c r="C1195" s="5" t="s">
        <v>320</v>
      </c>
      <c r="D1195" s="5" t="s">
        <v>8</v>
      </c>
      <c r="E1195" s="5" t="s">
        <v>9</v>
      </c>
      <c r="F1195" s="6">
        <v>45657</v>
      </c>
      <c r="G1195" s="5">
        <f t="shared" si="229"/>
        <v>2024</v>
      </c>
      <c r="H1195" s="5" t="str">
        <f t="shared" si="234"/>
        <v>Diciembre</v>
      </c>
      <c r="I1195" s="6" t="str">
        <f t="shared" si="236"/>
        <v>2024-2</v>
      </c>
      <c r="J1195" s="5">
        <v>80</v>
      </c>
      <c r="K1195" s="5">
        <v>86.72</v>
      </c>
      <c r="L1195" s="15">
        <f>IFERROR(IF((K1195/J1195)&gt;1.3,1.3,K1195/J1195),"")</f>
        <v>1.0840000000000001</v>
      </c>
      <c r="M1195" s="15">
        <f t="shared" si="233"/>
        <v>1.0840000000000001</v>
      </c>
      <c r="N1195" s="5"/>
      <c r="O1195" s="5"/>
      <c r="P1195" s="5">
        <v>0</v>
      </c>
      <c r="Q1195" s="5">
        <v>0</v>
      </c>
      <c r="R1195" s="5" t="str">
        <f t="shared" si="232"/>
        <v>426-2024-12-31</v>
      </c>
    </row>
    <row r="1196" spans="1:18" x14ac:dyDescent="0.3">
      <c r="A1196" s="43">
        <v>427</v>
      </c>
      <c r="B1196" s="5" t="s">
        <v>321</v>
      </c>
      <c r="C1196" s="5" t="s">
        <v>90</v>
      </c>
      <c r="D1196" s="5" t="s">
        <v>8</v>
      </c>
      <c r="E1196" s="5" t="s">
        <v>14</v>
      </c>
      <c r="F1196" s="6">
        <v>45107</v>
      </c>
      <c r="G1196" s="5">
        <f t="shared" si="229"/>
        <v>2023</v>
      </c>
      <c r="H1196" s="5" t="str">
        <f t="shared" si="234"/>
        <v>Junio</v>
      </c>
      <c r="I1196" s="6" t="str">
        <f t="shared" si="236"/>
        <v>2023-1</v>
      </c>
      <c r="J1196" s="5">
        <v>0.2</v>
      </c>
      <c r="K1196" s="5">
        <v>0.14000000000000001</v>
      </c>
      <c r="L1196" s="15" t="s">
        <v>417</v>
      </c>
      <c r="M1196" s="15">
        <f>IFERROR(J1196/K1196,"")</f>
        <v>1.4285714285714286</v>
      </c>
      <c r="N1196" s="5" t="s">
        <v>478</v>
      </c>
      <c r="O1196" s="5" t="s">
        <v>478</v>
      </c>
      <c r="P1196" s="5">
        <v>2</v>
      </c>
      <c r="Q1196" s="5">
        <v>2</v>
      </c>
      <c r="R1196" s="5" t="str">
        <f t="shared" si="232"/>
        <v>427-2023-06-30</v>
      </c>
    </row>
    <row r="1197" spans="1:18" x14ac:dyDescent="0.3">
      <c r="A1197" s="39">
        <v>427</v>
      </c>
      <c r="B1197" s="5" t="s">
        <v>321</v>
      </c>
      <c r="C1197" s="5" t="s">
        <v>90</v>
      </c>
      <c r="D1197" s="5" t="s">
        <v>8</v>
      </c>
      <c r="E1197" s="5" t="s">
        <v>14</v>
      </c>
      <c r="F1197" s="6">
        <v>45291</v>
      </c>
      <c r="G1197" s="5">
        <f t="shared" si="229"/>
        <v>2023</v>
      </c>
      <c r="H1197" s="5" t="str">
        <f t="shared" si="234"/>
        <v>Diciembre</v>
      </c>
      <c r="I1197" s="6" t="str">
        <f t="shared" si="236"/>
        <v>2023-2</v>
      </c>
      <c r="J1197" s="5">
        <v>0.2</v>
      </c>
      <c r="K1197" s="5">
        <v>0</v>
      </c>
      <c r="L1197" s="15" t="str">
        <f>IFERROR(IF((J1197/K1197)&gt;1.3,1.3,J1197/K1197),"")</f>
        <v/>
      </c>
      <c r="M1197" s="15" t="str">
        <f>IFERROR(J1197/K1197,"")</f>
        <v/>
      </c>
      <c r="N1197" s="5" t="s">
        <v>478</v>
      </c>
      <c r="O1197" s="5" t="s">
        <v>478</v>
      </c>
      <c r="P1197" s="5">
        <v>2</v>
      </c>
      <c r="Q1197" s="5">
        <v>2</v>
      </c>
      <c r="R1197" s="5" t="str">
        <f t="shared" si="232"/>
        <v>427-2023-12-31</v>
      </c>
    </row>
    <row r="1198" spans="1:18" x14ac:dyDescent="0.3">
      <c r="A1198" s="5">
        <v>427</v>
      </c>
      <c r="B1198" s="5" t="s">
        <v>321</v>
      </c>
      <c r="C1198" s="5" t="s">
        <v>90</v>
      </c>
      <c r="D1198" s="5" t="s">
        <v>8</v>
      </c>
      <c r="E1198" s="5" t="s">
        <v>14</v>
      </c>
      <c r="F1198" s="6">
        <v>45473</v>
      </c>
      <c r="G1198" s="5">
        <f t="shared" ref="G1198:G1261" si="237">YEAR(F1198)</f>
        <v>2024</v>
      </c>
      <c r="H1198" s="5" t="str">
        <f t="shared" si="234"/>
        <v>Junio</v>
      </c>
      <c r="I1198" s="6" t="str">
        <f t="shared" si="236"/>
        <v>2024-1</v>
      </c>
      <c r="J1198" s="5">
        <v>0.2</v>
      </c>
      <c r="K1198" s="5">
        <v>0.19</v>
      </c>
      <c r="L1198" s="15">
        <f>IFERROR(IF((K1198/J1198)&gt;1.3,1.3,K1198/J1198),"")</f>
        <v>0.95</v>
      </c>
      <c r="M1198" s="15">
        <f>IFERROR(K1198/J1198,"")</f>
        <v>0.95</v>
      </c>
      <c r="N1198" s="5"/>
      <c r="O1198" s="5"/>
      <c r="P1198" s="5">
        <v>0</v>
      </c>
      <c r="Q1198" s="5">
        <v>0</v>
      </c>
      <c r="R1198" s="5" t="str">
        <f t="shared" si="232"/>
        <v>427-2024-06-30</v>
      </c>
    </row>
    <row r="1199" spans="1:18" x14ac:dyDescent="0.3">
      <c r="A1199" s="5">
        <v>427</v>
      </c>
      <c r="B1199" s="5" t="s">
        <v>321</v>
      </c>
      <c r="C1199" s="5" t="s">
        <v>90</v>
      </c>
      <c r="D1199" s="5" t="s">
        <v>8</v>
      </c>
      <c r="E1199" s="5" t="s">
        <v>14</v>
      </c>
      <c r="F1199" s="6">
        <v>45657</v>
      </c>
      <c r="G1199" s="5">
        <f t="shared" si="237"/>
        <v>2024</v>
      </c>
      <c r="H1199" s="5" t="str">
        <f t="shared" si="234"/>
        <v>Diciembre</v>
      </c>
      <c r="I1199" s="6" t="str">
        <f t="shared" si="236"/>
        <v>2024-2</v>
      </c>
      <c r="J1199" s="5">
        <v>0.2</v>
      </c>
      <c r="K1199" s="5">
        <v>0.17</v>
      </c>
      <c r="L1199" s="15">
        <f>IFERROR(IF((K1199/J1199)&gt;1.3,1.3,K1199/J1199),"")</f>
        <v>0.85</v>
      </c>
      <c r="M1199" s="15">
        <f>IFERROR(K1199/J1199,"")</f>
        <v>0.85</v>
      </c>
      <c r="N1199" s="5"/>
      <c r="O1199" s="5"/>
      <c r="P1199" s="5">
        <v>0</v>
      </c>
      <c r="Q1199" s="5">
        <v>0</v>
      </c>
      <c r="R1199" s="5" t="str">
        <f t="shared" si="232"/>
        <v>427-2024-12-31</v>
      </c>
    </row>
    <row r="1200" spans="1:18" x14ac:dyDescent="0.3">
      <c r="A1200" s="43">
        <v>428</v>
      </c>
      <c r="B1200" s="5" t="s">
        <v>322</v>
      </c>
      <c r="C1200" s="5" t="s">
        <v>90</v>
      </c>
      <c r="D1200" s="5" t="s">
        <v>8</v>
      </c>
      <c r="E1200" s="5" t="s">
        <v>14</v>
      </c>
      <c r="F1200" s="6">
        <v>45107</v>
      </c>
      <c r="G1200" s="5">
        <f t="shared" si="237"/>
        <v>2023</v>
      </c>
      <c r="H1200" s="5" t="str">
        <f t="shared" si="234"/>
        <v>Junio</v>
      </c>
      <c r="I1200" s="6" t="str">
        <f t="shared" si="236"/>
        <v>2023-1</v>
      </c>
      <c r="J1200" s="5">
        <v>20</v>
      </c>
      <c r="K1200" s="5">
        <v>16.87</v>
      </c>
      <c r="L1200" s="15" t="s">
        <v>417</v>
      </c>
      <c r="M1200" s="15">
        <f>IFERROR(J1200/K1200,"")</f>
        <v>1.1855364552459988</v>
      </c>
      <c r="N1200" s="5"/>
      <c r="O1200" s="5"/>
      <c r="P1200" s="5">
        <v>0</v>
      </c>
      <c r="Q1200" s="5">
        <v>0</v>
      </c>
      <c r="R1200" s="5" t="str">
        <f t="shared" si="232"/>
        <v>428-2023-06-30</v>
      </c>
    </row>
    <row r="1201" spans="1:18" x14ac:dyDescent="0.3">
      <c r="A1201" s="39">
        <v>428</v>
      </c>
      <c r="B1201" s="5" t="s">
        <v>322</v>
      </c>
      <c r="C1201" s="5" t="s">
        <v>90</v>
      </c>
      <c r="D1201" s="5" t="s">
        <v>8</v>
      </c>
      <c r="E1201" s="5" t="s">
        <v>14</v>
      </c>
      <c r="F1201" s="6">
        <v>45291</v>
      </c>
      <c r="G1201" s="5">
        <f t="shared" si="237"/>
        <v>2023</v>
      </c>
      <c r="H1201" s="5" t="str">
        <f t="shared" si="234"/>
        <v>Diciembre</v>
      </c>
      <c r="I1201" s="6" t="str">
        <f t="shared" si="236"/>
        <v>2023-2</v>
      </c>
      <c r="J1201" s="5">
        <v>20</v>
      </c>
      <c r="K1201" s="5">
        <v>0</v>
      </c>
      <c r="L1201" s="15" t="str">
        <f>IFERROR(IF((J1201/K1201)&gt;1.3,1.3,J1201/K1201),"")</f>
        <v/>
      </c>
      <c r="M1201" s="15" t="str">
        <f>IFERROR(J1201/K1201,"")</f>
        <v/>
      </c>
      <c r="N1201" s="5"/>
      <c r="O1201" s="5"/>
      <c r="P1201" s="5">
        <v>0</v>
      </c>
      <c r="Q1201" s="5">
        <v>0</v>
      </c>
      <c r="R1201" s="5" t="str">
        <f t="shared" si="232"/>
        <v>428-2023-12-31</v>
      </c>
    </row>
    <row r="1202" spans="1:18" x14ac:dyDescent="0.3">
      <c r="A1202" s="5">
        <v>428</v>
      </c>
      <c r="B1202" s="5" t="s">
        <v>322</v>
      </c>
      <c r="C1202" s="5" t="s">
        <v>90</v>
      </c>
      <c r="D1202" s="5" t="s">
        <v>8</v>
      </c>
      <c r="E1202" s="5" t="s">
        <v>14</v>
      </c>
      <c r="F1202" s="6">
        <v>45473</v>
      </c>
      <c r="G1202" s="5">
        <f t="shared" si="237"/>
        <v>2024</v>
      </c>
      <c r="H1202" s="5" t="str">
        <f t="shared" si="234"/>
        <v>Junio</v>
      </c>
      <c r="I1202" s="6" t="str">
        <f t="shared" si="236"/>
        <v>2024-1</v>
      </c>
      <c r="J1202" s="5">
        <v>1</v>
      </c>
      <c r="K1202" s="5">
        <v>16.440000000000001</v>
      </c>
      <c r="L1202" s="15">
        <f>IFERROR(IF((K1202/J1202)&gt;1.3,1.3,K1202/J1202),"")</f>
        <v>1.3</v>
      </c>
      <c r="M1202" s="15">
        <f>IFERROR(K1202/J1202,"")</f>
        <v>16.440000000000001</v>
      </c>
      <c r="N1202" s="5"/>
      <c r="O1202" s="5"/>
      <c r="P1202" s="5">
        <v>0</v>
      </c>
      <c r="Q1202" s="5">
        <v>0</v>
      </c>
      <c r="R1202" s="5" t="str">
        <f t="shared" si="232"/>
        <v>428-2024-06-30</v>
      </c>
    </row>
    <row r="1203" spans="1:18" x14ac:dyDescent="0.3">
      <c r="A1203" s="5">
        <v>428</v>
      </c>
      <c r="B1203" s="5" t="s">
        <v>322</v>
      </c>
      <c r="C1203" s="5" t="s">
        <v>90</v>
      </c>
      <c r="D1203" s="5" t="s">
        <v>8</v>
      </c>
      <c r="E1203" s="5" t="s">
        <v>14</v>
      </c>
      <c r="F1203" s="6">
        <v>45657</v>
      </c>
      <c r="G1203" s="5">
        <f t="shared" si="237"/>
        <v>2024</v>
      </c>
      <c r="H1203" s="5" t="str">
        <f t="shared" si="234"/>
        <v>Diciembre</v>
      </c>
      <c r="I1203" s="6" t="str">
        <f t="shared" si="236"/>
        <v>2024-2</v>
      </c>
      <c r="J1203" s="5">
        <v>1</v>
      </c>
      <c r="K1203" s="5">
        <v>18.5</v>
      </c>
      <c r="L1203" s="15">
        <f>IFERROR(IF((K1203/J1203)&gt;1.3,1.3,K1203/J1203),"")</f>
        <v>1.3</v>
      </c>
      <c r="M1203" s="15">
        <f>IFERROR(K1203/J1203,"")</f>
        <v>18.5</v>
      </c>
      <c r="N1203" s="5"/>
      <c r="O1203" s="5"/>
      <c r="P1203" s="5">
        <v>0</v>
      </c>
      <c r="Q1203" s="5">
        <v>0</v>
      </c>
      <c r="R1203" s="5" t="str">
        <f t="shared" si="232"/>
        <v>428-2024-12-31</v>
      </c>
    </row>
    <row r="1204" spans="1:18" x14ac:dyDescent="0.3">
      <c r="A1204" s="43">
        <v>429</v>
      </c>
      <c r="B1204" s="5" t="s">
        <v>323</v>
      </c>
      <c r="C1204" s="5" t="s">
        <v>90</v>
      </c>
      <c r="D1204" s="5" t="s">
        <v>8</v>
      </c>
      <c r="E1204" s="5" t="s">
        <v>14</v>
      </c>
      <c r="F1204" s="6">
        <v>45107</v>
      </c>
      <c r="G1204" s="5">
        <f t="shared" si="237"/>
        <v>2023</v>
      </c>
      <c r="H1204" s="5" t="str">
        <f t="shared" si="234"/>
        <v>Junio</v>
      </c>
      <c r="I1204" s="6" t="str">
        <f t="shared" si="236"/>
        <v>2023-1</v>
      </c>
      <c r="J1204" s="5">
        <v>0.3</v>
      </c>
      <c r="K1204" s="5">
        <v>0.3</v>
      </c>
      <c r="L1204" s="15" t="s">
        <v>417</v>
      </c>
      <c r="M1204" s="15">
        <f>IFERROR(J1204/K1204,"")</f>
        <v>1</v>
      </c>
      <c r="N1204" s="5" t="s">
        <v>478</v>
      </c>
      <c r="O1204" s="5" t="s">
        <v>478</v>
      </c>
      <c r="P1204" s="5">
        <v>1</v>
      </c>
      <c r="Q1204" s="5">
        <v>1</v>
      </c>
      <c r="R1204" s="5" t="str">
        <f t="shared" si="232"/>
        <v>429-2023-06-30</v>
      </c>
    </row>
    <row r="1205" spans="1:18" x14ac:dyDescent="0.3">
      <c r="A1205" s="39">
        <v>429</v>
      </c>
      <c r="B1205" s="5" t="s">
        <v>323</v>
      </c>
      <c r="C1205" s="5" t="s">
        <v>90</v>
      </c>
      <c r="D1205" s="5" t="s">
        <v>8</v>
      </c>
      <c r="E1205" s="5" t="s">
        <v>14</v>
      </c>
      <c r="F1205" s="6">
        <v>45291</v>
      </c>
      <c r="G1205" s="5">
        <f t="shared" si="237"/>
        <v>2023</v>
      </c>
      <c r="H1205" s="5" t="str">
        <f t="shared" si="234"/>
        <v>Diciembre</v>
      </c>
      <c r="I1205" s="6" t="str">
        <f t="shared" si="236"/>
        <v>2023-2</v>
      </c>
      <c r="J1205" s="5">
        <v>0.3</v>
      </c>
      <c r="K1205" s="5">
        <v>0</v>
      </c>
      <c r="L1205" s="15" t="str">
        <f>IFERROR(IF((J1205/K1205)&gt;1.3,1.3,J1205/K1205),"")</f>
        <v/>
      </c>
      <c r="M1205" s="15" t="str">
        <f>IFERROR(J1205/K1205,"")</f>
        <v/>
      </c>
      <c r="N1205" s="5" t="s">
        <v>478</v>
      </c>
      <c r="O1205" s="5" t="s">
        <v>478</v>
      </c>
      <c r="P1205" s="5">
        <v>1</v>
      </c>
      <c r="Q1205" s="5">
        <v>1</v>
      </c>
      <c r="R1205" s="5" t="str">
        <f t="shared" si="232"/>
        <v>429-2023-12-31</v>
      </c>
    </row>
    <row r="1206" spans="1:18" x14ac:dyDescent="0.3">
      <c r="A1206" s="5">
        <v>429</v>
      </c>
      <c r="B1206" s="5" t="s">
        <v>323</v>
      </c>
      <c r="C1206" s="5" t="s">
        <v>90</v>
      </c>
      <c r="D1206" s="5" t="s">
        <v>8</v>
      </c>
      <c r="E1206" s="5" t="s">
        <v>14</v>
      </c>
      <c r="F1206" s="6">
        <v>45473</v>
      </c>
      <c r="G1206" s="5">
        <f t="shared" si="237"/>
        <v>2024</v>
      </c>
      <c r="H1206" s="5" t="str">
        <f t="shared" si="234"/>
        <v>Junio</v>
      </c>
      <c r="I1206" s="6" t="str">
        <f t="shared" si="236"/>
        <v>2024-1</v>
      </c>
      <c r="J1206" s="5">
        <v>0.76</v>
      </c>
      <c r="K1206" s="5">
        <v>0.66</v>
      </c>
      <c r="L1206" s="15">
        <f>IFERROR(IF((K1206/J1206)&gt;1.3,1.3,K1206/J1206),"")</f>
        <v>0.86842105263157898</v>
      </c>
      <c r="M1206" s="15">
        <f t="shared" ref="M1206:M1218" si="238">IFERROR(K1206/J1206,"")</f>
        <v>0.86842105263157898</v>
      </c>
      <c r="N1206" s="5"/>
      <c r="O1206" s="5"/>
      <c r="P1206" s="5">
        <v>0</v>
      </c>
      <c r="Q1206" s="5">
        <v>0</v>
      </c>
      <c r="R1206" s="5" t="str">
        <f t="shared" si="232"/>
        <v>429-2024-06-30</v>
      </c>
    </row>
    <row r="1207" spans="1:18" x14ac:dyDescent="0.3">
      <c r="A1207" s="5">
        <v>429</v>
      </c>
      <c r="B1207" s="5" t="s">
        <v>323</v>
      </c>
      <c r="C1207" s="5" t="s">
        <v>90</v>
      </c>
      <c r="D1207" s="5" t="s">
        <v>8</v>
      </c>
      <c r="E1207" s="5" t="s">
        <v>14</v>
      </c>
      <c r="F1207" s="6">
        <v>45657</v>
      </c>
      <c r="G1207" s="5">
        <f t="shared" si="237"/>
        <v>2024</v>
      </c>
      <c r="H1207" s="5" t="str">
        <f t="shared" si="234"/>
        <v>Diciembre</v>
      </c>
      <c r="I1207" s="6" t="str">
        <f t="shared" si="236"/>
        <v>2024-2</v>
      </c>
      <c r="J1207" s="5">
        <v>0.76</v>
      </c>
      <c r="K1207" s="5">
        <v>0.67</v>
      </c>
      <c r="L1207" s="15">
        <f>IFERROR(IF((K1207/J1207)&gt;1.3,1.3,K1207/J1207),"")</f>
        <v>0.88157894736842113</v>
      </c>
      <c r="M1207" s="15">
        <f t="shared" si="238"/>
        <v>0.88157894736842113</v>
      </c>
      <c r="N1207" s="5"/>
      <c r="O1207" s="5"/>
      <c r="P1207" s="5">
        <v>0</v>
      </c>
      <c r="Q1207" s="5">
        <v>0</v>
      </c>
      <c r="R1207" s="5" t="str">
        <f t="shared" si="232"/>
        <v>429-2024-12-31</v>
      </c>
    </row>
    <row r="1208" spans="1:18" x14ac:dyDescent="0.3">
      <c r="A1208" s="39">
        <v>430</v>
      </c>
      <c r="B1208" s="5" t="s">
        <v>324</v>
      </c>
      <c r="C1208" s="5" t="s">
        <v>84</v>
      </c>
      <c r="D1208" s="5" t="s">
        <v>8</v>
      </c>
      <c r="E1208" s="5" t="s">
        <v>9</v>
      </c>
      <c r="F1208" s="6">
        <v>45107</v>
      </c>
      <c r="G1208" s="5">
        <f t="shared" si="237"/>
        <v>2023</v>
      </c>
      <c r="H1208" s="5" t="str">
        <f t="shared" si="234"/>
        <v>Junio</v>
      </c>
      <c r="I1208" s="6" t="str">
        <f t="shared" si="236"/>
        <v>2023-1</v>
      </c>
      <c r="J1208" s="12">
        <v>112954.515401</v>
      </c>
      <c r="K1208" s="12">
        <v>118145.493237</v>
      </c>
      <c r="L1208" s="21">
        <f>IFERROR(K1208/J1208,"")</f>
        <v>1.0459563552423867</v>
      </c>
      <c r="M1208" s="15">
        <f t="shared" si="238"/>
        <v>1.0459563552423867</v>
      </c>
      <c r="N1208" s="5" t="s">
        <v>474</v>
      </c>
      <c r="O1208" s="5" t="s">
        <v>474</v>
      </c>
      <c r="P1208" s="5">
        <v>0</v>
      </c>
      <c r="Q1208" s="5">
        <v>0</v>
      </c>
      <c r="R1208" s="5" t="str">
        <f t="shared" si="232"/>
        <v>430-2023-06-30</v>
      </c>
    </row>
    <row r="1209" spans="1:18" x14ac:dyDescent="0.3">
      <c r="A1209" s="39">
        <v>430</v>
      </c>
      <c r="B1209" s="5" t="s">
        <v>324</v>
      </c>
      <c r="C1209" s="5" t="s">
        <v>84</v>
      </c>
      <c r="D1209" s="5" t="s">
        <v>8</v>
      </c>
      <c r="E1209" s="5" t="s">
        <v>9</v>
      </c>
      <c r="F1209" s="6">
        <v>45291</v>
      </c>
      <c r="G1209" s="5">
        <f t="shared" si="237"/>
        <v>2023</v>
      </c>
      <c r="H1209" s="5" t="str">
        <f t="shared" si="234"/>
        <v>Diciembre</v>
      </c>
      <c r="I1209" s="6" t="str">
        <f t="shared" si="236"/>
        <v>2023-2</v>
      </c>
      <c r="J1209" s="12">
        <v>127277.416453</v>
      </c>
      <c r="K1209" s="12">
        <v>125438.30698099999</v>
      </c>
      <c r="L1209" s="21">
        <f>IFERROR(K1209/J1209,"")</f>
        <v>0.98555038652376215</v>
      </c>
      <c r="M1209" s="15">
        <f t="shared" si="238"/>
        <v>0.98555038652376215</v>
      </c>
      <c r="N1209" s="5" t="s">
        <v>474</v>
      </c>
      <c r="O1209" s="5" t="s">
        <v>474</v>
      </c>
      <c r="P1209" s="5">
        <v>0</v>
      </c>
      <c r="Q1209" s="5">
        <v>0</v>
      </c>
      <c r="R1209" s="5" t="str">
        <f t="shared" si="232"/>
        <v>430-2023-12-31</v>
      </c>
    </row>
    <row r="1210" spans="1:18" x14ac:dyDescent="0.3">
      <c r="A1210" s="39">
        <v>430</v>
      </c>
      <c r="B1210" s="5" t="s">
        <v>324</v>
      </c>
      <c r="C1210" s="5" t="s">
        <v>84</v>
      </c>
      <c r="D1210" s="5" t="s">
        <v>8</v>
      </c>
      <c r="E1210" s="5" t="s">
        <v>9</v>
      </c>
      <c r="F1210" s="6">
        <v>45473</v>
      </c>
      <c r="G1210" s="5">
        <f t="shared" si="237"/>
        <v>2024</v>
      </c>
      <c r="H1210" s="5" t="str">
        <f t="shared" si="234"/>
        <v>Junio</v>
      </c>
      <c r="I1210" s="6" t="str">
        <f t="shared" si="236"/>
        <v>2024-1</v>
      </c>
      <c r="J1210" s="12">
        <v>131349.32999999999</v>
      </c>
      <c r="K1210" s="12">
        <v>133822.03</v>
      </c>
      <c r="L1210" s="21">
        <f>IFERROR(K1210/J1210,"")</f>
        <v>1.0188253720060849</v>
      </c>
      <c r="M1210" s="15">
        <f t="shared" si="238"/>
        <v>1.0188253720060849</v>
      </c>
      <c r="N1210" s="5" t="s">
        <v>474</v>
      </c>
      <c r="O1210" s="5" t="s">
        <v>474</v>
      </c>
      <c r="P1210" s="5">
        <v>0</v>
      </c>
      <c r="Q1210" s="5">
        <v>0</v>
      </c>
      <c r="R1210" s="5" t="str">
        <f t="shared" si="232"/>
        <v>430-2024-06-30</v>
      </c>
    </row>
    <row r="1211" spans="1:18" x14ac:dyDescent="0.3">
      <c r="A1211" s="5">
        <v>430</v>
      </c>
      <c r="B1211" s="5" t="s">
        <v>324</v>
      </c>
      <c r="C1211" s="5" t="s">
        <v>84</v>
      </c>
      <c r="D1211" s="5" t="s">
        <v>8</v>
      </c>
      <c r="E1211" s="5" t="s">
        <v>9</v>
      </c>
      <c r="F1211" s="6">
        <v>45657</v>
      </c>
      <c r="G1211" s="5">
        <f t="shared" si="237"/>
        <v>2024</v>
      </c>
      <c r="H1211" s="5" t="str">
        <f t="shared" si="234"/>
        <v>Diciembre</v>
      </c>
      <c r="I1211" s="6" t="str">
        <f t="shared" si="236"/>
        <v>2024-2</v>
      </c>
      <c r="J1211" s="5"/>
      <c r="K1211" s="5"/>
      <c r="L1211" s="15" t="str">
        <f>IFERROR(IF((K1211/J1211)&gt;1.3,1.3,K1211/J1211),"")</f>
        <v/>
      </c>
      <c r="M1211" s="15" t="str">
        <f t="shared" si="238"/>
        <v/>
      </c>
      <c r="N1211" s="5"/>
      <c r="O1211" s="5"/>
      <c r="P1211" s="5">
        <v>0</v>
      </c>
      <c r="Q1211" s="5">
        <v>0</v>
      </c>
      <c r="R1211" s="5" t="str">
        <f t="shared" si="232"/>
        <v>430-2024-12-31</v>
      </c>
    </row>
    <row r="1212" spans="1:18" x14ac:dyDescent="0.3">
      <c r="A1212" s="5">
        <v>431</v>
      </c>
      <c r="B1212" s="5" t="s">
        <v>325</v>
      </c>
      <c r="C1212" s="5" t="s">
        <v>24</v>
      </c>
      <c r="D1212" s="5" t="s">
        <v>11</v>
      </c>
      <c r="E1212" s="5" t="s">
        <v>9</v>
      </c>
      <c r="F1212" s="6">
        <v>45199</v>
      </c>
      <c r="G1212" s="16">
        <f t="shared" si="237"/>
        <v>2023</v>
      </c>
      <c r="H1212" s="6" t="str">
        <f t="shared" si="234"/>
        <v>Septiembre</v>
      </c>
      <c r="I1212" s="6" t="s">
        <v>434</v>
      </c>
      <c r="J1212" s="5">
        <v>100</v>
      </c>
      <c r="K1212" s="5">
        <v>100</v>
      </c>
      <c r="L1212" s="21">
        <v>1</v>
      </c>
      <c r="M1212" s="15">
        <f t="shared" si="238"/>
        <v>1</v>
      </c>
      <c r="N1212" s="5" t="s">
        <v>347</v>
      </c>
      <c r="O1212" s="5" t="s">
        <v>347</v>
      </c>
      <c r="P1212" s="5">
        <v>0</v>
      </c>
      <c r="Q1212" s="5">
        <v>0</v>
      </c>
      <c r="R1212" s="5" t="str">
        <f t="shared" si="232"/>
        <v>431-2023-09-30</v>
      </c>
    </row>
    <row r="1213" spans="1:18" x14ac:dyDescent="0.3">
      <c r="A1213" s="39">
        <v>431</v>
      </c>
      <c r="B1213" s="5" t="s">
        <v>325</v>
      </c>
      <c r="C1213" s="5" t="s">
        <v>24</v>
      </c>
      <c r="D1213" s="5" t="s">
        <v>11</v>
      </c>
      <c r="E1213" s="5" t="s">
        <v>9</v>
      </c>
      <c r="F1213" s="6">
        <v>45291</v>
      </c>
      <c r="G1213" s="5">
        <f t="shared" si="237"/>
        <v>2023</v>
      </c>
      <c r="H1213" s="5" t="str">
        <f t="shared" si="234"/>
        <v>Diciembre</v>
      </c>
      <c r="I1213" s="6" t="str">
        <f t="shared" ref="I1213:I1244" si="239">IF(OR(H1213="Enero",H1213="Febrero",H1213="Marzo",H1213="Abril",H1213="Mayo",H1213="Junio"),G1213&amp;"-1",IF(OR(H1213="Julio",H1213="Agosto",H1213="Septiembre",H1213="Octubre",H1213="Noviembre",H1213="Diciembre"),G1213&amp;"-2"))</f>
        <v>2023-2</v>
      </c>
      <c r="J1213" s="5">
        <v>100</v>
      </c>
      <c r="K1213" s="5">
        <v>100</v>
      </c>
      <c r="L1213" s="21">
        <f>IFERROR(K1213/J1213,"")</f>
        <v>1</v>
      </c>
      <c r="M1213" s="15">
        <f t="shared" si="238"/>
        <v>1</v>
      </c>
      <c r="N1213" s="5" t="s">
        <v>347</v>
      </c>
      <c r="O1213" s="5" t="s">
        <v>347</v>
      </c>
      <c r="P1213" s="5">
        <v>0</v>
      </c>
      <c r="Q1213" s="5">
        <v>0</v>
      </c>
      <c r="R1213" s="5" t="str">
        <f t="shared" si="232"/>
        <v>431-2023-12-31</v>
      </c>
    </row>
    <row r="1214" spans="1:18" x14ac:dyDescent="0.3">
      <c r="A1214" s="5">
        <v>431</v>
      </c>
      <c r="B1214" s="5" t="s">
        <v>325</v>
      </c>
      <c r="C1214" s="5" t="s">
        <v>24</v>
      </c>
      <c r="D1214" s="5" t="s">
        <v>11</v>
      </c>
      <c r="E1214" s="5" t="s">
        <v>9</v>
      </c>
      <c r="F1214" s="6">
        <v>45473</v>
      </c>
      <c r="G1214" s="5">
        <f t="shared" si="237"/>
        <v>2024</v>
      </c>
      <c r="H1214" s="5" t="str">
        <f t="shared" si="234"/>
        <v>Junio</v>
      </c>
      <c r="I1214" s="6" t="str">
        <f t="shared" si="239"/>
        <v>2024-1</v>
      </c>
      <c r="J1214" s="5">
        <v>100</v>
      </c>
      <c r="K1214" s="5">
        <v>100</v>
      </c>
      <c r="L1214" s="15">
        <f>IFERROR(IF((K1214/J1214)&gt;1.3,1.3,K1214/J1214),"")</f>
        <v>1</v>
      </c>
      <c r="M1214" s="15">
        <f t="shared" si="238"/>
        <v>1</v>
      </c>
      <c r="N1214" s="5"/>
      <c r="O1214" s="5"/>
      <c r="P1214" s="5">
        <v>0</v>
      </c>
      <c r="Q1214" s="5">
        <v>0</v>
      </c>
      <c r="R1214" s="5" t="str">
        <f t="shared" si="232"/>
        <v>431-2024-06-30</v>
      </c>
    </row>
    <row r="1215" spans="1:18" x14ac:dyDescent="0.3">
      <c r="A1215" s="5">
        <v>431</v>
      </c>
      <c r="B1215" s="5" t="s">
        <v>325</v>
      </c>
      <c r="C1215" s="5" t="s">
        <v>24</v>
      </c>
      <c r="D1215" s="5" t="s">
        <v>11</v>
      </c>
      <c r="E1215" s="5" t="s">
        <v>9</v>
      </c>
      <c r="F1215" s="6">
        <v>45657</v>
      </c>
      <c r="G1215" s="5">
        <f t="shared" si="237"/>
        <v>2024</v>
      </c>
      <c r="H1215" s="5" t="str">
        <f t="shared" si="234"/>
        <v>Diciembre</v>
      </c>
      <c r="I1215" s="6" t="str">
        <f t="shared" si="239"/>
        <v>2024-2</v>
      </c>
      <c r="J1215" s="5">
        <v>100</v>
      </c>
      <c r="K1215" s="5">
        <v>100</v>
      </c>
      <c r="L1215" s="15">
        <f>IFERROR(IF((K1215/J1215)&gt;1.3,1.3,K1215/J1215),"")</f>
        <v>1</v>
      </c>
      <c r="M1215" s="15">
        <f t="shared" si="238"/>
        <v>1</v>
      </c>
      <c r="N1215" s="5"/>
      <c r="O1215" s="5"/>
      <c r="P1215" s="5">
        <v>0</v>
      </c>
      <c r="Q1215" s="5">
        <v>0</v>
      </c>
      <c r="R1215" s="5" t="str">
        <f t="shared" si="232"/>
        <v>431-2024-12-31</v>
      </c>
    </row>
    <row r="1216" spans="1:18" x14ac:dyDescent="0.3">
      <c r="A1216" s="39">
        <v>432</v>
      </c>
      <c r="B1216" s="5" t="s">
        <v>326</v>
      </c>
      <c r="C1216" s="5" t="s">
        <v>24</v>
      </c>
      <c r="D1216" s="5" t="s">
        <v>11</v>
      </c>
      <c r="E1216" s="5" t="s">
        <v>9</v>
      </c>
      <c r="F1216" s="6">
        <v>45291</v>
      </c>
      <c r="G1216" s="5">
        <f t="shared" si="237"/>
        <v>2023</v>
      </c>
      <c r="H1216" s="5" t="str">
        <f t="shared" si="234"/>
        <v>Diciembre</v>
      </c>
      <c r="I1216" s="6" t="str">
        <f t="shared" si="239"/>
        <v>2023-2</v>
      </c>
      <c r="J1216" s="5">
        <v>90</v>
      </c>
      <c r="K1216" s="5">
        <v>98.77</v>
      </c>
      <c r="L1216" s="21">
        <f>IFERROR(K1216/J1216,"")</f>
        <v>1.0974444444444444</v>
      </c>
      <c r="M1216" s="15">
        <f t="shared" si="238"/>
        <v>1.0974444444444444</v>
      </c>
      <c r="N1216" s="5" t="s">
        <v>347</v>
      </c>
      <c r="O1216" s="5" t="s">
        <v>347</v>
      </c>
      <c r="P1216" s="5">
        <v>0</v>
      </c>
      <c r="Q1216" s="5">
        <v>0</v>
      </c>
      <c r="R1216" s="5" t="str">
        <f t="shared" si="232"/>
        <v>432-2023-12-31</v>
      </c>
    </row>
    <row r="1217" spans="1:18" x14ac:dyDescent="0.3">
      <c r="A1217" s="5">
        <v>432</v>
      </c>
      <c r="B1217" s="5" t="s">
        <v>326</v>
      </c>
      <c r="C1217" s="5" t="s">
        <v>24</v>
      </c>
      <c r="D1217" s="5" t="s">
        <v>11</v>
      </c>
      <c r="E1217" s="5" t="s">
        <v>9</v>
      </c>
      <c r="F1217" s="6">
        <v>45473</v>
      </c>
      <c r="G1217" s="5">
        <f t="shared" si="237"/>
        <v>2024</v>
      </c>
      <c r="H1217" s="5" t="str">
        <f t="shared" si="234"/>
        <v>Junio</v>
      </c>
      <c r="I1217" s="6" t="str">
        <f t="shared" si="239"/>
        <v>2024-1</v>
      </c>
      <c r="J1217" s="5">
        <v>90</v>
      </c>
      <c r="K1217" s="5">
        <v>100</v>
      </c>
      <c r="L1217" s="15">
        <f>IFERROR(IF((K1217/J1217)&gt;1.3,1.3,K1217/J1217),"")</f>
        <v>1.1111111111111112</v>
      </c>
      <c r="M1217" s="15">
        <f t="shared" si="238"/>
        <v>1.1111111111111112</v>
      </c>
      <c r="N1217" s="5"/>
      <c r="O1217" s="5"/>
      <c r="P1217" s="5">
        <v>0</v>
      </c>
      <c r="Q1217" s="5">
        <v>0</v>
      </c>
      <c r="R1217" s="5" t="str">
        <f t="shared" si="232"/>
        <v>432-2024-06-30</v>
      </c>
    </row>
    <row r="1218" spans="1:18" x14ac:dyDescent="0.3">
      <c r="A1218" s="5">
        <v>432</v>
      </c>
      <c r="B1218" s="5" t="s">
        <v>326</v>
      </c>
      <c r="C1218" s="5" t="s">
        <v>24</v>
      </c>
      <c r="D1218" s="5" t="s">
        <v>11</v>
      </c>
      <c r="E1218" s="5" t="s">
        <v>9</v>
      </c>
      <c r="F1218" s="6">
        <v>45657</v>
      </c>
      <c r="G1218" s="5">
        <f t="shared" si="237"/>
        <v>2024</v>
      </c>
      <c r="H1218" s="5" t="str">
        <f t="shared" si="234"/>
        <v>Diciembre</v>
      </c>
      <c r="I1218" s="6" t="str">
        <f t="shared" si="239"/>
        <v>2024-2</v>
      </c>
      <c r="J1218" s="5">
        <v>90</v>
      </c>
      <c r="K1218" s="5">
        <v>100</v>
      </c>
      <c r="L1218" s="15">
        <f>IFERROR(IF((K1218/J1218)&gt;1.3,1.3,K1218/J1218),"")</f>
        <v>1.1111111111111112</v>
      </c>
      <c r="M1218" s="15">
        <f t="shared" si="238"/>
        <v>1.1111111111111112</v>
      </c>
      <c r="N1218" s="5"/>
      <c r="O1218" s="5"/>
      <c r="P1218" s="5">
        <v>0</v>
      </c>
      <c r="Q1218" s="5">
        <v>0</v>
      </c>
      <c r="R1218" s="5" t="str">
        <f t="shared" si="232"/>
        <v>432-2024-12-31</v>
      </c>
    </row>
    <row r="1219" spans="1:18" x14ac:dyDescent="0.3">
      <c r="A1219" s="43">
        <v>433</v>
      </c>
      <c r="B1219" s="5" t="s">
        <v>416</v>
      </c>
      <c r="C1219" s="5" t="s">
        <v>90</v>
      </c>
      <c r="D1219" s="5" t="s">
        <v>8</v>
      </c>
      <c r="E1219" s="5" t="s">
        <v>14</v>
      </c>
      <c r="F1219" s="6">
        <v>45107</v>
      </c>
      <c r="G1219" s="5">
        <f t="shared" si="237"/>
        <v>2023</v>
      </c>
      <c r="H1219" s="5" t="str">
        <f t="shared" si="234"/>
        <v>Junio</v>
      </c>
      <c r="I1219" s="6" t="str">
        <f t="shared" si="239"/>
        <v>2023-1</v>
      </c>
      <c r="J1219" s="5">
        <v>0.3</v>
      </c>
      <c r="K1219" s="5">
        <v>0.3</v>
      </c>
      <c r="L1219" s="15" t="s">
        <v>417</v>
      </c>
      <c r="M1219" s="15">
        <f>IFERROR(J1219/K1219,"")</f>
        <v>1</v>
      </c>
      <c r="N1219" s="5" t="s">
        <v>478</v>
      </c>
      <c r="O1219" s="5" t="s">
        <v>478</v>
      </c>
      <c r="P1219" s="5">
        <v>2</v>
      </c>
      <c r="Q1219" s="5">
        <v>2</v>
      </c>
      <c r="R1219" s="5" t="str">
        <f t="shared" si="232"/>
        <v>433-2023-06-30</v>
      </c>
    </row>
    <row r="1220" spans="1:18" x14ac:dyDescent="0.3">
      <c r="A1220" s="39">
        <v>433</v>
      </c>
      <c r="B1220" s="5" t="s">
        <v>416</v>
      </c>
      <c r="C1220" s="5" t="s">
        <v>90</v>
      </c>
      <c r="D1220" s="5" t="s">
        <v>8</v>
      </c>
      <c r="E1220" s="5" t="s">
        <v>14</v>
      </c>
      <c r="F1220" s="6">
        <v>45291</v>
      </c>
      <c r="G1220" s="5">
        <f t="shared" si="237"/>
        <v>2023</v>
      </c>
      <c r="H1220" s="5" t="str">
        <f t="shared" si="234"/>
        <v>Diciembre</v>
      </c>
      <c r="I1220" s="6" t="str">
        <f t="shared" si="239"/>
        <v>2023-2</v>
      </c>
      <c r="J1220" s="5">
        <v>0.3</v>
      </c>
      <c r="K1220" s="5">
        <v>0</v>
      </c>
      <c r="L1220" s="15" t="str">
        <f>IFERROR(IF((J1220/K1220)&gt;1.3,1.3,J1220/K1220),"")</f>
        <v/>
      </c>
      <c r="M1220" s="15" t="str">
        <f>IFERROR(J1220/K1220,"")</f>
        <v/>
      </c>
      <c r="N1220" s="5" t="s">
        <v>478</v>
      </c>
      <c r="O1220" s="5" t="s">
        <v>478</v>
      </c>
      <c r="P1220" s="5">
        <v>2</v>
      </c>
      <c r="Q1220" s="5">
        <v>2</v>
      </c>
      <c r="R1220" s="5" t="str">
        <f t="shared" si="232"/>
        <v>433-2023-12-31</v>
      </c>
    </row>
    <row r="1221" spans="1:18" x14ac:dyDescent="0.3">
      <c r="A1221" s="5">
        <v>433</v>
      </c>
      <c r="B1221" s="5" t="s">
        <v>416</v>
      </c>
      <c r="C1221" s="5" t="s">
        <v>90</v>
      </c>
      <c r="D1221" s="5" t="s">
        <v>8</v>
      </c>
      <c r="E1221" s="5" t="s">
        <v>14</v>
      </c>
      <c r="F1221" s="6">
        <v>45473</v>
      </c>
      <c r="G1221" s="5">
        <f t="shared" si="237"/>
        <v>2024</v>
      </c>
      <c r="H1221" s="5" t="str">
        <f t="shared" si="234"/>
        <v>Junio</v>
      </c>
      <c r="I1221" s="6" t="str">
        <f t="shared" si="239"/>
        <v>2024-1</v>
      </c>
      <c r="J1221" s="5">
        <v>0.05</v>
      </c>
      <c r="K1221" s="5">
        <v>7.0000000000000007E-2</v>
      </c>
      <c r="L1221" s="15">
        <f>IFERROR(IF((K1221/J1221)&gt;1.3,1.3,K1221/J1221),"")</f>
        <v>1.3</v>
      </c>
      <c r="M1221" s="15">
        <f>IFERROR(K1221/J1221,"")</f>
        <v>1.4000000000000001</v>
      </c>
      <c r="N1221" s="5"/>
      <c r="O1221" s="5"/>
      <c r="P1221" s="5">
        <v>0</v>
      </c>
      <c r="Q1221" s="5">
        <v>0</v>
      </c>
      <c r="R1221" s="5" t="str">
        <f t="shared" si="232"/>
        <v>433-2024-06-30</v>
      </c>
    </row>
    <row r="1222" spans="1:18" x14ac:dyDescent="0.3">
      <c r="A1222" s="5">
        <v>433</v>
      </c>
      <c r="B1222" s="5" t="s">
        <v>416</v>
      </c>
      <c r="C1222" s="5" t="s">
        <v>90</v>
      </c>
      <c r="D1222" s="5" t="s">
        <v>8</v>
      </c>
      <c r="E1222" s="5" t="s">
        <v>14</v>
      </c>
      <c r="F1222" s="6">
        <v>45657</v>
      </c>
      <c r="G1222" s="5">
        <f t="shared" si="237"/>
        <v>2024</v>
      </c>
      <c r="H1222" s="5" t="str">
        <f t="shared" si="234"/>
        <v>Diciembre</v>
      </c>
      <c r="I1222" s="6" t="str">
        <f t="shared" si="239"/>
        <v>2024-2</v>
      </c>
      <c r="J1222" s="5">
        <v>0.05</v>
      </c>
      <c r="K1222" s="5">
        <v>0.14000000000000001</v>
      </c>
      <c r="L1222" s="15">
        <f>IFERROR(IF((K1222/J1222)&gt;1.3,1.3,K1222/J1222),"")</f>
        <v>1.3</v>
      </c>
      <c r="M1222" s="15">
        <f>IFERROR(K1222/J1222,"")</f>
        <v>2.8000000000000003</v>
      </c>
      <c r="N1222" s="5"/>
      <c r="O1222" s="5"/>
      <c r="P1222" s="5">
        <v>0</v>
      </c>
      <c r="Q1222" s="5">
        <v>0</v>
      </c>
      <c r="R1222" s="5" t="str">
        <f t="shared" si="232"/>
        <v>433-2024-12-31</v>
      </c>
    </row>
    <row r="1223" spans="1:18" x14ac:dyDescent="0.3">
      <c r="A1223" s="39">
        <v>434</v>
      </c>
      <c r="B1223" s="5" t="s">
        <v>463</v>
      </c>
      <c r="C1223" s="5" t="s">
        <v>90</v>
      </c>
      <c r="D1223" s="5" t="s">
        <v>18</v>
      </c>
      <c r="E1223" s="5" t="s">
        <v>14</v>
      </c>
      <c r="F1223" s="6">
        <v>45199</v>
      </c>
      <c r="G1223" s="5">
        <f t="shared" si="237"/>
        <v>2023</v>
      </c>
      <c r="H1223" s="5" t="str">
        <f t="shared" si="234"/>
        <v>Septiembre</v>
      </c>
      <c r="I1223" s="6" t="str">
        <f t="shared" si="239"/>
        <v>2023-2</v>
      </c>
      <c r="J1223" s="5">
        <v>200</v>
      </c>
      <c r="K1223" s="5">
        <v>90.7</v>
      </c>
      <c r="L1223" s="15">
        <f>IFERROR(IF((J1223/K1223)&gt;1.3,1.3,J1223/K1223),"")</f>
        <v>1.3</v>
      </c>
      <c r="M1223" s="15">
        <f>IFERROR(J1223/K1223,"")</f>
        <v>2.2050716648291067</v>
      </c>
      <c r="N1223" s="5"/>
      <c r="O1223" s="5"/>
      <c r="P1223" s="5">
        <v>1</v>
      </c>
      <c r="Q1223" s="5">
        <v>1</v>
      </c>
      <c r="R1223" s="5" t="str">
        <f t="shared" si="232"/>
        <v>434-2023-09-30</v>
      </c>
    </row>
    <row r="1224" spans="1:18" x14ac:dyDescent="0.3">
      <c r="A1224" s="39">
        <v>434</v>
      </c>
      <c r="B1224" s="5" t="s">
        <v>463</v>
      </c>
      <c r="C1224" s="5" t="s">
        <v>90</v>
      </c>
      <c r="D1224" s="5" t="s">
        <v>18</v>
      </c>
      <c r="E1224" s="5" t="s">
        <v>14</v>
      </c>
      <c r="F1224" s="6">
        <v>45230</v>
      </c>
      <c r="G1224" s="5">
        <f t="shared" si="237"/>
        <v>2023</v>
      </c>
      <c r="H1224" s="5" t="str">
        <f t="shared" si="234"/>
        <v>Octubre</v>
      </c>
      <c r="I1224" s="6" t="str">
        <f t="shared" si="239"/>
        <v>2023-2</v>
      </c>
      <c r="J1224" s="5">
        <v>200</v>
      </c>
      <c r="K1224" s="5">
        <v>182.9</v>
      </c>
      <c r="L1224" s="15">
        <f>IFERROR(IF((J1224/K1224)&gt;1.3,1.3,J1224/K1224),"")</f>
        <v>1.0934937124111537</v>
      </c>
      <c r="M1224" s="15">
        <f>IFERROR(J1224/K1224,"")</f>
        <v>1.0934937124111537</v>
      </c>
      <c r="N1224" s="5"/>
      <c r="O1224" s="5"/>
      <c r="P1224" s="5">
        <v>1</v>
      </c>
      <c r="Q1224" s="5">
        <v>1</v>
      </c>
      <c r="R1224" s="5" t="str">
        <f t="shared" si="232"/>
        <v>434-2023-10-31</v>
      </c>
    </row>
    <row r="1225" spans="1:18" x14ac:dyDescent="0.3">
      <c r="A1225" s="39">
        <v>434</v>
      </c>
      <c r="B1225" s="5" t="s">
        <v>463</v>
      </c>
      <c r="C1225" s="5" t="s">
        <v>90</v>
      </c>
      <c r="D1225" s="5" t="s">
        <v>18</v>
      </c>
      <c r="E1225" s="5" t="s">
        <v>14</v>
      </c>
      <c r="F1225" s="6">
        <v>45260</v>
      </c>
      <c r="G1225" s="5">
        <f t="shared" si="237"/>
        <v>2023</v>
      </c>
      <c r="H1225" s="5" t="str">
        <f t="shared" si="234"/>
        <v>Noviembre</v>
      </c>
      <c r="I1225" s="6" t="str">
        <f t="shared" si="239"/>
        <v>2023-2</v>
      </c>
      <c r="J1225" s="5">
        <v>200</v>
      </c>
      <c r="K1225" s="5">
        <v>141.19999999999999</v>
      </c>
      <c r="L1225" s="15">
        <f>IFERROR(IF((J1225/K1225)&gt;1.3,1.3,J1225/K1225),"")</f>
        <v>1.3</v>
      </c>
      <c r="M1225" s="15">
        <f>IFERROR(J1225/K1225,"")</f>
        <v>1.41643059490085</v>
      </c>
      <c r="N1225" s="5"/>
      <c r="O1225" s="5"/>
      <c r="P1225" s="5">
        <v>1</v>
      </c>
      <c r="Q1225" s="5">
        <v>1</v>
      </c>
      <c r="R1225" s="5" t="str">
        <f t="shared" si="232"/>
        <v>434-2023-11-30</v>
      </c>
    </row>
    <row r="1226" spans="1:18" x14ac:dyDescent="0.3">
      <c r="A1226" s="39">
        <v>434</v>
      </c>
      <c r="B1226" s="5" t="s">
        <v>463</v>
      </c>
      <c r="C1226" s="5" t="s">
        <v>90</v>
      </c>
      <c r="D1226" s="5" t="s">
        <v>18</v>
      </c>
      <c r="E1226" s="5" t="s">
        <v>14</v>
      </c>
      <c r="F1226" s="6">
        <v>45291</v>
      </c>
      <c r="G1226" s="5">
        <f t="shared" si="237"/>
        <v>2023</v>
      </c>
      <c r="H1226" s="5" t="str">
        <f t="shared" si="234"/>
        <v>Diciembre</v>
      </c>
      <c r="I1226" s="6" t="str">
        <f t="shared" si="239"/>
        <v>2023-2</v>
      </c>
      <c r="J1226" s="5">
        <v>200</v>
      </c>
      <c r="K1226" s="5"/>
      <c r="L1226" s="15" t="str">
        <f>IFERROR(IF((J1226/K1226)&gt;1.3,1.3,J1226/K1226),"")</f>
        <v/>
      </c>
      <c r="M1226" s="15" t="str">
        <f>IFERROR(J1226/K1226,"")</f>
        <v/>
      </c>
      <c r="N1226" s="5"/>
      <c r="O1226" s="5"/>
      <c r="P1226" s="5">
        <v>1</v>
      </c>
      <c r="Q1226" s="5">
        <v>1</v>
      </c>
      <c r="R1226" s="5" t="str">
        <f t="shared" si="232"/>
        <v>434-2023-12-31</v>
      </c>
    </row>
    <row r="1227" spans="1:18" x14ac:dyDescent="0.3">
      <c r="A1227" s="5">
        <v>434</v>
      </c>
      <c r="B1227" s="5" t="s">
        <v>735</v>
      </c>
      <c r="C1227" s="5" t="s">
        <v>90</v>
      </c>
      <c r="D1227" s="5" t="s">
        <v>18</v>
      </c>
      <c r="E1227" s="5" t="s">
        <v>14</v>
      </c>
      <c r="F1227" s="6">
        <v>45473</v>
      </c>
      <c r="G1227" s="5">
        <f t="shared" si="237"/>
        <v>2024</v>
      </c>
      <c r="H1227" s="5" t="str">
        <f t="shared" si="234"/>
        <v>Junio</v>
      </c>
      <c r="I1227" s="6" t="str">
        <f t="shared" si="239"/>
        <v>2024-1</v>
      </c>
      <c r="J1227" s="5">
        <v>200</v>
      </c>
      <c r="K1227" s="5">
        <v>3219.1</v>
      </c>
      <c r="L1227" s="15">
        <f>IFERROR(IF((K1227/J1227)&gt;1.3,1.3,K1227/J1227),"")</f>
        <v>1.3</v>
      </c>
      <c r="M1227" s="15">
        <f t="shared" ref="M1227:M1232" si="240">IFERROR(K1227/J1227,"")</f>
        <v>16.095500000000001</v>
      </c>
      <c r="N1227" s="5"/>
      <c r="O1227" s="5"/>
      <c r="P1227" s="5">
        <v>0</v>
      </c>
      <c r="Q1227" s="5">
        <v>0</v>
      </c>
      <c r="R1227" s="5" t="str">
        <f t="shared" si="232"/>
        <v>434-2024-06-30</v>
      </c>
    </row>
    <row r="1228" spans="1:18" x14ac:dyDescent="0.3">
      <c r="A1228" s="5">
        <v>434</v>
      </c>
      <c r="B1228" s="5" t="s">
        <v>735</v>
      </c>
      <c r="C1228" s="5" t="s">
        <v>90</v>
      </c>
      <c r="D1228" s="5" t="s">
        <v>18</v>
      </c>
      <c r="E1228" s="5" t="s">
        <v>14</v>
      </c>
      <c r="F1228" s="6">
        <v>45657</v>
      </c>
      <c r="G1228" s="5">
        <f t="shared" si="237"/>
        <v>2024</v>
      </c>
      <c r="H1228" s="5" t="str">
        <f t="shared" si="234"/>
        <v>Diciembre</v>
      </c>
      <c r="I1228" s="6" t="str">
        <f t="shared" si="239"/>
        <v>2024-2</v>
      </c>
      <c r="J1228" s="5">
        <v>200</v>
      </c>
      <c r="K1228" s="5">
        <v>0</v>
      </c>
      <c r="L1228" s="15">
        <f>IFERROR(IF((K1228/J1228)&gt;1.3,1.3,K1228/J1228),"")</f>
        <v>0</v>
      </c>
      <c r="M1228" s="15">
        <f t="shared" si="240"/>
        <v>0</v>
      </c>
      <c r="N1228" s="5"/>
      <c r="O1228" s="5"/>
      <c r="P1228" s="5">
        <v>0</v>
      </c>
      <c r="Q1228" s="5">
        <v>0</v>
      </c>
      <c r="R1228" s="5" t="str">
        <f t="shared" ref="R1228:R1291" si="241">A1228&amp;"-"&amp;YEAR(F1228)&amp;"-"&amp;IF(LEN(MONTH(F1228))=1,"0"&amp;MONTH(F1228),MONTH(F1228))&amp;"-"&amp;DAY(F1228)</f>
        <v>434-2024-12-31</v>
      </c>
    </row>
    <row r="1229" spans="1:18" x14ac:dyDescent="0.3">
      <c r="A1229" s="43">
        <v>435</v>
      </c>
      <c r="B1229" s="5" t="s">
        <v>464</v>
      </c>
      <c r="C1229" s="5" t="s">
        <v>90</v>
      </c>
      <c r="D1229" s="5" t="s">
        <v>8</v>
      </c>
      <c r="E1229" s="5" t="s">
        <v>9</v>
      </c>
      <c r="F1229" s="6">
        <v>45107</v>
      </c>
      <c r="G1229" s="5">
        <f t="shared" si="237"/>
        <v>2023</v>
      </c>
      <c r="H1229" s="5" t="str">
        <f t="shared" si="234"/>
        <v>Junio</v>
      </c>
      <c r="I1229" s="6" t="str">
        <f t="shared" si="239"/>
        <v>2023-1</v>
      </c>
      <c r="J1229" s="5" t="s">
        <v>417</v>
      </c>
      <c r="K1229" s="5">
        <v>0.43352601156068998</v>
      </c>
      <c r="L1229" s="21" t="s">
        <v>417</v>
      </c>
      <c r="M1229" s="15" t="str">
        <f t="shared" si="240"/>
        <v/>
      </c>
      <c r="N1229" s="5" t="s">
        <v>478</v>
      </c>
      <c r="O1229" s="5" t="s">
        <v>478</v>
      </c>
      <c r="P1229" s="5">
        <v>2</v>
      </c>
      <c r="Q1229" s="5">
        <v>2</v>
      </c>
      <c r="R1229" s="5" t="str">
        <f t="shared" si="241"/>
        <v>435-2023-06-30</v>
      </c>
    </row>
    <row r="1230" spans="1:18" x14ac:dyDescent="0.3">
      <c r="A1230" s="39">
        <v>435</v>
      </c>
      <c r="B1230" s="5" t="s">
        <v>464</v>
      </c>
      <c r="C1230" s="5" t="s">
        <v>90</v>
      </c>
      <c r="D1230" s="5" t="s">
        <v>8</v>
      </c>
      <c r="E1230" s="5" t="s">
        <v>9</v>
      </c>
      <c r="F1230" s="6">
        <v>45291</v>
      </c>
      <c r="G1230" s="5">
        <f t="shared" si="237"/>
        <v>2023</v>
      </c>
      <c r="H1230" s="5" t="str">
        <f t="shared" si="234"/>
        <v>Diciembre</v>
      </c>
      <c r="I1230" s="6" t="str">
        <f t="shared" si="239"/>
        <v>2023-2</v>
      </c>
      <c r="J1230" s="5" t="s">
        <v>417</v>
      </c>
      <c r="K1230" s="5">
        <v>0</v>
      </c>
      <c r="L1230" s="21" t="str">
        <f>IFERROR(K1230/J1230,"")</f>
        <v/>
      </c>
      <c r="M1230" s="15" t="str">
        <f t="shared" si="240"/>
        <v/>
      </c>
      <c r="N1230" s="5" t="s">
        <v>478</v>
      </c>
      <c r="O1230" s="5" t="s">
        <v>478</v>
      </c>
      <c r="P1230" s="5">
        <v>2</v>
      </c>
      <c r="Q1230" s="5">
        <v>2</v>
      </c>
      <c r="R1230" s="5" t="str">
        <f t="shared" si="241"/>
        <v>435-2023-12-31</v>
      </c>
    </row>
    <row r="1231" spans="1:18" x14ac:dyDescent="0.3">
      <c r="A1231" s="5">
        <v>435</v>
      </c>
      <c r="B1231" s="5" t="s">
        <v>464</v>
      </c>
      <c r="C1231" s="5" t="s">
        <v>90</v>
      </c>
      <c r="D1231" s="5" t="s">
        <v>8</v>
      </c>
      <c r="E1231" s="5" t="s">
        <v>9</v>
      </c>
      <c r="F1231" s="6">
        <v>45473</v>
      </c>
      <c r="G1231" s="5">
        <f t="shared" si="237"/>
        <v>2024</v>
      </c>
      <c r="H1231" s="5" t="str">
        <f t="shared" si="234"/>
        <v>Junio</v>
      </c>
      <c r="I1231" s="6" t="str">
        <f t="shared" si="239"/>
        <v>2024-1</v>
      </c>
      <c r="J1231" s="5">
        <v>100</v>
      </c>
      <c r="K1231" s="5">
        <v>-20.67</v>
      </c>
      <c r="L1231" s="15">
        <f>IFERROR(IF((K1231/J1231)&gt;1.3,1.3,K1231/J1231),"")</f>
        <v>-0.20670000000000002</v>
      </c>
      <c r="M1231" s="15">
        <f t="shared" si="240"/>
        <v>-0.20670000000000002</v>
      </c>
      <c r="N1231" s="5"/>
      <c r="O1231" s="5"/>
      <c r="P1231" s="5">
        <v>0</v>
      </c>
      <c r="Q1231" s="5">
        <v>0</v>
      </c>
      <c r="R1231" s="5" t="str">
        <f t="shared" si="241"/>
        <v>435-2024-06-30</v>
      </c>
    </row>
    <row r="1232" spans="1:18" x14ac:dyDescent="0.3">
      <c r="A1232" s="5">
        <v>435</v>
      </c>
      <c r="B1232" s="5" t="s">
        <v>464</v>
      </c>
      <c r="C1232" s="5" t="s">
        <v>90</v>
      </c>
      <c r="D1232" s="5" t="s">
        <v>8</v>
      </c>
      <c r="E1232" s="5" t="s">
        <v>9</v>
      </c>
      <c r="F1232" s="6">
        <v>45657</v>
      </c>
      <c r="G1232" s="5">
        <f t="shared" si="237"/>
        <v>2024</v>
      </c>
      <c r="H1232" s="5" t="str">
        <f t="shared" si="234"/>
        <v>Diciembre</v>
      </c>
      <c r="I1232" s="6" t="str">
        <f t="shared" si="239"/>
        <v>2024-2</v>
      </c>
      <c r="J1232" s="5">
        <v>100</v>
      </c>
      <c r="K1232" s="5">
        <v>71.09</v>
      </c>
      <c r="L1232" s="15">
        <f>IFERROR(IF((K1232/J1232)&gt;1.3,1.3,K1232/J1232),"")</f>
        <v>0.71090000000000009</v>
      </c>
      <c r="M1232" s="15">
        <f t="shared" si="240"/>
        <v>0.71090000000000009</v>
      </c>
      <c r="N1232" s="5"/>
      <c r="O1232" s="5"/>
      <c r="P1232" s="5">
        <v>0</v>
      </c>
      <c r="Q1232" s="5">
        <v>0</v>
      </c>
      <c r="R1232" s="5" t="str">
        <f t="shared" si="241"/>
        <v>435-2024-12-31</v>
      </c>
    </row>
    <row r="1233" spans="1:18" x14ac:dyDescent="0.3">
      <c r="A1233" s="39">
        <v>436</v>
      </c>
      <c r="B1233" s="5" t="s">
        <v>69</v>
      </c>
      <c r="C1233" s="5" t="s">
        <v>45</v>
      </c>
      <c r="D1233" s="5" t="s">
        <v>18</v>
      </c>
      <c r="E1233" s="5" t="s">
        <v>14</v>
      </c>
      <c r="F1233" s="6">
        <v>45291</v>
      </c>
      <c r="G1233" s="5">
        <f t="shared" si="237"/>
        <v>2023</v>
      </c>
      <c r="H1233" s="5" t="str">
        <f t="shared" si="234"/>
        <v>Diciembre</v>
      </c>
      <c r="I1233" s="6" t="str">
        <f t="shared" si="239"/>
        <v>2023-2</v>
      </c>
      <c r="J1233" s="5">
        <v>21</v>
      </c>
      <c r="K1233" s="5">
        <v>11.07</v>
      </c>
      <c r="L1233" s="15">
        <f>IFERROR(IF((J1233/K1233)&gt;1.3,1.3,J1233/K1233),"")</f>
        <v>1.3</v>
      </c>
      <c r="M1233" s="15">
        <f>IFERROR(J1233/K1233,"")</f>
        <v>1.8970189701897018</v>
      </c>
      <c r="N1233" s="5" t="s">
        <v>479</v>
      </c>
      <c r="O1233" s="5" t="s">
        <v>479</v>
      </c>
      <c r="P1233" s="5">
        <v>1</v>
      </c>
      <c r="Q1233" s="5">
        <v>1</v>
      </c>
      <c r="R1233" s="5" t="str">
        <f t="shared" si="241"/>
        <v>436-2023-12-31</v>
      </c>
    </row>
    <row r="1234" spans="1:18" x14ac:dyDescent="0.3">
      <c r="A1234" s="5">
        <v>436</v>
      </c>
      <c r="B1234" s="5" t="s">
        <v>69</v>
      </c>
      <c r="C1234" s="5" t="s">
        <v>45</v>
      </c>
      <c r="D1234" s="5" t="s">
        <v>18</v>
      </c>
      <c r="E1234" s="5" t="s">
        <v>14</v>
      </c>
      <c r="F1234" s="6">
        <v>45473</v>
      </c>
      <c r="G1234" s="5">
        <f t="shared" si="237"/>
        <v>2024</v>
      </c>
      <c r="H1234" s="5" t="str">
        <f t="shared" si="234"/>
        <v>Junio</v>
      </c>
      <c r="I1234" s="6" t="str">
        <f t="shared" si="239"/>
        <v>2024-1</v>
      </c>
      <c r="J1234" s="5">
        <v>14</v>
      </c>
      <c r="K1234" s="5">
        <v>8.8000000000000007</v>
      </c>
      <c r="L1234" s="15">
        <f>IFERROR(IF((K1234/J1234)&gt;1.3,1.3,K1234/J1234),"")</f>
        <v>0.62857142857142867</v>
      </c>
      <c r="M1234" s="15">
        <f t="shared" ref="M1234:M1265" si="242">IFERROR(K1234/J1234,"")</f>
        <v>0.62857142857142867</v>
      </c>
      <c r="N1234" s="5"/>
      <c r="O1234" s="5"/>
      <c r="P1234" s="5">
        <v>0</v>
      </c>
      <c r="Q1234" s="5">
        <v>0</v>
      </c>
      <c r="R1234" s="5" t="str">
        <f t="shared" si="241"/>
        <v>436-2024-06-30</v>
      </c>
    </row>
    <row r="1235" spans="1:18" x14ac:dyDescent="0.3">
      <c r="A1235" s="5">
        <v>436</v>
      </c>
      <c r="B1235" s="5" t="s">
        <v>69</v>
      </c>
      <c r="C1235" s="5" t="s">
        <v>45</v>
      </c>
      <c r="D1235" s="5" t="s">
        <v>18</v>
      </c>
      <c r="E1235" s="5" t="s">
        <v>14</v>
      </c>
      <c r="F1235" s="6">
        <v>45657</v>
      </c>
      <c r="G1235" s="5">
        <f t="shared" si="237"/>
        <v>2024</v>
      </c>
      <c r="H1235" s="5" t="str">
        <f t="shared" si="234"/>
        <v>Diciembre</v>
      </c>
      <c r="I1235" s="6" t="str">
        <f t="shared" si="239"/>
        <v>2024-2</v>
      </c>
      <c r="J1235" s="5">
        <v>14</v>
      </c>
      <c r="K1235" s="5">
        <v>16.97</v>
      </c>
      <c r="L1235" s="15">
        <f>IFERROR(IF((K1235/J1235)&gt;1.3,1.3,K1235/J1235),"")</f>
        <v>1.212142857142857</v>
      </c>
      <c r="M1235" s="15">
        <f t="shared" si="242"/>
        <v>1.212142857142857</v>
      </c>
      <c r="N1235" s="5"/>
      <c r="O1235" s="5"/>
      <c r="P1235" s="5">
        <v>0</v>
      </c>
      <c r="Q1235" s="5">
        <v>0</v>
      </c>
      <c r="R1235" s="5" t="str">
        <f t="shared" si="241"/>
        <v>436-2024-12-31</v>
      </c>
    </row>
    <row r="1236" spans="1:18" x14ac:dyDescent="0.3">
      <c r="A1236" s="39">
        <v>437</v>
      </c>
      <c r="B1236" s="5" t="s">
        <v>465</v>
      </c>
      <c r="C1236" s="5" t="s">
        <v>182</v>
      </c>
      <c r="D1236" s="5" t="s">
        <v>25</v>
      </c>
      <c r="E1236" s="5" t="s">
        <v>9</v>
      </c>
      <c r="F1236" s="6">
        <v>45291</v>
      </c>
      <c r="G1236" s="5">
        <f t="shared" si="237"/>
        <v>2023</v>
      </c>
      <c r="H1236" s="5" t="str">
        <f t="shared" si="234"/>
        <v>Diciembre</v>
      </c>
      <c r="I1236" s="6" t="str">
        <f t="shared" si="239"/>
        <v>2023-2</v>
      </c>
      <c r="J1236" s="5">
        <v>80</v>
      </c>
      <c r="K1236" s="5">
        <v>96.239806704922998</v>
      </c>
      <c r="L1236" s="21">
        <f>IFERROR(K1236/J1236,"")</f>
        <v>1.2029975838115374</v>
      </c>
      <c r="M1236" s="15">
        <f t="shared" si="242"/>
        <v>1.2029975838115374</v>
      </c>
      <c r="N1236" s="5" t="s">
        <v>347</v>
      </c>
      <c r="O1236" s="5" t="s">
        <v>347</v>
      </c>
      <c r="P1236" s="5">
        <v>0</v>
      </c>
      <c r="Q1236" s="5">
        <v>0</v>
      </c>
      <c r="R1236" s="5" t="str">
        <f t="shared" si="241"/>
        <v>437-2023-12-31</v>
      </c>
    </row>
    <row r="1237" spans="1:18" x14ac:dyDescent="0.3">
      <c r="A1237" s="5">
        <v>437</v>
      </c>
      <c r="B1237" s="5" t="s">
        <v>465</v>
      </c>
      <c r="C1237" s="5" t="s">
        <v>182</v>
      </c>
      <c r="D1237" s="5" t="s">
        <v>25</v>
      </c>
      <c r="E1237" s="5" t="s">
        <v>9</v>
      </c>
      <c r="F1237" s="6">
        <v>45657</v>
      </c>
      <c r="G1237" s="5">
        <f t="shared" si="237"/>
        <v>2024</v>
      </c>
      <c r="H1237" s="5" t="str">
        <f t="shared" si="234"/>
        <v>Diciembre</v>
      </c>
      <c r="I1237" s="6" t="str">
        <f t="shared" si="239"/>
        <v>2024-2</v>
      </c>
      <c r="J1237" s="5">
        <v>80</v>
      </c>
      <c r="K1237" s="5">
        <v>84</v>
      </c>
      <c r="L1237" s="15">
        <f>IFERROR(IF((K1237/J1237)&gt;1.3,1.3,K1237/J1237),"")</f>
        <v>1.05</v>
      </c>
      <c r="M1237" s="15">
        <f t="shared" si="242"/>
        <v>1.05</v>
      </c>
      <c r="N1237" s="5"/>
      <c r="O1237" s="5"/>
      <c r="P1237" s="5">
        <v>0</v>
      </c>
      <c r="Q1237" s="5">
        <v>0</v>
      </c>
      <c r="R1237" s="5" t="str">
        <f t="shared" si="241"/>
        <v>437-2024-12-31</v>
      </c>
    </row>
    <row r="1238" spans="1:18" x14ac:dyDescent="0.3">
      <c r="A1238" s="39">
        <v>438</v>
      </c>
      <c r="B1238" s="5" t="s">
        <v>466</v>
      </c>
      <c r="C1238" s="5" t="s">
        <v>251</v>
      </c>
      <c r="D1238" s="5" t="s">
        <v>8</v>
      </c>
      <c r="E1238" s="5" t="s">
        <v>9</v>
      </c>
      <c r="F1238" s="6">
        <v>45291</v>
      </c>
      <c r="G1238" s="5">
        <f t="shared" si="237"/>
        <v>2023</v>
      </c>
      <c r="H1238" s="5" t="str">
        <f t="shared" si="234"/>
        <v>Diciembre</v>
      </c>
      <c r="I1238" s="6" t="str">
        <f t="shared" si="239"/>
        <v>2023-2</v>
      </c>
      <c r="J1238" s="5">
        <v>100</v>
      </c>
      <c r="K1238" s="5">
        <v>100</v>
      </c>
      <c r="L1238" s="21">
        <f>IFERROR(K1238/J1238,"")</f>
        <v>1</v>
      </c>
      <c r="M1238" s="15">
        <f t="shared" si="242"/>
        <v>1</v>
      </c>
      <c r="N1238" s="5"/>
      <c r="O1238" s="5"/>
      <c r="P1238" s="5">
        <v>0</v>
      </c>
      <c r="Q1238" s="5">
        <v>0</v>
      </c>
      <c r="R1238" s="5" t="str">
        <f t="shared" si="241"/>
        <v>438-2023-12-31</v>
      </c>
    </row>
    <row r="1239" spans="1:18" x14ac:dyDescent="0.3">
      <c r="A1239" s="39">
        <v>439</v>
      </c>
      <c r="B1239" s="5" t="s">
        <v>467</v>
      </c>
      <c r="C1239" s="5" t="s">
        <v>251</v>
      </c>
      <c r="D1239" s="5" t="s">
        <v>8</v>
      </c>
      <c r="E1239" s="5" t="s">
        <v>9</v>
      </c>
      <c r="F1239" s="6">
        <v>45291</v>
      </c>
      <c r="G1239" s="5">
        <f t="shared" si="237"/>
        <v>2023</v>
      </c>
      <c r="H1239" s="5" t="str">
        <f t="shared" si="234"/>
        <v>Diciembre</v>
      </c>
      <c r="I1239" s="6" t="str">
        <f t="shared" si="239"/>
        <v>2023-2</v>
      </c>
      <c r="J1239" s="5">
        <v>100</v>
      </c>
      <c r="K1239" s="5">
        <v>100</v>
      </c>
      <c r="L1239" s="21">
        <f>IFERROR(K1239/J1239,"")</f>
        <v>1</v>
      </c>
      <c r="M1239" s="15">
        <f t="shared" si="242"/>
        <v>1</v>
      </c>
      <c r="N1239" s="5"/>
      <c r="O1239" s="5"/>
      <c r="P1239" s="5">
        <v>0</v>
      </c>
      <c r="Q1239" s="5">
        <v>0</v>
      </c>
      <c r="R1239" s="5" t="str">
        <f t="shared" si="241"/>
        <v>439-2023-12-31</v>
      </c>
    </row>
    <row r="1240" spans="1:18" x14ac:dyDescent="0.3">
      <c r="A1240" s="5">
        <v>439</v>
      </c>
      <c r="B1240" s="5" t="s">
        <v>467</v>
      </c>
      <c r="C1240" s="5" t="s">
        <v>762</v>
      </c>
      <c r="D1240" s="5" t="s">
        <v>8</v>
      </c>
      <c r="E1240" s="5" t="s">
        <v>9</v>
      </c>
      <c r="F1240" s="6">
        <v>45473</v>
      </c>
      <c r="G1240" s="5">
        <f t="shared" si="237"/>
        <v>2024</v>
      </c>
      <c r="H1240" s="5" t="str">
        <f t="shared" si="234"/>
        <v>Junio</v>
      </c>
      <c r="I1240" s="6" t="str">
        <f t="shared" si="239"/>
        <v>2024-1</v>
      </c>
      <c r="J1240" s="5">
        <v>100</v>
      </c>
      <c r="K1240" s="5">
        <v>100</v>
      </c>
      <c r="L1240" s="15">
        <f>IFERROR(IF((K1240/J1240)&gt;1.3,1.3,K1240/J1240),"")</f>
        <v>1</v>
      </c>
      <c r="M1240" s="15">
        <f t="shared" si="242"/>
        <v>1</v>
      </c>
      <c r="N1240" s="5"/>
      <c r="O1240" s="5"/>
      <c r="P1240" s="5">
        <v>0</v>
      </c>
      <c r="Q1240" s="5">
        <v>0</v>
      </c>
      <c r="R1240" s="5" t="str">
        <f t="shared" si="241"/>
        <v>439-2024-06-30</v>
      </c>
    </row>
    <row r="1241" spans="1:18" x14ac:dyDescent="0.3">
      <c r="A1241" s="5">
        <v>439</v>
      </c>
      <c r="B1241" s="5" t="s">
        <v>467</v>
      </c>
      <c r="C1241" s="5" t="s">
        <v>762</v>
      </c>
      <c r="D1241" s="5" t="s">
        <v>8</v>
      </c>
      <c r="E1241" s="5" t="s">
        <v>9</v>
      </c>
      <c r="F1241" s="6">
        <v>45657</v>
      </c>
      <c r="G1241" s="5">
        <f t="shared" si="237"/>
        <v>2024</v>
      </c>
      <c r="H1241" s="5" t="str">
        <f t="shared" si="234"/>
        <v>Diciembre</v>
      </c>
      <c r="I1241" s="6" t="str">
        <f t="shared" si="239"/>
        <v>2024-2</v>
      </c>
      <c r="J1241" s="5">
        <v>100</v>
      </c>
      <c r="K1241" s="5">
        <v>100</v>
      </c>
      <c r="L1241" s="15">
        <f>IFERROR(IF((K1241/J1241)&gt;1.3,1.3,K1241/J1241),"")</f>
        <v>1</v>
      </c>
      <c r="M1241" s="15">
        <f t="shared" si="242"/>
        <v>1</v>
      </c>
      <c r="N1241" s="5"/>
      <c r="O1241" s="5"/>
      <c r="P1241" s="5">
        <v>0</v>
      </c>
      <c r="Q1241" s="5">
        <v>0</v>
      </c>
      <c r="R1241" s="5" t="str">
        <f t="shared" si="241"/>
        <v>439-2024-12-31</v>
      </c>
    </row>
    <row r="1242" spans="1:18" x14ac:dyDescent="0.3">
      <c r="A1242" s="39">
        <v>440</v>
      </c>
      <c r="B1242" s="5" t="s">
        <v>468</v>
      </c>
      <c r="C1242" s="5" t="s">
        <v>251</v>
      </c>
      <c r="D1242" s="5" t="s">
        <v>8</v>
      </c>
      <c r="E1242" s="5" t="s">
        <v>9</v>
      </c>
      <c r="F1242" s="6">
        <v>45291</v>
      </c>
      <c r="G1242" s="5">
        <f t="shared" si="237"/>
        <v>2023</v>
      </c>
      <c r="H1242" s="5" t="str">
        <f t="shared" si="234"/>
        <v>Diciembre</v>
      </c>
      <c r="I1242" s="6" t="str">
        <f t="shared" si="239"/>
        <v>2023-2</v>
      </c>
      <c r="J1242" s="5">
        <v>100</v>
      </c>
      <c r="K1242" s="5">
        <v>97.75</v>
      </c>
      <c r="L1242" s="21">
        <f>IFERROR(K1242/J1242,"")</f>
        <v>0.97750000000000004</v>
      </c>
      <c r="M1242" s="15">
        <f t="shared" si="242"/>
        <v>0.97750000000000004</v>
      </c>
      <c r="N1242" s="5"/>
      <c r="O1242" s="5"/>
      <c r="P1242" s="5">
        <v>1</v>
      </c>
      <c r="Q1242" s="5">
        <v>1</v>
      </c>
      <c r="R1242" s="5" t="str">
        <f t="shared" si="241"/>
        <v>440-2023-12-31</v>
      </c>
    </row>
    <row r="1243" spans="1:18" x14ac:dyDescent="0.3">
      <c r="A1243" s="5">
        <v>440</v>
      </c>
      <c r="B1243" s="5" t="s">
        <v>468</v>
      </c>
      <c r="C1243" s="5" t="s">
        <v>762</v>
      </c>
      <c r="D1243" s="5" t="s">
        <v>8</v>
      </c>
      <c r="E1243" s="5" t="s">
        <v>9</v>
      </c>
      <c r="F1243" s="6">
        <v>45473</v>
      </c>
      <c r="G1243" s="5">
        <f t="shared" si="237"/>
        <v>2024</v>
      </c>
      <c r="H1243" s="5" t="str">
        <f t="shared" ref="H1243:H1305" si="243">PROPER(TEXT(F1243,"mmmm"))</f>
        <v>Junio</v>
      </c>
      <c r="I1243" s="6" t="str">
        <f t="shared" si="239"/>
        <v>2024-1</v>
      </c>
      <c r="J1243" s="5">
        <v>100</v>
      </c>
      <c r="K1243" s="5">
        <v>99.73</v>
      </c>
      <c r="L1243" s="15">
        <f t="shared" ref="L1243:L1274" si="244">IFERROR(IF((K1243/J1243)&gt;1.3,1.3,K1243/J1243),"")</f>
        <v>0.99730000000000008</v>
      </c>
      <c r="M1243" s="15">
        <f t="shared" si="242"/>
        <v>0.99730000000000008</v>
      </c>
      <c r="N1243" s="5"/>
      <c r="O1243" s="5"/>
      <c r="P1243" s="5">
        <v>0</v>
      </c>
      <c r="Q1243" s="5">
        <v>0</v>
      </c>
      <c r="R1243" s="5" t="str">
        <f t="shared" si="241"/>
        <v>440-2024-06-30</v>
      </c>
    </row>
    <row r="1244" spans="1:18" x14ac:dyDescent="0.3">
      <c r="A1244" s="5">
        <v>440</v>
      </c>
      <c r="B1244" s="5" t="s">
        <v>468</v>
      </c>
      <c r="C1244" s="5" t="s">
        <v>762</v>
      </c>
      <c r="D1244" s="5" t="s">
        <v>8</v>
      </c>
      <c r="E1244" s="5" t="s">
        <v>9</v>
      </c>
      <c r="F1244" s="6">
        <v>45657</v>
      </c>
      <c r="G1244" s="5">
        <f t="shared" si="237"/>
        <v>2024</v>
      </c>
      <c r="H1244" s="5" t="str">
        <f t="shared" si="243"/>
        <v>Diciembre</v>
      </c>
      <c r="I1244" s="6" t="str">
        <f t="shared" si="239"/>
        <v>2024-2</v>
      </c>
      <c r="J1244" s="5">
        <v>100</v>
      </c>
      <c r="K1244" s="5">
        <v>99.24</v>
      </c>
      <c r="L1244" s="15">
        <f t="shared" si="244"/>
        <v>0.99239999999999995</v>
      </c>
      <c r="M1244" s="15">
        <f t="shared" si="242"/>
        <v>0.99239999999999995</v>
      </c>
      <c r="N1244" s="5"/>
      <c r="O1244" s="5"/>
      <c r="P1244" s="5">
        <v>0</v>
      </c>
      <c r="Q1244" s="5">
        <v>0</v>
      </c>
      <c r="R1244" s="5" t="str">
        <f t="shared" si="241"/>
        <v>440-2024-12-31</v>
      </c>
    </row>
    <row r="1245" spans="1:18" x14ac:dyDescent="0.3">
      <c r="A1245" s="5">
        <v>441</v>
      </c>
      <c r="B1245" s="5" t="s">
        <v>508</v>
      </c>
      <c r="C1245" s="5" t="s">
        <v>117</v>
      </c>
      <c r="D1245" s="5" t="s">
        <v>18</v>
      </c>
      <c r="E1245" s="5" t="s">
        <v>9</v>
      </c>
      <c r="F1245" s="6">
        <v>45473</v>
      </c>
      <c r="G1245" s="5">
        <f t="shared" si="237"/>
        <v>2024</v>
      </c>
      <c r="H1245" s="5" t="str">
        <f t="shared" si="243"/>
        <v>Junio</v>
      </c>
      <c r="I1245" s="6" t="str">
        <f t="shared" ref="I1245:I1276" si="245">IF(OR(H1245="Enero",H1245="Febrero",H1245="Marzo",H1245="Abril",H1245="Mayo",H1245="Junio"),G1245&amp;"-1",IF(OR(H1245="Julio",H1245="Agosto",H1245="Septiembre",H1245="Octubre",H1245="Noviembre",H1245="Diciembre"),G1245&amp;"-2"))</f>
        <v>2024-1</v>
      </c>
      <c r="J1245" s="5">
        <v>90</v>
      </c>
      <c r="K1245" s="5">
        <v>97.31</v>
      </c>
      <c r="L1245" s="15">
        <f t="shared" si="244"/>
        <v>1.0812222222222223</v>
      </c>
      <c r="M1245" s="15">
        <f t="shared" si="242"/>
        <v>1.0812222222222223</v>
      </c>
      <c r="N1245" s="5"/>
      <c r="O1245" s="5"/>
      <c r="P1245" s="5">
        <v>0</v>
      </c>
      <c r="Q1245" s="5">
        <v>0</v>
      </c>
      <c r="R1245" s="5" t="str">
        <f t="shared" si="241"/>
        <v>441-2024-06-30</v>
      </c>
    </row>
    <row r="1246" spans="1:18" x14ac:dyDescent="0.3">
      <c r="A1246" s="5">
        <v>441</v>
      </c>
      <c r="B1246" s="5" t="s">
        <v>508</v>
      </c>
      <c r="C1246" s="5" t="s">
        <v>117</v>
      </c>
      <c r="D1246" s="5" t="s">
        <v>18</v>
      </c>
      <c r="E1246" s="5" t="s">
        <v>9</v>
      </c>
      <c r="F1246" s="6">
        <v>45657</v>
      </c>
      <c r="G1246" s="5">
        <f t="shared" si="237"/>
        <v>2024</v>
      </c>
      <c r="H1246" s="5" t="str">
        <f t="shared" si="243"/>
        <v>Diciembre</v>
      </c>
      <c r="I1246" s="6" t="str">
        <f t="shared" si="245"/>
        <v>2024-2</v>
      </c>
      <c r="J1246" s="5">
        <v>90</v>
      </c>
      <c r="K1246" s="5">
        <v>99.919935948759004</v>
      </c>
      <c r="L1246" s="15">
        <f t="shared" si="244"/>
        <v>1.1102215105417668</v>
      </c>
      <c r="M1246" s="15">
        <f t="shared" si="242"/>
        <v>1.1102215105417668</v>
      </c>
      <c r="N1246" s="5"/>
      <c r="O1246" s="5"/>
      <c r="P1246" s="5">
        <v>0</v>
      </c>
      <c r="Q1246" s="5">
        <v>0</v>
      </c>
      <c r="R1246" s="5" t="str">
        <f t="shared" si="241"/>
        <v>441-2024-12-31</v>
      </c>
    </row>
    <row r="1247" spans="1:18" x14ac:dyDescent="0.3">
      <c r="A1247" s="5">
        <v>442</v>
      </c>
      <c r="B1247" s="5" t="s">
        <v>509</v>
      </c>
      <c r="C1247" s="5" t="s">
        <v>53</v>
      </c>
      <c r="D1247" s="5" t="s">
        <v>8</v>
      </c>
      <c r="E1247" s="5" t="s">
        <v>9</v>
      </c>
      <c r="F1247" s="6">
        <v>45473</v>
      </c>
      <c r="G1247" s="5">
        <f t="shared" si="237"/>
        <v>2024</v>
      </c>
      <c r="H1247" s="5" t="str">
        <f t="shared" si="243"/>
        <v>Junio</v>
      </c>
      <c r="I1247" s="6" t="str">
        <f t="shared" si="245"/>
        <v>2024-1</v>
      </c>
      <c r="J1247" s="5">
        <v>100</v>
      </c>
      <c r="K1247" s="5">
        <v>80</v>
      </c>
      <c r="L1247" s="15">
        <f t="shared" si="244"/>
        <v>0.8</v>
      </c>
      <c r="M1247" s="15">
        <f t="shared" si="242"/>
        <v>0.8</v>
      </c>
      <c r="N1247" s="5"/>
      <c r="O1247" s="5"/>
      <c r="P1247" s="5">
        <v>0</v>
      </c>
      <c r="Q1247" s="5">
        <v>0</v>
      </c>
      <c r="R1247" s="5" t="str">
        <f t="shared" si="241"/>
        <v>442-2024-06-30</v>
      </c>
    </row>
    <row r="1248" spans="1:18" x14ac:dyDescent="0.3">
      <c r="A1248" s="5">
        <v>442</v>
      </c>
      <c r="B1248" s="5" t="s">
        <v>509</v>
      </c>
      <c r="C1248" s="5" t="s">
        <v>53</v>
      </c>
      <c r="D1248" s="5" t="s">
        <v>8</v>
      </c>
      <c r="E1248" s="5" t="s">
        <v>9</v>
      </c>
      <c r="F1248" s="6">
        <v>45657</v>
      </c>
      <c r="G1248" s="5">
        <f t="shared" si="237"/>
        <v>2024</v>
      </c>
      <c r="H1248" s="5" t="str">
        <f t="shared" si="243"/>
        <v>Diciembre</v>
      </c>
      <c r="I1248" s="6" t="str">
        <f t="shared" si="245"/>
        <v>2024-2</v>
      </c>
      <c r="J1248" s="5">
        <v>100</v>
      </c>
      <c r="K1248" s="5">
        <v>145</v>
      </c>
      <c r="L1248" s="15">
        <f t="shared" si="244"/>
        <v>1.3</v>
      </c>
      <c r="M1248" s="15">
        <f t="shared" si="242"/>
        <v>1.45</v>
      </c>
      <c r="N1248" s="5"/>
      <c r="O1248" s="5"/>
      <c r="P1248" s="5">
        <v>0</v>
      </c>
      <c r="Q1248" s="5">
        <v>0</v>
      </c>
      <c r="R1248" s="5" t="str">
        <f t="shared" si="241"/>
        <v>442-2024-12-31</v>
      </c>
    </row>
    <row r="1249" spans="1:18" x14ac:dyDescent="0.3">
      <c r="A1249" s="5">
        <v>443</v>
      </c>
      <c r="B1249" s="5" t="s">
        <v>510</v>
      </c>
      <c r="C1249" s="5" t="s">
        <v>53</v>
      </c>
      <c r="D1249" s="5" t="s">
        <v>8</v>
      </c>
      <c r="E1249" s="5" t="s">
        <v>9</v>
      </c>
      <c r="F1249" s="6">
        <v>45473</v>
      </c>
      <c r="G1249" s="5">
        <f t="shared" si="237"/>
        <v>2024</v>
      </c>
      <c r="H1249" s="5" t="str">
        <f t="shared" si="243"/>
        <v>Junio</v>
      </c>
      <c r="I1249" s="6" t="str">
        <f t="shared" si="245"/>
        <v>2024-1</v>
      </c>
      <c r="J1249" s="5">
        <v>100</v>
      </c>
      <c r="K1249" s="5">
        <v>114.33</v>
      </c>
      <c r="L1249" s="15">
        <f t="shared" si="244"/>
        <v>1.1433</v>
      </c>
      <c r="M1249" s="15">
        <f t="shared" si="242"/>
        <v>1.1433</v>
      </c>
      <c r="N1249" s="5"/>
      <c r="O1249" s="5"/>
      <c r="P1249" s="5">
        <v>0</v>
      </c>
      <c r="Q1249" s="5">
        <v>0</v>
      </c>
      <c r="R1249" s="5" t="str">
        <f t="shared" si="241"/>
        <v>443-2024-06-30</v>
      </c>
    </row>
    <row r="1250" spans="1:18" x14ac:dyDescent="0.3">
      <c r="A1250" s="5">
        <v>443</v>
      </c>
      <c r="B1250" s="5" t="s">
        <v>510</v>
      </c>
      <c r="C1250" s="5" t="s">
        <v>53</v>
      </c>
      <c r="D1250" s="5" t="s">
        <v>8</v>
      </c>
      <c r="E1250" s="5" t="s">
        <v>9</v>
      </c>
      <c r="F1250" s="6">
        <v>45657</v>
      </c>
      <c r="G1250" s="5">
        <f t="shared" si="237"/>
        <v>2024</v>
      </c>
      <c r="H1250" s="5" t="str">
        <f t="shared" si="243"/>
        <v>Diciembre</v>
      </c>
      <c r="I1250" s="6" t="str">
        <f t="shared" si="245"/>
        <v>2024-2</v>
      </c>
      <c r="J1250" s="5">
        <v>100</v>
      </c>
      <c r="K1250" s="5">
        <v>209</v>
      </c>
      <c r="L1250" s="15">
        <f t="shared" si="244"/>
        <v>1.3</v>
      </c>
      <c r="M1250" s="15">
        <f t="shared" si="242"/>
        <v>2.09</v>
      </c>
      <c r="N1250" s="5"/>
      <c r="O1250" s="5"/>
      <c r="P1250" s="5">
        <v>0</v>
      </c>
      <c r="Q1250" s="5">
        <v>0</v>
      </c>
      <c r="R1250" s="5" t="str">
        <f t="shared" si="241"/>
        <v>443-2024-12-31</v>
      </c>
    </row>
    <row r="1251" spans="1:18" x14ac:dyDescent="0.3">
      <c r="A1251" s="5">
        <v>444</v>
      </c>
      <c r="B1251" s="5" t="s">
        <v>511</v>
      </c>
      <c r="C1251" s="5" t="s">
        <v>126</v>
      </c>
      <c r="D1251" s="5" t="s">
        <v>8</v>
      </c>
      <c r="E1251" s="5" t="s">
        <v>9</v>
      </c>
      <c r="F1251" s="6">
        <v>45473</v>
      </c>
      <c r="G1251" s="5">
        <f t="shared" si="237"/>
        <v>2024</v>
      </c>
      <c r="H1251" s="5" t="str">
        <f t="shared" si="243"/>
        <v>Junio</v>
      </c>
      <c r="I1251" s="6" t="str">
        <f t="shared" si="245"/>
        <v>2024-1</v>
      </c>
      <c r="J1251" s="5"/>
      <c r="K1251" s="5"/>
      <c r="L1251" s="15" t="str">
        <f t="shared" si="244"/>
        <v/>
      </c>
      <c r="M1251" s="15" t="str">
        <f t="shared" si="242"/>
        <v/>
      </c>
      <c r="N1251" s="5"/>
      <c r="O1251" s="5"/>
      <c r="P1251" s="5">
        <v>0</v>
      </c>
      <c r="Q1251" s="5">
        <v>0</v>
      </c>
      <c r="R1251" s="5" t="str">
        <f t="shared" si="241"/>
        <v>444-2024-06-30</v>
      </c>
    </row>
    <row r="1252" spans="1:18" x14ac:dyDescent="0.3">
      <c r="A1252" s="5">
        <v>444</v>
      </c>
      <c r="B1252" s="5" t="s">
        <v>511</v>
      </c>
      <c r="C1252" s="5" t="s">
        <v>126</v>
      </c>
      <c r="D1252" s="5" t="s">
        <v>8</v>
      </c>
      <c r="E1252" s="5" t="s">
        <v>9</v>
      </c>
      <c r="F1252" s="6">
        <v>45657</v>
      </c>
      <c r="G1252" s="5">
        <f t="shared" si="237"/>
        <v>2024</v>
      </c>
      <c r="H1252" s="5" t="str">
        <f t="shared" si="243"/>
        <v>Diciembre</v>
      </c>
      <c r="I1252" s="6" t="str">
        <f t="shared" si="245"/>
        <v>2024-2</v>
      </c>
      <c r="J1252" s="5">
        <v>0</v>
      </c>
      <c r="K1252" s="5">
        <v>2.1</v>
      </c>
      <c r="L1252" s="15" t="str">
        <f t="shared" si="244"/>
        <v/>
      </c>
      <c r="M1252" s="15" t="str">
        <f t="shared" si="242"/>
        <v/>
      </c>
      <c r="N1252" s="5"/>
      <c r="O1252" s="5"/>
      <c r="P1252" s="5">
        <v>0</v>
      </c>
      <c r="Q1252" s="5">
        <v>0</v>
      </c>
      <c r="R1252" s="5" t="str">
        <f t="shared" si="241"/>
        <v>444-2024-12-31</v>
      </c>
    </row>
    <row r="1253" spans="1:18" x14ac:dyDescent="0.3">
      <c r="A1253" s="5">
        <v>445</v>
      </c>
      <c r="B1253" s="5" t="s">
        <v>722</v>
      </c>
      <c r="C1253" s="5" t="s">
        <v>126</v>
      </c>
      <c r="D1253" s="5" t="s">
        <v>8</v>
      </c>
      <c r="E1253" s="5" t="s">
        <v>9</v>
      </c>
      <c r="F1253" s="6">
        <v>45473</v>
      </c>
      <c r="G1253" s="5">
        <f t="shared" si="237"/>
        <v>2024</v>
      </c>
      <c r="H1253" s="5" t="str">
        <f t="shared" si="243"/>
        <v>Junio</v>
      </c>
      <c r="I1253" s="6" t="str">
        <f t="shared" si="245"/>
        <v>2024-1</v>
      </c>
      <c r="J1253" s="5">
        <v>67.5</v>
      </c>
      <c r="K1253" s="5">
        <v>55.2</v>
      </c>
      <c r="L1253" s="15">
        <f t="shared" si="244"/>
        <v>0.81777777777777783</v>
      </c>
      <c r="M1253" s="15">
        <f t="shared" si="242"/>
        <v>0.81777777777777783</v>
      </c>
      <c r="N1253" s="5"/>
      <c r="O1253" s="5"/>
      <c r="P1253" s="5">
        <v>0</v>
      </c>
      <c r="Q1253" s="5">
        <v>0</v>
      </c>
      <c r="R1253" s="5" t="str">
        <f t="shared" si="241"/>
        <v>445-2024-06-30</v>
      </c>
    </row>
    <row r="1254" spans="1:18" x14ac:dyDescent="0.3">
      <c r="A1254" s="5">
        <v>445</v>
      </c>
      <c r="B1254" s="5" t="s">
        <v>722</v>
      </c>
      <c r="C1254" s="5" t="s">
        <v>126</v>
      </c>
      <c r="D1254" s="5" t="s">
        <v>8</v>
      </c>
      <c r="E1254" s="5" t="s">
        <v>9</v>
      </c>
      <c r="F1254" s="6">
        <v>45657</v>
      </c>
      <c r="G1254" s="5">
        <f t="shared" si="237"/>
        <v>2024</v>
      </c>
      <c r="H1254" s="5" t="str">
        <f t="shared" si="243"/>
        <v>Diciembre</v>
      </c>
      <c r="I1254" s="6" t="str">
        <f t="shared" si="245"/>
        <v>2024-2</v>
      </c>
      <c r="J1254" s="5">
        <v>67.5</v>
      </c>
      <c r="K1254" s="5">
        <v>86.5</v>
      </c>
      <c r="L1254" s="15">
        <f t="shared" si="244"/>
        <v>1.2814814814814814</v>
      </c>
      <c r="M1254" s="15">
        <f t="shared" si="242"/>
        <v>1.2814814814814814</v>
      </c>
      <c r="N1254" s="5"/>
      <c r="O1254" s="5"/>
      <c r="P1254" s="5">
        <v>0</v>
      </c>
      <c r="Q1254" s="5">
        <v>0</v>
      </c>
      <c r="R1254" s="5" t="str">
        <f t="shared" si="241"/>
        <v>445-2024-12-31</v>
      </c>
    </row>
    <row r="1255" spans="1:18" x14ac:dyDescent="0.3">
      <c r="A1255" s="5">
        <v>447</v>
      </c>
      <c r="B1255" s="5" t="s">
        <v>512</v>
      </c>
      <c r="C1255" s="5" t="s">
        <v>55</v>
      </c>
      <c r="D1255" s="5" t="s">
        <v>8</v>
      </c>
      <c r="E1255" s="5" t="s">
        <v>9</v>
      </c>
      <c r="F1255" s="6">
        <v>45473</v>
      </c>
      <c r="G1255" s="5">
        <f t="shared" si="237"/>
        <v>2024</v>
      </c>
      <c r="H1255" s="5" t="str">
        <f t="shared" si="243"/>
        <v>Junio</v>
      </c>
      <c r="I1255" s="6" t="str">
        <f t="shared" si="245"/>
        <v>2024-1</v>
      </c>
      <c r="J1255" s="5">
        <v>15</v>
      </c>
      <c r="K1255" s="5">
        <v>31.04</v>
      </c>
      <c r="L1255" s="15">
        <f t="shared" si="244"/>
        <v>1.3</v>
      </c>
      <c r="M1255" s="15">
        <f t="shared" si="242"/>
        <v>2.0693333333333332</v>
      </c>
      <c r="N1255" s="5"/>
      <c r="O1255" s="5"/>
      <c r="P1255" s="5">
        <v>0</v>
      </c>
      <c r="Q1255" s="5">
        <v>0</v>
      </c>
      <c r="R1255" s="5" t="str">
        <f t="shared" si="241"/>
        <v>447-2024-06-30</v>
      </c>
    </row>
    <row r="1256" spans="1:18" x14ac:dyDescent="0.3">
      <c r="A1256" s="5">
        <v>447</v>
      </c>
      <c r="B1256" s="5" t="s">
        <v>512</v>
      </c>
      <c r="C1256" s="5" t="s">
        <v>55</v>
      </c>
      <c r="D1256" s="5" t="s">
        <v>8</v>
      </c>
      <c r="E1256" s="5" t="s">
        <v>9</v>
      </c>
      <c r="F1256" s="6">
        <v>45657</v>
      </c>
      <c r="G1256" s="5">
        <f t="shared" si="237"/>
        <v>2024</v>
      </c>
      <c r="H1256" s="5" t="str">
        <f t="shared" si="243"/>
        <v>Diciembre</v>
      </c>
      <c r="I1256" s="6" t="str">
        <f t="shared" si="245"/>
        <v>2024-2</v>
      </c>
      <c r="J1256" s="5">
        <v>15</v>
      </c>
      <c r="K1256" s="5">
        <v>16.16</v>
      </c>
      <c r="L1256" s="15">
        <f t="shared" si="244"/>
        <v>1.0773333333333333</v>
      </c>
      <c r="M1256" s="15">
        <f t="shared" si="242"/>
        <v>1.0773333333333333</v>
      </c>
      <c r="N1256" s="5"/>
      <c r="O1256" s="5"/>
      <c r="P1256" s="5">
        <v>0</v>
      </c>
      <c r="Q1256" s="5">
        <v>0</v>
      </c>
      <c r="R1256" s="5" t="str">
        <f t="shared" si="241"/>
        <v>447-2024-12-31</v>
      </c>
    </row>
    <row r="1257" spans="1:18" x14ac:dyDescent="0.3">
      <c r="A1257" s="5">
        <v>448</v>
      </c>
      <c r="B1257" s="5" t="s">
        <v>513</v>
      </c>
      <c r="C1257" s="5" t="s">
        <v>55</v>
      </c>
      <c r="D1257" s="5" t="s">
        <v>8</v>
      </c>
      <c r="E1257" s="5" t="s">
        <v>9</v>
      </c>
      <c r="F1257" s="6">
        <v>45473</v>
      </c>
      <c r="G1257" s="5">
        <f t="shared" si="237"/>
        <v>2024</v>
      </c>
      <c r="H1257" s="5" t="str">
        <f t="shared" si="243"/>
        <v>Junio</v>
      </c>
      <c r="I1257" s="6" t="str">
        <f t="shared" si="245"/>
        <v>2024-1</v>
      </c>
      <c r="J1257" s="5">
        <v>9</v>
      </c>
      <c r="K1257" s="5">
        <v>18.93</v>
      </c>
      <c r="L1257" s="15">
        <f t="shared" si="244"/>
        <v>1.3</v>
      </c>
      <c r="M1257" s="15">
        <f t="shared" si="242"/>
        <v>2.1033333333333335</v>
      </c>
      <c r="N1257" s="5"/>
      <c r="O1257" s="5"/>
      <c r="P1257" s="5">
        <v>0</v>
      </c>
      <c r="Q1257" s="5">
        <v>0</v>
      </c>
      <c r="R1257" s="5" t="str">
        <f t="shared" si="241"/>
        <v>448-2024-06-30</v>
      </c>
    </row>
    <row r="1258" spans="1:18" x14ac:dyDescent="0.3">
      <c r="A1258" s="5">
        <v>448</v>
      </c>
      <c r="B1258" s="5" t="s">
        <v>513</v>
      </c>
      <c r="C1258" s="5" t="s">
        <v>55</v>
      </c>
      <c r="D1258" s="5" t="s">
        <v>8</v>
      </c>
      <c r="E1258" s="5" t="s">
        <v>9</v>
      </c>
      <c r="F1258" s="6">
        <v>45657</v>
      </c>
      <c r="G1258" s="5">
        <f t="shared" si="237"/>
        <v>2024</v>
      </c>
      <c r="H1258" s="5" t="str">
        <f t="shared" si="243"/>
        <v>Diciembre</v>
      </c>
      <c r="I1258" s="6" t="str">
        <f t="shared" si="245"/>
        <v>2024-2</v>
      </c>
      <c r="J1258" s="5">
        <v>9</v>
      </c>
      <c r="K1258" s="5">
        <v>9.32</v>
      </c>
      <c r="L1258" s="15">
        <f t="shared" si="244"/>
        <v>1.0355555555555556</v>
      </c>
      <c r="M1258" s="15">
        <f t="shared" si="242"/>
        <v>1.0355555555555556</v>
      </c>
      <c r="N1258" s="5"/>
      <c r="O1258" s="5"/>
      <c r="P1258" s="5">
        <v>0</v>
      </c>
      <c r="Q1258" s="5">
        <v>0</v>
      </c>
      <c r="R1258" s="5" t="str">
        <f t="shared" si="241"/>
        <v>448-2024-12-31</v>
      </c>
    </row>
    <row r="1259" spans="1:18" x14ac:dyDescent="0.3">
      <c r="A1259" s="5">
        <v>449</v>
      </c>
      <c r="B1259" s="5" t="s">
        <v>736</v>
      </c>
      <c r="C1259" s="5" t="s">
        <v>182</v>
      </c>
      <c r="D1259" s="5" t="s">
        <v>11</v>
      </c>
      <c r="E1259" s="5" t="s">
        <v>9</v>
      </c>
      <c r="F1259" s="6">
        <v>45473</v>
      </c>
      <c r="G1259" s="5">
        <f t="shared" si="237"/>
        <v>2024</v>
      </c>
      <c r="H1259" s="5" t="str">
        <f t="shared" si="243"/>
        <v>Junio</v>
      </c>
      <c r="I1259" s="6" t="str">
        <f t="shared" si="245"/>
        <v>2024-1</v>
      </c>
      <c r="J1259" s="5">
        <v>40</v>
      </c>
      <c r="K1259" s="5">
        <v>53.85</v>
      </c>
      <c r="L1259" s="15">
        <f t="shared" si="244"/>
        <v>1.3</v>
      </c>
      <c r="M1259" s="15">
        <f t="shared" si="242"/>
        <v>1.3462499999999999</v>
      </c>
      <c r="N1259" s="5"/>
      <c r="O1259" s="5"/>
      <c r="P1259" s="5">
        <v>0</v>
      </c>
      <c r="Q1259" s="5">
        <v>0</v>
      </c>
      <c r="R1259" s="5" t="str">
        <f t="shared" si="241"/>
        <v>449-2024-06-30</v>
      </c>
    </row>
    <row r="1260" spans="1:18" x14ac:dyDescent="0.3">
      <c r="A1260" s="5">
        <v>449</v>
      </c>
      <c r="B1260" s="5" t="s">
        <v>736</v>
      </c>
      <c r="C1260" s="5" t="s">
        <v>182</v>
      </c>
      <c r="D1260" s="5" t="s">
        <v>11</v>
      </c>
      <c r="E1260" s="5" t="s">
        <v>9</v>
      </c>
      <c r="F1260" s="6">
        <v>45657</v>
      </c>
      <c r="G1260" s="5">
        <f t="shared" si="237"/>
        <v>2024</v>
      </c>
      <c r="H1260" s="5" t="str">
        <f t="shared" si="243"/>
        <v>Diciembre</v>
      </c>
      <c r="I1260" s="6" t="str">
        <f t="shared" si="245"/>
        <v>2024-2</v>
      </c>
      <c r="J1260" s="5">
        <v>100</v>
      </c>
      <c r="K1260" s="5">
        <v>100</v>
      </c>
      <c r="L1260" s="15">
        <f t="shared" si="244"/>
        <v>1</v>
      </c>
      <c r="M1260" s="15">
        <f t="shared" si="242"/>
        <v>1</v>
      </c>
      <c r="N1260" s="5"/>
      <c r="O1260" s="5"/>
      <c r="P1260" s="5">
        <v>0</v>
      </c>
      <c r="Q1260" s="5">
        <v>0</v>
      </c>
      <c r="R1260" s="5" t="str">
        <f t="shared" si="241"/>
        <v>449-2024-12-31</v>
      </c>
    </row>
    <row r="1261" spans="1:18" x14ac:dyDescent="0.3">
      <c r="A1261" s="5">
        <v>451</v>
      </c>
      <c r="B1261" s="5" t="s">
        <v>515</v>
      </c>
      <c r="C1261" s="5" t="s">
        <v>285</v>
      </c>
      <c r="D1261" s="5" t="s">
        <v>8</v>
      </c>
      <c r="E1261" s="5" t="s">
        <v>9</v>
      </c>
      <c r="F1261" s="6">
        <v>45473</v>
      </c>
      <c r="G1261" s="5">
        <f t="shared" si="237"/>
        <v>2024</v>
      </c>
      <c r="H1261" s="5" t="str">
        <f t="shared" si="243"/>
        <v>Junio</v>
      </c>
      <c r="I1261" s="6" t="str">
        <f t="shared" si="245"/>
        <v>2024-1</v>
      </c>
      <c r="J1261" s="5">
        <v>0</v>
      </c>
      <c r="K1261" s="5">
        <v>34.9</v>
      </c>
      <c r="L1261" s="15" t="str">
        <f t="shared" si="244"/>
        <v/>
      </c>
      <c r="M1261" s="15" t="str">
        <f t="shared" si="242"/>
        <v/>
      </c>
      <c r="N1261" s="5"/>
      <c r="O1261" s="5"/>
      <c r="P1261" s="5">
        <v>0</v>
      </c>
      <c r="Q1261" s="5">
        <v>0</v>
      </c>
      <c r="R1261" s="5" t="str">
        <f t="shared" si="241"/>
        <v>451-2024-06-30</v>
      </c>
    </row>
    <row r="1262" spans="1:18" x14ac:dyDescent="0.3">
      <c r="A1262" s="5">
        <v>451</v>
      </c>
      <c r="B1262" s="5" t="s">
        <v>515</v>
      </c>
      <c r="C1262" s="5" t="s">
        <v>285</v>
      </c>
      <c r="D1262" s="5" t="s">
        <v>8</v>
      </c>
      <c r="E1262" s="5" t="s">
        <v>9</v>
      </c>
      <c r="F1262" s="6">
        <v>45657</v>
      </c>
      <c r="G1262" s="5">
        <f t="shared" ref="G1262:G1324" si="246">YEAR(F1262)</f>
        <v>2024</v>
      </c>
      <c r="H1262" s="5" t="str">
        <f t="shared" si="243"/>
        <v>Diciembre</v>
      </c>
      <c r="I1262" s="6" t="str">
        <f t="shared" si="245"/>
        <v>2024-2</v>
      </c>
      <c r="J1262" s="5">
        <v>0</v>
      </c>
      <c r="K1262" s="5">
        <v>42.7</v>
      </c>
      <c r="L1262" s="15" t="str">
        <f t="shared" si="244"/>
        <v/>
      </c>
      <c r="M1262" s="15" t="str">
        <f t="shared" si="242"/>
        <v/>
      </c>
      <c r="N1262" s="5"/>
      <c r="O1262" s="5"/>
      <c r="P1262" s="5">
        <v>0</v>
      </c>
      <c r="Q1262" s="5">
        <v>0</v>
      </c>
      <c r="R1262" s="5" t="str">
        <f t="shared" si="241"/>
        <v>451-2024-12-31</v>
      </c>
    </row>
    <row r="1263" spans="1:18" x14ac:dyDescent="0.3">
      <c r="A1263" s="5">
        <v>452</v>
      </c>
      <c r="B1263" s="5" t="s">
        <v>516</v>
      </c>
      <c r="C1263" s="5" t="s">
        <v>285</v>
      </c>
      <c r="D1263" s="5" t="s">
        <v>8</v>
      </c>
      <c r="E1263" s="5" t="s">
        <v>9</v>
      </c>
      <c r="F1263" s="6">
        <v>45473</v>
      </c>
      <c r="G1263" s="5">
        <f t="shared" si="246"/>
        <v>2024</v>
      </c>
      <c r="H1263" s="5" t="str">
        <f t="shared" si="243"/>
        <v>Junio</v>
      </c>
      <c r="I1263" s="6" t="str">
        <f t="shared" si="245"/>
        <v>2024-1</v>
      </c>
      <c r="J1263" s="5">
        <v>100</v>
      </c>
      <c r="K1263" s="5">
        <v>100</v>
      </c>
      <c r="L1263" s="15">
        <f t="shared" si="244"/>
        <v>1</v>
      </c>
      <c r="M1263" s="15">
        <f t="shared" si="242"/>
        <v>1</v>
      </c>
      <c r="N1263" s="5"/>
      <c r="O1263" s="5"/>
      <c r="P1263" s="5">
        <v>0</v>
      </c>
      <c r="Q1263" s="5">
        <v>0</v>
      </c>
      <c r="R1263" s="5" t="str">
        <f t="shared" si="241"/>
        <v>452-2024-06-30</v>
      </c>
    </row>
    <row r="1264" spans="1:18" x14ac:dyDescent="0.3">
      <c r="A1264" s="5">
        <v>452</v>
      </c>
      <c r="B1264" s="5" t="s">
        <v>516</v>
      </c>
      <c r="C1264" s="5" t="s">
        <v>285</v>
      </c>
      <c r="D1264" s="5" t="s">
        <v>8</v>
      </c>
      <c r="E1264" s="5" t="s">
        <v>9</v>
      </c>
      <c r="F1264" s="6">
        <v>45657</v>
      </c>
      <c r="G1264" s="5">
        <f t="shared" si="246"/>
        <v>2024</v>
      </c>
      <c r="H1264" s="5" t="str">
        <f t="shared" si="243"/>
        <v>Diciembre</v>
      </c>
      <c r="I1264" s="6" t="str">
        <f t="shared" si="245"/>
        <v>2024-2</v>
      </c>
      <c r="J1264" s="5">
        <v>100</v>
      </c>
      <c r="K1264" s="5">
        <v>160</v>
      </c>
      <c r="L1264" s="15">
        <f t="shared" si="244"/>
        <v>1.3</v>
      </c>
      <c r="M1264" s="15">
        <f t="shared" si="242"/>
        <v>1.6</v>
      </c>
      <c r="N1264" s="5"/>
      <c r="O1264" s="5"/>
      <c r="P1264" s="5">
        <v>0</v>
      </c>
      <c r="Q1264" s="5">
        <v>0</v>
      </c>
      <c r="R1264" s="5" t="str">
        <f t="shared" si="241"/>
        <v>452-2024-12-31</v>
      </c>
    </row>
    <row r="1265" spans="1:18" x14ac:dyDescent="0.3">
      <c r="A1265" s="5">
        <v>453</v>
      </c>
      <c r="B1265" s="5" t="s">
        <v>517</v>
      </c>
      <c r="C1265" s="5" t="s">
        <v>506</v>
      </c>
      <c r="D1265" s="5" t="s">
        <v>11</v>
      </c>
      <c r="E1265" s="5" t="s">
        <v>9</v>
      </c>
      <c r="F1265" s="6">
        <v>45473</v>
      </c>
      <c r="G1265" s="5">
        <f t="shared" si="246"/>
        <v>2024</v>
      </c>
      <c r="H1265" s="5" t="str">
        <f t="shared" si="243"/>
        <v>Junio</v>
      </c>
      <c r="I1265" s="6" t="str">
        <f t="shared" si="245"/>
        <v>2024-1</v>
      </c>
      <c r="J1265" s="5">
        <v>100</v>
      </c>
      <c r="K1265" s="5">
        <v>140</v>
      </c>
      <c r="L1265" s="15">
        <f t="shared" si="244"/>
        <v>1.3</v>
      </c>
      <c r="M1265" s="15">
        <f t="shared" si="242"/>
        <v>1.4</v>
      </c>
      <c r="N1265" s="5"/>
      <c r="O1265" s="5"/>
      <c r="P1265" s="5">
        <v>0</v>
      </c>
      <c r="Q1265" s="5">
        <v>0</v>
      </c>
      <c r="R1265" s="5" t="str">
        <f t="shared" si="241"/>
        <v>453-2024-06-30</v>
      </c>
    </row>
    <row r="1266" spans="1:18" x14ac:dyDescent="0.3">
      <c r="A1266" s="5">
        <v>453</v>
      </c>
      <c r="B1266" s="5" t="s">
        <v>517</v>
      </c>
      <c r="C1266" s="5" t="s">
        <v>506</v>
      </c>
      <c r="D1266" s="5" t="s">
        <v>11</v>
      </c>
      <c r="E1266" s="5" t="s">
        <v>9</v>
      </c>
      <c r="F1266" s="6">
        <v>45657</v>
      </c>
      <c r="G1266" s="5">
        <f t="shared" si="246"/>
        <v>2024</v>
      </c>
      <c r="H1266" s="5" t="str">
        <f t="shared" si="243"/>
        <v>Diciembre</v>
      </c>
      <c r="I1266" s="6" t="str">
        <f t="shared" si="245"/>
        <v>2024-2</v>
      </c>
      <c r="J1266" s="5">
        <v>100</v>
      </c>
      <c r="K1266" s="5">
        <v>148</v>
      </c>
      <c r="L1266" s="15">
        <f t="shared" si="244"/>
        <v>1.3</v>
      </c>
      <c r="M1266" s="15">
        <f t="shared" ref="M1266:M1296" si="247">IFERROR(K1266/J1266,"")</f>
        <v>1.48</v>
      </c>
      <c r="N1266" s="5"/>
      <c r="O1266" s="5"/>
      <c r="P1266" s="5">
        <v>0</v>
      </c>
      <c r="Q1266" s="5">
        <v>0</v>
      </c>
      <c r="R1266" s="5" t="str">
        <f t="shared" si="241"/>
        <v>453-2024-12-31</v>
      </c>
    </row>
    <row r="1267" spans="1:18" x14ac:dyDescent="0.3">
      <c r="A1267" s="5">
        <v>454</v>
      </c>
      <c r="B1267" s="5" t="s">
        <v>518</v>
      </c>
      <c r="C1267" s="5" t="s">
        <v>506</v>
      </c>
      <c r="D1267" s="5" t="s">
        <v>11</v>
      </c>
      <c r="E1267" s="5" t="s">
        <v>9</v>
      </c>
      <c r="F1267" s="6">
        <v>45473</v>
      </c>
      <c r="G1267" s="5">
        <f t="shared" si="246"/>
        <v>2024</v>
      </c>
      <c r="H1267" s="5" t="str">
        <f t="shared" si="243"/>
        <v>Junio</v>
      </c>
      <c r="I1267" s="6" t="str">
        <f t="shared" si="245"/>
        <v>2024-1</v>
      </c>
      <c r="J1267" s="5"/>
      <c r="K1267" s="5"/>
      <c r="L1267" s="15" t="str">
        <f t="shared" si="244"/>
        <v/>
      </c>
      <c r="M1267" s="15" t="str">
        <f t="shared" si="247"/>
        <v/>
      </c>
      <c r="N1267" s="5"/>
      <c r="O1267" s="5"/>
      <c r="P1267" s="5">
        <v>0</v>
      </c>
      <c r="Q1267" s="5">
        <v>0</v>
      </c>
      <c r="R1267" s="5" t="str">
        <f t="shared" si="241"/>
        <v>454-2024-06-30</v>
      </c>
    </row>
    <row r="1268" spans="1:18" x14ac:dyDescent="0.3">
      <c r="A1268" s="5">
        <v>454</v>
      </c>
      <c r="B1268" s="5" t="s">
        <v>518</v>
      </c>
      <c r="C1268" s="5" t="s">
        <v>506</v>
      </c>
      <c r="D1268" s="5" t="s">
        <v>11</v>
      </c>
      <c r="E1268" s="5" t="s">
        <v>9</v>
      </c>
      <c r="F1268" s="6">
        <v>45657</v>
      </c>
      <c r="G1268" s="5">
        <f t="shared" si="246"/>
        <v>2024</v>
      </c>
      <c r="H1268" s="5" t="str">
        <f t="shared" si="243"/>
        <v>Diciembre</v>
      </c>
      <c r="I1268" s="6" t="str">
        <f t="shared" si="245"/>
        <v>2024-2</v>
      </c>
      <c r="J1268" s="5">
        <v>0</v>
      </c>
      <c r="K1268" s="5">
        <v>88</v>
      </c>
      <c r="L1268" s="15" t="str">
        <f t="shared" si="244"/>
        <v/>
      </c>
      <c r="M1268" s="15" t="str">
        <f t="shared" si="247"/>
        <v/>
      </c>
      <c r="N1268" s="5"/>
      <c r="O1268" s="5"/>
      <c r="P1268" s="5">
        <v>0</v>
      </c>
      <c r="Q1268" s="5">
        <v>0</v>
      </c>
      <c r="R1268" s="5" t="str">
        <f t="shared" si="241"/>
        <v>454-2024-12-31</v>
      </c>
    </row>
    <row r="1269" spans="1:18" x14ac:dyDescent="0.3">
      <c r="A1269" s="5">
        <v>455</v>
      </c>
      <c r="B1269" s="5" t="s">
        <v>519</v>
      </c>
      <c r="C1269" s="5" t="s">
        <v>506</v>
      </c>
      <c r="D1269" s="5" t="s">
        <v>11</v>
      </c>
      <c r="E1269" s="5" t="s">
        <v>9</v>
      </c>
      <c r="F1269" s="6">
        <v>45473</v>
      </c>
      <c r="G1269" s="5">
        <f t="shared" si="246"/>
        <v>2024</v>
      </c>
      <c r="H1269" s="5" t="str">
        <f t="shared" si="243"/>
        <v>Junio</v>
      </c>
      <c r="I1269" s="6" t="str">
        <f t="shared" si="245"/>
        <v>2024-1</v>
      </c>
      <c r="J1269" s="5"/>
      <c r="K1269" s="5"/>
      <c r="L1269" s="15" t="str">
        <f t="shared" si="244"/>
        <v/>
      </c>
      <c r="M1269" s="15" t="str">
        <f t="shared" si="247"/>
        <v/>
      </c>
      <c r="N1269" s="5"/>
      <c r="O1269" s="5"/>
      <c r="P1269" s="5">
        <v>0</v>
      </c>
      <c r="Q1269" s="5">
        <v>0</v>
      </c>
      <c r="R1269" s="5" t="str">
        <f t="shared" si="241"/>
        <v>455-2024-06-30</v>
      </c>
    </row>
    <row r="1270" spans="1:18" x14ac:dyDescent="0.3">
      <c r="A1270" s="5">
        <v>455</v>
      </c>
      <c r="B1270" s="5" t="s">
        <v>519</v>
      </c>
      <c r="C1270" s="5" t="s">
        <v>506</v>
      </c>
      <c r="D1270" s="5" t="s">
        <v>11</v>
      </c>
      <c r="E1270" s="5" t="s">
        <v>9</v>
      </c>
      <c r="F1270" s="6">
        <v>45657</v>
      </c>
      <c r="G1270" s="5">
        <f t="shared" si="246"/>
        <v>2024</v>
      </c>
      <c r="H1270" s="5" t="str">
        <f t="shared" si="243"/>
        <v>Diciembre</v>
      </c>
      <c r="I1270" s="6" t="str">
        <f t="shared" si="245"/>
        <v>2024-2</v>
      </c>
      <c r="J1270" s="5">
        <v>90</v>
      </c>
      <c r="K1270" s="5">
        <v>100</v>
      </c>
      <c r="L1270" s="15">
        <f t="shared" si="244"/>
        <v>1.1111111111111112</v>
      </c>
      <c r="M1270" s="15">
        <f t="shared" si="247"/>
        <v>1.1111111111111112</v>
      </c>
      <c r="N1270" s="5"/>
      <c r="O1270" s="5"/>
      <c r="P1270" s="5">
        <v>0</v>
      </c>
      <c r="Q1270" s="5">
        <v>0</v>
      </c>
      <c r="R1270" s="5" t="str">
        <f t="shared" si="241"/>
        <v>455-2024-12-31</v>
      </c>
    </row>
    <row r="1271" spans="1:18" x14ac:dyDescent="0.3">
      <c r="A1271" s="5">
        <v>456</v>
      </c>
      <c r="B1271" s="5" t="s">
        <v>520</v>
      </c>
      <c r="C1271" s="5" t="s">
        <v>320</v>
      </c>
      <c r="D1271" s="5" t="s">
        <v>8</v>
      </c>
      <c r="E1271" s="5" t="s">
        <v>9</v>
      </c>
      <c r="F1271" s="6">
        <v>45473</v>
      </c>
      <c r="G1271" s="5">
        <f t="shared" si="246"/>
        <v>2024</v>
      </c>
      <c r="H1271" s="5" t="str">
        <f t="shared" si="243"/>
        <v>Junio</v>
      </c>
      <c r="I1271" s="6" t="str">
        <f t="shared" si="245"/>
        <v>2024-1</v>
      </c>
      <c r="J1271" s="5">
        <v>100</v>
      </c>
      <c r="K1271" s="5">
        <v>100</v>
      </c>
      <c r="L1271" s="15">
        <f t="shared" si="244"/>
        <v>1</v>
      </c>
      <c r="M1271" s="15">
        <f t="shared" si="247"/>
        <v>1</v>
      </c>
      <c r="N1271" s="5"/>
      <c r="O1271" s="5"/>
      <c r="P1271" s="5">
        <v>0</v>
      </c>
      <c r="Q1271" s="5">
        <v>0</v>
      </c>
      <c r="R1271" s="5" t="str">
        <f t="shared" si="241"/>
        <v>456-2024-06-30</v>
      </c>
    </row>
    <row r="1272" spans="1:18" x14ac:dyDescent="0.3">
      <c r="A1272" s="5">
        <v>456</v>
      </c>
      <c r="B1272" s="5" t="s">
        <v>520</v>
      </c>
      <c r="C1272" s="5" t="s">
        <v>320</v>
      </c>
      <c r="D1272" s="5" t="s">
        <v>8</v>
      </c>
      <c r="E1272" s="5" t="s">
        <v>9</v>
      </c>
      <c r="F1272" s="6">
        <v>45657</v>
      </c>
      <c r="G1272" s="5">
        <f t="shared" si="246"/>
        <v>2024</v>
      </c>
      <c r="H1272" s="5" t="str">
        <f t="shared" si="243"/>
        <v>Diciembre</v>
      </c>
      <c r="I1272" s="6" t="str">
        <f t="shared" si="245"/>
        <v>2024-2</v>
      </c>
      <c r="J1272" s="5">
        <v>100</v>
      </c>
      <c r="K1272" s="5">
        <v>94.69</v>
      </c>
      <c r="L1272" s="15">
        <f t="shared" si="244"/>
        <v>0.94689999999999996</v>
      </c>
      <c r="M1272" s="15">
        <f t="shared" si="247"/>
        <v>0.94689999999999996</v>
      </c>
      <c r="N1272" s="5"/>
      <c r="O1272" s="5"/>
      <c r="P1272" s="5">
        <v>0</v>
      </c>
      <c r="Q1272" s="5">
        <v>0</v>
      </c>
      <c r="R1272" s="5" t="str">
        <f t="shared" si="241"/>
        <v>456-2024-12-31</v>
      </c>
    </row>
    <row r="1273" spans="1:18" x14ac:dyDescent="0.3">
      <c r="A1273" s="5">
        <v>457</v>
      </c>
      <c r="B1273" s="5" t="s">
        <v>521</v>
      </c>
      <c r="C1273" s="5" t="s">
        <v>320</v>
      </c>
      <c r="D1273" s="5" t="s">
        <v>8</v>
      </c>
      <c r="E1273" s="5" t="s">
        <v>9</v>
      </c>
      <c r="F1273" s="6">
        <v>45473</v>
      </c>
      <c r="G1273" s="5">
        <f t="shared" si="246"/>
        <v>2024</v>
      </c>
      <c r="H1273" s="5" t="str">
        <f t="shared" si="243"/>
        <v>Junio</v>
      </c>
      <c r="I1273" s="6" t="str">
        <f t="shared" si="245"/>
        <v>2024-1</v>
      </c>
      <c r="J1273" s="5">
        <v>100</v>
      </c>
      <c r="K1273" s="5">
        <v>90</v>
      </c>
      <c r="L1273" s="15">
        <f t="shared" si="244"/>
        <v>0.9</v>
      </c>
      <c r="M1273" s="15">
        <f t="shared" si="247"/>
        <v>0.9</v>
      </c>
      <c r="N1273" s="5"/>
      <c r="O1273" s="5"/>
      <c r="P1273" s="5">
        <v>0</v>
      </c>
      <c r="Q1273" s="5">
        <v>0</v>
      </c>
      <c r="R1273" s="5" t="str">
        <f t="shared" si="241"/>
        <v>457-2024-06-30</v>
      </c>
    </row>
    <row r="1274" spans="1:18" x14ac:dyDescent="0.3">
      <c r="A1274" s="5">
        <v>457</v>
      </c>
      <c r="B1274" s="5" t="s">
        <v>521</v>
      </c>
      <c r="C1274" s="5" t="s">
        <v>320</v>
      </c>
      <c r="D1274" s="5" t="s">
        <v>8</v>
      </c>
      <c r="E1274" s="5" t="s">
        <v>9</v>
      </c>
      <c r="F1274" s="6">
        <v>45657</v>
      </c>
      <c r="G1274" s="5">
        <f t="shared" si="246"/>
        <v>2024</v>
      </c>
      <c r="H1274" s="5" t="str">
        <f t="shared" si="243"/>
        <v>Diciembre</v>
      </c>
      <c r="I1274" s="6" t="str">
        <f t="shared" si="245"/>
        <v>2024-2</v>
      </c>
      <c r="J1274" s="5">
        <v>100</v>
      </c>
      <c r="K1274" s="5">
        <v>70</v>
      </c>
      <c r="L1274" s="15">
        <f t="shared" si="244"/>
        <v>0.7</v>
      </c>
      <c r="M1274" s="15">
        <f t="shared" si="247"/>
        <v>0.7</v>
      </c>
      <c r="N1274" s="5"/>
      <c r="O1274" s="5"/>
      <c r="P1274" s="5">
        <v>0</v>
      </c>
      <c r="Q1274" s="5">
        <v>0</v>
      </c>
      <c r="R1274" s="5" t="str">
        <f t="shared" si="241"/>
        <v>457-2024-12-31</v>
      </c>
    </row>
    <row r="1275" spans="1:18" x14ac:dyDescent="0.3">
      <c r="A1275" s="5">
        <v>459</v>
      </c>
      <c r="B1275" s="5" t="s">
        <v>522</v>
      </c>
      <c r="C1275" s="5" t="s">
        <v>285</v>
      </c>
      <c r="D1275" s="5" t="s">
        <v>11</v>
      </c>
      <c r="E1275" s="5" t="s">
        <v>9</v>
      </c>
      <c r="F1275" s="6">
        <v>45473</v>
      </c>
      <c r="G1275" s="5">
        <f t="shared" si="246"/>
        <v>2024</v>
      </c>
      <c r="H1275" s="5" t="str">
        <f t="shared" si="243"/>
        <v>Junio</v>
      </c>
      <c r="I1275" s="6" t="str">
        <f t="shared" si="245"/>
        <v>2024-1</v>
      </c>
      <c r="J1275" s="5">
        <v>100</v>
      </c>
      <c r="K1275" s="5">
        <v>130.43</v>
      </c>
      <c r="L1275" s="15">
        <f t="shared" ref="L1275:L1305" si="248">IFERROR(IF((K1275/J1275)&gt;1.3,1.3,K1275/J1275),"")</f>
        <v>1.3</v>
      </c>
      <c r="M1275" s="15">
        <f t="shared" si="247"/>
        <v>1.3043</v>
      </c>
      <c r="N1275" s="5"/>
      <c r="O1275" s="5"/>
      <c r="P1275" s="5">
        <v>0</v>
      </c>
      <c r="Q1275" s="5">
        <v>0</v>
      </c>
      <c r="R1275" s="5" t="str">
        <f t="shared" si="241"/>
        <v>459-2024-06-30</v>
      </c>
    </row>
    <row r="1276" spans="1:18" x14ac:dyDescent="0.3">
      <c r="A1276" s="5">
        <v>459</v>
      </c>
      <c r="B1276" s="5" t="s">
        <v>522</v>
      </c>
      <c r="C1276" s="5" t="s">
        <v>285</v>
      </c>
      <c r="D1276" s="5" t="s">
        <v>11</v>
      </c>
      <c r="E1276" s="5" t="s">
        <v>9</v>
      </c>
      <c r="F1276" s="6">
        <v>45657</v>
      </c>
      <c r="G1276" s="5">
        <f t="shared" si="246"/>
        <v>2024</v>
      </c>
      <c r="H1276" s="5" t="str">
        <f t="shared" si="243"/>
        <v>Diciembre</v>
      </c>
      <c r="I1276" s="6" t="str">
        <f t="shared" si="245"/>
        <v>2024-2</v>
      </c>
      <c r="J1276" s="5">
        <v>100</v>
      </c>
      <c r="K1276" s="5"/>
      <c r="L1276" s="15">
        <f t="shared" si="248"/>
        <v>0</v>
      </c>
      <c r="M1276" s="15">
        <f t="shared" si="247"/>
        <v>0</v>
      </c>
      <c r="N1276" s="5" t="s">
        <v>490</v>
      </c>
      <c r="O1276" s="5" t="s">
        <v>81</v>
      </c>
      <c r="P1276" s="5">
        <v>0</v>
      </c>
      <c r="Q1276" s="5">
        <v>0</v>
      </c>
      <c r="R1276" s="5" t="str">
        <f t="shared" si="241"/>
        <v>459-2024-12-31</v>
      </c>
    </row>
    <row r="1277" spans="1:18" x14ac:dyDescent="0.3">
      <c r="A1277" s="5">
        <v>460</v>
      </c>
      <c r="B1277" s="5" t="s">
        <v>727</v>
      </c>
      <c r="C1277" s="5" t="s">
        <v>13</v>
      </c>
      <c r="D1277" s="5" t="s">
        <v>25</v>
      </c>
      <c r="E1277" s="5" t="s">
        <v>9</v>
      </c>
      <c r="F1277" s="6">
        <v>45657</v>
      </c>
      <c r="G1277" s="5">
        <f t="shared" si="246"/>
        <v>2024</v>
      </c>
      <c r="H1277" s="5" t="str">
        <f t="shared" si="243"/>
        <v>Diciembre</v>
      </c>
      <c r="I1277" s="6" t="str">
        <f t="shared" ref="I1277:I1307" si="249">IF(OR(H1277="Enero",H1277="Febrero",H1277="Marzo",H1277="Abril",H1277="Mayo",H1277="Junio"),G1277&amp;"-1",IF(OR(H1277="Julio",H1277="Agosto",H1277="Septiembre",H1277="Octubre",H1277="Noviembre",H1277="Diciembre"),G1277&amp;"-2"))</f>
        <v>2024-2</v>
      </c>
      <c r="J1277" s="5">
        <v>80</v>
      </c>
      <c r="K1277" s="5">
        <v>91.44</v>
      </c>
      <c r="L1277" s="15">
        <f t="shared" si="248"/>
        <v>1.143</v>
      </c>
      <c r="M1277" s="15">
        <f t="shared" si="247"/>
        <v>1.143</v>
      </c>
      <c r="N1277" s="5"/>
      <c r="O1277" s="5"/>
      <c r="P1277" s="5">
        <v>0</v>
      </c>
      <c r="Q1277" s="5">
        <v>0</v>
      </c>
      <c r="R1277" s="5" t="str">
        <f t="shared" si="241"/>
        <v>460-2024-12-31</v>
      </c>
    </row>
    <row r="1278" spans="1:18" x14ac:dyDescent="0.3">
      <c r="A1278" s="5">
        <v>462</v>
      </c>
      <c r="B1278" s="5" t="s">
        <v>489</v>
      </c>
      <c r="C1278" s="5" t="s">
        <v>67</v>
      </c>
      <c r="D1278" s="5" t="s">
        <v>8</v>
      </c>
      <c r="E1278" s="5" t="s">
        <v>9</v>
      </c>
      <c r="F1278" s="6">
        <v>45473</v>
      </c>
      <c r="G1278" s="5">
        <f t="shared" si="246"/>
        <v>2024</v>
      </c>
      <c r="H1278" s="5" t="str">
        <f t="shared" si="243"/>
        <v>Junio</v>
      </c>
      <c r="I1278" s="6" t="str">
        <f t="shared" si="249"/>
        <v>2024-1</v>
      </c>
      <c r="J1278" s="5">
        <v>85</v>
      </c>
      <c r="K1278" s="5">
        <v>100</v>
      </c>
      <c r="L1278" s="15">
        <f t="shared" si="248"/>
        <v>1.1764705882352942</v>
      </c>
      <c r="M1278" s="15">
        <f t="shared" si="247"/>
        <v>1.1764705882352942</v>
      </c>
      <c r="N1278" s="5"/>
      <c r="O1278" s="5"/>
      <c r="P1278" s="5">
        <v>0</v>
      </c>
      <c r="Q1278" s="5">
        <v>0</v>
      </c>
      <c r="R1278" s="5" t="str">
        <f t="shared" si="241"/>
        <v>462-2024-06-30</v>
      </c>
    </row>
    <row r="1279" spans="1:18" x14ac:dyDescent="0.3">
      <c r="A1279" s="5">
        <v>462</v>
      </c>
      <c r="B1279" s="5" t="s">
        <v>489</v>
      </c>
      <c r="C1279" s="5" t="s">
        <v>67</v>
      </c>
      <c r="D1279" s="5" t="s">
        <v>8</v>
      </c>
      <c r="E1279" s="5" t="s">
        <v>9</v>
      </c>
      <c r="F1279" s="6">
        <v>45657</v>
      </c>
      <c r="G1279" s="5">
        <f t="shared" si="246"/>
        <v>2024</v>
      </c>
      <c r="H1279" s="5" t="str">
        <f t="shared" si="243"/>
        <v>Diciembre</v>
      </c>
      <c r="I1279" s="6" t="str">
        <f t="shared" si="249"/>
        <v>2024-2</v>
      </c>
      <c r="J1279" s="5">
        <v>85</v>
      </c>
      <c r="K1279" s="5">
        <v>100</v>
      </c>
      <c r="L1279" s="15">
        <f t="shared" si="248"/>
        <v>1.1764705882352942</v>
      </c>
      <c r="M1279" s="15">
        <f t="shared" si="247"/>
        <v>1.1764705882352942</v>
      </c>
      <c r="N1279" s="5"/>
      <c r="O1279" s="5"/>
      <c r="P1279" s="5">
        <v>0</v>
      </c>
      <c r="Q1279" s="5">
        <v>0</v>
      </c>
      <c r="R1279" s="5" t="str">
        <f t="shared" si="241"/>
        <v>462-2024-12-31</v>
      </c>
    </row>
    <row r="1280" spans="1:18" x14ac:dyDescent="0.3">
      <c r="A1280" s="5">
        <v>463</v>
      </c>
      <c r="B1280" s="5" t="s">
        <v>523</v>
      </c>
      <c r="C1280" s="5" t="s">
        <v>13</v>
      </c>
      <c r="D1280" s="5" t="s">
        <v>8</v>
      </c>
      <c r="E1280" s="5" t="s">
        <v>9</v>
      </c>
      <c r="F1280" s="6">
        <v>45473</v>
      </c>
      <c r="G1280" s="5">
        <f t="shared" si="246"/>
        <v>2024</v>
      </c>
      <c r="H1280" s="5" t="str">
        <f t="shared" si="243"/>
        <v>Junio</v>
      </c>
      <c r="I1280" s="6" t="str">
        <f t="shared" si="249"/>
        <v>2024-1</v>
      </c>
      <c r="J1280" s="5">
        <v>100</v>
      </c>
      <c r="K1280" s="5">
        <v>95</v>
      </c>
      <c r="L1280" s="15">
        <f t="shared" si="248"/>
        <v>0.95</v>
      </c>
      <c r="M1280" s="15">
        <f t="shared" si="247"/>
        <v>0.95</v>
      </c>
      <c r="N1280" s="5"/>
      <c r="O1280" s="5"/>
      <c r="P1280" s="5">
        <v>0</v>
      </c>
      <c r="Q1280" s="5">
        <v>0</v>
      </c>
      <c r="R1280" s="5" t="str">
        <f t="shared" si="241"/>
        <v>463-2024-06-30</v>
      </c>
    </row>
    <row r="1281" spans="1:18" x14ac:dyDescent="0.3">
      <c r="A1281" s="5">
        <v>463</v>
      </c>
      <c r="B1281" s="5" t="s">
        <v>523</v>
      </c>
      <c r="C1281" s="5" t="s">
        <v>13</v>
      </c>
      <c r="D1281" s="5" t="s">
        <v>8</v>
      </c>
      <c r="E1281" s="5" t="s">
        <v>9</v>
      </c>
      <c r="F1281" s="6">
        <v>45657</v>
      </c>
      <c r="G1281" s="5">
        <f t="shared" si="246"/>
        <v>2024</v>
      </c>
      <c r="H1281" s="5" t="str">
        <f t="shared" si="243"/>
        <v>Diciembre</v>
      </c>
      <c r="I1281" s="6" t="str">
        <f t="shared" si="249"/>
        <v>2024-2</v>
      </c>
      <c r="J1281" s="5">
        <v>100</v>
      </c>
      <c r="K1281" s="5">
        <v>100</v>
      </c>
      <c r="L1281" s="15">
        <f t="shared" si="248"/>
        <v>1</v>
      </c>
      <c r="M1281" s="15">
        <f t="shared" si="247"/>
        <v>1</v>
      </c>
      <c r="N1281" s="5"/>
      <c r="O1281" s="5"/>
      <c r="P1281" s="5">
        <v>0</v>
      </c>
      <c r="Q1281" s="5">
        <v>0</v>
      </c>
      <c r="R1281" s="5" t="str">
        <f t="shared" si="241"/>
        <v>463-2024-12-31</v>
      </c>
    </row>
    <row r="1282" spans="1:18" x14ac:dyDescent="0.3">
      <c r="A1282" s="5">
        <v>465</v>
      </c>
      <c r="B1282" s="5" t="s">
        <v>524</v>
      </c>
      <c r="C1282" s="5" t="s">
        <v>237</v>
      </c>
      <c r="D1282" s="5" t="s">
        <v>8</v>
      </c>
      <c r="E1282" s="5" t="s">
        <v>9</v>
      </c>
      <c r="F1282" s="6">
        <v>45473</v>
      </c>
      <c r="G1282" s="5">
        <f t="shared" si="246"/>
        <v>2024</v>
      </c>
      <c r="H1282" s="5" t="str">
        <f t="shared" si="243"/>
        <v>Junio</v>
      </c>
      <c r="I1282" s="6" t="str">
        <f t="shared" si="249"/>
        <v>2024-1</v>
      </c>
      <c r="J1282" s="5">
        <v>70</v>
      </c>
      <c r="K1282" s="5">
        <v>57.86</v>
      </c>
      <c r="L1282" s="15">
        <f t="shared" si="248"/>
        <v>0.82657142857142851</v>
      </c>
      <c r="M1282" s="15">
        <f t="shared" si="247"/>
        <v>0.82657142857142851</v>
      </c>
      <c r="N1282" s="5"/>
      <c r="O1282" s="5"/>
      <c r="P1282" s="5">
        <v>0</v>
      </c>
      <c r="Q1282" s="5">
        <v>0</v>
      </c>
      <c r="R1282" s="5" t="str">
        <f t="shared" si="241"/>
        <v>465-2024-06-30</v>
      </c>
    </row>
    <row r="1283" spans="1:18" x14ac:dyDescent="0.3">
      <c r="A1283" s="5">
        <v>465</v>
      </c>
      <c r="B1283" s="5" t="s">
        <v>524</v>
      </c>
      <c r="C1283" s="5" t="s">
        <v>237</v>
      </c>
      <c r="D1283" s="5" t="s">
        <v>8</v>
      </c>
      <c r="E1283" s="5" t="s">
        <v>9</v>
      </c>
      <c r="F1283" s="6">
        <v>45657</v>
      </c>
      <c r="G1283" s="5">
        <f t="shared" si="246"/>
        <v>2024</v>
      </c>
      <c r="H1283" s="5" t="str">
        <f t="shared" si="243"/>
        <v>Diciembre</v>
      </c>
      <c r="I1283" s="6" t="str">
        <f t="shared" si="249"/>
        <v>2024-2</v>
      </c>
      <c r="J1283" s="5">
        <v>100</v>
      </c>
      <c r="K1283" s="5">
        <v>56.83</v>
      </c>
      <c r="L1283" s="15">
        <f t="shared" si="248"/>
        <v>0.56830000000000003</v>
      </c>
      <c r="M1283" s="15">
        <f t="shared" si="247"/>
        <v>0.56830000000000003</v>
      </c>
      <c r="N1283" s="5"/>
      <c r="O1283" s="5"/>
      <c r="P1283" s="5">
        <v>0</v>
      </c>
      <c r="Q1283" s="5">
        <v>0</v>
      </c>
      <c r="R1283" s="5" t="str">
        <f t="shared" si="241"/>
        <v>465-2024-12-31</v>
      </c>
    </row>
    <row r="1284" spans="1:18" x14ac:dyDescent="0.3">
      <c r="A1284" s="5">
        <v>466</v>
      </c>
      <c r="B1284" s="5" t="s">
        <v>525</v>
      </c>
      <c r="C1284" s="5" t="s">
        <v>160</v>
      </c>
      <c r="D1284" s="5" t="s">
        <v>8</v>
      </c>
      <c r="E1284" s="5" t="s">
        <v>9</v>
      </c>
      <c r="F1284" s="6">
        <v>45657</v>
      </c>
      <c r="G1284" s="5">
        <f t="shared" si="246"/>
        <v>2024</v>
      </c>
      <c r="H1284" s="5" t="str">
        <f t="shared" si="243"/>
        <v>Diciembre</v>
      </c>
      <c r="I1284" s="6" t="str">
        <f t="shared" si="249"/>
        <v>2024-2</v>
      </c>
      <c r="J1284" s="5">
        <v>100</v>
      </c>
      <c r="K1284" s="5">
        <v>107.6</v>
      </c>
      <c r="L1284" s="15">
        <f t="shared" si="248"/>
        <v>1.0759999999999998</v>
      </c>
      <c r="M1284" s="15">
        <f t="shared" si="247"/>
        <v>1.0759999999999998</v>
      </c>
      <c r="N1284" s="5"/>
      <c r="O1284" s="5" t="s">
        <v>478</v>
      </c>
      <c r="P1284" s="5">
        <v>0</v>
      </c>
      <c r="Q1284" s="5">
        <v>0</v>
      </c>
      <c r="R1284" s="5" t="str">
        <f t="shared" si="241"/>
        <v>466-2024-12-31</v>
      </c>
    </row>
    <row r="1285" spans="1:18" x14ac:dyDescent="0.3">
      <c r="A1285" s="5">
        <v>467</v>
      </c>
      <c r="B1285" s="5" t="s">
        <v>526</v>
      </c>
      <c r="C1285" s="5" t="s">
        <v>160</v>
      </c>
      <c r="D1285" s="5" t="s">
        <v>8</v>
      </c>
      <c r="E1285" s="5" t="s">
        <v>9</v>
      </c>
      <c r="F1285" s="6">
        <v>45473</v>
      </c>
      <c r="G1285" s="5">
        <f t="shared" si="246"/>
        <v>2024</v>
      </c>
      <c r="H1285" s="5" t="str">
        <f t="shared" si="243"/>
        <v>Junio</v>
      </c>
      <c r="I1285" s="6" t="str">
        <f t="shared" si="249"/>
        <v>2024-1</v>
      </c>
      <c r="J1285" s="5">
        <v>100</v>
      </c>
      <c r="K1285" s="5">
        <v>121.25</v>
      </c>
      <c r="L1285" s="15">
        <f t="shared" si="248"/>
        <v>1.2124999999999999</v>
      </c>
      <c r="M1285" s="15">
        <f t="shared" si="247"/>
        <v>1.2124999999999999</v>
      </c>
      <c r="N1285" s="5"/>
      <c r="O1285" s="5"/>
      <c r="P1285" s="5">
        <v>0</v>
      </c>
      <c r="Q1285" s="5">
        <v>0</v>
      </c>
      <c r="R1285" s="5" t="str">
        <f t="shared" si="241"/>
        <v>467-2024-06-30</v>
      </c>
    </row>
    <row r="1286" spans="1:18" x14ac:dyDescent="0.3">
      <c r="A1286" s="5">
        <v>467</v>
      </c>
      <c r="B1286" s="5" t="s">
        <v>526</v>
      </c>
      <c r="C1286" s="5" t="s">
        <v>160</v>
      </c>
      <c r="D1286" s="5" t="s">
        <v>8</v>
      </c>
      <c r="E1286" s="5" t="s">
        <v>9</v>
      </c>
      <c r="F1286" s="6">
        <v>45657</v>
      </c>
      <c r="G1286" s="5">
        <f t="shared" si="246"/>
        <v>2024</v>
      </c>
      <c r="H1286" s="5" t="str">
        <f t="shared" si="243"/>
        <v>Diciembre</v>
      </c>
      <c r="I1286" s="6" t="str">
        <f t="shared" si="249"/>
        <v>2024-2</v>
      </c>
      <c r="J1286" s="5">
        <v>100</v>
      </c>
      <c r="K1286" s="5">
        <v>121.83</v>
      </c>
      <c r="L1286" s="15">
        <f t="shared" si="248"/>
        <v>1.2182999999999999</v>
      </c>
      <c r="M1286" s="15">
        <f t="shared" si="247"/>
        <v>1.2182999999999999</v>
      </c>
      <c r="N1286" s="5"/>
      <c r="O1286" s="5"/>
      <c r="P1286" s="5">
        <v>0</v>
      </c>
      <c r="Q1286" s="5">
        <v>0</v>
      </c>
      <c r="R1286" s="5" t="str">
        <f t="shared" si="241"/>
        <v>467-2024-12-31</v>
      </c>
    </row>
    <row r="1287" spans="1:18" x14ac:dyDescent="0.3">
      <c r="A1287" s="5">
        <v>468</v>
      </c>
      <c r="B1287" s="5" t="s">
        <v>527</v>
      </c>
      <c r="C1287" s="5" t="s">
        <v>160</v>
      </c>
      <c r="D1287" s="5" t="s">
        <v>8</v>
      </c>
      <c r="E1287" s="5" t="s">
        <v>14</v>
      </c>
      <c r="F1287" s="6">
        <v>45473</v>
      </c>
      <c r="G1287" s="5">
        <f t="shared" si="246"/>
        <v>2024</v>
      </c>
      <c r="H1287" s="5" t="str">
        <f t="shared" si="243"/>
        <v>Junio</v>
      </c>
      <c r="I1287" s="6" t="str">
        <f t="shared" si="249"/>
        <v>2024-1</v>
      </c>
      <c r="J1287" s="5">
        <v>3</v>
      </c>
      <c r="K1287" s="5">
        <v>2.85</v>
      </c>
      <c r="L1287" s="15">
        <f t="shared" si="248"/>
        <v>0.95000000000000007</v>
      </c>
      <c r="M1287" s="15">
        <f t="shared" si="247"/>
        <v>0.95000000000000007</v>
      </c>
      <c r="N1287" s="5"/>
      <c r="O1287" s="5"/>
      <c r="P1287" s="5">
        <v>0</v>
      </c>
      <c r="Q1287" s="5">
        <v>0</v>
      </c>
      <c r="R1287" s="5" t="str">
        <f t="shared" si="241"/>
        <v>468-2024-06-30</v>
      </c>
    </row>
    <row r="1288" spans="1:18" x14ac:dyDescent="0.3">
      <c r="A1288" s="5">
        <v>468</v>
      </c>
      <c r="B1288" s="5" t="s">
        <v>527</v>
      </c>
      <c r="C1288" s="5" t="s">
        <v>160</v>
      </c>
      <c r="D1288" s="5" t="s">
        <v>8</v>
      </c>
      <c r="E1288" s="5" t="s">
        <v>14</v>
      </c>
      <c r="F1288" s="6">
        <v>45657</v>
      </c>
      <c r="G1288" s="5">
        <f t="shared" si="246"/>
        <v>2024</v>
      </c>
      <c r="H1288" s="5" t="str">
        <f t="shared" si="243"/>
        <v>Diciembre</v>
      </c>
      <c r="I1288" s="6" t="str">
        <f t="shared" si="249"/>
        <v>2024-2</v>
      </c>
      <c r="J1288" s="5">
        <v>3</v>
      </c>
      <c r="K1288" s="5">
        <v>2.6</v>
      </c>
      <c r="L1288" s="15">
        <f t="shared" si="248"/>
        <v>0.8666666666666667</v>
      </c>
      <c r="M1288" s="15">
        <f t="shared" si="247"/>
        <v>0.8666666666666667</v>
      </c>
      <c r="N1288" s="5"/>
      <c r="O1288" s="5"/>
      <c r="P1288" s="5">
        <v>0</v>
      </c>
      <c r="Q1288" s="5">
        <v>0</v>
      </c>
      <c r="R1288" s="5" t="str">
        <f t="shared" si="241"/>
        <v>468-2024-12-31</v>
      </c>
    </row>
    <row r="1289" spans="1:18" x14ac:dyDescent="0.3">
      <c r="A1289" s="5">
        <v>469</v>
      </c>
      <c r="B1289" s="5" t="s">
        <v>312</v>
      </c>
      <c r="C1289" s="5" t="s">
        <v>131</v>
      </c>
      <c r="D1289" s="5" t="s">
        <v>11</v>
      </c>
      <c r="E1289" s="5" t="s">
        <v>9</v>
      </c>
      <c r="F1289" s="6">
        <v>45473</v>
      </c>
      <c r="G1289" s="5">
        <f t="shared" si="246"/>
        <v>2024</v>
      </c>
      <c r="H1289" s="5" t="str">
        <f t="shared" si="243"/>
        <v>Junio</v>
      </c>
      <c r="I1289" s="6" t="str">
        <f t="shared" si="249"/>
        <v>2024-1</v>
      </c>
      <c r="J1289" s="5">
        <v>100</v>
      </c>
      <c r="K1289" s="5">
        <v>114.33</v>
      </c>
      <c r="L1289" s="15">
        <f t="shared" si="248"/>
        <v>1.1433</v>
      </c>
      <c r="M1289" s="15">
        <f t="shared" si="247"/>
        <v>1.1433</v>
      </c>
      <c r="N1289" s="5"/>
      <c r="O1289" s="5"/>
      <c r="P1289" s="5">
        <v>0</v>
      </c>
      <c r="Q1289" s="5">
        <v>0</v>
      </c>
      <c r="R1289" s="5" t="str">
        <f t="shared" si="241"/>
        <v>469-2024-06-30</v>
      </c>
    </row>
    <row r="1290" spans="1:18" x14ac:dyDescent="0.3">
      <c r="A1290" s="5">
        <v>469</v>
      </c>
      <c r="B1290" s="5" t="s">
        <v>312</v>
      </c>
      <c r="C1290" s="5" t="s">
        <v>131</v>
      </c>
      <c r="D1290" s="5" t="s">
        <v>11</v>
      </c>
      <c r="E1290" s="5" t="s">
        <v>9</v>
      </c>
      <c r="F1290" s="6">
        <v>45657</v>
      </c>
      <c r="G1290" s="5">
        <f t="shared" si="246"/>
        <v>2024</v>
      </c>
      <c r="H1290" s="5" t="str">
        <f t="shared" si="243"/>
        <v>Diciembre</v>
      </c>
      <c r="I1290" s="6" t="str">
        <f t="shared" si="249"/>
        <v>2024-2</v>
      </c>
      <c r="J1290" s="5">
        <v>100</v>
      </c>
      <c r="K1290" s="5">
        <v>0</v>
      </c>
      <c r="L1290" s="15">
        <f t="shared" si="248"/>
        <v>0</v>
      </c>
      <c r="M1290" s="15">
        <f t="shared" si="247"/>
        <v>0</v>
      </c>
      <c r="N1290" s="5"/>
      <c r="O1290" s="5"/>
      <c r="P1290" s="5">
        <v>0</v>
      </c>
      <c r="Q1290" s="5">
        <v>0</v>
      </c>
      <c r="R1290" s="5" t="str">
        <f t="shared" si="241"/>
        <v>469-2024-12-31</v>
      </c>
    </row>
    <row r="1291" spans="1:18" x14ac:dyDescent="0.3">
      <c r="A1291" s="5">
        <v>470</v>
      </c>
      <c r="B1291" s="5" t="s">
        <v>528</v>
      </c>
      <c r="C1291" s="5" t="s">
        <v>131</v>
      </c>
      <c r="D1291" s="5" t="s">
        <v>11</v>
      </c>
      <c r="E1291" s="5" t="s">
        <v>9</v>
      </c>
      <c r="F1291" s="6">
        <v>45473</v>
      </c>
      <c r="G1291" s="5">
        <f t="shared" si="246"/>
        <v>2024</v>
      </c>
      <c r="H1291" s="5" t="str">
        <f t="shared" si="243"/>
        <v>Junio</v>
      </c>
      <c r="I1291" s="6" t="str">
        <f t="shared" si="249"/>
        <v>2024-1</v>
      </c>
      <c r="J1291" s="5">
        <v>100</v>
      </c>
      <c r="K1291" s="5">
        <v>118.1</v>
      </c>
      <c r="L1291" s="15">
        <f t="shared" si="248"/>
        <v>1.181</v>
      </c>
      <c r="M1291" s="15">
        <f t="shared" si="247"/>
        <v>1.181</v>
      </c>
      <c r="N1291" s="5"/>
      <c r="O1291" s="5"/>
      <c r="P1291" s="5">
        <v>0</v>
      </c>
      <c r="Q1291" s="5">
        <v>0</v>
      </c>
      <c r="R1291" s="5" t="str">
        <f t="shared" si="241"/>
        <v>470-2024-06-30</v>
      </c>
    </row>
    <row r="1292" spans="1:18" x14ac:dyDescent="0.3">
      <c r="A1292" s="5">
        <v>470</v>
      </c>
      <c r="B1292" s="5" t="s">
        <v>528</v>
      </c>
      <c r="C1292" s="5" t="s">
        <v>131</v>
      </c>
      <c r="D1292" s="5" t="s">
        <v>11</v>
      </c>
      <c r="E1292" s="5" t="s">
        <v>9</v>
      </c>
      <c r="F1292" s="6">
        <v>45657</v>
      </c>
      <c r="G1292" s="5">
        <f t="shared" si="246"/>
        <v>2024</v>
      </c>
      <c r="H1292" s="5" t="str">
        <f t="shared" si="243"/>
        <v>Diciembre</v>
      </c>
      <c r="I1292" s="6" t="str">
        <f t="shared" si="249"/>
        <v>2024-2</v>
      </c>
      <c r="J1292" s="5">
        <v>100</v>
      </c>
      <c r="K1292" s="5">
        <v>0</v>
      </c>
      <c r="L1292" s="15">
        <f t="shared" si="248"/>
        <v>0</v>
      </c>
      <c r="M1292" s="15">
        <f t="shared" si="247"/>
        <v>0</v>
      </c>
      <c r="N1292" s="5"/>
      <c r="O1292" s="5"/>
      <c r="P1292" s="5">
        <v>0</v>
      </c>
      <c r="Q1292" s="5">
        <v>0</v>
      </c>
      <c r="R1292" s="5" t="str">
        <f t="shared" ref="R1292:R1355" si="250">A1292&amp;"-"&amp;YEAR(F1292)&amp;"-"&amp;IF(LEN(MONTH(F1292))=1,"0"&amp;MONTH(F1292),MONTH(F1292))&amp;"-"&amp;DAY(F1292)</f>
        <v>470-2024-12-31</v>
      </c>
    </row>
    <row r="1293" spans="1:18" x14ac:dyDescent="0.3">
      <c r="A1293" s="5">
        <v>471</v>
      </c>
      <c r="B1293" s="5" t="s">
        <v>529</v>
      </c>
      <c r="C1293" s="5" t="s">
        <v>131</v>
      </c>
      <c r="D1293" s="5" t="s">
        <v>11</v>
      </c>
      <c r="E1293" s="5" t="s">
        <v>9</v>
      </c>
      <c r="F1293" s="6">
        <v>45473</v>
      </c>
      <c r="G1293" s="5">
        <f t="shared" si="246"/>
        <v>2024</v>
      </c>
      <c r="H1293" s="5" t="str">
        <f t="shared" si="243"/>
        <v>Junio</v>
      </c>
      <c r="I1293" s="6" t="str">
        <f t="shared" si="249"/>
        <v>2024-1</v>
      </c>
      <c r="J1293" s="5">
        <v>100</v>
      </c>
      <c r="K1293" s="5">
        <v>105.56</v>
      </c>
      <c r="L1293" s="15">
        <f t="shared" si="248"/>
        <v>1.0556000000000001</v>
      </c>
      <c r="M1293" s="15">
        <f t="shared" si="247"/>
        <v>1.0556000000000001</v>
      </c>
      <c r="N1293" s="5"/>
      <c r="O1293" s="5"/>
      <c r="P1293" s="5">
        <v>0</v>
      </c>
      <c r="Q1293" s="5">
        <v>0</v>
      </c>
      <c r="R1293" s="5" t="str">
        <f t="shared" si="250"/>
        <v>471-2024-06-30</v>
      </c>
    </row>
    <row r="1294" spans="1:18" x14ac:dyDescent="0.3">
      <c r="A1294" s="5">
        <v>471</v>
      </c>
      <c r="B1294" s="5" t="s">
        <v>529</v>
      </c>
      <c r="C1294" s="5" t="s">
        <v>131</v>
      </c>
      <c r="D1294" s="5" t="s">
        <v>11</v>
      </c>
      <c r="E1294" s="5" t="s">
        <v>9</v>
      </c>
      <c r="F1294" s="6">
        <v>45657</v>
      </c>
      <c r="G1294" s="5">
        <f t="shared" si="246"/>
        <v>2024</v>
      </c>
      <c r="H1294" s="5" t="str">
        <f t="shared" si="243"/>
        <v>Diciembre</v>
      </c>
      <c r="I1294" s="6" t="str">
        <f t="shared" si="249"/>
        <v>2024-2</v>
      </c>
      <c r="J1294" s="5">
        <v>100</v>
      </c>
      <c r="K1294" s="5">
        <v>0</v>
      </c>
      <c r="L1294" s="15">
        <f t="shared" si="248"/>
        <v>0</v>
      </c>
      <c r="M1294" s="15">
        <f t="shared" si="247"/>
        <v>0</v>
      </c>
      <c r="N1294" s="5"/>
      <c r="O1294" s="5"/>
      <c r="P1294" s="5">
        <v>0</v>
      </c>
      <c r="Q1294" s="5">
        <v>0</v>
      </c>
      <c r="R1294" s="5" t="str">
        <f t="shared" si="250"/>
        <v>471-2024-12-31</v>
      </c>
    </row>
    <row r="1295" spans="1:18" x14ac:dyDescent="0.3">
      <c r="A1295" s="5">
        <v>472</v>
      </c>
      <c r="B1295" s="5" t="s">
        <v>530</v>
      </c>
      <c r="C1295" s="5" t="s">
        <v>237</v>
      </c>
      <c r="D1295" s="5" t="s">
        <v>8</v>
      </c>
      <c r="E1295" s="5" t="s">
        <v>9</v>
      </c>
      <c r="F1295" s="6">
        <v>45473</v>
      </c>
      <c r="G1295" s="5">
        <f t="shared" si="246"/>
        <v>2024</v>
      </c>
      <c r="H1295" s="5" t="str">
        <f t="shared" si="243"/>
        <v>Junio</v>
      </c>
      <c r="I1295" s="6" t="str">
        <f t="shared" si="249"/>
        <v>2024-1</v>
      </c>
      <c r="J1295" s="5">
        <v>100</v>
      </c>
      <c r="K1295" s="5">
        <v>82.1</v>
      </c>
      <c r="L1295" s="15">
        <f t="shared" si="248"/>
        <v>0.82099999999999995</v>
      </c>
      <c r="M1295" s="15">
        <f t="shared" si="247"/>
        <v>0.82099999999999995</v>
      </c>
      <c r="N1295" s="5"/>
      <c r="O1295" s="5"/>
      <c r="P1295" s="5">
        <v>0</v>
      </c>
      <c r="Q1295" s="5">
        <v>0</v>
      </c>
      <c r="R1295" s="5" t="str">
        <f t="shared" si="250"/>
        <v>472-2024-06-30</v>
      </c>
    </row>
    <row r="1296" spans="1:18" x14ac:dyDescent="0.3">
      <c r="A1296" s="5">
        <v>472</v>
      </c>
      <c r="B1296" s="5" t="s">
        <v>530</v>
      </c>
      <c r="C1296" s="5" t="s">
        <v>237</v>
      </c>
      <c r="D1296" s="5" t="s">
        <v>8</v>
      </c>
      <c r="E1296" s="5" t="s">
        <v>9</v>
      </c>
      <c r="F1296" s="6">
        <v>45657</v>
      </c>
      <c r="G1296" s="5">
        <f t="shared" si="246"/>
        <v>2024</v>
      </c>
      <c r="H1296" s="5" t="str">
        <f t="shared" si="243"/>
        <v>Diciembre</v>
      </c>
      <c r="I1296" s="6" t="str">
        <f t="shared" si="249"/>
        <v>2024-2</v>
      </c>
      <c r="J1296" s="5">
        <v>100</v>
      </c>
      <c r="K1296" s="5">
        <v>100</v>
      </c>
      <c r="L1296" s="15">
        <f t="shared" si="248"/>
        <v>1</v>
      </c>
      <c r="M1296" s="15">
        <f t="shared" si="247"/>
        <v>1</v>
      </c>
      <c r="N1296" s="5"/>
      <c r="O1296" s="5"/>
      <c r="P1296" s="5">
        <v>0</v>
      </c>
      <c r="Q1296" s="5">
        <v>0</v>
      </c>
      <c r="R1296" s="5" t="str">
        <f t="shared" si="250"/>
        <v>472-2024-12-31</v>
      </c>
    </row>
    <row r="1297" spans="1:18" x14ac:dyDescent="0.3">
      <c r="A1297" s="26">
        <v>473</v>
      </c>
      <c r="B1297" s="23" t="s">
        <v>493</v>
      </c>
      <c r="C1297" s="5" t="s">
        <v>129</v>
      </c>
      <c r="D1297" s="5" t="s">
        <v>8</v>
      </c>
      <c r="E1297" s="5" t="s">
        <v>9</v>
      </c>
      <c r="F1297" s="6">
        <v>45473</v>
      </c>
      <c r="G1297" s="5">
        <f t="shared" si="246"/>
        <v>2024</v>
      </c>
      <c r="H1297" s="5" t="str">
        <f t="shared" si="243"/>
        <v>Junio</v>
      </c>
      <c r="I1297" s="6" t="str">
        <f t="shared" si="249"/>
        <v>2024-1</v>
      </c>
      <c r="J1297" s="34">
        <v>16</v>
      </c>
      <c r="K1297" s="86">
        <v>16</v>
      </c>
      <c r="L1297" s="15">
        <f t="shared" si="248"/>
        <v>1</v>
      </c>
      <c r="M1297" s="15">
        <f t="shared" ref="M1297:M1328" si="251">IFERROR(K1297/J1297,"")</f>
        <v>1</v>
      </c>
      <c r="N1297" s="5"/>
      <c r="O1297" s="5"/>
      <c r="P1297" s="5">
        <v>0</v>
      </c>
      <c r="Q1297" s="5">
        <v>0</v>
      </c>
      <c r="R1297" s="5" t="str">
        <f t="shared" si="250"/>
        <v>473-2024-06-30</v>
      </c>
    </row>
    <row r="1298" spans="1:18" x14ac:dyDescent="0.3">
      <c r="A1298" s="5">
        <v>473</v>
      </c>
      <c r="B1298" s="5" t="s">
        <v>724</v>
      </c>
      <c r="C1298" s="5" t="s">
        <v>129</v>
      </c>
      <c r="D1298" s="5" t="s">
        <v>8</v>
      </c>
      <c r="E1298" s="5" t="s">
        <v>9</v>
      </c>
      <c r="F1298" s="6">
        <v>45657</v>
      </c>
      <c r="G1298" s="5">
        <f t="shared" si="246"/>
        <v>2024</v>
      </c>
      <c r="H1298" s="5" t="str">
        <f t="shared" si="243"/>
        <v>Diciembre</v>
      </c>
      <c r="I1298" s="6" t="str">
        <f t="shared" si="249"/>
        <v>2024-2</v>
      </c>
      <c r="J1298" s="5">
        <v>17</v>
      </c>
      <c r="K1298" s="16">
        <v>17</v>
      </c>
      <c r="L1298" s="15">
        <f t="shared" si="248"/>
        <v>1</v>
      </c>
      <c r="M1298" s="15">
        <f t="shared" si="251"/>
        <v>1</v>
      </c>
      <c r="N1298" s="5"/>
      <c r="O1298" s="5"/>
      <c r="P1298" s="5">
        <v>0</v>
      </c>
      <c r="Q1298" s="5">
        <v>0</v>
      </c>
      <c r="R1298" s="5" t="str">
        <f t="shared" si="250"/>
        <v>473-2024-12-31</v>
      </c>
    </row>
    <row r="1299" spans="1:18" x14ac:dyDescent="0.3">
      <c r="A1299" s="5">
        <v>474</v>
      </c>
      <c r="B1299" s="5" t="s">
        <v>737</v>
      </c>
      <c r="C1299" s="5" t="s">
        <v>504</v>
      </c>
      <c r="D1299" s="5" t="s">
        <v>8</v>
      </c>
      <c r="E1299" s="5" t="s">
        <v>9</v>
      </c>
      <c r="F1299" s="6">
        <v>45473</v>
      </c>
      <c r="G1299" s="5">
        <f t="shared" si="246"/>
        <v>2024</v>
      </c>
      <c r="H1299" s="5" t="str">
        <f t="shared" si="243"/>
        <v>Junio</v>
      </c>
      <c r="I1299" s="6" t="str">
        <f t="shared" si="249"/>
        <v>2024-1</v>
      </c>
      <c r="J1299" s="5">
        <v>100</v>
      </c>
      <c r="K1299" s="5">
        <v>100</v>
      </c>
      <c r="L1299" s="15">
        <f t="shared" si="248"/>
        <v>1</v>
      </c>
      <c r="M1299" s="15">
        <f t="shared" si="251"/>
        <v>1</v>
      </c>
      <c r="N1299" s="5"/>
      <c r="O1299" s="5"/>
      <c r="P1299" s="5">
        <v>0</v>
      </c>
      <c r="Q1299" s="5">
        <v>0</v>
      </c>
      <c r="R1299" s="5" t="str">
        <f t="shared" si="250"/>
        <v>474-2024-06-30</v>
      </c>
    </row>
    <row r="1300" spans="1:18" x14ac:dyDescent="0.3">
      <c r="A1300" s="5">
        <v>474</v>
      </c>
      <c r="B1300" s="5" t="s">
        <v>737</v>
      </c>
      <c r="C1300" s="5" t="s">
        <v>504</v>
      </c>
      <c r="D1300" s="5" t="s">
        <v>8</v>
      </c>
      <c r="E1300" s="5" t="s">
        <v>9</v>
      </c>
      <c r="F1300" s="6">
        <v>45657</v>
      </c>
      <c r="G1300" s="5">
        <f t="shared" si="246"/>
        <v>2024</v>
      </c>
      <c r="H1300" s="5" t="str">
        <f t="shared" si="243"/>
        <v>Diciembre</v>
      </c>
      <c r="I1300" s="6" t="str">
        <f t="shared" si="249"/>
        <v>2024-2</v>
      </c>
      <c r="J1300" s="5">
        <v>100</v>
      </c>
      <c r="K1300" s="5">
        <v>100</v>
      </c>
      <c r="L1300" s="15">
        <f t="shared" si="248"/>
        <v>1</v>
      </c>
      <c r="M1300" s="15">
        <f t="shared" si="251"/>
        <v>1</v>
      </c>
      <c r="N1300" s="5"/>
      <c r="O1300" s="5"/>
      <c r="P1300" s="5">
        <v>0</v>
      </c>
      <c r="Q1300" s="5">
        <v>0</v>
      </c>
      <c r="R1300" s="5" t="str">
        <f t="shared" si="250"/>
        <v>474-2024-12-31</v>
      </c>
    </row>
    <row r="1301" spans="1:18" x14ac:dyDescent="0.3">
      <c r="A1301" s="5">
        <v>475</v>
      </c>
      <c r="B1301" s="5" t="s">
        <v>738</v>
      </c>
      <c r="C1301" s="5" t="s">
        <v>209</v>
      </c>
      <c r="D1301" s="5" t="s">
        <v>8</v>
      </c>
      <c r="E1301" s="5" t="s">
        <v>9</v>
      </c>
      <c r="F1301" s="6">
        <v>45473</v>
      </c>
      <c r="G1301" s="5">
        <f t="shared" si="246"/>
        <v>2024</v>
      </c>
      <c r="H1301" s="5" t="str">
        <f t="shared" si="243"/>
        <v>Junio</v>
      </c>
      <c r="I1301" s="6" t="str">
        <f t="shared" si="249"/>
        <v>2024-1</v>
      </c>
      <c r="J1301" s="5"/>
      <c r="K1301" s="5"/>
      <c r="L1301" s="15" t="str">
        <f t="shared" si="248"/>
        <v/>
      </c>
      <c r="M1301" s="15" t="str">
        <f t="shared" si="251"/>
        <v/>
      </c>
      <c r="N1301" s="5"/>
      <c r="O1301" s="5"/>
      <c r="P1301" s="5">
        <v>0</v>
      </c>
      <c r="Q1301" s="5">
        <v>0</v>
      </c>
      <c r="R1301" s="5" t="str">
        <f t="shared" si="250"/>
        <v>475-2024-06-30</v>
      </c>
    </row>
    <row r="1302" spans="1:18" x14ac:dyDescent="0.3">
      <c r="A1302" s="5">
        <v>475</v>
      </c>
      <c r="B1302" s="5" t="s">
        <v>738</v>
      </c>
      <c r="C1302" s="5" t="s">
        <v>209</v>
      </c>
      <c r="D1302" s="5" t="s">
        <v>8</v>
      </c>
      <c r="E1302" s="5" t="s">
        <v>9</v>
      </c>
      <c r="F1302" s="6">
        <v>45657</v>
      </c>
      <c r="G1302" s="5">
        <f t="shared" si="246"/>
        <v>2024</v>
      </c>
      <c r="H1302" s="5" t="str">
        <f t="shared" si="243"/>
        <v>Diciembre</v>
      </c>
      <c r="I1302" s="6" t="str">
        <f t="shared" si="249"/>
        <v>2024-2</v>
      </c>
      <c r="J1302" s="5">
        <v>100</v>
      </c>
      <c r="K1302" s="5">
        <v>100</v>
      </c>
      <c r="L1302" s="15">
        <f t="shared" si="248"/>
        <v>1</v>
      </c>
      <c r="M1302" s="15">
        <f t="shared" si="251"/>
        <v>1</v>
      </c>
      <c r="N1302" s="5"/>
      <c r="O1302" s="5"/>
      <c r="P1302" s="5">
        <v>0</v>
      </c>
      <c r="Q1302" s="5">
        <v>0</v>
      </c>
      <c r="R1302" s="5" t="str">
        <f t="shared" si="250"/>
        <v>475-2024-12-31</v>
      </c>
    </row>
    <row r="1303" spans="1:18" x14ac:dyDescent="0.3">
      <c r="A1303" s="5">
        <v>476</v>
      </c>
      <c r="B1303" s="5" t="s">
        <v>725</v>
      </c>
      <c r="C1303" s="5" t="s">
        <v>129</v>
      </c>
      <c r="D1303" s="5" t="s">
        <v>8</v>
      </c>
      <c r="E1303" s="5" t="s">
        <v>9</v>
      </c>
      <c r="F1303" s="6">
        <v>45473</v>
      </c>
      <c r="G1303" s="5">
        <f t="shared" si="246"/>
        <v>2024</v>
      </c>
      <c r="H1303" s="5" t="str">
        <f t="shared" si="243"/>
        <v>Junio</v>
      </c>
      <c r="I1303" s="6" t="str">
        <f t="shared" si="249"/>
        <v>2024-1</v>
      </c>
      <c r="J1303" s="5">
        <v>15</v>
      </c>
      <c r="K1303" s="5">
        <v>15</v>
      </c>
      <c r="L1303" s="15">
        <f t="shared" si="248"/>
        <v>1</v>
      </c>
      <c r="M1303" s="15">
        <f t="shared" si="251"/>
        <v>1</v>
      </c>
      <c r="N1303" s="5"/>
      <c r="O1303" s="5"/>
      <c r="P1303" s="5">
        <v>0</v>
      </c>
      <c r="Q1303" s="5">
        <v>0</v>
      </c>
      <c r="R1303" s="5" t="str">
        <f t="shared" si="250"/>
        <v>476-2024-06-30</v>
      </c>
    </row>
    <row r="1304" spans="1:18" x14ac:dyDescent="0.3">
      <c r="A1304" s="5">
        <v>476</v>
      </c>
      <c r="B1304" s="5" t="s">
        <v>725</v>
      </c>
      <c r="C1304" s="5" t="s">
        <v>129</v>
      </c>
      <c r="D1304" s="5" t="s">
        <v>8</v>
      </c>
      <c r="E1304" s="5" t="s">
        <v>9</v>
      </c>
      <c r="F1304" s="6">
        <v>45657</v>
      </c>
      <c r="G1304" s="5">
        <f t="shared" si="246"/>
        <v>2024</v>
      </c>
      <c r="H1304" s="5" t="str">
        <f t="shared" si="243"/>
        <v>Diciembre</v>
      </c>
      <c r="I1304" s="6" t="str">
        <f t="shared" si="249"/>
        <v>2024-2</v>
      </c>
      <c r="J1304" s="5">
        <v>15</v>
      </c>
      <c r="K1304" s="5">
        <v>15</v>
      </c>
      <c r="L1304" s="15">
        <f t="shared" si="248"/>
        <v>1</v>
      </c>
      <c r="M1304" s="15">
        <f t="shared" si="251"/>
        <v>1</v>
      </c>
      <c r="N1304" s="5"/>
      <c r="O1304" s="5"/>
      <c r="P1304" s="5">
        <v>0</v>
      </c>
      <c r="Q1304" s="5">
        <v>0</v>
      </c>
      <c r="R1304" s="5" t="str">
        <f t="shared" si="250"/>
        <v>476-2024-12-31</v>
      </c>
    </row>
    <row r="1305" spans="1:18" x14ac:dyDescent="0.3">
      <c r="A1305" s="5">
        <v>477</v>
      </c>
      <c r="B1305" s="5" t="s">
        <v>739</v>
      </c>
      <c r="C1305" s="5" t="s">
        <v>504</v>
      </c>
      <c r="D1305" s="5" t="s">
        <v>8</v>
      </c>
      <c r="E1305" s="5" t="s">
        <v>9</v>
      </c>
      <c r="F1305" s="6">
        <v>45473</v>
      </c>
      <c r="G1305" s="5">
        <f t="shared" si="246"/>
        <v>2024</v>
      </c>
      <c r="H1305" s="5" t="str">
        <f t="shared" si="243"/>
        <v>Junio</v>
      </c>
      <c r="I1305" s="6" t="str">
        <f t="shared" si="249"/>
        <v>2024-1</v>
      </c>
      <c r="J1305" s="5">
        <v>100</v>
      </c>
      <c r="K1305" s="5">
        <v>100</v>
      </c>
      <c r="L1305" s="15">
        <f t="shared" si="248"/>
        <v>1</v>
      </c>
      <c r="M1305" s="15">
        <f t="shared" si="251"/>
        <v>1</v>
      </c>
      <c r="N1305" s="5"/>
      <c r="O1305" s="5"/>
      <c r="P1305" s="5">
        <v>0</v>
      </c>
      <c r="Q1305" s="5">
        <v>0</v>
      </c>
      <c r="R1305" s="5" t="str">
        <f t="shared" si="250"/>
        <v>477-2024-06-30</v>
      </c>
    </row>
    <row r="1306" spans="1:18" x14ac:dyDescent="0.3">
      <c r="A1306" s="5">
        <v>477</v>
      </c>
      <c r="B1306" s="5" t="s">
        <v>739</v>
      </c>
      <c r="C1306" s="5" t="s">
        <v>504</v>
      </c>
      <c r="D1306" s="5" t="s">
        <v>8</v>
      </c>
      <c r="E1306" s="5" t="s">
        <v>9</v>
      </c>
      <c r="F1306" s="6">
        <v>45657</v>
      </c>
      <c r="G1306" s="5">
        <f t="shared" si="246"/>
        <v>2024</v>
      </c>
      <c r="H1306" s="5" t="str">
        <f t="shared" ref="H1306:H1369" si="252">PROPER(TEXT(F1306,"mmmm"))</f>
        <v>Diciembre</v>
      </c>
      <c r="I1306" s="6" t="str">
        <f t="shared" si="249"/>
        <v>2024-2</v>
      </c>
      <c r="J1306" s="5">
        <v>100</v>
      </c>
      <c r="K1306" s="5">
        <v>100</v>
      </c>
      <c r="L1306" s="15">
        <f t="shared" ref="L1306:L1337" si="253">IFERROR(IF((K1306/J1306)&gt;1.3,1.3,K1306/J1306),"")</f>
        <v>1</v>
      </c>
      <c r="M1306" s="15">
        <f t="shared" si="251"/>
        <v>1</v>
      </c>
      <c r="N1306" s="5"/>
      <c r="O1306" s="5"/>
      <c r="P1306" s="5">
        <v>0</v>
      </c>
      <c r="Q1306" s="5">
        <v>0</v>
      </c>
      <c r="R1306" s="5" t="str">
        <f t="shared" si="250"/>
        <v>477-2024-12-31</v>
      </c>
    </row>
    <row r="1307" spans="1:18" x14ac:dyDescent="0.3">
      <c r="A1307" s="5">
        <v>478</v>
      </c>
      <c r="B1307" s="5" t="s">
        <v>740</v>
      </c>
      <c r="C1307" s="5" t="s">
        <v>504</v>
      </c>
      <c r="D1307" s="5" t="s">
        <v>8</v>
      </c>
      <c r="E1307" s="5" t="s">
        <v>9</v>
      </c>
      <c r="F1307" s="6">
        <v>45473</v>
      </c>
      <c r="G1307" s="5">
        <f t="shared" si="246"/>
        <v>2024</v>
      </c>
      <c r="H1307" s="5" t="str">
        <f t="shared" si="252"/>
        <v>Junio</v>
      </c>
      <c r="I1307" s="6" t="str">
        <f t="shared" si="249"/>
        <v>2024-1</v>
      </c>
      <c r="J1307" s="5">
        <v>100</v>
      </c>
      <c r="K1307" s="5"/>
      <c r="L1307" s="15">
        <f t="shared" si="253"/>
        <v>0</v>
      </c>
      <c r="M1307" s="15">
        <f t="shared" si="251"/>
        <v>0</v>
      </c>
      <c r="N1307" s="5" t="s">
        <v>490</v>
      </c>
      <c r="O1307" s="5" t="s">
        <v>81</v>
      </c>
      <c r="P1307" s="5">
        <v>0</v>
      </c>
      <c r="Q1307" s="5">
        <v>0</v>
      </c>
      <c r="R1307" s="5" t="str">
        <f t="shared" si="250"/>
        <v>478-2024-06-30</v>
      </c>
    </row>
    <row r="1308" spans="1:18" x14ac:dyDescent="0.3">
      <c r="A1308" s="5">
        <v>478</v>
      </c>
      <c r="B1308" s="5" t="s">
        <v>740</v>
      </c>
      <c r="C1308" s="5" t="s">
        <v>504</v>
      </c>
      <c r="D1308" s="5" t="s">
        <v>8</v>
      </c>
      <c r="E1308" s="5" t="s">
        <v>9</v>
      </c>
      <c r="F1308" s="6">
        <v>45657</v>
      </c>
      <c r="G1308" s="5">
        <f t="shared" si="246"/>
        <v>2024</v>
      </c>
      <c r="H1308" s="5" t="str">
        <f t="shared" si="252"/>
        <v>Diciembre</v>
      </c>
      <c r="I1308" s="6" t="str">
        <f t="shared" ref="I1308:I1339" si="254">IF(OR(H1308="Enero",H1308="Febrero",H1308="Marzo",H1308="Abril",H1308="Mayo",H1308="Junio"),G1308&amp;"-1",IF(OR(H1308="Julio",H1308="Agosto",H1308="Septiembre",H1308="Octubre",H1308="Noviembre",H1308="Diciembre"),G1308&amp;"-2"))</f>
        <v>2024-2</v>
      </c>
      <c r="J1308" s="5">
        <v>100</v>
      </c>
      <c r="K1308" s="5">
        <v>100</v>
      </c>
      <c r="L1308" s="15">
        <f t="shared" si="253"/>
        <v>1</v>
      </c>
      <c r="M1308" s="15">
        <f t="shared" si="251"/>
        <v>1</v>
      </c>
      <c r="N1308" s="5"/>
      <c r="O1308" s="5"/>
      <c r="P1308" s="5">
        <v>0</v>
      </c>
      <c r="Q1308" s="5">
        <v>0</v>
      </c>
      <c r="R1308" s="5" t="str">
        <f t="shared" si="250"/>
        <v>478-2024-12-31</v>
      </c>
    </row>
    <row r="1309" spans="1:18" x14ac:dyDescent="0.3">
      <c r="A1309" s="5">
        <v>479</v>
      </c>
      <c r="B1309" s="5" t="s">
        <v>741</v>
      </c>
      <c r="C1309" s="5" t="s">
        <v>504</v>
      </c>
      <c r="D1309" s="5" t="s">
        <v>8</v>
      </c>
      <c r="E1309" s="5" t="s">
        <v>9</v>
      </c>
      <c r="F1309" s="6">
        <v>45473</v>
      </c>
      <c r="G1309" s="5">
        <f t="shared" si="246"/>
        <v>2024</v>
      </c>
      <c r="H1309" s="5" t="str">
        <f t="shared" si="252"/>
        <v>Junio</v>
      </c>
      <c r="I1309" s="6" t="str">
        <f t="shared" si="254"/>
        <v>2024-1</v>
      </c>
      <c r="J1309" s="5">
        <v>100</v>
      </c>
      <c r="K1309" s="5">
        <v>100</v>
      </c>
      <c r="L1309" s="15">
        <f t="shared" si="253"/>
        <v>1</v>
      </c>
      <c r="M1309" s="15">
        <f t="shared" si="251"/>
        <v>1</v>
      </c>
      <c r="N1309" s="5"/>
      <c r="O1309" s="5"/>
      <c r="P1309" s="5">
        <v>0</v>
      </c>
      <c r="Q1309" s="5">
        <v>0</v>
      </c>
      <c r="R1309" s="5" t="str">
        <f t="shared" si="250"/>
        <v>479-2024-06-30</v>
      </c>
    </row>
    <row r="1310" spans="1:18" x14ac:dyDescent="0.3">
      <c r="A1310" s="5">
        <v>479</v>
      </c>
      <c r="B1310" s="5" t="s">
        <v>741</v>
      </c>
      <c r="C1310" s="5" t="s">
        <v>504</v>
      </c>
      <c r="D1310" s="5" t="s">
        <v>8</v>
      </c>
      <c r="E1310" s="5" t="s">
        <v>9</v>
      </c>
      <c r="F1310" s="6">
        <v>45657</v>
      </c>
      <c r="G1310" s="5">
        <f t="shared" si="246"/>
        <v>2024</v>
      </c>
      <c r="H1310" s="5" t="str">
        <f t="shared" si="252"/>
        <v>Diciembre</v>
      </c>
      <c r="I1310" s="6" t="str">
        <f t="shared" si="254"/>
        <v>2024-2</v>
      </c>
      <c r="J1310" s="5">
        <v>100</v>
      </c>
      <c r="K1310" s="5">
        <v>100</v>
      </c>
      <c r="L1310" s="15">
        <f t="shared" si="253"/>
        <v>1</v>
      </c>
      <c r="M1310" s="15">
        <f t="shared" si="251"/>
        <v>1</v>
      </c>
      <c r="N1310" s="5"/>
      <c r="O1310" s="5"/>
      <c r="P1310" s="5">
        <v>0</v>
      </c>
      <c r="Q1310" s="5">
        <v>0</v>
      </c>
      <c r="R1310" s="5" t="str">
        <f t="shared" si="250"/>
        <v>479-2024-12-31</v>
      </c>
    </row>
    <row r="1311" spans="1:18" x14ac:dyDescent="0.3">
      <c r="A1311" s="5">
        <v>480</v>
      </c>
      <c r="B1311" s="5" t="s">
        <v>742</v>
      </c>
      <c r="C1311" s="5" t="s">
        <v>504</v>
      </c>
      <c r="D1311" s="5" t="s">
        <v>8</v>
      </c>
      <c r="E1311" s="5" t="s">
        <v>9</v>
      </c>
      <c r="F1311" s="6">
        <v>45473</v>
      </c>
      <c r="G1311" s="5">
        <f t="shared" si="246"/>
        <v>2024</v>
      </c>
      <c r="H1311" s="5" t="str">
        <f t="shared" si="252"/>
        <v>Junio</v>
      </c>
      <c r="I1311" s="6" t="str">
        <f t="shared" si="254"/>
        <v>2024-1</v>
      </c>
      <c r="J1311" s="5">
        <v>100</v>
      </c>
      <c r="K1311" s="5">
        <v>100</v>
      </c>
      <c r="L1311" s="15">
        <f t="shared" si="253"/>
        <v>1</v>
      </c>
      <c r="M1311" s="15">
        <f t="shared" si="251"/>
        <v>1</v>
      </c>
      <c r="N1311" s="5"/>
      <c r="O1311" s="5"/>
      <c r="P1311" s="5">
        <v>0</v>
      </c>
      <c r="Q1311" s="5">
        <v>0</v>
      </c>
      <c r="R1311" s="5" t="str">
        <f t="shared" si="250"/>
        <v>480-2024-06-30</v>
      </c>
    </row>
    <row r="1312" spans="1:18" x14ac:dyDescent="0.3">
      <c r="A1312" s="5">
        <v>480</v>
      </c>
      <c r="B1312" s="5" t="s">
        <v>742</v>
      </c>
      <c r="C1312" s="5" t="s">
        <v>504</v>
      </c>
      <c r="D1312" s="5" t="s">
        <v>8</v>
      </c>
      <c r="E1312" s="5" t="s">
        <v>9</v>
      </c>
      <c r="F1312" s="6">
        <v>45657</v>
      </c>
      <c r="G1312" s="5">
        <f t="shared" si="246"/>
        <v>2024</v>
      </c>
      <c r="H1312" s="5" t="str">
        <f t="shared" si="252"/>
        <v>Diciembre</v>
      </c>
      <c r="I1312" s="6" t="str">
        <f t="shared" si="254"/>
        <v>2024-2</v>
      </c>
      <c r="J1312" s="5">
        <v>100</v>
      </c>
      <c r="K1312" s="5">
        <v>100</v>
      </c>
      <c r="L1312" s="15">
        <f t="shared" si="253"/>
        <v>1</v>
      </c>
      <c r="M1312" s="15">
        <f t="shared" si="251"/>
        <v>1</v>
      </c>
      <c r="N1312" s="5"/>
      <c r="O1312" s="5"/>
      <c r="P1312" s="5">
        <v>0</v>
      </c>
      <c r="Q1312" s="5">
        <v>0</v>
      </c>
      <c r="R1312" s="5" t="str">
        <f t="shared" si="250"/>
        <v>480-2024-12-31</v>
      </c>
    </row>
    <row r="1313" spans="1:18" x14ac:dyDescent="0.3">
      <c r="A1313" s="5">
        <v>481</v>
      </c>
      <c r="B1313" s="5" t="s">
        <v>726</v>
      </c>
      <c r="C1313" s="5" t="s">
        <v>129</v>
      </c>
      <c r="D1313" s="5" t="s">
        <v>8</v>
      </c>
      <c r="E1313" s="5" t="s">
        <v>9</v>
      </c>
      <c r="F1313" s="6">
        <v>45473</v>
      </c>
      <c r="G1313" s="5">
        <f t="shared" si="246"/>
        <v>2024</v>
      </c>
      <c r="H1313" s="5" t="str">
        <f t="shared" si="252"/>
        <v>Junio</v>
      </c>
      <c r="I1313" s="6" t="str">
        <f t="shared" si="254"/>
        <v>2024-1</v>
      </c>
      <c r="J1313" s="5">
        <v>100</v>
      </c>
      <c r="K1313" s="5">
        <v>100</v>
      </c>
      <c r="L1313" s="15">
        <f t="shared" si="253"/>
        <v>1</v>
      </c>
      <c r="M1313" s="15">
        <f t="shared" si="251"/>
        <v>1</v>
      </c>
      <c r="N1313" s="5"/>
      <c r="O1313" s="5"/>
      <c r="P1313" s="5">
        <v>0</v>
      </c>
      <c r="Q1313" s="5">
        <v>0</v>
      </c>
      <c r="R1313" s="5" t="str">
        <f t="shared" si="250"/>
        <v>481-2024-06-30</v>
      </c>
    </row>
    <row r="1314" spans="1:18" x14ac:dyDescent="0.3">
      <c r="A1314" s="5">
        <v>481</v>
      </c>
      <c r="B1314" s="5" t="s">
        <v>726</v>
      </c>
      <c r="C1314" s="5" t="s">
        <v>129</v>
      </c>
      <c r="D1314" s="5" t="s">
        <v>8</v>
      </c>
      <c r="E1314" s="5" t="s">
        <v>9</v>
      </c>
      <c r="F1314" s="6">
        <v>45657</v>
      </c>
      <c r="G1314" s="5">
        <f t="shared" si="246"/>
        <v>2024</v>
      </c>
      <c r="H1314" s="5" t="str">
        <f t="shared" si="252"/>
        <v>Diciembre</v>
      </c>
      <c r="I1314" s="6" t="str">
        <f t="shared" si="254"/>
        <v>2024-2</v>
      </c>
      <c r="J1314" s="5">
        <v>100</v>
      </c>
      <c r="K1314" s="5"/>
      <c r="L1314" s="15">
        <f t="shared" si="253"/>
        <v>0</v>
      </c>
      <c r="M1314" s="15">
        <f t="shared" si="251"/>
        <v>0</v>
      </c>
      <c r="N1314" s="5" t="s">
        <v>490</v>
      </c>
      <c r="O1314" s="5" t="s">
        <v>81</v>
      </c>
      <c r="P1314" s="5">
        <v>0</v>
      </c>
      <c r="Q1314" s="5">
        <v>0</v>
      </c>
      <c r="R1314" s="5" t="str">
        <f t="shared" si="250"/>
        <v>481-2024-12-31</v>
      </c>
    </row>
    <row r="1315" spans="1:18" x14ac:dyDescent="0.3">
      <c r="A1315" s="5">
        <v>483</v>
      </c>
      <c r="B1315" s="5" t="s">
        <v>743</v>
      </c>
      <c r="C1315" s="5" t="s">
        <v>281</v>
      </c>
      <c r="D1315" s="5" t="s">
        <v>25</v>
      </c>
      <c r="E1315" s="5" t="s">
        <v>9</v>
      </c>
      <c r="F1315" s="6">
        <v>45657</v>
      </c>
      <c r="G1315" s="5">
        <f t="shared" si="246"/>
        <v>2024</v>
      </c>
      <c r="H1315" s="5" t="str">
        <f t="shared" si="252"/>
        <v>Diciembre</v>
      </c>
      <c r="I1315" s="6" t="str">
        <f t="shared" si="254"/>
        <v>2024-2</v>
      </c>
      <c r="J1315" s="5">
        <v>10</v>
      </c>
      <c r="K1315" s="5">
        <v>91.65</v>
      </c>
      <c r="L1315" s="15">
        <f t="shared" si="253"/>
        <v>1.3</v>
      </c>
      <c r="M1315" s="15">
        <f t="shared" si="251"/>
        <v>9.1650000000000009</v>
      </c>
      <c r="N1315" s="5"/>
      <c r="O1315" s="5"/>
      <c r="P1315" s="5">
        <v>0</v>
      </c>
      <c r="Q1315" s="5">
        <v>0</v>
      </c>
      <c r="R1315" s="5" t="str">
        <f t="shared" si="250"/>
        <v>483-2024-12-31</v>
      </c>
    </row>
    <row r="1316" spans="1:18" x14ac:dyDescent="0.3">
      <c r="A1316" s="5">
        <v>484</v>
      </c>
      <c r="B1316" s="5" t="s">
        <v>720</v>
      </c>
      <c r="C1316" s="5" t="s">
        <v>24</v>
      </c>
      <c r="D1316" s="5" t="s">
        <v>11</v>
      </c>
      <c r="E1316" s="5" t="s">
        <v>9</v>
      </c>
      <c r="F1316" s="6">
        <v>45473</v>
      </c>
      <c r="G1316" s="5">
        <f t="shared" si="246"/>
        <v>2024</v>
      </c>
      <c r="H1316" s="5" t="str">
        <f t="shared" si="252"/>
        <v>Junio</v>
      </c>
      <c r="I1316" s="6" t="str">
        <f t="shared" si="254"/>
        <v>2024-1</v>
      </c>
      <c r="J1316" s="5">
        <v>90</v>
      </c>
      <c r="K1316" s="5">
        <v>100</v>
      </c>
      <c r="L1316" s="15">
        <f t="shared" si="253"/>
        <v>1.1111111111111112</v>
      </c>
      <c r="M1316" s="15">
        <f t="shared" si="251"/>
        <v>1.1111111111111112</v>
      </c>
      <c r="N1316" s="5"/>
      <c r="O1316" s="5"/>
      <c r="P1316" s="5">
        <v>0</v>
      </c>
      <c r="Q1316" s="5">
        <v>0</v>
      </c>
      <c r="R1316" s="5" t="str">
        <f t="shared" si="250"/>
        <v>484-2024-06-30</v>
      </c>
    </row>
    <row r="1317" spans="1:18" x14ac:dyDescent="0.3">
      <c r="A1317" s="5">
        <v>484</v>
      </c>
      <c r="B1317" s="5" t="s">
        <v>720</v>
      </c>
      <c r="C1317" s="5" t="s">
        <v>24</v>
      </c>
      <c r="D1317" s="5" t="s">
        <v>11</v>
      </c>
      <c r="E1317" s="5" t="s">
        <v>9</v>
      </c>
      <c r="F1317" s="6">
        <v>45657</v>
      </c>
      <c r="G1317" s="5">
        <f t="shared" si="246"/>
        <v>2024</v>
      </c>
      <c r="H1317" s="5" t="str">
        <f t="shared" si="252"/>
        <v>Diciembre</v>
      </c>
      <c r="I1317" s="6" t="str">
        <f t="shared" si="254"/>
        <v>2024-2</v>
      </c>
      <c r="J1317" s="5">
        <v>90</v>
      </c>
      <c r="K1317" s="5">
        <v>100</v>
      </c>
      <c r="L1317" s="15">
        <f t="shared" si="253"/>
        <v>1.1111111111111112</v>
      </c>
      <c r="M1317" s="15">
        <f t="shared" si="251"/>
        <v>1.1111111111111112</v>
      </c>
      <c r="N1317" s="5"/>
      <c r="O1317" s="5"/>
      <c r="P1317" s="5">
        <v>0</v>
      </c>
      <c r="Q1317" s="5">
        <v>0</v>
      </c>
      <c r="R1317" s="5" t="str">
        <f t="shared" si="250"/>
        <v>484-2024-12-31</v>
      </c>
    </row>
    <row r="1318" spans="1:18" x14ac:dyDescent="0.3">
      <c r="A1318" s="5">
        <v>485</v>
      </c>
      <c r="B1318" s="5" t="s">
        <v>744</v>
      </c>
      <c r="C1318" s="5" t="s">
        <v>45</v>
      </c>
      <c r="D1318" s="5" t="s">
        <v>18</v>
      </c>
      <c r="E1318" s="5" t="s">
        <v>9</v>
      </c>
      <c r="F1318" s="6">
        <v>45473</v>
      </c>
      <c r="G1318" s="5">
        <f t="shared" si="246"/>
        <v>2024</v>
      </c>
      <c r="H1318" s="5" t="str">
        <f t="shared" si="252"/>
        <v>Junio</v>
      </c>
      <c r="I1318" s="6" t="str">
        <f t="shared" si="254"/>
        <v>2024-1</v>
      </c>
      <c r="J1318" s="5"/>
      <c r="K1318" s="5"/>
      <c r="L1318" s="15" t="str">
        <f t="shared" si="253"/>
        <v/>
      </c>
      <c r="M1318" s="15" t="str">
        <f t="shared" si="251"/>
        <v/>
      </c>
      <c r="N1318" s="5"/>
      <c r="O1318" s="5"/>
      <c r="P1318" s="5">
        <v>0</v>
      </c>
      <c r="Q1318" s="5">
        <v>0</v>
      </c>
      <c r="R1318" s="5" t="str">
        <f t="shared" si="250"/>
        <v>485-2024-06-30</v>
      </c>
    </row>
    <row r="1319" spans="1:18" x14ac:dyDescent="0.3">
      <c r="A1319" s="5">
        <v>485</v>
      </c>
      <c r="B1319" s="5" t="s">
        <v>744</v>
      </c>
      <c r="C1319" s="5" t="s">
        <v>45</v>
      </c>
      <c r="D1319" s="5" t="s">
        <v>18</v>
      </c>
      <c r="E1319" s="5" t="s">
        <v>9</v>
      </c>
      <c r="F1319" s="6">
        <v>45657</v>
      </c>
      <c r="G1319" s="5">
        <f t="shared" si="246"/>
        <v>2024</v>
      </c>
      <c r="H1319" s="5" t="str">
        <f t="shared" si="252"/>
        <v>Diciembre</v>
      </c>
      <c r="I1319" s="6" t="str">
        <f t="shared" si="254"/>
        <v>2024-2</v>
      </c>
      <c r="J1319" s="5">
        <v>80</v>
      </c>
      <c r="K1319" s="5">
        <v>66.67</v>
      </c>
      <c r="L1319" s="15">
        <f t="shared" si="253"/>
        <v>0.83337499999999998</v>
      </c>
      <c r="M1319" s="15">
        <f t="shared" si="251"/>
        <v>0.83337499999999998</v>
      </c>
      <c r="N1319" s="5"/>
      <c r="O1319" s="5"/>
      <c r="P1319" s="5">
        <v>0</v>
      </c>
      <c r="Q1319" s="5">
        <v>0</v>
      </c>
      <c r="R1319" s="5" t="str">
        <f t="shared" si="250"/>
        <v>485-2024-12-31</v>
      </c>
    </row>
    <row r="1320" spans="1:18" x14ac:dyDescent="0.3">
      <c r="A1320" s="5">
        <v>486</v>
      </c>
      <c r="B1320" s="5" t="s">
        <v>745</v>
      </c>
      <c r="C1320" s="5" t="s">
        <v>320</v>
      </c>
      <c r="D1320" s="5" t="s">
        <v>8</v>
      </c>
      <c r="E1320" s="5" t="s">
        <v>9</v>
      </c>
      <c r="F1320" s="6">
        <v>45473</v>
      </c>
      <c r="G1320" s="5">
        <f t="shared" si="246"/>
        <v>2024</v>
      </c>
      <c r="H1320" s="5" t="str">
        <f t="shared" si="252"/>
        <v>Junio</v>
      </c>
      <c r="I1320" s="6" t="str">
        <f t="shared" si="254"/>
        <v>2024-1</v>
      </c>
      <c r="J1320" s="5">
        <v>0</v>
      </c>
      <c r="K1320" s="5">
        <v>4900000</v>
      </c>
      <c r="L1320" s="15" t="str">
        <f t="shared" si="253"/>
        <v/>
      </c>
      <c r="M1320" s="15" t="str">
        <f t="shared" si="251"/>
        <v/>
      </c>
      <c r="N1320" s="5"/>
      <c r="O1320" s="5"/>
      <c r="P1320" s="5">
        <v>0</v>
      </c>
      <c r="Q1320" s="5">
        <v>0</v>
      </c>
      <c r="R1320" s="5" t="str">
        <f t="shared" si="250"/>
        <v>486-2024-06-30</v>
      </c>
    </row>
    <row r="1321" spans="1:18" x14ac:dyDescent="0.3">
      <c r="A1321" s="5">
        <v>486</v>
      </c>
      <c r="B1321" s="5" t="s">
        <v>745</v>
      </c>
      <c r="C1321" s="5" t="s">
        <v>320</v>
      </c>
      <c r="D1321" s="5" t="s">
        <v>8</v>
      </c>
      <c r="E1321" s="5" t="s">
        <v>9</v>
      </c>
      <c r="F1321" s="6">
        <v>45657</v>
      </c>
      <c r="G1321" s="5">
        <f t="shared" si="246"/>
        <v>2024</v>
      </c>
      <c r="H1321" s="5" t="str">
        <f t="shared" si="252"/>
        <v>Diciembre</v>
      </c>
      <c r="I1321" s="6" t="str">
        <f t="shared" si="254"/>
        <v>2024-2</v>
      </c>
      <c r="J1321" s="5">
        <v>0</v>
      </c>
      <c r="K1321" s="5">
        <v>2700000</v>
      </c>
      <c r="L1321" s="15" t="str">
        <f t="shared" si="253"/>
        <v/>
      </c>
      <c r="M1321" s="15" t="str">
        <f t="shared" si="251"/>
        <v/>
      </c>
      <c r="N1321" s="5"/>
      <c r="O1321" s="5"/>
      <c r="P1321" s="5">
        <v>0</v>
      </c>
      <c r="Q1321" s="5">
        <v>0</v>
      </c>
      <c r="R1321" s="5" t="str">
        <f t="shared" si="250"/>
        <v>486-2024-12-31</v>
      </c>
    </row>
    <row r="1322" spans="1:18" x14ac:dyDescent="0.3">
      <c r="A1322" s="5">
        <v>487</v>
      </c>
      <c r="B1322" s="5" t="s">
        <v>746</v>
      </c>
      <c r="C1322" s="5" t="s">
        <v>152</v>
      </c>
      <c r="D1322" s="5" t="s">
        <v>25</v>
      </c>
      <c r="E1322" s="5" t="s">
        <v>9</v>
      </c>
      <c r="F1322" s="6">
        <v>45657</v>
      </c>
      <c r="G1322" s="5">
        <f t="shared" si="246"/>
        <v>2024</v>
      </c>
      <c r="H1322" s="5" t="str">
        <f t="shared" si="252"/>
        <v>Diciembre</v>
      </c>
      <c r="I1322" s="6" t="str">
        <f t="shared" si="254"/>
        <v>2024-2</v>
      </c>
      <c r="J1322" s="5">
        <v>20</v>
      </c>
      <c r="K1322" s="5">
        <v>164.17</v>
      </c>
      <c r="L1322" s="15">
        <f t="shared" si="253"/>
        <v>1.3</v>
      </c>
      <c r="M1322" s="15">
        <f t="shared" si="251"/>
        <v>8.208499999999999</v>
      </c>
      <c r="N1322" s="5"/>
      <c r="O1322" s="5"/>
      <c r="P1322" s="5">
        <v>0</v>
      </c>
      <c r="Q1322" s="5">
        <v>0</v>
      </c>
      <c r="R1322" s="5" t="str">
        <f t="shared" si="250"/>
        <v>487-2024-12-31</v>
      </c>
    </row>
    <row r="1323" spans="1:18" x14ac:dyDescent="0.3">
      <c r="A1323" s="5">
        <v>488</v>
      </c>
      <c r="B1323" s="5" t="s">
        <v>747</v>
      </c>
      <c r="C1323" s="5" t="s">
        <v>45</v>
      </c>
      <c r="D1323" s="5" t="s">
        <v>18</v>
      </c>
      <c r="E1323" s="5" t="s">
        <v>9</v>
      </c>
      <c r="F1323" s="6">
        <v>45473</v>
      </c>
      <c r="G1323" s="5">
        <f t="shared" si="246"/>
        <v>2024</v>
      </c>
      <c r="H1323" s="5" t="str">
        <f t="shared" si="252"/>
        <v>Junio</v>
      </c>
      <c r="I1323" s="6" t="str">
        <f t="shared" si="254"/>
        <v>2024-1</v>
      </c>
      <c r="J1323" s="5"/>
      <c r="K1323" s="5"/>
      <c r="L1323" s="15" t="str">
        <f t="shared" si="253"/>
        <v/>
      </c>
      <c r="M1323" s="15" t="str">
        <f t="shared" si="251"/>
        <v/>
      </c>
      <c r="N1323" s="5"/>
      <c r="O1323" s="5"/>
      <c r="P1323" s="5">
        <v>0</v>
      </c>
      <c r="Q1323" s="5">
        <v>0</v>
      </c>
      <c r="R1323" s="5" t="str">
        <f t="shared" si="250"/>
        <v>488-2024-06-30</v>
      </c>
    </row>
    <row r="1324" spans="1:18" x14ac:dyDescent="0.3">
      <c r="A1324" s="5">
        <v>488</v>
      </c>
      <c r="B1324" s="5" t="s">
        <v>747</v>
      </c>
      <c r="C1324" s="5" t="s">
        <v>45</v>
      </c>
      <c r="D1324" s="5" t="s">
        <v>18</v>
      </c>
      <c r="E1324" s="5" t="s">
        <v>9</v>
      </c>
      <c r="F1324" s="6">
        <v>45657</v>
      </c>
      <c r="G1324" s="5">
        <f t="shared" si="246"/>
        <v>2024</v>
      </c>
      <c r="H1324" s="5" t="str">
        <f t="shared" si="252"/>
        <v>Diciembre</v>
      </c>
      <c r="I1324" s="6" t="str">
        <f t="shared" si="254"/>
        <v>2024-2</v>
      </c>
      <c r="J1324" s="5">
        <v>85</v>
      </c>
      <c r="K1324" s="5">
        <v>91.32</v>
      </c>
      <c r="L1324" s="15">
        <f t="shared" si="253"/>
        <v>1.0743529411764705</v>
      </c>
      <c r="M1324" s="15">
        <f t="shared" si="251"/>
        <v>1.0743529411764705</v>
      </c>
      <c r="N1324" s="5"/>
      <c r="O1324" s="5"/>
      <c r="P1324" s="5">
        <v>0</v>
      </c>
      <c r="Q1324" s="5">
        <v>0</v>
      </c>
      <c r="R1324" s="5" t="str">
        <f t="shared" si="250"/>
        <v>488-2024-12-31</v>
      </c>
    </row>
    <row r="1325" spans="1:18" x14ac:dyDescent="0.3">
      <c r="A1325" s="5">
        <v>489</v>
      </c>
      <c r="B1325" s="5" t="s">
        <v>748</v>
      </c>
      <c r="C1325" s="5" t="s">
        <v>45</v>
      </c>
      <c r="D1325" s="5" t="s">
        <v>18</v>
      </c>
      <c r="E1325" s="5" t="s">
        <v>9</v>
      </c>
      <c r="F1325" s="6">
        <v>45473</v>
      </c>
      <c r="G1325" s="5">
        <f t="shared" ref="G1325:G1362" si="255">YEAR(F1325)</f>
        <v>2024</v>
      </c>
      <c r="H1325" s="5" t="str">
        <f t="shared" si="252"/>
        <v>Junio</v>
      </c>
      <c r="I1325" s="6" t="str">
        <f t="shared" si="254"/>
        <v>2024-1</v>
      </c>
      <c r="J1325" s="5"/>
      <c r="K1325" s="5"/>
      <c r="L1325" s="15" t="str">
        <f t="shared" si="253"/>
        <v/>
      </c>
      <c r="M1325" s="15" t="str">
        <f t="shared" si="251"/>
        <v/>
      </c>
      <c r="N1325" s="5"/>
      <c r="O1325" s="5"/>
      <c r="P1325" s="5">
        <v>0</v>
      </c>
      <c r="Q1325" s="5">
        <v>0</v>
      </c>
      <c r="R1325" s="5" t="str">
        <f t="shared" si="250"/>
        <v>489-2024-06-30</v>
      </c>
    </row>
    <row r="1326" spans="1:18" x14ac:dyDescent="0.3">
      <c r="A1326" s="5">
        <v>489</v>
      </c>
      <c r="B1326" s="5" t="s">
        <v>748</v>
      </c>
      <c r="C1326" s="5" t="s">
        <v>45</v>
      </c>
      <c r="D1326" s="5" t="s">
        <v>18</v>
      </c>
      <c r="E1326" s="5" t="s">
        <v>9</v>
      </c>
      <c r="F1326" s="6">
        <v>45657</v>
      </c>
      <c r="G1326" s="5">
        <f t="shared" si="255"/>
        <v>2024</v>
      </c>
      <c r="H1326" s="5" t="str">
        <f t="shared" si="252"/>
        <v>Diciembre</v>
      </c>
      <c r="I1326" s="6" t="str">
        <f t="shared" si="254"/>
        <v>2024-2</v>
      </c>
      <c r="J1326" s="5">
        <v>80</v>
      </c>
      <c r="K1326" s="5">
        <v>100</v>
      </c>
      <c r="L1326" s="15">
        <f t="shared" si="253"/>
        <v>1.25</v>
      </c>
      <c r="M1326" s="15">
        <f t="shared" si="251"/>
        <v>1.25</v>
      </c>
      <c r="N1326" s="5"/>
      <c r="O1326" s="5"/>
      <c r="P1326" s="5">
        <v>0</v>
      </c>
      <c r="Q1326" s="5">
        <v>0</v>
      </c>
      <c r="R1326" s="5" t="str">
        <f t="shared" si="250"/>
        <v>489-2024-12-31</v>
      </c>
    </row>
    <row r="1327" spans="1:18" x14ac:dyDescent="0.3">
      <c r="A1327" s="5">
        <v>490</v>
      </c>
      <c r="B1327" s="5" t="s">
        <v>481</v>
      </c>
      <c r="C1327" s="5" t="s">
        <v>131</v>
      </c>
      <c r="D1327" s="5" t="s">
        <v>25</v>
      </c>
      <c r="E1327" s="5" t="s">
        <v>9</v>
      </c>
      <c r="F1327" s="6">
        <v>45657</v>
      </c>
      <c r="G1327" s="5">
        <f t="shared" si="255"/>
        <v>2024</v>
      </c>
      <c r="H1327" s="5" t="str">
        <f t="shared" si="252"/>
        <v>Diciembre</v>
      </c>
      <c r="I1327" s="6" t="str">
        <f t="shared" si="254"/>
        <v>2024-2</v>
      </c>
      <c r="J1327" s="5">
        <v>80</v>
      </c>
      <c r="K1327" s="5">
        <v>88</v>
      </c>
      <c r="L1327" s="15">
        <f t="shared" si="253"/>
        <v>1.1000000000000001</v>
      </c>
      <c r="M1327" s="15">
        <f t="shared" si="251"/>
        <v>1.1000000000000001</v>
      </c>
      <c r="N1327" s="5"/>
      <c r="O1327" s="5"/>
      <c r="P1327" s="5">
        <v>0</v>
      </c>
      <c r="Q1327" s="5">
        <v>0</v>
      </c>
      <c r="R1327" s="5" t="str">
        <f t="shared" si="250"/>
        <v>490-2024-12-31</v>
      </c>
    </row>
    <row r="1328" spans="1:18" x14ac:dyDescent="0.3">
      <c r="A1328" s="5">
        <v>491</v>
      </c>
      <c r="B1328" s="5" t="s">
        <v>749</v>
      </c>
      <c r="C1328" s="5" t="s">
        <v>117</v>
      </c>
      <c r="D1328" s="5" t="s">
        <v>25</v>
      </c>
      <c r="E1328" s="5" t="s">
        <v>9</v>
      </c>
      <c r="F1328" s="6">
        <v>45657</v>
      </c>
      <c r="G1328" s="5">
        <f t="shared" si="255"/>
        <v>2024</v>
      </c>
      <c r="H1328" s="5" t="str">
        <f t="shared" si="252"/>
        <v>Diciembre</v>
      </c>
      <c r="I1328" s="6" t="str">
        <f t="shared" si="254"/>
        <v>2024-2</v>
      </c>
      <c r="J1328" s="5">
        <v>80</v>
      </c>
      <c r="K1328" s="5">
        <v>88</v>
      </c>
      <c r="L1328" s="15">
        <f t="shared" si="253"/>
        <v>1.1000000000000001</v>
      </c>
      <c r="M1328" s="15">
        <f t="shared" si="251"/>
        <v>1.1000000000000001</v>
      </c>
      <c r="N1328" s="5"/>
      <c r="O1328" s="5"/>
      <c r="P1328" s="5">
        <v>0</v>
      </c>
      <c r="Q1328" s="5">
        <v>0</v>
      </c>
      <c r="R1328" s="5" t="str">
        <f t="shared" si="250"/>
        <v>491-2024-12-31</v>
      </c>
    </row>
    <row r="1329" spans="1:18" x14ac:dyDescent="0.3">
      <c r="A1329" s="5">
        <v>492</v>
      </c>
      <c r="B1329" s="5" t="s">
        <v>485</v>
      </c>
      <c r="C1329" s="5" t="s">
        <v>134</v>
      </c>
      <c r="D1329" s="5" t="s">
        <v>25</v>
      </c>
      <c r="E1329" s="5" t="s">
        <v>9</v>
      </c>
      <c r="F1329" s="6">
        <v>45657</v>
      </c>
      <c r="G1329" s="5">
        <f t="shared" si="255"/>
        <v>2024</v>
      </c>
      <c r="H1329" s="5" t="str">
        <f t="shared" si="252"/>
        <v>Diciembre</v>
      </c>
      <c r="I1329" s="6" t="str">
        <f t="shared" si="254"/>
        <v>2024-2</v>
      </c>
      <c r="J1329" s="5">
        <v>80</v>
      </c>
      <c r="K1329" s="5">
        <v>83</v>
      </c>
      <c r="L1329" s="15">
        <f t="shared" si="253"/>
        <v>1.0375000000000001</v>
      </c>
      <c r="M1329" s="15">
        <f t="shared" ref="M1329:M1345" si="256">IFERROR(K1329/J1329,"")</f>
        <v>1.0375000000000001</v>
      </c>
      <c r="N1329" s="5"/>
      <c r="O1329" s="5"/>
      <c r="P1329" s="5">
        <v>0</v>
      </c>
      <c r="Q1329" s="5">
        <v>0</v>
      </c>
      <c r="R1329" s="5" t="str">
        <f t="shared" si="250"/>
        <v>492-2024-12-31</v>
      </c>
    </row>
    <row r="1330" spans="1:18" x14ac:dyDescent="0.3">
      <c r="A1330" s="5">
        <v>493</v>
      </c>
      <c r="B1330" s="5" t="s">
        <v>750</v>
      </c>
      <c r="C1330" s="5" t="s">
        <v>145</v>
      </c>
      <c r="D1330" s="5" t="s">
        <v>25</v>
      </c>
      <c r="E1330" s="5" t="s">
        <v>9</v>
      </c>
      <c r="F1330" s="6">
        <v>45657</v>
      </c>
      <c r="G1330" s="5">
        <f t="shared" si="255"/>
        <v>2024</v>
      </c>
      <c r="H1330" s="5" t="str">
        <f t="shared" si="252"/>
        <v>Diciembre</v>
      </c>
      <c r="I1330" s="6" t="str">
        <f t="shared" si="254"/>
        <v>2024-2</v>
      </c>
      <c r="J1330" s="5">
        <v>80</v>
      </c>
      <c r="K1330" s="5">
        <v>81</v>
      </c>
      <c r="L1330" s="15">
        <f t="shared" si="253"/>
        <v>1.0125</v>
      </c>
      <c r="M1330" s="15">
        <f t="shared" si="256"/>
        <v>1.0125</v>
      </c>
      <c r="N1330" s="5"/>
      <c r="O1330" s="5"/>
      <c r="P1330" s="5">
        <v>0</v>
      </c>
      <c r="Q1330" s="5">
        <v>0</v>
      </c>
      <c r="R1330" s="5" t="str">
        <f t="shared" si="250"/>
        <v>493-2024-12-31</v>
      </c>
    </row>
    <row r="1331" spans="1:18" x14ac:dyDescent="0.3">
      <c r="A1331" s="5">
        <v>494</v>
      </c>
      <c r="B1331" s="5" t="s">
        <v>751</v>
      </c>
      <c r="C1331" s="5" t="s">
        <v>185</v>
      </c>
      <c r="D1331" s="5" t="s">
        <v>25</v>
      </c>
      <c r="E1331" s="5" t="s">
        <v>9</v>
      </c>
      <c r="F1331" s="6">
        <v>45657</v>
      </c>
      <c r="G1331" s="5">
        <f t="shared" si="255"/>
        <v>2024</v>
      </c>
      <c r="H1331" s="5" t="str">
        <f t="shared" si="252"/>
        <v>Diciembre</v>
      </c>
      <c r="I1331" s="6" t="str">
        <f t="shared" si="254"/>
        <v>2024-2</v>
      </c>
      <c r="J1331" s="5">
        <v>80</v>
      </c>
      <c r="K1331" s="5">
        <v>89</v>
      </c>
      <c r="L1331" s="15">
        <f t="shared" si="253"/>
        <v>1.1125</v>
      </c>
      <c r="M1331" s="15">
        <f t="shared" si="256"/>
        <v>1.1125</v>
      </c>
      <c r="N1331" s="5"/>
      <c r="O1331" s="5"/>
      <c r="P1331" s="5">
        <v>0</v>
      </c>
      <c r="Q1331" s="5">
        <v>0</v>
      </c>
      <c r="R1331" s="5" t="str">
        <f t="shared" si="250"/>
        <v>494-2024-12-31</v>
      </c>
    </row>
    <row r="1332" spans="1:18" x14ac:dyDescent="0.3">
      <c r="A1332" s="5">
        <v>495</v>
      </c>
      <c r="B1332" s="5" t="s">
        <v>482</v>
      </c>
      <c r="C1332" s="5" t="s">
        <v>231</v>
      </c>
      <c r="D1332" s="5" t="s">
        <v>25</v>
      </c>
      <c r="E1332" s="5" t="s">
        <v>9</v>
      </c>
      <c r="F1332" s="6">
        <v>45657</v>
      </c>
      <c r="G1332" s="5">
        <f t="shared" si="255"/>
        <v>2024</v>
      </c>
      <c r="H1332" s="5" t="str">
        <f t="shared" si="252"/>
        <v>Diciembre</v>
      </c>
      <c r="I1332" s="6" t="str">
        <f t="shared" si="254"/>
        <v>2024-2</v>
      </c>
      <c r="J1332" s="5">
        <v>80</v>
      </c>
      <c r="K1332" s="5">
        <v>92</v>
      </c>
      <c r="L1332" s="15">
        <f t="shared" si="253"/>
        <v>1.1499999999999999</v>
      </c>
      <c r="M1332" s="15">
        <f t="shared" si="256"/>
        <v>1.1499999999999999</v>
      </c>
      <c r="N1332" s="5"/>
      <c r="O1332" s="5"/>
      <c r="P1332" s="5">
        <v>0</v>
      </c>
      <c r="Q1332" s="5">
        <v>0</v>
      </c>
      <c r="R1332" s="5" t="str">
        <f t="shared" si="250"/>
        <v>495-2024-12-31</v>
      </c>
    </row>
    <row r="1333" spans="1:18" x14ac:dyDescent="0.3">
      <c r="A1333" s="5">
        <v>496</v>
      </c>
      <c r="B1333" s="5" t="s">
        <v>752</v>
      </c>
      <c r="C1333" s="5" t="s">
        <v>84</v>
      </c>
      <c r="D1333" s="5" t="s">
        <v>25</v>
      </c>
      <c r="E1333" s="5" t="s">
        <v>9</v>
      </c>
      <c r="F1333" s="6">
        <v>45657</v>
      </c>
      <c r="G1333" s="5">
        <f t="shared" si="255"/>
        <v>2024</v>
      </c>
      <c r="H1333" s="5" t="str">
        <f t="shared" si="252"/>
        <v>Diciembre</v>
      </c>
      <c r="I1333" s="6" t="str">
        <f t="shared" si="254"/>
        <v>2024-2</v>
      </c>
      <c r="J1333" s="5">
        <v>80</v>
      </c>
      <c r="K1333" s="5">
        <v>88</v>
      </c>
      <c r="L1333" s="15">
        <f t="shared" si="253"/>
        <v>1.1000000000000001</v>
      </c>
      <c r="M1333" s="15">
        <f t="shared" si="256"/>
        <v>1.1000000000000001</v>
      </c>
      <c r="N1333" s="5"/>
      <c r="O1333" s="5"/>
      <c r="P1333" s="5">
        <v>0</v>
      </c>
      <c r="Q1333" s="5">
        <v>0</v>
      </c>
      <c r="R1333" s="5" t="str">
        <f t="shared" si="250"/>
        <v>496-2024-12-31</v>
      </c>
    </row>
    <row r="1334" spans="1:18" x14ac:dyDescent="0.3">
      <c r="A1334" s="5">
        <v>497</v>
      </c>
      <c r="B1334" s="5" t="s">
        <v>483</v>
      </c>
      <c r="C1334" s="5" t="s">
        <v>240</v>
      </c>
      <c r="D1334" s="5" t="s">
        <v>25</v>
      </c>
      <c r="E1334" s="5" t="s">
        <v>9</v>
      </c>
      <c r="F1334" s="6">
        <v>45657</v>
      </c>
      <c r="G1334" s="5">
        <f t="shared" si="255"/>
        <v>2024</v>
      </c>
      <c r="H1334" s="5" t="str">
        <f t="shared" si="252"/>
        <v>Diciembre</v>
      </c>
      <c r="I1334" s="6" t="str">
        <f t="shared" si="254"/>
        <v>2024-2</v>
      </c>
      <c r="J1334" s="5">
        <v>80</v>
      </c>
      <c r="K1334" s="5">
        <v>83</v>
      </c>
      <c r="L1334" s="15">
        <f t="shared" si="253"/>
        <v>1.0375000000000001</v>
      </c>
      <c r="M1334" s="15">
        <f t="shared" si="256"/>
        <v>1.0375000000000001</v>
      </c>
      <c r="N1334" s="5"/>
      <c r="O1334" s="5"/>
      <c r="P1334" s="5">
        <v>0</v>
      </c>
      <c r="Q1334" s="5">
        <v>0</v>
      </c>
      <c r="R1334" s="5" t="str">
        <f t="shared" si="250"/>
        <v>497-2024-12-31</v>
      </c>
    </row>
    <row r="1335" spans="1:18" x14ac:dyDescent="0.3">
      <c r="A1335" s="5">
        <v>498</v>
      </c>
      <c r="B1335" s="5" t="s">
        <v>484</v>
      </c>
      <c r="C1335" s="5" t="s">
        <v>152</v>
      </c>
      <c r="D1335" s="5" t="s">
        <v>25</v>
      </c>
      <c r="E1335" s="5" t="s">
        <v>9</v>
      </c>
      <c r="F1335" s="6">
        <v>45657</v>
      </c>
      <c r="G1335" s="5">
        <f t="shared" si="255"/>
        <v>2024</v>
      </c>
      <c r="H1335" s="5" t="str">
        <f t="shared" si="252"/>
        <v>Diciembre</v>
      </c>
      <c r="I1335" s="6" t="str">
        <f t="shared" si="254"/>
        <v>2024-2</v>
      </c>
      <c r="J1335" s="5">
        <v>80</v>
      </c>
      <c r="K1335" s="5">
        <v>92</v>
      </c>
      <c r="L1335" s="15">
        <f t="shared" si="253"/>
        <v>1.1499999999999999</v>
      </c>
      <c r="M1335" s="15">
        <f t="shared" si="256"/>
        <v>1.1499999999999999</v>
      </c>
      <c r="N1335" s="5"/>
      <c r="O1335" s="5"/>
      <c r="P1335" s="5">
        <v>0</v>
      </c>
      <c r="Q1335" s="5">
        <v>0</v>
      </c>
      <c r="R1335" s="5" t="str">
        <f t="shared" si="250"/>
        <v>498-2024-12-31</v>
      </c>
    </row>
    <row r="1336" spans="1:18" x14ac:dyDescent="0.3">
      <c r="A1336" s="5">
        <v>499</v>
      </c>
      <c r="B1336" s="5" t="s">
        <v>753</v>
      </c>
      <c r="C1336" s="5" t="s">
        <v>237</v>
      </c>
      <c r="D1336" s="5" t="s">
        <v>25</v>
      </c>
      <c r="E1336" s="5" t="s">
        <v>9</v>
      </c>
      <c r="F1336" s="6">
        <v>45657</v>
      </c>
      <c r="G1336" s="5">
        <f t="shared" si="255"/>
        <v>2024</v>
      </c>
      <c r="H1336" s="5" t="str">
        <f t="shared" si="252"/>
        <v>Diciembre</v>
      </c>
      <c r="I1336" s="6" t="str">
        <f t="shared" si="254"/>
        <v>2024-2</v>
      </c>
      <c r="J1336" s="5">
        <v>80</v>
      </c>
      <c r="K1336" s="5">
        <v>87</v>
      </c>
      <c r="L1336" s="15">
        <f t="shared" si="253"/>
        <v>1.0874999999999999</v>
      </c>
      <c r="M1336" s="15">
        <f t="shared" si="256"/>
        <v>1.0874999999999999</v>
      </c>
      <c r="N1336" s="5"/>
      <c r="O1336" s="5"/>
      <c r="P1336" s="5">
        <v>0</v>
      </c>
      <c r="Q1336" s="5">
        <v>0</v>
      </c>
      <c r="R1336" s="5" t="str">
        <f t="shared" si="250"/>
        <v>499-2024-12-31</v>
      </c>
    </row>
    <row r="1337" spans="1:18" x14ac:dyDescent="0.3">
      <c r="A1337" s="5">
        <v>500</v>
      </c>
      <c r="B1337" s="5" t="s">
        <v>754</v>
      </c>
      <c r="C1337" s="5" t="s">
        <v>189</v>
      </c>
      <c r="D1337" s="5" t="s">
        <v>25</v>
      </c>
      <c r="E1337" s="5" t="s">
        <v>9</v>
      </c>
      <c r="F1337" s="6">
        <v>45657</v>
      </c>
      <c r="G1337" s="5">
        <f t="shared" si="255"/>
        <v>2024</v>
      </c>
      <c r="H1337" s="5" t="str">
        <f t="shared" si="252"/>
        <v>Diciembre</v>
      </c>
      <c r="I1337" s="6" t="str">
        <f t="shared" si="254"/>
        <v>2024-2</v>
      </c>
      <c r="J1337" s="5">
        <v>80</v>
      </c>
      <c r="K1337" s="5">
        <v>89</v>
      </c>
      <c r="L1337" s="15">
        <f t="shared" si="253"/>
        <v>1.1125</v>
      </c>
      <c r="M1337" s="15">
        <f t="shared" si="256"/>
        <v>1.1125</v>
      </c>
      <c r="N1337" s="5"/>
      <c r="O1337" s="5"/>
      <c r="P1337" s="5">
        <v>0</v>
      </c>
      <c r="Q1337" s="5">
        <v>0</v>
      </c>
      <c r="R1337" s="5" t="str">
        <f t="shared" si="250"/>
        <v>500-2024-12-31</v>
      </c>
    </row>
    <row r="1338" spans="1:18" x14ac:dyDescent="0.3">
      <c r="A1338" s="5">
        <v>501</v>
      </c>
      <c r="B1338" s="5" t="s">
        <v>755</v>
      </c>
      <c r="C1338" s="5" t="s">
        <v>129</v>
      </c>
      <c r="D1338" s="5" t="s">
        <v>25</v>
      </c>
      <c r="E1338" s="5" t="s">
        <v>9</v>
      </c>
      <c r="F1338" s="6">
        <v>45657</v>
      </c>
      <c r="G1338" s="5">
        <f t="shared" si="255"/>
        <v>2024</v>
      </c>
      <c r="H1338" s="5" t="str">
        <f t="shared" si="252"/>
        <v>Diciembre</v>
      </c>
      <c r="I1338" s="6" t="str">
        <f t="shared" si="254"/>
        <v>2024-2</v>
      </c>
      <c r="J1338" s="5">
        <v>80</v>
      </c>
      <c r="K1338" s="5">
        <v>88</v>
      </c>
      <c r="L1338" s="15">
        <f t="shared" ref="L1338:L1345" si="257">IFERROR(IF((K1338/J1338)&gt;1.3,1.3,K1338/J1338),"")</f>
        <v>1.1000000000000001</v>
      </c>
      <c r="M1338" s="15">
        <f t="shared" si="256"/>
        <v>1.1000000000000001</v>
      </c>
      <c r="N1338" s="5"/>
      <c r="O1338" s="5"/>
      <c r="P1338" s="5">
        <v>0</v>
      </c>
      <c r="Q1338" s="5">
        <v>0</v>
      </c>
      <c r="R1338" s="5" t="str">
        <f t="shared" si="250"/>
        <v>501-2024-12-31</v>
      </c>
    </row>
    <row r="1339" spans="1:18" x14ac:dyDescent="0.3">
      <c r="A1339" s="5">
        <v>502</v>
      </c>
      <c r="B1339" s="5" t="s">
        <v>756</v>
      </c>
      <c r="C1339" s="5" t="s">
        <v>62</v>
      </c>
      <c r="D1339" s="5" t="s">
        <v>25</v>
      </c>
      <c r="E1339" s="5" t="s">
        <v>9</v>
      </c>
      <c r="F1339" s="6">
        <v>45657</v>
      </c>
      <c r="G1339" s="5">
        <f t="shared" si="255"/>
        <v>2024</v>
      </c>
      <c r="H1339" s="5" t="str">
        <f t="shared" si="252"/>
        <v>Diciembre</v>
      </c>
      <c r="I1339" s="6" t="str">
        <f t="shared" si="254"/>
        <v>2024-2</v>
      </c>
      <c r="J1339" s="5">
        <v>80</v>
      </c>
      <c r="K1339" s="5">
        <v>90</v>
      </c>
      <c r="L1339" s="15">
        <f t="shared" si="257"/>
        <v>1.125</v>
      </c>
      <c r="M1339" s="15">
        <f t="shared" si="256"/>
        <v>1.125</v>
      </c>
      <c r="N1339" s="5"/>
      <c r="O1339" s="5"/>
      <c r="P1339" s="5">
        <v>0</v>
      </c>
      <c r="Q1339" s="5">
        <v>0</v>
      </c>
      <c r="R1339" s="5" t="str">
        <f t="shared" si="250"/>
        <v>502-2024-12-31</v>
      </c>
    </row>
    <row r="1340" spans="1:18" x14ac:dyDescent="0.3">
      <c r="A1340" s="5">
        <v>503</v>
      </c>
      <c r="B1340" s="5" t="s">
        <v>757</v>
      </c>
      <c r="C1340" s="5" t="s">
        <v>504</v>
      </c>
      <c r="D1340" s="5" t="s">
        <v>25</v>
      </c>
      <c r="E1340" s="5" t="s">
        <v>9</v>
      </c>
      <c r="F1340" s="6">
        <v>45657</v>
      </c>
      <c r="G1340" s="5">
        <f t="shared" si="255"/>
        <v>2024</v>
      </c>
      <c r="H1340" s="5" t="str">
        <f t="shared" si="252"/>
        <v>Diciembre</v>
      </c>
      <c r="I1340" s="6" t="str">
        <f t="shared" ref="I1340:I1359" si="258">IF(OR(H1340="Enero",H1340="Febrero",H1340="Marzo",H1340="Abril",H1340="Mayo",H1340="Junio"),G1340&amp;"-1",IF(OR(H1340="Julio",H1340="Agosto",H1340="Septiembre",H1340="Octubre",H1340="Noviembre",H1340="Diciembre"),G1340&amp;"-2"))</f>
        <v>2024-2</v>
      </c>
      <c r="J1340" s="5">
        <v>80</v>
      </c>
      <c r="K1340" s="5">
        <v>86</v>
      </c>
      <c r="L1340" s="15">
        <f t="shared" si="257"/>
        <v>1.075</v>
      </c>
      <c r="M1340" s="15">
        <f t="shared" si="256"/>
        <v>1.075</v>
      </c>
      <c r="N1340" s="5"/>
      <c r="O1340" s="5"/>
      <c r="P1340" s="5">
        <v>0</v>
      </c>
      <c r="Q1340" s="5">
        <v>0</v>
      </c>
      <c r="R1340" s="5" t="str">
        <f t="shared" si="250"/>
        <v>503-2024-12-31</v>
      </c>
    </row>
    <row r="1341" spans="1:18" x14ac:dyDescent="0.3">
      <c r="A1341" s="5">
        <v>504</v>
      </c>
      <c r="B1341" s="5" t="s">
        <v>758</v>
      </c>
      <c r="C1341" s="5" t="s">
        <v>294</v>
      </c>
      <c r="D1341" s="5" t="s">
        <v>25</v>
      </c>
      <c r="E1341" s="5" t="s">
        <v>9</v>
      </c>
      <c r="F1341" s="6">
        <v>45657</v>
      </c>
      <c r="G1341" s="5">
        <f t="shared" si="255"/>
        <v>2024</v>
      </c>
      <c r="H1341" s="5" t="str">
        <f t="shared" si="252"/>
        <v>Diciembre</v>
      </c>
      <c r="I1341" s="6" t="str">
        <f t="shared" si="258"/>
        <v>2024-2</v>
      </c>
      <c r="J1341" s="5">
        <v>80</v>
      </c>
      <c r="K1341" s="5">
        <v>88</v>
      </c>
      <c r="L1341" s="15">
        <f t="shared" si="257"/>
        <v>1.1000000000000001</v>
      </c>
      <c r="M1341" s="15">
        <f t="shared" si="256"/>
        <v>1.1000000000000001</v>
      </c>
      <c r="N1341" s="5"/>
      <c r="O1341" s="5"/>
      <c r="P1341" s="5">
        <v>0</v>
      </c>
      <c r="Q1341" s="5">
        <v>0</v>
      </c>
      <c r="R1341" s="5" t="str">
        <f t="shared" si="250"/>
        <v>504-2024-12-31</v>
      </c>
    </row>
    <row r="1342" spans="1:18" x14ac:dyDescent="0.3">
      <c r="A1342" s="5">
        <v>505</v>
      </c>
      <c r="B1342" s="5" t="s">
        <v>759</v>
      </c>
      <c r="C1342" s="5" t="s">
        <v>315</v>
      </c>
      <c r="D1342" s="5" t="s">
        <v>25</v>
      </c>
      <c r="E1342" s="5" t="s">
        <v>9</v>
      </c>
      <c r="F1342" s="6">
        <v>45657</v>
      </c>
      <c r="G1342" s="5">
        <f t="shared" si="255"/>
        <v>2024</v>
      </c>
      <c r="H1342" s="5" t="str">
        <f t="shared" si="252"/>
        <v>Diciembre</v>
      </c>
      <c r="I1342" s="6" t="str">
        <f t="shared" si="258"/>
        <v>2024-2</v>
      </c>
      <c r="J1342" s="5">
        <v>80</v>
      </c>
      <c r="K1342" s="5">
        <v>85</v>
      </c>
      <c r="L1342" s="15">
        <f t="shared" si="257"/>
        <v>1.0625</v>
      </c>
      <c r="M1342" s="15">
        <f t="shared" si="256"/>
        <v>1.0625</v>
      </c>
      <c r="N1342" s="5"/>
      <c r="O1342" s="5"/>
      <c r="P1342" s="5">
        <v>0</v>
      </c>
      <c r="Q1342" s="5">
        <v>0</v>
      </c>
      <c r="R1342" s="5" t="str">
        <f t="shared" si="250"/>
        <v>505-2024-12-31</v>
      </c>
    </row>
    <row r="1343" spans="1:18" x14ac:dyDescent="0.3">
      <c r="A1343" s="5">
        <v>506</v>
      </c>
      <c r="B1343" s="5" t="s">
        <v>486</v>
      </c>
      <c r="C1343" s="5" t="s">
        <v>244</v>
      </c>
      <c r="D1343" s="5" t="s">
        <v>25</v>
      </c>
      <c r="E1343" s="5" t="s">
        <v>9</v>
      </c>
      <c r="F1343" s="6">
        <v>45657</v>
      </c>
      <c r="G1343" s="5">
        <f t="shared" si="255"/>
        <v>2024</v>
      </c>
      <c r="H1343" s="5" t="str">
        <f t="shared" si="252"/>
        <v>Diciembre</v>
      </c>
      <c r="I1343" s="6" t="str">
        <f t="shared" si="258"/>
        <v>2024-2</v>
      </c>
      <c r="J1343" s="5">
        <v>80</v>
      </c>
      <c r="K1343" s="5">
        <v>67</v>
      </c>
      <c r="L1343" s="15">
        <f t="shared" si="257"/>
        <v>0.83750000000000002</v>
      </c>
      <c r="M1343" s="15">
        <f t="shared" si="256"/>
        <v>0.83750000000000002</v>
      </c>
      <c r="N1343" s="5"/>
      <c r="O1343" s="5"/>
      <c r="P1343" s="5">
        <v>0</v>
      </c>
      <c r="Q1343" s="5">
        <v>0</v>
      </c>
      <c r="R1343" s="5" t="str">
        <f t="shared" si="250"/>
        <v>506-2024-12-31</v>
      </c>
    </row>
    <row r="1344" spans="1:18" x14ac:dyDescent="0.3">
      <c r="A1344" s="5">
        <v>507</v>
      </c>
      <c r="B1344" s="5" t="s">
        <v>760</v>
      </c>
      <c r="C1344" s="5" t="s">
        <v>177</v>
      </c>
      <c r="D1344" s="5" t="s">
        <v>25</v>
      </c>
      <c r="E1344" s="5" t="s">
        <v>9</v>
      </c>
      <c r="F1344" s="6">
        <v>45657</v>
      </c>
      <c r="G1344" s="5">
        <f t="shared" si="255"/>
        <v>2024</v>
      </c>
      <c r="H1344" s="5" t="str">
        <f t="shared" si="252"/>
        <v>Diciembre</v>
      </c>
      <c r="I1344" s="6" t="str">
        <f t="shared" si="258"/>
        <v>2024-2</v>
      </c>
      <c r="J1344" s="5">
        <v>80</v>
      </c>
      <c r="K1344" s="5">
        <v>77</v>
      </c>
      <c r="L1344" s="15">
        <f t="shared" si="257"/>
        <v>0.96250000000000002</v>
      </c>
      <c r="M1344" s="15">
        <f t="shared" si="256"/>
        <v>0.96250000000000002</v>
      </c>
      <c r="N1344" s="5"/>
      <c r="O1344" s="5"/>
      <c r="P1344" s="5">
        <v>0</v>
      </c>
      <c r="Q1344" s="5">
        <v>0</v>
      </c>
      <c r="R1344" s="5" t="str">
        <f t="shared" si="250"/>
        <v>507-2024-12-31</v>
      </c>
    </row>
    <row r="1345" spans="1:18" x14ac:dyDescent="0.3">
      <c r="A1345" s="5">
        <v>508</v>
      </c>
      <c r="B1345" s="5" t="s">
        <v>761</v>
      </c>
      <c r="C1345" s="5" t="s">
        <v>506</v>
      </c>
      <c r="D1345" s="5" t="s">
        <v>25</v>
      </c>
      <c r="E1345" s="5" t="s">
        <v>9</v>
      </c>
      <c r="F1345" s="6">
        <v>45657</v>
      </c>
      <c r="G1345" s="5">
        <f t="shared" si="255"/>
        <v>2024</v>
      </c>
      <c r="H1345" s="5" t="str">
        <f t="shared" si="252"/>
        <v>Diciembre</v>
      </c>
      <c r="I1345" s="6" t="str">
        <f t="shared" si="258"/>
        <v>2024-2</v>
      </c>
      <c r="J1345" s="5">
        <v>80</v>
      </c>
      <c r="K1345" s="5">
        <v>88</v>
      </c>
      <c r="L1345" s="15">
        <f t="shared" si="257"/>
        <v>1.1000000000000001</v>
      </c>
      <c r="M1345" s="15">
        <f t="shared" si="256"/>
        <v>1.1000000000000001</v>
      </c>
      <c r="N1345" s="5"/>
      <c r="O1345" s="5"/>
      <c r="P1345" s="5">
        <v>0</v>
      </c>
      <c r="Q1345" s="5">
        <v>0</v>
      </c>
      <c r="R1345" s="5" t="str">
        <f t="shared" si="250"/>
        <v>508-2024-12-31</v>
      </c>
    </row>
    <row r="1346" spans="1:18" x14ac:dyDescent="0.3">
      <c r="A1346" s="26">
        <v>900</v>
      </c>
      <c r="B1346" s="23" t="s">
        <v>531</v>
      </c>
      <c r="C1346" s="5" t="s">
        <v>160</v>
      </c>
      <c r="D1346" s="5" t="s">
        <v>18</v>
      </c>
      <c r="E1346" s="5" t="s">
        <v>9</v>
      </c>
      <c r="F1346" s="6">
        <v>45473</v>
      </c>
      <c r="G1346" s="5">
        <f t="shared" si="255"/>
        <v>2024</v>
      </c>
      <c r="H1346" s="5" t="str">
        <f t="shared" si="252"/>
        <v>Junio</v>
      </c>
      <c r="I1346" s="6" t="str">
        <f t="shared" si="258"/>
        <v>2024-1</v>
      </c>
      <c r="J1346" s="11">
        <v>100</v>
      </c>
      <c r="K1346" s="11">
        <v>99</v>
      </c>
      <c r="L1346" s="15">
        <v>0.99</v>
      </c>
      <c r="M1346" s="15">
        <v>0.99</v>
      </c>
      <c r="N1346" s="5" t="s">
        <v>347</v>
      </c>
      <c r="O1346" s="5" t="s">
        <v>347</v>
      </c>
      <c r="P1346" s="5">
        <v>0</v>
      </c>
      <c r="Q1346" s="5">
        <v>0</v>
      </c>
      <c r="R1346" s="5" t="str">
        <f t="shared" si="250"/>
        <v>900-2024-06-30</v>
      </c>
    </row>
    <row r="1347" spans="1:18" x14ac:dyDescent="0.3">
      <c r="A1347" s="26">
        <v>901</v>
      </c>
      <c r="B1347" s="23" t="s">
        <v>532</v>
      </c>
      <c r="C1347" s="5" t="s">
        <v>345</v>
      </c>
      <c r="D1347" s="5" t="s">
        <v>18</v>
      </c>
      <c r="E1347" s="5" t="s">
        <v>9</v>
      </c>
      <c r="F1347" s="6">
        <v>45473</v>
      </c>
      <c r="G1347" s="5">
        <f t="shared" si="255"/>
        <v>2024</v>
      </c>
      <c r="H1347" s="5" t="str">
        <f t="shared" si="252"/>
        <v>Junio</v>
      </c>
      <c r="I1347" s="6" t="str">
        <f t="shared" si="258"/>
        <v>2024-1</v>
      </c>
      <c r="J1347" s="34">
        <v>63</v>
      </c>
      <c r="K1347" s="34">
        <v>64</v>
      </c>
      <c r="L1347" s="15">
        <f>IFERROR(IF((K1347/J1347)&gt;1.3,1.3,K1347/J1347),"")</f>
        <v>1.0158730158730158</v>
      </c>
      <c r="M1347" s="15">
        <f>IFERROR(IF((K1347/J1347)&gt;K1347/J1347,1.3,K1347/J1347),"")</f>
        <v>1.0158730158730158</v>
      </c>
      <c r="N1347" s="5" t="s">
        <v>347</v>
      </c>
      <c r="O1347" s="5" t="s">
        <v>347</v>
      </c>
      <c r="P1347" s="5">
        <v>0</v>
      </c>
      <c r="Q1347" s="5">
        <v>0</v>
      </c>
      <c r="R1347" s="5" t="str">
        <f t="shared" si="250"/>
        <v>901-2024-06-30</v>
      </c>
    </row>
    <row r="1348" spans="1:18" x14ac:dyDescent="0.3">
      <c r="A1348" s="26">
        <v>901</v>
      </c>
      <c r="B1348" s="23" t="s">
        <v>532</v>
      </c>
      <c r="C1348" s="5" t="s">
        <v>345</v>
      </c>
      <c r="D1348" s="5" t="s">
        <v>18</v>
      </c>
      <c r="E1348" s="5" t="s">
        <v>9</v>
      </c>
      <c r="F1348" s="6">
        <v>45657</v>
      </c>
      <c r="G1348" s="5">
        <f t="shared" si="255"/>
        <v>2024</v>
      </c>
      <c r="H1348" s="5" t="str">
        <f t="shared" si="252"/>
        <v>Diciembre</v>
      </c>
      <c r="I1348" s="6" t="str">
        <f t="shared" si="258"/>
        <v>2024-2</v>
      </c>
      <c r="J1348" s="34">
        <v>82</v>
      </c>
      <c r="K1348" s="34">
        <v>74</v>
      </c>
      <c r="L1348" s="15">
        <f>IFERROR(IF((K1348/J1348)&gt;1.3,1.3,K1348/J1348),"")</f>
        <v>0.90243902439024393</v>
      </c>
      <c r="M1348" s="15">
        <f>IFERROR(IF((K1348/J1348)&gt;K1348/J1348,1.3,K1348/J1348),"")</f>
        <v>0.90243902439024393</v>
      </c>
      <c r="N1348" s="5" t="s">
        <v>347</v>
      </c>
      <c r="O1348" s="5" t="s">
        <v>347</v>
      </c>
      <c r="P1348" s="5">
        <v>0</v>
      </c>
      <c r="Q1348" s="5">
        <v>0</v>
      </c>
      <c r="R1348" s="5" t="str">
        <f t="shared" si="250"/>
        <v>901-2024-12-31</v>
      </c>
    </row>
    <row r="1349" spans="1:18" x14ac:dyDescent="0.3">
      <c r="A1349" s="26">
        <v>902</v>
      </c>
      <c r="B1349" s="23" t="s">
        <v>533</v>
      </c>
      <c r="C1349" s="5" t="s">
        <v>55</v>
      </c>
      <c r="D1349" s="5" t="s">
        <v>18</v>
      </c>
      <c r="E1349" s="5" t="s">
        <v>9</v>
      </c>
      <c r="F1349" s="6">
        <v>45473</v>
      </c>
      <c r="G1349" s="5">
        <f t="shared" si="255"/>
        <v>2024</v>
      </c>
      <c r="H1349" s="5" t="str">
        <f t="shared" si="252"/>
        <v>Junio</v>
      </c>
      <c r="I1349" s="6" t="str">
        <f t="shared" si="258"/>
        <v>2024-1</v>
      </c>
      <c r="J1349" s="11">
        <v>58</v>
      </c>
      <c r="K1349" s="11">
        <v>60</v>
      </c>
      <c r="L1349" s="15">
        <v>1.0344827586206897</v>
      </c>
      <c r="M1349" s="15">
        <v>1.0344827586206897</v>
      </c>
      <c r="N1349" s="5" t="s">
        <v>347</v>
      </c>
      <c r="O1349" s="5" t="s">
        <v>347</v>
      </c>
      <c r="P1349" s="5">
        <v>0</v>
      </c>
      <c r="Q1349" s="5">
        <v>0</v>
      </c>
      <c r="R1349" s="5" t="str">
        <f t="shared" si="250"/>
        <v>902-2024-06-30</v>
      </c>
    </row>
    <row r="1350" spans="1:18" x14ac:dyDescent="0.3">
      <c r="A1350" s="26">
        <v>902</v>
      </c>
      <c r="B1350" s="23" t="s">
        <v>533</v>
      </c>
      <c r="C1350" s="5" t="s">
        <v>55</v>
      </c>
      <c r="D1350" s="5" t="s">
        <v>18</v>
      </c>
      <c r="E1350" s="5" t="s">
        <v>9</v>
      </c>
      <c r="F1350" s="6">
        <v>45657</v>
      </c>
      <c r="G1350" s="5">
        <f t="shared" si="255"/>
        <v>2024</v>
      </c>
      <c r="H1350" s="5" t="str">
        <f t="shared" si="252"/>
        <v>Diciembre</v>
      </c>
      <c r="I1350" s="6" t="str">
        <f t="shared" si="258"/>
        <v>2024-2</v>
      </c>
      <c r="J1350" s="11">
        <v>100</v>
      </c>
      <c r="K1350" s="11">
        <v>100</v>
      </c>
      <c r="L1350" s="15">
        <f>IFERROR(IF((K1350/J1350)&gt;1.3,1.3,K1350/J1350),"")</f>
        <v>1</v>
      </c>
      <c r="M1350" s="15">
        <f>IFERROR(IF((K1350/J1350)&gt;K1350/J1350,1.3,K1350/J1350),"")</f>
        <v>1</v>
      </c>
      <c r="N1350" s="5" t="s">
        <v>347</v>
      </c>
      <c r="O1350" s="5" t="s">
        <v>347</v>
      </c>
      <c r="P1350" s="5">
        <v>0</v>
      </c>
      <c r="Q1350" s="5">
        <v>0</v>
      </c>
      <c r="R1350" s="5" t="str">
        <f t="shared" si="250"/>
        <v>902-2024-12-31</v>
      </c>
    </row>
    <row r="1351" spans="1:18" x14ac:dyDescent="0.3">
      <c r="A1351" s="26">
        <v>903</v>
      </c>
      <c r="B1351" s="23" t="s">
        <v>534</v>
      </c>
      <c r="C1351" s="5" t="s">
        <v>43</v>
      </c>
      <c r="D1351" s="5" t="s">
        <v>18</v>
      </c>
      <c r="E1351" s="5" t="s">
        <v>9</v>
      </c>
      <c r="F1351" s="6">
        <v>45473</v>
      </c>
      <c r="G1351" s="5">
        <f t="shared" si="255"/>
        <v>2024</v>
      </c>
      <c r="H1351" s="5" t="str">
        <f t="shared" si="252"/>
        <v>Junio</v>
      </c>
      <c r="I1351" s="6" t="str">
        <f t="shared" si="258"/>
        <v>2024-1</v>
      </c>
      <c r="J1351" s="11">
        <v>37</v>
      </c>
      <c r="K1351" s="11">
        <v>37</v>
      </c>
      <c r="L1351" s="15">
        <v>1</v>
      </c>
      <c r="M1351" s="15">
        <v>1</v>
      </c>
      <c r="N1351" s="5" t="s">
        <v>347</v>
      </c>
      <c r="O1351" s="5" t="s">
        <v>347</v>
      </c>
      <c r="P1351" s="5">
        <v>0</v>
      </c>
      <c r="Q1351" s="5">
        <v>0</v>
      </c>
      <c r="R1351" s="5" t="str">
        <f t="shared" si="250"/>
        <v>903-2024-06-30</v>
      </c>
    </row>
    <row r="1352" spans="1:18" x14ac:dyDescent="0.3">
      <c r="A1352" s="26">
        <v>904</v>
      </c>
      <c r="B1352" s="23" t="s">
        <v>535</v>
      </c>
      <c r="C1352" s="5" t="s">
        <v>214</v>
      </c>
      <c r="D1352" s="5" t="s">
        <v>18</v>
      </c>
      <c r="E1352" s="5" t="s">
        <v>9</v>
      </c>
      <c r="F1352" s="6">
        <v>45473</v>
      </c>
      <c r="G1352" s="5">
        <f t="shared" si="255"/>
        <v>2024</v>
      </c>
      <c r="H1352" s="5" t="str">
        <f t="shared" si="252"/>
        <v>Junio</v>
      </c>
      <c r="I1352" s="6" t="str">
        <f t="shared" si="258"/>
        <v>2024-1</v>
      </c>
      <c r="J1352" s="11">
        <v>40</v>
      </c>
      <c r="K1352" s="11">
        <v>44</v>
      </c>
      <c r="L1352" s="15">
        <f>IFERROR(IF((K1352/J1352)&gt;1.3,1.3,K1352/J1352),"")</f>
        <v>1.1000000000000001</v>
      </c>
      <c r="M1352" s="15">
        <f>IFERROR(IF((K1352/J1352)&gt;K1352/J1352,1.3,K1352/J1352),"")</f>
        <v>1.1000000000000001</v>
      </c>
      <c r="N1352" s="5" t="s">
        <v>347</v>
      </c>
      <c r="O1352" s="5" t="s">
        <v>347</v>
      </c>
      <c r="P1352" s="5">
        <v>0</v>
      </c>
      <c r="Q1352" s="5">
        <v>0</v>
      </c>
      <c r="R1352" s="5" t="str">
        <f t="shared" si="250"/>
        <v>904-2024-06-30</v>
      </c>
    </row>
    <row r="1353" spans="1:18" x14ac:dyDescent="0.3">
      <c r="A1353" s="26">
        <v>904</v>
      </c>
      <c r="B1353" s="23" t="s">
        <v>535</v>
      </c>
      <c r="C1353" s="5" t="s">
        <v>214</v>
      </c>
      <c r="D1353" s="5" t="s">
        <v>18</v>
      </c>
      <c r="E1353" s="5" t="s">
        <v>9</v>
      </c>
      <c r="F1353" s="6">
        <v>45657</v>
      </c>
      <c r="G1353" s="5">
        <f t="shared" si="255"/>
        <v>2024</v>
      </c>
      <c r="H1353" s="5" t="str">
        <f t="shared" si="252"/>
        <v>Diciembre</v>
      </c>
      <c r="I1353" s="6" t="str">
        <f t="shared" si="258"/>
        <v>2024-2</v>
      </c>
      <c r="J1353" s="11">
        <v>100</v>
      </c>
      <c r="K1353" s="11">
        <v>100</v>
      </c>
      <c r="L1353" s="15">
        <f>IFERROR(IF((K1353/J1353)&gt;1.3,1.3,K1353/J1353),"")</f>
        <v>1</v>
      </c>
      <c r="M1353" s="15">
        <f>IFERROR(IF((K1353/J1353)&gt;K1353/J1353,1.3,K1353/J1353),"")</f>
        <v>1</v>
      </c>
      <c r="N1353" s="5" t="s">
        <v>347</v>
      </c>
      <c r="O1353" s="5" t="s">
        <v>347</v>
      </c>
      <c r="P1353" s="5">
        <v>0</v>
      </c>
      <c r="Q1353" s="5">
        <v>0</v>
      </c>
      <c r="R1353" s="5" t="str">
        <f t="shared" si="250"/>
        <v>904-2024-12-31</v>
      </c>
    </row>
    <row r="1354" spans="1:18" x14ac:dyDescent="0.3">
      <c r="A1354" s="26">
        <v>905</v>
      </c>
      <c r="B1354" s="23" t="s">
        <v>536</v>
      </c>
      <c r="C1354" s="5" t="s">
        <v>345</v>
      </c>
      <c r="D1354" s="5" t="s">
        <v>18</v>
      </c>
      <c r="E1354" s="5" t="s">
        <v>9</v>
      </c>
      <c r="F1354" s="6">
        <v>45473</v>
      </c>
      <c r="G1354" s="5">
        <f t="shared" si="255"/>
        <v>2024</v>
      </c>
      <c r="H1354" s="5" t="str">
        <f t="shared" si="252"/>
        <v>Junio</v>
      </c>
      <c r="I1354" s="6" t="str">
        <f t="shared" si="258"/>
        <v>2024-1</v>
      </c>
      <c r="J1354" s="11">
        <v>63</v>
      </c>
      <c r="K1354" s="11">
        <v>61</v>
      </c>
      <c r="L1354" s="15">
        <f>IFERROR(IF((K1354/J1354)&gt;1.3,1.3,K1354/J1354),"")</f>
        <v>0.96825396825396826</v>
      </c>
      <c r="M1354" s="15">
        <f>IFERROR(IF((K1354/J1354)&gt;K1354/J1354,1.3,K1354/J1354),"")</f>
        <v>0.96825396825396826</v>
      </c>
      <c r="N1354" s="5" t="s">
        <v>347</v>
      </c>
      <c r="O1354" s="5" t="s">
        <v>347</v>
      </c>
      <c r="P1354" s="5">
        <v>0</v>
      </c>
      <c r="Q1354" s="5">
        <v>0</v>
      </c>
      <c r="R1354" s="5" t="str">
        <f t="shared" si="250"/>
        <v>905-2024-06-30</v>
      </c>
    </row>
    <row r="1355" spans="1:18" x14ac:dyDescent="0.3">
      <c r="A1355" s="26">
        <v>905</v>
      </c>
      <c r="B1355" s="23" t="s">
        <v>536</v>
      </c>
      <c r="C1355" s="5" t="s">
        <v>345</v>
      </c>
      <c r="D1355" s="5" t="s">
        <v>18</v>
      </c>
      <c r="E1355" s="5" t="s">
        <v>9</v>
      </c>
      <c r="F1355" s="6">
        <v>45657</v>
      </c>
      <c r="G1355" s="5">
        <f t="shared" si="255"/>
        <v>2024</v>
      </c>
      <c r="H1355" s="5" t="str">
        <f t="shared" si="252"/>
        <v>Diciembre</v>
      </c>
      <c r="I1355" s="6" t="str">
        <f t="shared" si="258"/>
        <v>2024-2</v>
      </c>
      <c r="J1355" s="11">
        <v>100</v>
      </c>
      <c r="K1355" s="11">
        <v>100</v>
      </c>
      <c r="L1355" s="15">
        <f>IFERROR(IF((K1355/J1355)&gt;1.3,1.3,K1355/J1355),"")</f>
        <v>1</v>
      </c>
      <c r="M1355" s="15">
        <f>IFERROR(IF((K1355/J1355)&gt;K1355/J1355,1.3,K1355/J1355),"")</f>
        <v>1</v>
      </c>
      <c r="N1355" s="5" t="s">
        <v>347</v>
      </c>
      <c r="O1355" s="5" t="s">
        <v>347</v>
      </c>
      <c r="P1355" s="5">
        <v>0</v>
      </c>
      <c r="Q1355" s="5">
        <v>0</v>
      </c>
      <c r="R1355" s="5" t="str">
        <f t="shared" si="250"/>
        <v>905-2024-12-31</v>
      </c>
    </row>
    <row r="1356" spans="1:18" x14ac:dyDescent="0.3">
      <c r="A1356" s="26">
        <v>906</v>
      </c>
      <c r="B1356" s="23" t="s">
        <v>537</v>
      </c>
      <c r="C1356" s="5" t="s">
        <v>345</v>
      </c>
      <c r="D1356" s="5" t="s">
        <v>18</v>
      </c>
      <c r="E1356" s="5" t="s">
        <v>9</v>
      </c>
      <c r="F1356" s="6">
        <v>45473</v>
      </c>
      <c r="G1356" s="5">
        <f t="shared" si="255"/>
        <v>2024</v>
      </c>
      <c r="H1356" s="5" t="str">
        <f t="shared" si="252"/>
        <v>Junio</v>
      </c>
      <c r="I1356" s="6" t="str">
        <f t="shared" si="258"/>
        <v>2024-1</v>
      </c>
      <c r="J1356" s="11">
        <v>68</v>
      </c>
      <c r="K1356" s="11">
        <v>57</v>
      </c>
      <c r="L1356" s="15">
        <v>0.83823529411764708</v>
      </c>
      <c r="M1356" s="15">
        <v>0.83823529411764708</v>
      </c>
      <c r="N1356" s="5" t="s">
        <v>347</v>
      </c>
      <c r="O1356" s="5" t="s">
        <v>347</v>
      </c>
      <c r="P1356" s="5">
        <v>0</v>
      </c>
      <c r="Q1356" s="5">
        <v>0</v>
      </c>
      <c r="R1356" s="5" t="str">
        <f t="shared" ref="R1356:R1419" si="259">A1356&amp;"-"&amp;YEAR(F1356)&amp;"-"&amp;IF(LEN(MONTH(F1356))=1,"0"&amp;MONTH(F1356),MONTH(F1356))&amp;"-"&amp;DAY(F1356)</f>
        <v>906-2024-06-30</v>
      </c>
    </row>
    <row r="1357" spans="1:18" x14ac:dyDescent="0.3">
      <c r="A1357" s="26">
        <v>907</v>
      </c>
      <c r="B1357" s="23" t="s">
        <v>538</v>
      </c>
      <c r="C1357" s="5" t="s">
        <v>345</v>
      </c>
      <c r="D1357" s="5" t="s">
        <v>18</v>
      </c>
      <c r="E1357" s="5" t="s">
        <v>9</v>
      </c>
      <c r="F1357" s="6">
        <v>45473</v>
      </c>
      <c r="G1357" s="5">
        <f t="shared" si="255"/>
        <v>2024</v>
      </c>
      <c r="H1357" s="5" t="str">
        <f t="shared" si="252"/>
        <v>Junio</v>
      </c>
      <c r="I1357" s="6" t="str">
        <f t="shared" si="258"/>
        <v>2024-1</v>
      </c>
      <c r="J1357" s="11">
        <v>12</v>
      </c>
      <c r="K1357" s="11">
        <v>52</v>
      </c>
      <c r="L1357" s="15">
        <v>1.3</v>
      </c>
      <c r="M1357" s="15">
        <v>4.333333333333333</v>
      </c>
      <c r="N1357" s="5" t="s">
        <v>347</v>
      </c>
      <c r="O1357" s="5" t="s">
        <v>347</v>
      </c>
      <c r="P1357" s="5">
        <v>0</v>
      </c>
      <c r="Q1357" s="5">
        <v>0</v>
      </c>
      <c r="R1357" s="5" t="str">
        <f t="shared" si="259"/>
        <v>907-2024-06-30</v>
      </c>
    </row>
    <row r="1358" spans="1:18" x14ac:dyDescent="0.3">
      <c r="A1358" s="26">
        <v>907</v>
      </c>
      <c r="B1358" s="23" t="s">
        <v>538</v>
      </c>
      <c r="C1358" s="5" t="s">
        <v>345</v>
      </c>
      <c r="D1358" s="5" t="s">
        <v>18</v>
      </c>
      <c r="E1358" s="5" t="s">
        <v>9</v>
      </c>
      <c r="F1358" s="6">
        <v>45657</v>
      </c>
      <c r="G1358" s="5">
        <f t="shared" si="255"/>
        <v>2024</v>
      </c>
      <c r="H1358" s="5" t="str">
        <f t="shared" si="252"/>
        <v>Diciembre</v>
      </c>
      <c r="I1358" s="6" t="str">
        <f t="shared" si="258"/>
        <v>2024-2</v>
      </c>
      <c r="J1358" s="11">
        <v>100</v>
      </c>
      <c r="K1358" s="11">
        <v>100</v>
      </c>
      <c r="L1358" s="15">
        <v>1.3</v>
      </c>
      <c r="M1358" s="15">
        <v>4.333333333333333</v>
      </c>
      <c r="N1358" s="5" t="s">
        <v>347</v>
      </c>
      <c r="O1358" s="5" t="s">
        <v>347</v>
      </c>
      <c r="P1358" s="5">
        <v>0</v>
      </c>
      <c r="Q1358" s="5">
        <v>0</v>
      </c>
      <c r="R1358" s="5" t="str">
        <f t="shared" si="259"/>
        <v>907-2024-12-31</v>
      </c>
    </row>
    <row r="1359" spans="1:18" x14ac:dyDescent="0.3">
      <c r="A1359" s="26">
        <v>908</v>
      </c>
      <c r="B1359" s="23" t="s">
        <v>539</v>
      </c>
      <c r="C1359" s="5" t="s">
        <v>315</v>
      </c>
      <c r="D1359" s="5" t="s">
        <v>18</v>
      </c>
      <c r="E1359" s="5" t="s">
        <v>9</v>
      </c>
      <c r="F1359" s="6">
        <v>45473</v>
      </c>
      <c r="G1359" s="5">
        <f t="shared" si="255"/>
        <v>2024</v>
      </c>
      <c r="H1359" s="5" t="str">
        <f t="shared" si="252"/>
        <v>Junio</v>
      </c>
      <c r="I1359" s="6" t="str">
        <f t="shared" si="258"/>
        <v>2024-1</v>
      </c>
      <c r="J1359" s="11">
        <v>20</v>
      </c>
      <c r="K1359" s="11">
        <v>20</v>
      </c>
      <c r="L1359" s="15">
        <v>1</v>
      </c>
      <c r="M1359" s="15">
        <v>1</v>
      </c>
      <c r="N1359" s="5" t="s">
        <v>347</v>
      </c>
      <c r="O1359" s="5" t="s">
        <v>347</v>
      </c>
      <c r="P1359" s="5">
        <v>0</v>
      </c>
      <c r="Q1359" s="5">
        <v>0</v>
      </c>
      <c r="R1359" s="5" t="str">
        <f t="shared" si="259"/>
        <v>908-2024-06-30</v>
      </c>
    </row>
    <row r="1360" spans="1:18" x14ac:dyDescent="0.3">
      <c r="A1360" s="5" t="s">
        <v>424</v>
      </c>
      <c r="B1360" s="5" t="s">
        <v>425</v>
      </c>
      <c r="C1360" s="5" t="s">
        <v>117</v>
      </c>
      <c r="D1360" s="5" t="s">
        <v>18</v>
      </c>
      <c r="E1360" s="5" t="s">
        <v>9</v>
      </c>
      <c r="F1360" s="6">
        <v>44742</v>
      </c>
      <c r="G1360" s="16">
        <f t="shared" si="255"/>
        <v>2022</v>
      </c>
      <c r="H1360" s="6" t="str">
        <f t="shared" si="252"/>
        <v>Junio</v>
      </c>
      <c r="I1360" s="41" t="s">
        <v>426</v>
      </c>
      <c r="J1360" s="5">
        <v>50</v>
      </c>
      <c r="K1360" s="5">
        <v>30</v>
      </c>
      <c r="L1360" s="15">
        <f>IFERROR(IF((K1360/J1360)&gt;1.3,1.3,K1360/J1360),"")</f>
        <v>0.6</v>
      </c>
      <c r="M1360" s="15">
        <f t="shared" ref="M1360:M1392" si="260">IFERROR(K1360/J1360,"")</f>
        <v>0.6</v>
      </c>
      <c r="N1360" s="5" t="s">
        <v>347</v>
      </c>
      <c r="O1360" s="5" t="s">
        <v>347</v>
      </c>
      <c r="P1360" s="5">
        <v>0</v>
      </c>
      <c r="Q1360" s="5">
        <v>0</v>
      </c>
      <c r="R1360" s="5" t="str">
        <f t="shared" si="259"/>
        <v>10.1-2022-06-30</v>
      </c>
    </row>
    <row r="1361" spans="1:18" x14ac:dyDescent="0.3">
      <c r="A1361" s="5" t="s">
        <v>424</v>
      </c>
      <c r="B1361" s="5" t="s">
        <v>425</v>
      </c>
      <c r="C1361" s="5" t="s">
        <v>117</v>
      </c>
      <c r="D1361" s="5" t="s">
        <v>18</v>
      </c>
      <c r="E1361" s="5" t="s">
        <v>9</v>
      </c>
      <c r="F1361" s="6">
        <v>44925</v>
      </c>
      <c r="G1361" s="16">
        <f t="shared" si="255"/>
        <v>2022</v>
      </c>
      <c r="H1361" s="6" t="str">
        <f t="shared" si="252"/>
        <v>Diciembre</v>
      </c>
      <c r="I1361" s="41" t="s">
        <v>423</v>
      </c>
      <c r="J1361" s="5">
        <v>87</v>
      </c>
      <c r="K1361" s="5">
        <v>89</v>
      </c>
      <c r="L1361" s="15">
        <f>IFERROR(IF((K1361/J1361)&gt;1.3,1.3,K1361/J1361),"")</f>
        <v>1.0229885057471264</v>
      </c>
      <c r="M1361" s="15">
        <f t="shared" si="260"/>
        <v>1.0229885057471264</v>
      </c>
      <c r="N1361" s="5" t="s">
        <v>347</v>
      </c>
      <c r="O1361" s="5" t="s">
        <v>347</v>
      </c>
      <c r="P1361" s="5">
        <v>0</v>
      </c>
      <c r="Q1361" s="5">
        <v>0</v>
      </c>
      <c r="R1361" s="5" t="str">
        <f t="shared" si="259"/>
        <v>10.1-2022-12-30</v>
      </c>
    </row>
    <row r="1362" spans="1:18" x14ac:dyDescent="0.3">
      <c r="A1362" s="5" t="s">
        <v>424</v>
      </c>
      <c r="B1362" s="5" t="s">
        <v>425</v>
      </c>
      <c r="C1362" s="5" t="s">
        <v>117</v>
      </c>
      <c r="D1362" s="5" t="s">
        <v>18</v>
      </c>
      <c r="E1362" s="5" t="s">
        <v>9</v>
      </c>
      <c r="F1362" s="6">
        <v>45107</v>
      </c>
      <c r="G1362" s="16">
        <f t="shared" si="255"/>
        <v>2023</v>
      </c>
      <c r="H1362" s="6" t="str">
        <f t="shared" si="252"/>
        <v>Junio</v>
      </c>
      <c r="I1362" s="41" t="s">
        <v>422</v>
      </c>
      <c r="J1362" s="5">
        <v>100</v>
      </c>
      <c r="K1362" s="5">
        <v>100</v>
      </c>
      <c r="L1362" s="15">
        <f>IFERROR(IF((K1362/J1362)&gt;1.3,1.3,K1362/J1362),"")</f>
        <v>1</v>
      </c>
      <c r="M1362" s="15">
        <f t="shared" si="260"/>
        <v>1</v>
      </c>
      <c r="N1362" s="5" t="s">
        <v>347</v>
      </c>
      <c r="O1362" s="5" t="s">
        <v>347</v>
      </c>
      <c r="P1362" s="5">
        <v>0</v>
      </c>
      <c r="Q1362" s="5">
        <v>0</v>
      </c>
      <c r="R1362" s="5" t="str">
        <f t="shared" si="259"/>
        <v>10.1-2023-06-30</v>
      </c>
    </row>
    <row r="1363" spans="1:18" x14ac:dyDescent="0.3">
      <c r="A1363" s="5" t="s">
        <v>435</v>
      </c>
      <c r="B1363" s="5" t="s">
        <v>39</v>
      </c>
      <c r="C1363" s="5" t="s">
        <v>131</v>
      </c>
      <c r="D1363" s="5" t="s">
        <v>25</v>
      </c>
      <c r="E1363" s="5" t="s">
        <v>9</v>
      </c>
      <c r="F1363" s="6">
        <v>45291</v>
      </c>
      <c r="G1363" s="5">
        <v>2022</v>
      </c>
      <c r="H1363" s="5" t="str">
        <f t="shared" si="252"/>
        <v>Diciembre</v>
      </c>
      <c r="I1363" s="6" t="str">
        <f t="shared" ref="I1363:I1380" si="261">IF(OR(H1363="Enero",H1363="Febrero",H1363="Marzo",H1363="Abril",H1363="Mayo",H1363="Junio"),G1363&amp;"-1",IF(OR(H1363="Julio",H1363="Agosto",H1363="Septiembre",H1363="Octubre",H1363="Noviembre",H1363="Diciembre"),G1363&amp;"-2"))</f>
        <v>2022-2</v>
      </c>
      <c r="J1363" s="5">
        <v>80</v>
      </c>
      <c r="K1363" s="5">
        <v>80.476190476190496</v>
      </c>
      <c r="L1363" s="21">
        <f t="shared" ref="L1363:L1380" si="262">IFERROR(K1363/J1363,"")</f>
        <v>1.0059523809523812</v>
      </c>
      <c r="M1363" s="15">
        <f t="shared" si="260"/>
        <v>1.0059523809523812</v>
      </c>
      <c r="N1363" s="5" t="s">
        <v>347</v>
      </c>
      <c r="O1363" s="5" t="s">
        <v>347</v>
      </c>
      <c r="P1363" s="5">
        <v>0</v>
      </c>
      <c r="Q1363" s="5">
        <v>0</v>
      </c>
      <c r="R1363" s="5" t="str">
        <f t="shared" si="259"/>
        <v>108.1-2023-12-31</v>
      </c>
    </row>
    <row r="1364" spans="1:18" x14ac:dyDescent="0.3">
      <c r="A1364" s="5" t="s">
        <v>435</v>
      </c>
      <c r="B1364" s="5" t="s">
        <v>39</v>
      </c>
      <c r="C1364" s="5" t="s">
        <v>131</v>
      </c>
      <c r="D1364" s="5" t="s">
        <v>25</v>
      </c>
      <c r="E1364" s="5" t="s">
        <v>9</v>
      </c>
      <c r="F1364" s="6">
        <v>45291</v>
      </c>
      <c r="G1364" s="5">
        <v>2023</v>
      </c>
      <c r="H1364" s="5" t="str">
        <f t="shared" si="252"/>
        <v>Diciembre</v>
      </c>
      <c r="I1364" s="6" t="str">
        <f t="shared" si="261"/>
        <v>2023-2</v>
      </c>
      <c r="J1364" s="5">
        <v>80</v>
      </c>
      <c r="K1364" s="5">
        <v>92.953627628464005</v>
      </c>
      <c r="L1364" s="21">
        <f t="shared" si="262"/>
        <v>1.1619203453558</v>
      </c>
      <c r="M1364" s="15">
        <f t="shared" si="260"/>
        <v>1.1619203453558</v>
      </c>
      <c r="N1364" s="5" t="s">
        <v>347</v>
      </c>
      <c r="O1364" s="5" t="s">
        <v>347</v>
      </c>
      <c r="P1364" s="5">
        <v>0</v>
      </c>
      <c r="Q1364" s="5">
        <v>0</v>
      </c>
      <c r="R1364" s="5" t="str">
        <f t="shared" si="259"/>
        <v>108.1-2023-12-31</v>
      </c>
    </row>
    <row r="1365" spans="1:18" x14ac:dyDescent="0.3">
      <c r="A1365" s="5" t="s">
        <v>451</v>
      </c>
      <c r="B1365" s="5" t="s">
        <v>39</v>
      </c>
      <c r="C1365" s="5" t="s">
        <v>152</v>
      </c>
      <c r="D1365" s="5" t="s">
        <v>25</v>
      </c>
      <c r="E1365" s="5" t="s">
        <v>9</v>
      </c>
      <c r="F1365" s="6">
        <v>45291</v>
      </c>
      <c r="G1365" s="5">
        <v>2023</v>
      </c>
      <c r="H1365" s="5" t="str">
        <f t="shared" si="252"/>
        <v>Diciembre</v>
      </c>
      <c r="I1365" s="6" t="str">
        <f t="shared" si="261"/>
        <v>2023-2</v>
      </c>
      <c r="J1365" s="5">
        <v>80</v>
      </c>
      <c r="K1365" s="5">
        <v>89.440265168623696</v>
      </c>
      <c r="L1365" s="21">
        <f t="shared" si="262"/>
        <v>1.1180033146077961</v>
      </c>
      <c r="M1365" s="15">
        <f t="shared" si="260"/>
        <v>1.1180033146077961</v>
      </c>
      <c r="N1365" s="5" t="s">
        <v>347</v>
      </c>
      <c r="O1365" s="5" t="s">
        <v>347</v>
      </c>
      <c r="P1365" s="5">
        <v>0</v>
      </c>
      <c r="Q1365" s="5">
        <v>0</v>
      </c>
      <c r="R1365" s="5" t="str">
        <f t="shared" si="259"/>
        <v>108.10-2023-12-31</v>
      </c>
    </row>
    <row r="1366" spans="1:18" x14ac:dyDescent="0.3">
      <c r="A1366" s="5" t="s">
        <v>452</v>
      </c>
      <c r="B1366" s="5" t="s">
        <v>39</v>
      </c>
      <c r="C1366" s="5" t="s">
        <v>134</v>
      </c>
      <c r="D1366" s="5" t="s">
        <v>25</v>
      </c>
      <c r="E1366" s="5" t="s">
        <v>9</v>
      </c>
      <c r="F1366" s="6">
        <v>45291</v>
      </c>
      <c r="G1366" s="5">
        <v>2023</v>
      </c>
      <c r="H1366" s="5" t="str">
        <f t="shared" si="252"/>
        <v>Diciembre</v>
      </c>
      <c r="I1366" s="6" t="str">
        <f t="shared" si="261"/>
        <v>2023-2</v>
      </c>
      <c r="J1366" s="5">
        <v>80</v>
      </c>
      <c r="K1366" s="5">
        <v>96.689723320158095</v>
      </c>
      <c r="L1366" s="21">
        <f t="shared" si="262"/>
        <v>1.2086215415019761</v>
      </c>
      <c r="M1366" s="15">
        <f t="shared" si="260"/>
        <v>1.2086215415019761</v>
      </c>
      <c r="N1366" s="5" t="s">
        <v>347</v>
      </c>
      <c r="O1366" s="5" t="s">
        <v>347</v>
      </c>
      <c r="P1366" s="5">
        <v>0</v>
      </c>
      <c r="Q1366" s="5">
        <v>0</v>
      </c>
      <c r="R1366" s="5" t="str">
        <f t="shared" si="259"/>
        <v>108.11-2023-12-31</v>
      </c>
    </row>
    <row r="1367" spans="1:18" x14ac:dyDescent="0.3">
      <c r="A1367" s="5" t="s">
        <v>453</v>
      </c>
      <c r="B1367" s="5" t="s">
        <v>39</v>
      </c>
      <c r="C1367" s="5" t="s">
        <v>443</v>
      </c>
      <c r="D1367" s="5" t="s">
        <v>25</v>
      </c>
      <c r="E1367" s="5" t="s">
        <v>9</v>
      </c>
      <c r="F1367" s="6">
        <v>45291</v>
      </c>
      <c r="G1367" s="5">
        <v>2023</v>
      </c>
      <c r="H1367" s="5" t="str">
        <f t="shared" si="252"/>
        <v>Diciembre</v>
      </c>
      <c r="I1367" s="6" t="str">
        <f t="shared" si="261"/>
        <v>2023-2</v>
      </c>
      <c r="J1367" s="5">
        <v>80</v>
      </c>
      <c r="K1367" s="5">
        <v>84.559884559884594</v>
      </c>
      <c r="L1367" s="21">
        <f t="shared" si="262"/>
        <v>1.0569985569985574</v>
      </c>
      <c r="M1367" s="15">
        <f t="shared" si="260"/>
        <v>1.0569985569985574</v>
      </c>
      <c r="N1367" s="5" t="s">
        <v>347</v>
      </c>
      <c r="O1367" s="5" t="s">
        <v>347</v>
      </c>
      <c r="P1367" s="5">
        <v>0</v>
      </c>
      <c r="Q1367" s="5">
        <v>0</v>
      </c>
      <c r="R1367" s="5" t="str">
        <f t="shared" si="259"/>
        <v>108.12-2023-12-31</v>
      </c>
    </row>
    <row r="1368" spans="1:18" x14ac:dyDescent="0.3">
      <c r="A1368" s="5" t="s">
        <v>454</v>
      </c>
      <c r="B1368" s="5" t="s">
        <v>39</v>
      </c>
      <c r="C1368" s="5" t="s">
        <v>62</v>
      </c>
      <c r="D1368" s="5" t="s">
        <v>25</v>
      </c>
      <c r="E1368" s="5" t="s">
        <v>9</v>
      </c>
      <c r="F1368" s="6">
        <v>45291</v>
      </c>
      <c r="G1368" s="5">
        <v>2023</v>
      </c>
      <c r="H1368" s="5" t="str">
        <f t="shared" si="252"/>
        <v>Diciembre</v>
      </c>
      <c r="I1368" s="6" t="str">
        <f t="shared" si="261"/>
        <v>2023-2</v>
      </c>
      <c r="J1368" s="5">
        <v>80</v>
      </c>
      <c r="K1368" s="5">
        <v>86</v>
      </c>
      <c r="L1368" s="21">
        <f t="shared" si="262"/>
        <v>1.075</v>
      </c>
      <c r="M1368" s="15">
        <f t="shared" si="260"/>
        <v>1.075</v>
      </c>
      <c r="N1368" s="5" t="s">
        <v>347</v>
      </c>
      <c r="O1368" s="5" t="s">
        <v>347</v>
      </c>
      <c r="P1368" s="5">
        <v>0</v>
      </c>
      <c r="Q1368" s="5">
        <v>0</v>
      </c>
      <c r="R1368" s="5" t="str">
        <f t="shared" si="259"/>
        <v>108.13-2023-12-31</v>
      </c>
    </row>
    <row r="1369" spans="1:18" x14ac:dyDescent="0.3">
      <c r="A1369" s="5" t="s">
        <v>455</v>
      </c>
      <c r="B1369" s="5" t="s">
        <v>39</v>
      </c>
      <c r="C1369" s="5" t="s">
        <v>126</v>
      </c>
      <c r="D1369" s="5" t="s">
        <v>25</v>
      </c>
      <c r="E1369" s="5" t="s">
        <v>9</v>
      </c>
      <c r="F1369" s="6">
        <v>45291</v>
      </c>
      <c r="G1369" s="5">
        <v>2023</v>
      </c>
      <c r="H1369" s="5" t="str">
        <f t="shared" si="252"/>
        <v>Diciembre</v>
      </c>
      <c r="I1369" s="6" t="str">
        <f t="shared" si="261"/>
        <v>2023-2</v>
      </c>
      <c r="J1369" s="5">
        <v>80</v>
      </c>
      <c r="K1369" s="5">
        <v>76.418533802500093</v>
      </c>
      <c r="L1369" s="21">
        <f t="shared" si="262"/>
        <v>0.95523167253125119</v>
      </c>
      <c r="M1369" s="15">
        <f t="shared" si="260"/>
        <v>0.95523167253125119</v>
      </c>
      <c r="N1369" s="5" t="s">
        <v>347</v>
      </c>
      <c r="O1369" s="5" t="s">
        <v>347</v>
      </c>
      <c r="P1369" s="5">
        <v>0</v>
      </c>
      <c r="Q1369" s="5">
        <v>0</v>
      </c>
      <c r="R1369" s="5" t="str">
        <f t="shared" si="259"/>
        <v>108.14-2023-12-31</v>
      </c>
    </row>
    <row r="1370" spans="1:18" x14ac:dyDescent="0.3">
      <c r="A1370" s="5" t="s">
        <v>456</v>
      </c>
      <c r="B1370" s="5" t="s">
        <v>39</v>
      </c>
      <c r="C1370" s="5" t="s">
        <v>442</v>
      </c>
      <c r="D1370" s="5" t="s">
        <v>25</v>
      </c>
      <c r="E1370" s="5" t="s">
        <v>9</v>
      </c>
      <c r="F1370" s="6">
        <v>45291</v>
      </c>
      <c r="G1370" s="5">
        <v>2023</v>
      </c>
      <c r="H1370" s="5" t="str">
        <f t="shared" ref="H1370:H1428" si="263">PROPER(TEXT(F1370,"mmmm"))</f>
        <v>Diciembre</v>
      </c>
      <c r="I1370" s="6" t="str">
        <f t="shared" si="261"/>
        <v>2023-2</v>
      </c>
      <c r="J1370" s="5">
        <v>80</v>
      </c>
      <c r="K1370" s="5">
        <v>82.904040404040401</v>
      </c>
      <c r="L1370" s="21">
        <f t="shared" si="262"/>
        <v>1.036300505050505</v>
      </c>
      <c r="M1370" s="15">
        <f t="shared" si="260"/>
        <v>1.036300505050505</v>
      </c>
      <c r="N1370" s="5" t="s">
        <v>347</v>
      </c>
      <c r="O1370" s="5" t="s">
        <v>347</v>
      </c>
      <c r="P1370" s="5">
        <v>0</v>
      </c>
      <c r="Q1370" s="5">
        <v>0</v>
      </c>
      <c r="R1370" s="5" t="str">
        <f t="shared" si="259"/>
        <v>108.15-2023-12-31</v>
      </c>
    </row>
    <row r="1371" spans="1:18" x14ac:dyDescent="0.3">
      <c r="A1371" s="5" t="s">
        <v>436</v>
      </c>
      <c r="B1371" s="5" t="s">
        <v>39</v>
      </c>
      <c r="C1371" s="5" t="s">
        <v>439</v>
      </c>
      <c r="D1371" s="5" t="s">
        <v>25</v>
      </c>
      <c r="E1371" s="5" t="s">
        <v>9</v>
      </c>
      <c r="F1371" s="6">
        <v>45291</v>
      </c>
      <c r="G1371" s="5">
        <v>2022</v>
      </c>
      <c r="H1371" s="5" t="str">
        <f t="shared" si="263"/>
        <v>Diciembre</v>
      </c>
      <c r="I1371" s="6" t="str">
        <f t="shared" si="261"/>
        <v>2022-2</v>
      </c>
      <c r="J1371" s="5">
        <v>80</v>
      </c>
      <c r="K1371" s="5">
        <v>88.508473249579296</v>
      </c>
      <c r="L1371" s="21">
        <f t="shared" si="262"/>
        <v>1.1063559156197411</v>
      </c>
      <c r="M1371" s="15">
        <f t="shared" si="260"/>
        <v>1.1063559156197411</v>
      </c>
      <c r="N1371" s="5" t="s">
        <v>417</v>
      </c>
      <c r="O1371" s="5" t="s">
        <v>417</v>
      </c>
      <c r="P1371" s="5">
        <v>1</v>
      </c>
      <c r="Q1371" s="5">
        <v>1</v>
      </c>
      <c r="R1371" s="5" t="str">
        <f t="shared" si="259"/>
        <v>108.2-2023-12-31</v>
      </c>
    </row>
    <row r="1372" spans="1:18" x14ac:dyDescent="0.3">
      <c r="A1372" s="5" t="s">
        <v>436</v>
      </c>
      <c r="B1372" s="5" t="s">
        <v>39</v>
      </c>
      <c r="C1372" s="5" t="s">
        <v>439</v>
      </c>
      <c r="D1372" s="5" t="s">
        <v>25</v>
      </c>
      <c r="E1372" s="5" t="s">
        <v>9</v>
      </c>
      <c r="F1372" s="6">
        <v>45291</v>
      </c>
      <c r="G1372" s="5">
        <v>2023</v>
      </c>
      <c r="H1372" s="5" t="str">
        <f t="shared" si="263"/>
        <v>Diciembre</v>
      </c>
      <c r="I1372" s="6" t="str">
        <f t="shared" si="261"/>
        <v>2023-2</v>
      </c>
      <c r="J1372" s="5">
        <v>80</v>
      </c>
      <c r="K1372" s="5">
        <v>90.789405483854196</v>
      </c>
      <c r="L1372" s="21">
        <f t="shared" si="262"/>
        <v>1.1348675685481775</v>
      </c>
      <c r="M1372" s="15">
        <f t="shared" si="260"/>
        <v>1.1348675685481775</v>
      </c>
      <c r="N1372" s="5" t="s">
        <v>417</v>
      </c>
      <c r="O1372" s="5" t="s">
        <v>417</v>
      </c>
      <c r="P1372" s="5">
        <v>1</v>
      </c>
      <c r="Q1372" s="5">
        <v>1</v>
      </c>
      <c r="R1372" s="5" t="str">
        <f t="shared" si="259"/>
        <v>108.2-2023-12-31</v>
      </c>
    </row>
    <row r="1373" spans="1:18" x14ac:dyDescent="0.3">
      <c r="A1373" s="5" t="s">
        <v>437</v>
      </c>
      <c r="B1373" s="5" t="s">
        <v>39</v>
      </c>
      <c r="C1373" s="5" t="s">
        <v>189</v>
      </c>
      <c r="D1373" s="5" t="s">
        <v>25</v>
      </c>
      <c r="E1373" s="5" t="s">
        <v>9</v>
      </c>
      <c r="F1373" s="6">
        <v>45291</v>
      </c>
      <c r="G1373" s="5">
        <v>2023</v>
      </c>
      <c r="H1373" s="5" t="str">
        <f t="shared" si="263"/>
        <v>Diciembre</v>
      </c>
      <c r="I1373" s="6" t="str">
        <f t="shared" si="261"/>
        <v>2023-2</v>
      </c>
      <c r="J1373" s="5">
        <v>80</v>
      </c>
      <c r="K1373" s="5">
        <v>94.811073336571098</v>
      </c>
      <c r="L1373" s="21">
        <f t="shared" si="262"/>
        <v>1.1851384167071388</v>
      </c>
      <c r="M1373" s="15">
        <f t="shared" si="260"/>
        <v>1.1851384167071388</v>
      </c>
      <c r="N1373" s="5" t="s">
        <v>347</v>
      </c>
      <c r="O1373" s="5" t="s">
        <v>347</v>
      </c>
      <c r="P1373" s="5">
        <v>0</v>
      </c>
      <c r="Q1373" s="5">
        <v>0</v>
      </c>
      <c r="R1373" s="5" t="str">
        <f t="shared" si="259"/>
        <v>108.3-2023-12-31</v>
      </c>
    </row>
    <row r="1374" spans="1:18" x14ac:dyDescent="0.3">
      <c r="A1374" s="5" t="s">
        <v>445</v>
      </c>
      <c r="B1374" s="5" t="s">
        <v>39</v>
      </c>
      <c r="C1374" s="5" t="s">
        <v>320</v>
      </c>
      <c r="D1374" s="5" t="s">
        <v>25</v>
      </c>
      <c r="E1374" s="5" t="s">
        <v>9</v>
      </c>
      <c r="F1374" s="6">
        <v>45291</v>
      </c>
      <c r="G1374" s="5">
        <v>2023</v>
      </c>
      <c r="H1374" s="5" t="str">
        <f t="shared" si="263"/>
        <v>Diciembre</v>
      </c>
      <c r="I1374" s="6" t="str">
        <f t="shared" si="261"/>
        <v>2023-2</v>
      </c>
      <c r="J1374" s="5">
        <v>80</v>
      </c>
      <c r="K1374" s="5">
        <v>87.392767703668298</v>
      </c>
      <c r="L1374" s="21">
        <f t="shared" si="262"/>
        <v>1.0924095962958538</v>
      </c>
      <c r="M1374" s="15">
        <f t="shared" si="260"/>
        <v>1.0924095962958538</v>
      </c>
      <c r="N1374" s="5" t="s">
        <v>347</v>
      </c>
      <c r="O1374" s="5" t="s">
        <v>347</v>
      </c>
      <c r="P1374" s="5">
        <v>0</v>
      </c>
      <c r="Q1374" s="5">
        <v>0</v>
      </c>
      <c r="R1374" s="5" t="str">
        <f t="shared" si="259"/>
        <v>108.4-2023-12-31</v>
      </c>
    </row>
    <row r="1375" spans="1:18" x14ac:dyDescent="0.3">
      <c r="A1375" s="5" t="s">
        <v>446</v>
      </c>
      <c r="B1375" s="5" t="s">
        <v>39</v>
      </c>
      <c r="C1375" s="5" t="s">
        <v>185</v>
      </c>
      <c r="D1375" s="5" t="s">
        <v>25</v>
      </c>
      <c r="E1375" s="5" t="s">
        <v>9</v>
      </c>
      <c r="F1375" s="6">
        <v>44926</v>
      </c>
      <c r="G1375" s="5">
        <v>2022</v>
      </c>
      <c r="H1375" s="5" t="str">
        <f t="shared" si="263"/>
        <v>Diciembre</v>
      </c>
      <c r="I1375" s="6" t="str">
        <f t="shared" si="261"/>
        <v>2022-2</v>
      </c>
      <c r="J1375" s="5">
        <v>80</v>
      </c>
      <c r="K1375" s="5">
        <v>68</v>
      </c>
      <c r="L1375" s="21">
        <f t="shared" si="262"/>
        <v>0.85</v>
      </c>
      <c r="M1375" s="15">
        <f t="shared" si="260"/>
        <v>0.85</v>
      </c>
      <c r="N1375" s="5" t="s">
        <v>347</v>
      </c>
      <c r="O1375" s="5" t="s">
        <v>347</v>
      </c>
      <c r="P1375" s="5">
        <v>0</v>
      </c>
      <c r="Q1375" s="5">
        <v>0</v>
      </c>
      <c r="R1375" s="5" t="str">
        <f t="shared" si="259"/>
        <v>108.5-2022-12-31</v>
      </c>
    </row>
    <row r="1376" spans="1:18" x14ac:dyDescent="0.3">
      <c r="A1376" s="5" t="s">
        <v>446</v>
      </c>
      <c r="B1376" s="5" t="s">
        <v>39</v>
      </c>
      <c r="C1376" s="5" t="s">
        <v>185</v>
      </c>
      <c r="D1376" s="5" t="s">
        <v>25</v>
      </c>
      <c r="E1376" s="5" t="s">
        <v>9</v>
      </c>
      <c r="F1376" s="6">
        <v>45291</v>
      </c>
      <c r="G1376" s="5">
        <v>2023</v>
      </c>
      <c r="H1376" s="5" t="str">
        <f t="shared" si="263"/>
        <v>Diciembre</v>
      </c>
      <c r="I1376" s="6" t="str">
        <f t="shared" si="261"/>
        <v>2023-2</v>
      </c>
      <c r="J1376" s="5">
        <v>80</v>
      </c>
      <c r="K1376" s="5">
        <v>90.977702771558697</v>
      </c>
      <c r="L1376" s="21">
        <f t="shared" si="262"/>
        <v>1.1372212846444838</v>
      </c>
      <c r="M1376" s="15">
        <f t="shared" si="260"/>
        <v>1.1372212846444838</v>
      </c>
      <c r="N1376" s="5" t="s">
        <v>347</v>
      </c>
      <c r="O1376" s="5" t="s">
        <v>347</v>
      </c>
      <c r="P1376" s="5">
        <v>0</v>
      </c>
      <c r="Q1376" s="5">
        <v>0</v>
      </c>
      <c r="R1376" s="5" t="str">
        <f t="shared" si="259"/>
        <v>108.5-2023-12-31</v>
      </c>
    </row>
    <row r="1377" spans="1:18" x14ac:dyDescent="0.3">
      <c r="A1377" s="5" t="s">
        <v>447</v>
      </c>
      <c r="B1377" s="5" t="s">
        <v>39</v>
      </c>
      <c r="C1377" s="5" t="s">
        <v>231</v>
      </c>
      <c r="D1377" s="5" t="s">
        <v>25</v>
      </c>
      <c r="E1377" s="5" t="s">
        <v>9</v>
      </c>
      <c r="F1377" s="6">
        <v>45291</v>
      </c>
      <c r="G1377" s="5">
        <v>2023</v>
      </c>
      <c r="H1377" s="5" t="str">
        <f t="shared" si="263"/>
        <v>Diciembre</v>
      </c>
      <c r="I1377" s="6" t="str">
        <f t="shared" si="261"/>
        <v>2023-2</v>
      </c>
      <c r="J1377" s="5">
        <v>80</v>
      </c>
      <c r="K1377" s="5">
        <v>81.991406812802296</v>
      </c>
      <c r="L1377" s="21">
        <f t="shared" si="262"/>
        <v>1.0248925851600288</v>
      </c>
      <c r="M1377" s="15">
        <f t="shared" si="260"/>
        <v>1.0248925851600288</v>
      </c>
      <c r="N1377" s="5" t="s">
        <v>347</v>
      </c>
      <c r="O1377" s="5" t="s">
        <v>347</v>
      </c>
      <c r="P1377" s="5">
        <v>0</v>
      </c>
      <c r="Q1377" s="5">
        <v>0</v>
      </c>
      <c r="R1377" s="5" t="str">
        <f t="shared" si="259"/>
        <v>108.6-2023-12-31</v>
      </c>
    </row>
    <row r="1378" spans="1:18" x14ac:dyDescent="0.3">
      <c r="A1378" s="5" t="s">
        <v>448</v>
      </c>
      <c r="B1378" s="5" t="s">
        <v>39</v>
      </c>
      <c r="C1378" s="5" t="s">
        <v>240</v>
      </c>
      <c r="D1378" s="5" t="s">
        <v>25</v>
      </c>
      <c r="E1378" s="5" t="s">
        <v>9</v>
      </c>
      <c r="F1378" s="6">
        <v>45291</v>
      </c>
      <c r="G1378" s="5">
        <v>2023</v>
      </c>
      <c r="H1378" s="5" t="str">
        <f t="shared" si="263"/>
        <v>Diciembre</v>
      </c>
      <c r="I1378" s="6" t="str">
        <f t="shared" si="261"/>
        <v>2023-2</v>
      </c>
      <c r="J1378" s="5">
        <v>80</v>
      </c>
      <c r="K1378" s="5">
        <v>81.322057504242295</v>
      </c>
      <c r="L1378" s="21">
        <f t="shared" si="262"/>
        <v>1.0165257188030288</v>
      </c>
      <c r="M1378" s="15">
        <f t="shared" si="260"/>
        <v>1.0165257188030288</v>
      </c>
      <c r="N1378" s="5" t="s">
        <v>347</v>
      </c>
      <c r="O1378" s="5" t="s">
        <v>347</v>
      </c>
      <c r="P1378" s="5">
        <v>0</v>
      </c>
      <c r="Q1378" s="5">
        <v>0</v>
      </c>
      <c r="R1378" s="5" t="str">
        <f t="shared" si="259"/>
        <v>108.7-2023-12-31</v>
      </c>
    </row>
    <row r="1379" spans="1:18" x14ac:dyDescent="0.3">
      <c r="A1379" s="5" t="s">
        <v>449</v>
      </c>
      <c r="B1379" s="5" t="s">
        <v>39</v>
      </c>
      <c r="C1379" s="5" t="s">
        <v>441</v>
      </c>
      <c r="D1379" s="5" t="s">
        <v>25</v>
      </c>
      <c r="E1379" s="5" t="s">
        <v>9</v>
      </c>
      <c r="F1379" s="6">
        <v>45291</v>
      </c>
      <c r="G1379" s="5">
        <v>2023</v>
      </c>
      <c r="H1379" s="5" t="str">
        <f t="shared" si="263"/>
        <v>Diciembre</v>
      </c>
      <c r="I1379" s="6" t="str">
        <f t="shared" si="261"/>
        <v>2023-2</v>
      </c>
      <c r="J1379" s="5">
        <v>80</v>
      </c>
      <c r="K1379" s="5">
        <v>77.756756756756801</v>
      </c>
      <c r="L1379" s="21">
        <f t="shared" si="262"/>
        <v>0.97195945945946005</v>
      </c>
      <c r="M1379" s="15">
        <f t="shared" si="260"/>
        <v>0.97195945945946005</v>
      </c>
      <c r="N1379" s="5" t="s">
        <v>347</v>
      </c>
      <c r="O1379" s="5" t="s">
        <v>347</v>
      </c>
      <c r="P1379" s="5">
        <v>0</v>
      </c>
      <c r="Q1379" s="5">
        <v>0</v>
      </c>
      <c r="R1379" s="5" t="str">
        <f t="shared" si="259"/>
        <v>108.8-2023-12-31</v>
      </c>
    </row>
    <row r="1380" spans="1:18" x14ac:dyDescent="0.3">
      <c r="A1380" s="5" t="s">
        <v>450</v>
      </c>
      <c r="B1380" s="5" t="s">
        <v>39</v>
      </c>
      <c r="C1380" s="5" t="s">
        <v>117</v>
      </c>
      <c r="D1380" s="5" t="s">
        <v>25</v>
      </c>
      <c r="E1380" s="5" t="s">
        <v>9</v>
      </c>
      <c r="F1380" s="6">
        <v>45291</v>
      </c>
      <c r="G1380" s="5">
        <v>2023</v>
      </c>
      <c r="H1380" s="5" t="str">
        <f t="shared" si="263"/>
        <v>Diciembre</v>
      </c>
      <c r="I1380" s="6" t="str">
        <f t="shared" si="261"/>
        <v>2023-2</v>
      </c>
      <c r="J1380" s="5">
        <v>80</v>
      </c>
      <c r="K1380" s="5">
        <v>94.9579831932773</v>
      </c>
      <c r="L1380" s="21">
        <f t="shared" si="262"/>
        <v>1.1869747899159662</v>
      </c>
      <c r="M1380" s="15">
        <f t="shared" si="260"/>
        <v>1.1869747899159662</v>
      </c>
      <c r="N1380" s="5" t="s">
        <v>347</v>
      </c>
      <c r="O1380" s="5" t="s">
        <v>347</v>
      </c>
      <c r="P1380" s="5">
        <v>0</v>
      </c>
      <c r="Q1380" s="5">
        <v>0</v>
      </c>
      <c r="R1380" s="5" t="str">
        <f t="shared" si="259"/>
        <v>108.9-2023-12-31</v>
      </c>
    </row>
    <row r="1381" spans="1:18" x14ac:dyDescent="0.3">
      <c r="A1381" s="5" t="s">
        <v>427</v>
      </c>
      <c r="B1381" s="5" t="s">
        <v>428</v>
      </c>
      <c r="C1381" s="5" t="s">
        <v>117</v>
      </c>
      <c r="D1381" s="5" t="s">
        <v>18</v>
      </c>
      <c r="E1381" s="5" t="s">
        <v>9</v>
      </c>
      <c r="F1381" s="6">
        <v>44926</v>
      </c>
      <c r="G1381" s="16">
        <f t="shared" ref="G1381:G1428" si="264">YEAR(F1381)</f>
        <v>2022</v>
      </c>
      <c r="H1381" s="6" t="str">
        <f t="shared" si="263"/>
        <v>Diciembre</v>
      </c>
      <c r="I1381" s="41" t="s">
        <v>423</v>
      </c>
      <c r="J1381" s="5">
        <v>57</v>
      </c>
      <c r="K1381" s="5">
        <v>71</v>
      </c>
      <c r="L1381" s="15">
        <f t="shared" ref="L1381:L1397" si="265">IFERROR(IF((K1381/J1381)&gt;1.3,1.3,K1381/J1381),"")</f>
        <v>1.2456140350877194</v>
      </c>
      <c r="M1381" s="15">
        <f t="shared" si="260"/>
        <v>1.2456140350877194</v>
      </c>
      <c r="N1381" s="5" t="s">
        <v>417</v>
      </c>
      <c r="O1381" s="5" t="s">
        <v>417</v>
      </c>
      <c r="P1381" s="5">
        <v>0</v>
      </c>
      <c r="Q1381" s="5">
        <v>0</v>
      </c>
      <c r="R1381" s="5" t="str">
        <f t="shared" si="259"/>
        <v>13.1-2022-12-31</v>
      </c>
    </row>
    <row r="1382" spans="1:18" x14ac:dyDescent="0.3">
      <c r="A1382" s="5" t="s">
        <v>427</v>
      </c>
      <c r="B1382" s="5" t="s">
        <v>428</v>
      </c>
      <c r="C1382" s="5" t="s">
        <v>117</v>
      </c>
      <c r="D1382" s="5" t="s">
        <v>18</v>
      </c>
      <c r="E1382" s="5" t="s">
        <v>9</v>
      </c>
      <c r="F1382" s="6">
        <v>45107</v>
      </c>
      <c r="G1382" s="16">
        <f t="shared" si="264"/>
        <v>2023</v>
      </c>
      <c r="H1382" s="6" t="str">
        <f t="shared" si="263"/>
        <v>Junio</v>
      </c>
      <c r="I1382" s="41" t="s">
        <v>422</v>
      </c>
      <c r="J1382" s="5">
        <v>100</v>
      </c>
      <c r="K1382" s="5">
        <v>100</v>
      </c>
      <c r="L1382" s="15">
        <f t="shared" si="265"/>
        <v>1</v>
      </c>
      <c r="M1382" s="15">
        <f t="shared" si="260"/>
        <v>1</v>
      </c>
      <c r="N1382" s="5" t="s">
        <v>417</v>
      </c>
      <c r="O1382" s="5" t="s">
        <v>417</v>
      </c>
      <c r="P1382" s="5">
        <v>0</v>
      </c>
      <c r="Q1382" s="5">
        <v>0</v>
      </c>
      <c r="R1382" s="5" t="str">
        <f t="shared" si="259"/>
        <v>13.1-2023-06-30</v>
      </c>
    </row>
    <row r="1383" spans="1:18" x14ac:dyDescent="0.3">
      <c r="A1383" s="25" t="s">
        <v>348</v>
      </c>
      <c r="B1383" s="23" t="s">
        <v>349</v>
      </c>
      <c r="C1383" s="5" t="s">
        <v>74</v>
      </c>
      <c r="D1383" s="5" t="s">
        <v>8</v>
      </c>
      <c r="E1383" s="5" t="s">
        <v>9</v>
      </c>
      <c r="F1383" s="6">
        <v>44742</v>
      </c>
      <c r="G1383" s="16">
        <f t="shared" si="264"/>
        <v>2022</v>
      </c>
      <c r="H1383" s="6" t="str">
        <f t="shared" si="263"/>
        <v>Junio</v>
      </c>
      <c r="I1383" s="41" t="s">
        <v>426</v>
      </c>
      <c r="J1383" s="5">
        <v>7541</v>
      </c>
      <c r="K1383" s="5">
        <v>7651</v>
      </c>
      <c r="L1383" s="15">
        <f t="shared" si="265"/>
        <v>1.0145869248110331</v>
      </c>
      <c r="M1383" s="15">
        <f t="shared" si="260"/>
        <v>1.0145869248110331</v>
      </c>
      <c r="N1383" s="5" t="s">
        <v>490</v>
      </c>
      <c r="O1383" s="5" t="s">
        <v>490</v>
      </c>
      <c r="P1383" s="5">
        <v>0</v>
      </c>
      <c r="Q1383" s="5">
        <v>0</v>
      </c>
      <c r="R1383" s="5" t="str">
        <f t="shared" si="259"/>
        <v>14.1-2022-06-30</v>
      </c>
    </row>
    <row r="1384" spans="1:18" x14ac:dyDescent="0.3">
      <c r="A1384" s="25" t="s">
        <v>348</v>
      </c>
      <c r="B1384" s="23" t="s">
        <v>349</v>
      </c>
      <c r="C1384" s="5" t="s">
        <v>74</v>
      </c>
      <c r="D1384" s="5" t="s">
        <v>8</v>
      </c>
      <c r="E1384" s="5" t="s">
        <v>9</v>
      </c>
      <c r="F1384" s="6">
        <v>44926</v>
      </c>
      <c r="G1384" s="16">
        <f t="shared" si="264"/>
        <v>2022</v>
      </c>
      <c r="H1384" s="6" t="str">
        <f t="shared" si="263"/>
        <v>Diciembre</v>
      </c>
      <c r="I1384" s="41" t="s">
        <v>423</v>
      </c>
      <c r="J1384" s="5">
        <v>6730</v>
      </c>
      <c r="K1384" s="5">
        <v>7539</v>
      </c>
      <c r="L1384" s="15">
        <f t="shared" si="265"/>
        <v>1.1202080237741456</v>
      </c>
      <c r="M1384" s="15">
        <f t="shared" si="260"/>
        <v>1.1202080237741456</v>
      </c>
      <c r="N1384" s="5" t="s">
        <v>490</v>
      </c>
      <c r="O1384" s="5" t="s">
        <v>490</v>
      </c>
      <c r="P1384" s="5">
        <v>0</v>
      </c>
      <c r="Q1384" s="5">
        <v>0</v>
      </c>
      <c r="R1384" s="5" t="str">
        <f t="shared" si="259"/>
        <v>14.1-2022-12-31</v>
      </c>
    </row>
    <row r="1385" spans="1:18" x14ac:dyDescent="0.3">
      <c r="A1385" s="25" t="s">
        <v>348</v>
      </c>
      <c r="B1385" s="23" t="s">
        <v>349</v>
      </c>
      <c r="C1385" s="5" t="s">
        <v>74</v>
      </c>
      <c r="D1385" s="5" t="s">
        <v>8</v>
      </c>
      <c r="E1385" s="5" t="s">
        <v>9</v>
      </c>
      <c r="F1385" s="6">
        <v>45107</v>
      </c>
      <c r="G1385" s="16">
        <f t="shared" si="264"/>
        <v>2023</v>
      </c>
      <c r="H1385" s="6" t="str">
        <f t="shared" si="263"/>
        <v>Junio</v>
      </c>
      <c r="I1385" s="41" t="s">
        <v>422</v>
      </c>
      <c r="J1385" s="5">
        <v>7822</v>
      </c>
      <c r="K1385" s="5">
        <v>7912</v>
      </c>
      <c r="L1385" s="15">
        <f t="shared" si="265"/>
        <v>1.0115060086934289</v>
      </c>
      <c r="M1385" s="15">
        <f t="shared" si="260"/>
        <v>1.0115060086934289</v>
      </c>
      <c r="N1385" s="5" t="s">
        <v>490</v>
      </c>
      <c r="O1385" s="5" t="s">
        <v>490</v>
      </c>
      <c r="P1385" s="5">
        <v>0</v>
      </c>
      <c r="Q1385" s="5">
        <v>0</v>
      </c>
      <c r="R1385" s="5" t="str">
        <f t="shared" si="259"/>
        <v>14.1-2023-06-30</v>
      </c>
    </row>
    <row r="1386" spans="1:18" x14ac:dyDescent="0.3">
      <c r="A1386" s="25" t="s">
        <v>348</v>
      </c>
      <c r="B1386" s="23" t="s">
        <v>349</v>
      </c>
      <c r="C1386" s="5" t="s">
        <v>124</v>
      </c>
      <c r="D1386" s="5" t="s">
        <v>8</v>
      </c>
      <c r="E1386" s="5" t="s">
        <v>9</v>
      </c>
      <c r="F1386" s="6">
        <v>45291</v>
      </c>
      <c r="G1386" s="16">
        <f t="shared" si="264"/>
        <v>2023</v>
      </c>
      <c r="H1386" s="6" t="str">
        <f t="shared" si="263"/>
        <v>Diciembre</v>
      </c>
      <c r="I1386" s="6" t="str">
        <f>IF(OR(H1386="Enero",H1386="Febrero",H1386="Marzo",H1386="Abril",H1386="Mayo",H1386="Junio"),G1386&amp;"-1",IF(OR(H1386="Julio",H1386="Agosto",H1386="Septiembre",H1386="Octubre",H1386="Noviembre",H1386="Diciembre"),G1386&amp;"-2"))</f>
        <v>2023-2</v>
      </c>
      <c r="J1386" s="5">
        <v>7620</v>
      </c>
      <c r="K1386" s="5">
        <v>8066</v>
      </c>
      <c r="L1386" s="15">
        <f t="shared" si="265"/>
        <v>1.0585301837270342</v>
      </c>
      <c r="M1386" s="15">
        <f t="shared" si="260"/>
        <v>1.0585301837270342</v>
      </c>
      <c r="N1386" s="5" t="s">
        <v>490</v>
      </c>
      <c r="O1386" s="5" t="s">
        <v>490</v>
      </c>
      <c r="P1386" s="5">
        <v>0</v>
      </c>
      <c r="Q1386" s="5">
        <v>0</v>
      </c>
      <c r="R1386" s="5" t="str">
        <f t="shared" si="259"/>
        <v>14.1-2023-12-31</v>
      </c>
    </row>
    <row r="1387" spans="1:18" x14ac:dyDescent="0.3">
      <c r="A1387" s="25" t="s">
        <v>348</v>
      </c>
      <c r="B1387" s="23" t="s">
        <v>349</v>
      </c>
      <c r="C1387" s="5" t="s">
        <v>124</v>
      </c>
      <c r="D1387" s="5" t="s">
        <v>8</v>
      </c>
      <c r="E1387" s="5" t="s">
        <v>9</v>
      </c>
      <c r="F1387" s="6">
        <v>45473</v>
      </c>
      <c r="G1387" s="5">
        <f t="shared" si="264"/>
        <v>2024</v>
      </c>
      <c r="H1387" s="5" t="str">
        <f t="shared" si="263"/>
        <v>Junio</v>
      </c>
      <c r="I1387" s="6" t="str">
        <f>IF(OR(H1387="Enero",H1387="Febrero",H1387="Marzo",H1387="Abril",H1387="Mayo",H1387="Junio"),G1387&amp;"-1",IF(OR(H1387="Julio",H1387="Agosto",H1387="Septiembre",H1387="Octubre",H1387="Noviembre",H1387="Diciembre"),G1387&amp;"-2"))</f>
        <v>2024-1</v>
      </c>
      <c r="J1387" s="5">
        <v>8168</v>
      </c>
      <c r="K1387" s="5">
        <v>8424</v>
      </c>
      <c r="L1387" s="15">
        <f>IFERROR(IF((K1387/J1387)&gt;1.3,1.3,K1387/J1387),"")</f>
        <v>1.0313418217433887</v>
      </c>
      <c r="M1387" s="15">
        <f>IFERROR(K1387/J1387,"")</f>
        <v>1.0313418217433887</v>
      </c>
      <c r="N1387" s="5" t="s">
        <v>490</v>
      </c>
      <c r="O1387" s="5" t="s">
        <v>490</v>
      </c>
      <c r="P1387" s="5">
        <v>0</v>
      </c>
      <c r="Q1387" s="5">
        <v>0</v>
      </c>
      <c r="R1387" s="5" t="str">
        <f t="shared" si="259"/>
        <v>14.1-2024-06-30</v>
      </c>
    </row>
    <row r="1388" spans="1:18" x14ac:dyDescent="0.3">
      <c r="A1388" s="25" t="s">
        <v>350</v>
      </c>
      <c r="B1388" s="23" t="s">
        <v>351</v>
      </c>
      <c r="C1388" s="5" t="s">
        <v>74</v>
      </c>
      <c r="D1388" s="5" t="s">
        <v>8</v>
      </c>
      <c r="E1388" s="5" t="s">
        <v>9</v>
      </c>
      <c r="F1388" s="6">
        <v>44742</v>
      </c>
      <c r="G1388" s="16">
        <f t="shared" si="264"/>
        <v>2022</v>
      </c>
      <c r="H1388" s="6" t="str">
        <f t="shared" si="263"/>
        <v>Junio</v>
      </c>
      <c r="I1388" s="41" t="s">
        <v>426</v>
      </c>
      <c r="J1388" s="5">
        <v>42889</v>
      </c>
      <c r="K1388" s="5">
        <v>43361</v>
      </c>
      <c r="L1388" s="15">
        <f t="shared" si="265"/>
        <v>1.0110051528363917</v>
      </c>
      <c r="M1388" s="15">
        <f t="shared" si="260"/>
        <v>1.0110051528363917</v>
      </c>
      <c r="N1388" s="5" t="s">
        <v>490</v>
      </c>
      <c r="O1388" s="5" t="s">
        <v>490</v>
      </c>
      <c r="P1388" s="5">
        <v>0</v>
      </c>
      <c r="Q1388" s="5">
        <v>0</v>
      </c>
      <c r="R1388" s="5" t="str">
        <f t="shared" si="259"/>
        <v>14.2-2022-06-30</v>
      </c>
    </row>
    <row r="1389" spans="1:18" x14ac:dyDescent="0.3">
      <c r="A1389" s="25" t="s">
        <v>350</v>
      </c>
      <c r="B1389" s="23" t="s">
        <v>351</v>
      </c>
      <c r="C1389" s="5" t="s">
        <v>74</v>
      </c>
      <c r="D1389" s="5" t="s">
        <v>8</v>
      </c>
      <c r="E1389" s="5" t="s">
        <v>9</v>
      </c>
      <c r="F1389" s="6">
        <v>44926</v>
      </c>
      <c r="G1389" s="16">
        <f t="shared" si="264"/>
        <v>2022</v>
      </c>
      <c r="H1389" s="6" t="str">
        <f t="shared" si="263"/>
        <v>Diciembre</v>
      </c>
      <c r="I1389" s="41" t="s">
        <v>423</v>
      </c>
      <c r="J1389" s="5">
        <v>42274</v>
      </c>
      <c r="K1389" s="5">
        <v>42702</v>
      </c>
      <c r="L1389" s="15">
        <f t="shared" si="265"/>
        <v>1.0101244263613569</v>
      </c>
      <c r="M1389" s="15">
        <f t="shared" si="260"/>
        <v>1.0101244263613569</v>
      </c>
      <c r="N1389" s="5" t="s">
        <v>490</v>
      </c>
      <c r="O1389" s="5" t="s">
        <v>490</v>
      </c>
      <c r="P1389" s="5">
        <v>0</v>
      </c>
      <c r="Q1389" s="5">
        <v>0</v>
      </c>
      <c r="R1389" s="5" t="str">
        <f t="shared" si="259"/>
        <v>14.2-2022-12-31</v>
      </c>
    </row>
    <row r="1390" spans="1:18" x14ac:dyDescent="0.3">
      <c r="A1390" s="25" t="s">
        <v>350</v>
      </c>
      <c r="B1390" s="23" t="s">
        <v>351</v>
      </c>
      <c r="C1390" s="5" t="s">
        <v>74</v>
      </c>
      <c r="D1390" s="5" t="s">
        <v>8</v>
      </c>
      <c r="E1390" s="5" t="s">
        <v>9</v>
      </c>
      <c r="F1390" s="6">
        <v>45107</v>
      </c>
      <c r="G1390" s="16">
        <f t="shared" si="264"/>
        <v>2023</v>
      </c>
      <c r="H1390" s="6" t="str">
        <f t="shared" si="263"/>
        <v>Junio</v>
      </c>
      <c r="I1390" s="41" t="s">
        <v>422</v>
      </c>
      <c r="J1390" s="5">
        <v>44355</v>
      </c>
      <c r="K1390" s="5">
        <v>43561</v>
      </c>
      <c r="L1390" s="15">
        <f t="shared" si="265"/>
        <v>0.98209897418554837</v>
      </c>
      <c r="M1390" s="15">
        <f t="shared" si="260"/>
        <v>0.98209897418554837</v>
      </c>
      <c r="N1390" s="5" t="s">
        <v>490</v>
      </c>
      <c r="O1390" s="5" t="s">
        <v>490</v>
      </c>
      <c r="P1390" s="5">
        <v>0</v>
      </c>
      <c r="Q1390" s="5">
        <v>0</v>
      </c>
      <c r="R1390" s="5" t="str">
        <f t="shared" si="259"/>
        <v>14.2-2023-06-30</v>
      </c>
    </row>
    <row r="1391" spans="1:18" x14ac:dyDescent="0.3">
      <c r="A1391" s="25" t="s">
        <v>350</v>
      </c>
      <c r="B1391" s="23" t="s">
        <v>351</v>
      </c>
      <c r="C1391" s="5" t="s">
        <v>124</v>
      </c>
      <c r="D1391" s="5" t="s">
        <v>8</v>
      </c>
      <c r="E1391" s="5" t="s">
        <v>9</v>
      </c>
      <c r="F1391" s="6">
        <v>45291</v>
      </c>
      <c r="G1391" s="16">
        <f t="shared" si="264"/>
        <v>2023</v>
      </c>
      <c r="H1391" s="6" t="str">
        <f t="shared" si="263"/>
        <v>Diciembre</v>
      </c>
      <c r="I1391" s="6" t="str">
        <f>IF(OR(H1391="Enero",H1391="Febrero",H1391="Marzo",H1391="Abril",H1391="Mayo",H1391="Junio"),G1391&amp;"-1",IF(OR(H1391="Julio",H1391="Agosto",H1391="Septiembre",H1391="Octubre",H1391="Noviembre",H1391="Diciembre"),G1391&amp;"-2"))</f>
        <v>2023-2</v>
      </c>
      <c r="J1391" s="5">
        <v>44067</v>
      </c>
      <c r="K1391" s="5">
        <v>43309</v>
      </c>
      <c r="L1391" s="15">
        <f t="shared" si="265"/>
        <v>0.98279891982662759</v>
      </c>
      <c r="M1391" s="15">
        <f t="shared" si="260"/>
        <v>0.98279891982662759</v>
      </c>
      <c r="N1391" s="5" t="s">
        <v>490</v>
      </c>
      <c r="O1391" s="5" t="s">
        <v>490</v>
      </c>
      <c r="P1391" s="5">
        <v>0</v>
      </c>
      <c r="Q1391" s="5">
        <v>0</v>
      </c>
      <c r="R1391" s="5" t="str">
        <f t="shared" si="259"/>
        <v>14.2-2023-12-31</v>
      </c>
    </row>
    <row r="1392" spans="1:18" x14ac:dyDescent="0.3">
      <c r="A1392" s="25" t="s">
        <v>350</v>
      </c>
      <c r="B1392" s="23" t="s">
        <v>351</v>
      </c>
      <c r="C1392" s="5" t="s">
        <v>124</v>
      </c>
      <c r="D1392" s="5" t="s">
        <v>8</v>
      </c>
      <c r="E1392" s="5" t="s">
        <v>9</v>
      </c>
      <c r="F1392" s="6">
        <v>45473</v>
      </c>
      <c r="G1392" s="5">
        <f t="shared" si="264"/>
        <v>2024</v>
      </c>
      <c r="H1392" s="5" t="str">
        <f t="shared" si="263"/>
        <v>Junio</v>
      </c>
      <c r="I1392" s="6" t="str">
        <f>IF(OR(H1392="Enero",H1392="Febrero",H1392="Marzo",H1392="Abril",H1392="Mayo",H1392="Junio"),G1392&amp;"-1",IF(OR(H1392="Julio",H1392="Agosto",H1392="Septiembre",H1392="Octubre",H1392="Noviembre",H1392="Diciembre"),G1392&amp;"-2"))</f>
        <v>2024-1</v>
      </c>
      <c r="J1392" s="5">
        <v>44235</v>
      </c>
      <c r="K1392" s="5">
        <v>44161</v>
      </c>
      <c r="L1392" s="15">
        <f t="shared" si="265"/>
        <v>0.99832711653667905</v>
      </c>
      <c r="M1392" s="15">
        <f t="shared" si="260"/>
        <v>0.99832711653667905</v>
      </c>
      <c r="N1392" s="5" t="s">
        <v>490</v>
      </c>
      <c r="O1392" s="5" t="s">
        <v>490</v>
      </c>
      <c r="P1392" s="5">
        <v>0</v>
      </c>
      <c r="Q1392" s="5">
        <v>0</v>
      </c>
      <c r="R1392" s="5" t="str">
        <f t="shared" si="259"/>
        <v>14.2-2024-06-30</v>
      </c>
    </row>
    <row r="1393" spans="1:18" x14ac:dyDescent="0.3">
      <c r="A1393" s="25" t="s">
        <v>352</v>
      </c>
      <c r="B1393" s="23" t="s">
        <v>353</v>
      </c>
      <c r="C1393" s="5" t="s">
        <v>124</v>
      </c>
      <c r="D1393" s="5" t="s">
        <v>8</v>
      </c>
      <c r="E1393" s="5" t="s">
        <v>9</v>
      </c>
      <c r="F1393" s="6">
        <v>44742</v>
      </c>
      <c r="G1393" s="16">
        <f t="shared" si="264"/>
        <v>2022</v>
      </c>
      <c r="H1393" s="6" t="str">
        <f t="shared" si="263"/>
        <v>Junio</v>
      </c>
      <c r="I1393" s="41" t="s">
        <v>426</v>
      </c>
      <c r="J1393" s="5">
        <v>48022</v>
      </c>
      <c r="K1393" s="5">
        <v>48614</v>
      </c>
      <c r="L1393" s="15">
        <f t="shared" si="265"/>
        <v>1.012327683145225</v>
      </c>
      <c r="M1393" s="15">
        <f t="shared" ref="M1393:M1402" si="266">IFERROR(K1393/J1393,"")</f>
        <v>1.012327683145225</v>
      </c>
      <c r="N1393" s="5" t="s">
        <v>490</v>
      </c>
      <c r="O1393" s="5" t="s">
        <v>490</v>
      </c>
      <c r="P1393" s="5">
        <v>0</v>
      </c>
      <c r="Q1393" s="5">
        <v>0</v>
      </c>
      <c r="R1393" s="5" t="str">
        <f t="shared" si="259"/>
        <v>14.3-2022-06-30</v>
      </c>
    </row>
    <row r="1394" spans="1:18" x14ac:dyDescent="0.3">
      <c r="A1394" s="25" t="s">
        <v>352</v>
      </c>
      <c r="B1394" s="23" t="s">
        <v>353</v>
      </c>
      <c r="C1394" s="5" t="s">
        <v>124</v>
      </c>
      <c r="D1394" s="5" t="s">
        <v>8</v>
      </c>
      <c r="E1394" s="5" t="s">
        <v>9</v>
      </c>
      <c r="F1394" s="6">
        <v>44926</v>
      </c>
      <c r="G1394" s="16">
        <f t="shared" si="264"/>
        <v>2022</v>
      </c>
      <c r="H1394" s="6" t="str">
        <f t="shared" si="263"/>
        <v>Diciembre</v>
      </c>
      <c r="I1394" s="41" t="s">
        <v>423</v>
      </c>
      <c r="J1394" s="5">
        <v>46674</v>
      </c>
      <c r="K1394" s="5">
        <v>47631</v>
      </c>
      <c r="L1394" s="15">
        <f t="shared" si="265"/>
        <v>1.0205039208124438</v>
      </c>
      <c r="M1394" s="15">
        <f t="shared" si="266"/>
        <v>1.0205039208124438</v>
      </c>
      <c r="N1394" s="5" t="s">
        <v>490</v>
      </c>
      <c r="O1394" s="5" t="s">
        <v>490</v>
      </c>
      <c r="P1394" s="5">
        <v>0</v>
      </c>
      <c r="Q1394" s="5">
        <v>0</v>
      </c>
      <c r="R1394" s="5" t="str">
        <f t="shared" si="259"/>
        <v>14.3-2022-12-31</v>
      </c>
    </row>
    <row r="1395" spans="1:18" x14ac:dyDescent="0.3">
      <c r="A1395" s="25" t="s">
        <v>352</v>
      </c>
      <c r="B1395" s="23" t="s">
        <v>353</v>
      </c>
      <c r="C1395" s="5" t="s">
        <v>124</v>
      </c>
      <c r="D1395" s="5" t="s">
        <v>8</v>
      </c>
      <c r="E1395" s="5" t="s">
        <v>9</v>
      </c>
      <c r="F1395" s="6">
        <v>45107</v>
      </c>
      <c r="G1395" s="16">
        <f t="shared" si="264"/>
        <v>2023</v>
      </c>
      <c r="H1395" s="6" t="str">
        <f t="shared" si="263"/>
        <v>Junio</v>
      </c>
      <c r="I1395" s="41" t="s">
        <v>422</v>
      </c>
      <c r="J1395" s="5">
        <v>49451</v>
      </c>
      <c r="K1395" s="5">
        <v>48483</v>
      </c>
      <c r="L1395" s="15">
        <f t="shared" si="265"/>
        <v>0.98042506723827627</v>
      </c>
      <c r="M1395" s="15">
        <f t="shared" si="266"/>
        <v>0.98042506723827627</v>
      </c>
      <c r="N1395" s="5" t="s">
        <v>490</v>
      </c>
      <c r="O1395" s="5" t="s">
        <v>490</v>
      </c>
      <c r="P1395" s="5">
        <v>0</v>
      </c>
      <c r="Q1395" s="5">
        <v>0</v>
      </c>
      <c r="R1395" s="5" t="str">
        <f t="shared" si="259"/>
        <v>14.3-2023-06-30</v>
      </c>
    </row>
    <row r="1396" spans="1:18" x14ac:dyDescent="0.3">
      <c r="A1396" s="25" t="s">
        <v>352</v>
      </c>
      <c r="B1396" s="23" t="s">
        <v>353</v>
      </c>
      <c r="C1396" s="5" t="s">
        <v>124</v>
      </c>
      <c r="D1396" s="5" t="s">
        <v>8</v>
      </c>
      <c r="E1396" s="5" t="s">
        <v>9</v>
      </c>
      <c r="F1396" s="6">
        <v>45291</v>
      </c>
      <c r="G1396" s="16">
        <f t="shared" si="264"/>
        <v>2023</v>
      </c>
      <c r="H1396" s="6" t="str">
        <f t="shared" si="263"/>
        <v>Diciembre</v>
      </c>
      <c r="I1396" s="6" t="str">
        <f>IF(OR(H1396="Enero",H1396="Febrero",H1396="Marzo",H1396="Abril",H1396="Mayo",H1396="Junio"),G1396&amp;"-1",IF(OR(H1396="Julio",H1396="Agosto",H1396="Septiembre",H1396="Octubre",H1396="Noviembre",H1396="Diciembre"),G1396&amp;"-2"))</f>
        <v>2023-2</v>
      </c>
      <c r="J1396" s="5">
        <v>48891</v>
      </c>
      <c r="K1396" s="5">
        <v>48047</v>
      </c>
      <c r="L1396" s="15">
        <f t="shared" si="265"/>
        <v>0.98273710907938061</v>
      </c>
      <c r="M1396" s="15">
        <f t="shared" si="266"/>
        <v>0.98273710907938061</v>
      </c>
      <c r="N1396" s="5" t="s">
        <v>490</v>
      </c>
      <c r="O1396" s="5" t="s">
        <v>490</v>
      </c>
      <c r="P1396" s="5">
        <v>0</v>
      </c>
      <c r="Q1396" s="5">
        <v>0</v>
      </c>
      <c r="R1396" s="5" t="str">
        <f t="shared" si="259"/>
        <v>14.3-2023-12-31</v>
      </c>
    </row>
    <row r="1397" spans="1:18" x14ac:dyDescent="0.3">
      <c r="A1397" s="25" t="s">
        <v>352</v>
      </c>
      <c r="B1397" s="23" t="s">
        <v>353</v>
      </c>
      <c r="C1397" s="5" t="s">
        <v>124</v>
      </c>
      <c r="D1397" s="5" t="s">
        <v>8</v>
      </c>
      <c r="E1397" s="5" t="s">
        <v>9</v>
      </c>
      <c r="F1397" s="6">
        <v>45473</v>
      </c>
      <c r="G1397" s="5">
        <f t="shared" si="264"/>
        <v>2024</v>
      </c>
      <c r="H1397" s="5" t="str">
        <f t="shared" si="263"/>
        <v>Junio</v>
      </c>
      <c r="I1397" s="6" t="str">
        <f>IF(OR(H1397="Enero",H1397="Febrero",H1397="Marzo",H1397="Abril",H1397="Mayo",H1397="Junio"),G1397&amp;"-1",IF(OR(H1397="Julio",H1397="Agosto",H1397="Septiembre",H1397="Octubre",H1397="Noviembre",H1397="Diciembre"),G1397&amp;"-2"))</f>
        <v>2024-1</v>
      </c>
      <c r="J1397" s="5">
        <v>49310</v>
      </c>
      <c r="K1397" s="5">
        <v>49100</v>
      </c>
      <c r="L1397" s="15">
        <f t="shared" si="265"/>
        <v>0.99574122895964312</v>
      </c>
      <c r="M1397" s="15">
        <f t="shared" si="266"/>
        <v>0.99574122895964312</v>
      </c>
      <c r="N1397" s="5" t="s">
        <v>490</v>
      </c>
      <c r="O1397" s="5" t="s">
        <v>490</v>
      </c>
      <c r="P1397" s="5">
        <v>0</v>
      </c>
      <c r="Q1397" s="5">
        <v>0</v>
      </c>
      <c r="R1397" s="5" t="str">
        <f t="shared" si="259"/>
        <v>14.3-2024-06-30</v>
      </c>
    </row>
    <row r="1398" spans="1:18" x14ac:dyDescent="0.3">
      <c r="A1398" s="25" t="s">
        <v>354</v>
      </c>
      <c r="B1398" s="23" t="s">
        <v>355</v>
      </c>
      <c r="C1398" s="5" t="s">
        <v>124</v>
      </c>
      <c r="D1398" s="5" t="s">
        <v>8</v>
      </c>
      <c r="E1398" s="5" t="s">
        <v>9</v>
      </c>
      <c r="F1398" s="6">
        <v>44742</v>
      </c>
      <c r="G1398" s="16">
        <f t="shared" si="264"/>
        <v>2022</v>
      </c>
      <c r="H1398" s="6" t="str">
        <f t="shared" si="263"/>
        <v>Junio</v>
      </c>
      <c r="I1398" s="41" t="s">
        <v>426</v>
      </c>
      <c r="J1398" s="5">
        <v>2408</v>
      </c>
      <c r="K1398" s="5">
        <v>2398</v>
      </c>
      <c r="L1398" s="15">
        <f>IFERROR(IF((K1398/J1398)&gt;1.3,1.3,K1398/J1398),"")</f>
        <v>0.99584717607973416</v>
      </c>
      <c r="M1398" s="15">
        <f t="shared" si="266"/>
        <v>0.99584717607973416</v>
      </c>
      <c r="N1398" s="5" t="s">
        <v>490</v>
      </c>
      <c r="O1398" s="5" t="s">
        <v>490</v>
      </c>
      <c r="P1398" s="5">
        <v>0</v>
      </c>
      <c r="Q1398" s="5">
        <v>0</v>
      </c>
      <c r="R1398" s="5" t="str">
        <f t="shared" si="259"/>
        <v>14.4-2022-06-30</v>
      </c>
    </row>
    <row r="1399" spans="1:18" x14ac:dyDescent="0.3">
      <c r="A1399" s="25" t="s">
        <v>354</v>
      </c>
      <c r="B1399" s="23" t="s">
        <v>355</v>
      </c>
      <c r="C1399" s="5" t="s">
        <v>124</v>
      </c>
      <c r="D1399" s="5" t="s">
        <v>8</v>
      </c>
      <c r="E1399" s="5" t="s">
        <v>9</v>
      </c>
      <c r="F1399" s="6">
        <v>44925</v>
      </c>
      <c r="G1399" s="16">
        <f t="shared" si="264"/>
        <v>2022</v>
      </c>
      <c r="H1399" s="6" t="str">
        <f t="shared" si="263"/>
        <v>Diciembre</v>
      </c>
      <c r="I1399" s="41" t="s">
        <v>423</v>
      </c>
      <c r="J1399" s="5">
        <v>2230</v>
      </c>
      <c r="K1399" s="5">
        <v>2610</v>
      </c>
      <c r="L1399" s="15">
        <f>IFERROR(IF((K1399/J1399)&gt;1.3,1.3,K1399/J1399),"")</f>
        <v>1.1704035874439462</v>
      </c>
      <c r="M1399" s="15">
        <f t="shared" si="266"/>
        <v>1.1704035874439462</v>
      </c>
      <c r="N1399" s="5" t="s">
        <v>490</v>
      </c>
      <c r="O1399" s="5" t="s">
        <v>490</v>
      </c>
      <c r="P1399" s="5">
        <v>0</v>
      </c>
      <c r="Q1399" s="5">
        <v>0</v>
      </c>
      <c r="R1399" s="5" t="str">
        <f t="shared" si="259"/>
        <v>14.4-2022-12-30</v>
      </c>
    </row>
    <row r="1400" spans="1:18" x14ac:dyDescent="0.3">
      <c r="A1400" s="25" t="s">
        <v>354</v>
      </c>
      <c r="B1400" s="23" t="s">
        <v>355</v>
      </c>
      <c r="C1400" s="5" t="s">
        <v>124</v>
      </c>
      <c r="D1400" s="5" t="s">
        <v>8</v>
      </c>
      <c r="E1400" s="5" t="s">
        <v>9</v>
      </c>
      <c r="F1400" s="6">
        <v>45107</v>
      </c>
      <c r="G1400" s="16">
        <f t="shared" si="264"/>
        <v>2023</v>
      </c>
      <c r="H1400" s="6" t="str">
        <f t="shared" si="263"/>
        <v>Junio</v>
      </c>
      <c r="I1400" s="41" t="s">
        <v>422</v>
      </c>
      <c r="J1400" s="5">
        <v>2726</v>
      </c>
      <c r="K1400" s="5">
        <v>2990</v>
      </c>
      <c r="L1400" s="15">
        <f>IFERROR(IF((K1400/J1400)&gt;1.3,1.3,K1400/J1400),"")</f>
        <v>1.0968451944240645</v>
      </c>
      <c r="M1400" s="15">
        <f t="shared" si="266"/>
        <v>1.0968451944240645</v>
      </c>
      <c r="N1400" s="5" t="s">
        <v>490</v>
      </c>
      <c r="O1400" s="5" t="s">
        <v>490</v>
      </c>
      <c r="P1400" s="5">
        <v>0</v>
      </c>
      <c r="Q1400" s="5">
        <v>0</v>
      </c>
      <c r="R1400" s="5" t="str">
        <f t="shared" si="259"/>
        <v>14.4-2023-06-30</v>
      </c>
    </row>
    <row r="1401" spans="1:18" x14ac:dyDescent="0.3">
      <c r="A1401" s="25" t="s">
        <v>354</v>
      </c>
      <c r="B1401" s="23" t="s">
        <v>355</v>
      </c>
      <c r="C1401" s="5" t="s">
        <v>124</v>
      </c>
      <c r="D1401" s="5" t="s">
        <v>8</v>
      </c>
      <c r="E1401" s="5" t="s">
        <v>9</v>
      </c>
      <c r="F1401" s="6">
        <v>45291</v>
      </c>
      <c r="G1401" s="16">
        <f t="shared" si="264"/>
        <v>2023</v>
      </c>
      <c r="H1401" s="6" t="str">
        <f t="shared" si="263"/>
        <v>Diciembre</v>
      </c>
      <c r="I1401" s="6" t="str">
        <f>IF(OR(H1401="Enero",H1401="Febrero",H1401="Marzo",H1401="Abril",H1401="Mayo",H1401="Junio"),G1401&amp;"-1",IF(OR(H1401="Julio",H1401="Agosto",H1401="Septiembre",H1401="Octubre",H1401="Noviembre",H1401="Diciembre"),G1401&amp;"-2"))</f>
        <v>2023-2</v>
      </c>
      <c r="J1401" s="5">
        <v>2796</v>
      </c>
      <c r="K1401" s="5">
        <v>3328</v>
      </c>
      <c r="L1401" s="15">
        <f>IFERROR(IF((K1401/J1401)&gt;1.3,1.3,K1401/J1401),"")</f>
        <v>1.1902718168812589</v>
      </c>
      <c r="M1401" s="15">
        <f t="shared" si="266"/>
        <v>1.1902718168812589</v>
      </c>
      <c r="N1401" s="5" t="s">
        <v>490</v>
      </c>
      <c r="O1401" s="5" t="s">
        <v>490</v>
      </c>
      <c r="P1401" s="5">
        <v>0</v>
      </c>
      <c r="Q1401" s="5">
        <v>0</v>
      </c>
      <c r="R1401" s="5" t="str">
        <f t="shared" si="259"/>
        <v>14.4-2023-12-31</v>
      </c>
    </row>
    <row r="1402" spans="1:18" x14ac:dyDescent="0.3">
      <c r="A1402" s="25" t="s">
        <v>354</v>
      </c>
      <c r="B1402" s="23" t="s">
        <v>355</v>
      </c>
      <c r="C1402" s="5" t="s">
        <v>124</v>
      </c>
      <c r="D1402" s="5" t="s">
        <v>8</v>
      </c>
      <c r="E1402" s="5" t="s">
        <v>9</v>
      </c>
      <c r="F1402" s="6">
        <v>45473</v>
      </c>
      <c r="G1402" s="5">
        <f t="shared" si="264"/>
        <v>2024</v>
      </c>
      <c r="H1402" s="5" t="str">
        <f t="shared" si="263"/>
        <v>Junio</v>
      </c>
      <c r="I1402" s="6" t="str">
        <f>IF(OR(H1402="Enero",H1402="Febrero",H1402="Marzo",H1402="Abril",H1402="Mayo",H1402="Junio"),G1402&amp;"-1",IF(OR(H1402="Julio",H1402="Agosto",H1402="Septiembre",H1402="Octubre",H1402="Noviembre",H1402="Diciembre"),G1402&amp;"-2"))</f>
        <v>2024-1</v>
      </c>
      <c r="J1402" s="5">
        <v>3093</v>
      </c>
      <c r="K1402" s="5">
        <v>3485</v>
      </c>
      <c r="L1402" s="15">
        <f>IFERROR(IF((K1402/J1402)&gt;1.3,1.3,K1402/J1402),"")</f>
        <v>1.1267377950210151</v>
      </c>
      <c r="M1402" s="15">
        <f t="shared" si="266"/>
        <v>1.1267377950210151</v>
      </c>
      <c r="N1402" s="5" t="s">
        <v>490</v>
      </c>
      <c r="O1402" s="5" t="s">
        <v>490</v>
      </c>
      <c r="P1402" s="5">
        <v>0</v>
      </c>
      <c r="Q1402" s="5">
        <v>0</v>
      </c>
      <c r="R1402" s="5" t="str">
        <f t="shared" si="259"/>
        <v>14.4-2024-06-30</v>
      </c>
    </row>
    <row r="1403" spans="1:18" x14ac:dyDescent="0.3">
      <c r="A1403" s="5" t="s">
        <v>429</v>
      </c>
      <c r="B1403" s="5" t="s">
        <v>430</v>
      </c>
      <c r="C1403" s="5" t="s">
        <v>209</v>
      </c>
      <c r="D1403" s="5" t="s">
        <v>8</v>
      </c>
      <c r="E1403" s="5" t="s">
        <v>9</v>
      </c>
      <c r="F1403" s="17">
        <v>44926</v>
      </c>
      <c r="G1403" s="16">
        <f t="shared" si="264"/>
        <v>2022</v>
      </c>
      <c r="H1403" s="6" t="str">
        <f t="shared" si="263"/>
        <v>Diciembre</v>
      </c>
      <c r="I1403" s="41" t="s">
        <v>423</v>
      </c>
      <c r="J1403" s="5">
        <v>6</v>
      </c>
      <c r="K1403" s="5">
        <v>2</v>
      </c>
      <c r="L1403" s="15">
        <f>IFERROR(K1403/J1403,"")</f>
        <v>0.33333333333333331</v>
      </c>
      <c r="M1403" s="15">
        <f t="shared" ref="M1403:M1415" si="267">IFERROR(K1403/J1403,"")</f>
        <v>0.33333333333333331</v>
      </c>
      <c r="N1403" s="5" t="s">
        <v>490</v>
      </c>
      <c r="O1403" s="5" t="s">
        <v>490</v>
      </c>
      <c r="P1403" s="5">
        <v>0</v>
      </c>
      <c r="Q1403" s="5">
        <v>0</v>
      </c>
      <c r="R1403" s="5" t="str">
        <f t="shared" si="259"/>
        <v>325.1-2022-12-31</v>
      </c>
    </row>
    <row r="1404" spans="1:18" x14ac:dyDescent="0.3">
      <c r="A1404" s="5" t="s">
        <v>429</v>
      </c>
      <c r="B1404" s="5" t="s">
        <v>430</v>
      </c>
      <c r="C1404" s="5" t="s">
        <v>209</v>
      </c>
      <c r="D1404" s="5" t="s">
        <v>8</v>
      </c>
      <c r="E1404" s="5" t="s">
        <v>9</v>
      </c>
      <c r="F1404" s="6">
        <v>45290</v>
      </c>
      <c r="G1404" s="16">
        <f t="shared" si="264"/>
        <v>2023</v>
      </c>
      <c r="H1404" s="6" t="str">
        <f t="shared" si="263"/>
        <v>Diciembre</v>
      </c>
      <c r="I1404" s="41" t="s">
        <v>422</v>
      </c>
      <c r="J1404" s="5">
        <v>1</v>
      </c>
      <c r="K1404" s="5">
        <v>1</v>
      </c>
      <c r="L1404" s="15">
        <f>IFERROR(K1404/J1404,"")</f>
        <v>1</v>
      </c>
      <c r="M1404" s="15">
        <f t="shared" si="267"/>
        <v>1</v>
      </c>
      <c r="N1404" s="5" t="s">
        <v>490</v>
      </c>
      <c r="O1404" s="5" t="s">
        <v>490</v>
      </c>
      <c r="P1404" s="5">
        <v>0</v>
      </c>
      <c r="Q1404" s="5">
        <v>0</v>
      </c>
      <c r="R1404" s="5" t="str">
        <f t="shared" si="259"/>
        <v>325.1-2023-12-30</v>
      </c>
    </row>
    <row r="1405" spans="1:18" x14ac:dyDescent="0.3">
      <c r="A1405" s="5" t="s">
        <v>429</v>
      </c>
      <c r="B1405" s="5" t="s">
        <v>430</v>
      </c>
      <c r="C1405" s="5" t="s">
        <v>209</v>
      </c>
      <c r="D1405" s="5" t="s">
        <v>8</v>
      </c>
      <c r="E1405" s="5" t="s">
        <v>9</v>
      </c>
      <c r="F1405" s="6">
        <v>45656</v>
      </c>
      <c r="G1405" s="16">
        <f t="shared" si="264"/>
        <v>2024</v>
      </c>
      <c r="H1405" s="6" t="str">
        <f t="shared" si="263"/>
        <v>Diciembre</v>
      </c>
      <c r="I1405" s="6" t="str">
        <f>IF(OR(H1405="Enero",H1405="Febrero",H1405="Marzo",H1405="Abril",H1405="Mayo",H1405="Junio"),G1405&amp;"-1",IF(OR(H1405="Julio",H1405="Agosto",H1405="Septiembre",H1405="Octubre",H1405="Noviembre",H1405="Diciembre"),G1405&amp;"-2"))</f>
        <v>2024-2</v>
      </c>
      <c r="J1405" s="5">
        <v>0</v>
      </c>
      <c r="K1405" s="5">
        <v>0</v>
      </c>
      <c r="L1405" s="15">
        <v>0</v>
      </c>
      <c r="M1405" s="15" t="str">
        <f t="shared" si="267"/>
        <v/>
      </c>
      <c r="N1405" s="5" t="s">
        <v>417</v>
      </c>
      <c r="O1405" s="5" t="s">
        <v>417</v>
      </c>
      <c r="P1405" s="5">
        <v>0</v>
      </c>
      <c r="Q1405" s="5">
        <v>0</v>
      </c>
      <c r="R1405" s="5" t="str">
        <f t="shared" si="259"/>
        <v>325.1-2024-12-30</v>
      </c>
    </row>
    <row r="1406" spans="1:18" x14ac:dyDescent="0.3">
      <c r="A1406" s="5" t="s">
        <v>431</v>
      </c>
      <c r="B1406" s="5" t="s">
        <v>432</v>
      </c>
      <c r="C1406" s="5" t="s">
        <v>209</v>
      </c>
      <c r="D1406" s="5" t="s">
        <v>8</v>
      </c>
      <c r="E1406" s="5" t="s">
        <v>9</v>
      </c>
      <c r="F1406" s="17">
        <v>44926</v>
      </c>
      <c r="G1406" s="16">
        <f t="shared" si="264"/>
        <v>2022</v>
      </c>
      <c r="H1406" s="6" t="str">
        <f t="shared" si="263"/>
        <v>Diciembre</v>
      </c>
      <c r="I1406" s="6" t="str">
        <f>IF(OR(H1406="Enero",H1406="Febrero",H1406="Marzo",H1406="Abril",H1406="Mayo",H1406="Junio"),G1406&amp;"-1",IF(OR(H1406="Julio",H1406="Agosto",H1406="Septiembre",H1406="Octubre",H1406="Noviembre",H1406="Diciembre"),G1406&amp;"-2"))</f>
        <v>2022-2</v>
      </c>
      <c r="J1406" s="5">
        <v>2</v>
      </c>
      <c r="K1406" s="5">
        <v>2</v>
      </c>
      <c r="L1406" s="15">
        <f>IFERROR(K1406/J1406,"")</f>
        <v>1</v>
      </c>
      <c r="M1406" s="15">
        <f t="shared" si="267"/>
        <v>1</v>
      </c>
      <c r="N1406" s="5" t="s">
        <v>490</v>
      </c>
      <c r="O1406" s="5" t="s">
        <v>490</v>
      </c>
      <c r="P1406" s="5">
        <v>0</v>
      </c>
      <c r="Q1406" s="5">
        <v>0</v>
      </c>
      <c r="R1406" s="5" t="str">
        <f t="shared" si="259"/>
        <v>325.2-2022-12-31</v>
      </c>
    </row>
    <row r="1407" spans="1:18" x14ac:dyDescent="0.3">
      <c r="A1407" s="5" t="s">
        <v>431</v>
      </c>
      <c r="B1407" s="5" t="s">
        <v>432</v>
      </c>
      <c r="C1407" s="5" t="s">
        <v>209</v>
      </c>
      <c r="D1407" s="5" t="s">
        <v>8</v>
      </c>
      <c r="E1407" s="5" t="s">
        <v>9</v>
      </c>
      <c r="F1407" s="17">
        <v>45291</v>
      </c>
      <c r="G1407" s="16">
        <f t="shared" si="264"/>
        <v>2023</v>
      </c>
      <c r="H1407" s="6" t="str">
        <f t="shared" si="263"/>
        <v>Diciembre</v>
      </c>
      <c r="I1407" s="6" t="str">
        <f>IF(OR(H1407="Enero",H1407="Febrero",H1407="Marzo",H1407="Abril",H1407="Mayo",H1407="Junio"),G1407&amp;"-1",IF(OR(H1407="Julio",H1407="Agosto",H1407="Septiembre",H1407="Octubre",H1407="Noviembre",H1407="Diciembre"),G1407&amp;"-2"))</f>
        <v>2023-2</v>
      </c>
      <c r="J1407" s="5">
        <v>1</v>
      </c>
      <c r="K1407" s="5">
        <v>1</v>
      </c>
      <c r="L1407" s="15">
        <f>IFERROR(K1407/J1407,"")</f>
        <v>1</v>
      </c>
      <c r="M1407" s="15">
        <f t="shared" si="267"/>
        <v>1</v>
      </c>
      <c r="N1407" s="5" t="s">
        <v>490</v>
      </c>
      <c r="O1407" s="5" t="s">
        <v>490</v>
      </c>
      <c r="P1407" s="5">
        <v>0</v>
      </c>
      <c r="Q1407" s="5">
        <v>0</v>
      </c>
      <c r="R1407" s="5" t="str">
        <f t="shared" si="259"/>
        <v>325.2-2023-12-31</v>
      </c>
    </row>
    <row r="1408" spans="1:18" x14ac:dyDescent="0.3">
      <c r="A1408" s="5" t="s">
        <v>431</v>
      </c>
      <c r="B1408" s="5" t="s">
        <v>432</v>
      </c>
      <c r="C1408" s="5" t="s">
        <v>209</v>
      </c>
      <c r="D1408" s="5" t="s">
        <v>8</v>
      </c>
      <c r="E1408" s="5" t="s">
        <v>9</v>
      </c>
      <c r="F1408" s="17">
        <v>45657</v>
      </c>
      <c r="G1408" s="16">
        <f t="shared" si="264"/>
        <v>2024</v>
      </c>
      <c r="H1408" s="6" t="str">
        <f t="shared" si="263"/>
        <v>Diciembre</v>
      </c>
      <c r="I1408" s="6" t="str">
        <f>IF(OR(H1408="Enero",H1408="Febrero",H1408="Marzo",H1408="Abril",H1408="Mayo",H1408="Junio"),G1408&amp;"-1",IF(OR(H1408="Julio",H1408="Agosto",H1408="Septiembre",H1408="Octubre",H1408="Noviembre",H1408="Diciembre"),G1408&amp;"-2"))</f>
        <v>2024-2</v>
      </c>
      <c r="J1408" s="5">
        <v>5</v>
      </c>
      <c r="K1408" s="5">
        <v>5</v>
      </c>
      <c r="L1408" s="15">
        <f>IFERROR(K1408/J1408,"")</f>
        <v>1</v>
      </c>
      <c r="M1408" s="15">
        <f t="shared" si="267"/>
        <v>1</v>
      </c>
      <c r="N1408" s="5" t="s">
        <v>490</v>
      </c>
      <c r="O1408" s="5" t="s">
        <v>490</v>
      </c>
      <c r="P1408" s="5">
        <v>0</v>
      </c>
      <c r="Q1408" s="5">
        <v>0</v>
      </c>
      <c r="R1408" s="5" t="str">
        <f t="shared" si="259"/>
        <v>325.2-2024-12-31</v>
      </c>
    </row>
    <row r="1409" spans="1:18" x14ac:dyDescent="0.3">
      <c r="A1409" s="26" t="s">
        <v>356</v>
      </c>
      <c r="B1409" s="23" t="s">
        <v>359</v>
      </c>
      <c r="C1409" s="5" t="s">
        <v>274</v>
      </c>
      <c r="D1409" s="5" t="s">
        <v>8</v>
      </c>
      <c r="E1409" s="5" t="s">
        <v>9</v>
      </c>
      <c r="F1409" s="6">
        <v>45107</v>
      </c>
      <c r="G1409" s="16">
        <f t="shared" si="264"/>
        <v>2023</v>
      </c>
      <c r="H1409" s="6" t="str">
        <f t="shared" si="263"/>
        <v>Junio</v>
      </c>
      <c r="I1409" s="41" t="s">
        <v>422</v>
      </c>
      <c r="J1409" s="11">
        <v>240.869</v>
      </c>
      <c r="K1409" s="11">
        <v>883.81096500000001</v>
      </c>
      <c r="L1409" s="15">
        <f t="shared" ref="L1409:L1415" si="268">IFERROR(IF((K1409/J1409)&gt;1.3,1.3,K1409/J1409),"")</f>
        <v>1.3</v>
      </c>
      <c r="M1409" s="15">
        <f t="shared" si="267"/>
        <v>3.6692599089131437</v>
      </c>
      <c r="N1409" s="5"/>
      <c r="O1409" s="5"/>
      <c r="P1409" s="5">
        <v>0</v>
      </c>
      <c r="Q1409" s="5">
        <v>0</v>
      </c>
      <c r="R1409" s="5" t="str">
        <f t="shared" si="259"/>
        <v>386.1-2023-06-30</v>
      </c>
    </row>
    <row r="1410" spans="1:18" x14ac:dyDescent="0.3">
      <c r="A1410" s="26" t="s">
        <v>356</v>
      </c>
      <c r="B1410" s="23" t="s">
        <v>359</v>
      </c>
      <c r="C1410" s="5" t="s">
        <v>274</v>
      </c>
      <c r="D1410" s="5" t="s">
        <v>8</v>
      </c>
      <c r="E1410" s="5" t="s">
        <v>9</v>
      </c>
      <c r="F1410" s="6">
        <v>45291</v>
      </c>
      <c r="G1410" s="16">
        <f t="shared" si="264"/>
        <v>2023</v>
      </c>
      <c r="H1410" s="6" t="str">
        <f t="shared" si="263"/>
        <v>Diciembre</v>
      </c>
      <c r="I1410" s="6" t="str">
        <f>IF(OR(H1410="Enero",H1410="Febrero",H1410="Marzo",H1410="Abril",H1410="Mayo",H1410="Junio"),G1410&amp;"-1",IF(OR(H1410="Julio",H1410="Agosto",H1410="Septiembre",H1410="Octubre",H1410="Noviembre",H1410="Diciembre"),G1410&amp;"-2"))</f>
        <v>2023-2</v>
      </c>
      <c r="J1410" s="11">
        <v>1116.9090000000001</v>
      </c>
      <c r="K1410" s="11">
        <v>2896.1173829999998</v>
      </c>
      <c r="L1410" s="15">
        <f t="shared" si="268"/>
        <v>1.3</v>
      </c>
      <c r="M1410" s="15">
        <f t="shared" si="267"/>
        <v>2.5929752405970401</v>
      </c>
      <c r="N1410" s="5"/>
      <c r="O1410" s="5"/>
      <c r="P1410" s="5">
        <v>0</v>
      </c>
      <c r="Q1410" s="5">
        <v>0</v>
      </c>
      <c r="R1410" s="5" t="str">
        <f t="shared" si="259"/>
        <v>386.1-2023-12-31</v>
      </c>
    </row>
    <row r="1411" spans="1:18" x14ac:dyDescent="0.3">
      <c r="A1411" s="26" t="s">
        <v>356</v>
      </c>
      <c r="B1411" s="23" t="s">
        <v>359</v>
      </c>
      <c r="C1411" s="5" t="s">
        <v>274</v>
      </c>
      <c r="D1411" s="5" t="s">
        <v>8</v>
      </c>
      <c r="E1411" s="5" t="s">
        <v>9</v>
      </c>
      <c r="F1411" s="6">
        <v>45473</v>
      </c>
      <c r="G1411" s="5">
        <f t="shared" si="264"/>
        <v>2024</v>
      </c>
      <c r="H1411" s="5" t="str">
        <f t="shared" si="263"/>
        <v>Junio</v>
      </c>
      <c r="I1411" s="6" t="str">
        <f>IF(OR(H1411="Enero",H1411="Febrero",H1411="Marzo",H1411="Abril",H1411="Mayo",H1411="Junio"),G1411&amp;"-1",IF(OR(H1411="Julio",H1411="Agosto",H1411="Septiembre",H1411="Octubre",H1411="Noviembre",H1411="Diciembre"),G1411&amp;"-2"))</f>
        <v>2024-1</v>
      </c>
      <c r="J1411" s="11">
        <v>817.70707000000004</v>
      </c>
      <c r="K1411" s="11">
        <v>1076.3764839999999</v>
      </c>
      <c r="L1411" s="15">
        <f t="shared" si="268"/>
        <v>1.3</v>
      </c>
      <c r="M1411" s="15">
        <f t="shared" si="267"/>
        <v>1.3163350587148523</v>
      </c>
      <c r="N1411" s="5" t="s">
        <v>474</v>
      </c>
      <c r="O1411" s="5" t="s">
        <v>474</v>
      </c>
      <c r="P1411" s="5">
        <v>0</v>
      </c>
      <c r="Q1411" s="5">
        <v>0</v>
      </c>
      <c r="R1411" s="5" t="str">
        <f t="shared" si="259"/>
        <v>386.1-2024-06-30</v>
      </c>
    </row>
    <row r="1412" spans="1:18" x14ac:dyDescent="0.3">
      <c r="A1412" s="26" t="s">
        <v>356</v>
      </c>
      <c r="B1412" s="23" t="s">
        <v>359</v>
      </c>
      <c r="C1412" s="5" t="s">
        <v>274</v>
      </c>
      <c r="D1412" s="5" t="s">
        <v>8</v>
      </c>
      <c r="E1412" s="5" t="s">
        <v>9</v>
      </c>
      <c r="F1412" s="6">
        <v>45657</v>
      </c>
      <c r="G1412" s="5">
        <f t="shared" si="264"/>
        <v>2024</v>
      </c>
      <c r="H1412" s="5" t="str">
        <f t="shared" si="263"/>
        <v>Diciembre</v>
      </c>
      <c r="I1412" s="6" t="str">
        <f>IF(OR(H1412="Enero",H1412="Febrero",H1412="Marzo",H1412="Abril",H1412="Mayo",H1412="Junio"),G1412&amp;"-1",IF(OR(H1412="Julio",H1412="Agosto",H1412="Septiembre",H1412="Octubre",H1412="Noviembre",H1412="Diciembre"),G1412&amp;"-2"))</f>
        <v>2024-2</v>
      </c>
      <c r="J1412" s="11">
        <v>2606.5003261999996</v>
      </c>
      <c r="K1412" s="11">
        <v>3617.8366060000003</v>
      </c>
      <c r="L1412" s="15">
        <f t="shared" si="268"/>
        <v>1.3</v>
      </c>
      <c r="M1412" s="15">
        <f t="shared" si="267"/>
        <v>1.3880054299760711</v>
      </c>
      <c r="N1412" s="5" t="s">
        <v>474</v>
      </c>
      <c r="O1412" s="5" t="s">
        <v>474</v>
      </c>
      <c r="P1412" s="5">
        <v>0</v>
      </c>
      <c r="Q1412" s="5">
        <v>0</v>
      </c>
      <c r="R1412" s="5" t="str">
        <f t="shared" si="259"/>
        <v>386.1-2024-12-31</v>
      </c>
    </row>
    <row r="1413" spans="1:18" x14ac:dyDescent="0.3">
      <c r="A1413" s="26" t="s">
        <v>357</v>
      </c>
      <c r="B1413" s="23" t="s">
        <v>360</v>
      </c>
      <c r="C1413" s="5" t="s">
        <v>274</v>
      </c>
      <c r="D1413" s="5" t="s">
        <v>8</v>
      </c>
      <c r="E1413" s="5" t="s">
        <v>9</v>
      </c>
      <c r="F1413" s="6">
        <v>45107</v>
      </c>
      <c r="G1413" s="16">
        <f t="shared" si="264"/>
        <v>2023</v>
      </c>
      <c r="H1413" s="6" t="str">
        <f t="shared" si="263"/>
        <v>Junio</v>
      </c>
      <c r="I1413" s="41" t="s">
        <v>422</v>
      </c>
      <c r="J1413" s="11">
        <v>2268.5070000000001</v>
      </c>
      <c r="K1413" s="11">
        <v>2406.8934370000002</v>
      </c>
      <c r="L1413" s="15">
        <f t="shared" si="268"/>
        <v>1.0610033105474217</v>
      </c>
      <c r="M1413" s="15">
        <f t="shared" si="267"/>
        <v>1.0610033105474217</v>
      </c>
      <c r="N1413" s="5"/>
      <c r="O1413" s="5"/>
      <c r="P1413" s="5">
        <v>0</v>
      </c>
      <c r="Q1413" s="5">
        <v>0</v>
      </c>
      <c r="R1413" s="5" t="str">
        <f t="shared" si="259"/>
        <v>386.2-2023-06-30</v>
      </c>
    </row>
    <row r="1414" spans="1:18" x14ac:dyDescent="0.3">
      <c r="A1414" s="26" t="s">
        <v>357</v>
      </c>
      <c r="B1414" s="23" t="s">
        <v>360</v>
      </c>
      <c r="C1414" s="5" t="s">
        <v>274</v>
      </c>
      <c r="D1414" s="5" t="s">
        <v>8</v>
      </c>
      <c r="E1414" s="5" t="s">
        <v>9</v>
      </c>
      <c r="F1414" s="6">
        <v>45291</v>
      </c>
      <c r="G1414" s="16">
        <f t="shared" si="264"/>
        <v>2023</v>
      </c>
      <c r="H1414" s="6" t="str">
        <f t="shared" si="263"/>
        <v>Diciembre</v>
      </c>
      <c r="I1414" s="6" t="str">
        <f>IF(OR(H1414="Enero",H1414="Febrero",H1414="Marzo",H1414="Abril",H1414="Mayo",H1414="Junio"),G1414&amp;"-1",IF(OR(H1414="Julio",H1414="Agosto",H1414="Septiembre",H1414="Octubre",H1414="Noviembre",H1414="Diciembre"),G1414&amp;"-2"))</f>
        <v>2023-2</v>
      </c>
      <c r="J1414" s="11">
        <v>4813.4959999999992</v>
      </c>
      <c r="K1414" s="11">
        <v>7461.524879999999</v>
      </c>
      <c r="L1414" s="15">
        <f t="shared" si="268"/>
        <v>1.3</v>
      </c>
      <c r="M1414" s="15">
        <f t="shared" si="267"/>
        <v>1.5501259126422875</v>
      </c>
      <c r="N1414" s="5"/>
      <c r="O1414" s="5"/>
      <c r="P1414" s="5">
        <v>0</v>
      </c>
      <c r="Q1414" s="5">
        <v>0</v>
      </c>
      <c r="R1414" s="5" t="str">
        <f t="shared" si="259"/>
        <v>386.2-2023-12-31</v>
      </c>
    </row>
    <row r="1415" spans="1:18" x14ac:dyDescent="0.3">
      <c r="A1415" s="26" t="s">
        <v>357</v>
      </c>
      <c r="B1415" s="23" t="s">
        <v>360</v>
      </c>
      <c r="C1415" s="5" t="s">
        <v>274</v>
      </c>
      <c r="D1415" s="5" t="s">
        <v>8</v>
      </c>
      <c r="E1415" s="5" t="s">
        <v>9</v>
      </c>
      <c r="F1415" s="6">
        <v>45473</v>
      </c>
      <c r="G1415" s="5">
        <f t="shared" si="264"/>
        <v>2024</v>
      </c>
      <c r="H1415" s="5" t="str">
        <f t="shared" si="263"/>
        <v>Junio</v>
      </c>
      <c r="I1415" s="6" t="str">
        <f>IF(OR(H1415="Enero",H1415="Febrero",H1415="Marzo",H1415="Abril",H1415="Mayo",H1415="Junio"),G1415&amp;"-1",IF(OR(H1415="Julio",H1415="Agosto",H1415="Septiembre",H1415="Octubre",H1415="Noviembre",H1415="Diciembre"),G1415&amp;"-2"))</f>
        <v>2024-1</v>
      </c>
      <c r="J1415" s="11">
        <v>2674.9657400000001</v>
      </c>
      <c r="K1415" s="11">
        <v>2915.5557789999998</v>
      </c>
      <c r="L1415" s="15">
        <f t="shared" si="268"/>
        <v>1.0899413534171094</v>
      </c>
      <c r="M1415" s="15">
        <f t="shared" si="267"/>
        <v>1.0899413534171094</v>
      </c>
      <c r="N1415" s="5" t="s">
        <v>474</v>
      </c>
      <c r="O1415" s="5" t="s">
        <v>474</v>
      </c>
      <c r="P1415" s="5">
        <v>0</v>
      </c>
      <c r="Q1415" s="5">
        <v>0</v>
      </c>
      <c r="R1415" s="5" t="str">
        <f t="shared" si="259"/>
        <v>386.2-2024-06-30</v>
      </c>
    </row>
    <row r="1416" spans="1:18" x14ac:dyDescent="0.3">
      <c r="A1416" s="26" t="s">
        <v>357</v>
      </c>
      <c r="B1416" s="23" t="s">
        <v>360</v>
      </c>
      <c r="C1416" s="5" t="s">
        <v>274</v>
      </c>
      <c r="D1416" s="5" t="s">
        <v>8</v>
      </c>
      <c r="E1416" s="5" t="s">
        <v>9</v>
      </c>
      <c r="F1416" s="6">
        <v>45657</v>
      </c>
      <c r="G1416" s="5">
        <f t="shared" si="264"/>
        <v>2024</v>
      </c>
      <c r="H1416" s="5" t="str">
        <f t="shared" si="263"/>
        <v>Diciembre</v>
      </c>
      <c r="I1416" s="6" t="str">
        <f>IF(OR(H1416="Enero",H1416="Febrero",H1416="Marzo",H1416="Abril",H1416="Mayo",H1416="Junio"),G1416&amp;"-1",IF(OR(H1416="Julio",H1416="Agosto",H1416="Septiembre",H1416="Octubre",H1416="Noviembre",H1416="Diciembre"),G1416&amp;"-2"))</f>
        <v>2024-2</v>
      </c>
      <c r="J1416" s="11">
        <v>5036.1600211000004</v>
      </c>
      <c r="K1416" s="11">
        <v>1255.1302300000002</v>
      </c>
      <c r="L1416" s="15">
        <v>1.0899413534171094</v>
      </c>
      <c r="M1416" s="15">
        <v>1.0899413534171094</v>
      </c>
      <c r="N1416" s="5" t="s">
        <v>474</v>
      </c>
      <c r="O1416" s="5" t="s">
        <v>474</v>
      </c>
      <c r="P1416" s="5">
        <v>0</v>
      </c>
      <c r="Q1416" s="5">
        <v>0</v>
      </c>
      <c r="R1416" s="5" t="str">
        <f t="shared" si="259"/>
        <v>386.2-2024-12-31</v>
      </c>
    </row>
    <row r="1417" spans="1:18" x14ac:dyDescent="0.3">
      <c r="A1417" s="26" t="s">
        <v>358</v>
      </c>
      <c r="B1417" s="23" t="s">
        <v>361</v>
      </c>
      <c r="C1417" s="5" t="s">
        <v>274</v>
      </c>
      <c r="D1417" s="5" t="s">
        <v>8</v>
      </c>
      <c r="E1417" s="5" t="s">
        <v>9</v>
      </c>
      <c r="F1417" s="6">
        <v>45107</v>
      </c>
      <c r="G1417" s="16">
        <f t="shared" si="264"/>
        <v>2023</v>
      </c>
      <c r="H1417" s="6" t="str">
        <f t="shared" si="263"/>
        <v>Junio</v>
      </c>
      <c r="I1417" s="41" t="s">
        <v>422</v>
      </c>
      <c r="J1417" s="11">
        <v>2805.83</v>
      </c>
      <c r="K1417" s="11">
        <v>2183.1533570000001</v>
      </c>
      <c r="L1417" s="15">
        <f>IFERROR(IF((K1417/J1417)&gt;1.3,1.3,K1417/J1417),"")</f>
        <v>0.77807755886849883</v>
      </c>
      <c r="M1417" s="15">
        <f>IFERROR(K1417/J1417,"")</f>
        <v>0.77807755886849883</v>
      </c>
      <c r="N1417" s="5"/>
      <c r="O1417" s="5"/>
      <c r="P1417" s="5">
        <v>0</v>
      </c>
      <c r="Q1417" s="5">
        <v>0</v>
      </c>
      <c r="R1417" s="5" t="str">
        <f t="shared" si="259"/>
        <v>386.3-2023-06-30</v>
      </c>
    </row>
    <row r="1418" spans="1:18" x14ac:dyDescent="0.3">
      <c r="A1418" s="26" t="s">
        <v>358</v>
      </c>
      <c r="B1418" s="23" t="s">
        <v>361</v>
      </c>
      <c r="C1418" s="5" t="s">
        <v>274</v>
      </c>
      <c r="D1418" s="5" t="s">
        <v>8</v>
      </c>
      <c r="E1418" s="5" t="s">
        <v>9</v>
      </c>
      <c r="F1418" s="6">
        <v>45291</v>
      </c>
      <c r="G1418" s="16">
        <f t="shared" si="264"/>
        <v>2023</v>
      </c>
      <c r="H1418" s="6" t="str">
        <f t="shared" si="263"/>
        <v>Diciembre</v>
      </c>
      <c r="I1418" s="6" t="str">
        <f t="shared" ref="I1418:I1427" si="269">IF(OR(H1418="Enero",H1418="Febrero",H1418="Marzo",H1418="Abril",H1418="Mayo",H1418="Junio"),G1418&amp;"-1",IF(OR(H1418="Julio",H1418="Agosto",H1418="Septiembre",H1418="Octubre",H1418="Noviembre",H1418="Diciembre"),G1418&amp;"-2"))</f>
        <v>2023-2</v>
      </c>
      <c r="J1418" s="11">
        <v>2852.1099999999997</v>
      </c>
      <c r="K1418" s="11">
        <v>1865.5805049999999</v>
      </c>
      <c r="L1418" s="15">
        <f>IFERROR(IF((K1418/J1418)&gt;1.3,1.3,K1418/J1418),"")</f>
        <v>0.65410538338282886</v>
      </c>
      <c r="M1418" s="15">
        <f>IFERROR(K1418/J1418,"")</f>
        <v>0.65410538338282886</v>
      </c>
      <c r="N1418" s="5"/>
      <c r="O1418" s="5"/>
      <c r="P1418" s="5">
        <v>0</v>
      </c>
      <c r="Q1418" s="5">
        <v>0</v>
      </c>
      <c r="R1418" s="5" t="str">
        <f t="shared" si="259"/>
        <v>386.3-2023-12-31</v>
      </c>
    </row>
    <row r="1419" spans="1:18" x14ac:dyDescent="0.3">
      <c r="A1419" s="26" t="s">
        <v>358</v>
      </c>
      <c r="B1419" s="23" t="s">
        <v>361</v>
      </c>
      <c r="C1419" s="5" t="s">
        <v>274</v>
      </c>
      <c r="D1419" s="5" t="s">
        <v>8</v>
      </c>
      <c r="E1419" s="5" t="s">
        <v>9</v>
      </c>
      <c r="F1419" s="6">
        <v>45473</v>
      </c>
      <c r="G1419" s="5">
        <f t="shared" si="264"/>
        <v>2024</v>
      </c>
      <c r="H1419" s="5" t="str">
        <f t="shared" si="263"/>
        <v>Junio</v>
      </c>
      <c r="I1419" s="6" t="str">
        <f t="shared" si="269"/>
        <v>2024-1</v>
      </c>
      <c r="J1419" s="11">
        <v>1948.7860350000001</v>
      </c>
      <c r="K1419" s="11">
        <v>2190.9297999999999</v>
      </c>
      <c r="L1419" s="15">
        <f t="shared" ref="L1419" si="270">IFERROR(IF((K1419/J1419)&gt;1.3,1.3,K1419/J1419),"")</f>
        <v>1.1242536433713719</v>
      </c>
      <c r="M1419" s="15">
        <f t="shared" ref="M1419" si="271">IFERROR(K1419/J1419,"")</f>
        <v>1.1242536433713719</v>
      </c>
      <c r="N1419" s="5" t="s">
        <v>474</v>
      </c>
      <c r="O1419" s="5" t="s">
        <v>474</v>
      </c>
      <c r="P1419" s="5">
        <v>0</v>
      </c>
      <c r="Q1419" s="5">
        <v>0</v>
      </c>
      <c r="R1419" s="5" t="str">
        <f t="shared" si="259"/>
        <v>386.3-2024-06-30</v>
      </c>
    </row>
    <row r="1420" spans="1:18" x14ac:dyDescent="0.3">
      <c r="A1420" s="26" t="s">
        <v>358</v>
      </c>
      <c r="B1420" s="23" t="s">
        <v>361</v>
      </c>
      <c r="C1420" s="5" t="s">
        <v>274</v>
      </c>
      <c r="D1420" s="5" t="s">
        <v>8</v>
      </c>
      <c r="E1420" s="5" t="s">
        <v>9</v>
      </c>
      <c r="F1420" s="6">
        <v>45657</v>
      </c>
      <c r="G1420" s="5">
        <f t="shared" si="264"/>
        <v>2024</v>
      </c>
      <c r="H1420" s="5" t="str">
        <f t="shared" si="263"/>
        <v>Diciembre</v>
      </c>
      <c r="I1420" s="6" t="str">
        <f t="shared" si="269"/>
        <v>2024-2</v>
      </c>
      <c r="J1420" s="83">
        <v>2423.3739076999991</v>
      </c>
      <c r="K1420" s="11">
        <v>2187.3099499999998</v>
      </c>
      <c r="L1420" s="15">
        <v>1.1242536433713719</v>
      </c>
      <c r="M1420" s="15">
        <v>1.1242536433713719</v>
      </c>
      <c r="N1420" s="5" t="s">
        <v>474</v>
      </c>
      <c r="O1420" s="5" t="s">
        <v>474</v>
      </c>
      <c r="P1420" s="5">
        <v>0</v>
      </c>
      <c r="Q1420" s="5">
        <v>0</v>
      </c>
      <c r="R1420" s="5" t="str">
        <f t="shared" ref="R1420:R1483" si="272">A1420&amp;"-"&amp;YEAR(F1420)&amp;"-"&amp;IF(LEN(MONTH(F1420))=1,"0"&amp;MONTH(F1420),MONTH(F1420))&amp;"-"&amp;DAY(F1420)</f>
        <v>386.3-2024-12-31</v>
      </c>
    </row>
    <row r="1421" spans="1:18" x14ac:dyDescent="0.3">
      <c r="A1421" s="5">
        <v>77</v>
      </c>
      <c r="B1421" s="5" t="s">
        <v>16</v>
      </c>
      <c r="C1421" s="5" t="s">
        <v>17</v>
      </c>
      <c r="D1421" s="5" t="s">
        <v>18</v>
      </c>
      <c r="E1421" s="5" t="s">
        <v>9</v>
      </c>
      <c r="F1421" s="6">
        <v>45473</v>
      </c>
      <c r="G1421" s="5">
        <f t="shared" si="264"/>
        <v>2024</v>
      </c>
      <c r="H1421" s="5" t="str">
        <f t="shared" si="263"/>
        <v>Junio</v>
      </c>
      <c r="I1421" s="6" t="str">
        <f t="shared" si="269"/>
        <v>2024-1</v>
      </c>
      <c r="J1421" s="5">
        <v>97</v>
      </c>
      <c r="K1421" s="10">
        <v>98.33</v>
      </c>
      <c r="L1421" s="15">
        <f t="shared" ref="L1421:L1427" si="273">IFERROR(IF((K1421/J1421)&gt;1.3,1.3,K1421/J1421),"")</f>
        <v>1.0137113402061855</v>
      </c>
      <c r="M1421" s="15">
        <f t="shared" ref="M1421:M1428" si="274">IFERROR(K1421/J1421,"")</f>
        <v>1.0137113402061855</v>
      </c>
      <c r="N1421" s="5" t="s">
        <v>347</v>
      </c>
      <c r="O1421" s="5" t="s">
        <v>347</v>
      </c>
      <c r="P1421" s="5">
        <v>1</v>
      </c>
      <c r="Q1421" s="5">
        <v>1</v>
      </c>
      <c r="R1421" s="5" t="str">
        <f t="shared" si="272"/>
        <v>77-2024-06-30</v>
      </c>
    </row>
    <row r="1422" spans="1:18" x14ac:dyDescent="0.3">
      <c r="A1422" s="5">
        <v>77</v>
      </c>
      <c r="B1422" s="5" t="s">
        <v>16</v>
      </c>
      <c r="C1422" s="5" t="s">
        <v>17</v>
      </c>
      <c r="D1422" s="5" t="s">
        <v>18</v>
      </c>
      <c r="E1422" s="5" t="s">
        <v>9</v>
      </c>
      <c r="F1422" s="6">
        <v>45657</v>
      </c>
      <c r="G1422" s="5">
        <f t="shared" si="264"/>
        <v>2024</v>
      </c>
      <c r="H1422" s="5" t="str">
        <f t="shared" si="263"/>
        <v>Diciembre</v>
      </c>
      <c r="I1422" s="6" t="str">
        <f t="shared" si="269"/>
        <v>2024-2</v>
      </c>
      <c r="J1422" s="5">
        <v>97</v>
      </c>
      <c r="K1422" s="10">
        <v>96.53</v>
      </c>
      <c r="L1422" s="15">
        <f t="shared" si="273"/>
        <v>0.9951546391752577</v>
      </c>
      <c r="M1422" s="15">
        <f t="shared" si="274"/>
        <v>0.9951546391752577</v>
      </c>
      <c r="N1422" s="5" t="s">
        <v>347</v>
      </c>
      <c r="O1422" s="5" t="s">
        <v>347</v>
      </c>
      <c r="P1422" s="5">
        <v>1</v>
      </c>
      <c r="Q1422" s="5">
        <v>1</v>
      </c>
      <c r="R1422" s="5" t="str">
        <f t="shared" si="272"/>
        <v>77-2024-12-31</v>
      </c>
    </row>
    <row r="1423" spans="1:18" x14ac:dyDescent="0.3">
      <c r="A1423" s="5">
        <v>96</v>
      </c>
      <c r="B1423" s="23" t="s">
        <v>346</v>
      </c>
      <c r="C1423" s="5" t="s">
        <v>59</v>
      </c>
      <c r="D1423" s="5" t="s">
        <v>8</v>
      </c>
      <c r="E1423" s="5" t="s">
        <v>9</v>
      </c>
      <c r="F1423" s="6">
        <v>45657</v>
      </c>
      <c r="G1423" s="5">
        <f t="shared" si="264"/>
        <v>2024</v>
      </c>
      <c r="H1423" s="5" t="str">
        <f t="shared" si="263"/>
        <v>Diciembre</v>
      </c>
      <c r="I1423" s="6" t="str">
        <f t="shared" si="269"/>
        <v>2024-2</v>
      </c>
      <c r="J1423" s="5">
        <v>336</v>
      </c>
      <c r="K1423" s="5">
        <v>272</v>
      </c>
      <c r="L1423" s="15">
        <f t="shared" si="273"/>
        <v>0.80952380952380953</v>
      </c>
      <c r="M1423" s="15">
        <f t="shared" si="274"/>
        <v>0.80952380952380953</v>
      </c>
      <c r="N1423" s="5" t="s">
        <v>490</v>
      </c>
      <c r="O1423" s="5" t="s">
        <v>490</v>
      </c>
      <c r="P1423" s="5">
        <v>0</v>
      </c>
      <c r="Q1423" s="5">
        <v>0</v>
      </c>
      <c r="R1423" s="5" t="str">
        <f t="shared" si="272"/>
        <v>96-2024-12-31</v>
      </c>
    </row>
    <row r="1424" spans="1:18" x14ac:dyDescent="0.3">
      <c r="A1424" s="5">
        <v>97</v>
      </c>
      <c r="B1424" s="5" t="s">
        <v>430</v>
      </c>
      <c r="C1424" s="5" t="s">
        <v>315</v>
      </c>
      <c r="D1424" s="5" t="s">
        <v>8</v>
      </c>
      <c r="E1424" s="5" t="s">
        <v>9</v>
      </c>
      <c r="F1424" s="17">
        <v>45473</v>
      </c>
      <c r="G1424" s="16">
        <f t="shared" si="264"/>
        <v>2024</v>
      </c>
      <c r="H1424" s="6" t="str">
        <f t="shared" si="263"/>
        <v>Junio</v>
      </c>
      <c r="I1424" s="6" t="str">
        <f t="shared" si="269"/>
        <v>2024-1</v>
      </c>
      <c r="J1424" s="5">
        <v>0</v>
      </c>
      <c r="K1424" s="5">
        <v>0</v>
      </c>
      <c r="L1424" s="15" t="str">
        <f t="shared" si="273"/>
        <v/>
      </c>
      <c r="M1424" s="15" t="str">
        <f t="shared" si="274"/>
        <v/>
      </c>
      <c r="N1424" s="5" t="s">
        <v>417</v>
      </c>
      <c r="O1424" s="5" t="s">
        <v>417</v>
      </c>
      <c r="P1424" s="5">
        <v>0</v>
      </c>
      <c r="Q1424" s="5">
        <v>0</v>
      </c>
      <c r="R1424" s="5" t="str">
        <f t="shared" si="272"/>
        <v>97-2024-06-30</v>
      </c>
    </row>
    <row r="1425" spans="1:18" x14ac:dyDescent="0.3">
      <c r="A1425" s="5">
        <v>97</v>
      </c>
      <c r="B1425" s="5" t="s">
        <v>430</v>
      </c>
      <c r="C1425" s="5" t="s">
        <v>315</v>
      </c>
      <c r="D1425" s="5" t="s">
        <v>8</v>
      </c>
      <c r="E1425" s="5" t="s">
        <v>9</v>
      </c>
      <c r="F1425" s="17">
        <v>45657</v>
      </c>
      <c r="G1425" s="16">
        <f t="shared" si="264"/>
        <v>2024</v>
      </c>
      <c r="H1425" s="6" t="str">
        <f t="shared" si="263"/>
        <v>Diciembre</v>
      </c>
      <c r="I1425" s="6" t="str">
        <f t="shared" si="269"/>
        <v>2024-2</v>
      </c>
      <c r="J1425" s="5">
        <v>0</v>
      </c>
      <c r="K1425" s="5">
        <v>0</v>
      </c>
      <c r="L1425" s="15" t="str">
        <f t="shared" si="273"/>
        <v/>
      </c>
      <c r="M1425" s="15" t="str">
        <f t="shared" si="274"/>
        <v/>
      </c>
      <c r="N1425" s="5" t="s">
        <v>417</v>
      </c>
      <c r="O1425" s="5" t="s">
        <v>417</v>
      </c>
      <c r="P1425" s="5">
        <v>0</v>
      </c>
      <c r="Q1425" s="5">
        <v>0</v>
      </c>
      <c r="R1425" s="5" t="str">
        <f t="shared" si="272"/>
        <v>97-2024-12-31</v>
      </c>
    </row>
    <row r="1426" spans="1:18" x14ac:dyDescent="0.3">
      <c r="A1426" s="5">
        <v>98</v>
      </c>
      <c r="B1426" s="5" t="s">
        <v>432</v>
      </c>
      <c r="C1426" s="5" t="s">
        <v>315</v>
      </c>
      <c r="D1426" s="5" t="s">
        <v>8</v>
      </c>
      <c r="E1426" s="5" t="s">
        <v>9</v>
      </c>
      <c r="F1426" s="17">
        <v>45473</v>
      </c>
      <c r="G1426" s="16">
        <f t="shared" si="264"/>
        <v>2024</v>
      </c>
      <c r="H1426" s="6" t="str">
        <f t="shared" si="263"/>
        <v>Junio</v>
      </c>
      <c r="I1426" s="6" t="str">
        <f t="shared" si="269"/>
        <v>2024-1</v>
      </c>
      <c r="J1426" s="5">
        <v>0</v>
      </c>
      <c r="K1426" s="5">
        <v>0</v>
      </c>
      <c r="L1426" s="15" t="str">
        <f t="shared" si="273"/>
        <v/>
      </c>
      <c r="M1426" s="15" t="str">
        <f t="shared" si="274"/>
        <v/>
      </c>
      <c r="N1426" s="5"/>
      <c r="O1426" s="5"/>
      <c r="P1426" s="5">
        <v>0</v>
      </c>
      <c r="Q1426" s="5">
        <v>0</v>
      </c>
      <c r="R1426" s="5" t="str">
        <f t="shared" si="272"/>
        <v>98-2024-06-30</v>
      </c>
    </row>
    <row r="1427" spans="1:18" x14ac:dyDescent="0.3">
      <c r="A1427" s="5">
        <v>98</v>
      </c>
      <c r="B1427" s="5" t="s">
        <v>432</v>
      </c>
      <c r="C1427" s="5" t="s">
        <v>315</v>
      </c>
      <c r="D1427" s="5" t="s">
        <v>8</v>
      </c>
      <c r="E1427" s="5" t="s">
        <v>9</v>
      </c>
      <c r="F1427" s="17">
        <v>45657</v>
      </c>
      <c r="G1427" s="16">
        <f t="shared" si="264"/>
        <v>2024</v>
      </c>
      <c r="H1427" s="6" t="str">
        <f t="shared" si="263"/>
        <v>Diciembre</v>
      </c>
      <c r="I1427" s="6" t="str">
        <f t="shared" si="269"/>
        <v>2024-2</v>
      </c>
      <c r="J1427" s="5">
        <v>5</v>
      </c>
      <c r="K1427" s="5">
        <v>5</v>
      </c>
      <c r="L1427" s="15">
        <f t="shared" si="273"/>
        <v>1</v>
      </c>
      <c r="M1427" s="15">
        <f t="shared" si="274"/>
        <v>1</v>
      </c>
      <c r="N1427" s="5" t="s">
        <v>490</v>
      </c>
      <c r="O1427" s="5" t="s">
        <v>490</v>
      </c>
      <c r="P1427" s="5">
        <v>0</v>
      </c>
      <c r="Q1427" s="5">
        <v>0</v>
      </c>
      <c r="R1427" s="5" t="str">
        <f t="shared" si="272"/>
        <v>98-2024-12-31</v>
      </c>
    </row>
    <row r="1428" spans="1:18" x14ac:dyDescent="0.3">
      <c r="A1428" s="39">
        <v>136</v>
      </c>
      <c r="B1428" s="5" t="s">
        <v>54</v>
      </c>
      <c r="C1428" s="5" t="s">
        <v>55</v>
      </c>
      <c r="D1428" s="5" t="s">
        <v>8</v>
      </c>
      <c r="E1428" s="5" t="s">
        <v>9</v>
      </c>
      <c r="F1428" s="6">
        <v>45473</v>
      </c>
      <c r="G1428" s="5">
        <f t="shared" si="264"/>
        <v>2024</v>
      </c>
      <c r="H1428" s="5" t="str">
        <f t="shared" si="263"/>
        <v>Junio</v>
      </c>
      <c r="I1428" s="6" t="str">
        <f t="shared" ref="I1428" si="275">IF(OR(H1428="Enero",H1428="Febrero",H1428="Marzo",H1428="Abril",H1428="Mayo",H1428="Junio"),G1428&amp;"-1",IF(OR(H1428="Julio",H1428="Agosto",H1428="Septiembre",H1428="Octubre",H1428="Noviembre",H1428="Diciembre"),G1428&amp;"-2"))</f>
        <v>2024-1</v>
      </c>
      <c r="J1428" s="5">
        <v>90</v>
      </c>
      <c r="K1428" s="5">
        <v>95.24</v>
      </c>
      <c r="L1428" s="8">
        <f>IFERROR(K1428/J1428,"")</f>
        <v>1.0582222222222222</v>
      </c>
      <c r="M1428" s="15">
        <f t="shared" si="274"/>
        <v>1.0582222222222222</v>
      </c>
      <c r="N1428" s="5" t="s">
        <v>347</v>
      </c>
      <c r="O1428" s="5" t="s">
        <v>347</v>
      </c>
      <c r="P1428" s="5">
        <v>0</v>
      </c>
      <c r="Q1428" s="5">
        <v>0</v>
      </c>
      <c r="R1428" s="5" t="str">
        <f t="shared" si="272"/>
        <v>136-2024-06-30</v>
      </c>
    </row>
    <row r="1429" spans="1:18" x14ac:dyDescent="0.3">
      <c r="A1429" s="25" t="s">
        <v>348</v>
      </c>
      <c r="B1429" s="23" t="s">
        <v>349</v>
      </c>
      <c r="C1429" s="5" t="s">
        <v>124</v>
      </c>
      <c r="D1429" s="5" t="s">
        <v>8</v>
      </c>
      <c r="E1429" s="5" t="s">
        <v>9</v>
      </c>
      <c r="F1429" s="6">
        <v>45657</v>
      </c>
      <c r="G1429" s="5">
        <f t="shared" ref="G1429:G1432" si="276">YEAR(F1429)</f>
        <v>2024</v>
      </c>
      <c r="H1429" s="5" t="str">
        <f t="shared" ref="H1429:H1432" si="277">PROPER(TEXT(F1429,"mmmm"))</f>
        <v>Diciembre</v>
      </c>
      <c r="I1429" s="6" t="str">
        <f>IF(OR(H1429="Enero",H1429="Febrero",H1429="Marzo",H1429="Abril",H1429="Mayo",H1429="Junio"),G1429&amp;"-1",IF(OR(H1429="Julio",H1429="Agosto",H1429="Septiembre",H1429="Octubre",H1429="Noviembre",H1429="Diciembre"),G1429&amp;"-2"))</f>
        <v>2024-2</v>
      </c>
      <c r="J1429" s="5">
        <v>7912</v>
      </c>
      <c r="K1429" s="5">
        <v>8165</v>
      </c>
      <c r="L1429" s="15">
        <f>IFERROR(IF((K1429/J1429)&gt;1.3,1.3,K1429/J1429),"")</f>
        <v>1.0319767441860466</v>
      </c>
      <c r="M1429" s="15">
        <f>IFERROR(K1429/J1429,"")</f>
        <v>1.0319767441860466</v>
      </c>
      <c r="N1429" s="5" t="s">
        <v>490</v>
      </c>
      <c r="O1429" s="5" t="s">
        <v>490</v>
      </c>
      <c r="P1429" s="5">
        <v>0</v>
      </c>
      <c r="Q1429" s="5">
        <v>0</v>
      </c>
      <c r="R1429" s="5" t="str">
        <f t="shared" si="272"/>
        <v>14.1-2024-12-31</v>
      </c>
    </row>
    <row r="1430" spans="1:18" x14ac:dyDescent="0.3">
      <c r="A1430" s="25" t="s">
        <v>350</v>
      </c>
      <c r="B1430" s="23" t="s">
        <v>351</v>
      </c>
      <c r="C1430" s="5" t="s">
        <v>124</v>
      </c>
      <c r="D1430" s="5" t="s">
        <v>8</v>
      </c>
      <c r="E1430" s="5" t="s">
        <v>9</v>
      </c>
      <c r="F1430" s="6">
        <v>45657</v>
      </c>
      <c r="G1430" s="5">
        <f t="shared" si="276"/>
        <v>2024</v>
      </c>
      <c r="H1430" s="5" t="str">
        <f t="shared" si="277"/>
        <v>Diciembre</v>
      </c>
      <c r="I1430" s="6" t="str">
        <f>IF(OR(H1430="Enero",H1430="Febrero",H1430="Marzo",H1430="Abril",H1430="Mayo",H1430="Junio"),G1430&amp;"-1",IF(OR(H1430="Julio",H1430="Agosto",H1430="Septiembre",H1430="Octubre",H1430="Noviembre",H1430="Diciembre"),G1430&amp;"-2"))</f>
        <v>2024-2</v>
      </c>
      <c r="J1430" s="5">
        <v>43204</v>
      </c>
      <c r="K1430" s="5">
        <v>43840</v>
      </c>
      <c r="L1430" s="15">
        <f t="shared" ref="L1430:L1431" si="278">IFERROR(IF((K1430/J1430)&gt;1.3,1.3,K1430/J1430),"")</f>
        <v>1.0147208591797057</v>
      </c>
      <c r="M1430" s="15">
        <f t="shared" ref="M1430" si="279">IFERROR(K1430/J1430,"")</f>
        <v>1.0147208591797057</v>
      </c>
      <c r="N1430" s="5" t="s">
        <v>490</v>
      </c>
      <c r="O1430" s="5" t="s">
        <v>490</v>
      </c>
      <c r="P1430" s="5">
        <v>0</v>
      </c>
      <c r="Q1430" s="5">
        <v>0</v>
      </c>
      <c r="R1430" s="5" t="str">
        <f t="shared" si="272"/>
        <v>14.2-2024-12-31</v>
      </c>
    </row>
    <row r="1431" spans="1:18" x14ac:dyDescent="0.3">
      <c r="A1431" s="25" t="s">
        <v>352</v>
      </c>
      <c r="B1431" s="23" t="s">
        <v>353</v>
      </c>
      <c r="C1431" s="5" t="s">
        <v>124</v>
      </c>
      <c r="D1431" s="5" t="s">
        <v>8</v>
      </c>
      <c r="E1431" s="5" t="s">
        <v>9</v>
      </c>
      <c r="F1431" s="6">
        <v>45657</v>
      </c>
      <c r="G1431" s="5">
        <f t="shared" si="276"/>
        <v>2024</v>
      </c>
      <c r="H1431" s="5" t="str">
        <f t="shared" si="277"/>
        <v>Diciembre</v>
      </c>
      <c r="I1431" s="6" t="str">
        <f>IF(OR(H1431="Enero",H1431="Febrero",H1431="Marzo",H1431="Abril",H1431="Mayo",H1431="Junio"),G1431&amp;"-1",IF(OR(H1431="Julio",H1431="Agosto",H1431="Septiembre",H1431="Octubre",H1431="Noviembre",H1431="Diciembre"),G1431&amp;"-2"))</f>
        <v>2024-2</v>
      </c>
      <c r="J1431" s="5">
        <v>48061</v>
      </c>
      <c r="K1431" s="5">
        <v>48339</v>
      </c>
      <c r="L1431" s="15">
        <f t="shared" si="278"/>
        <v>1.0057843157653814</v>
      </c>
      <c r="M1431" s="15">
        <f>IFERROR(K1431/J1431,"")</f>
        <v>1.0057843157653814</v>
      </c>
      <c r="N1431" s="5" t="s">
        <v>490</v>
      </c>
      <c r="O1431" s="5" t="s">
        <v>490</v>
      </c>
      <c r="P1431" s="5">
        <v>0</v>
      </c>
      <c r="Q1431" s="5">
        <v>0</v>
      </c>
      <c r="R1431" s="5" t="str">
        <f t="shared" si="272"/>
        <v>14.3-2024-12-31</v>
      </c>
    </row>
    <row r="1432" spans="1:18" x14ac:dyDescent="0.3">
      <c r="A1432" s="25" t="s">
        <v>354</v>
      </c>
      <c r="B1432" s="23" t="s">
        <v>355</v>
      </c>
      <c r="C1432" s="5" t="s">
        <v>124</v>
      </c>
      <c r="D1432" s="5" t="s">
        <v>8</v>
      </c>
      <c r="E1432" s="5" t="s">
        <v>9</v>
      </c>
      <c r="F1432" s="6">
        <v>45657</v>
      </c>
      <c r="G1432" s="16">
        <f t="shared" si="276"/>
        <v>2024</v>
      </c>
      <c r="H1432" s="6" t="str">
        <f t="shared" si="277"/>
        <v>Diciembre</v>
      </c>
      <c r="I1432" s="6" t="str">
        <f>IF(OR(H1432="Enero",H1432="Febrero",H1432="Marzo",H1432="Abril",H1432="Mayo",H1432="Junio"),G1432&amp;"-1",IF(OR(H1432="Julio",H1432="Agosto",H1432="Septiembre",H1432="Octubre",H1432="Noviembre",H1432="Diciembre"),G1432&amp;"-2"))</f>
        <v>2024-2</v>
      </c>
      <c r="J1432" s="5">
        <v>3055</v>
      </c>
      <c r="K1432" s="5">
        <v>3666</v>
      </c>
      <c r="L1432" s="15">
        <f>IFERROR(IF((K1432/J1432)&gt;1.3,1.3,K1432/J1432),"")</f>
        <v>1.2</v>
      </c>
      <c r="M1432" s="15">
        <f>IFERROR(K1432/J1432,"")</f>
        <v>1.2</v>
      </c>
      <c r="N1432" s="5" t="s">
        <v>490</v>
      </c>
      <c r="O1432" s="5" t="s">
        <v>490</v>
      </c>
      <c r="P1432" s="5">
        <v>0</v>
      </c>
      <c r="Q1432" s="5">
        <v>0</v>
      </c>
      <c r="R1432" s="5" t="str">
        <f t="shared" si="272"/>
        <v>14.4-2024-12-31</v>
      </c>
    </row>
    <row r="1433" spans="1:18" x14ac:dyDescent="0.3">
      <c r="A1433" s="26">
        <v>900</v>
      </c>
      <c r="B1433" s="23" t="s">
        <v>531</v>
      </c>
      <c r="C1433" s="5" t="s">
        <v>160</v>
      </c>
      <c r="D1433" s="5" t="s">
        <v>18</v>
      </c>
      <c r="E1433" s="5" t="s">
        <v>9</v>
      </c>
      <c r="F1433" s="6">
        <v>45657</v>
      </c>
      <c r="G1433" s="16">
        <f t="shared" ref="G1433" si="280">YEAR(F1433)</f>
        <v>2024</v>
      </c>
      <c r="H1433" s="6" t="str">
        <f t="shared" ref="H1433" si="281">PROPER(TEXT(F1433,"mmmm"))</f>
        <v>Diciembre</v>
      </c>
      <c r="I1433" s="6" t="str">
        <f>IF(OR(H1433="Enero",H1433="Febrero",H1433="Marzo",H1433="Abril",H1433="Mayo",H1433="Junio"),G1433&amp;"-1",IF(OR(H1433="Julio",H1433="Agosto",H1433="Septiembre",H1433="Octubre",H1433="Noviembre",H1433="Diciembre"),G1433&amp;"-2"))</f>
        <v>2024-2</v>
      </c>
      <c r="J1433" s="11">
        <v>100</v>
      </c>
      <c r="K1433" s="11">
        <v>100</v>
      </c>
      <c r="L1433" s="15">
        <f>IFERROR(IF((K1433/J1433)&gt;1.3,1.3,K1433/J1433),"")</f>
        <v>1</v>
      </c>
      <c r="M1433" s="15">
        <f>IFERROR(K1433/J1433,"")</f>
        <v>1</v>
      </c>
      <c r="N1433" s="5" t="s">
        <v>347</v>
      </c>
      <c r="O1433" s="5" t="s">
        <v>347</v>
      </c>
      <c r="P1433" s="5">
        <v>0</v>
      </c>
      <c r="Q1433" s="5">
        <v>0</v>
      </c>
      <c r="R1433" s="5" t="str">
        <f t="shared" si="272"/>
        <v>900-2024-12-31</v>
      </c>
    </row>
    <row r="1434" spans="1:18" x14ac:dyDescent="0.3">
      <c r="A1434" s="5">
        <v>518</v>
      </c>
      <c r="B1434" s="5" t="s">
        <v>19</v>
      </c>
      <c r="C1434" s="5" t="s">
        <v>20</v>
      </c>
      <c r="D1434" s="5" t="s">
        <v>21</v>
      </c>
      <c r="E1434" s="5" t="s">
        <v>9</v>
      </c>
      <c r="F1434" s="6">
        <v>45107</v>
      </c>
      <c r="G1434" s="16">
        <f t="shared" ref="G1434:G1467" si="282">YEAR(F1434)</f>
        <v>2023</v>
      </c>
      <c r="H1434" s="6" t="str">
        <f t="shared" ref="H1434:H1497" si="283">PROPER(TEXT(F1434,"mmmm"))</f>
        <v>Junio</v>
      </c>
      <c r="I1434" s="6" t="str">
        <f t="shared" ref="I1434:I1480" si="284">IF(OR(H1434="Enero",H1434="Febrero",H1434="Marzo",H1434="Abril",H1434="Mayo",H1434="Junio"),G1434&amp;"-1",IF(OR(H1434="Julio",H1434="Agosto",H1434="Septiembre",H1434="Octubre",H1434="Noviembre",H1434="Diciembre"),G1434&amp;"-2"))</f>
        <v>2023-1</v>
      </c>
      <c r="J1434" s="5">
        <v>100</v>
      </c>
      <c r="K1434" s="5">
        <v>100</v>
      </c>
      <c r="L1434" s="15">
        <f t="shared" ref="L1434:L1465" si="285">IFERROR(IF((K1434/J1434)&gt;1.3,1.3,K1434/J1434),"")</f>
        <v>1</v>
      </c>
      <c r="M1434" s="15">
        <f t="shared" ref="M1434:M1468" si="286">IFERROR(K1434/J1434,"")</f>
        <v>1</v>
      </c>
      <c r="N1434" s="5" t="s">
        <v>347</v>
      </c>
      <c r="O1434" s="5" t="s">
        <v>347</v>
      </c>
      <c r="P1434" s="5">
        <v>0</v>
      </c>
      <c r="Q1434" s="5">
        <v>0</v>
      </c>
      <c r="R1434" s="5" t="str">
        <f t="shared" si="272"/>
        <v>518-2023-06-30</v>
      </c>
    </row>
    <row r="1435" spans="1:18" x14ac:dyDescent="0.3">
      <c r="A1435" s="5">
        <v>518</v>
      </c>
      <c r="B1435" s="5" t="s">
        <v>19</v>
      </c>
      <c r="C1435" s="5" t="s">
        <v>20</v>
      </c>
      <c r="D1435" s="5" t="s">
        <v>21</v>
      </c>
      <c r="E1435" s="5" t="s">
        <v>9</v>
      </c>
      <c r="F1435" s="6">
        <v>45291</v>
      </c>
      <c r="G1435" s="16">
        <f t="shared" si="282"/>
        <v>2023</v>
      </c>
      <c r="H1435" s="6" t="str">
        <f t="shared" si="283"/>
        <v>Diciembre</v>
      </c>
      <c r="I1435" s="6" t="str">
        <f t="shared" si="284"/>
        <v>2023-2</v>
      </c>
      <c r="J1435" s="5">
        <v>100</v>
      </c>
      <c r="K1435" s="5">
        <v>122</v>
      </c>
      <c r="L1435" s="15">
        <f t="shared" si="285"/>
        <v>1.22</v>
      </c>
      <c r="M1435" s="15">
        <f t="shared" si="286"/>
        <v>1.22</v>
      </c>
      <c r="N1435" s="5" t="s">
        <v>347</v>
      </c>
      <c r="O1435" s="5" t="s">
        <v>347</v>
      </c>
      <c r="P1435" s="5">
        <v>0</v>
      </c>
      <c r="Q1435" s="5">
        <v>0</v>
      </c>
      <c r="R1435" s="5" t="str">
        <f t="shared" si="272"/>
        <v>518-2023-12-31</v>
      </c>
    </row>
    <row r="1436" spans="1:18" x14ac:dyDescent="0.3">
      <c r="A1436" s="5">
        <v>518</v>
      </c>
      <c r="B1436" s="5" t="s">
        <v>19</v>
      </c>
      <c r="C1436" s="5" t="s">
        <v>20</v>
      </c>
      <c r="D1436" s="5" t="s">
        <v>21</v>
      </c>
      <c r="E1436" s="5" t="s">
        <v>9</v>
      </c>
      <c r="F1436" s="6">
        <v>45473</v>
      </c>
      <c r="G1436" s="16">
        <f t="shared" si="282"/>
        <v>2024</v>
      </c>
      <c r="H1436" s="6" t="str">
        <f t="shared" si="283"/>
        <v>Junio</v>
      </c>
      <c r="I1436" s="6" t="str">
        <f t="shared" si="284"/>
        <v>2024-1</v>
      </c>
      <c r="J1436" s="5">
        <v>100</v>
      </c>
      <c r="K1436" s="5">
        <v>80</v>
      </c>
      <c r="L1436" s="15">
        <f t="shared" si="285"/>
        <v>0.8</v>
      </c>
      <c r="M1436" s="15">
        <f t="shared" si="286"/>
        <v>0.8</v>
      </c>
      <c r="N1436" s="5" t="s">
        <v>347</v>
      </c>
      <c r="O1436" s="5" t="s">
        <v>347</v>
      </c>
      <c r="P1436" s="5">
        <v>0</v>
      </c>
      <c r="Q1436" s="5">
        <v>0</v>
      </c>
      <c r="R1436" s="5" t="str">
        <f t="shared" si="272"/>
        <v>518-2024-06-30</v>
      </c>
    </row>
    <row r="1437" spans="1:18" x14ac:dyDescent="0.3">
      <c r="A1437" s="5">
        <v>518</v>
      </c>
      <c r="B1437" s="5" t="s">
        <v>19</v>
      </c>
      <c r="C1437" s="5" t="s">
        <v>20</v>
      </c>
      <c r="D1437" s="5" t="s">
        <v>21</v>
      </c>
      <c r="E1437" s="5" t="s">
        <v>9</v>
      </c>
      <c r="F1437" s="6">
        <v>45657</v>
      </c>
      <c r="G1437" s="16">
        <f t="shared" si="282"/>
        <v>2024</v>
      </c>
      <c r="H1437" s="6" t="str">
        <f t="shared" si="283"/>
        <v>Diciembre</v>
      </c>
      <c r="I1437" s="6" t="str">
        <f t="shared" si="284"/>
        <v>2024-2</v>
      </c>
      <c r="J1437" s="5">
        <v>100</v>
      </c>
      <c r="K1437" s="10">
        <v>112.5</v>
      </c>
      <c r="L1437" s="15">
        <f t="shared" si="285"/>
        <v>1.125</v>
      </c>
      <c r="M1437" s="15">
        <f t="shared" si="286"/>
        <v>1.125</v>
      </c>
      <c r="N1437" s="5" t="s">
        <v>347</v>
      </c>
      <c r="O1437" s="5" t="s">
        <v>347</v>
      </c>
      <c r="P1437" s="5">
        <v>0</v>
      </c>
      <c r="Q1437" s="5">
        <v>0</v>
      </c>
      <c r="R1437" s="5" t="str">
        <f t="shared" si="272"/>
        <v>518-2024-12-31</v>
      </c>
    </row>
    <row r="1438" spans="1:18" x14ac:dyDescent="0.3">
      <c r="A1438" s="39">
        <v>222</v>
      </c>
      <c r="B1438" s="5" t="s">
        <v>101</v>
      </c>
      <c r="C1438" s="5" t="s">
        <v>90</v>
      </c>
      <c r="D1438" s="5" t="s">
        <v>25</v>
      </c>
      <c r="E1438" s="5" t="s">
        <v>9</v>
      </c>
      <c r="F1438" s="6">
        <v>44926</v>
      </c>
      <c r="G1438" s="16">
        <f t="shared" si="282"/>
        <v>2022</v>
      </c>
      <c r="H1438" s="6" t="str">
        <f t="shared" si="283"/>
        <v>Diciembre</v>
      </c>
      <c r="I1438" s="6" t="str">
        <f t="shared" si="284"/>
        <v>2022-2</v>
      </c>
      <c r="J1438" s="5">
        <v>100</v>
      </c>
      <c r="K1438" s="5">
        <v>93.75</v>
      </c>
      <c r="L1438" s="15">
        <f t="shared" si="285"/>
        <v>0.9375</v>
      </c>
      <c r="M1438" s="15">
        <f t="shared" si="286"/>
        <v>0.9375</v>
      </c>
      <c r="N1438" s="5"/>
      <c r="O1438" s="5"/>
      <c r="P1438" s="5">
        <v>0</v>
      </c>
      <c r="Q1438" s="5">
        <v>0</v>
      </c>
      <c r="R1438" s="5" t="str">
        <f t="shared" si="272"/>
        <v>222-2022-12-31</v>
      </c>
    </row>
    <row r="1439" spans="1:18" x14ac:dyDescent="0.3">
      <c r="A1439" s="39">
        <v>226</v>
      </c>
      <c r="B1439" s="5" t="s">
        <v>104</v>
      </c>
      <c r="C1439" s="5" t="s">
        <v>90</v>
      </c>
      <c r="D1439" s="5" t="s">
        <v>25</v>
      </c>
      <c r="E1439" s="5" t="s">
        <v>9</v>
      </c>
      <c r="F1439" s="6">
        <v>44926</v>
      </c>
      <c r="G1439" s="16">
        <f t="shared" si="282"/>
        <v>2022</v>
      </c>
      <c r="H1439" s="6" t="str">
        <f t="shared" si="283"/>
        <v>Diciembre</v>
      </c>
      <c r="I1439" s="6" t="str">
        <f t="shared" si="284"/>
        <v>2022-2</v>
      </c>
      <c r="J1439" s="5">
        <v>1</v>
      </c>
      <c r="K1439" s="5">
        <v>170.99</v>
      </c>
      <c r="L1439" s="15">
        <f t="shared" si="285"/>
        <v>1.3</v>
      </c>
      <c r="M1439" s="15">
        <f t="shared" si="286"/>
        <v>170.99</v>
      </c>
      <c r="N1439" s="5" t="s">
        <v>798</v>
      </c>
      <c r="O1439" s="5" t="s">
        <v>798</v>
      </c>
      <c r="P1439" s="5">
        <v>0</v>
      </c>
      <c r="Q1439" s="5">
        <v>0</v>
      </c>
      <c r="R1439" s="5" t="str">
        <f t="shared" si="272"/>
        <v>226-2022-12-31</v>
      </c>
    </row>
    <row r="1440" spans="1:18" x14ac:dyDescent="0.3">
      <c r="A1440" s="5">
        <v>96</v>
      </c>
      <c r="B1440" s="23" t="s">
        <v>346</v>
      </c>
      <c r="C1440" s="5" t="s">
        <v>59</v>
      </c>
      <c r="D1440" s="5" t="s">
        <v>8</v>
      </c>
      <c r="E1440" s="5" t="s">
        <v>9</v>
      </c>
      <c r="F1440" s="6">
        <v>45838</v>
      </c>
      <c r="G1440" s="16">
        <f t="shared" si="282"/>
        <v>2025</v>
      </c>
      <c r="H1440" s="6" t="str">
        <f t="shared" si="283"/>
        <v>Junio</v>
      </c>
      <c r="I1440" s="6" t="str">
        <f t="shared" si="284"/>
        <v>2025-1</v>
      </c>
      <c r="J1440" s="5">
        <v>369</v>
      </c>
      <c r="K1440" s="5">
        <v>103</v>
      </c>
      <c r="L1440" s="15">
        <f t="shared" si="285"/>
        <v>0.2791327913279133</v>
      </c>
      <c r="M1440" s="15">
        <f t="shared" si="286"/>
        <v>0.2791327913279133</v>
      </c>
      <c r="N1440" s="5" t="s">
        <v>490</v>
      </c>
      <c r="O1440" s="5" t="s">
        <v>490</v>
      </c>
      <c r="P1440" s="5">
        <v>0</v>
      </c>
      <c r="Q1440" s="5">
        <v>0</v>
      </c>
      <c r="R1440" s="5" t="str">
        <f t="shared" si="272"/>
        <v>96-2025-06-30</v>
      </c>
    </row>
    <row r="1441" spans="1:18" x14ac:dyDescent="0.3">
      <c r="A1441" s="5">
        <v>194</v>
      </c>
      <c r="B1441" s="5" t="s">
        <v>75</v>
      </c>
      <c r="C1441" s="5" t="s">
        <v>74</v>
      </c>
      <c r="D1441" s="5" t="s">
        <v>8</v>
      </c>
      <c r="E1441" s="5" t="s">
        <v>9</v>
      </c>
      <c r="F1441" s="6">
        <v>45657</v>
      </c>
      <c r="G1441" s="16">
        <f t="shared" si="282"/>
        <v>2024</v>
      </c>
      <c r="H1441" s="6" t="str">
        <f t="shared" si="283"/>
        <v>Diciembre</v>
      </c>
      <c r="I1441" s="6" t="str">
        <f t="shared" si="284"/>
        <v>2024-2</v>
      </c>
      <c r="J1441" s="5">
        <v>80</v>
      </c>
      <c r="K1441" s="5">
        <v>89</v>
      </c>
      <c r="L1441" s="15">
        <f t="shared" si="285"/>
        <v>1.1125</v>
      </c>
      <c r="M1441" s="15">
        <f t="shared" si="286"/>
        <v>1.1125</v>
      </c>
      <c r="N1441" s="5" t="s">
        <v>347</v>
      </c>
      <c r="O1441" s="5" t="s">
        <v>347</v>
      </c>
      <c r="P1441" s="5">
        <v>0</v>
      </c>
      <c r="Q1441" s="5">
        <v>0</v>
      </c>
      <c r="R1441" s="5" t="str">
        <f t="shared" si="272"/>
        <v>194-2024-12-31</v>
      </c>
    </row>
    <row r="1442" spans="1:18" x14ac:dyDescent="0.3">
      <c r="A1442" s="5">
        <v>124</v>
      </c>
      <c r="B1442" s="5" t="s">
        <v>48</v>
      </c>
      <c r="C1442" s="5" t="s">
        <v>24</v>
      </c>
      <c r="D1442" s="5" t="s">
        <v>18</v>
      </c>
      <c r="E1442" s="5" t="s">
        <v>14</v>
      </c>
      <c r="F1442" s="6">
        <v>45838</v>
      </c>
      <c r="G1442" s="16">
        <f t="shared" si="282"/>
        <v>2025</v>
      </c>
      <c r="H1442" s="6" t="str">
        <f t="shared" si="283"/>
        <v>Junio</v>
      </c>
      <c r="I1442" s="6" t="str">
        <f t="shared" si="284"/>
        <v>2025-1</v>
      </c>
      <c r="J1442" s="5">
        <v>0.2</v>
      </c>
      <c r="K1442" s="5">
        <v>3.5200000000000002E-2</v>
      </c>
      <c r="L1442" s="15">
        <v>1</v>
      </c>
      <c r="M1442" s="15">
        <v>1</v>
      </c>
      <c r="N1442" s="5" t="s">
        <v>478</v>
      </c>
      <c r="O1442" s="5" t="s">
        <v>478</v>
      </c>
      <c r="P1442" s="5">
        <v>1</v>
      </c>
      <c r="Q1442" s="5">
        <v>2</v>
      </c>
      <c r="R1442" s="5" t="str">
        <f t="shared" si="272"/>
        <v>124-2025-06-30</v>
      </c>
    </row>
    <row r="1443" spans="1:18" x14ac:dyDescent="0.3">
      <c r="A1443" s="5">
        <v>172</v>
      </c>
      <c r="B1443" s="5" t="s">
        <v>70</v>
      </c>
      <c r="C1443" s="5" t="s">
        <v>45</v>
      </c>
      <c r="D1443" s="5" t="s">
        <v>18</v>
      </c>
      <c r="E1443" s="5" t="s">
        <v>9</v>
      </c>
      <c r="F1443" s="6">
        <v>45838</v>
      </c>
      <c r="G1443" s="16">
        <f t="shared" si="282"/>
        <v>2025</v>
      </c>
      <c r="H1443" s="6" t="str">
        <f t="shared" si="283"/>
        <v>Junio</v>
      </c>
      <c r="I1443" s="6" t="str">
        <f t="shared" si="284"/>
        <v>2025-1</v>
      </c>
      <c r="J1443" s="5">
        <v>95</v>
      </c>
      <c r="K1443" s="5">
        <v>81.819999999999993</v>
      </c>
      <c r="L1443" s="15">
        <f t="shared" si="285"/>
        <v>0.86126315789473673</v>
      </c>
      <c r="M1443" s="15">
        <f t="shared" si="286"/>
        <v>0.86126315789473673</v>
      </c>
      <c r="N1443" s="5" t="s">
        <v>347</v>
      </c>
      <c r="O1443" s="5" t="s">
        <v>347</v>
      </c>
      <c r="P1443" s="5">
        <v>0</v>
      </c>
      <c r="Q1443" s="5">
        <v>0</v>
      </c>
      <c r="R1443" s="5" t="str">
        <f t="shared" si="272"/>
        <v>172-2025-06-30</v>
      </c>
    </row>
    <row r="1444" spans="1:18" x14ac:dyDescent="0.3">
      <c r="A1444" s="5">
        <v>208</v>
      </c>
      <c r="B1444" s="5" t="s">
        <v>89</v>
      </c>
      <c r="C1444" s="5" t="s">
        <v>90</v>
      </c>
      <c r="D1444" s="5" t="s">
        <v>18</v>
      </c>
      <c r="E1444" s="5" t="s">
        <v>14</v>
      </c>
      <c r="F1444" s="6">
        <v>45838</v>
      </c>
      <c r="G1444" s="16">
        <f t="shared" si="282"/>
        <v>2025</v>
      </c>
      <c r="H1444" s="6" t="str">
        <f t="shared" si="283"/>
        <v>Junio</v>
      </c>
      <c r="I1444" s="6" t="str">
        <f t="shared" si="284"/>
        <v>2025-1</v>
      </c>
      <c r="J1444" s="5">
        <v>10200</v>
      </c>
      <c r="K1444" s="5">
        <v>7350.5</v>
      </c>
      <c r="L1444" s="15">
        <f>IF(K1444/J1444&lt;=1,1,K1444/J1444)</f>
        <v>1</v>
      </c>
      <c r="M1444" s="15">
        <f>IF(K1444/J1444&lt;=1,1,K1444/J1444)</f>
        <v>1</v>
      </c>
      <c r="N1444" s="5" t="s">
        <v>723</v>
      </c>
      <c r="O1444" s="5" t="s">
        <v>723</v>
      </c>
      <c r="P1444" s="5">
        <v>0</v>
      </c>
      <c r="Q1444" s="5">
        <v>0</v>
      </c>
      <c r="R1444" s="5" t="str">
        <f t="shared" si="272"/>
        <v>208-2025-06-30</v>
      </c>
    </row>
    <row r="1445" spans="1:18" x14ac:dyDescent="0.3">
      <c r="A1445" s="5">
        <v>214</v>
      </c>
      <c r="B1445" s="5" t="s">
        <v>93</v>
      </c>
      <c r="C1445" s="5" t="s">
        <v>90</v>
      </c>
      <c r="D1445" s="5" t="s">
        <v>18</v>
      </c>
      <c r="E1445" s="5" t="s">
        <v>14</v>
      </c>
      <c r="F1445" s="6">
        <v>45838</v>
      </c>
      <c r="G1445" s="16">
        <f t="shared" si="282"/>
        <v>2025</v>
      </c>
      <c r="H1445" s="6" t="str">
        <f t="shared" si="283"/>
        <v>Junio</v>
      </c>
      <c r="I1445" s="6" t="str">
        <f t="shared" si="284"/>
        <v>2025-1</v>
      </c>
      <c r="J1445" s="5">
        <f>7500*6</f>
        <v>45000</v>
      </c>
      <c r="K1445" s="5">
        <v>31436</v>
      </c>
      <c r="L1445" s="15">
        <f t="shared" ref="L1445" si="287">IFERROR(IF((J1445/K1445)&gt;1.3,1.3,J1445/K1445),"")</f>
        <v>1.3</v>
      </c>
      <c r="M1445" s="15">
        <f t="shared" si="286"/>
        <v>0.69857777777777774</v>
      </c>
      <c r="N1445" s="5" t="s">
        <v>492</v>
      </c>
      <c r="O1445" s="5" t="s">
        <v>492</v>
      </c>
      <c r="P1445" s="5">
        <v>0</v>
      </c>
      <c r="Q1445" s="5">
        <v>0</v>
      </c>
      <c r="R1445" s="5" t="str">
        <f t="shared" si="272"/>
        <v>214-2025-06-30</v>
      </c>
    </row>
    <row r="1446" spans="1:18" x14ac:dyDescent="0.3">
      <c r="A1446" s="5">
        <v>217</v>
      </c>
      <c r="B1446" s="5" t="s">
        <v>96</v>
      </c>
      <c r="C1446" s="5" t="s">
        <v>90</v>
      </c>
      <c r="D1446" s="5" t="s">
        <v>18</v>
      </c>
      <c r="E1446" s="5" t="s">
        <v>9</v>
      </c>
      <c r="F1446" s="6">
        <v>45838</v>
      </c>
      <c r="G1446" s="16">
        <f t="shared" si="282"/>
        <v>2025</v>
      </c>
      <c r="H1446" s="6" t="str">
        <f t="shared" si="283"/>
        <v>Junio</v>
      </c>
      <c r="I1446" s="6" t="str">
        <f t="shared" si="284"/>
        <v>2025-1</v>
      </c>
      <c r="J1446" s="5">
        <v>20</v>
      </c>
      <c r="K1446" s="5">
        <v>23.08</v>
      </c>
      <c r="L1446" s="15">
        <f t="shared" si="285"/>
        <v>1.1539999999999999</v>
      </c>
      <c r="M1446" s="15">
        <f t="shared" si="286"/>
        <v>1.1539999999999999</v>
      </c>
      <c r="N1446" s="5" t="s">
        <v>347</v>
      </c>
      <c r="O1446" s="5" t="s">
        <v>347</v>
      </c>
      <c r="P1446" s="5">
        <v>0</v>
      </c>
      <c r="Q1446" s="5">
        <v>0</v>
      </c>
      <c r="R1446" s="5" t="str">
        <f t="shared" si="272"/>
        <v>217-2025-06-30</v>
      </c>
    </row>
    <row r="1447" spans="1:18" x14ac:dyDescent="0.3">
      <c r="A1447" s="5">
        <v>218</v>
      </c>
      <c r="B1447" s="5" t="s">
        <v>97</v>
      </c>
      <c r="C1447" s="5" t="s">
        <v>90</v>
      </c>
      <c r="D1447" s="5" t="s">
        <v>18</v>
      </c>
      <c r="E1447" s="5" t="s">
        <v>14</v>
      </c>
      <c r="F1447" s="6">
        <v>45838</v>
      </c>
      <c r="G1447" s="16">
        <f t="shared" si="282"/>
        <v>2025</v>
      </c>
      <c r="H1447" s="6" t="str">
        <f t="shared" si="283"/>
        <v>Junio</v>
      </c>
      <c r="I1447" s="6" t="str">
        <f t="shared" si="284"/>
        <v>2025-1</v>
      </c>
      <c r="J1447" s="5">
        <v>1032000</v>
      </c>
      <c r="K1447" s="5">
        <v>553476</v>
      </c>
      <c r="L1447" s="15">
        <f t="shared" si="285"/>
        <v>0.53631395348837207</v>
      </c>
      <c r="M1447" s="15">
        <f t="shared" si="286"/>
        <v>0.53631395348837207</v>
      </c>
      <c r="N1447" s="5" t="s">
        <v>362</v>
      </c>
      <c r="O1447" s="5" t="s">
        <v>362</v>
      </c>
      <c r="P1447" s="5">
        <v>0</v>
      </c>
      <c r="Q1447" s="5">
        <v>0</v>
      </c>
      <c r="R1447" s="5" t="str">
        <f t="shared" si="272"/>
        <v>218-2025-06-30</v>
      </c>
    </row>
    <row r="1448" spans="1:18" x14ac:dyDescent="0.3">
      <c r="A1448" s="5">
        <v>225</v>
      </c>
      <c r="B1448" s="5" t="s">
        <v>103</v>
      </c>
      <c r="C1448" s="5" t="s">
        <v>90</v>
      </c>
      <c r="D1448" s="5" t="s">
        <v>18</v>
      </c>
      <c r="E1448" s="5" t="s">
        <v>9</v>
      </c>
      <c r="F1448" s="6">
        <v>45838</v>
      </c>
      <c r="G1448" s="16">
        <f t="shared" si="282"/>
        <v>2025</v>
      </c>
      <c r="H1448" s="6" t="str">
        <f t="shared" si="283"/>
        <v>Junio</v>
      </c>
      <c r="I1448" s="6" t="str">
        <f t="shared" si="284"/>
        <v>2025-1</v>
      </c>
      <c r="J1448" s="5">
        <v>100</v>
      </c>
      <c r="K1448" s="5">
        <v>100</v>
      </c>
      <c r="L1448" s="15">
        <f t="shared" si="285"/>
        <v>1</v>
      </c>
      <c r="M1448" s="15">
        <f t="shared" si="286"/>
        <v>1</v>
      </c>
      <c r="N1448" s="5" t="s">
        <v>347</v>
      </c>
      <c r="O1448" s="5" t="s">
        <v>347</v>
      </c>
      <c r="P1448" s="5">
        <v>0</v>
      </c>
      <c r="Q1448" s="5">
        <v>0</v>
      </c>
      <c r="R1448" s="5" t="str">
        <f t="shared" si="272"/>
        <v>225-2025-06-30</v>
      </c>
    </row>
    <row r="1449" spans="1:18" x14ac:dyDescent="0.3">
      <c r="A1449" s="5">
        <v>518</v>
      </c>
      <c r="B1449" s="5" t="s">
        <v>19</v>
      </c>
      <c r="C1449" s="5" t="s">
        <v>20</v>
      </c>
      <c r="D1449" s="5" t="s">
        <v>21</v>
      </c>
      <c r="E1449" s="5" t="s">
        <v>9</v>
      </c>
      <c r="F1449" s="6">
        <v>45838</v>
      </c>
      <c r="G1449" s="16">
        <f t="shared" si="282"/>
        <v>2025</v>
      </c>
      <c r="H1449" s="6" t="str">
        <f t="shared" si="283"/>
        <v>Junio</v>
      </c>
      <c r="I1449" s="6" t="str">
        <f t="shared" si="284"/>
        <v>2025-1</v>
      </c>
      <c r="J1449" s="5">
        <v>100</v>
      </c>
      <c r="K1449" s="10">
        <v>87.5</v>
      </c>
      <c r="L1449" s="15">
        <f t="shared" si="285"/>
        <v>0.875</v>
      </c>
      <c r="M1449" s="15">
        <f t="shared" si="286"/>
        <v>0.875</v>
      </c>
      <c r="N1449" s="5" t="s">
        <v>347</v>
      </c>
      <c r="O1449" s="5" t="s">
        <v>347</v>
      </c>
      <c r="P1449" s="5">
        <v>0</v>
      </c>
      <c r="Q1449" s="5">
        <v>0</v>
      </c>
      <c r="R1449" s="5" t="str">
        <f t="shared" si="272"/>
        <v>518-2025-06-30</v>
      </c>
    </row>
    <row r="1450" spans="1:18" x14ac:dyDescent="0.3">
      <c r="A1450" s="5">
        <v>273</v>
      </c>
      <c r="B1450" s="5" t="s">
        <v>157</v>
      </c>
      <c r="C1450" s="5" t="s">
        <v>158</v>
      </c>
      <c r="D1450" s="5" t="s">
        <v>8</v>
      </c>
      <c r="E1450" s="5" t="s">
        <v>9</v>
      </c>
      <c r="F1450" s="6">
        <v>45838</v>
      </c>
      <c r="G1450" s="16">
        <f t="shared" si="282"/>
        <v>2025</v>
      </c>
      <c r="H1450" s="6" t="str">
        <f t="shared" si="283"/>
        <v>Junio</v>
      </c>
      <c r="I1450" s="6" t="str">
        <f t="shared" si="284"/>
        <v>2025-1</v>
      </c>
      <c r="J1450" s="5">
        <v>2</v>
      </c>
      <c r="K1450" s="5">
        <v>3</v>
      </c>
      <c r="L1450" s="15">
        <f t="shared" si="285"/>
        <v>1.3</v>
      </c>
      <c r="M1450" s="15">
        <f t="shared" si="286"/>
        <v>1.5</v>
      </c>
      <c r="N1450" s="5" t="s">
        <v>490</v>
      </c>
      <c r="O1450" s="5" t="s">
        <v>490</v>
      </c>
      <c r="P1450" s="5">
        <v>0</v>
      </c>
      <c r="Q1450" s="5">
        <v>0</v>
      </c>
      <c r="R1450" s="5" t="str">
        <f t="shared" si="272"/>
        <v>273-2025-06-30</v>
      </c>
    </row>
    <row r="1451" spans="1:18" x14ac:dyDescent="0.3">
      <c r="A1451" s="5">
        <v>283</v>
      </c>
      <c r="B1451" s="5" t="s">
        <v>169</v>
      </c>
      <c r="C1451" s="5" t="s">
        <v>162</v>
      </c>
      <c r="D1451" s="5" t="s">
        <v>8</v>
      </c>
      <c r="E1451" s="5" t="s">
        <v>9</v>
      </c>
      <c r="F1451" s="6">
        <v>45838</v>
      </c>
      <c r="G1451" s="16">
        <f t="shared" si="282"/>
        <v>2025</v>
      </c>
      <c r="H1451" s="6" t="str">
        <f t="shared" si="283"/>
        <v>Junio</v>
      </c>
      <c r="I1451" s="6" t="str">
        <f t="shared" si="284"/>
        <v>2025-1</v>
      </c>
      <c r="J1451" s="5">
        <v>4.5999999999999996</v>
      </c>
      <c r="K1451" s="10">
        <v>4.66</v>
      </c>
      <c r="L1451" s="15">
        <f t="shared" si="285"/>
        <v>1.0130434782608697</v>
      </c>
      <c r="M1451" s="15">
        <f t="shared" si="286"/>
        <v>1.0130434782608697</v>
      </c>
      <c r="N1451" s="5" t="s">
        <v>478</v>
      </c>
      <c r="O1451" s="5" t="s">
        <v>478</v>
      </c>
      <c r="P1451" s="5">
        <v>0</v>
      </c>
      <c r="Q1451" s="5">
        <v>0</v>
      </c>
      <c r="R1451" s="5" t="str">
        <f t="shared" si="272"/>
        <v>283-2025-06-30</v>
      </c>
    </row>
    <row r="1452" spans="1:18" x14ac:dyDescent="0.3">
      <c r="A1452" s="39">
        <v>323</v>
      </c>
      <c r="B1452" s="5" t="s">
        <v>208</v>
      </c>
      <c r="C1452" s="5" t="s">
        <v>209</v>
      </c>
      <c r="D1452" s="5" t="s">
        <v>8</v>
      </c>
      <c r="E1452" s="5" t="s">
        <v>9</v>
      </c>
      <c r="F1452" s="17">
        <v>45838</v>
      </c>
      <c r="G1452" s="16">
        <f t="shared" si="282"/>
        <v>2025</v>
      </c>
      <c r="H1452" s="6" t="str">
        <f t="shared" si="283"/>
        <v>Junio</v>
      </c>
      <c r="I1452" s="6" t="str">
        <f t="shared" si="284"/>
        <v>2025-1</v>
      </c>
      <c r="J1452" s="5">
        <v>1</v>
      </c>
      <c r="K1452" s="5">
        <v>1</v>
      </c>
      <c r="L1452" s="15">
        <f t="shared" si="285"/>
        <v>1</v>
      </c>
      <c r="M1452" s="15">
        <f t="shared" si="286"/>
        <v>1</v>
      </c>
      <c r="N1452" s="5" t="s">
        <v>490</v>
      </c>
      <c r="O1452" s="5" t="s">
        <v>490</v>
      </c>
      <c r="P1452" s="5">
        <v>0</v>
      </c>
      <c r="Q1452" s="5">
        <v>0</v>
      </c>
      <c r="R1452" s="5" t="str">
        <f t="shared" si="272"/>
        <v>323-2025-06-30</v>
      </c>
    </row>
    <row r="1453" spans="1:18" x14ac:dyDescent="0.3">
      <c r="A1453" s="5">
        <v>324</v>
      </c>
      <c r="B1453" s="5" t="s">
        <v>210</v>
      </c>
      <c r="C1453" s="5" t="s">
        <v>209</v>
      </c>
      <c r="D1453" s="5" t="s">
        <v>8</v>
      </c>
      <c r="E1453" s="5" t="s">
        <v>9</v>
      </c>
      <c r="F1453" s="6">
        <v>45838</v>
      </c>
      <c r="G1453" s="16">
        <f t="shared" si="282"/>
        <v>2025</v>
      </c>
      <c r="H1453" s="6" t="str">
        <f t="shared" si="283"/>
        <v>Junio</v>
      </c>
      <c r="I1453" s="6" t="str">
        <f t="shared" si="284"/>
        <v>2025-1</v>
      </c>
      <c r="J1453" s="5">
        <v>3</v>
      </c>
      <c r="K1453" s="5">
        <v>2</v>
      </c>
      <c r="L1453" s="15">
        <f t="shared" si="285"/>
        <v>0.66666666666666663</v>
      </c>
      <c r="M1453" s="15">
        <f t="shared" si="286"/>
        <v>0.66666666666666663</v>
      </c>
      <c r="N1453" s="5" t="s">
        <v>490</v>
      </c>
      <c r="O1453" s="5" t="s">
        <v>490</v>
      </c>
      <c r="P1453" s="5">
        <v>0</v>
      </c>
      <c r="Q1453" s="5">
        <v>0</v>
      </c>
      <c r="R1453" s="5" t="str">
        <f t="shared" si="272"/>
        <v>324-2025-06-30</v>
      </c>
    </row>
    <row r="1454" spans="1:18" x14ac:dyDescent="0.3">
      <c r="A1454" s="5">
        <v>325</v>
      </c>
      <c r="B1454" s="5" t="s">
        <v>211</v>
      </c>
      <c r="C1454" s="5" t="s">
        <v>209</v>
      </c>
      <c r="D1454" s="5" t="s">
        <v>8</v>
      </c>
      <c r="E1454" s="5" t="s">
        <v>9</v>
      </c>
      <c r="F1454" s="6">
        <v>45838</v>
      </c>
      <c r="G1454" s="16">
        <f t="shared" si="282"/>
        <v>2025</v>
      </c>
      <c r="H1454" s="6" t="str">
        <f t="shared" si="283"/>
        <v>Junio</v>
      </c>
      <c r="I1454" s="6" t="str">
        <f t="shared" si="284"/>
        <v>2025-1</v>
      </c>
      <c r="J1454" s="5">
        <v>8</v>
      </c>
      <c r="K1454" s="10">
        <v>8</v>
      </c>
      <c r="L1454" s="15">
        <f t="shared" si="285"/>
        <v>1</v>
      </c>
      <c r="M1454" s="15">
        <f t="shared" si="286"/>
        <v>1</v>
      </c>
      <c r="N1454" s="5" t="s">
        <v>490</v>
      </c>
      <c r="O1454" s="5" t="s">
        <v>490</v>
      </c>
      <c r="P1454" s="5">
        <v>0</v>
      </c>
      <c r="Q1454" s="5">
        <v>0</v>
      </c>
      <c r="R1454" s="5" t="str">
        <f t="shared" si="272"/>
        <v>325-2025-06-30</v>
      </c>
    </row>
    <row r="1455" spans="1:18" x14ac:dyDescent="0.3">
      <c r="A1455" s="5">
        <v>473</v>
      </c>
      <c r="B1455" s="5" t="s">
        <v>724</v>
      </c>
      <c r="C1455" s="5" t="s">
        <v>129</v>
      </c>
      <c r="D1455" s="5" t="s">
        <v>8</v>
      </c>
      <c r="E1455" s="5" t="s">
        <v>9</v>
      </c>
      <c r="F1455" s="6">
        <v>45838</v>
      </c>
      <c r="G1455" s="16">
        <f t="shared" si="282"/>
        <v>2025</v>
      </c>
      <c r="H1455" s="6" t="str">
        <f t="shared" si="283"/>
        <v>Junio</v>
      </c>
      <c r="I1455" s="6" t="str">
        <f t="shared" si="284"/>
        <v>2025-1</v>
      </c>
      <c r="J1455" s="5">
        <v>72</v>
      </c>
      <c r="K1455" s="16">
        <v>72</v>
      </c>
      <c r="L1455" s="15">
        <f t="shared" si="285"/>
        <v>1</v>
      </c>
      <c r="M1455" s="15">
        <f t="shared" si="286"/>
        <v>1</v>
      </c>
      <c r="N1455" s="5"/>
      <c r="O1455" s="5"/>
      <c r="P1455" s="5">
        <v>0</v>
      </c>
      <c r="Q1455" s="5">
        <v>0</v>
      </c>
      <c r="R1455" s="5" t="str">
        <f t="shared" si="272"/>
        <v>473-2025-06-30</v>
      </c>
    </row>
    <row r="1456" spans="1:18" x14ac:dyDescent="0.3">
      <c r="A1456" s="5">
        <v>476</v>
      </c>
      <c r="B1456" s="5" t="s">
        <v>725</v>
      </c>
      <c r="C1456" s="5" t="s">
        <v>129</v>
      </c>
      <c r="D1456" s="5" t="s">
        <v>8</v>
      </c>
      <c r="E1456" s="5" t="s">
        <v>9</v>
      </c>
      <c r="F1456" s="6">
        <v>45838</v>
      </c>
      <c r="G1456" s="16">
        <f t="shared" si="282"/>
        <v>2025</v>
      </c>
      <c r="H1456" s="6" t="str">
        <f t="shared" si="283"/>
        <v>Junio</v>
      </c>
      <c r="I1456" s="6" t="str">
        <f t="shared" si="284"/>
        <v>2025-1</v>
      </c>
      <c r="J1456" s="5">
        <v>6</v>
      </c>
      <c r="K1456" s="5">
        <v>6</v>
      </c>
      <c r="L1456" s="15">
        <f t="shared" si="285"/>
        <v>1</v>
      </c>
      <c r="M1456" s="15">
        <f t="shared" si="286"/>
        <v>1</v>
      </c>
      <c r="N1456" s="5" t="s">
        <v>490</v>
      </c>
      <c r="O1456" s="5" t="s">
        <v>490</v>
      </c>
      <c r="P1456" s="5">
        <v>0</v>
      </c>
      <c r="Q1456" s="5">
        <v>0</v>
      </c>
      <c r="R1456" s="5" t="str">
        <f t="shared" si="272"/>
        <v>476-2025-06-30</v>
      </c>
    </row>
    <row r="1457" spans="1:18" x14ac:dyDescent="0.3">
      <c r="A1457" s="5">
        <v>193</v>
      </c>
      <c r="B1457" s="5" t="s">
        <v>73</v>
      </c>
      <c r="C1457" s="5" t="s">
        <v>74</v>
      </c>
      <c r="D1457" s="5" t="s">
        <v>8</v>
      </c>
      <c r="E1457" s="5" t="s">
        <v>9</v>
      </c>
      <c r="F1457" s="6">
        <v>45838</v>
      </c>
      <c r="G1457" s="16">
        <f t="shared" si="282"/>
        <v>2025</v>
      </c>
      <c r="H1457" s="6" t="str">
        <f t="shared" si="283"/>
        <v>Junio</v>
      </c>
      <c r="I1457" s="6" t="str">
        <f t="shared" si="284"/>
        <v>2025-1</v>
      </c>
      <c r="J1457" s="5">
        <v>93</v>
      </c>
      <c r="K1457" s="5">
        <v>96.21</v>
      </c>
      <c r="L1457" s="15">
        <f t="shared" si="285"/>
        <v>1.034516129032258</v>
      </c>
      <c r="M1457" s="15">
        <f t="shared" si="286"/>
        <v>1.034516129032258</v>
      </c>
      <c r="N1457" s="5" t="s">
        <v>347</v>
      </c>
      <c r="O1457" s="5" t="s">
        <v>347</v>
      </c>
      <c r="P1457" s="5">
        <v>0</v>
      </c>
      <c r="Q1457" s="5">
        <v>0</v>
      </c>
      <c r="R1457" s="5" t="str">
        <f t="shared" si="272"/>
        <v>193-2025-06-30</v>
      </c>
    </row>
    <row r="1458" spans="1:18" x14ac:dyDescent="0.3">
      <c r="A1458" s="5">
        <v>290</v>
      </c>
      <c r="B1458" s="5" t="s">
        <v>175</v>
      </c>
      <c r="C1458" s="5" t="s">
        <v>114</v>
      </c>
      <c r="D1458" s="5" t="s">
        <v>21</v>
      </c>
      <c r="E1458" s="5" t="s">
        <v>9</v>
      </c>
      <c r="F1458" s="6">
        <v>45838</v>
      </c>
      <c r="G1458" s="16">
        <f t="shared" si="282"/>
        <v>2025</v>
      </c>
      <c r="H1458" s="6" t="str">
        <f t="shared" si="283"/>
        <v>Junio</v>
      </c>
      <c r="I1458" s="6" t="str">
        <f t="shared" si="284"/>
        <v>2025-1</v>
      </c>
      <c r="J1458" s="5">
        <v>90</v>
      </c>
      <c r="K1458" s="5">
        <v>93.33</v>
      </c>
      <c r="L1458" s="15">
        <f t="shared" si="285"/>
        <v>1.0369999999999999</v>
      </c>
      <c r="M1458" s="15">
        <f t="shared" si="286"/>
        <v>1.0369999999999999</v>
      </c>
      <c r="N1458" s="5" t="s">
        <v>347</v>
      </c>
      <c r="O1458" s="5" t="s">
        <v>347</v>
      </c>
      <c r="P1458" s="5">
        <v>0</v>
      </c>
      <c r="Q1458" s="5">
        <v>0</v>
      </c>
      <c r="R1458" s="5" t="str">
        <f t="shared" si="272"/>
        <v>290-2025-06-30</v>
      </c>
    </row>
    <row r="1459" spans="1:18" x14ac:dyDescent="0.3">
      <c r="A1459" s="5">
        <v>194</v>
      </c>
      <c r="B1459" s="5" t="s">
        <v>75</v>
      </c>
      <c r="C1459" s="5" t="s">
        <v>74</v>
      </c>
      <c r="D1459" s="5" t="s">
        <v>8</v>
      </c>
      <c r="E1459" s="5" t="s">
        <v>9</v>
      </c>
      <c r="F1459" s="6">
        <v>45838</v>
      </c>
      <c r="G1459" s="16">
        <f t="shared" si="282"/>
        <v>2025</v>
      </c>
      <c r="H1459" s="6" t="str">
        <f t="shared" si="283"/>
        <v>Junio</v>
      </c>
      <c r="I1459" s="6" t="str">
        <f t="shared" si="284"/>
        <v>2025-1</v>
      </c>
      <c r="J1459" s="5">
        <v>80</v>
      </c>
      <c r="K1459" s="5">
        <v>90</v>
      </c>
      <c r="L1459" s="15">
        <f t="shared" si="285"/>
        <v>1.125</v>
      </c>
      <c r="M1459" s="15">
        <f t="shared" si="286"/>
        <v>1.125</v>
      </c>
      <c r="N1459" s="5" t="s">
        <v>347</v>
      </c>
      <c r="O1459" s="5" t="s">
        <v>347</v>
      </c>
      <c r="P1459" s="5">
        <v>0</v>
      </c>
      <c r="Q1459" s="5">
        <v>0</v>
      </c>
      <c r="R1459" s="5" t="str">
        <f t="shared" si="272"/>
        <v>194-2025-06-30</v>
      </c>
    </row>
    <row r="1460" spans="1:18" x14ac:dyDescent="0.3">
      <c r="A1460" s="5">
        <v>124</v>
      </c>
      <c r="B1460" s="5" t="s">
        <v>48</v>
      </c>
      <c r="C1460" s="5" t="s">
        <v>24</v>
      </c>
      <c r="D1460" s="5" t="s">
        <v>18</v>
      </c>
      <c r="E1460" s="5" t="s">
        <v>14</v>
      </c>
      <c r="F1460" s="6">
        <v>45869</v>
      </c>
      <c r="G1460" s="16">
        <f t="shared" si="282"/>
        <v>2025</v>
      </c>
      <c r="H1460" s="6" t="str">
        <f t="shared" si="283"/>
        <v>Julio</v>
      </c>
      <c r="I1460" s="6" t="str">
        <f t="shared" si="284"/>
        <v>2025-2</v>
      </c>
      <c r="J1460" s="5">
        <v>0.2</v>
      </c>
      <c r="K1460" s="5">
        <v>0.08</v>
      </c>
      <c r="L1460" s="15">
        <v>1</v>
      </c>
      <c r="M1460" s="15">
        <v>1</v>
      </c>
      <c r="N1460" s="5" t="s">
        <v>478</v>
      </c>
      <c r="O1460" s="5" t="s">
        <v>478</v>
      </c>
      <c r="P1460" s="5">
        <v>1</v>
      </c>
      <c r="Q1460" s="5">
        <v>2</v>
      </c>
      <c r="R1460" s="5" t="str">
        <f t="shared" si="272"/>
        <v>124-2025-07-31</v>
      </c>
    </row>
    <row r="1461" spans="1:18" x14ac:dyDescent="0.3">
      <c r="A1461" s="5">
        <v>431</v>
      </c>
      <c r="B1461" s="5" t="s">
        <v>325</v>
      </c>
      <c r="C1461" s="5" t="s">
        <v>24</v>
      </c>
      <c r="D1461" s="5" t="s">
        <v>11</v>
      </c>
      <c r="E1461" s="5" t="s">
        <v>9</v>
      </c>
      <c r="F1461" s="6">
        <v>45838</v>
      </c>
      <c r="G1461" s="16">
        <f t="shared" si="282"/>
        <v>2025</v>
      </c>
      <c r="H1461" s="6" t="str">
        <f t="shared" si="283"/>
        <v>Junio</v>
      </c>
      <c r="I1461" s="6" t="str">
        <f t="shared" si="284"/>
        <v>2025-1</v>
      </c>
      <c r="J1461" s="5">
        <v>100</v>
      </c>
      <c r="K1461" s="5">
        <v>100</v>
      </c>
      <c r="L1461" s="15">
        <f t="shared" si="285"/>
        <v>1</v>
      </c>
      <c r="M1461" s="15">
        <f t="shared" si="286"/>
        <v>1</v>
      </c>
      <c r="N1461" s="5" t="s">
        <v>347</v>
      </c>
      <c r="O1461" s="5" t="s">
        <v>347</v>
      </c>
      <c r="P1461" s="5">
        <v>0</v>
      </c>
      <c r="Q1461" s="5">
        <v>0</v>
      </c>
      <c r="R1461" s="5" t="str">
        <f t="shared" si="272"/>
        <v>431-2025-06-30</v>
      </c>
    </row>
    <row r="1462" spans="1:18" x14ac:dyDescent="0.3">
      <c r="A1462" s="5">
        <v>432</v>
      </c>
      <c r="B1462" s="5" t="s">
        <v>326</v>
      </c>
      <c r="C1462" s="5" t="s">
        <v>24</v>
      </c>
      <c r="D1462" s="5" t="s">
        <v>11</v>
      </c>
      <c r="E1462" s="5" t="s">
        <v>9</v>
      </c>
      <c r="F1462" s="6">
        <v>45838</v>
      </c>
      <c r="G1462" s="16">
        <f t="shared" si="282"/>
        <v>2025</v>
      </c>
      <c r="H1462" s="6" t="str">
        <f t="shared" si="283"/>
        <v>Junio</v>
      </c>
      <c r="I1462" s="6" t="str">
        <f t="shared" si="284"/>
        <v>2025-1</v>
      </c>
      <c r="J1462" s="5">
        <v>90</v>
      </c>
      <c r="K1462" s="5">
        <v>100</v>
      </c>
      <c r="L1462" s="15">
        <f t="shared" si="285"/>
        <v>1.1111111111111112</v>
      </c>
      <c r="M1462" s="15">
        <f t="shared" si="286"/>
        <v>1.1111111111111112</v>
      </c>
      <c r="N1462" s="5" t="s">
        <v>347</v>
      </c>
      <c r="O1462" s="5" t="s">
        <v>347</v>
      </c>
      <c r="P1462" s="5">
        <v>0</v>
      </c>
      <c r="Q1462" s="5">
        <v>0</v>
      </c>
      <c r="R1462" s="5" t="str">
        <f t="shared" si="272"/>
        <v>432-2025-06-30</v>
      </c>
    </row>
    <row r="1463" spans="1:18" x14ac:dyDescent="0.3">
      <c r="A1463" s="5">
        <v>484</v>
      </c>
      <c r="B1463" s="5" t="s">
        <v>720</v>
      </c>
      <c r="C1463" s="5" t="s">
        <v>24</v>
      </c>
      <c r="D1463" s="5" t="s">
        <v>11</v>
      </c>
      <c r="E1463" s="5" t="s">
        <v>9</v>
      </c>
      <c r="F1463" s="6">
        <v>45838</v>
      </c>
      <c r="G1463" s="16">
        <f t="shared" si="282"/>
        <v>2025</v>
      </c>
      <c r="H1463" s="6" t="str">
        <f t="shared" si="283"/>
        <v>Junio</v>
      </c>
      <c r="I1463" s="6" t="str">
        <f t="shared" si="284"/>
        <v>2025-1</v>
      </c>
      <c r="J1463" s="5">
        <v>90</v>
      </c>
      <c r="K1463" s="5">
        <v>100</v>
      </c>
      <c r="L1463" s="15">
        <f t="shared" si="285"/>
        <v>1.1111111111111112</v>
      </c>
      <c r="M1463" s="15">
        <f t="shared" si="286"/>
        <v>1.1111111111111112</v>
      </c>
      <c r="N1463" s="5" t="s">
        <v>347</v>
      </c>
      <c r="O1463" s="5" t="s">
        <v>347</v>
      </c>
      <c r="P1463" s="5">
        <v>0</v>
      </c>
      <c r="Q1463" s="5">
        <v>0</v>
      </c>
      <c r="R1463" s="5" t="str">
        <f t="shared" si="272"/>
        <v>484-2025-06-30</v>
      </c>
    </row>
    <row r="1464" spans="1:18" x14ac:dyDescent="0.3">
      <c r="A1464" s="5">
        <v>262</v>
      </c>
      <c r="B1464" s="5" t="s">
        <v>494</v>
      </c>
      <c r="C1464" s="5" t="s">
        <v>145</v>
      </c>
      <c r="D1464" s="5" t="s">
        <v>8</v>
      </c>
      <c r="E1464" s="5" t="s">
        <v>14</v>
      </c>
      <c r="F1464" s="6">
        <v>45838</v>
      </c>
      <c r="G1464" s="16">
        <f t="shared" si="282"/>
        <v>2025</v>
      </c>
      <c r="H1464" s="6" t="str">
        <f t="shared" si="283"/>
        <v>Junio</v>
      </c>
      <c r="I1464" s="6" t="str">
        <f t="shared" si="284"/>
        <v>2025-1</v>
      </c>
      <c r="J1464" s="5">
        <v>10</v>
      </c>
      <c r="K1464" s="5">
        <v>0</v>
      </c>
      <c r="L1464" s="8">
        <v>1</v>
      </c>
      <c r="M1464" s="8">
        <v>1</v>
      </c>
      <c r="N1464" s="5" t="s">
        <v>347</v>
      </c>
      <c r="O1464" s="5" t="s">
        <v>347</v>
      </c>
      <c r="P1464" s="5">
        <v>0</v>
      </c>
      <c r="Q1464" s="5">
        <v>0</v>
      </c>
      <c r="R1464" s="5" t="str">
        <f t="shared" si="272"/>
        <v>262-2025-06-30</v>
      </c>
    </row>
    <row r="1465" spans="1:18" x14ac:dyDescent="0.3">
      <c r="A1465" s="5">
        <v>77</v>
      </c>
      <c r="B1465" s="5" t="s">
        <v>16</v>
      </c>
      <c r="C1465" s="5" t="s">
        <v>17</v>
      </c>
      <c r="D1465" s="5" t="s">
        <v>18</v>
      </c>
      <c r="E1465" s="5" t="s">
        <v>9</v>
      </c>
      <c r="F1465" s="6">
        <v>45838</v>
      </c>
      <c r="G1465" s="5">
        <f t="shared" si="282"/>
        <v>2025</v>
      </c>
      <c r="H1465" s="5" t="str">
        <f t="shared" si="283"/>
        <v>Junio</v>
      </c>
      <c r="I1465" s="6" t="str">
        <f t="shared" si="284"/>
        <v>2025-1</v>
      </c>
      <c r="J1465" s="5">
        <v>97</v>
      </c>
      <c r="K1465" s="10">
        <v>94.65</v>
      </c>
      <c r="L1465" s="15">
        <f t="shared" si="285"/>
        <v>0.97577319587628875</v>
      </c>
      <c r="M1465" s="15">
        <f t="shared" si="286"/>
        <v>0.97577319587628875</v>
      </c>
      <c r="N1465" s="5" t="s">
        <v>347</v>
      </c>
      <c r="O1465" s="5" t="s">
        <v>347</v>
      </c>
      <c r="P1465" s="5">
        <v>1</v>
      </c>
      <c r="Q1465" s="5">
        <v>1</v>
      </c>
      <c r="R1465" s="5" t="str">
        <f t="shared" si="272"/>
        <v>77-2025-06-30</v>
      </c>
    </row>
    <row r="1466" spans="1:18" x14ac:dyDescent="0.3">
      <c r="A1466" s="5">
        <v>86</v>
      </c>
      <c r="B1466" s="5" t="s">
        <v>27</v>
      </c>
      <c r="C1466" s="5" t="s">
        <v>24</v>
      </c>
      <c r="D1466" s="5" t="s">
        <v>8</v>
      </c>
      <c r="E1466" s="5" t="s">
        <v>9</v>
      </c>
      <c r="F1466" s="6">
        <v>45838</v>
      </c>
      <c r="G1466" s="5">
        <f t="shared" si="282"/>
        <v>2025</v>
      </c>
      <c r="H1466" s="5" t="str">
        <f t="shared" si="283"/>
        <v>Junio</v>
      </c>
      <c r="I1466" s="6" t="str">
        <f t="shared" si="284"/>
        <v>2025-1</v>
      </c>
      <c r="J1466" s="5">
        <v>100</v>
      </c>
      <c r="K1466" s="5">
        <v>100</v>
      </c>
      <c r="L1466" s="15">
        <f>IFERROR(IF((K1466/J1466)&gt;1.3,1.3,K1466/J1466),"")</f>
        <v>1</v>
      </c>
      <c r="M1466" s="15">
        <f t="shared" si="286"/>
        <v>1</v>
      </c>
      <c r="N1466" s="5" t="s">
        <v>347</v>
      </c>
      <c r="O1466" s="5" t="s">
        <v>347</v>
      </c>
      <c r="P1466" s="5">
        <v>0</v>
      </c>
      <c r="Q1466" s="5">
        <v>0</v>
      </c>
      <c r="R1466" s="5" t="str">
        <f t="shared" si="272"/>
        <v>86-2025-06-30</v>
      </c>
    </row>
    <row r="1467" spans="1:18" x14ac:dyDescent="0.3">
      <c r="A1467" s="5">
        <v>95</v>
      </c>
      <c r="B1467" s="5" t="s">
        <v>35</v>
      </c>
      <c r="C1467" s="5" t="s">
        <v>24</v>
      </c>
      <c r="D1467" s="5" t="s">
        <v>8</v>
      </c>
      <c r="E1467" s="5" t="s">
        <v>9</v>
      </c>
      <c r="F1467" s="6">
        <v>45838</v>
      </c>
      <c r="G1467" s="5">
        <f t="shared" si="282"/>
        <v>2025</v>
      </c>
      <c r="H1467" s="5" t="str">
        <f t="shared" si="283"/>
        <v>Junio</v>
      </c>
      <c r="I1467" s="6" t="str">
        <f t="shared" si="284"/>
        <v>2025-1</v>
      </c>
      <c r="J1467" s="5">
        <v>100</v>
      </c>
      <c r="K1467" s="5">
        <v>100</v>
      </c>
      <c r="L1467" s="21">
        <f t="shared" ref="L1467" si="288">IFERROR(K1467/J1467,"")</f>
        <v>1</v>
      </c>
      <c r="M1467" s="15">
        <f t="shared" si="286"/>
        <v>1</v>
      </c>
      <c r="N1467" s="5" t="s">
        <v>347</v>
      </c>
      <c r="O1467" s="5" t="s">
        <v>347</v>
      </c>
      <c r="P1467" s="5">
        <v>0</v>
      </c>
      <c r="Q1467" s="5">
        <v>0</v>
      </c>
      <c r="R1467" s="5" t="str">
        <f t="shared" si="272"/>
        <v>95-2025-06-30</v>
      </c>
    </row>
    <row r="1468" spans="1:18" x14ac:dyDescent="0.3">
      <c r="A1468" s="5">
        <v>111</v>
      </c>
      <c r="B1468" s="5" t="s">
        <v>39</v>
      </c>
      <c r="C1468" s="5" t="s">
        <v>7</v>
      </c>
      <c r="D1468" s="5" t="s">
        <v>11</v>
      </c>
      <c r="E1468" s="5" t="s">
        <v>9</v>
      </c>
      <c r="F1468" s="6">
        <v>45838</v>
      </c>
      <c r="G1468" s="5">
        <f>YEAR(F1468)</f>
        <v>2025</v>
      </c>
      <c r="H1468" s="5" t="str">
        <f t="shared" si="283"/>
        <v>Junio</v>
      </c>
      <c r="I1468" s="6" t="str">
        <f t="shared" si="284"/>
        <v>2025-1</v>
      </c>
      <c r="J1468" s="5">
        <v>80</v>
      </c>
      <c r="K1468" s="10">
        <v>96.35</v>
      </c>
      <c r="L1468" s="15">
        <f>IFERROR(IF((K1468/J1468)&gt;1.3,1.3,K1468/J1468),"")</f>
        <v>1.204375</v>
      </c>
      <c r="M1468" s="15">
        <f t="shared" si="286"/>
        <v>1.204375</v>
      </c>
      <c r="N1468" s="5" t="s">
        <v>347</v>
      </c>
      <c r="O1468" s="5" t="s">
        <v>347</v>
      </c>
      <c r="P1468" s="5">
        <v>0</v>
      </c>
      <c r="Q1468" s="5">
        <v>0</v>
      </c>
      <c r="R1468" s="5" t="str">
        <f t="shared" si="272"/>
        <v>111-2025-06-30</v>
      </c>
    </row>
    <row r="1469" spans="1:18" x14ac:dyDescent="0.3">
      <c r="A1469" s="5">
        <v>121</v>
      </c>
      <c r="B1469" s="5" t="s">
        <v>46</v>
      </c>
      <c r="C1469" s="5" t="s">
        <v>13</v>
      </c>
      <c r="D1469" s="5" t="s">
        <v>18</v>
      </c>
      <c r="E1469" s="5" t="s">
        <v>14</v>
      </c>
      <c r="F1469" s="6">
        <v>45838</v>
      </c>
      <c r="G1469" s="5">
        <f t="shared" ref="G1469:G1532" si="289">YEAR(F1469)</f>
        <v>2025</v>
      </c>
      <c r="H1469" s="5" t="str">
        <f t="shared" si="283"/>
        <v>Junio</v>
      </c>
      <c r="I1469" s="6" t="str">
        <f t="shared" si="284"/>
        <v>2025-1</v>
      </c>
      <c r="J1469" s="9">
        <v>69237262</v>
      </c>
      <c r="K1469" s="9">
        <v>76201061</v>
      </c>
      <c r="L1469" s="15">
        <f>IFERROR(IF((J1469/K1469)&gt;1.3,1.3,J1469/K1469),"")</f>
        <v>0.90861283414413352</v>
      </c>
      <c r="M1469" s="15">
        <f t="shared" ref="M1469" si="290">IFERROR(J1469/K1469,"")</f>
        <v>0.90861283414413352</v>
      </c>
      <c r="N1469" s="9" t="s">
        <v>474</v>
      </c>
      <c r="O1469" s="9" t="s">
        <v>474</v>
      </c>
      <c r="P1469" s="5">
        <v>0</v>
      </c>
      <c r="Q1469" s="5">
        <v>0</v>
      </c>
      <c r="R1469" s="5" t="str">
        <f t="shared" si="272"/>
        <v>121-2025-06-30</v>
      </c>
    </row>
    <row r="1470" spans="1:18" x14ac:dyDescent="0.3">
      <c r="A1470" s="5">
        <v>122</v>
      </c>
      <c r="B1470" s="5" t="s">
        <v>47</v>
      </c>
      <c r="C1470" s="5" t="s">
        <v>45</v>
      </c>
      <c r="D1470" s="5" t="s">
        <v>21</v>
      </c>
      <c r="E1470" s="5" t="s">
        <v>9</v>
      </c>
      <c r="F1470" s="6">
        <v>45838</v>
      </c>
      <c r="G1470" s="5">
        <f t="shared" si="289"/>
        <v>2025</v>
      </c>
      <c r="H1470" s="5" t="str">
        <f t="shared" si="283"/>
        <v>Junio</v>
      </c>
      <c r="I1470" s="6" t="str">
        <f t="shared" si="284"/>
        <v>2025-1</v>
      </c>
      <c r="J1470" s="5">
        <v>80</v>
      </c>
      <c r="K1470" s="5">
        <v>81.16</v>
      </c>
      <c r="L1470" s="15">
        <f>IFERROR(IF((K1470/J1470)&gt;1.3,1.3,K1470/J1470),"")</f>
        <v>1.0145</v>
      </c>
      <c r="M1470" s="15">
        <f t="shared" ref="M1470" si="291">IFERROR(K1470/J1470,"")</f>
        <v>1.0145</v>
      </c>
      <c r="N1470" s="5" t="s">
        <v>347</v>
      </c>
      <c r="O1470" s="5" t="s">
        <v>347</v>
      </c>
      <c r="P1470" s="5">
        <v>0</v>
      </c>
      <c r="Q1470" s="5">
        <v>0</v>
      </c>
      <c r="R1470" s="5" t="str">
        <f t="shared" si="272"/>
        <v>122-2025-06-30</v>
      </c>
    </row>
    <row r="1471" spans="1:18" x14ac:dyDescent="0.3">
      <c r="A1471" s="5">
        <v>125</v>
      </c>
      <c r="B1471" s="5" t="s">
        <v>49</v>
      </c>
      <c r="C1471" s="5" t="s">
        <v>24</v>
      </c>
      <c r="D1471" s="5" t="s">
        <v>18</v>
      </c>
      <c r="E1471" s="5" t="s">
        <v>14</v>
      </c>
      <c r="F1471" s="6">
        <v>45838</v>
      </c>
      <c r="G1471" s="5">
        <f t="shared" si="289"/>
        <v>2025</v>
      </c>
      <c r="H1471" s="5" t="str">
        <f t="shared" si="283"/>
        <v>Junio</v>
      </c>
      <c r="I1471" s="6" t="str">
        <f t="shared" si="284"/>
        <v>2025-1</v>
      </c>
      <c r="J1471" s="5">
        <v>1.9</v>
      </c>
      <c r="K1471" s="5">
        <v>0.16</v>
      </c>
      <c r="L1471" s="8">
        <f>IF(K1471&lt;=J1471,100%,J1471/K1471)</f>
        <v>1</v>
      </c>
      <c r="M1471" s="15">
        <f>IF(K1471&lt;=J1471,100%,J1471/K1471)</f>
        <v>1</v>
      </c>
      <c r="N1471" s="5" t="s">
        <v>478</v>
      </c>
      <c r="O1471" s="5" t="s">
        <v>478</v>
      </c>
      <c r="P1471" s="5">
        <v>1</v>
      </c>
      <c r="Q1471" s="5">
        <v>2</v>
      </c>
      <c r="R1471" s="5" t="str">
        <f t="shared" si="272"/>
        <v>125-2025-06-30</v>
      </c>
    </row>
    <row r="1472" spans="1:18" x14ac:dyDescent="0.3">
      <c r="A1472" s="5">
        <v>128</v>
      </c>
      <c r="B1472" s="5" t="s">
        <v>52</v>
      </c>
      <c r="C1472" s="5" t="s">
        <v>24</v>
      </c>
      <c r="D1472" s="5" t="s">
        <v>18</v>
      </c>
      <c r="E1472" s="5" t="s">
        <v>14</v>
      </c>
      <c r="F1472" s="6">
        <v>45838</v>
      </c>
      <c r="G1472" s="5">
        <f t="shared" si="289"/>
        <v>2025</v>
      </c>
      <c r="H1472" s="5" t="str">
        <f t="shared" si="283"/>
        <v>Junio</v>
      </c>
      <c r="I1472" s="6" t="str">
        <f t="shared" si="284"/>
        <v>2025-1</v>
      </c>
      <c r="J1472" s="5">
        <v>1</v>
      </c>
      <c r="K1472" s="5">
        <v>0.93</v>
      </c>
      <c r="L1472" s="15">
        <f t="shared" ref="L1472" si="292">IFERROR(IF((J1472/K1472)&gt;1,1,J1472/K1472),"")</f>
        <v>1</v>
      </c>
      <c r="M1472" s="15">
        <f t="shared" ref="M1472" si="293">IFERROR(IF((J1472/K1472)&gt;1,1,J1472/K1472),"")</f>
        <v>1</v>
      </c>
      <c r="N1472" s="5" t="s">
        <v>490</v>
      </c>
      <c r="O1472" s="5" t="s">
        <v>478</v>
      </c>
      <c r="P1472" s="5">
        <v>0</v>
      </c>
      <c r="Q1472" s="5">
        <v>2</v>
      </c>
      <c r="R1472" s="5" t="str">
        <f t="shared" si="272"/>
        <v>128-2025-06-30</v>
      </c>
    </row>
    <row r="1473" spans="1:18" x14ac:dyDescent="0.3">
      <c r="A1473" s="5">
        <v>139</v>
      </c>
      <c r="B1473" s="5" t="s">
        <v>57</v>
      </c>
      <c r="C1473" s="5" t="s">
        <v>55</v>
      </c>
      <c r="D1473" s="5" t="s">
        <v>18</v>
      </c>
      <c r="E1473" s="5" t="s">
        <v>14</v>
      </c>
      <c r="F1473" s="6">
        <v>45838</v>
      </c>
      <c r="G1473" s="5">
        <f t="shared" si="289"/>
        <v>2025</v>
      </c>
      <c r="H1473" s="5" t="str">
        <f t="shared" si="283"/>
        <v>Junio</v>
      </c>
      <c r="I1473" s="6" t="str">
        <f t="shared" si="284"/>
        <v>2025-1</v>
      </c>
      <c r="J1473" s="75">
        <v>588.27781200000004</v>
      </c>
      <c r="K1473" s="75">
        <v>423.52072099999998</v>
      </c>
      <c r="L1473" s="15">
        <f>IFERROR(IF((J1473/K1473)&gt;1.3,1.3,J1473/K1473),"")</f>
        <v>1.3</v>
      </c>
      <c r="M1473" s="15">
        <f>IFERROR(J1473/K1473,"")</f>
        <v>1.3890177807852762</v>
      </c>
      <c r="N1473" s="5" t="s">
        <v>474</v>
      </c>
      <c r="O1473" s="5" t="s">
        <v>474</v>
      </c>
      <c r="P1473" s="5">
        <v>0</v>
      </c>
      <c r="Q1473" s="5">
        <v>0</v>
      </c>
      <c r="R1473" s="5" t="str">
        <f t="shared" si="272"/>
        <v>139-2025-06-30</v>
      </c>
    </row>
    <row r="1474" spans="1:18" x14ac:dyDescent="0.3">
      <c r="A1474" s="5">
        <v>143</v>
      </c>
      <c r="B1474" s="5" t="s">
        <v>58</v>
      </c>
      <c r="C1474" s="5" t="s">
        <v>59</v>
      </c>
      <c r="D1474" s="5" t="s">
        <v>8</v>
      </c>
      <c r="E1474" s="5" t="s">
        <v>9</v>
      </c>
      <c r="F1474" s="6">
        <v>45838</v>
      </c>
      <c r="G1474" s="5">
        <f t="shared" si="289"/>
        <v>2025</v>
      </c>
      <c r="H1474" s="5" t="str">
        <f t="shared" si="283"/>
        <v>Junio</v>
      </c>
      <c r="I1474" s="6" t="str">
        <f t="shared" si="284"/>
        <v>2025-1</v>
      </c>
      <c r="J1474" s="5"/>
      <c r="K1474" s="5">
        <v>159</v>
      </c>
      <c r="L1474" s="15" t="str">
        <f t="shared" ref="L1474:L1479" si="294">IFERROR(IF((K1474/J1474)&gt;1.3,1.3,K1474/J1474),"")</f>
        <v/>
      </c>
      <c r="M1474" s="15" t="str">
        <f t="shared" ref="M1474:M1479" si="295">IFERROR(K1474/J1474,"")</f>
        <v/>
      </c>
      <c r="N1474" s="5" t="s">
        <v>728</v>
      </c>
      <c r="O1474" s="5"/>
      <c r="P1474" s="5">
        <v>0</v>
      </c>
      <c r="Q1474" s="5">
        <v>0</v>
      </c>
      <c r="R1474" s="5" t="str">
        <f t="shared" si="272"/>
        <v>143-2025-06-30</v>
      </c>
    </row>
    <row r="1475" spans="1:18" x14ac:dyDescent="0.3">
      <c r="A1475" s="5">
        <v>145</v>
      </c>
      <c r="B1475" s="5" t="s">
        <v>61</v>
      </c>
      <c r="C1475" s="5" t="s">
        <v>62</v>
      </c>
      <c r="D1475" s="5" t="s">
        <v>8</v>
      </c>
      <c r="E1475" s="5" t="s">
        <v>9</v>
      </c>
      <c r="F1475" s="6">
        <v>45838</v>
      </c>
      <c r="G1475" s="5">
        <f t="shared" si="289"/>
        <v>2025</v>
      </c>
      <c r="H1475" s="5" t="str">
        <f t="shared" si="283"/>
        <v>Junio</v>
      </c>
      <c r="I1475" s="6" t="str">
        <f t="shared" si="284"/>
        <v>2025-1</v>
      </c>
      <c r="J1475" s="5">
        <v>1</v>
      </c>
      <c r="K1475" s="5">
        <v>1.74</v>
      </c>
      <c r="L1475" s="15">
        <f t="shared" si="294"/>
        <v>1.3</v>
      </c>
      <c r="M1475" s="15">
        <f t="shared" si="295"/>
        <v>1.74</v>
      </c>
      <c r="N1475" s="5" t="s">
        <v>490</v>
      </c>
      <c r="O1475" s="5" t="s">
        <v>478</v>
      </c>
      <c r="P1475" s="5">
        <v>0</v>
      </c>
      <c r="Q1475" s="5">
        <v>2</v>
      </c>
      <c r="R1475" s="5" t="str">
        <f t="shared" si="272"/>
        <v>145-2025-06-30</v>
      </c>
    </row>
    <row r="1476" spans="1:18" x14ac:dyDescent="0.3">
      <c r="A1476" s="5">
        <v>146</v>
      </c>
      <c r="B1476" s="5" t="s">
        <v>63</v>
      </c>
      <c r="C1476" s="5" t="s">
        <v>59</v>
      </c>
      <c r="D1476" s="5" t="s">
        <v>8</v>
      </c>
      <c r="E1476" s="5" t="s">
        <v>9</v>
      </c>
      <c r="F1476" s="6">
        <v>45838</v>
      </c>
      <c r="G1476" s="5">
        <f t="shared" si="289"/>
        <v>2025</v>
      </c>
      <c r="H1476" s="5" t="str">
        <f t="shared" si="283"/>
        <v>Junio</v>
      </c>
      <c r="I1476" s="6" t="str">
        <f t="shared" si="284"/>
        <v>2025-1</v>
      </c>
      <c r="J1476" s="5">
        <v>300</v>
      </c>
      <c r="K1476" s="5">
        <v>321</v>
      </c>
      <c r="L1476" s="15">
        <f t="shared" si="294"/>
        <v>1.07</v>
      </c>
      <c r="M1476" s="15">
        <f t="shared" si="295"/>
        <v>1.07</v>
      </c>
      <c r="N1476" s="5" t="s">
        <v>490</v>
      </c>
      <c r="O1476" s="5" t="s">
        <v>490</v>
      </c>
      <c r="P1476" s="5">
        <v>0</v>
      </c>
      <c r="Q1476" s="5">
        <v>0</v>
      </c>
      <c r="R1476" s="5" t="str">
        <f t="shared" si="272"/>
        <v>146-2025-06-30</v>
      </c>
    </row>
    <row r="1477" spans="1:18" x14ac:dyDescent="0.3">
      <c r="A1477" s="5">
        <v>148</v>
      </c>
      <c r="B1477" s="5" t="s">
        <v>65</v>
      </c>
      <c r="C1477" s="5" t="s">
        <v>62</v>
      </c>
      <c r="D1477" s="5" t="s">
        <v>8</v>
      </c>
      <c r="E1477" s="5" t="s">
        <v>9</v>
      </c>
      <c r="F1477" s="6">
        <v>45838</v>
      </c>
      <c r="G1477" s="5">
        <f t="shared" si="289"/>
        <v>2025</v>
      </c>
      <c r="H1477" s="5" t="str">
        <f t="shared" si="283"/>
        <v>Junio</v>
      </c>
      <c r="I1477" s="6" t="str">
        <f t="shared" si="284"/>
        <v>2025-1</v>
      </c>
      <c r="J1477" s="5">
        <v>4</v>
      </c>
      <c r="K1477" s="5">
        <v>4.08</v>
      </c>
      <c r="L1477" s="15">
        <f t="shared" si="294"/>
        <v>1.02</v>
      </c>
      <c r="M1477" s="15">
        <f t="shared" si="295"/>
        <v>1.02</v>
      </c>
      <c r="N1477" s="5" t="s">
        <v>347</v>
      </c>
      <c r="O1477" s="5" t="s">
        <v>347</v>
      </c>
      <c r="P1477" s="5">
        <v>0</v>
      </c>
      <c r="Q1477" s="5">
        <v>1</v>
      </c>
      <c r="R1477" s="5" t="str">
        <f t="shared" si="272"/>
        <v>148-2025-06-30</v>
      </c>
    </row>
    <row r="1478" spans="1:18" x14ac:dyDescent="0.3">
      <c r="A1478" s="5">
        <v>159</v>
      </c>
      <c r="B1478" s="5" t="s">
        <v>39</v>
      </c>
      <c r="C1478" s="5" t="s">
        <v>67</v>
      </c>
      <c r="D1478" s="5" t="s">
        <v>8</v>
      </c>
      <c r="E1478" s="5" t="s">
        <v>9</v>
      </c>
      <c r="F1478" s="6">
        <v>45838</v>
      </c>
      <c r="G1478" s="5">
        <f t="shared" si="289"/>
        <v>2025</v>
      </c>
      <c r="H1478" s="5" t="str">
        <f t="shared" si="283"/>
        <v>Junio</v>
      </c>
      <c r="I1478" s="6" t="str">
        <f t="shared" si="284"/>
        <v>2025-1</v>
      </c>
      <c r="J1478" s="5">
        <v>80</v>
      </c>
      <c r="K1478" s="5">
        <v>100</v>
      </c>
      <c r="L1478" s="15">
        <f t="shared" si="294"/>
        <v>1.25</v>
      </c>
      <c r="M1478" s="15">
        <f t="shared" si="295"/>
        <v>1.25</v>
      </c>
      <c r="N1478" s="5" t="s">
        <v>347</v>
      </c>
      <c r="O1478" s="5" t="s">
        <v>347</v>
      </c>
      <c r="P1478" s="5">
        <v>0</v>
      </c>
      <c r="Q1478" s="5">
        <v>0</v>
      </c>
      <c r="R1478" s="5" t="str">
        <f t="shared" si="272"/>
        <v>159-2025-06-30</v>
      </c>
    </row>
    <row r="1479" spans="1:18" x14ac:dyDescent="0.3">
      <c r="A1479" s="5">
        <v>167</v>
      </c>
      <c r="B1479" s="5" t="s">
        <v>68</v>
      </c>
      <c r="C1479" s="5" t="s">
        <v>13</v>
      </c>
      <c r="D1479" s="5" t="s">
        <v>8</v>
      </c>
      <c r="E1479" s="5" t="s">
        <v>9</v>
      </c>
      <c r="F1479" s="6">
        <v>45838</v>
      </c>
      <c r="G1479" s="5">
        <f t="shared" si="289"/>
        <v>2025</v>
      </c>
      <c r="H1479" s="5" t="str">
        <f t="shared" si="283"/>
        <v>Junio</v>
      </c>
      <c r="I1479" s="6" t="str">
        <f t="shared" si="284"/>
        <v>2025-1</v>
      </c>
      <c r="J1479" s="5">
        <v>85</v>
      </c>
      <c r="K1479" s="10">
        <v>93.63</v>
      </c>
      <c r="L1479" s="15">
        <f t="shared" si="294"/>
        <v>1.1015294117647059</v>
      </c>
      <c r="M1479" s="15">
        <f t="shared" si="295"/>
        <v>1.1015294117647059</v>
      </c>
      <c r="N1479" s="5" t="s">
        <v>347</v>
      </c>
      <c r="O1479" s="5" t="s">
        <v>347</v>
      </c>
      <c r="P1479" s="5">
        <v>0</v>
      </c>
      <c r="Q1479" s="5">
        <v>0</v>
      </c>
      <c r="R1479" s="5" t="str">
        <f t="shared" si="272"/>
        <v>167-2025-06-30</v>
      </c>
    </row>
    <row r="1480" spans="1:18" x14ac:dyDescent="0.3">
      <c r="A1480" s="5">
        <v>197</v>
      </c>
      <c r="B1480" s="5" t="s">
        <v>78</v>
      </c>
      <c r="C1480" s="5" t="s">
        <v>43</v>
      </c>
      <c r="D1480" s="5" t="s">
        <v>11</v>
      </c>
      <c r="E1480" s="5" t="s">
        <v>9</v>
      </c>
      <c r="F1480" s="6">
        <v>45838</v>
      </c>
      <c r="G1480" s="5">
        <f t="shared" si="289"/>
        <v>2025</v>
      </c>
      <c r="H1480" s="5" t="str">
        <f t="shared" si="283"/>
        <v>Junio</v>
      </c>
      <c r="I1480" s="6" t="str">
        <f t="shared" si="284"/>
        <v>2025-1</v>
      </c>
      <c r="J1480" s="5">
        <v>95</v>
      </c>
      <c r="K1480" s="5">
        <v>94.19</v>
      </c>
      <c r="L1480" s="24">
        <f>IFERROR(IF(K1480/J1480&gt;1,1,K1480/J1480),"")</f>
        <v>0.99147368421052628</v>
      </c>
      <c r="M1480" s="15">
        <f>IFERROR(IF(K1480/J1480&gt;1,1,K1480/J1480),"")</f>
        <v>0.99147368421052628</v>
      </c>
      <c r="N1480" s="5" t="s">
        <v>347</v>
      </c>
      <c r="O1480" s="5" t="s">
        <v>347</v>
      </c>
      <c r="P1480" s="5">
        <v>0</v>
      </c>
      <c r="Q1480" s="5">
        <v>0</v>
      </c>
      <c r="R1480" s="5" t="str">
        <f t="shared" si="272"/>
        <v>197-2025-06-30</v>
      </c>
    </row>
    <row r="1481" spans="1:18" x14ac:dyDescent="0.3">
      <c r="A1481" s="5">
        <v>203</v>
      </c>
      <c r="B1481" s="5" t="s">
        <v>83</v>
      </c>
      <c r="C1481" s="5" t="s">
        <v>84</v>
      </c>
      <c r="D1481" s="5" t="s">
        <v>8</v>
      </c>
      <c r="E1481" s="5" t="s">
        <v>9</v>
      </c>
      <c r="F1481" s="6">
        <v>45838</v>
      </c>
      <c r="G1481" s="5">
        <f t="shared" si="289"/>
        <v>2025</v>
      </c>
      <c r="H1481" s="5" t="str">
        <f t="shared" si="283"/>
        <v>Junio</v>
      </c>
      <c r="I1481" s="6" t="str">
        <f>IF(OR(H1481="Enero",H1481="Febrero",H1481="Marzo",H1481="Abril",H1481="Mayo",H1481="Junio"),G1481&amp;"-1",IF(OR(H1481="Julio",H1481="Agosto",H1481="Septiembre",H1481="Octubre",H1481="Noviembre",H1481="Diciembre"),G1481&amp;"-2"))</f>
        <v>2025-1</v>
      </c>
      <c r="J1481" s="40">
        <v>149950.76733</v>
      </c>
      <c r="K1481" s="10">
        <v>167595.14529689998</v>
      </c>
      <c r="L1481" s="15">
        <f t="shared" ref="L1481:L1482" si="296">IFERROR(IF((K1481/J1481)&gt;1.3,1.3,K1481/J1481),"")</f>
        <v>1.1176678071147819</v>
      </c>
      <c r="M1481" s="15">
        <f t="shared" ref="M1481:M1483" si="297">IFERROR(K1481/J1481,"")</f>
        <v>1.1176678071147819</v>
      </c>
      <c r="N1481" s="5" t="s">
        <v>474</v>
      </c>
      <c r="O1481" s="5" t="s">
        <v>474</v>
      </c>
      <c r="P1481" s="5">
        <v>0</v>
      </c>
      <c r="Q1481" s="5">
        <v>0</v>
      </c>
      <c r="R1481" s="5" t="str">
        <f t="shared" si="272"/>
        <v>203-2025-06-30</v>
      </c>
    </row>
    <row r="1482" spans="1:18" x14ac:dyDescent="0.3">
      <c r="A1482" s="5">
        <v>204</v>
      </c>
      <c r="B1482" s="5" t="s">
        <v>85</v>
      </c>
      <c r="C1482" s="5" t="s">
        <v>84</v>
      </c>
      <c r="D1482" s="5" t="s">
        <v>8</v>
      </c>
      <c r="E1482" s="5" t="s">
        <v>9</v>
      </c>
      <c r="F1482" s="6">
        <v>45838</v>
      </c>
      <c r="G1482" s="5">
        <f t="shared" si="289"/>
        <v>2025</v>
      </c>
      <c r="H1482" s="5" t="str">
        <f t="shared" si="283"/>
        <v>Junio</v>
      </c>
      <c r="I1482" s="6" t="str">
        <f>IF(OR(H1482="Enero",H1482="Febrero",H1482="Marzo",H1482="Abril",H1482="Mayo",H1482="Junio"),G1482&amp;"-1",IF(OR(H1482="Julio",H1482="Agosto",H1482="Septiembre",H1482="Octubre",H1482="Noviembre",H1482="Diciembre"),G1482&amp;"-2"))</f>
        <v>2025-1</v>
      </c>
      <c r="J1482" s="11">
        <f>23623074007/1000000</f>
        <v>23623.074006999999</v>
      </c>
      <c r="K1482" s="9">
        <f>20526599049/1000000</f>
        <v>20526.599049</v>
      </c>
      <c r="L1482" s="15">
        <f t="shared" si="296"/>
        <v>0.86892159093763788</v>
      </c>
      <c r="M1482" s="15">
        <f t="shared" si="297"/>
        <v>0.86892159093763788</v>
      </c>
      <c r="N1482" s="5" t="s">
        <v>474</v>
      </c>
      <c r="O1482" s="5" t="s">
        <v>474</v>
      </c>
      <c r="P1482" s="5">
        <v>0</v>
      </c>
      <c r="Q1482" s="5">
        <v>0</v>
      </c>
      <c r="R1482" s="5" t="str">
        <f t="shared" si="272"/>
        <v>204-2025-06-30</v>
      </c>
    </row>
    <row r="1483" spans="1:18" x14ac:dyDescent="0.3">
      <c r="A1483" s="5">
        <v>205</v>
      </c>
      <c r="B1483" s="5" t="s">
        <v>86</v>
      </c>
      <c r="C1483" s="5" t="s">
        <v>84</v>
      </c>
      <c r="D1483" s="5" t="s">
        <v>8</v>
      </c>
      <c r="E1483" s="5" t="s">
        <v>9</v>
      </c>
      <c r="F1483" s="6">
        <v>45838</v>
      </c>
      <c r="G1483" s="5">
        <f t="shared" si="289"/>
        <v>2025</v>
      </c>
      <c r="H1483" s="5" t="str">
        <f t="shared" si="283"/>
        <v>Junio</v>
      </c>
      <c r="I1483" s="6" t="str">
        <f>IF(OR(H1483="Enero",H1483="Febrero",H1483="Marzo",H1483="Abril",H1483="Mayo",H1483="Junio"),G1483&amp;"-1",IF(OR(H1483="Julio",H1483="Agosto",H1483="Septiembre",H1483="Octubre",H1483="Noviembre",H1483="Diciembre"),G1483&amp;"-2"))</f>
        <v>2025-1</v>
      </c>
      <c r="J1483" s="5">
        <f>4817836342/1000000</f>
        <v>4817.8363419999996</v>
      </c>
      <c r="K1483" s="10">
        <f>8976120202.9/1000000</f>
        <v>8976.1202028999996</v>
      </c>
      <c r="L1483" s="15">
        <f t="shared" ref="L1483:L1488" si="298">IFERROR(IF((K1483/J1483)&gt;1.3,1.3,K1483/J1483),"")</f>
        <v>1.3</v>
      </c>
      <c r="M1483" s="15">
        <f t="shared" si="297"/>
        <v>1.8631019332578234</v>
      </c>
      <c r="N1483" s="5" t="s">
        <v>474</v>
      </c>
      <c r="O1483" s="5" t="s">
        <v>474</v>
      </c>
      <c r="P1483" s="5">
        <v>0</v>
      </c>
      <c r="Q1483" s="5">
        <v>0</v>
      </c>
      <c r="R1483" s="5" t="str">
        <f t="shared" si="272"/>
        <v>205-2025-06-30</v>
      </c>
    </row>
    <row r="1484" spans="1:18" x14ac:dyDescent="0.3">
      <c r="A1484" s="5">
        <v>207</v>
      </c>
      <c r="B1484" s="5" t="s">
        <v>88</v>
      </c>
      <c r="C1484" s="5" t="s">
        <v>84</v>
      </c>
      <c r="D1484" s="5" t="s">
        <v>8</v>
      </c>
      <c r="E1484" s="5" t="s">
        <v>14</v>
      </c>
      <c r="F1484" s="6">
        <v>45838</v>
      </c>
      <c r="G1484" s="5">
        <f t="shared" si="289"/>
        <v>2025</v>
      </c>
      <c r="H1484" s="5" t="str">
        <f t="shared" si="283"/>
        <v>Junio</v>
      </c>
      <c r="I1484" s="6" t="str">
        <f t="shared" ref="I1484:I1529" si="299">IF(OR(H1484="Enero",H1484="Febrero",H1484="Marzo",H1484="Abril",H1484="Mayo",H1484="Junio"),G1484&amp;"-1",IF(OR(H1484="Julio",H1484="Agosto",H1484="Septiembre",H1484="Octubre",H1484="Noviembre",H1484="Diciembre"),G1484&amp;"-2"))</f>
        <v>2025-1</v>
      </c>
      <c r="J1484" s="11">
        <v>131244.07283600001</v>
      </c>
      <c r="K1484" s="11">
        <v>145546.91852800001</v>
      </c>
      <c r="L1484" s="15">
        <f t="shared" si="298"/>
        <v>1.1089789838347408</v>
      </c>
      <c r="M1484" s="15">
        <f>IFERROR(IF((K1484/J1484)&gt;1.3,1.3,K1484/J1484),"")</f>
        <v>1.1089789838347408</v>
      </c>
      <c r="N1484" s="5" t="s">
        <v>474</v>
      </c>
      <c r="O1484" s="5" t="s">
        <v>474</v>
      </c>
      <c r="P1484" s="5">
        <v>0</v>
      </c>
      <c r="Q1484" s="5">
        <v>0</v>
      </c>
      <c r="R1484" s="5" t="str">
        <f t="shared" ref="R1484:R1531" si="300">A1484&amp;"-"&amp;YEAR(F1484)&amp;"-"&amp;IF(LEN(MONTH(F1484))=1,"0"&amp;MONTH(F1484),MONTH(F1484))&amp;"-"&amp;DAY(F1484)</f>
        <v>207-2025-06-30</v>
      </c>
    </row>
    <row r="1485" spans="1:18" x14ac:dyDescent="0.3">
      <c r="A1485" s="5">
        <v>239</v>
      </c>
      <c r="B1485" s="5" t="s">
        <v>116</v>
      </c>
      <c r="C1485" s="5" t="s">
        <v>117</v>
      </c>
      <c r="D1485" s="5" t="s">
        <v>18</v>
      </c>
      <c r="E1485" s="5" t="s">
        <v>9</v>
      </c>
      <c r="F1485" s="6">
        <v>45838</v>
      </c>
      <c r="G1485" s="5">
        <f t="shared" si="289"/>
        <v>2025</v>
      </c>
      <c r="H1485" s="5" t="str">
        <f t="shared" si="283"/>
        <v>Junio</v>
      </c>
      <c r="I1485" s="6" t="str">
        <f t="shared" si="299"/>
        <v>2025-1</v>
      </c>
      <c r="J1485" s="5"/>
      <c r="K1485" s="5">
        <v>41</v>
      </c>
      <c r="L1485" s="15" t="str">
        <f t="shared" si="298"/>
        <v/>
      </c>
      <c r="M1485" s="15" t="str">
        <f t="shared" ref="M1485:M1487" si="301">IFERROR(K1485/J1485,"")</f>
        <v/>
      </c>
      <c r="N1485" s="5" t="s">
        <v>728</v>
      </c>
      <c r="O1485" s="5"/>
      <c r="P1485" s="5">
        <v>0</v>
      </c>
      <c r="Q1485" s="5">
        <v>0</v>
      </c>
      <c r="R1485" s="5" t="str">
        <f t="shared" si="300"/>
        <v>239-2025-06-30</v>
      </c>
    </row>
    <row r="1486" spans="1:18" x14ac:dyDescent="0.3">
      <c r="A1486" s="5">
        <v>240</v>
      </c>
      <c r="B1486" s="5" t="s">
        <v>118</v>
      </c>
      <c r="C1486" s="5" t="s">
        <v>117</v>
      </c>
      <c r="D1486" s="5" t="s">
        <v>11</v>
      </c>
      <c r="E1486" s="5" t="s">
        <v>9</v>
      </c>
      <c r="F1486" s="6">
        <v>45838</v>
      </c>
      <c r="G1486" s="5">
        <f t="shared" si="289"/>
        <v>2025</v>
      </c>
      <c r="H1486" s="5" t="str">
        <f t="shared" si="283"/>
        <v>Junio</v>
      </c>
      <c r="I1486" s="6" t="str">
        <f t="shared" si="299"/>
        <v>2025-1</v>
      </c>
      <c r="J1486" s="5">
        <v>100</v>
      </c>
      <c r="K1486" s="5">
        <v>100</v>
      </c>
      <c r="L1486" s="15">
        <f t="shared" si="298"/>
        <v>1</v>
      </c>
      <c r="M1486" s="15">
        <f t="shared" si="301"/>
        <v>1</v>
      </c>
      <c r="N1486" s="5" t="s">
        <v>347</v>
      </c>
      <c r="O1486" s="5" t="s">
        <v>347</v>
      </c>
      <c r="P1486" s="5">
        <v>0</v>
      </c>
      <c r="Q1486" s="5">
        <v>0</v>
      </c>
      <c r="R1486" s="5" t="str">
        <f t="shared" si="300"/>
        <v>240-2025-06-30</v>
      </c>
    </row>
    <row r="1487" spans="1:18" x14ac:dyDescent="0.3">
      <c r="A1487" s="5">
        <v>241</v>
      </c>
      <c r="B1487" s="5" t="s">
        <v>119</v>
      </c>
      <c r="C1487" s="5" t="s">
        <v>117</v>
      </c>
      <c r="D1487" s="5" t="s">
        <v>18</v>
      </c>
      <c r="E1487" s="5" t="s">
        <v>9</v>
      </c>
      <c r="F1487" s="6">
        <v>45838</v>
      </c>
      <c r="G1487" s="5">
        <f t="shared" si="289"/>
        <v>2025</v>
      </c>
      <c r="H1487" s="5" t="str">
        <f t="shared" si="283"/>
        <v>Junio</v>
      </c>
      <c r="I1487" s="6" t="str">
        <f t="shared" si="299"/>
        <v>2025-1</v>
      </c>
      <c r="J1487" s="5">
        <v>80</v>
      </c>
      <c r="K1487" s="5"/>
      <c r="L1487" s="15">
        <f t="shared" si="298"/>
        <v>0</v>
      </c>
      <c r="M1487" s="15">
        <f t="shared" si="301"/>
        <v>0</v>
      </c>
      <c r="N1487" s="5"/>
      <c r="O1487" s="5"/>
      <c r="P1487" s="5">
        <v>0</v>
      </c>
      <c r="Q1487" s="5">
        <v>0</v>
      </c>
      <c r="R1487" s="5" t="str">
        <f t="shared" si="300"/>
        <v>241-2025-06-30</v>
      </c>
    </row>
    <row r="1488" spans="1:18" x14ac:dyDescent="0.3">
      <c r="A1488" s="5">
        <v>245</v>
      </c>
      <c r="B1488" s="5" t="s">
        <v>123</v>
      </c>
      <c r="C1488" s="5" t="s">
        <v>124</v>
      </c>
      <c r="D1488" s="5" t="s">
        <v>8</v>
      </c>
      <c r="E1488" s="5" t="s">
        <v>9</v>
      </c>
      <c r="F1488" s="6">
        <v>45838</v>
      </c>
      <c r="G1488" s="5">
        <f t="shared" si="289"/>
        <v>2025</v>
      </c>
      <c r="H1488" s="5" t="str">
        <f t="shared" si="283"/>
        <v>Junio</v>
      </c>
      <c r="I1488" s="6" t="str">
        <f t="shared" si="299"/>
        <v>2025-1</v>
      </c>
      <c r="J1488" s="5">
        <v>85.7</v>
      </c>
      <c r="K1488" s="5">
        <v>86.5</v>
      </c>
      <c r="L1488" s="15">
        <f t="shared" si="298"/>
        <v>1.0093348891481912</v>
      </c>
      <c r="M1488" s="15">
        <f>IFERROR(K1488/J1488,"")</f>
        <v>1.0093348891481912</v>
      </c>
      <c r="N1488" s="5" t="s">
        <v>347</v>
      </c>
      <c r="O1488" s="5" t="s">
        <v>347</v>
      </c>
      <c r="P1488" s="5">
        <v>0</v>
      </c>
      <c r="Q1488" s="5">
        <v>0</v>
      </c>
      <c r="R1488" s="5" t="str">
        <f t="shared" si="300"/>
        <v>245-2025-06-30</v>
      </c>
    </row>
    <row r="1489" spans="1:18" x14ac:dyDescent="0.3">
      <c r="A1489" s="5">
        <v>246</v>
      </c>
      <c r="B1489" s="5" t="s">
        <v>721</v>
      </c>
      <c r="C1489" s="5" t="s">
        <v>126</v>
      </c>
      <c r="D1489" s="5" t="s">
        <v>8</v>
      </c>
      <c r="E1489" s="5" t="s">
        <v>9</v>
      </c>
      <c r="F1489" s="6">
        <v>45838</v>
      </c>
      <c r="G1489" s="5">
        <f t="shared" si="289"/>
        <v>2025</v>
      </c>
      <c r="H1489" s="5" t="str">
        <f t="shared" si="283"/>
        <v>Junio</v>
      </c>
      <c r="I1489" s="6" t="str">
        <f t="shared" si="299"/>
        <v>2025-1</v>
      </c>
      <c r="J1489" s="5">
        <v>90</v>
      </c>
      <c r="K1489" s="5">
        <v>90.1</v>
      </c>
      <c r="L1489" s="15">
        <f t="shared" ref="L1489:L1494" si="302">IFERROR(IF((K1489/J1489)&gt;1.3,1.3,K1489/J1489),"")</f>
        <v>1.0011111111111111</v>
      </c>
      <c r="M1489" s="15">
        <f t="shared" ref="M1489" si="303">IFERROR(K1489/J1489,"")</f>
        <v>1.0011111111111111</v>
      </c>
      <c r="N1489" s="5" t="s">
        <v>347</v>
      </c>
      <c r="O1489" s="5" t="s">
        <v>347</v>
      </c>
      <c r="P1489" s="5">
        <v>0</v>
      </c>
      <c r="Q1489" s="5">
        <v>0</v>
      </c>
      <c r="R1489" s="5" t="str">
        <f t="shared" si="300"/>
        <v>246-2025-06-30</v>
      </c>
    </row>
    <row r="1490" spans="1:18" x14ac:dyDescent="0.3">
      <c r="A1490" s="39">
        <v>251</v>
      </c>
      <c r="B1490" s="5" t="s">
        <v>133</v>
      </c>
      <c r="C1490" s="5" t="s">
        <v>134</v>
      </c>
      <c r="D1490" s="5" t="s">
        <v>11</v>
      </c>
      <c r="E1490" s="5" t="s">
        <v>9</v>
      </c>
      <c r="F1490" s="6">
        <v>45838</v>
      </c>
      <c r="G1490" s="5">
        <f t="shared" si="289"/>
        <v>2025</v>
      </c>
      <c r="H1490" s="5" t="str">
        <f t="shared" si="283"/>
        <v>Junio</v>
      </c>
      <c r="I1490" s="6" t="str">
        <f t="shared" si="299"/>
        <v>2025-1</v>
      </c>
      <c r="J1490" s="5">
        <v>100</v>
      </c>
      <c r="K1490" s="5">
        <v>82.35</v>
      </c>
      <c r="L1490" s="15">
        <f t="shared" si="302"/>
        <v>0.8234999999999999</v>
      </c>
      <c r="M1490" s="15">
        <f>IFERROR(K1490/J1490,"")</f>
        <v>0.8234999999999999</v>
      </c>
      <c r="N1490" s="5" t="s">
        <v>347</v>
      </c>
      <c r="O1490" s="5" t="s">
        <v>347</v>
      </c>
      <c r="P1490" s="5">
        <v>0</v>
      </c>
      <c r="Q1490" s="5">
        <v>0</v>
      </c>
      <c r="R1490" s="5" t="str">
        <f t="shared" si="300"/>
        <v>251-2025-06-30</v>
      </c>
    </row>
    <row r="1491" spans="1:18" x14ac:dyDescent="0.3">
      <c r="A1491" s="5">
        <v>252</v>
      </c>
      <c r="B1491" s="5" t="s">
        <v>135</v>
      </c>
      <c r="C1491" s="5" t="s">
        <v>124</v>
      </c>
      <c r="D1491" s="5" t="s">
        <v>8</v>
      </c>
      <c r="E1491" s="5" t="s">
        <v>9</v>
      </c>
      <c r="F1491" s="6">
        <v>45838</v>
      </c>
      <c r="G1491" s="5">
        <f t="shared" si="289"/>
        <v>2025</v>
      </c>
      <c r="H1491" s="5" t="str">
        <f t="shared" si="283"/>
        <v>Junio</v>
      </c>
      <c r="I1491" s="6" t="str">
        <f t="shared" si="299"/>
        <v>2025-1</v>
      </c>
      <c r="J1491" s="5">
        <v>71.599999999999994</v>
      </c>
      <c r="K1491" s="10">
        <v>71.3</v>
      </c>
      <c r="L1491" s="15">
        <f t="shared" si="302"/>
        <v>0.99581005586592186</v>
      </c>
      <c r="M1491" s="15">
        <f>IFERROR(K1491/J1491,"")</f>
        <v>0.99581005586592186</v>
      </c>
      <c r="N1491" s="5" t="s">
        <v>347</v>
      </c>
      <c r="O1491" s="5" t="s">
        <v>347</v>
      </c>
      <c r="P1491" s="5">
        <v>0</v>
      </c>
      <c r="Q1491" s="5">
        <v>0</v>
      </c>
      <c r="R1491" s="5" t="str">
        <f t="shared" si="300"/>
        <v>252-2025-06-30</v>
      </c>
    </row>
    <row r="1492" spans="1:18" x14ac:dyDescent="0.3">
      <c r="A1492" s="5">
        <v>254</v>
      </c>
      <c r="B1492" s="5" t="s">
        <v>415</v>
      </c>
      <c r="C1492" s="5" t="s">
        <v>131</v>
      </c>
      <c r="D1492" s="5" t="s">
        <v>11</v>
      </c>
      <c r="E1492" s="5" t="s">
        <v>9</v>
      </c>
      <c r="F1492" s="6">
        <v>45838</v>
      </c>
      <c r="G1492" s="5">
        <f t="shared" si="289"/>
        <v>2025</v>
      </c>
      <c r="H1492" s="5" t="str">
        <f t="shared" si="283"/>
        <v>Junio</v>
      </c>
      <c r="I1492" s="6" t="str">
        <f t="shared" si="299"/>
        <v>2025-1</v>
      </c>
      <c r="J1492" s="5">
        <v>84</v>
      </c>
      <c r="K1492" s="5">
        <v>84</v>
      </c>
      <c r="L1492" s="15">
        <f t="shared" si="302"/>
        <v>1</v>
      </c>
      <c r="M1492" s="15">
        <f t="shared" ref="M1492:M1493" si="304">IFERROR(K1492/J1492,"")</f>
        <v>1</v>
      </c>
      <c r="N1492" s="5" t="s">
        <v>347</v>
      </c>
      <c r="O1492" s="5" t="s">
        <v>347</v>
      </c>
      <c r="P1492" s="5">
        <v>0</v>
      </c>
      <c r="Q1492" s="5">
        <v>0</v>
      </c>
      <c r="R1492" s="5" t="str">
        <f t="shared" si="300"/>
        <v>254-2025-06-30</v>
      </c>
    </row>
    <row r="1493" spans="1:18" x14ac:dyDescent="0.3">
      <c r="A1493" s="5">
        <v>256</v>
      </c>
      <c r="B1493" s="5" t="s">
        <v>138</v>
      </c>
      <c r="C1493" s="5" t="s">
        <v>67</v>
      </c>
      <c r="D1493" s="5" t="s">
        <v>8</v>
      </c>
      <c r="E1493" s="5" t="s">
        <v>9</v>
      </c>
      <c r="F1493" s="6">
        <v>45838</v>
      </c>
      <c r="G1493" s="5">
        <f t="shared" si="289"/>
        <v>2025</v>
      </c>
      <c r="H1493" s="5" t="str">
        <f t="shared" si="283"/>
        <v>Junio</v>
      </c>
      <c r="I1493" s="6" t="str">
        <f t="shared" si="299"/>
        <v>2025-1</v>
      </c>
      <c r="J1493" s="5">
        <v>17</v>
      </c>
      <c r="K1493" s="10">
        <v>17</v>
      </c>
      <c r="L1493" s="15">
        <f t="shared" si="302"/>
        <v>1</v>
      </c>
      <c r="M1493" s="15">
        <f t="shared" si="304"/>
        <v>1</v>
      </c>
      <c r="N1493" s="5" t="s">
        <v>490</v>
      </c>
      <c r="O1493" s="5" t="s">
        <v>490</v>
      </c>
      <c r="P1493" s="5">
        <v>0</v>
      </c>
      <c r="Q1493" s="5">
        <v>0</v>
      </c>
      <c r="R1493" s="5" t="str">
        <f t="shared" si="300"/>
        <v>256-2025-06-30</v>
      </c>
    </row>
    <row r="1494" spans="1:18" x14ac:dyDescent="0.3">
      <c r="A1494" s="5">
        <v>260</v>
      </c>
      <c r="B1494" s="5" t="s">
        <v>141</v>
      </c>
      <c r="C1494" s="5" t="s">
        <v>142</v>
      </c>
      <c r="D1494" s="5" t="s">
        <v>8</v>
      </c>
      <c r="E1494" s="5" t="s">
        <v>14</v>
      </c>
      <c r="F1494" s="6">
        <v>45838</v>
      </c>
      <c r="G1494" s="5">
        <f t="shared" si="289"/>
        <v>2025</v>
      </c>
      <c r="H1494" s="5" t="str">
        <f t="shared" si="283"/>
        <v>Junio</v>
      </c>
      <c r="I1494" s="6" t="str">
        <f t="shared" si="299"/>
        <v>2025-1</v>
      </c>
      <c r="J1494" s="5">
        <v>2.2000000000000002</v>
      </c>
      <c r="K1494" s="5">
        <v>1.9</v>
      </c>
      <c r="L1494" s="15">
        <f t="shared" si="302"/>
        <v>0.86363636363636354</v>
      </c>
      <c r="M1494" s="15">
        <f>IFERROR(K1494/J1494,"")</f>
        <v>0.86363636363636354</v>
      </c>
      <c r="N1494" s="5" t="s">
        <v>478</v>
      </c>
      <c r="O1494" s="5" t="s">
        <v>478</v>
      </c>
      <c r="P1494" s="5">
        <v>1</v>
      </c>
      <c r="Q1494" s="5">
        <v>1</v>
      </c>
      <c r="R1494" s="5" t="str">
        <f t="shared" si="300"/>
        <v>260-2025-06-30</v>
      </c>
    </row>
    <row r="1495" spans="1:18" x14ac:dyDescent="0.3">
      <c r="A1495" s="5">
        <v>261</v>
      </c>
      <c r="B1495" s="5" t="s">
        <v>143</v>
      </c>
      <c r="C1495" s="5" t="s">
        <v>74</v>
      </c>
      <c r="D1495" s="5" t="s">
        <v>8</v>
      </c>
      <c r="E1495" s="5" t="s">
        <v>14</v>
      </c>
      <c r="F1495" s="6">
        <v>45838</v>
      </c>
      <c r="G1495" s="5">
        <f t="shared" si="289"/>
        <v>2025</v>
      </c>
      <c r="H1495" s="5" t="str">
        <f t="shared" si="283"/>
        <v>Junio</v>
      </c>
      <c r="I1495" s="6" t="str">
        <f t="shared" si="299"/>
        <v>2025-1</v>
      </c>
      <c r="J1495" s="5">
        <v>2.2000000000000002</v>
      </c>
      <c r="K1495" s="5">
        <v>2.2999999999999998</v>
      </c>
      <c r="L1495" s="15">
        <f>IFERROR(IF((J1495/K1495)&gt;1.3,1.3,J1495/K1495),"")</f>
        <v>0.95652173913043492</v>
      </c>
      <c r="M1495" s="15">
        <f>IFERROR(J1495/K1495,"")</f>
        <v>0.95652173913043492</v>
      </c>
      <c r="N1495" s="5" t="s">
        <v>478</v>
      </c>
      <c r="O1495" s="5" t="s">
        <v>478</v>
      </c>
      <c r="P1495" s="5">
        <v>1</v>
      </c>
      <c r="Q1495" s="5">
        <v>1</v>
      </c>
      <c r="R1495" s="5" t="str">
        <f t="shared" si="300"/>
        <v>261-2025-06-30</v>
      </c>
    </row>
    <row r="1496" spans="1:18" x14ac:dyDescent="0.3">
      <c r="A1496" s="5">
        <v>263</v>
      </c>
      <c r="B1496" s="5" t="s">
        <v>146</v>
      </c>
      <c r="C1496" s="5" t="s">
        <v>145</v>
      </c>
      <c r="D1496" s="5" t="s">
        <v>11</v>
      </c>
      <c r="E1496" s="5" t="s">
        <v>9</v>
      </c>
      <c r="F1496" s="6">
        <v>45838</v>
      </c>
      <c r="G1496" s="5">
        <f t="shared" si="289"/>
        <v>2025</v>
      </c>
      <c r="H1496" s="5" t="str">
        <f t="shared" si="283"/>
        <v>Junio</v>
      </c>
      <c r="I1496" s="6" t="str">
        <f t="shared" si="299"/>
        <v>2025-1</v>
      </c>
      <c r="J1496" s="5">
        <v>100</v>
      </c>
      <c r="K1496" s="5">
        <v>100</v>
      </c>
      <c r="L1496" s="15">
        <f>IFERROR(IF((K1496/J1496)&gt;1.3,1.3,K1496/J1496),"")</f>
        <v>1</v>
      </c>
      <c r="M1496" s="15">
        <f t="shared" ref="M1496:M1499" si="305">IFERROR(K1496/J1496,"")</f>
        <v>1</v>
      </c>
      <c r="N1496" s="5" t="s">
        <v>347</v>
      </c>
      <c r="O1496" s="5" t="s">
        <v>347</v>
      </c>
      <c r="P1496" s="5">
        <v>0</v>
      </c>
      <c r="Q1496" s="5">
        <v>0</v>
      </c>
      <c r="R1496" s="5" t="str">
        <f t="shared" si="300"/>
        <v>263-2025-06-30</v>
      </c>
    </row>
    <row r="1497" spans="1:18" x14ac:dyDescent="0.3">
      <c r="A1497" s="5">
        <v>265</v>
      </c>
      <c r="B1497" s="5" t="s">
        <v>496</v>
      </c>
      <c r="C1497" s="5" t="s">
        <v>145</v>
      </c>
      <c r="D1497" s="5" t="s">
        <v>8</v>
      </c>
      <c r="E1497" s="5" t="s">
        <v>9</v>
      </c>
      <c r="F1497" s="6">
        <v>45838</v>
      </c>
      <c r="G1497" s="5">
        <f t="shared" si="289"/>
        <v>2025</v>
      </c>
      <c r="H1497" s="5" t="str">
        <f t="shared" si="283"/>
        <v>Junio</v>
      </c>
      <c r="I1497" s="6" t="str">
        <f t="shared" si="299"/>
        <v>2025-1</v>
      </c>
      <c r="J1497" s="5">
        <v>95</v>
      </c>
      <c r="K1497" s="5">
        <v>100</v>
      </c>
      <c r="L1497" s="15">
        <f>IFERROR(IF((K1497/J1497)&gt;1.3,1.3,K1497/J1497),"")</f>
        <v>1.0526315789473684</v>
      </c>
      <c r="M1497" s="15">
        <f t="shared" si="305"/>
        <v>1.0526315789473684</v>
      </c>
      <c r="N1497" s="5" t="s">
        <v>347</v>
      </c>
      <c r="O1497" s="5" t="s">
        <v>347</v>
      </c>
      <c r="P1497" s="5">
        <v>0</v>
      </c>
      <c r="Q1497" s="5">
        <v>0</v>
      </c>
      <c r="R1497" s="5" t="str">
        <f t="shared" si="300"/>
        <v>265-2025-06-30</v>
      </c>
    </row>
    <row r="1498" spans="1:18" x14ac:dyDescent="0.3">
      <c r="A1498" s="5">
        <v>266</v>
      </c>
      <c r="B1498" s="5" t="s">
        <v>149</v>
      </c>
      <c r="C1498" s="5" t="s">
        <v>145</v>
      </c>
      <c r="D1498" s="5" t="s">
        <v>8</v>
      </c>
      <c r="E1498" s="5" t="s">
        <v>9</v>
      </c>
      <c r="F1498" s="6">
        <v>45838</v>
      </c>
      <c r="G1498" s="5">
        <f t="shared" si="289"/>
        <v>2025</v>
      </c>
      <c r="H1498" s="5" t="str">
        <f t="shared" ref="H1498:H1540" si="306">PROPER(TEXT(F1498,"mmmm"))</f>
        <v>Junio</v>
      </c>
      <c r="I1498" s="6" t="str">
        <f t="shared" si="299"/>
        <v>2025-1</v>
      </c>
      <c r="J1498" s="5">
        <v>95</v>
      </c>
      <c r="K1498" s="5">
        <v>53.15</v>
      </c>
      <c r="L1498" s="15">
        <f>IFERROR(IF((K1498/J1498)&gt;1.3,1.3,K1498/J1498),"")</f>
        <v>0.55947368421052635</v>
      </c>
      <c r="M1498" s="15">
        <f t="shared" si="305"/>
        <v>0.55947368421052635</v>
      </c>
      <c r="N1498" s="5" t="s">
        <v>347</v>
      </c>
      <c r="O1498" s="5" t="s">
        <v>347</v>
      </c>
      <c r="P1498" s="5">
        <v>0</v>
      </c>
      <c r="Q1498" s="5">
        <v>0</v>
      </c>
      <c r="R1498" s="5" t="str">
        <f t="shared" si="300"/>
        <v>266-2025-06-30</v>
      </c>
    </row>
    <row r="1499" spans="1:18" x14ac:dyDescent="0.3">
      <c r="A1499" s="5">
        <v>274</v>
      </c>
      <c r="B1499" s="5" t="s">
        <v>159</v>
      </c>
      <c r="C1499" s="5" t="s">
        <v>142</v>
      </c>
      <c r="D1499" s="5" t="s">
        <v>8</v>
      </c>
      <c r="E1499" s="5" t="s">
        <v>9</v>
      </c>
      <c r="F1499" s="6">
        <v>45838</v>
      </c>
      <c r="G1499" s="5">
        <f t="shared" si="289"/>
        <v>2025</v>
      </c>
      <c r="H1499" s="5" t="str">
        <f t="shared" si="306"/>
        <v>Junio</v>
      </c>
      <c r="I1499" s="6" t="str">
        <f t="shared" si="299"/>
        <v>2025-1</v>
      </c>
      <c r="J1499" s="82">
        <v>40026</v>
      </c>
      <c r="K1499" s="81">
        <v>42364</v>
      </c>
      <c r="L1499" s="15">
        <f t="shared" ref="L1499" si="307">IFERROR(IF((K1499/J1499)&gt;1.3,1.3,K1499/J1499),"")</f>
        <v>1.0584120321790835</v>
      </c>
      <c r="M1499" s="15">
        <f t="shared" si="305"/>
        <v>1.0584120321790835</v>
      </c>
      <c r="N1499" s="5" t="s">
        <v>490</v>
      </c>
      <c r="O1499" s="5" t="s">
        <v>490</v>
      </c>
      <c r="P1499" s="5">
        <v>0</v>
      </c>
      <c r="Q1499" s="5">
        <v>0</v>
      </c>
      <c r="R1499" s="5" t="str">
        <f t="shared" si="300"/>
        <v>274-2025-06-30</v>
      </c>
    </row>
    <row r="1500" spans="1:18" x14ac:dyDescent="0.3">
      <c r="A1500" s="5">
        <v>276</v>
      </c>
      <c r="B1500" s="5" t="s">
        <v>161</v>
      </c>
      <c r="C1500" s="5" t="s">
        <v>162</v>
      </c>
      <c r="D1500" s="5" t="s">
        <v>8</v>
      </c>
      <c r="E1500" s="5" t="s">
        <v>14</v>
      </c>
      <c r="F1500" s="17">
        <v>45473</v>
      </c>
      <c r="G1500" s="16">
        <f t="shared" si="289"/>
        <v>2024</v>
      </c>
      <c r="H1500" s="6" t="str">
        <f t="shared" si="306"/>
        <v>Junio</v>
      </c>
      <c r="I1500" s="6" t="str">
        <f t="shared" si="299"/>
        <v>2024-1</v>
      </c>
      <c r="J1500" s="5">
        <v>81</v>
      </c>
      <c r="K1500" s="10">
        <v>84.18</v>
      </c>
      <c r="L1500" s="15">
        <f>IFERROR(IF((J1500/K1500)&gt;1.3,1.3,J1500/K1500),"")</f>
        <v>0.96222380612972191</v>
      </c>
      <c r="M1500" s="15">
        <f>IFERROR(J1500/K1500,"")</f>
        <v>0.96222380612972191</v>
      </c>
      <c r="N1500" s="5"/>
      <c r="O1500" s="5"/>
      <c r="P1500" s="5">
        <v>0</v>
      </c>
      <c r="Q1500" s="5">
        <v>1</v>
      </c>
      <c r="R1500" s="5" t="str">
        <f t="shared" si="300"/>
        <v>276-2024-06-30</v>
      </c>
    </row>
    <row r="1501" spans="1:18" x14ac:dyDescent="0.3">
      <c r="A1501" s="39">
        <v>277</v>
      </c>
      <c r="B1501" s="5" t="s">
        <v>163</v>
      </c>
      <c r="C1501" s="5" t="s">
        <v>162</v>
      </c>
      <c r="D1501" s="5" t="s">
        <v>8</v>
      </c>
      <c r="E1501" s="5" t="s">
        <v>14</v>
      </c>
      <c r="F1501" s="17">
        <v>45838</v>
      </c>
      <c r="G1501" s="5">
        <f t="shared" si="289"/>
        <v>2025</v>
      </c>
      <c r="H1501" s="5" t="str">
        <f t="shared" si="306"/>
        <v>Junio</v>
      </c>
      <c r="I1501" s="6" t="str">
        <f t="shared" si="299"/>
        <v>2025-1</v>
      </c>
      <c r="J1501" s="5">
        <v>71</v>
      </c>
      <c r="K1501" s="5">
        <v>69.39</v>
      </c>
      <c r="L1501" s="8">
        <f>IFERROR(J1501/K1501,"")</f>
        <v>1.0232021905173656</v>
      </c>
      <c r="M1501" s="15">
        <f>IFERROR(J1501/K1501,"")</f>
        <v>1.0232021905173656</v>
      </c>
      <c r="N1501" s="5"/>
      <c r="O1501" s="5"/>
      <c r="P1501" s="5">
        <v>0</v>
      </c>
      <c r="Q1501" s="5">
        <v>1</v>
      </c>
      <c r="R1501" s="5" t="str">
        <f t="shared" si="300"/>
        <v>277-2025-06-30</v>
      </c>
    </row>
    <row r="1502" spans="1:18" x14ac:dyDescent="0.3">
      <c r="A1502" s="5">
        <v>282</v>
      </c>
      <c r="B1502" s="5" t="s">
        <v>168</v>
      </c>
      <c r="C1502" s="5" t="s">
        <v>162</v>
      </c>
      <c r="D1502" s="5" t="s">
        <v>8</v>
      </c>
      <c r="E1502" s="5" t="s">
        <v>9</v>
      </c>
      <c r="F1502" s="6">
        <v>45838</v>
      </c>
      <c r="G1502" s="5">
        <f t="shared" si="289"/>
        <v>2025</v>
      </c>
      <c r="H1502" s="5" t="str">
        <f t="shared" si="306"/>
        <v>Junio</v>
      </c>
      <c r="I1502" s="6" t="str">
        <f t="shared" si="299"/>
        <v>2025-1</v>
      </c>
      <c r="J1502" s="5">
        <v>97</v>
      </c>
      <c r="K1502" s="5">
        <v>97.41</v>
      </c>
      <c r="L1502" s="15">
        <f>IFERROR(IF((K1502/J1502)&gt;1.3,1.3,K1502/J1502),"")</f>
        <v>1.0042268041237112</v>
      </c>
      <c r="M1502" s="15">
        <f>IFERROR(K1502/J1502,"")</f>
        <v>1.0042268041237112</v>
      </c>
      <c r="N1502" s="11" t="s">
        <v>347</v>
      </c>
      <c r="O1502" s="11" t="s">
        <v>347</v>
      </c>
      <c r="P1502" s="5">
        <v>0</v>
      </c>
      <c r="Q1502" s="5">
        <v>0</v>
      </c>
      <c r="R1502" s="5" t="str">
        <f t="shared" si="300"/>
        <v>282-2025-06-30</v>
      </c>
    </row>
    <row r="1503" spans="1:18" x14ac:dyDescent="0.3">
      <c r="A1503" s="5">
        <v>285</v>
      </c>
      <c r="B1503" s="5" t="s">
        <v>171</v>
      </c>
      <c r="C1503" s="5" t="s">
        <v>162</v>
      </c>
      <c r="D1503" s="5" t="s">
        <v>8</v>
      </c>
      <c r="E1503" s="5" t="s">
        <v>9</v>
      </c>
      <c r="F1503" s="6">
        <v>45838</v>
      </c>
      <c r="G1503" s="5">
        <f t="shared" si="289"/>
        <v>2025</v>
      </c>
      <c r="H1503" s="5" t="str">
        <f t="shared" si="306"/>
        <v>Junio</v>
      </c>
      <c r="I1503" s="6" t="str">
        <f t="shared" si="299"/>
        <v>2025-1</v>
      </c>
      <c r="J1503" s="5">
        <v>100</v>
      </c>
      <c r="K1503" s="5">
        <v>100</v>
      </c>
      <c r="L1503" s="15">
        <f>IFERROR(IF((K1503/J1503)&gt;1.3,1.3,K1503/J1503),"")</f>
        <v>1</v>
      </c>
      <c r="M1503" s="15">
        <f t="shared" ref="M1503:M1504" si="308">IFERROR(K1503/J1503,"")</f>
        <v>1</v>
      </c>
      <c r="N1503" s="5" t="s">
        <v>347</v>
      </c>
      <c r="O1503" s="5" t="s">
        <v>347</v>
      </c>
      <c r="P1503" s="5">
        <v>0</v>
      </c>
      <c r="Q1503" s="5">
        <v>0</v>
      </c>
      <c r="R1503" s="5" t="str">
        <f t="shared" si="300"/>
        <v>285-2025-06-30</v>
      </c>
    </row>
    <row r="1504" spans="1:18" x14ac:dyDescent="0.3">
      <c r="A1504" s="5">
        <v>292</v>
      </c>
      <c r="B1504" s="5" t="s">
        <v>729</v>
      </c>
      <c r="C1504" s="5" t="s">
        <v>177</v>
      </c>
      <c r="D1504" s="5" t="s">
        <v>8</v>
      </c>
      <c r="E1504" s="5" t="s">
        <v>9</v>
      </c>
      <c r="F1504" s="6">
        <v>45838</v>
      </c>
      <c r="G1504" s="5">
        <f t="shared" si="289"/>
        <v>2025</v>
      </c>
      <c r="H1504" s="5" t="str">
        <f t="shared" si="306"/>
        <v>Junio</v>
      </c>
      <c r="I1504" s="6" t="str">
        <f t="shared" si="299"/>
        <v>2025-1</v>
      </c>
      <c r="J1504" s="5">
        <v>8</v>
      </c>
      <c r="K1504" s="5">
        <v>9.7899999999999991</v>
      </c>
      <c r="L1504" s="15">
        <f>IFERROR(IF((K1504/J1504)&gt;1.3,1.3,K1504/J1504),"")</f>
        <v>1.2237499999999999</v>
      </c>
      <c r="M1504" s="15">
        <f t="shared" si="308"/>
        <v>1.2237499999999999</v>
      </c>
      <c r="N1504" s="5" t="s">
        <v>347</v>
      </c>
      <c r="O1504" s="5" t="s">
        <v>347</v>
      </c>
      <c r="P1504" s="5">
        <v>0</v>
      </c>
      <c r="Q1504" s="5">
        <v>0</v>
      </c>
      <c r="R1504" s="5" t="str">
        <f t="shared" si="300"/>
        <v>292-2025-06-30</v>
      </c>
    </row>
    <row r="1505" spans="1:18" x14ac:dyDescent="0.3">
      <c r="A1505" s="5">
        <v>294</v>
      </c>
      <c r="B1505" s="5" t="s">
        <v>512</v>
      </c>
      <c r="C1505" s="5" t="s">
        <v>177</v>
      </c>
      <c r="D1505" s="5" t="s">
        <v>8</v>
      </c>
      <c r="E1505" s="5" t="s">
        <v>9</v>
      </c>
      <c r="F1505" s="6">
        <v>45838</v>
      </c>
      <c r="G1505" s="5">
        <f t="shared" si="289"/>
        <v>2025</v>
      </c>
      <c r="H1505" s="5" t="str">
        <f t="shared" si="306"/>
        <v>Junio</v>
      </c>
      <c r="I1505" s="6" t="str">
        <f t="shared" si="299"/>
        <v>2025-1</v>
      </c>
      <c r="J1505" s="5">
        <v>8</v>
      </c>
      <c r="K1505" s="10">
        <v>-9.19</v>
      </c>
      <c r="L1505" s="15">
        <v>0</v>
      </c>
      <c r="M1505" s="15">
        <v>0</v>
      </c>
      <c r="N1505" s="5" t="s">
        <v>347</v>
      </c>
      <c r="O1505" s="5" t="s">
        <v>347</v>
      </c>
      <c r="P1505" s="5">
        <v>0</v>
      </c>
      <c r="Q1505" s="5">
        <v>0</v>
      </c>
      <c r="R1505" s="5" t="str">
        <f t="shared" si="300"/>
        <v>294-2025-06-30</v>
      </c>
    </row>
    <row r="1506" spans="1:18" x14ac:dyDescent="0.3">
      <c r="A1506" s="5">
        <v>300</v>
      </c>
      <c r="B1506" s="5" t="s">
        <v>184</v>
      </c>
      <c r="C1506" s="5" t="s">
        <v>185</v>
      </c>
      <c r="D1506" s="5" t="s">
        <v>11</v>
      </c>
      <c r="E1506" s="5" t="s">
        <v>9</v>
      </c>
      <c r="F1506" s="6">
        <v>45838</v>
      </c>
      <c r="G1506" s="5">
        <f t="shared" si="289"/>
        <v>2025</v>
      </c>
      <c r="H1506" s="5" t="str">
        <f t="shared" si="306"/>
        <v>Junio</v>
      </c>
      <c r="I1506" s="6" t="str">
        <f t="shared" si="299"/>
        <v>2025-1</v>
      </c>
      <c r="J1506" s="5">
        <v>100</v>
      </c>
      <c r="K1506" s="5">
        <v>100</v>
      </c>
      <c r="L1506" s="15">
        <f>IFERROR(IF((K1506/J1506)&gt;1.3,1.3,K1506/J1506),"")</f>
        <v>1</v>
      </c>
      <c r="M1506" s="15">
        <f t="shared" ref="M1506:M1509" si="309">IFERROR(K1506/J1506,"")</f>
        <v>1</v>
      </c>
      <c r="N1506" s="5" t="s">
        <v>347</v>
      </c>
      <c r="O1506" s="5" t="s">
        <v>347</v>
      </c>
      <c r="P1506" s="5">
        <v>0</v>
      </c>
      <c r="Q1506" s="5">
        <v>0</v>
      </c>
      <c r="R1506" s="5" t="str">
        <f t="shared" si="300"/>
        <v>300-2025-06-30</v>
      </c>
    </row>
    <row r="1507" spans="1:18" x14ac:dyDescent="0.3">
      <c r="A1507" s="5">
        <v>301</v>
      </c>
      <c r="B1507" s="5" t="s">
        <v>186</v>
      </c>
      <c r="C1507" s="5" t="s">
        <v>185</v>
      </c>
      <c r="D1507" s="5" t="s">
        <v>11</v>
      </c>
      <c r="E1507" s="5" t="s">
        <v>9</v>
      </c>
      <c r="F1507" s="6">
        <v>45838</v>
      </c>
      <c r="G1507" s="5">
        <f t="shared" si="289"/>
        <v>2025</v>
      </c>
      <c r="H1507" s="5" t="str">
        <f t="shared" si="306"/>
        <v>Junio</v>
      </c>
      <c r="I1507" s="6" t="str">
        <f t="shared" si="299"/>
        <v>2025-1</v>
      </c>
      <c r="J1507" s="5">
        <v>100</v>
      </c>
      <c r="K1507" s="5">
        <v>100</v>
      </c>
      <c r="L1507" s="15">
        <f>IFERROR(IF((K1507/J1507)&gt;1.3,1.3,K1507/J1507),"")</f>
        <v>1</v>
      </c>
      <c r="M1507" s="15">
        <f t="shared" si="309"/>
        <v>1</v>
      </c>
      <c r="N1507" s="5" t="s">
        <v>347</v>
      </c>
      <c r="O1507" s="5" t="s">
        <v>347</v>
      </c>
      <c r="P1507" s="5">
        <v>0</v>
      </c>
      <c r="Q1507" s="5">
        <v>0</v>
      </c>
      <c r="R1507" s="5" t="str">
        <f t="shared" si="300"/>
        <v>301-2025-06-30</v>
      </c>
    </row>
    <row r="1508" spans="1:18" x14ac:dyDescent="0.3">
      <c r="A1508" s="5">
        <v>303</v>
      </c>
      <c r="B1508" s="5" t="s">
        <v>188</v>
      </c>
      <c r="C1508" s="5" t="s">
        <v>189</v>
      </c>
      <c r="D1508" s="5" t="s">
        <v>8</v>
      </c>
      <c r="E1508" s="5" t="s">
        <v>9</v>
      </c>
      <c r="F1508" s="6">
        <v>45838</v>
      </c>
      <c r="G1508" s="5">
        <f t="shared" si="289"/>
        <v>2025</v>
      </c>
      <c r="H1508" s="5" t="str">
        <f t="shared" si="306"/>
        <v>Junio</v>
      </c>
      <c r="I1508" s="6" t="str">
        <f t="shared" si="299"/>
        <v>2025-1</v>
      </c>
      <c r="J1508" s="5">
        <v>95</v>
      </c>
      <c r="K1508" s="5">
        <v>90.21</v>
      </c>
      <c r="L1508" s="15">
        <f>IFERROR(IF((K1508/J1508)&gt;1.3,1.3,K1508/J1508),"")</f>
        <v>0.94957894736842097</v>
      </c>
      <c r="M1508" s="15">
        <f t="shared" si="309"/>
        <v>0.94957894736842097</v>
      </c>
      <c r="N1508" s="5" t="s">
        <v>347</v>
      </c>
      <c r="O1508" s="5" t="s">
        <v>347</v>
      </c>
      <c r="P1508" s="5">
        <v>0</v>
      </c>
      <c r="Q1508" s="5">
        <v>0</v>
      </c>
      <c r="R1508" s="5" t="str">
        <f t="shared" si="300"/>
        <v>303-2025-06-30</v>
      </c>
    </row>
    <row r="1509" spans="1:18" x14ac:dyDescent="0.3">
      <c r="A1509" s="5">
        <v>304</v>
      </c>
      <c r="B1509" s="5" t="s">
        <v>190</v>
      </c>
      <c r="C1509" s="5" t="s">
        <v>189</v>
      </c>
      <c r="D1509" s="5" t="s">
        <v>8</v>
      </c>
      <c r="E1509" s="5" t="s">
        <v>9</v>
      </c>
      <c r="F1509" s="6">
        <v>45838</v>
      </c>
      <c r="G1509" s="5">
        <f t="shared" si="289"/>
        <v>2025</v>
      </c>
      <c r="H1509" s="5" t="str">
        <f t="shared" si="306"/>
        <v>Junio</v>
      </c>
      <c r="I1509" s="6" t="str">
        <f t="shared" si="299"/>
        <v>2025-1</v>
      </c>
      <c r="J1509" s="5">
        <v>3400</v>
      </c>
      <c r="K1509" s="5">
        <v>3348</v>
      </c>
      <c r="L1509" s="15">
        <f>IFERROR(IF((K1509/J1509)&gt;1.3,1.3,K1509/J1509),"")</f>
        <v>0.98470588235294121</v>
      </c>
      <c r="M1509" s="15">
        <f t="shared" si="309"/>
        <v>0.98470588235294121</v>
      </c>
      <c r="N1509" s="5" t="s">
        <v>490</v>
      </c>
      <c r="O1509" s="5" t="s">
        <v>490</v>
      </c>
      <c r="P1509" s="5">
        <v>0</v>
      </c>
      <c r="Q1509" s="5">
        <v>0</v>
      </c>
      <c r="R1509" s="5" t="str">
        <f t="shared" si="300"/>
        <v>304-2025-06-30</v>
      </c>
    </row>
    <row r="1510" spans="1:18" x14ac:dyDescent="0.3">
      <c r="A1510" s="5">
        <v>327</v>
      </c>
      <c r="B1510" s="5" t="s">
        <v>213</v>
      </c>
      <c r="C1510" s="5" t="s">
        <v>158</v>
      </c>
      <c r="D1510" s="5" t="s">
        <v>8</v>
      </c>
      <c r="E1510" s="5" t="s">
        <v>9</v>
      </c>
      <c r="F1510" s="6">
        <v>45838</v>
      </c>
      <c r="G1510" s="5">
        <f t="shared" si="289"/>
        <v>2025</v>
      </c>
      <c r="H1510" s="5" t="str">
        <f t="shared" si="306"/>
        <v>Junio</v>
      </c>
      <c r="I1510" s="6" t="str">
        <f t="shared" si="299"/>
        <v>2025-1</v>
      </c>
      <c r="J1510" s="5">
        <v>1</v>
      </c>
      <c r="K1510" s="10">
        <v>1</v>
      </c>
      <c r="L1510" s="15"/>
      <c r="M1510" s="15"/>
      <c r="N1510" s="5" t="s">
        <v>490</v>
      </c>
      <c r="O1510" s="5" t="s">
        <v>490</v>
      </c>
      <c r="P1510" s="5">
        <v>0</v>
      </c>
      <c r="Q1510" s="5">
        <v>0</v>
      </c>
      <c r="R1510" s="5" t="str">
        <f t="shared" si="300"/>
        <v>327-2025-06-30</v>
      </c>
    </row>
    <row r="1511" spans="1:18" x14ac:dyDescent="0.3">
      <c r="A1511" s="5">
        <v>332</v>
      </c>
      <c r="B1511" s="5" t="s">
        <v>217</v>
      </c>
      <c r="C1511" s="5" t="s">
        <v>13</v>
      </c>
      <c r="D1511" s="5" t="s">
        <v>8</v>
      </c>
      <c r="E1511" s="5" t="s">
        <v>14</v>
      </c>
      <c r="F1511" s="6">
        <v>45838</v>
      </c>
      <c r="G1511" s="5">
        <f t="shared" si="289"/>
        <v>2025</v>
      </c>
      <c r="H1511" s="5" t="str">
        <f t="shared" si="306"/>
        <v>Junio</v>
      </c>
      <c r="I1511" s="6" t="str">
        <f t="shared" si="299"/>
        <v>2025-1</v>
      </c>
      <c r="J1511" s="5">
        <v>1.18</v>
      </c>
      <c r="K1511" s="5">
        <v>0.85</v>
      </c>
      <c r="L1511" s="15">
        <f>IFERROR(IF((J1511/K1511)&gt;1.3,1.3,J1511/K1511),"")</f>
        <v>1.3</v>
      </c>
      <c r="M1511" s="15">
        <f>IFERROR(J1511/K1511,"")</f>
        <v>1.388235294117647</v>
      </c>
      <c r="N1511" s="5" t="s">
        <v>478</v>
      </c>
      <c r="O1511" s="5" t="s">
        <v>478</v>
      </c>
      <c r="P1511" s="5">
        <v>2</v>
      </c>
      <c r="Q1511" s="5">
        <v>2</v>
      </c>
      <c r="R1511" s="5" t="str">
        <f t="shared" si="300"/>
        <v>332-2025-06-30</v>
      </c>
    </row>
    <row r="1512" spans="1:18" x14ac:dyDescent="0.3">
      <c r="A1512" s="43">
        <v>338</v>
      </c>
      <c r="B1512" s="5" t="s">
        <v>222</v>
      </c>
      <c r="C1512" s="5" t="s">
        <v>158</v>
      </c>
      <c r="D1512" s="5" t="s">
        <v>8</v>
      </c>
      <c r="E1512" s="5" t="s">
        <v>9</v>
      </c>
      <c r="F1512" s="6">
        <v>45838</v>
      </c>
      <c r="G1512" s="5">
        <f t="shared" si="289"/>
        <v>2025</v>
      </c>
      <c r="H1512" s="5" t="str">
        <f t="shared" si="306"/>
        <v>Junio</v>
      </c>
      <c r="I1512" s="6" t="str">
        <f t="shared" si="299"/>
        <v>2025-1</v>
      </c>
      <c r="J1512" s="5">
        <v>1</v>
      </c>
      <c r="K1512" s="5">
        <v>1</v>
      </c>
      <c r="L1512" s="21">
        <f>IFERROR(K1512/J1512,"")</f>
        <v>1</v>
      </c>
      <c r="M1512" s="15">
        <f t="shared" ref="M1512" si="310">IFERROR(K1512/J1512,"")</f>
        <v>1</v>
      </c>
      <c r="N1512" s="5" t="s">
        <v>490</v>
      </c>
      <c r="O1512" s="5" t="s">
        <v>490</v>
      </c>
      <c r="P1512" s="5">
        <v>0</v>
      </c>
      <c r="Q1512" s="5">
        <v>0</v>
      </c>
      <c r="R1512" s="5" t="str">
        <f t="shared" si="300"/>
        <v>338-2025-06-30</v>
      </c>
    </row>
    <row r="1513" spans="1:18" x14ac:dyDescent="0.3">
      <c r="A1513" s="5">
        <v>340</v>
      </c>
      <c r="B1513" s="5" t="s">
        <v>225</v>
      </c>
      <c r="C1513" s="5" t="s">
        <v>43</v>
      </c>
      <c r="D1513" s="5" t="s">
        <v>11</v>
      </c>
      <c r="E1513" s="5" t="s">
        <v>9</v>
      </c>
      <c r="F1513" s="6">
        <v>45838</v>
      </c>
      <c r="G1513" s="5">
        <f t="shared" si="289"/>
        <v>2025</v>
      </c>
      <c r="H1513" s="5" t="str">
        <f t="shared" si="306"/>
        <v>Junio</v>
      </c>
      <c r="I1513" s="6" t="str">
        <f t="shared" si="299"/>
        <v>2025-1</v>
      </c>
      <c r="J1513" s="5">
        <v>95</v>
      </c>
      <c r="K1513" s="5">
        <v>100</v>
      </c>
      <c r="L1513" s="15">
        <f>IFERROR(IF((K1513/J1513)&gt;1,1,K1513/J1513),"")</f>
        <v>1</v>
      </c>
      <c r="M1513" s="15">
        <f>IFERROR(IF((K1513/J1513)&gt;1,1,K1513/J1513),"")</f>
        <v>1</v>
      </c>
      <c r="N1513" s="5" t="s">
        <v>347</v>
      </c>
      <c r="O1513" s="5" t="s">
        <v>347</v>
      </c>
      <c r="P1513" s="5">
        <v>0</v>
      </c>
      <c r="Q1513" s="5">
        <v>0</v>
      </c>
      <c r="R1513" s="5" t="str">
        <f t="shared" si="300"/>
        <v>340-2025-06-30</v>
      </c>
    </row>
    <row r="1514" spans="1:18" x14ac:dyDescent="0.3">
      <c r="A1514" s="5">
        <v>341</v>
      </c>
      <c r="B1514" s="5" t="s">
        <v>501</v>
      </c>
      <c r="C1514" s="5" t="s">
        <v>7</v>
      </c>
      <c r="D1514" s="5" t="s">
        <v>8</v>
      </c>
      <c r="E1514" s="5" t="s">
        <v>9</v>
      </c>
      <c r="F1514" s="6">
        <v>45838</v>
      </c>
      <c r="G1514" s="5">
        <f t="shared" si="289"/>
        <v>2025</v>
      </c>
      <c r="H1514" s="5" t="str">
        <f t="shared" si="306"/>
        <v>Junio</v>
      </c>
      <c r="I1514" s="6" t="str">
        <f t="shared" si="299"/>
        <v>2025-1</v>
      </c>
      <c r="J1514" s="9">
        <v>900000000</v>
      </c>
      <c r="K1514" s="9">
        <v>920265122</v>
      </c>
      <c r="L1514" s="24">
        <f>IFERROR(IF(K1514/J1514&gt;1.3,1.3,K1514/J1514),"")</f>
        <v>1.0225168022222222</v>
      </c>
      <c r="M1514" s="15">
        <f>IFERROR(K1514/J1514,"")</f>
        <v>1.0225168022222222</v>
      </c>
      <c r="N1514" s="5" t="s">
        <v>474</v>
      </c>
      <c r="O1514" s="5" t="s">
        <v>474</v>
      </c>
      <c r="P1514" s="5">
        <v>0</v>
      </c>
      <c r="Q1514" s="5">
        <v>0</v>
      </c>
      <c r="R1514" s="5" t="str">
        <f t="shared" si="300"/>
        <v>341-2025-06-30</v>
      </c>
    </row>
    <row r="1515" spans="1:18" x14ac:dyDescent="0.3">
      <c r="A1515" s="5">
        <v>344</v>
      </c>
      <c r="B1515" s="5" t="s">
        <v>227</v>
      </c>
      <c r="C1515" s="5" t="s">
        <v>13</v>
      </c>
      <c r="D1515" s="5" t="s">
        <v>8</v>
      </c>
      <c r="E1515" s="5" t="s">
        <v>9</v>
      </c>
      <c r="F1515" s="6">
        <v>45473</v>
      </c>
      <c r="G1515" s="5">
        <f t="shared" si="289"/>
        <v>2024</v>
      </c>
      <c r="H1515" s="5" t="str">
        <f t="shared" si="306"/>
        <v>Junio</v>
      </c>
      <c r="I1515" s="6" t="str">
        <f t="shared" si="299"/>
        <v>2024-1</v>
      </c>
      <c r="J1515" s="5">
        <v>93</v>
      </c>
      <c r="K1515" s="5">
        <v>99.43</v>
      </c>
      <c r="L1515" s="15">
        <f>IFERROR(IF((K1515/J1515)&gt;1.3,1.3,K1515/J1515),"")</f>
        <v>1.0691397849462367</v>
      </c>
      <c r="M1515" s="15">
        <f t="shared" ref="M1515" si="311">IFERROR(K1515/J1515,"")</f>
        <v>1.0691397849462367</v>
      </c>
      <c r="N1515" s="5" t="s">
        <v>347</v>
      </c>
      <c r="O1515" s="5" t="s">
        <v>347</v>
      </c>
      <c r="P1515" s="5">
        <v>0</v>
      </c>
      <c r="Q1515" s="5">
        <v>0</v>
      </c>
      <c r="R1515" s="5" t="str">
        <f t="shared" si="300"/>
        <v>344-2024-06-30</v>
      </c>
    </row>
    <row r="1516" spans="1:18" x14ac:dyDescent="0.3">
      <c r="A1516" s="5">
        <v>347</v>
      </c>
      <c r="B1516" s="5" t="s">
        <v>230</v>
      </c>
      <c r="C1516" s="5" t="s">
        <v>231</v>
      </c>
      <c r="D1516" s="5" t="s">
        <v>11</v>
      </c>
      <c r="E1516" s="5" t="s">
        <v>14</v>
      </c>
      <c r="F1516" s="6">
        <v>45838</v>
      </c>
      <c r="G1516" s="5">
        <f t="shared" si="289"/>
        <v>2025</v>
      </c>
      <c r="H1516" s="5" t="str">
        <f t="shared" si="306"/>
        <v>Junio</v>
      </c>
      <c r="I1516" s="6" t="str">
        <f t="shared" si="299"/>
        <v>2025-1</v>
      </c>
      <c r="J1516" s="5">
        <v>5</v>
      </c>
      <c r="K1516" s="5">
        <v>2</v>
      </c>
      <c r="L1516" s="15">
        <f>IFERROR(IF((K1516&lt;J1516),1,0),"")</f>
        <v>1</v>
      </c>
      <c r="M1516" s="15">
        <f>IFERROR(IF((K1516&lt;J1516),1,0),"")</f>
        <v>1</v>
      </c>
      <c r="N1516" s="5" t="s">
        <v>490</v>
      </c>
      <c r="O1516" s="5" t="s">
        <v>490</v>
      </c>
      <c r="P1516" s="5">
        <v>0</v>
      </c>
      <c r="Q1516" s="5">
        <v>0</v>
      </c>
      <c r="R1516" s="5" t="str">
        <f t="shared" si="300"/>
        <v>347-2025-06-30</v>
      </c>
    </row>
    <row r="1517" spans="1:18" x14ac:dyDescent="0.3">
      <c r="A1517" s="5">
        <v>348</v>
      </c>
      <c r="B1517" s="5" t="s">
        <v>232</v>
      </c>
      <c r="C1517" s="5" t="s">
        <v>231</v>
      </c>
      <c r="D1517" s="5" t="s">
        <v>11</v>
      </c>
      <c r="E1517" s="5" t="s">
        <v>9</v>
      </c>
      <c r="F1517" s="6">
        <v>45838</v>
      </c>
      <c r="G1517" s="5">
        <f t="shared" si="289"/>
        <v>2025</v>
      </c>
      <c r="H1517" s="5" t="str">
        <f t="shared" si="306"/>
        <v>Junio</v>
      </c>
      <c r="I1517" s="6" t="str">
        <f t="shared" si="299"/>
        <v>2025-1</v>
      </c>
      <c r="J1517" s="5">
        <v>99</v>
      </c>
      <c r="K1517" s="5">
        <v>100</v>
      </c>
      <c r="L1517" s="15">
        <f>IFERROR(IF((K1517/J1517)&gt;1.3,1.3,K1517/J1517),"")</f>
        <v>1.0101010101010102</v>
      </c>
      <c r="M1517" s="15">
        <f t="shared" ref="M1517" si="312">IFERROR(K1517/J1517,"")</f>
        <v>1.0101010101010102</v>
      </c>
      <c r="N1517" s="5" t="s">
        <v>347</v>
      </c>
      <c r="O1517" s="5" t="s">
        <v>347</v>
      </c>
      <c r="P1517" s="5">
        <v>0</v>
      </c>
      <c r="Q1517" s="5">
        <v>0</v>
      </c>
      <c r="R1517" s="5" t="str">
        <f t="shared" si="300"/>
        <v>348-2025-06-30</v>
      </c>
    </row>
    <row r="1518" spans="1:18" x14ac:dyDescent="0.3">
      <c r="A1518" s="5">
        <v>351</v>
      </c>
      <c r="B1518" s="5" t="s">
        <v>235</v>
      </c>
      <c r="C1518" s="5" t="s">
        <v>231</v>
      </c>
      <c r="D1518" s="5" t="s">
        <v>11</v>
      </c>
      <c r="E1518" s="5" t="s">
        <v>14</v>
      </c>
      <c r="F1518" s="6">
        <v>45838</v>
      </c>
      <c r="G1518" s="5">
        <f t="shared" si="289"/>
        <v>2025</v>
      </c>
      <c r="H1518" s="5" t="str">
        <f t="shared" si="306"/>
        <v>Junio</v>
      </c>
      <c r="I1518" s="6" t="str">
        <f t="shared" si="299"/>
        <v>2025-1</v>
      </c>
      <c r="J1518" s="5">
        <v>5</v>
      </c>
      <c r="K1518" s="5">
        <v>0.56000000000000005</v>
      </c>
      <c r="L1518" s="15">
        <f>IFERROR(IF(K1518&lt;J1518,1,0),"")</f>
        <v>1</v>
      </c>
      <c r="M1518" s="8">
        <f>IFERROR(IF(K1518&lt;J1518,1,0),"")</f>
        <v>1</v>
      </c>
      <c r="N1518" s="5" t="s">
        <v>490</v>
      </c>
      <c r="O1518" s="5" t="s">
        <v>490</v>
      </c>
      <c r="P1518" s="5">
        <v>0</v>
      </c>
      <c r="Q1518" s="5">
        <v>1</v>
      </c>
      <c r="R1518" s="5" t="str">
        <f t="shared" si="300"/>
        <v>351-2025-06-30</v>
      </c>
    </row>
    <row r="1519" spans="1:18" x14ac:dyDescent="0.3">
      <c r="A1519" s="5">
        <v>352</v>
      </c>
      <c r="B1519" s="5" t="s">
        <v>412</v>
      </c>
      <c r="C1519" s="5" t="s">
        <v>231</v>
      </c>
      <c r="D1519" s="5" t="s">
        <v>11</v>
      </c>
      <c r="E1519" s="5" t="s">
        <v>14</v>
      </c>
      <c r="F1519" s="6">
        <v>45838</v>
      </c>
      <c r="G1519" s="5">
        <f t="shared" si="289"/>
        <v>2025</v>
      </c>
      <c r="H1519" s="5" t="str">
        <f t="shared" si="306"/>
        <v>Junio</v>
      </c>
      <c r="I1519" s="6" t="str">
        <f t="shared" si="299"/>
        <v>2025-1</v>
      </c>
      <c r="J1519" s="5">
        <v>0</v>
      </c>
      <c r="K1519" s="5">
        <v>5.0000000000000001E-3</v>
      </c>
      <c r="L1519" s="15">
        <f>(100%)-(K1519/100)</f>
        <v>0.99995000000000001</v>
      </c>
      <c r="M1519" s="15">
        <f>(100%)-(K1519/100)</f>
        <v>0.99995000000000001</v>
      </c>
      <c r="N1519" s="5" t="s">
        <v>347</v>
      </c>
      <c r="O1519" s="5" t="s">
        <v>347</v>
      </c>
      <c r="P1519" s="5">
        <v>0</v>
      </c>
      <c r="Q1519" s="5">
        <v>0</v>
      </c>
      <c r="R1519" s="5" t="str">
        <f t="shared" si="300"/>
        <v>352-2025-06-30</v>
      </c>
    </row>
    <row r="1520" spans="1:18" x14ac:dyDescent="0.3">
      <c r="A1520" s="5">
        <v>356</v>
      </c>
      <c r="B1520" s="5" t="s">
        <v>241</v>
      </c>
      <c r="C1520" s="5" t="s">
        <v>240</v>
      </c>
      <c r="D1520" s="5" t="s">
        <v>8</v>
      </c>
      <c r="E1520" s="5" t="s">
        <v>14</v>
      </c>
      <c r="F1520" s="6">
        <v>45838</v>
      </c>
      <c r="G1520" s="5">
        <f t="shared" si="289"/>
        <v>2025</v>
      </c>
      <c r="H1520" s="5" t="str">
        <f t="shared" si="306"/>
        <v>Junio</v>
      </c>
      <c r="I1520" s="6" t="str">
        <f t="shared" si="299"/>
        <v>2025-1</v>
      </c>
      <c r="J1520" s="5">
        <v>60</v>
      </c>
      <c r="K1520" s="5">
        <v>49.14</v>
      </c>
      <c r="L1520" s="15">
        <f>IFERROR(IF((J1520/K1520)&gt;1.3,1.3,J1520/K1520),"")</f>
        <v>1.2210012210012209</v>
      </c>
      <c r="M1520" s="15">
        <f>IFERROR(J1520/K1520,"")</f>
        <v>1.2210012210012209</v>
      </c>
      <c r="N1520" s="5" t="s">
        <v>347</v>
      </c>
      <c r="O1520" s="5" t="s">
        <v>347</v>
      </c>
      <c r="P1520" s="5">
        <v>0</v>
      </c>
      <c r="Q1520" s="5">
        <v>0</v>
      </c>
      <c r="R1520" s="5" t="str">
        <f t="shared" si="300"/>
        <v>356-2025-06-30</v>
      </c>
    </row>
    <row r="1521" spans="1:18" x14ac:dyDescent="0.3">
      <c r="A1521" s="5">
        <v>357</v>
      </c>
      <c r="B1521" s="5" t="s">
        <v>242</v>
      </c>
      <c r="C1521" s="5" t="s">
        <v>240</v>
      </c>
      <c r="D1521" s="5" t="s">
        <v>8</v>
      </c>
      <c r="E1521" s="5" t="s">
        <v>9</v>
      </c>
      <c r="F1521" s="6">
        <v>45838</v>
      </c>
      <c r="G1521" s="5">
        <f t="shared" si="289"/>
        <v>2025</v>
      </c>
      <c r="H1521" s="5" t="str">
        <f t="shared" si="306"/>
        <v>Junio</v>
      </c>
      <c r="I1521" s="6" t="str">
        <f t="shared" si="299"/>
        <v>2025-1</v>
      </c>
      <c r="J1521" s="5"/>
      <c r="K1521" s="5">
        <v>0.85</v>
      </c>
      <c r="L1521" s="15" t="str">
        <f>IFERROR(IF((K1521/J1521)&gt;1.3,1.3,K1521/J1521),"")</f>
        <v/>
      </c>
      <c r="M1521" s="15" t="str">
        <f t="shared" ref="M1521:M1529" si="313">IFERROR(K1521/J1521,"")</f>
        <v/>
      </c>
      <c r="N1521" s="5" t="s">
        <v>728</v>
      </c>
      <c r="O1521" s="5"/>
      <c r="P1521" s="5">
        <v>0</v>
      </c>
      <c r="Q1521" s="5">
        <v>2</v>
      </c>
      <c r="R1521" s="5" t="str">
        <f t="shared" si="300"/>
        <v>357-2025-06-30</v>
      </c>
    </row>
    <row r="1522" spans="1:18" x14ac:dyDescent="0.3">
      <c r="A1522" s="5">
        <v>358</v>
      </c>
      <c r="B1522" s="5" t="s">
        <v>243</v>
      </c>
      <c r="C1522" s="5" t="s">
        <v>244</v>
      </c>
      <c r="D1522" s="5" t="s">
        <v>8</v>
      </c>
      <c r="E1522" s="5" t="s">
        <v>9</v>
      </c>
      <c r="F1522" s="6">
        <v>45838</v>
      </c>
      <c r="G1522" s="5">
        <f t="shared" si="289"/>
        <v>2025</v>
      </c>
      <c r="H1522" s="5" t="str">
        <f t="shared" si="306"/>
        <v>Junio</v>
      </c>
      <c r="I1522" s="6" t="str">
        <f t="shared" si="299"/>
        <v>2025-1</v>
      </c>
      <c r="J1522" s="5">
        <v>100</v>
      </c>
      <c r="K1522" s="5">
        <v>100</v>
      </c>
      <c r="L1522" s="15">
        <f>IFERROR(IF((K1522/J1522)&gt;1.3,1.3,K1522/J1522),"")</f>
        <v>1</v>
      </c>
      <c r="M1522" s="15">
        <f t="shared" si="313"/>
        <v>1</v>
      </c>
      <c r="N1522" s="5" t="s">
        <v>347</v>
      </c>
      <c r="O1522" s="5" t="s">
        <v>347</v>
      </c>
      <c r="P1522" s="5">
        <v>0</v>
      </c>
      <c r="Q1522" s="5">
        <v>0</v>
      </c>
      <c r="R1522" s="5" t="str">
        <f t="shared" si="300"/>
        <v>358-2025-06-30</v>
      </c>
    </row>
    <row r="1523" spans="1:18" x14ac:dyDescent="0.3">
      <c r="A1523" s="5">
        <v>359</v>
      </c>
      <c r="B1523" s="5" t="s">
        <v>502</v>
      </c>
      <c r="C1523" s="5" t="s">
        <v>160</v>
      </c>
      <c r="D1523" s="5" t="s">
        <v>8</v>
      </c>
      <c r="E1523" s="5" t="s">
        <v>9</v>
      </c>
      <c r="F1523" s="6">
        <v>45838</v>
      </c>
      <c r="G1523" s="5">
        <f t="shared" si="289"/>
        <v>2025</v>
      </c>
      <c r="H1523" s="5" t="str">
        <f t="shared" si="306"/>
        <v>Junio</v>
      </c>
      <c r="I1523" s="6" t="str">
        <f t="shared" si="299"/>
        <v>2025-1</v>
      </c>
      <c r="J1523" s="5">
        <v>80</v>
      </c>
      <c r="K1523" s="5">
        <v>90</v>
      </c>
      <c r="L1523" s="15">
        <f>IFERROR(IF((K1523/J1523)&gt;1.3,1.3,K1523/J1523),"")</f>
        <v>1.125</v>
      </c>
      <c r="M1523" s="15">
        <f t="shared" si="313"/>
        <v>1.125</v>
      </c>
      <c r="N1523" s="5" t="s">
        <v>347</v>
      </c>
      <c r="O1523" s="5" t="s">
        <v>347</v>
      </c>
      <c r="P1523" s="5">
        <v>0</v>
      </c>
      <c r="Q1523" s="5">
        <v>0</v>
      </c>
      <c r="R1523" s="5" t="str">
        <f t="shared" si="300"/>
        <v>359-2025-06-30</v>
      </c>
    </row>
    <row r="1524" spans="1:18" x14ac:dyDescent="0.3">
      <c r="A1524" s="5">
        <v>362</v>
      </c>
      <c r="B1524" s="5" t="s">
        <v>460</v>
      </c>
      <c r="C1524" s="5" t="s">
        <v>762</v>
      </c>
      <c r="D1524" s="5" t="s">
        <v>8</v>
      </c>
      <c r="E1524" s="5" t="s">
        <v>9</v>
      </c>
      <c r="F1524" s="6">
        <v>45838</v>
      </c>
      <c r="G1524" s="5">
        <f t="shared" si="289"/>
        <v>2025</v>
      </c>
      <c r="H1524" s="5" t="str">
        <f t="shared" si="306"/>
        <v>Junio</v>
      </c>
      <c r="I1524" s="6" t="str">
        <f t="shared" si="299"/>
        <v>2025-1</v>
      </c>
      <c r="J1524" s="5">
        <v>98</v>
      </c>
      <c r="K1524" s="5">
        <v>99.63</v>
      </c>
      <c r="L1524" s="15">
        <f>IFERROR(IF((K1524/J1524)&gt;1.3,1.3,K1524/J1524),"")</f>
        <v>1.0166326530612244</v>
      </c>
      <c r="M1524" s="15">
        <f t="shared" si="313"/>
        <v>1.0166326530612244</v>
      </c>
      <c r="N1524" s="5" t="s">
        <v>347</v>
      </c>
      <c r="O1524" s="5" t="s">
        <v>347</v>
      </c>
      <c r="P1524" s="5">
        <v>0</v>
      </c>
      <c r="Q1524" s="5">
        <v>0</v>
      </c>
      <c r="R1524" s="5" t="str">
        <f t="shared" si="300"/>
        <v>362-2025-06-30</v>
      </c>
    </row>
    <row r="1525" spans="1:18" x14ac:dyDescent="0.3">
      <c r="A1525" s="5">
        <v>363</v>
      </c>
      <c r="B1525" s="5" t="s">
        <v>250</v>
      </c>
      <c r="C1525" s="5" t="s">
        <v>762</v>
      </c>
      <c r="D1525" s="5" t="s">
        <v>8</v>
      </c>
      <c r="E1525" s="5" t="s">
        <v>9</v>
      </c>
      <c r="F1525" s="6">
        <v>45838</v>
      </c>
      <c r="G1525" s="5">
        <f t="shared" si="289"/>
        <v>2025</v>
      </c>
      <c r="H1525" s="5" t="str">
        <f t="shared" si="306"/>
        <v>Junio</v>
      </c>
      <c r="I1525" s="6" t="str">
        <f t="shared" si="299"/>
        <v>2025-1</v>
      </c>
      <c r="J1525" s="5">
        <v>100</v>
      </c>
      <c r="K1525" s="5">
        <v>100</v>
      </c>
      <c r="L1525" s="15">
        <f>IFERROR(IF((K1525/J1525)&gt;1.3,1.3,K1525/J1525),"")</f>
        <v>1</v>
      </c>
      <c r="M1525" s="15">
        <f t="shared" si="313"/>
        <v>1</v>
      </c>
      <c r="N1525" s="5"/>
      <c r="O1525" s="5"/>
      <c r="P1525" s="5">
        <v>0</v>
      </c>
      <c r="Q1525" s="5">
        <v>0</v>
      </c>
      <c r="R1525" s="5" t="str">
        <f t="shared" si="300"/>
        <v>363-2025-06-30</v>
      </c>
    </row>
    <row r="1526" spans="1:18" x14ac:dyDescent="0.3">
      <c r="A1526" s="5">
        <v>368</v>
      </c>
      <c r="B1526" s="5" t="s">
        <v>255</v>
      </c>
      <c r="C1526" s="5" t="s">
        <v>256</v>
      </c>
      <c r="D1526" s="5" t="s">
        <v>11</v>
      </c>
      <c r="E1526" s="5" t="s">
        <v>9</v>
      </c>
      <c r="F1526" s="6">
        <v>45838</v>
      </c>
      <c r="G1526" s="5">
        <f t="shared" si="289"/>
        <v>2025</v>
      </c>
      <c r="H1526" s="5" t="str">
        <f t="shared" si="306"/>
        <v>Junio</v>
      </c>
      <c r="I1526" s="6" t="str">
        <f t="shared" si="299"/>
        <v>2025-1</v>
      </c>
      <c r="J1526" s="5">
        <v>90</v>
      </c>
      <c r="K1526" s="5">
        <v>95</v>
      </c>
      <c r="L1526" s="15">
        <f t="shared" ref="L1526" si="314">IFERROR(IF((K1526/J1526)&gt;1.3,1.3,K1526/J1526),"")</f>
        <v>1.0555555555555556</v>
      </c>
      <c r="M1526" s="15">
        <f t="shared" si="313"/>
        <v>1.0555555555555556</v>
      </c>
      <c r="N1526" s="5" t="s">
        <v>347</v>
      </c>
      <c r="O1526" s="5" t="s">
        <v>347</v>
      </c>
      <c r="P1526" s="5">
        <v>0</v>
      </c>
      <c r="Q1526" s="5">
        <v>0</v>
      </c>
      <c r="R1526" s="5" t="str">
        <f t="shared" si="300"/>
        <v>368-2025-06-30</v>
      </c>
    </row>
    <row r="1527" spans="1:18" x14ac:dyDescent="0.3">
      <c r="A1527" s="5">
        <v>371</v>
      </c>
      <c r="B1527" s="5" t="s">
        <v>259</v>
      </c>
      <c r="C1527" s="5" t="s">
        <v>248</v>
      </c>
      <c r="D1527" s="5" t="s">
        <v>8</v>
      </c>
      <c r="E1527" s="5" t="s">
        <v>9</v>
      </c>
      <c r="F1527" s="6">
        <v>45838</v>
      </c>
      <c r="G1527" s="5">
        <f t="shared" si="289"/>
        <v>2025</v>
      </c>
      <c r="H1527" s="5" t="str">
        <f t="shared" si="306"/>
        <v>Junio</v>
      </c>
      <c r="I1527" s="6" t="str">
        <f t="shared" si="299"/>
        <v>2025-1</v>
      </c>
      <c r="J1527" s="34">
        <v>110800000</v>
      </c>
      <c r="K1527" s="10">
        <v>81647005</v>
      </c>
      <c r="L1527" s="15">
        <f>IFERROR(IF((K1527/J1527)&gt;1.3,1.3,K1527/J1527),"")</f>
        <v>0.73688632671480148</v>
      </c>
      <c r="M1527" s="15">
        <f t="shared" si="313"/>
        <v>0.73688632671480148</v>
      </c>
      <c r="N1527" s="5" t="s">
        <v>474</v>
      </c>
      <c r="O1527" s="5" t="s">
        <v>474</v>
      </c>
      <c r="P1527" s="5">
        <v>0</v>
      </c>
      <c r="Q1527" s="5">
        <v>0</v>
      </c>
      <c r="R1527" s="5" t="str">
        <f t="shared" si="300"/>
        <v>371-2025-06-30</v>
      </c>
    </row>
    <row r="1528" spans="1:18" x14ac:dyDescent="0.3">
      <c r="A1528" s="5">
        <v>372</v>
      </c>
      <c r="B1528" s="5" t="s">
        <v>260</v>
      </c>
      <c r="C1528" s="5" t="s">
        <v>256</v>
      </c>
      <c r="D1528" s="5" t="s">
        <v>11</v>
      </c>
      <c r="E1528" s="5" t="s">
        <v>9</v>
      </c>
      <c r="F1528" s="6">
        <v>45838</v>
      </c>
      <c r="G1528" s="5">
        <f t="shared" si="289"/>
        <v>2025</v>
      </c>
      <c r="H1528" s="5" t="str">
        <f t="shared" si="306"/>
        <v>Junio</v>
      </c>
      <c r="I1528" s="6" t="str">
        <f t="shared" si="299"/>
        <v>2025-1</v>
      </c>
      <c r="J1528" s="5">
        <v>90</v>
      </c>
      <c r="K1528" s="5">
        <v>94</v>
      </c>
      <c r="L1528" s="15">
        <f>IFERROR(IF((K1528/J1528)&gt;1.3,1.3,K1528/J1528),"")</f>
        <v>1.0444444444444445</v>
      </c>
      <c r="M1528" s="15">
        <f t="shared" si="313"/>
        <v>1.0444444444444445</v>
      </c>
      <c r="N1528" s="5" t="s">
        <v>347</v>
      </c>
      <c r="O1528" s="5" t="s">
        <v>347</v>
      </c>
      <c r="P1528" s="5">
        <v>0</v>
      </c>
      <c r="Q1528" s="5">
        <v>0</v>
      </c>
      <c r="R1528" s="5" t="str">
        <f t="shared" si="300"/>
        <v>372-2025-06-30</v>
      </c>
    </row>
    <row r="1529" spans="1:18" x14ac:dyDescent="0.3">
      <c r="A1529" s="5">
        <v>375</v>
      </c>
      <c r="B1529" s="5" t="s">
        <v>462</v>
      </c>
      <c r="C1529" s="5" t="s">
        <v>762</v>
      </c>
      <c r="D1529" s="5" t="s">
        <v>8</v>
      </c>
      <c r="E1529" s="5" t="s">
        <v>9</v>
      </c>
      <c r="F1529" s="6">
        <v>45838</v>
      </c>
      <c r="G1529" s="5">
        <f t="shared" si="289"/>
        <v>2025</v>
      </c>
      <c r="H1529" s="5" t="str">
        <f t="shared" si="306"/>
        <v>Junio</v>
      </c>
      <c r="I1529" s="6" t="str">
        <f t="shared" si="299"/>
        <v>2025-1</v>
      </c>
      <c r="J1529" s="5">
        <v>100</v>
      </c>
      <c r="K1529" s="5">
        <v>100</v>
      </c>
      <c r="L1529" s="15">
        <f t="shared" ref="L1529" si="315">IFERROR(IF((K1529/J1529)&gt;1.3,1.3,K1529/J1529),"")</f>
        <v>1</v>
      </c>
      <c r="M1529" s="15">
        <f t="shared" si="313"/>
        <v>1</v>
      </c>
      <c r="N1529" s="5" t="s">
        <v>347</v>
      </c>
      <c r="O1529" s="5" t="s">
        <v>347</v>
      </c>
      <c r="P1529" s="5">
        <v>0</v>
      </c>
      <c r="Q1529" s="5">
        <v>0</v>
      </c>
      <c r="R1529" s="5" t="str">
        <f t="shared" si="300"/>
        <v>375-2025-06-30</v>
      </c>
    </row>
    <row r="1530" spans="1:18" x14ac:dyDescent="0.3">
      <c r="A1530" s="5">
        <v>376</v>
      </c>
      <c r="B1530" s="5" t="s">
        <v>263</v>
      </c>
      <c r="C1530" s="5" t="s">
        <v>84</v>
      </c>
      <c r="D1530" s="5" t="s">
        <v>8</v>
      </c>
      <c r="E1530" s="5" t="s">
        <v>9</v>
      </c>
      <c r="F1530" s="6">
        <v>45838</v>
      </c>
      <c r="G1530" s="5">
        <f t="shared" si="289"/>
        <v>2025</v>
      </c>
      <c r="H1530" s="5" t="str">
        <f t="shared" si="306"/>
        <v>Junio</v>
      </c>
      <c r="I1530" s="6" t="str">
        <f>IF(OR(H1530="Enero",H1530="Febrero",H1530="Marzo",H1530="Abril",H1530="Mayo",H1530="Junio"),G1530&amp;"-1",IF(OR(H1530="Julio",H1530="Agosto",H1530="Septiembre",H1530="Octubre",H1530="Noviembre",H1530="Diciembre"),G1530&amp;"-2"))</f>
        <v>2025-1</v>
      </c>
      <c r="J1530" s="11">
        <v>18705.796225999999</v>
      </c>
      <c r="K1530" s="11">
        <v>22048.226769000001</v>
      </c>
      <c r="L1530" s="15">
        <v>1.0399844244776792</v>
      </c>
      <c r="M1530" s="15">
        <v>1.0399844244776792</v>
      </c>
      <c r="N1530" s="5" t="s">
        <v>474</v>
      </c>
      <c r="O1530" s="5" t="s">
        <v>474</v>
      </c>
      <c r="P1530" s="5">
        <v>0</v>
      </c>
      <c r="Q1530" s="5">
        <v>0</v>
      </c>
      <c r="R1530" s="5" t="str">
        <f t="shared" si="300"/>
        <v>376-2025-06-30</v>
      </c>
    </row>
    <row r="1531" spans="1:18" x14ac:dyDescent="0.3">
      <c r="A1531" s="5">
        <v>379</v>
      </c>
      <c r="B1531" s="5" t="s">
        <v>266</v>
      </c>
      <c r="C1531" s="5" t="s">
        <v>267</v>
      </c>
      <c r="D1531" s="5" t="s">
        <v>8</v>
      </c>
      <c r="E1531" s="5" t="s">
        <v>9</v>
      </c>
      <c r="F1531" s="6">
        <v>45838</v>
      </c>
      <c r="G1531" s="5">
        <f t="shared" si="289"/>
        <v>2025</v>
      </c>
      <c r="H1531" s="5" t="str">
        <f t="shared" si="306"/>
        <v>Junio</v>
      </c>
      <c r="I1531" s="6" t="str">
        <f t="shared" ref="I1531:I1540" si="316">IF(OR(H1531="Enero",H1531="Febrero",H1531="Marzo",H1531="Abril",H1531="Mayo",H1531="Junio"),G1531&amp;"-1",IF(OR(H1531="Julio",H1531="Agosto",H1531="Septiembre",H1531="Octubre",H1531="Noviembre",H1531="Diciembre"),G1531&amp;"-2"))</f>
        <v>2025-1</v>
      </c>
      <c r="J1531" s="5">
        <v>13609</v>
      </c>
      <c r="K1531" s="5">
        <v>14141</v>
      </c>
      <c r="L1531" s="15">
        <f>IFERROR(IF((K1531/J1531)&gt;1.3,1.3,K1531/J1531),"")</f>
        <v>1.0390917775001838</v>
      </c>
      <c r="M1531" s="15">
        <f>IFERROR(K1531/J1531,"")</f>
        <v>1.0390917775001838</v>
      </c>
      <c r="N1531" s="5" t="s">
        <v>490</v>
      </c>
      <c r="O1531" s="5" t="s">
        <v>490</v>
      </c>
      <c r="P1531" s="5">
        <v>0</v>
      </c>
      <c r="Q1531" s="5">
        <v>0</v>
      </c>
      <c r="R1531" s="5" t="str">
        <f t="shared" si="300"/>
        <v>379-2025-06-30</v>
      </c>
    </row>
    <row r="1532" spans="1:18" x14ac:dyDescent="0.3">
      <c r="A1532" s="39">
        <v>381</v>
      </c>
      <c r="B1532" s="5" t="s">
        <v>269</v>
      </c>
      <c r="C1532" s="5" t="s">
        <v>267</v>
      </c>
      <c r="D1532" s="5" t="s">
        <v>8</v>
      </c>
      <c r="E1532" s="5" t="s">
        <v>9</v>
      </c>
      <c r="F1532" s="6">
        <v>45838</v>
      </c>
      <c r="G1532" s="5">
        <f t="shared" si="289"/>
        <v>2025</v>
      </c>
      <c r="H1532" s="5" t="str">
        <f t="shared" si="306"/>
        <v>Junio</v>
      </c>
      <c r="I1532" s="6" t="str">
        <f t="shared" si="316"/>
        <v>2025-1</v>
      </c>
      <c r="J1532" s="5">
        <v>1572</v>
      </c>
      <c r="K1532" s="5">
        <v>1544</v>
      </c>
      <c r="L1532" s="21">
        <f>IFERROR(K1532/J1532,"")</f>
        <v>0.98218829516539441</v>
      </c>
      <c r="M1532" s="15">
        <f t="shared" ref="M1532" si="317">IFERROR(K1532/J1532,"")</f>
        <v>0.98218829516539441</v>
      </c>
      <c r="N1532" s="5" t="s">
        <v>490</v>
      </c>
      <c r="O1532" s="5" t="s">
        <v>490</v>
      </c>
      <c r="P1532" s="5">
        <v>0</v>
      </c>
      <c r="Q1532" s="5">
        <v>0</v>
      </c>
      <c r="R1532" s="5" t="s">
        <v>543</v>
      </c>
    </row>
    <row r="1533" spans="1:18" x14ac:dyDescent="0.3">
      <c r="A1533" s="39">
        <v>382</v>
      </c>
      <c r="B1533" s="5" t="s">
        <v>270</v>
      </c>
      <c r="C1533" s="5" t="s">
        <v>267</v>
      </c>
      <c r="D1533" s="5" t="s">
        <v>8</v>
      </c>
      <c r="E1533" s="5" t="s">
        <v>9</v>
      </c>
      <c r="F1533" s="6">
        <v>45838</v>
      </c>
      <c r="G1533" s="5">
        <f t="shared" ref="G1533:G1540" si="318">YEAR(F1533)</f>
        <v>2025</v>
      </c>
      <c r="H1533" s="5" t="str">
        <f t="shared" si="306"/>
        <v>Junio</v>
      </c>
      <c r="I1533" s="6" t="str">
        <f t="shared" si="316"/>
        <v>2025-1</v>
      </c>
      <c r="J1533" s="5">
        <v>10067</v>
      </c>
      <c r="K1533" s="9">
        <v>10021</v>
      </c>
      <c r="L1533" s="21">
        <f>IFERROR(K1533/J1533,"")</f>
        <v>0.99543061488030193</v>
      </c>
      <c r="M1533" s="15">
        <f>IFERROR(K1533/J1533,"")</f>
        <v>0.99543061488030193</v>
      </c>
      <c r="N1533" s="5" t="s">
        <v>490</v>
      </c>
      <c r="O1533" s="5" t="s">
        <v>490</v>
      </c>
      <c r="P1533" s="5">
        <v>0</v>
      </c>
      <c r="Q1533" s="5">
        <v>0</v>
      </c>
      <c r="R1533" s="5" t="s">
        <v>544</v>
      </c>
    </row>
    <row r="1534" spans="1:18" x14ac:dyDescent="0.3">
      <c r="A1534" s="39">
        <v>384</v>
      </c>
      <c r="B1534" s="5" t="s">
        <v>272</v>
      </c>
      <c r="C1534" s="5" t="s">
        <v>267</v>
      </c>
      <c r="D1534" s="5" t="s">
        <v>8</v>
      </c>
      <c r="E1534" s="5" t="s">
        <v>9</v>
      </c>
      <c r="F1534" s="6">
        <v>45838</v>
      </c>
      <c r="G1534" s="5">
        <f t="shared" si="318"/>
        <v>2025</v>
      </c>
      <c r="H1534" s="5" t="str">
        <f t="shared" si="306"/>
        <v>Junio</v>
      </c>
      <c r="I1534" s="6" t="str">
        <f t="shared" si="316"/>
        <v>2025-1</v>
      </c>
      <c r="J1534" s="5">
        <v>371</v>
      </c>
      <c r="K1534" s="10">
        <v>380</v>
      </c>
      <c r="L1534" s="15">
        <f t="shared" ref="L1534:L1535" si="319">IFERROR(IF((K1534/J1534)&gt;1.3,1.3,K1534/J1534),"")</f>
        <v>1.0242587601078168</v>
      </c>
      <c r="M1534" s="15">
        <f t="shared" ref="M1534" si="320">IFERROR(K1534/J1534,"")</f>
        <v>1.0242587601078168</v>
      </c>
      <c r="N1534" s="5" t="s">
        <v>490</v>
      </c>
      <c r="O1534" s="5" t="s">
        <v>490</v>
      </c>
      <c r="P1534" s="5">
        <v>0</v>
      </c>
      <c r="Q1534" s="5">
        <v>0</v>
      </c>
      <c r="R1534" s="5" t="s">
        <v>546</v>
      </c>
    </row>
    <row r="1535" spans="1:18" x14ac:dyDescent="0.3">
      <c r="A1535" s="5">
        <v>386</v>
      </c>
      <c r="B1535" s="5" t="s">
        <v>275</v>
      </c>
      <c r="C1535" s="5" t="s">
        <v>274</v>
      </c>
      <c r="D1535" s="5" t="s">
        <v>8</v>
      </c>
      <c r="E1535" s="5" t="s">
        <v>9</v>
      </c>
      <c r="F1535" s="6">
        <v>45838</v>
      </c>
      <c r="G1535" s="5">
        <f t="shared" si="318"/>
        <v>2025</v>
      </c>
      <c r="H1535" s="5" t="str">
        <f t="shared" si="306"/>
        <v>Junio</v>
      </c>
      <c r="I1535" s="6" t="str">
        <f t="shared" si="316"/>
        <v>2025-1</v>
      </c>
      <c r="J1535" s="9">
        <f>6845877311/1000000</f>
        <v>6845.8773110000002</v>
      </c>
      <c r="K1535" s="9">
        <f>8141046202/1000000</f>
        <v>8141.0462020000004</v>
      </c>
      <c r="L1535" s="15">
        <f t="shared" si="319"/>
        <v>1.1891896147362901</v>
      </c>
      <c r="M1535" s="15">
        <v>1.1362508178631643</v>
      </c>
      <c r="N1535" s="5" t="s">
        <v>474</v>
      </c>
      <c r="O1535" s="5" t="s">
        <v>474</v>
      </c>
      <c r="P1535" s="5">
        <v>0</v>
      </c>
      <c r="Q1535" s="5">
        <v>0</v>
      </c>
      <c r="R1535" s="5" t="str">
        <f t="shared" ref="R1535:R1560" si="321">A1535&amp;"-"&amp;YEAR(F1535)&amp;"-"&amp;IF(LEN(MONTH(F1535))=1,"0"&amp;MONTH(F1535),MONTH(F1535))&amp;"-"&amp;DAY(F1535)</f>
        <v>386-2025-06-30</v>
      </c>
    </row>
    <row r="1536" spans="1:18" x14ac:dyDescent="0.3">
      <c r="A1536" s="5">
        <v>394</v>
      </c>
      <c r="B1536" s="5" t="s">
        <v>284</v>
      </c>
      <c r="C1536" s="5" t="s">
        <v>285</v>
      </c>
      <c r="D1536" s="5" t="s">
        <v>8</v>
      </c>
      <c r="E1536" s="5" t="s">
        <v>9</v>
      </c>
      <c r="F1536" s="6">
        <v>45838</v>
      </c>
      <c r="G1536" s="5">
        <f t="shared" si="318"/>
        <v>2025</v>
      </c>
      <c r="H1536" s="5" t="str">
        <f t="shared" si="306"/>
        <v>Junio</v>
      </c>
      <c r="I1536" s="6" t="str">
        <f t="shared" si="316"/>
        <v>2025-1</v>
      </c>
      <c r="J1536" s="5">
        <v>550</v>
      </c>
      <c r="K1536" s="10">
        <v>794</v>
      </c>
      <c r="L1536" s="15">
        <f>IFERROR(IF((K1536/J1536)&gt;1.3,1.3,K1536/J1536),"")</f>
        <v>1.3</v>
      </c>
      <c r="M1536" s="15">
        <f>IFERROR(K1536/J1536,"")</f>
        <v>1.4436363636363636</v>
      </c>
      <c r="N1536" s="5" t="s">
        <v>490</v>
      </c>
      <c r="O1536" s="5" t="s">
        <v>490</v>
      </c>
      <c r="P1536" s="5">
        <v>0</v>
      </c>
      <c r="Q1536" s="5">
        <v>0</v>
      </c>
      <c r="R1536" s="5" t="str">
        <f t="shared" si="321"/>
        <v>394-2025-06-30</v>
      </c>
    </row>
    <row r="1537" spans="1:18" x14ac:dyDescent="0.3">
      <c r="A1537" s="5">
        <v>395</v>
      </c>
      <c r="B1537" s="5" t="s">
        <v>505</v>
      </c>
      <c r="C1537" s="5" t="s">
        <v>285</v>
      </c>
      <c r="D1537" s="5" t="s">
        <v>8</v>
      </c>
      <c r="E1537" s="5" t="s">
        <v>9</v>
      </c>
      <c r="F1537" s="6">
        <v>45838</v>
      </c>
      <c r="G1537" s="5">
        <f t="shared" si="318"/>
        <v>2025</v>
      </c>
      <c r="H1537" s="5" t="str">
        <f t="shared" si="306"/>
        <v>Junio</v>
      </c>
      <c r="I1537" s="6" t="str">
        <f t="shared" si="316"/>
        <v>2025-1</v>
      </c>
      <c r="J1537" s="5">
        <v>90</v>
      </c>
      <c r="K1537" s="5">
        <v>191</v>
      </c>
      <c r="L1537" s="15">
        <f>IFERROR(IF((K1537/J1537)&gt;1.3,1.3,K1537/J1537),"")</f>
        <v>1.3</v>
      </c>
      <c r="M1537" s="15">
        <f t="shared" ref="M1537:M1540" si="322">IFERROR(K1537/J1537,"")</f>
        <v>2.1222222222222222</v>
      </c>
      <c r="N1537" s="5" t="s">
        <v>490</v>
      </c>
      <c r="O1537" s="5" t="s">
        <v>490</v>
      </c>
      <c r="P1537" s="5">
        <v>0</v>
      </c>
      <c r="Q1537" s="5">
        <v>0</v>
      </c>
      <c r="R1537" s="5" t="str">
        <f t="shared" si="321"/>
        <v>395-2025-06-30</v>
      </c>
    </row>
    <row r="1538" spans="1:18" x14ac:dyDescent="0.3">
      <c r="A1538" s="39">
        <v>396</v>
      </c>
      <c r="B1538" s="5" t="s">
        <v>287</v>
      </c>
      <c r="C1538" s="5" t="s">
        <v>281</v>
      </c>
      <c r="D1538" s="5" t="s">
        <v>8</v>
      </c>
      <c r="E1538" s="5" t="s">
        <v>9</v>
      </c>
      <c r="F1538" s="6">
        <v>45291</v>
      </c>
      <c r="G1538" s="5">
        <f t="shared" ref="G1538:G1539" si="323">YEAR(F1538)</f>
        <v>2023</v>
      </c>
      <c r="H1538" s="5" t="str">
        <f t="shared" ref="H1538:H1539" si="324">PROPER(TEXT(F1538,"mmmm"))</f>
        <v>Diciembre</v>
      </c>
      <c r="I1538" s="6" t="str">
        <f t="shared" ref="I1538:I1539" si="325">IF(OR(H1538="Enero",H1538="Febrero",H1538="Marzo",H1538="Abril",H1538="Mayo",H1538="Junio"),G1538&amp;"-1",IF(OR(H1538="Julio",H1538="Agosto",H1538="Septiembre",H1538="Octubre",H1538="Noviembre",H1538="Diciembre"),G1538&amp;"-2"))</f>
        <v>2023-2</v>
      </c>
      <c r="J1538" s="5">
        <v>80</v>
      </c>
      <c r="K1538" s="75">
        <v>92.96</v>
      </c>
      <c r="L1538" s="21">
        <f t="shared" ref="L1538:L1541" si="326">IFERROR(K1538/J1538,"")</f>
        <v>1.1619999999999999</v>
      </c>
      <c r="M1538" s="15">
        <f t="shared" ref="M1538:M1539" si="327">IFERROR(K1538/J1538,"")</f>
        <v>1.1619999999999999</v>
      </c>
      <c r="N1538" s="5" t="s">
        <v>347</v>
      </c>
      <c r="O1538" s="5" t="s">
        <v>347</v>
      </c>
      <c r="P1538" s="5">
        <v>0</v>
      </c>
      <c r="Q1538" s="5">
        <v>1</v>
      </c>
      <c r="R1538" s="5" t="str">
        <f t="shared" si="321"/>
        <v>396-2023-12-31</v>
      </c>
    </row>
    <row r="1539" spans="1:18" x14ac:dyDescent="0.3">
      <c r="A1539" s="39">
        <v>396</v>
      </c>
      <c r="B1539" s="5" t="s">
        <v>287</v>
      </c>
      <c r="C1539" s="5" t="s">
        <v>281</v>
      </c>
      <c r="D1539" s="5" t="s">
        <v>8</v>
      </c>
      <c r="E1539" s="5" t="s">
        <v>9</v>
      </c>
      <c r="F1539" s="6">
        <v>45473</v>
      </c>
      <c r="G1539" s="5">
        <f t="shared" si="323"/>
        <v>2024</v>
      </c>
      <c r="H1539" s="5" t="str">
        <f t="shared" si="324"/>
        <v>Junio</v>
      </c>
      <c r="I1539" s="6" t="str">
        <f t="shared" si="325"/>
        <v>2024-1</v>
      </c>
      <c r="J1539" s="5">
        <v>80</v>
      </c>
      <c r="K1539" s="5">
        <v>88.08</v>
      </c>
      <c r="L1539" s="21">
        <f t="shared" si="326"/>
        <v>1.101</v>
      </c>
      <c r="M1539" s="15">
        <f t="shared" si="327"/>
        <v>1.101</v>
      </c>
      <c r="N1539" s="5" t="s">
        <v>347</v>
      </c>
      <c r="O1539" s="5" t="s">
        <v>347</v>
      </c>
      <c r="P1539" s="5">
        <v>0</v>
      </c>
      <c r="Q1539" s="5">
        <v>1</v>
      </c>
      <c r="R1539" s="5" t="str">
        <f t="shared" si="321"/>
        <v>396-2024-06-30</v>
      </c>
    </row>
    <row r="1540" spans="1:18" x14ac:dyDescent="0.3">
      <c r="A1540" s="39">
        <v>396</v>
      </c>
      <c r="B1540" s="5" t="s">
        <v>287</v>
      </c>
      <c r="C1540" s="5" t="s">
        <v>281</v>
      </c>
      <c r="D1540" s="5" t="s">
        <v>8</v>
      </c>
      <c r="E1540" s="5" t="s">
        <v>9</v>
      </c>
      <c r="F1540" s="6">
        <v>45657</v>
      </c>
      <c r="G1540" s="5">
        <f t="shared" si="318"/>
        <v>2024</v>
      </c>
      <c r="H1540" s="5" t="str">
        <f t="shared" si="306"/>
        <v>Diciembre</v>
      </c>
      <c r="I1540" s="6" t="str">
        <f t="shared" si="316"/>
        <v>2024-2</v>
      </c>
      <c r="J1540" s="5">
        <v>80</v>
      </c>
      <c r="K1540" s="10">
        <v>94.88</v>
      </c>
      <c r="L1540" s="21">
        <f t="shared" si="326"/>
        <v>1.1859999999999999</v>
      </c>
      <c r="M1540" s="15">
        <f t="shared" si="322"/>
        <v>1.1859999999999999</v>
      </c>
      <c r="N1540" s="5" t="s">
        <v>347</v>
      </c>
      <c r="O1540" s="5" t="s">
        <v>347</v>
      </c>
      <c r="P1540" s="5">
        <v>0</v>
      </c>
      <c r="Q1540" s="5">
        <v>1</v>
      </c>
      <c r="R1540" s="5" t="str">
        <f t="shared" si="321"/>
        <v>396-2024-12-31</v>
      </c>
    </row>
    <row r="1541" spans="1:18" x14ac:dyDescent="0.3">
      <c r="A1541" s="39">
        <v>396</v>
      </c>
      <c r="B1541" s="5" t="s">
        <v>287</v>
      </c>
      <c r="C1541" s="5" t="s">
        <v>281</v>
      </c>
      <c r="D1541" s="5" t="s">
        <v>8</v>
      </c>
      <c r="E1541" s="5" t="s">
        <v>9</v>
      </c>
      <c r="F1541" s="6">
        <v>45838</v>
      </c>
      <c r="G1541" s="5">
        <f t="shared" ref="G1541:G1551" si="328">YEAR(F1541)</f>
        <v>2025</v>
      </c>
      <c r="H1541" s="5" t="str">
        <f t="shared" ref="H1541:H1551" si="329">PROPER(TEXT(F1541,"mmmm"))</f>
        <v>Junio</v>
      </c>
      <c r="I1541" s="6" t="str">
        <f t="shared" ref="I1541:I1560" si="330">IF(OR(H1541="Enero",H1541="Febrero",H1541="Marzo",H1541="Abril",H1541="Mayo",H1541="Junio"),G1541&amp;"-1",IF(OR(H1541="Julio",H1541="Agosto",H1541="Septiembre",H1541="Octubre",H1541="Noviembre",H1541="Diciembre"),G1541&amp;"-2"))</f>
        <v>2025-1</v>
      </c>
      <c r="J1541" s="5">
        <v>90</v>
      </c>
      <c r="K1541" s="5">
        <v>95.26</v>
      </c>
      <c r="L1541" s="21">
        <f t="shared" si="326"/>
        <v>1.0584444444444445</v>
      </c>
      <c r="M1541" s="15">
        <f t="shared" ref="M1541:M1542" si="331">IFERROR(K1541/J1541,"")</f>
        <v>1.0584444444444445</v>
      </c>
      <c r="N1541" s="5" t="s">
        <v>347</v>
      </c>
      <c r="O1541" s="5" t="s">
        <v>347</v>
      </c>
      <c r="P1541" s="5">
        <v>0</v>
      </c>
      <c r="Q1541" s="5">
        <v>1</v>
      </c>
      <c r="R1541" s="5" t="str">
        <f t="shared" si="321"/>
        <v>396-2025-06-30</v>
      </c>
    </row>
    <row r="1542" spans="1:18" x14ac:dyDescent="0.3">
      <c r="A1542" s="5">
        <v>397</v>
      </c>
      <c r="B1542" t="s">
        <v>801</v>
      </c>
      <c r="C1542" s="5" t="s">
        <v>506</v>
      </c>
      <c r="D1542" s="5" t="s">
        <v>8</v>
      </c>
      <c r="E1542" s="5" t="s">
        <v>9</v>
      </c>
      <c r="F1542" s="6">
        <v>45838</v>
      </c>
      <c r="G1542" s="5">
        <f t="shared" si="328"/>
        <v>2025</v>
      </c>
      <c r="H1542" s="5" t="str">
        <f t="shared" si="329"/>
        <v>Junio</v>
      </c>
      <c r="I1542" s="6" t="str">
        <f t="shared" si="330"/>
        <v>2025-1</v>
      </c>
      <c r="J1542" s="5">
        <v>90</v>
      </c>
      <c r="K1542" s="5">
        <v>95.26</v>
      </c>
      <c r="L1542" s="15">
        <f t="shared" ref="L1542:L1560" si="332">IFERROR(IF((K1542/J1542)&gt;1.3,1.3,K1542/J1542),"")</f>
        <v>1.0584444444444445</v>
      </c>
      <c r="M1542" s="15">
        <f t="shared" si="331"/>
        <v>1.0584444444444445</v>
      </c>
      <c r="N1542" s="5" t="s">
        <v>347</v>
      </c>
      <c r="O1542" s="5" t="s">
        <v>347</v>
      </c>
      <c r="P1542" s="5">
        <v>0</v>
      </c>
      <c r="Q1542" s="5">
        <v>0</v>
      </c>
      <c r="R1542" s="5" t="str">
        <f t="shared" si="321"/>
        <v>397-2025-06-30</v>
      </c>
    </row>
    <row r="1543" spans="1:18" x14ac:dyDescent="0.3">
      <c r="A1543" s="5">
        <v>398</v>
      </c>
      <c r="B1543" s="5" t="s">
        <v>289</v>
      </c>
      <c r="C1543" s="5" t="s">
        <v>290</v>
      </c>
      <c r="D1543" s="5" t="s">
        <v>8</v>
      </c>
      <c r="E1543" s="5" t="s">
        <v>9</v>
      </c>
      <c r="F1543" s="6">
        <v>45838</v>
      </c>
      <c r="G1543" s="5">
        <f t="shared" si="328"/>
        <v>2025</v>
      </c>
      <c r="H1543" s="5" t="str">
        <f t="shared" si="329"/>
        <v>Junio</v>
      </c>
      <c r="I1543" s="6" t="str">
        <f t="shared" si="330"/>
        <v>2025-1</v>
      </c>
      <c r="J1543" s="5">
        <v>1400</v>
      </c>
      <c r="K1543" s="5">
        <v>2233</v>
      </c>
      <c r="L1543" s="15">
        <f t="shared" si="332"/>
        <v>1.3</v>
      </c>
      <c r="M1543" s="15">
        <f>IFERROR(K1543/J1543,"")</f>
        <v>1.595</v>
      </c>
      <c r="N1543" s="5" t="s">
        <v>490</v>
      </c>
      <c r="O1543" s="5" t="s">
        <v>490</v>
      </c>
      <c r="P1543" s="5">
        <v>0</v>
      </c>
      <c r="Q1543" s="5">
        <v>0</v>
      </c>
      <c r="R1543" s="5" t="str">
        <f t="shared" si="321"/>
        <v>398-2025-06-30</v>
      </c>
    </row>
    <row r="1544" spans="1:18" x14ac:dyDescent="0.3">
      <c r="A1544" s="5">
        <v>399</v>
      </c>
      <c r="B1544" s="5" t="s">
        <v>507</v>
      </c>
      <c r="C1544" s="5" t="s">
        <v>290</v>
      </c>
      <c r="D1544" s="5" t="s">
        <v>8</v>
      </c>
      <c r="E1544" s="5" t="s">
        <v>9</v>
      </c>
      <c r="F1544" s="6">
        <v>45838</v>
      </c>
      <c r="G1544" s="5">
        <f t="shared" si="328"/>
        <v>2025</v>
      </c>
      <c r="H1544" s="5" t="str">
        <f t="shared" si="329"/>
        <v>Junio</v>
      </c>
      <c r="I1544" s="6" t="str">
        <f t="shared" si="330"/>
        <v>2025-1</v>
      </c>
      <c r="J1544" s="5">
        <v>772</v>
      </c>
      <c r="K1544" s="5">
        <v>750</v>
      </c>
      <c r="L1544" s="15">
        <f t="shared" si="332"/>
        <v>0.97150259067357514</v>
      </c>
      <c r="M1544" s="15">
        <f t="shared" ref="M1544:M1560" si="333">IFERROR(K1544/J1544,"")</f>
        <v>0.97150259067357514</v>
      </c>
      <c r="N1544" s="5" t="s">
        <v>490</v>
      </c>
      <c r="O1544" s="5" t="s">
        <v>490</v>
      </c>
      <c r="P1544" s="5">
        <v>0</v>
      </c>
      <c r="Q1544" s="5">
        <v>0</v>
      </c>
      <c r="R1544" s="5" t="str">
        <f t="shared" si="321"/>
        <v>399-2025-06-30</v>
      </c>
    </row>
    <row r="1545" spans="1:18" x14ac:dyDescent="0.3">
      <c r="A1545" s="5">
        <v>400</v>
      </c>
      <c r="B1545" s="5" t="s">
        <v>292</v>
      </c>
      <c r="C1545" s="5" t="s">
        <v>290</v>
      </c>
      <c r="D1545" s="5" t="s">
        <v>8</v>
      </c>
      <c r="E1545" s="5" t="s">
        <v>9</v>
      </c>
      <c r="F1545" s="6">
        <v>45838</v>
      </c>
      <c r="G1545" s="5">
        <f t="shared" si="328"/>
        <v>2025</v>
      </c>
      <c r="H1545" s="5" t="str">
        <f t="shared" si="329"/>
        <v>Junio</v>
      </c>
      <c r="I1545" s="6" t="str">
        <f t="shared" si="330"/>
        <v>2025-1</v>
      </c>
      <c r="J1545" s="5">
        <v>100</v>
      </c>
      <c r="K1545" s="10">
        <v>123</v>
      </c>
      <c r="L1545" s="15">
        <f t="shared" si="332"/>
        <v>1.23</v>
      </c>
      <c r="M1545" s="15">
        <f t="shared" si="333"/>
        <v>1.23</v>
      </c>
      <c r="N1545" s="5" t="s">
        <v>490</v>
      </c>
      <c r="O1545" s="5" t="s">
        <v>490</v>
      </c>
      <c r="P1545" s="5">
        <v>0</v>
      </c>
      <c r="Q1545" s="5">
        <v>0</v>
      </c>
      <c r="R1545" s="5" t="str">
        <f t="shared" si="321"/>
        <v>400-2025-06-30</v>
      </c>
    </row>
    <row r="1546" spans="1:18" x14ac:dyDescent="0.3">
      <c r="A1546" s="5">
        <v>401</v>
      </c>
      <c r="B1546" s="5" t="s">
        <v>293</v>
      </c>
      <c r="C1546" s="5" t="s">
        <v>294</v>
      </c>
      <c r="D1546" s="5" t="s">
        <v>8</v>
      </c>
      <c r="E1546" s="5" t="s">
        <v>9</v>
      </c>
      <c r="F1546" s="6">
        <v>45838</v>
      </c>
      <c r="G1546" s="5">
        <f t="shared" si="328"/>
        <v>2025</v>
      </c>
      <c r="H1546" s="5" t="str">
        <f t="shared" si="329"/>
        <v>Junio</v>
      </c>
      <c r="I1546" s="6" t="str">
        <f t="shared" si="330"/>
        <v>2025-1</v>
      </c>
      <c r="J1546" s="5">
        <v>8</v>
      </c>
      <c r="K1546" s="5">
        <v>8</v>
      </c>
      <c r="L1546" s="15">
        <f t="shared" si="332"/>
        <v>1</v>
      </c>
      <c r="M1546" s="15">
        <f t="shared" si="333"/>
        <v>1</v>
      </c>
      <c r="N1546" s="5" t="s">
        <v>490</v>
      </c>
      <c r="O1546" s="5" t="s">
        <v>490</v>
      </c>
      <c r="P1546" s="5">
        <v>0</v>
      </c>
      <c r="Q1546" s="5">
        <v>0</v>
      </c>
      <c r="R1546" s="5" t="str">
        <f t="shared" si="321"/>
        <v>401-2025-06-30</v>
      </c>
    </row>
    <row r="1547" spans="1:18" x14ac:dyDescent="0.3">
      <c r="A1547" s="5">
        <v>403</v>
      </c>
      <c r="B1547" s="5" t="s">
        <v>296</v>
      </c>
      <c r="C1547" s="5" t="s">
        <v>294</v>
      </c>
      <c r="D1547" s="5" t="s">
        <v>8</v>
      </c>
      <c r="E1547" s="5" t="s">
        <v>9</v>
      </c>
      <c r="F1547" s="6">
        <v>45838</v>
      </c>
      <c r="G1547" s="5">
        <f t="shared" si="328"/>
        <v>2025</v>
      </c>
      <c r="H1547" s="5" t="str">
        <f t="shared" si="329"/>
        <v>Junio</v>
      </c>
      <c r="I1547" s="6" t="str">
        <f t="shared" si="330"/>
        <v>2025-1</v>
      </c>
      <c r="J1547" s="5"/>
      <c r="K1547" s="5">
        <v>14410</v>
      </c>
      <c r="L1547" s="15" t="str">
        <f t="shared" si="332"/>
        <v/>
      </c>
      <c r="M1547" s="15" t="str">
        <f t="shared" si="333"/>
        <v/>
      </c>
      <c r="N1547" s="5" t="s">
        <v>728</v>
      </c>
      <c r="O1547" s="5"/>
      <c r="P1547" s="5">
        <v>0</v>
      </c>
      <c r="Q1547" s="5">
        <v>0</v>
      </c>
      <c r="R1547" s="5" t="str">
        <f t="shared" si="321"/>
        <v>403-2025-06-30</v>
      </c>
    </row>
    <row r="1548" spans="1:18" x14ac:dyDescent="0.3">
      <c r="A1548" s="5">
        <v>385</v>
      </c>
      <c r="B1548" s="5" t="s">
        <v>273</v>
      </c>
      <c r="C1548" s="5" t="s">
        <v>274</v>
      </c>
      <c r="D1548" s="5" t="s">
        <v>8</v>
      </c>
      <c r="E1548" s="5" t="s">
        <v>9</v>
      </c>
      <c r="F1548" s="6">
        <v>45838</v>
      </c>
      <c r="G1548" s="5">
        <f t="shared" si="328"/>
        <v>2025</v>
      </c>
      <c r="H1548" s="5" t="str">
        <f t="shared" si="329"/>
        <v>Junio</v>
      </c>
      <c r="I1548" s="6" t="str">
        <f t="shared" si="330"/>
        <v>2025-1</v>
      </c>
      <c r="J1548" s="5">
        <f>6845877310/1000000</f>
        <v>6845.8773099999999</v>
      </c>
      <c r="K1548" s="5">
        <v>8790.9481190000006</v>
      </c>
      <c r="L1548" s="15">
        <f t="shared" si="332"/>
        <v>1.2841229430388377</v>
      </c>
      <c r="M1548" s="15">
        <f t="shared" si="333"/>
        <v>1.2841229430388377</v>
      </c>
      <c r="N1548" s="5" t="s">
        <v>474</v>
      </c>
      <c r="O1548" s="5" t="s">
        <v>474</v>
      </c>
      <c r="P1548" s="5">
        <v>0</v>
      </c>
      <c r="Q1548" s="5">
        <v>0</v>
      </c>
      <c r="R1548" s="5" t="str">
        <f t="shared" si="321"/>
        <v>385-2025-06-30</v>
      </c>
    </row>
    <row r="1549" spans="1:18" x14ac:dyDescent="0.3">
      <c r="A1549" s="26" t="s">
        <v>356</v>
      </c>
      <c r="B1549" s="23" t="s">
        <v>359</v>
      </c>
      <c r="C1549" s="5" t="s">
        <v>274</v>
      </c>
      <c r="D1549" s="5" t="s">
        <v>8</v>
      </c>
      <c r="E1549" s="5" t="s">
        <v>9</v>
      </c>
      <c r="F1549" s="6">
        <v>45838</v>
      </c>
      <c r="G1549" s="5">
        <f t="shared" si="328"/>
        <v>2025</v>
      </c>
      <c r="H1549" s="5" t="str">
        <f t="shared" si="329"/>
        <v>Junio</v>
      </c>
      <c r="I1549" s="6" t="str">
        <f t="shared" si="330"/>
        <v>2025-1</v>
      </c>
      <c r="J1549" s="75">
        <v>1392.56187</v>
      </c>
      <c r="K1549" s="75">
        <v>1610.582185</v>
      </c>
      <c r="L1549" s="15">
        <f t="shared" si="332"/>
        <v>1.1565605950419997</v>
      </c>
      <c r="M1549" s="15">
        <f t="shared" si="333"/>
        <v>1.1565605950419997</v>
      </c>
      <c r="N1549" s="5" t="s">
        <v>474</v>
      </c>
      <c r="O1549" s="5" t="s">
        <v>474</v>
      </c>
      <c r="P1549" s="5">
        <v>0</v>
      </c>
      <c r="Q1549" s="5">
        <v>0</v>
      </c>
      <c r="R1549" s="5" t="str">
        <f t="shared" si="321"/>
        <v>386.1-2025-06-30</v>
      </c>
    </row>
    <row r="1550" spans="1:18" x14ac:dyDescent="0.3">
      <c r="A1550" s="26" t="s">
        <v>357</v>
      </c>
      <c r="B1550" s="23" t="s">
        <v>360</v>
      </c>
      <c r="C1550" s="5" t="s">
        <v>274</v>
      </c>
      <c r="D1550" s="5" t="s">
        <v>8</v>
      </c>
      <c r="E1550" s="5" t="s">
        <v>9</v>
      </c>
      <c r="F1550" s="6">
        <v>45838</v>
      </c>
      <c r="G1550" s="5">
        <f t="shared" si="328"/>
        <v>2025</v>
      </c>
      <c r="H1550" s="5" t="str">
        <f t="shared" si="329"/>
        <v>Junio</v>
      </c>
      <c r="I1550" s="6" t="str">
        <f t="shared" si="330"/>
        <v>2025-1</v>
      </c>
      <c r="J1550" s="75">
        <v>2655.6515559999998</v>
      </c>
      <c r="K1550" s="75">
        <v>3358.9061839999999</v>
      </c>
      <c r="L1550" s="15">
        <f t="shared" si="332"/>
        <v>1.2648143452446214</v>
      </c>
      <c r="M1550" s="15">
        <f t="shared" si="333"/>
        <v>1.2648143452446214</v>
      </c>
      <c r="N1550" s="5" t="s">
        <v>474</v>
      </c>
      <c r="O1550" s="5" t="s">
        <v>474</v>
      </c>
      <c r="P1550" s="5">
        <v>0</v>
      </c>
      <c r="Q1550" s="5">
        <v>0</v>
      </c>
      <c r="R1550" s="5" t="str">
        <f t="shared" si="321"/>
        <v>386.2-2025-06-30</v>
      </c>
    </row>
    <row r="1551" spans="1:18" x14ac:dyDescent="0.3">
      <c r="A1551" s="26" t="s">
        <v>358</v>
      </c>
      <c r="B1551" s="23" t="s">
        <v>361</v>
      </c>
      <c r="C1551" s="5" t="s">
        <v>274</v>
      </c>
      <c r="D1551" s="5" t="s">
        <v>8</v>
      </c>
      <c r="E1551" s="5" t="s">
        <v>9</v>
      </c>
      <c r="F1551" s="6">
        <v>45838</v>
      </c>
      <c r="G1551" s="5">
        <f t="shared" si="328"/>
        <v>2025</v>
      </c>
      <c r="H1551" s="5" t="str">
        <f t="shared" si="329"/>
        <v>Junio</v>
      </c>
      <c r="I1551" s="6" t="str">
        <f t="shared" si="330"/>
        <v>2025-1</v>
      </c>
      <c r="J1551" s="75">
        <v>2797.6638859999998</v>
      </c>
      <c r="K1551" s="75">
        <v>3821.45975</v>
      </c>
      <c r="L1551" s="15">
        <f t="shared" si="332"/>
        <v>1.3</v>
      </c>
      <c r="M1551" s="15">
        <f t="shared" si="333"/>
        <v>1.3659466990024263</v>
      </c>
      <c r="N1551" s="5" t="s">
        <v>474</v>
      </c>
      <c r="O1551" s="5" t="s">
        <v>474</v>
      </c>
      <c r="P1551" s="5">
        <v>0</v>
      </c>
      <c r="Q1551" s="5">
        <v>0</v>
      </c>
      <c r="R1551" s="5" t="str">
        <f t="shared" si="321"/>
        <v>386.3-2025-06-30</v>
      </c>
    </row>
    <row r="1552" spans="1:18" x14ac:dyDescent="0.3">
      <c r="A1552" s="26" t="s">
        <v>407</v>
      </c>
      <c r="B1552" s="23" t="s">
        <v>388</v>
      </c>
      <c r="C1552" s="5" t="s">
        <v>410</v>
      </c>
      <c r="D1552" s="5" t="s">
        <v>8</v>
      </c>
      <c r="E1552" s="5" t="s">
        <v>9</v>
      </c>
      <c r="F1552" s="6">
        <v>45838</v>
      </c>
      <c r="G1552" s="5">
        <v>2025</v>
      </c>
      <c r="H1552" s="5" t="s">
        <v>763</v>
      </c>
      <c r="I1552" s="6" t="str">
        <f t="shared" si="330"/>
        <v>2025-1</v>
      </c>
      <c r="J1552" s="61">
        <v>69</v>
      </c>
      <c r="K1552" s="61">
        <v>47</v>
      </c>
      <c r="L1552" s="15">
        <f t="shared" si="332"/>
        <v>0.6811594202898551</v>
      </c>
      <c r="M1552" s="15">
        <f t="shared" si="333"/>
        <v>0.6811594202898551</v>
      </c>
      <c r="N1552" s="5" t="s">
        <v>347</v>
      </c>
      <c r="O1552" s="5" t="s">
        <v>347</v>
      </c>
      <c r="P1552" s="5">
        <v>0</v>
      </c>
      <c r="Q1552" s="5">
        <v>0</v>
      </c>
      <c r="R1552" s="5" t="str">
        <f t="shared" si="321"/>
        <v>Med 15-2025-06-30</v>
      </c>
    </row>
    <row r="1553" spans="1:18" x14ac:dyDescent="0.3">
      <c r="A1553" s="26" t="s">
        <v>411</v>
      </c>
      <c r="B1553" s="5" t="s">
        <v>363</v>
      </c>
      <c r="C1553" s="5" t="s">
        <v>410</v>
      </c>
      <c r="D1553" s="5" t="s">
        <v>8</v>
      </c>
      <c r="E1553" s="5" t="s">
        <v>9</v>
      </c>
      <c r="F1553" s="6">
        <v>45838</v>
      </c>
      <c r="G1553" s="16">
        <v>2025</v>
      </c>
      <c r="H1553" s="6" t="s">
        <v>763</v>
      </c>
      <c r="I1553" s="6" t="str">
        <f t="shared" si="330"/>
        <v>2025-1</v>
      </c>
      <c r="J1553" s="5">
        <v>2677</v>
      </c>
      <c r="K1553" s="5">
        <v>2764</v>
      </c>
      <c r="L1553" s="15">
        <f t="shared" si="332"/>
        <v>1.0324990661187896</v>
      </c>
      <c r="M1553" s="15">
        <f t="shared" si="333"/>
        <v>1.0324990661187896</v>
      </c>
      <c r="N1553" s="5" t="s">
        <v>490</v>
      </c>
      <c r="O1553" s="5" t="s">
        <v>490</v>
      </c>
      <c r="P1553" s="5">
        <v>0</v>
      </c>
      <c r="Q1553" s="5">
        <v>0</v>
      </c>
      <c r="R1553" s="5" t="str">
        <f t="shared" si="321"/>
        <v>Med 1-2025-06-30</v>
      </c>
    </row>
    <row r="1554" spans="1:18" x14ac:dyDescent="0.3">
      <c r="A1554" s="26" t="s">
        <v>370</v>
      </c>
      <c r="B1554" s="5" t="s">
        <v>366</v>
      </c>
      <c r="C1554" s="5" t="s">
        <v>410</v>
      </c>
      <c r="D1554" s="5" t="s">
        <v>8</v>
      </c>
      <c r="E1554" s="5" t="s">
        <v>9</v>
      </c>
      <c r="F1554" s="6">
        <v>45838</v>
      </c>
      <c r="G1554" s="16">
        <v>2025</v>
      </c>
      <c r="H1554" s="6" t="s">
        <v>763</v>
      </c>
      <c r="I1554" s="6" t="str">
        <f t="shared" si="330"/>
        <v>2025-1</v>
      </c>
      <c r="J1554" s="5">
        <v>582</v>
      </c>
      <c r="K1554" s="5">
        <v>562</v>
      </c>
      <c r="L1554" s="15">
        <f t="shared" si="332"/>
        <v>0.96563573883161513</v>
      </c>
      <c r="M1554" s="15">
        <f t="shared" si="333"/>
        <v>0.96563573883161513</v>
      </c>
      <c r="N1554" s="5" t="s">
        <v>490</v>
      </c>
      <c r="O1554" s="5" t="s">
        <v>490</v>
      </c>
      <c r="P1554" s="5">
        <v>0</v>
      </c>
      <c r="Q1554" s="5">
        <v>0</v>
      </c>
      <c r="R1554" s="5" t="str">
        <f t="shared" si="321"/>
        <v>Med 1.3-2025-06-30</v>
      </c>
    </row>
    <row r="1555" spans="1:18" x14ac:dyDescent="0.3">
      <c r="A1555" s="26" t="s">
        <v>371</v>
      </c>
      <c r="B1555" s="5" t="s">
        <v>817</v>
      </c>
      <c r="C1555" s="5" t="s">
        <v>410</v>
      </c>
      <c r="D1555" s="5" t="s">
        <v>8</v>
      </c>
      <c r="E1555" s="5" t="s">
        <v>9</v>
      </c>
      <c r="F1555" s="6">
        <v>45838</v>
      </c>
      <c r="G1555" s="16">
        <v>2025</v>
      </c>
      <c r="H1555" s="6" t="s">
        <v>763</v>
      </c>
      <c r="I1555" s="6" t="str">
        <f t="shared" si="330"/>
        <v>2025-1</v>
      </c>
      <c r="J1555" s="9">
        <v>2107</v>
      </c>
      <c r="K1555" s="9">
        <v>2219</v>
      </c>
      <c r="L1555" s="15">
        <f t="shared" si="332"/>
        <v>1.0531561461794019</v>
      </c>
      <c r="M1555" s="15">
        <f t="shared" si="333"/>
        <v>1.0531561461794019</v>
      </c>
      <c r="N1555" s="5" t="s">
        <v>490</v>
      </c>
      <c r="O1555" s="5" t="s">
        <v>490</v>
      </c>
      <c r="P1555" s="5">
        <v>0</v>
      </c>
      <c r="Q1555" s="5">
        <v>0</v>
      </c>
      <c r="R1555" s="5" t="str">
        <f t="shared" si="321"/>
        <v>Med 1.4-2025-06-30</v>
      </c>
    </row>
    <row r="1556" spans="1:18" x14ac:dyDescent="0.3">
      <c r="A1556" s="26" t="s">
        <v>403</v>
      </c>
      <c r="B1556" s="5" t="s">
        <v>384</v>
      </c>
      <c r="C1556" s="5" t="s">
        <v>410</v>
      </c>
      <c r="D1556" s="5" t="s">
        <v>8</v>
      </c>
      <c r="E1556" s="5" t="s">
        <v>9</v>
      </c>
      <c r="F1556" s="6">
        <v>45838</v>
      </c>
      <c r="G1556" s="16">
        <v>2025</v>
      </c>
      <c r="H1556" s="6" t="s">
        <v>763</v>
      </c>
      <c r="I1556" s="6" t="str">
        <f t="shared" si="330"/>
        <v>2025-1</v>
      </c>
      <c r="J1556" s="9">
        <v>100</v>
      </c>
      <c r="K1556" s="12">
        <v>107.61</v>
      </c>
      <c r="L1556" s="15">
        <f t="shared" si="332"/>
        <v>1.0761000000000001</v>
      </c>
      <c r="M1556" s="15">
        <f t="shared" si="333"/>
        <v>1.0761000000000001</v>
      </c>
      <c r="N1556" s="5" t="s">
        <v>347</v>
      </c>
      <c r="O1556" s="5" t="s">
        <v>347</v>
      </c>
      <c r="P1556" s="5">
        <v>0</v>
      </c>
      <c r="Q1556" s="5">
        <v>0</v>
      </c>
      <c r="R1556" s="5" t="str">
        <f t="shared" si="321"/>
        <v>Med 10-2025-06-30</v>
      </c>
    </row>
    <row r="1557" spans="1:18" x14ac:dyDescent="0.3">
      <c r="A1557" s="26" t="s">
        <v>404</v>
      </c>
      <c r="B1557" s="5" t="s">
        <v>385</v>
      </c>
      <c r="C1557" s="5" t="s">
        <v>410</v>
      </c>
      <c r="D1557" s="5" t="s">
        <v>8</v>
      </c>
      <c r="E1557" s="5" t="s">
        <v>9</v>
      </c>
      <c r="F1557" s="6">
        <v>45838</v>
      </c>
      <c r="G1557" s="16">
        <v>2025</v>
      </c>
      <c r="H1557" s="6" t="s">
        <v>763</v>
      </c>
      <c r="I1557" s="6" t="str">
        <f t="shared" si="330"/>
        <v>2025-1</v>
      </c>
      <c r="J1557" s="9">
        <v>100</v>
      </c>
      <c r="K1557" s="12">
        <v>143.04</v>
      </c>
      <c r="L1557" s="15">
        <f t="shared" si="332"/>
        <v>1.3</v>
      </c>
      <c r="M1557" s="15">
        <f t="shared" si="333"/>
        <v>1.4303999999999999</v>
      </c>
      <c r="N1557" s="5" t="s">
        <v>347</v>
      </c>
      <c r="O1557" s="5" t="s">
        <v>347</v>
      </c>
      <c r="P1557" s="5">
        <v>0</v>
      </c>
      <c r="Q1557" s="5">
        <v>0</v>
      </c>
      <c r="R1557" s="5" t="str">
        <f t="shared" si="321"/>
        <v>Med 11-2025-06-30</v>
      </c>
    </row>
    <row r="1558" spans="1:18" x14ac:dyDescent="0.3">
      <c r="A1558" s="5">
        <v>14</v>
      </c>
      <c r="B1558" s="5" t="s">
        <v>341</v>
      </c>
      <c r="C1558" s="5" t="s">
        <v>74</v>
      </c>
      <c r="D1558" s="5" t="s">
        <v>8</v>
      </c>
      <c r="E1558" s="5" t="s">
        <v>9</v>
      </c>
      <c r="F1558" s="6">
        <v>45838</v>
      </c>
      <c r="G1558" s="5">
        <f t="shared" ref="G1558:G1568" si="334">YEAR(F1558)</f>
        <v>2025</v>
      </c>
      <c r="H1558" s="5" t="str">
        <f t="shared" ref="H1558:H1568" si="335">PROPER(TEXT(F1558,"mmmm"))</f>
        <v>Junio</v>
      </c>
      <c r="I1558" s="6" t="str">
        <f t="shared" si="330"/>
        <v>2025-1</v>
      </c>
      <c r="J1558" s="9">
        <v>53635</v>
      </c>
      <c r="K1558" s="9">
        <v>56505</v>
      </c>
      <c r="L1558" s="15">
        <f t="shared" si="332"/>
        <v>1.053509834995805</v>
      </c>
      <c r="M1558" s="15">
        <f t="shared" si="333"/>
        <v>1.053509834995805</v>
      </c>
      <c r="N1558" s="5" t="s">
        <v>490</v>
      </c>
      <c r="O1558" s="5" t="s">
        <v>490</v>
      </c>
      <c r="P1558" s="5">
        <v>0</v>
      </c>
      <c r="Q1558" s="5">
        <v>0</v>
      </c>
      <c r="R1558" s="5" t="str">
        <f t="shared" si="321"/>
        <v>14-2025-06-30</v>
      </c>
    </row>
    <row r="1559" spans="1:18" x14ac:dyDescent="0.3">
      <c r="A1559" s="5">
        <v>14</v>
      </c>
      <c r="B1559" s="5" t="s">
        <v>341</v>
      </c>
      <c r="C1559" s="5" t="s">
        <v>74</v>
      </c>
      <c r="D1559" s="5" t="s">
        <v>8</v>
      </c>
      <c r="E1559" s="5" t="s">
        <v>9</v>
      </c>
      <c r="F1559" s="6">
        <v>46022</v>
      </c>
      <c r="G1559" s="5">
        <f t="shared" si="334"/>
        <v>2025</v>
      </c>
      <c r="H1559" s="5" t="str">
        <f t="shared" si="335"/>
        <v>Diciembre</v>
      </c>
      <c r="I1559" s="6" t="str">
        <f t="shared" si="330"/>
        <v>2025-2</v>
      </c>
      <c r="J1559" s="82">
        <v>55756</v>
      </c>
      <c r="K1559" s="9">
        <v>56807</v>
      </c>
      <c r="L1559" s="15">
        <f t="shared" si="332"/>
        <v>1.0188499892388263</v>
      </c>
      <c r="M1559" s="15">
        <f t="shared" si="333"/>
        <v>1.0188499892388263</v>
      </c>
      <c r="N1559" s="5" t="s">
        <v>490</v>
      </c>
      <c r="O1559" s="5" t="s">
        <v>490</v>
      </c>
      <c r="P1559" s="5">
        <v>0</v>
      </c>
      <c r="Q1559" s="5">
        <v>0</v>
      </c>
      <c r="R1559" s="5" t="str">
        <f t="shared" si="321"/>
        <v>14-2025-12-31</v>
      </c>
    </row>
    <row r="1560" spans="1:18" x14ac:dyDescent="0.3">
      <c r="A1560" s="5">
        <v>274</v>
      </c>
      <c r="B1560" s="5" t="s">
        <v>159</v>
      </c>
      <c r="C1560" s="5" t="s">
        <v>142</v>
      </c>
      <c r="D1560" s="5" t="s">
        <v>8</v>
      </c>
      <c r="E1560" s="5" t="s">
        <v>9</v>
      </c>
      <c r="F1560" s="6">
        <v>46022</v>
      </c>
      <c r="G1560" s="5">
        <f t="shared" si="334"/>
        <v>2025</v>
      </c>
      <c r="H1560" s="5" t="str">
        <f t="shared" si="335"/>
        <v>Diciembre</v>
      </c>
      <c r="I1560" s="6" t="str">
        <f t="shared" si="330"/>
        <v>2025-2</v>
      </c>
      <c r="J1560" s="103">
        <v>44737</v>
      </c>
      <c r="K1560" s="9">
        <v>45583</v>
      </c>
      <c r="L1560" s="15">
        <f t="shared" si="332"/>
        <v>1.0189105214922771</v>
      </c>
      <c r="M1560" s="15">
        <f t="shared" si="333"/>
        <v>1.0189105214922771</v>
      </c>
      <c r="N1560" s="5" t="s">
        <v>490</v>
      </c>
      <c r="O1560" s="5" t="s">
        <v>490</v>
      </c>
      <c r="P1560" s="5">
        <v>0</v>
      </c>
      <c r="Q1560" s="5">
        <v>0</v>
      </c>
      <c r="R1560" s="5" t="str">
        <f t="shared" si="321"/>
        <v>274-2025-12-31</v>
      </c>
    </row>
    <row r="1561" spans="1:18" x14ac:dyDescent="0.3">
      <c r="A1561" s="25" t="s">
        <v>348</v>
      </c>
      <c r="B1561" s="23" t="s">
        <v>349</v>
      </c>
      <c r="C1561" s="5" t="s">
        <v>124</v>
      </c>
      <c r="D1561" s="5" t="s">
        <v>8</v>
      </c>
      <c r="E1561" s="5" t="s">
        <v>9</v>
      </c>
      <c r="F1561" s="6">
        <v>45838</v>
      </c>
      <c r="G1561" s="5">
        <f t="shared" si="334"/>
        <v>2025</v>
      </c>
      <c r="H1561" s="5" t="str">
        <f t="shared" si="335"/>
        <v>Junio</v>
      </c>
      <c r="I1561" s="6" t="str">
        <f t="shared" ref="I1561:I1568" si="336">IF(OR(H1561="Enero",H1561="Febrero",H1561="Marzo",H1561="Abril",H1561="Mayo",H1561="Junio"),G1561&amp;"-1",IF(OR(H1561="Julio",H1561="Agosto",H1561="Septiembre",H1561="Octubre",H1561="Noviembre",H1561="Diciembre"),G1561&amp;"-2"))</f>
        <v>2025-1</v>
      </c>
      <c r="J1561" s="5">
        <v>8471</v>
      </c>
      <c r="K1561" s="5">
        <v>8743</v>
      </c>
      <c r="L1561" s="15">
        <f>IFERROR(IF((K1561/J1561)&gt;1.3,1.3,K1561/J1561),"")</f>
        <v>1.0321095502301971</v>
      </c>
      <c r="M1561" s="15">
        <v>1.0313418217433887</v>
      </c>
      <c r="N1561" s="5" t="s">
        <v>490</v>
      </c>
      <c r="O1561" s="5" t="s">
        <v>490</v>
      </c>
      <c r="P1561" s="5">
        <v>0</v>
      </c>
      <c r="Q1561" s="5">
        <v>0</v>
      </c>
      <c r="R1561" s="5" t="s">
        <v>855</v>
      </c>
    </row>
    <row r="1562" spans="1:18" x14ac:dyDescent="0.3">
      <c r="A1562" s="25" t="s">
        <v>348</v>
      </c>
      <c r="B1562" s="23" t="s">
        <v>349</v>
      </c>
      <c r="C1562" s="5" t="s">
        <v>124</v>
      </c>
      <c r="D1562" s="5" t="s">
        <v>8</v>
      </c>
      <c r="E1562" s="5" t="s">
        <v>9</v>
      </c>
      <c r="F1562" s="6">
        <v>46022</v>
      </c>
      <c r="G1562" s="5">
        <f t="shared" si="334"/>
        <v>2025</v>
      </c>
      <c r="H1562" s="5" t="str">
        <f t="shared" si="335"/>
        <v>Diciembre</v>
      </c>
      <c r="I1562" s="6" t="str">
        <f t="shared" si="336"/>
        <v>2025-2</v>
      </c>
      <c r="J1562" s="5">
        <v>8200</v>
      </c>
      <c r="K1562" s="5">
        <v>8735</v>
      </c>
      <c r="L1562" s="15">
        <f>IFERROR(IF((K1562/J1562)&gt;1.3,1.3,K1562/J1562),"")</f>
        <v>1.0652439024390243</v>
      </c>
      <c r="M1562" s="15">
        <v>1.0319767441860466</v>
      </c>
      <c r="N1562" s="5" t="s">
        <v>490</v>
      </c>
      <c r="O1562" s="5" t="s">
        <v>490</v>
      </c>
      <c r="P1562" s="5">
        <v>0</v>
      </c>
      <c r="Q1562" s="5">
        <v>0</v>
      </c>
      <c r="R1562" s="5" t="s">
        <v>856</v>
      </c>
    </row>
    <row r="1563" spans="1:18" x14ac:dyDescent="0.3">
      <c r="A1563" s="25" t="s">
        <v>350</v>
      </c>
      <c r="B1563" s="23" t="s">
        <v>351</v>
      </c>
      <c r="C1563" s="5" t="s">
        <v>124</v>
      </c>
      <c r="D1563" s="5" t="s">
        <v>8</v>
      </c>
      <c r="E1563" s="5" t="s">
        <v>9</v>
      </c>
      <c r="F1563" s="6">
        <v>45838</v>
      </c>
      <c r="G1563" s="5">
        <f t="shared" si="334"/>
        <v>2025</v>
      </c>
      <c r="H1563" s="5" t="str">
        <f t="shared" si="335"/>
        <v>Junio</v>
      </c>
      <c r="I1563" s="6" t="str">
        <f t="shared" si="336"/>
        <v>2025-1</v>
      </c>
      <c r="J1563" s="5">
        <v>45163</v>
      </c>
      <c r="K1563" s="5">
        <v>47762</v>
      </c>
      <c r="L1563" s="15">
        <f t="shared" ref="L1563:L1566" si="337">IFERROR(IF((K1563/J1563)&gt;1.3,1.3,K1563/J1563),"")</f>
        <v>1.0575471071452296</v>
      </c>
      <c r="M1563" s="15">
        <f t="shared" ref="M1563:M1564" si="338">IFERROR(K1563/J1563,"")</f>
        <v>1.0575471071452296</v>
      </c>
      <c r="N1563" s="5" t="s">
        <v>490</v>
      </c>
      <c r="O1563" s="5" t="s">
        <v>490</v>
      </c>
      <c r="P1563" s="5">
        <v>0</v>
      </c>
      <c r="Q1563" s="5">
        <v>0</v>
      </c>
      <c r="R1563" s="5" t="s">
        <v>857</v>
      </c>
    </row>
    <row r="1564" spans="1:18" x14ac:dyDescent="0.3">
      <c r="A1564" s="25" t="s">
        <v>350</v>
      </c>
      <c r="B1564" s="23" t="s">
        <v>351</v>
      </c>
      <c r="C1564" s="5" t="s">
        <v>124</v>
      </c>
      <c r="D1564" s="5" t="s">
        <v>8</v>
      </c>
      <c r="E1564" s="5" t="s">
        <v>9</v>
      </c>
      <c r="F1564" s="6">
        <v>46022</v>
      </c>
      <c r="G1564" s="5">
        <f t="shared" si="334"/>
        <v>2025</v>
      </c>
      <c r="H1564" s="5" t="str">
        <f t="shared" si="335"/>
        <v>Diciembre</v>
      </c>
      <c r="I1564" s="6" t="str">
        <f t="shared" si="336"/>
        <v>2025-2</v>
      </c>
      <c r="J1564" s="5">
        <v>44838</v>
      </c>
      <c r="K1564" s="5">
        <v>48072</v>
      </c>
      <c r="L1564" s="15">
        <f t="shared" si="337"/>
        <v>1.0721263214237924</v>
      </c>
      <c r="M1564" s="15">
        <f t="shared" si="338"/>
        <v>1.0721263214237924</v>
      </c>
      <c r="N1564" s="5" t="s">
        <v>490</v>
      </c>
      <c r="O1564" s="5" t="s">
        <v>490</v>
      </c>
      <c r="P1564" s="5">
        <v>0</v>
      </c>
      <c r="Q1564" s="5">
        <v>0</v>
      </c>
      <c r="R1564" s="5" t="s">
        <v>858</v>
      </c>
    </row>
    <row r="1565" spans="1:18" x14ac:dyDescent="0.3">
      <c r="A1565" s="25" t="s">
        <v>352</v>
      </c>
      <c r="B1565" s="23" t="s">
        <v>353</v>
      </c>
      <c r="C1565" s="5" t="s">
        <v>124</v>
      </c>
      <c r="D1565" s="5" t="s">
        <v>8</v>
      </c>
      <c r="E1565" s="5" t="s">
        <v>9</v>
      </c>
      <c r="F1565" s="6">
        <v>45838</v>
      </c>
      <c r="G1565" s="5">
        <f t="shared" si="334"/>
        <v>2025</v>
      </c>
      <c r="H1565" s="5" t="str">
        <f t="shared" si="335"/>
        <v>Junio</v>
      </c>
      <c r="I1565" s="6" t="str">
        <f t="shared" si="336"/>
        <v>2025-1</v>
      </c>
      <c r="J1565" s="5">
        <v>49640</v>
      </c>
      <c r="K1565" s="5">
        <v>52096</v>
      </c>
      <c r="L1565" s="15">
        <f t="shared" si="337"/>
        <v>1.0494762288477035</v>
      </c>
      <c r="M1565" s="15">
        <f>IFERROR(K1565/J1565,"")</f>
        <v>1.0494762288477035</v>
      </c>
      <c r="N1565" s="5" t="s">
        <v>490</v>
      </c>
      <c r="O1565" s="5" t="s">
        <v>490</v>
      </c>
      <c r="P1565" s="5">
        <v>0</v>
      </c>
      <c r="Q1565" s="5">
        <v>0</v>
      </c>
      <c r="R1565" s="5" t="s">
        <v>859</v>
      </c>
    </row>
    <row r="1566" spans="1:18" x14ac:dyDescent="0.3">
      <c r="A1566" s="25" t="s">
        <v>352</v>
      </c>
      <c r="B1566" s="23" t="s">
        <v>353</v>
      </c>
      <c r="C1566" s="5" t="s">
        <v>124</v>
      </c>
      <c r="D1566" s="5" t="s">
        <v>8</v>
      </c>
      <c r="E1566" s="5" t="s">
        <v>9</v>
      </c>
      <c r="F1566" s="6">
        <v>46022</v>
      </c>
      <c r="G1566" s="5">
        <f t="shared" si="334"/>
        <v>2025</v>
      </c>
      <c r="H1566" s="5" t="str">
        <f t="shared" si="335"/>
        <v>Diciembre</v>
      </c>
      <c r="I1566" s="6" t="str">
        <f t="shared" si="336"/>
        <v>2025-2</v>
      </c>
      <c r="J1566" s="5">
        <v>49176</v>
      </c>
      <c r="K1566" s="5">
        <v>52175</v>
      </c>
      <c r="L1566" s="15">
        <f t="shared" si="337"/>
        <v>1.0609850333496014</v>
      </c>
      <c r="M1566" s="15">
        <f>IFERROR(K1566/J1566,"")</f>
        <v>1.0609850333496014</v>
      </c>
      <c r="N1566" s="5" t="s">
        <v>490</v>
      </c>
      <c r="O1566" s="5" t="s">
        <v>490</v>
      </c>
      <c r="P1566" s="5">
        <v>0</v>
      </c>
      <c r="Q1566" s="5">
        <v>0</v>
      </c>
      <c r="R1566" s="5" t="s">
        <v>860</v>
      </c>
    </row>
    <row r="1567" spans="1:18" x14ac:dyDescent="0.3">
      <c r="A1567" s="25" t="s">
        <v>354</v>
      </c>
      <c r="B1567" s="23" t="s">
        <v>355</v>
      </c>
      <c r="C1567" s="5" t="s">
        <v>124</v>
      </c>
      <c r="D1567" s="5" t="s">
        <v>8</v>
      </c>
      <c r="E1567" s="5" t="s">
        <v>9</v>
      </c>
      <c r="F1567" s="6">
        <v>45838</v>
      </c>
      <c r="G1567" s="16">
        <f t="shared" si="334"/>
        <v>2025</v>
      </c>
      <c r="H1567" s="6" t="str">
        <f t="shared" si="335"/>
        <v>Junio</v>
      </c>
      <c r="I1567" s="6" t="str">
        <f t="shared" si="336"/>
        <v>2025-1</v>
      </c>
      <c r="J1567" s="5">
        <v>3994</v>
      </c>
      <c r="K1567" s="5">
        <v>4409</v>
      </c>
      <c r="L1567" s="15">
        <f>IFERROR(IF((K1567/J1567)&gt;1.3,1.3,K1567/J1567),"")</f>
        <v>1.1039058587881823</v>
      </c>
      <c r="M1567" s="15">
        <f>IFERROR(K1567/J1567,"")</f>
        <v>1.1039058587881823</v>
      </c>
      <c r="N1567" s="5" t="s">
        <v>490</v>
      </c>
      <c r="O1567" s="5" t="s">
        <v>490</v>
      </c>
      <c r="P1567" s="5">
        <v>0</v>
      </c>
      <c r="Q1567" s="5">
        <v>0</v>
      </c>
      <c r="R1567" s="5" t="s">
        <v>861</v>
      </c>
    </row>
    <row r="1568" spans="1:18" x14ac:dyDescent="0.3">
      <c r="A1568" s="25" t="s">
        <v>354</v>
      </c>
      <c r="B1568" s="23" t="s">
        <v>355</v>
      </c>
      <c r="C1568" s="5" t="s">
        <v>124</v>
      </c>
      <c r="D1568" s="5" t="s">
        <v>8</v>
      </c>
      <c r="E1568" s="5" t="s">
        <v>9</v>
      </c>
      <c r="F1568" s="6">
        <v>46022</v>
      </c>
      <c r="G1568" s="16">
        <f t="shared" si="334"/>
        <v>2025</v>
      </c>
      <c r="H1568" s="6" t="str">
        <f t="shared" si="335"/>
        <v>Diciembre</v>
      </c>
      <c r="I1568" s="6" t="str">
        <f t="shared" si="336"/>
        <v>2025-2</v>
      </c>
      <c r="J1568" s="5">
        <v>3862</v>
      </c>
      <c r="K1568" s="5">
        <v>4632</v>
      </c>
      <c r="L1568" s="15">
        <f>IFERROR(IF((K1568/J1568)&gt;1.3,1.3,K1568/J1568),"")</f>
        <v>1.1993785603314344</v>
      </c>
      <c r="M1568" s="15">
        <f>IFERROR(K1568/J1568,"")</f>
        <v>1.1993785603314344</v>
      </c>
      <c r="N1568" s="5" t="s">
        <v>490</v>
      </c>
      <c r="O1568" s="5" t="s">
        <v>490</v>
      </c>
      <c r="P1568" s="5">
        <v>0</v>
      </c>
      <c r="Q1568" s="5">
        <v>0</v>
      </c>
      <c r="R1568" s="5" t="s">
        <v>862</v>
      </c>
    </row>
    <row r="1569" spans="1:18" x14ac:dyDescent="0.3">
      <c r="A1569" s="5">
        <v>423</v>
      </c>
      <c r="B1569" s="5" t="s">
        <v>317</v>
      </c>
      <c r="C1569" s="5" t="s">
        <v>315</v>
      </c>
      <c r="D1569" s="5" t="s">
        <v>25</v>
      </c>
      <c r="E1569" s="5" t="s">
        <v>9</v>
      </c>
      <c r="F1569" s="6">
        <v>46022</v>
      </c>
      <c r="G1569" s="5">
        <v>2025</v>
      </c>
      <c r="H1569" s="5" t="s">
        <v>764</v>
      </c>
      <c r="I1569" s="6" t="s">
        <v>841</v>
      </c>
      <c r="J1569" s="5">
        <v>12</v>
      </c>
      <c r="K1569" s="5">
        <v>15.1</v>
      </c>
      <c r="L1569" s="15">
        <f t="shared" ref="L1569:L1577" si="339">IFERROR(IF((K1569/J1569)&gt;1.3,1.3,K1569/J1569),"")</f>
        <v>1.2583333333333333</v>
      </c>
      <c r="M1569" s="15">
        <f t="shared" ref="M1569:M1574" si="340">IFERROR(K1569/J1569,"")</f>
        <v>1.2583333333333333</v>
      </c>
      <c r="N1569" s="5" t="s">
        <v>478</v>
      </c>
      <c r="O1569" s="5" t="s">
        <v>478</v>
      </c>
      <c r="P1569" s="5">
        <v>1</v>
      </c>
      <c r="Q1569" s="5">
        <v>1</v>
      </c>
      <c r="R1569" s="5" t="str">
        <f>A1569&amp;"-"&amp;YEAR(F1569)&amp;"-"&amp;IF(LEN(MONTH(F1569))=1,"0"&amp;MONTH(F1569),MONTH(F1569))&amp;"-"&amp;DAY(F1569)</f>
        <v>423-2025-12-31</v>
      </c>
    </row>
    <row r="1570" spans="1:18" x14ac:dyDescent="0.3">
      <c r="A1570" s="5">
        <v>424</v>
      </c>
      <c r="B1570" s="5" t="s">
        <v>433</v>
      </c>
      <c r="C1570" s="5" t="s">
        <v>315</v>
      </c>
      <c r="D1570" s="5" t="s">
        <v>25</v>
      </c>
      <c r="E1570" s="5" t="s">
        <v>9</v>
      </c>
      <c r="F1570" s="6">
        <v>46022</v>
      </c>
      <c r="G1570" s="5">
        <v>2025</v>
      </c>
      <c r="H1570" s="5" t="s">
        <v>764</v>
      </c>
      <c r="I1570" s="6" t="s">
        <v>841</v>
      </c>
      <c r="J1570" s="5">
        <v>9</v>
      </c>
      <c r="K1570" s="5">
        <v>11</v>
      </c>
      <c r="L1570" s="15">
        <f t="shared" si="339"/>
        <v>1.2222222222222223</v>
      </c>
      <c r="M1570" s="15">
        <f t="shared" si="340"/>
        <v>1.2222222222222223</v>
      </c>
      <c r="N1570" s="5" t="s">
        <v>490</v>
      </c>
      <c r="O1570" s="5" t="s">
        <v>490</v>
      </c>
      <c r="P1570" s="5">
        <v>0</v>
      </c>
      <c r="Q1570" s="5">
        <v>0</v>
      </c>
      <c r="R1570" s="5" t="s">
        <v>846</v>
      </c>
    </row>
    <row r="1571" spans="1:18" x14ac:dyDescent="0.3">
      <c r="A1571" s="5">
        <v>97</v>
      </c>
      <c r="B1571" s="5" t="s">
        <v>430</v>
      </c>
      <c r="C1571" s="5" t="s">
        <v>315</v>
      </c>
      <c r="D1571" s="5" t="s">
        <v>8</v>
      </c>
      <c r="E1571" s="5" t="s">
        <v>9</v>
      </c>
      <c r="F1571" s="17">
        <v>45838</v>
      </c>
      <c r="G1571" s="16">
        <f t="shared" ref="G1571:G1577" si="341">YEAR(F1571)</f>
        <v>2025</v>
      </c>
      <c r="H1571" s="6" t="str">
        <f t="shared" ref="H1571:H1577" si="342">PROPER(TEXT(F1571,"mmmm"))</f>
        <v>Junio</v>
      </c>
      <c r="I1571" s="6" t="str">
        <f t="shared" ref="I1571:I1577" si="343">IF(OR(H1571="Enero",H1571="Febrero",H1571="Marzo",H1571="Abril",H1571="Mayo",H1571="Junio"),G1571&amp;"-1",IF(OR(H1571="Julio",H1571="Agosto",H1571="Septiembre",H1571="Octubre",H1571="Noviembre",H1571="Diciembre"),G1571&amp;"-2"))</f>
        <v>2025-1</v>
      </c>
      <c r="J1571" s="5">
        <v>0</v>
      </c>
      <c r="K1571" s="5">
        <v>0</v>
      </c>
      <c r="L1571" s="15" t="str">
        <f t="shared" si="339"/>
        <v/>
      </c>
      <c r="M1571" s="15" t="str">
        <f t="shared" si="340"/>
        <v/>
      </c>
      <c r="N1571" s="5" t="s">
        <v>417</v>
      </c>
      <c r="O1571" s="5" t="s">
        <v>417</v>
      </c>
      <c r="P1571" s="5">
        <v>0</v>
      </c>
      <c r="Q1571" s="5">
        <v>0</v>
      </c>
      <c r="R1571" s="5" t="str">
        <f t="shared" ref="R1571:R1576" si="344">A1571&amp;"-"&amp;YEAR(F1571)&amp;"-"&amp;IF(LEN(MONTH(F1571))=1,"0"&amp;MONTH(F1571),MONTH(F1571))&amp;"-"&amp;DAY(F1571)</f>
        <v>97-2025-06-30</v>
      </c>
    </row>
    <row r="1572" spans="1:18" x14ac:dyDescent="0.3">
      <c r="A1572" s="5">
        <v>97</v>
      </c>
      <c r="B1572" s="5" t="s">
        <v>430</v>
      </c>
      <c r="C1572" s="5" t="s">
        <v>315</v>
      </c>
      <c r="D1572" s="5" t="s">
        <v>8</v>
      </c>
      <c r="E1572" s="5" t="s">
        <v>9</v>
      </c>
      <c r="F1572" s="17">
        <v>46022</v>
      </c>
      <c r="G1572" s="16">
        <f t="shared" si="341"/>
        <v>2025</v>
      </c>
      <c r="H1572" s="6" t="str">
        <f t="shared" si="342"/>
        <v>Diciembre</v>
      </c>
      <c r="I1572" s="6" t="str">
        <f t="shared" si="343"/>
        <v>2025-2</v>
      </c>
      <c r="J1572" s="5">
        <v>0</v>
      </c>
      <c r="K1572" s="5">
        <v>0</v>
      </c>
      <c r="L1572" s="15" t="str">
        <f t="shared" si="339"/>
        <v/>
      </c>
      <c r="M1572" s="15" t="str">
        <f t="shared" si="340"/>
        <v/>
      </c>
      <c r="N1572" s="5" t="s">
        <v>417</v>
      </c>
      <c r="O1572" s="5" t="s">
        <v>417</v>
      </c>
      <c r="P1572" s="5">
        <v>0</v>
      </c>
      <c r="Q1572" s="5">
        <v>0</v>
      </c>
      <c r="R1572" s="5" t="str">
        <f t="shared" si="344"/>
        <v>97-2025-12-31</v>
      </c>
    </row>
    <row r="1573" spans="1:18" x14ac:dyDescent="0.3">
      <c r="A1573" s="5">
        <v>98</v>
      </c>
      <c r="B1573" s="5" t="s">
        <v>432</v>
      </c>
      <c r="C1573" s="5" t="s">
        <v>315</v>
      </c>
      <c r="D1573" s="5" t="s">
        <v>8</v>
      </c>
      <c r="E1573" s="5" t="s">
        <v>9</v>
      </c>
      <c r="F1573" s="17">
        <v>45838</v>
      </c>
      <c r="G1573" s="16">
        <f t="shared" si="341"/>
        <v>2025</v>
      </c>
      <c r="H1573" s="6" t="str">
        <f t="shared" si="342"/>
        <v>Junio</v>
      </c>
      <c r="I1573" s="6" t="str">
        <f t="shared" si="343"/>
        <v>2025-1</v>
      </c>
      <c r="J1573" s="5">
        <v>10</v>
      </c>
      <c r="K1573" s="5">
        <v>10</v>
      </c>
      <c r="L1573" s="15">
        <f t="shared" si="339"/>
        <v>1</v>
      </c>
      <c r="M1573" s="15">
        <f t="shared" si="340"/>
        <v>1</v>
      </c>
      <c r="N1573" s="5" t="s">
        <v>490</v>
      </c>
      <c r="O1573" s="5" t="s">
        <v>490</v>
      </c>
      <c r="P1573" s="5">
        <v>0</v>
      </c>
      <c r="Q1573" s="5">
        <v>0</v>
      </c>
      <c r="R1573" s="5" t="str">
        <f t="shared" si="344"/>
        <v>98-2025-06-30</v>
      </c>
    </row>
    <row r="1574" spans="1:18" x14ac:dyDescent="0.3">
      <c r="A1574" s="5">
        <v>98</v>
      </c>
      <c r="B1574" s="5" t="s">
        <v>432</v>
      </c>
      <c r="C1574" s="5" t="s">
        <v>315</v>
      </c>
      <c r="D1574" s="5" t="s">
        <v>8</v>
      </c>
      <c r="E1574" s="5" t="s">
        <v>9</v>
      </c>
      <c r="F1574" s="17">
        <v>46022</v>
      </c>
      <c r="G1574" s="16">
        <f t="shared" si="341"/>
        <v>2025</v>
      </c>
      <c r="H1574" s="6" t="str">
        <f t="shared" si="342"/>
        <v>Diciembre</v>
      </c>
      <c r="I1574" s="6" t="str">
        <f t="shared" si="343"/>
        <v>2025-2</v>
      </c>
      <c r="J1574" s="5">
        <v>5</v>
      </c>
      <c r="K1574" s="5">
        <v>5</v>
      </c>
      <c r="L1574" s="15">
        <f t="shared" si="339"/>
        <v>1</v>
      </c>
      <c r="M1574" s="15">
        <f t="shared" si="340"/>
        <v>1</v>
      </c>
      <c r="N1574" s="5" t="s">
        <v>490</v>
      </c>
      <c r="O1574" s="5" t="s">
        <v>490</v>
      </c>
      <c r="P1574" s="5">
        <v>0</v>
      </c>
      <c r="Q1574" s="5">
        <v>0</v>
      </c>
      <c r="R1574" s="5" t="str">
        <f t="shared" si="344"/>
        <v>98-2025-12-31</v>
      </c>
    </row>
    <row r="1575" spans="1:18" x14ac:dyDescent="0.3">
      <c r="A1575" s="5">
        <v>245</v>
      </c>
      <c r="B1575" s="5" t="s">
        <v>123</v>
      </c>
      <c r="C1575" s="5" t="s">
        <v>124</v>
      </c>
      <c r="D1575" s="5" t="s">
        <v>8</v>
      </c>
      <c r="E1575" s="5" t="s">
        <v>9</v>
      </c>
      <c r="F1575" s="6">
        <v>46022</v>
      </c>
      <c r="G1575" s="5">
        <f t="shared" si="341"/>
        <v>2025</v>
      </c>
      <c r="H1575" s="5" t="str">
        <f t="shared" si="342"/>
        <v>Diciembre</v>
      </c>
      <c r="I1575" s="6" t="str">
        <f t="shared" si="343"/>
        <v>2025-2</v>
      </c>
      <c r="J1575" s="5">
        <v>86.1</v>
      </c>
      <c r="K1575" s="5">
        <v>86.2</v>
      </c>
      <c r="L1575" s="15">
        <f t="shared" si="339"/>
        <v>1.0011614401858304</v>
      </c>
      <c r="M1575" s="15">
        <f>IFERROR(K1575/J1575,"")</f>
        <v>1.0011614401858304</v>
      </c>
      <c r="N1575" s="5" t="s">
        <v>347</v>
      </c>
      <c r="O1575" s="5" t="s">
        <v>347</v>
      </c>
      <c r="P1575" s="5">
        <v>0</v>
      </c>
      <c r="Q1575" s="5">
        <v>0</v>
      </c>
      <c r="R1575" s="5" t="str">
        <f t="shared" si="344"/>
        <v>245-2025-12-31</v>
      </c>
    </row>
    <row r="1576" spans="1:18" x14ac:dyDescent="0.3">
      <c r="A1576" s="5">
        <v>194</v>
      </c>
      <c r="B1576" s="5" t="s">
        <v>75</v>
      </c>
      <c r="C1576" s="5" t="s">
        <v>74</v>
      </c>
      <c r="D1576" s="5" t="s">
        <v>8</v>
      </c>
      <c r="E1576" s="5" t="s">
        <v>9</v>
      </c>
      <c r="F1576" s="6">
        <v>46022</v>
      </c>
      <c r="G1576" s="16">
        <f t="shared" si="341"/>
        <v>2025</v>
      </c>
      <c r="H1576" s="6" t="str">
        <f t="shared" si="342"/>
        <v>Diciembre</v>
      </c>
      <c r="I1576" s="6" t="str">
        <f t="shared" si="343"/>
        <v>2025-2</v>
      </c>
      <c r="J1576" s="5">
        <v>85</v>
      </c>
      <c r="K1576" s="5">
        <v>89.9</v>
      </c>
      <c r="L1576" s="15">
        <f t="shared" si="339"/>
        <v>1.0576470588235294</v>
      </c>
      <c r="M1576" s="15">
        <f t="shared" ref="M1576:M1577" si="345">IFERROR(K1576/J1576,"")</f>
        <v>1.0576470588235294</v>
      </c>
      <c r="N1576" s="5" t="s">
        <v>347</v>
      </c>
      <c r="O1576" s="5" t="s">
        <v>347</v>
      </c>
      <c r="P1576" s="5">
        <v>0</v>
      </c>
      <c r="Q1576" s="5">
        <v>0</v>
      </c>
      <c r="R1576" s="5" t="str">
        <f t="shared" si="344"/>
        <v>194-2025-12-31</v>
      </c>
    </row>
    <row r="1577" spans="1:18" x14ac:dyDescent="0.3">
      <c r="A1577" s="5">
        <v>466</v>
      </c>
      <c r="B1577" s="5" t="s">
        <v>525</v>
      </c>
      <c r="C1577" s="5" t="s">
        <v>160</v>
      </c>
      <c r="D1577" s="5" t="s">
        <v>8</v>
      </c>
      <c r="E1577" s="5" t="s">
        <v>9</v>
      </c>
      <c r="F1577" s="6">
        <v>46022</v>
      </c>
      <c r="G1577" s="5">
        <f t="shared" si="341"/>
        <v>2025</v>
      </c>
      <c r="H1577" s="5" t="str">
        <f t="shared" si="342"/>
        <v>Diciembre</v>
      </c>
      <c r="I1577" s="6" t="str">
        <f t="shared" si="343"/>
        <v>2025-2</v>
      </c>
      <c r="J1577" s="5">
        <v>55</v>
      </c>
      <c r="K1577" s="5">
        <v>58.6</v>
      </c>
      <c r="L1577" s="15">
        <f t="shared" si="339"/>
        <v>1.0654545454545454</v>
      </c>
      <c r="M1577" s="15">
        <f t="shared" si="345"/>
        <v>1.0654545454545454</v>
      </c>
      <c r="N1577" s="5"/>
      <c r="O1577" s="5" t="s">
        <v>478</v>
      </c>
      <c r="P1577" s="5">
        <v>0</v>
      </c>
      <c r="Q1577" s="5">
        <v>0</v>
      </c>
      <c r="R1577" s="5" t="s">
        <v>863</v>
      </c>
    </row>
  </sheetData>
  <sortState xmlns:xlrd2="http://schemas.microsoft.com/office/spreadsheetml/2017/richdata2" ref="A2:Q1420">
    <sortCondition ref="A2:A1420"/>
    <sortCondition ref="F2:F1420"/>
  </sortState>
  <conditionalFormatting sqref="A36:A40">
    <cfRule type="duplicateValues" dxfId="116" priority="27"/>
    <cfRule type="duplicateValues" dxfId="115" priority="28"/>
    <cfRule type="duplicateValues" dxfId="114" priority="29"/>
  </conditionalFormatting>
  <conditionalFormatting sqref="A42:A53">
    <cfRule type="duplicateValues" dxfId="113" priority="10"/>
  </conditionalFormatting>
  <conditionalFormatting sqref="A611">
    <cfRule type="duplicateValues" dxfId="112" priority="4"/>
    <cfRule type="duplicateValues" dxfId="111" priority="5"/>
    <cfRule type="duplicateValues" dxfId="110" priority="6"/>
  </conditionalFormatting>
  <conditionalFormatting sqref="A1552">
    <cfRule type="duplicateValues" dxfId="109" priority="2"/>
    <cfRule type="duplicateValues" dxfId="108" priority="3"/>
  </conditionalFormatting>
  <conditionalFormatting sqref="A1558:A1559">
    <cfRule type="duplicateValues" dxfId="10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5C998-452E-4E3B-ACF8-5218372704BC}">
  <sheetPr codeName="Hoja4"/>
  <dimension ref="A1:R1425"/>
  <sheetViews>
    <sheetView zoomScaleNormal="100" workbookViewId="0"/>
  </sheetViews>
  <sheetFormatPr baseColWidth="10" defaultRowHeight="14.4" outlineLevelCol="1" x14ac:dyDescent="0.3"/>
  <cols>
    <col min="2" max="2" width="47.109375" customWidth="1"/>
    <col min="3" max="3" width="17.77734375" customWidth="1" outlineLevel="1"/>
    <col min="4" max="5" width="10.88671875" customWidth="1" outlineLevel="1"/>
    <col min="6" max="6" width="11.21875" customWidth="1"/>
    <col min="7" max="9" width="10.88671875" customWidth="1"/>
    <col min="10" max="11" width="18.21875" customWidth="1"/>
    <col min="12" max="12" width="12.88671875" customWidth="1"/>
    <col min="13" max="13" width="12.88671875" style="59" customWidth="1"/>
    <col min="14" max="16" width="11.5546875" customWidth="1"/>
    <col min="17" max="17" width="13.109375" customWidth="1"/>
    <col min="18" max="18" width="11.5546875" customWidth="1"/>
  </cols>
  <sheetData>
    <row r="1" spans="1:18" ht="28.8" x14ac:dyDescent="0.3">
      <c r="A1" s="45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327</v>
      </c>
      <c r="G1" s="38" t="s">
        <v>419</v>
      </c>
      <c r="H1" s="38" t="s">
        <v>420</v>
      </c>
      <c r="I1" s="38" t="s">
        <v>421</v>
      </c>
      <c r="J1" s="1" t="s">
        <v>5</v>
      </c>
      <c r="K1" s="1" t="s">
        <v>908</v>
      </c>
      <c r="L1" s="4" t="s">
        <v>328</v>
      </c>
      <c r="M1" s="1" t="s">
        <v>480</v>
      </c>
      <c r="N1" s="1" t="s">
        <v>906</v>
      </c>
      <c r="O1" s="1" t="s">
        <v>907</v>
      </c>
      <c r="P1" s="56" t="s">
        <v>767</v>
      </c>
      <c r="Q1" s="56" t="s">
        <v>768</v>
      </c>
      <c r="R1" s="1" t="s">
        <v>476</v>
      </c>
    </row>
    <row r="2" spans="1:18" x14ac:dyDescent="0.3">
      <c r="A2" s="5">
        <v>110</v>
      </c>
      <c r="B2" s="5" t="s">
        <v>39</v>
      </c>
      <c r="C2" s="5" t="s">
        <v>84</v>
      </c>
      <c r="D2" s="5" t="s">
        <v>25</v>
      </c>
      <c r="E2" s="5" t="s">
        <v>9</v>
      </c>
      <c r="F2" s="6">
        <v>44865</v>
      </c>
      <c r="G2" s="5">
        <v>2022</v>
      </c>
      <c r="H2" s="5" t="str">
        <f t="shared" ref="H2:H65" si="0">PROPER(TEXT(F2,"mmmm"))</f>
        <v>Octubre</v>
      </c>
      <c r="I2" s="6" t="str">
        <f t="shared" ref="I2:I65" si="1">IF(OR(H2="Enero",H2="Febrero",H2="Marzo",H2="Abril",H2="Mayo",H2="Junio"),G2&amp;"-1",IF(OR(H2="Julio",H2="Agosto",H2="Septiembre",H2="Octubre",H2="Noviembre",H2="Diciembre"),G2&amp;"-2"))</f>
        <v>2022-2</v>
      </c>
      <c r="J2" s="5">
        <v>80</v>
      </c>
      <c r="K2" s="5">
        <v>73.401915113871596</v>
      </c>
      <c r="L2" s="15">
        <f>IFERROR(IF((K2/J2)&gt;1.3,1.3,K2/J2),"")</f>
        <v>0.9175239389233949</v>
      </c>
      <c r="M2" s="15">
        <f t="shared" ref="M2:M13" si="2">IFERROR(K2/J2,"")</f>
        <v>0.9175239389233949</v>
      </c>
      <c r="N2" s="5" t="s">
        <v>347</v>
      </c>
      <c r="O2" s="5" t="s">
        <v>347</v>
      </c>
      <c r="P2" s="5">
        <v>0</v>
      </c>
      <c r="Q2" s="5">
        <v>0</v>
      </c>
      <c r="R2" s="5" t="str">
        <f>A2&amp;"-"&amp;YEAR(F2)&amp;"-"&amp;IF(LEN(MONTH(F2))=1,"0"&amp;MONTH(F2),MONTH(F2))&amp;"-"&amp;IF(LEN(DAY(F2))=1,"0"&amp;DAY(F2),DAY(F2))</f>
        <v>110-2022-10-31</v>
      </c>
    </row>
    <row r="3" spans="1:18" x14ac:dyDescent="0.3">
      <c r="A3" s="5">
        <v>112</v>
      </c>
      <c r="B3" s="5" t="s">
        <v>39</v>
      </c>
      <c r="C3" s="5" t="s">
        <v>43</v>
      </c>
      <c r="D3" s="5" t="s">
        <v>25</v>
      </c>
      <c r="E3" s="5" t="s">
        <v>9</v>
      </c>
      <c r="F3" s="6">
        <v>44865</v>
      </c>
      <c r="G3" s="5">
        <v>2022</v>
      </c>
      <c r="H3" s="5" t="str">
        <f t="shared" si="0"/>
        <v>Octubre</v>
      </c>
      <c r="I3" s="6" t="str">
        <f t="shared" si="1"/>
        <v>2022-2</v>
      </c>
      <c r="J3" s="5">
        <v>80</v>
      </c>
      <c r="K3" s="5">
        <v>74.166215125198292</v>
      </c>
      <c r="L3" s="15">
        <f>IFERROR(IF((K3/J3)&gt;1,1,K3/J3),"")</f>
        <v>0.92707768906497867</v>
      </c>
      <c r="M3" s="15">
        <f t="shared" si="2"/>
        <v>0.92707768906497867</v>
      </c>
      <c r="N3" s="5" t="s">
        <v>347</v>
      </c>
      <c r="O3" s="5" t="s">
        <v>347</v>
      </c>
      <c r="P3" s="5">
        <v>0</v>
      </c>
      <c r="Q3" s="5">
        <v>0</v>
      </c>
      <c r="R3" s="5" t="str">
        <f>A3&amp;"-"&amp;YEAR(F3)&amp;"-"&amp;IF(LEN(MONTH(F3))=1,"0"&amp;MONTH(F3),MONTH(F3))&amp;"-"&amp;IF(LEN(DAY(F3))=1,"0"&amp;DAY(F3),DAY(F3))</f>
        <v>112-2022-10-31</v>
      </c>
    </row>
    <row r="4" spans="1:18" x14ac:dyDescent="0.3">
      <c r="A4" s="5">
        <v>113</v>
      </c>
      <c r="B4" s="5" t="s">
        <v>39</v>
      </c>
      <c r="C4" s="5" t="s">
        <v>438</v>
      </c>
      <c r="D4" s="5" t="s">
        <v>25</v>
      </c>
      <c r="E4" s="5" t="s">
        <v>9</v>
      </c>
      <c r="F4" s="6">
        <v>44865</v>
      </c>
      <c r="G4" s="5">
        <v>2022</v>
      </c>
      <c r="H4" s="5" t="str">
        <f t="shared" si="0"/>
        <v>Octubre</v>
      </c>
      <c r="I4" s="6" t="str">
        <f t="shared" si="1"/>
        <v>2022-2</v>
      </c>
      <c r="J4" s="5">
        <v>80</v>
      </c>
      <c r="K4" s="5">
        <v>76.616718813056906</v>
      </c>
      <c r="L4" s="15">
        <f t="shared" ref="L4:L13" si="3">IFERROR(IF((K4/J4)&gt;1.3,1.3,K4/J4),"")</f>
        <v>0.95770898516321135</v>
      </c>
      <c r="M4" s="15">
        <f t="shared" si="2"/>
        <v>0.95770898516321135</v>
      </c>
      <c r="N4" s="5" t="s">
        <v>347</v>
      </c>
      <c r="O4" s="5" t="s">
        <v>347</v>
      </c>
      <c r="P4" s="5">
        <v>0</v>
      </c>
      <c r="Q4" s="5">
        <v>0</v>
      </c>
      <c r="R4" s="5" t="str">
        <f>A4&amp;"-"&amp;YEAR(F4)&amp;"-"&amp;IF(LEN(MONTH(F4))=1,"0"&amp;MONTH(F4),MONTH(F4))&amp;"-"&amp;IF(LEN(DAY(F4))=1,"0"&amp;DAY(F4),DAY(F4))</f>
        <v>113-2022-10-31</v>
      </c>
    </row>
    <row r="5" spans="1:18" x14ac:dyDescent="0.3">
      <c r="A5" s="5">
        <v>114</v>
      </c>
      <c r="B5" s="5" t="s">
        <v>39</v>
      </c>
      <c r="C5" s="5" t="s">
        <v>343</v>
      </c>
      <c r="D5" s="5" t="s">
        <v>25</v>
      </c>
      <c r="E5" s="5" t="s">
        <v>9</v>
      </c>
      <c r="F5" s="6">
        <v>44865</v>
      </c>
      <c r="G5" s="5">
        <v>2022</v>
      </c>
      <c r="H5" s="5" t="str">
        <f t="shared" si="0"/>
        <v>Octubre</v>
      </c>
      <c r="I5" s="6" t="str">
        <f t="shared" si="1"/>
        <v>2022-2</v>
      </c>
      <c r="J5" s="5">
        <v>80</v>
      </c>
      <c r="K5" s="5">
        <v>79.427055947965997</v>
      </c>
      <c r="L5" s="15">
        <f t="shared" si="3"/>
        <v>0.99283819934957496</v>
      </c>
      <c r="M5" s="15">
        <f t="shared" si="2"/>
        <v>0.99283819934957496</v>
      </c>
      <c r="N5" s="5" t="s">
        <v>347</v>
      </c>
      <c r="O5" s="5" t="s">
        <v>347</v>
      </c>
      <c r="P5" s="5">
        <v>0</v>
      </c>
      <c r="Q5" s="5">
        <v>0</v>
      </c>
      <c r="R5" s="5" t="str">
        <f>A5&amp;"-"&amp;YEAR(F5)&amp;"-"&amp;IF(LEN(MONTH(F5))=1,"0"&amp;MONTH(F5),MONTH(F5))&amp;"-"&amp;IF(LEN(DAY(F5))=1,"0"&amp;DAY(F5),DAY(F5))</f>
        <v>114-2022-10-31</v>
      </c>
    </row>
    <row r="6" spans="1:18" x14ac:dyDescent="0.3">
      <c r="A6" s="5">
        <v>117</v>
      </c>
      <c r="B6" s="5" t="s">
        <v>39</v>
      </c>
      <c r="C6" s="5" t="s">
        <v>90</v>
      </c>
      <c r="D6" s="5" t="s">
        <v>25</v>
      </c>
      <c r="E6" s="5" t="s">
        <v>9</v>
      </c>
      <c r="F6" s="6">
        <v>44865</v>
      </c>
      <c r="G6" s="5">
        <v>2022</v>
      </c>
      <c r="H6" s="5" t="str">
        <f t="shared" si="0"/>
        <v>Octubre</v>
      </c>
      <c r="I6" s="6" t="str">
        <f t="shared" si="1"/>
        <v>2022-2</v>
      </c>
      <c r="J6" s="5">
        <v>80</v>
      </c>
      <c r="K6" s="5">
        <v>86.602201544730292</v>
      </c>
      <c r="L6" s="15">
        <f t="shared" si="3"/>
        <v>1.0825275193091286</v>
      </c>
      <c r="M6" s="15">
        <f t="shared" si="2"/>
        <v>1.0825275193091286</v>
      </c>
      <c r="N6" s="5" t="s">
        <v>347</v>
      </c>
      <c r="O6" s="5" t="s">
        <v>347</v>
      </c>
      <c r="P6" s="5">
        <v>0</v>
      </c>
      <c r="Q6" s="5">
        <v>0</v>
      </c>
      <c r="R6" s="5" t="str">
        <f>A6&amp;"-"&amp;YEAR(F6)&amp;"-"&amp;IF(LEN(MONTH(F6))=1,"0"&amp;MONTH(F6),MONTH(F6))&amp;"-"&amp;IF(LEN(DAY(F6))=1,"0"&amp;DAY(F6),DAY(F6))</f>
        <v>117-2022-10-31</v>
      </c>
    </row>
    <row r="7" spans="1:18" x14ac:dyDescent="0.3">
      <c r="A7" s="5">
        <v>118</v>
      </c>
      <c r="B7" s="5" t="s">
        <v>44</v>
      </c>
      <c r="C7" s="5" t="s">
        <v>440</v>
      </c>
      <c r="D7" s="5" t="s">
        <v>25</v>
      </c>
      <c r="E7" s="5" t="s">
        <v>9</v>
      </c>
      <c r="F7" s="6">
        <v>44865</v>
      </c>
      <c r="G7" s="5">
        <v>2022</v>
      </c>
      <c r="H7" s="5" t="str">
        <f t="shared" si="0"/>
        <v>Octubre</v>
      </c>
      <c r="I7" s="6" t="str">
        <f t="shared" si="1"/>
        <v>2022-2</v>
      </c>
      <c r="J7" s="5">
        <v>80</v>
      </c>
      <c r="K7" s="5">
        <v>88.120620620620599</v>
      </c>
      <c r="L7" s="15">
        <f t="shared" si="3"/>
        <v>1.1015077577577574</v>
      </c>
      <c r="M7" s="15">
        <f t="shared" si="2"/>
        <v>1.1015077577577574</v>
      </c>
      <c r="N7" s="5" t="s">
        <v>347</v>
      </c>
      <c r="O7" s="5" t="s">
        <v>347</v>
      </c>
      <c r="P7" s="5">
        <v>0</v>
      </c>
      <c r="Q7" s="5">
        <v>0</v>
      </c>
      <c r="R7" s="5" t="str">
        <f>A7&amp;"-"&amp;YEAR(F7)&amp;"-"&amp;IF(LEN(MONTH(F7))=1,"0"&amp;MONTH(F7),MONTH(F7))&amp;"-"&amp;IF(LEN(DAY(F7))=1,"0"&amp;DAY(F7),DAY(F7))</f>
        <v>118-2022-10-31</v>
      </c>
    </row>
    <row r="8" spans="1:18" x14ac:dyDescent="0.3">
      <c r="A8" s="5">
        <v>133</v>
      </c>
      <c r="B8" s="5" t="s">
        <v>39</v>
      </c>
      <c r="C8" s="5" t="s">
        <v>53</v>
      </c>
      <c r="D8" s="5" t="s">
        <v>25</v>
      </c>
      <c r="E8" s="5" t="s">
        <v>9</v>
      </c>
      <c r="F8" s="6">
        <v>44865</v>
      </c>
      <c r="G8" s="5">
        <v>2022</v>
      </c>
      <c r="H8" s="5" t="str">
        <f t="shared" si="0"/>
        <v>Octubre</v>
      </c>
      <c r="I8" s="6" t="str">
        <f t="shared" si="1"/>
        <v>2022-2</v>
      </c>
      <c r="J8" s="5">
        <v>80</v>
      </c>
      <c r="K8" s="5">
        <v>84.895356277709197</v>
      </c>
      <c r="L8" s="15">
        <f t="shared" si="3"/>
        <v>1.061191953471365</v>
      </c>
      <c r="M8" s="15">
        <f t="shared" si="2"/>
        <v>1.061191953471365</v>
      </c>
      <c r="N8" s="5" t="s">
        <v>347</v>
      </c>
      <c r="O8" s="5" t="s">
        <v>347</v>
      </c>
      <c r="P8" s="5">
        <v>0</v>
      </c>
      <c r="Q8" s="5">
        <v>0</v>
      </c>
      <c r="R8" s="5" t="str">
        <f>A8&amp;"-"&amp;YEAR(F8)&amp;"-"&amp;IF(LEN(MONTH(F8))=1,"0"&amp;MONTH(F8),MONTH(F8))&amp;"-"&amp;IF(LEN(DAY(F8))=1,"0"&amp;DAY(F8),DAY(F8))</f>
        <v>133-2022-10-31</v>
      </c>
    </row>
    <row r="9" spans="1:18" x14ac:dyDescent="0.3">
      <c r="A9" s="5">
        <v>150</v>
      </c>
      <c r="B9" s="5" t="s">
        <v>39</v>
      </c>
      <c r="C9" s="5" t="s">
        <v>59</v>
      </c>
      <c r="D9" s="5" t="s">
        <v>25</v>
      </c>
      <c r="E9" s="5" t="s">
        <v>9</v>
      </c>
      <c r="F9" s="6">
        <v>44865</v>
      </c>
      <c r="G9" s="5">
        <v>2022</v>
      </c>
      <c r="H9" s="5" t="str">
        <f t="shared" si="0"/>
        <v>Octubre</v>
      </c>
      <c r="I9" s="6" t="str">
        <f t="shared" si="1"/>
        <v>2022-2</v>
      </c>
      <c r="J9" s="5">
        <v>80</v>
      </c>
      <c r="K9" s="5">
        <v>73.639994105511391</v>
      </c>
      <c r="L9" s="15">
        <f t="shared" si="3"/>
        <v>0.92049992631889244</v>
      </c>
      <c r="M9" s="15">
        <f t="shared" si="2"/>
        <v>0.92049992631889244</v>
      </c>
      <c r="N9" s="5" t="s">
        <v>347</v>
      </c>
      <c r="O9" s="5" t="s">
        <v>347</v>
      </c>
      <c r="P9" s="5">
        <v>0</v>
      </c>
      <c r="Q9" s="5">
        <v>0</v>
      </c>
      <c r="R9" s="5" t="str">
        <f>A9&amp;"-"&amp;YEAR(F9)&amp;"-"&amp;IF(LEN(MONTH(F9))=1,"0"&amp;MONTH(F9),MONTH(F9))&amp;"-"&amp;IF(LEN(DAY(F9))=1,"0"&amp;DAY(F9),DAY(F9))</f>
        <v>150-2022-10-31</v>
      </c>
    </row>
    <row r="10" spans="1:18" x14ac:dyDescent="0.3">
      <c r="A10" s="5">
        <v>204</v>
      </c>
      <c r="B10" s="5" t="s">
        <v>85</v>
      </c>
      <c r="C10" s="5" t="s">
        <v>84</v>
      </c>
      <c r="D10" s="5" t="s">
        <v>8</v>
      </c>
      <c r="E10" s="5" t="s">
        <v>9</v>
      </c>
      <c r="F10" s="17">
        <v>44925</v>
      </c>
      <c r="G10" s="16">
        <f t="shared" ref="G10:G16" si="4">YEAR(F10)</f>
        <v>2022</v>
      </c>
      <c r="H10" s="6" t="str">
        <f t="shared" si="0"/>
        <v>Diciembre</v>
      </c>
      <c r="I10" s="6" t="str">
        <f t="shared" si="1"/>
        <v>2022-2</v>
      </c>
      <c r="J10" s="11">
        <v>82987</v>
      </c>
      <c r="K10" s="11">
        <v>18386</v>
      </c>
      <c r="L10" s="15">
        <f t="shared" si="3"/>
        <v>0.22155277332594261</v>
      </c>
      <c r="M10" s="15">
        <f t="shared" si="2"/>
        <v>0.22155277332594261</v>
      </c>
      <c r="N10" s="5" t="s">
        <v>474</v>
      </c>
      <c r="O10" s="5" t="s">
        <v>474</v>
      </c>
      <c r="P10" s="5">
        <v>0</v>
      </c>
      <c r="Q10" s="5">
        <v>0</v>
      </c>
      <c r="R10" s="5" t="str">
        <f>A10&amp;"-"&amp;YEAR(F10)&amp;"-"&amp;IF(LEN(MONTH(F10))=1,"0"&amp;MONTH(F10),MONTH(F10))&amp;"-"&amp;IF(LEN(DAY(F10))=1,"0"&amp;DAY(F10),DAY(F10))</f>
        <v>204-2022-12-30</v>
      </c>
    </row>
    <row r="11" spans="1:18" x14ac:dyDescent="0.3">
      <c r="A11" s="5">
        <v>376</v>
      </c>
      <c r="B11" s="5" t="s">
        <v>732</v>
      </c>
      <c r="C11" s="5" t="s">
        <v>84</v>
      </c>
      <c r="D11" s="5" t="s">
        <v>8</v>
      </c>
      <c r="E11" s="5" t="s">
        <v>9</v>
      </c>
      <c r="F11" s="17">
        <v>44925</v>
      </c>
      <c r="G11" s="16">
        <f t="shared" si="4"/>
        <v>2022</v>
      </c>
      <c r="H11" s="6" t="str">
        <f t="shared" si="0"/>
        <v>Diciembre</v>
      </c>
      <c r="I11" s="6" t="str">
        <f t="shared" si="1"/>
        <v>2022-2</v>
      </c>
      <c r="J11" s="11">
        <v>16064</v>
      </c>
      <c r="K11" s="11">
        <v>24140</v>
      </c>
      <c r="L11" s="15">
        <f t="shared" si="3"/>
        <v>1.3</v>
      </c>
      <c r="M11" s="15">
        <f t="shared" si="2"/>
        <v>1.5027390438247012</v>
      </c>
      <c r="N11" s="5" t="s">
        <v>474</v>
      </c>
      <c r="O11" s="5" t="s">
        <v>474</v>
      </c>
      <c r="P11" s="5">
        <v>0</v>
      </c>
      <c r="Q11" s="5">
        <v>0</v>
      </c>
      <c r="R11" s="5" t="str">
        <f>A11&amp;"-"&amp;YEAR(F11)&amp;"-"&amp;IF(LEN(MONTH(F11))=1,"0"&amp;MONTH(F11),MONTH(F11))&amp;"-"&amp;IF(LEN(DAY(F11))=1,"0"&amp;DAY(F11),DAY(F11))</f>
        <v>376-2022-12-30</v>
      </c>
    </row>
    <row r="12" spans="1:18" x14ac:dyDescent="0.3">
      <c r="A12" s="5" t="s">
        <v>424</v>
      </c>
      <c r="B12" s="5" t="s">
        <v>425</v>
      </c>
      <c r="C12" s="5" t="s">
        <v>158</v>
      </c>
      <c r="D12" s="5" t="s">
        <v>18</v>
      </c>
      <c r="E12" s="5" t="s">
        <v>9</v>
      </c>
      <c r="F12" s="6">
        <v>44925</v>
      </c>
      <c r="G12" s="16">
        <f t="shared" si="4"/>
        <v>2022</v>
      </c>
      <c r="H12" s="6" t="str">
        <f t="shared" si="0"/>
        <v>Diciembre</v>
      </c>
      <c r="I12" s="6" t="str">
        <f t="shared" si="1"/>
        <v>2022-2</v>
      </c>
      <c r="J12" s="5">
        <v>87</v>
      </c>
      <c r="K12" s="5">
        <v>89</v>
      </c>
      <c r="L12" s="15">
        <f t="shared" si="3"/>
        <v>1.0229885057471264</v>
      </c>
      <c r="M12" s="15">
        <f t="shared" si="2"/>
        <v>1.0229885057471264</v>
      </c>
      <c r="N12" s="5" t="s">
        <v>347</v>
      </c>
      <c r="O12" s="5" t="s">
        <v>347</v>
      </c>
      <c r="P12" s="5">
        <v>0</v>
      </c>
      <c r="Q12" s="5">
        <v>0</v>
      </c>
      <c r="R12" s="5" t="str">
        <f>A12&amp;"-"&amp;YEAR(F12)&amp;"-"&amp;IF(LEN(MONTH(F12))=1,"0"&amp;MONTH(F12),MONTH(F12))&amp;"-"&amp;IF(LEN(DAY(F12))=1,"0"&amp;DAY(F12),DAY(F12))</f>
        <v>10.1-2022-12-30</v>
      </c>
    </row>
    <row r="13" spans="1:18" x14ac:dyDescent="0.3">
      <c r="A13" s="25" t="s">
        <v>354</v>
      </c>
      <c r="B13" s="23" t="s">
        <v>355</v>
      </c>
      <c r="C13" s="5" t="s">
        <v>124</v>
      </c>
      <c r="D13" s="5" t="s">
        <v>8</v>
      </c>
      <c r="E13" s="5" t="s">
        <v>9</v>
      </c>
      <c r="F13" s="6">
        <v>44925</v>
      </c>
      <c r="G13" s="16">
        <f t="shared" si="4"/>
        <v>2022</v>
      </c>
      <c r="H13" s="6" t="str">
        <f t="shared" si="0"/>
        <v>Diciembre</v>
      </c>
      <c r="I13" s="6" t="str">
        <f t="shared" si="1"/>
        <v>2022-2</v>
      </c>
      <c r="J13" s="9">
        <v>4638</v>
      </c>
      <c r="K13" s="9">
        <v>5008</v>
      </c>
      <c r="L13" s="15">
        <f t="shared" si="3"/>
        <v>1.0797757654161277</v>
      </c>
      <c r="M13" s="15">
        <f t="shared" si="2"/>
        <v>1.0797757654161277</v>
      </c>
      <c r="N13" s="5" t="s">
        <v>490</v>
      </c>
      <c r="O13" s="5" t="s">
        <v>490</v>
      </c>
      <c r="P13" s="5">
        <v>0</v>
      </c>
      <c r="Q13" s="5">
        <v>0</v>
      </c>
      <c r="R13" s="5" t="str">
        <f>A13&amp;"-"&amp;YEAR(F13)&amp;"-"&amp;IF(LEN(MONTH(F13))=1,"0"&amp;MONTH(F13),MONTH(F13))&amp;"-"&amp;IF(LEN(DAY(F13))=1,"0"&amp;DAY(F13),DAY(F13))</f>
        <v>14.4-2022-12-30</v>
      </c>
    </row>
    <row r="14" spans="1:18" x14ac:dyDescent="0.3">
      <c r="A14" s="5">
        <v>2</v>
      </c>
      <c r="B14" s="5" t="s">
        <v>331</v>
      </c>
      <c r="C14" s="5" t="s">
        <v>117</v>
      </c>
      <c r="D14" s="5" t="s">
        <v>18</v>
      </c>
      <c r="E14" s="5" t="s">
        <v>9</v>
      </c>
      <c r="F14" s="6">
        <v>44926</v>
      </c>
      <c r="G14" s="16">
        <f t="shared" si="4"/>
        <v>2022</v>
      </c>
      <c r="H14" s="6" t="str">
        <f t="shared" si="0"/>
        <v>Diciembre</v>
      </c>
      <c r="I14" s="6" t="str">
        <f t="shared" si="1"/>
        <v>2022-2</v>
      </c>
      <c r="J14" s="5">
        <v>66</v>
      </c>
      <c r="K14" s="5">
        <v>69</v>
      </c>
      <c r="L14" s="15">
        <f>IFERROR(IF((K14/J14)&gt;1,1,K14/J14),"")</f>
        <v>1</v>
      </c>
      <c r="M14" s="15">
        <f>IFERROR(IF((K14/J14)&gt;1,1,K14/J14),"")</f>
        <v>1</v>
      </c>
      <c r="N14" s="5" t="s">
        <v>347</v>
      </c>
      <c r="O14" s="5" t="s">
        <v>347</v>
      </c>
      <c r="P14" s="5">
        <v>0</v>
      </c>
      <c r="Q14" s="5">
        <v>0</v>
      </c>
      <c r="R14" s="5" t="str">
        <f>A14&amp;"-"&amp;YEAR(F14)&amp;"-"&amp;IF(LEN(MONTH(F14))=1,"0"&amp;MONTH(F14),MONTH(F14))&amp;"-"&amp;IF(LEN(DAY(F14))=1,"0"&amp;DAY(F14),DAY(F14))</f>
        <v>2-2022-12-31</v>
      </c>
    </row>
    <row r="15" spans="1:18" x14ac:dyDescent="0.3">
      <c r="A15" s="5">
        <v>4</v>
      </c>
      <c r="B15" s="5" t="s">
        <v>333</v>
      </c>
      <c r="C15" s="5" t="s">
        <v>117</v>
      </c>
      <c r="D15" s="5" t="s">
        <v>18</v>
      </c>
      <c r="E15" s="5" t="s">
        <v>9</v>
      </c>
      <c r="F15" s="6">
        <v>44926</v>
      </c>
      <c r="G15" s="16">
        <f t="shared" si="4"/>
        <v>2022</v>
      </c>
      <c r="H15" s="6" t="str">
        <f t="shared" si="0"/>
        <v>Diciembre</v>
      </c>
      <c r="I15" s="6" t="str">
        <f t="shared" si="1"/>
        <v>2022-2</v>
      </c>
      <c r="J15" s="5">
        <v>39</v>
      </c>
      <c r="K15" s="5">
        <v>37</v>
      </c>
      <c r="L15" s="15">
        <f>IFERROR(IF((K15/J15)&gt;1,1,K15/J15),"")</f>
        <v>0.94871794871794868</v>
      </c>
      <c r="M15" s="15">
        <f>IFERROR(IF((K15/J15)&gt;1,1,K15/J15),"")</f>
        <v>0.94871794871794868</v>
      </c>
      <c r="N15" s="5" t="s">
        <v>347</v>
      </c>
      <c r="O15" s="5" t="s">
        <v>347</v>
      </c>
      <c r="P15" s="5">
        <v>0</v>
      </c>
      <c r="Q15" s="5">
        <v>0</v>
      </c>
      <c r="R15" s="5" t="str">
        <f>A15&amp;"-"&amp;YEAR(F15)&amp;"-"&amp;IF(LEN(MONTH(F15))=1,"0"&amp;MONTH(F15),MONTH(F15))&amp;"-"&amp;IF(LEN(DAY(F15))=1,"0"&amp;DAY(F15),DAY(F15))</f>
        <v>4-2022-12-31</v>
      </c>
    </row>
    <row r="16" spans="1:18" x14ac:dyDescent="0.3">
      <c r="A16" s="5">
        <v>14</v>
      </c>
      <c r="B16" s="5" t="s">
        <v>341</v>
      </c>
      <c r="C16" s="5" t="s">
        <v>124</v>
      </c>
      <c r="D16" s="5" t="s">
        <v>8</v>
      </c>
      <c r="E16" s="5" t="s">
        <v>9</v>
      </c>
      <c r="F16" s="17">
        <v>44926</v>
      </c>
      <c r="G16" s="16">
        <f t="shared" si="4"/>
        <v>2022</v>
      </c>
      <c r="H16" s="6" t="str">
        <f t="shared" si="0"/>
        <v>Diciembre</v>
      </c>
      <c r="I16" s="6" t="str">
        <f t="shared" si="1"/>
        <v>2022-2</v>
      </c>
      <c r="J16" s="9">
        <v>50430</v>
      </c>
      <c r="K16" s="9">
        <v>50241</v>
      </c>
      <c r="L16" s="15">
        <f>IFERROR(IF((K16/J16)&gt;1.3,1.3,K16/J16),"")</f>
        <v>0.99625223081499104</v>
      </c>
      <c r="M16" s="15">
        <f>IFERROR(K16/J16,"")</f>
        <v>0.99625223081499104</v>
      </c>
      <c r="N16" s="5" t="s">
        <v>490</v>
      </c>
      <c r="O16" s="5" t="s">
        <v>490</v>
      </c>
      <c r="P16" s="5">
        <v>0</v>
      </c>
      <c r="Q16" s="5">
        <v>0</v>
      </c>
      <c r="R16" s="5" t="str">
        <f>A16&amp;"-"&amp;YEAR(F16)&amp;"-"&amp;IF(LEN(MONTH(F16))=1,"0"&amp;MONTH(F16),MONTH(F16))&amp;"-"&amp;IF(LEN(DAY(F16))=1,"0"&amp;DAY(F16),DAY(F16))</f>
        <v>14-2022-12-31</v>
      </c>
    </row>
    <row r="17" spans="1:18" x14ac:dyDescent="0.3">
      <c r="A17" s="5">
        <v>77</v>
      </c>
      <c r="B17" s="5" t="s">
        <v>16</v>
      </c>
      <c r="C17" s="5" t="s">
        <v>17</v>
      </c>
      <c r="D17" s="5" t="s">
        <v>18</v>
      </c>
      <c r="E17" s="5" t="s">
        <v>9</v>
      </c>
      <c r="F17" s="6">
        <v>44926</v>
      </c>
      <c r="G17" s="16">
        <v>2022</v>
      </c>
      <c r="H17" s="6" t="str">
        <f t="shared" si="0"/>
        <v>Diciembre</v>
      </c>
      <c r="I17" s="6" t="str">
        <f t="shared" si="1"/>
        <v>2022-2</v>
      </c>
      <c r="J17" s="5">
        <v>97</v>
      </c>
      <c r="K17" s="5">
        <v>97.899999999999991</v>
      </c>
      <c r="L17" s="15">
        <f>IFERROR(IF((K17/J17)&gt;1.3,1.3,K17/J17),"")</f>
        <v>1.0092783505154639</v>
      </c>
      <c r="M17" s="15">
        <f>IFERROR(K17/J17,"")</f>
        <v>1.0092783505154639</v>
      </c>
      <c r="N17" s="5" t="s">
        <v>347</v>
      </c>
      <c r="O17" s="5" t="s">
        <v>347</v>
      </c>
      <c r="P17" s="5">
        <v>0</v>
      </c>
      <c r="Q17" s="5">
        <v>1</v>
      </c>
      <c r="R17" s="5" t="str">
        <f>A17&amp;"-"&amp;YEAR(F17)&amp;"-"&amp;IF(LEN(MONTH(F17))=1,"0"&amp;MONTH(F17),MONTH(F17))&amp;"-"&amp;IF(LEN(DAY(F17))=1,"0"&amp;DAY(F17),DAY(F17))</f>
        <v>77-2022-12-31</v>
      </c>
    </row>
    <row r="18" spans="1:18" x14ac:dyDescent="0.3">
      <c r="A18" s="5">
        <v>96</v>
      </c>
      <c r="B18" s="23" t="s">
        <v>346</v>
      </c>
      <c r="C18" s="5" t="s">
        <v>59</v>
      </c>
      <c r="D18" s="5" t="s">
        <v>8</v>
      </c>
      <c r="E18" s="5" t="s">
        <v>9</v>
      </c>
      <c r="F18" s="6">
        <v>44926</v>
      </c>
      <c r="G18" s="16">
        <f t="shared" ref="G18:G58" si="5">YEAR(F18)</f>
        <v>2022</v>
      </c>
      <c r="H18" s="6" t="str">
        <f t="shared" si="0"/>
        <v>Diciembre</v>
      </c>
      <c r="I18" s="6" t="str">
        <f t="shared" si="1"/>
        <v>2022-2</v>
      </c>
      <c r="J18" s="5">
        <v>509</v>
      </c>
      <c r="K18" s="5">
        <v>565</v>
      </c>
      <c r="L18" s="15">
        <f>IFERROR(IF((K18/J18)&gt;1,1,K18/J18),"")</f>
        <v>1</v>
      </c>
      <c r="M18" s="15">
        <f>IFERROR(K18/J18,"")</f>
        <v>1.1100196463654224</v>
      </c>
      <c r="N18" s="5" t="s">
        <v>490</v>
      </c>
      <c r="O18" s="5" t="s">
        <v>490</v>
      </c>
      <c r="P18" s="5">
        <v>0</v>
      </c>
      <c r="Q18" s="5">
        <v>0</v>
      </c>
      <c r="R18" s="5" t="str">
        <f>A18&amp;"-"&amp;YEAR(F18)&amp;"-"&amp;IF(LEN(MONTH(F18))=1,"0"&amp;MONTH(F18),MONTH(F18))&amp;"-"&amp;IF(LEN(DAY(F18))=1,"0"&amp;DAY(F18),DAY(F18))</f>
        <v>96-2022-12-31</v>
      </c>
    </row>
    <row r="19" spans="1:18" x14ac:dyDescent="0.3">
      <c r="A19" s="5">
        <v>97</v>
      </c>
      <c r="B19" s="5" t="s">
        <v>430</v>
      </c>
      <c r="C19" s="5" t="s">
        <v>315</v>
      </c>
      <c r="D19" s="5" t="s">
        <v>8</v>
      </c>
      <c r="E19" s="5" t="s">
        <v>9</v>
      </c>
      <c r="F19" s="17">
        <v>44926</v>
      </c>
      <c r="G19" s="16">
        <f t="shared" si="5"/>
        <v>2022</v>
      </c>
      <c r="H19" s="6" t="str">
        <f t="shared" si="0"/>
        <v>Diciembre</v>
      </c>
      <c r="I19" s="6" t="str">
        <f t="shared" si="1"/>
        <v>2022-2</v>
      </c>
      <c r="J19" s="5">
        <v>2</v>
      </c>
      <c r="K19" s="5">
        <v>2</v>
      </c>
      <c r="L19" s="15">
        <f>IFERROR(IF((K19/J19)&gt;1.3,1.3,K19/J19),"")</f>
        <v>1</v>
      </c>
      <c r="M19" s="15">
        <f>IFERROR(K19/J19,"")</f>
        <v>1</v>
      </c>
      <c r="N19" s="5" t="s">
        <v>490</v>
      </c>
      <c r="O19" s="5" t="s">
        <v>490</v>
      </c>
      <c r="P19" s="5">
        <v>0</v>
      </c>
      <c r="Q19" s="5">
        <v>0</v>
      </c>
      <c r="R19" s="5" t="str">
        <f>A19&amp;"-"&amp;YEAR(F19)&amp;"-"&amp;IF(LEN(MONTH(F19))=1,"0"&amp;MONTH(F19),MONTH(F19))&amp;"-"&amp;IF(LEN(DAY(F19))=1,"0"&amp;DAY(F19),DAY(F19))</f>
        <v>97-2022-12-31</v>
      </c>
    </row>
    <row r="20" spans="1:18" x14ac:dyDescent="0.3">
      <c r="A20" s="5">
        <v>98</v>
      </c>
      <c r="B20" s="5" t="s">
        <v>432</v>
      </c>
      <c r="C20" s="5" t="s">
        <v>315</v>
      </c>
      <c r="D20" s="5" t="s">
        <v>8</v>
      </c>
      <c r="E20" s="5" t="s">
        <v>9</v>
      </c>
      <c r="F20" s="17">
        <v>44926</v>
      </c>
      <c r="G20" s="16">
        <f t="shared" si="5"/>
        <v>2022</v>
      </c>
      <c r="H20" s="6" t="str">
        <f t="shared" si="0"/>
        <v>Diciembre</v>
      </c>
      <c r="I20" s="6" t="str">
        <f t="shared" si="1"/>
        <v>2022-2</v>
      </c>
      <c r="J20" s="5">
        <v>2</v>
      </c>
      <c r="K20" s="5">
        <v>2</v>
      </c>
      <c r="L20" s="15">
        <f>IFERROR(IF((K20/J20)&gt;1.3,1.3,K20/J20),"")</f>
        <v>1</v>
      </c>
      <c r="M20" s="15">
        <f>IFERROR(K20/J20,"")</f>
        <v>1</v>
      </c>
      <c r="N20" s="5" t="s">
        <v>490</v>
      </c>
      <c r="O20" s="5" t="s">
        <v>490</v>
      </c>
      <c r="P20" s="5">
        <v>0</v>
      </c>
      <c r="Q20" s="5">
        <v>0</v>
      </c>
      <c r="R20" s="5" t="str">
        <f>A20&amp;"-"&amp;YEAR(F20)&amp;"-"&amp;IF(LEN(MONTH(F20))=1,"0"&amp;MONTH(F20),MONTH(F20))&amp;"-"&amp;IF(LEN(DAY(F20))=1,"0"&amp;DAY(F20),DAY(F20))</f>
        <v>98-2022-12-31</v>
      </c>
    </row>
    <row r="21" spans="1:18" x14ac:dyDescent="0.3">
      <c r="A21" s="5">
        <v>121</v>
      </c>
      <c r="B21" s="5" t="s">
        <v>46</v>
      </c>
      <c r="C21" s="5" t="s">
        <v>13</v>
      </c>
      <c r="D21" s="5" t="s">
        <v>18</v>
      </c>
      <c r="E21" s="5" t="s">
        <v>14</v>
      </c>
      <c r="F21" s="6">
        <v>44926</v>
      </c>
      <c r="G21" s="5">
        <f t="shared" si="5"/>
        <v>2022</v>
      </c>
      <c r="H21" s="5" t="str">
        <f t="shared" si="0"/>
        <v>Diciembre</v>
      </c>
      <c r="I21" s="6" t="str">
        <f t="shared" si="1"/>
        <v>2022-2</v>
      </c>
      <c r="J21" s="9">
        <v>99442439</v>
      </c>
      <c r="K21" s="9">
        <v>99311458</v>
      </c>
      <c r="L21" s="15">
        <f>IFERROR(IF((J21/K21)&gt;1.3,1.3,J21/K21),"")</f>
        <v>1.0013188911192905</v>
      </c>
      <c r="M21" s="15">
        <f>IFERROR(IF((J21/K21)&gt;J21/K21,1.3,J21/K21),"")</f>
        <v>1.0013188911192905</v>
      </c>
      <c r="N21" s="5" t="s">
        <v>474</v>
      </c>
      <c r="O21" s="5" t="s">
        <v>474</v>
      </c>
      <c r="P21" s="5">
        <v>0</v>
      </c>
      <c r="Q21" s="5">
        <v>0</v>
      </c>
      <c r="R21" s="5" t="str">
        <f>A21&amp;"-"&amp;YEAR(F21)&amp;"-"&amp;IF(LEN(MONTH(F21))=1,"0"&amp;MONTH(F21),MONTH(F21))&amp;"-"&amp;IF(LEN(DAY(F21))=1,"0"&amp;DAY(F21),DAY(F21))</f>
        <v>121-2022-12-31</v>
      </c>
    </row>
    <row r="22" spans="1:18" x14ac:dyDescent="0.3">
      <c r="A22" s="5">
        <v>124</v>
      </c>
      <c r="B22" s="5" t="s">
        <v>48</v>
      </c>
      <c r="C22" s="5" t="s">
        <v>24</v>
      </c>
      <c r="D22" s="5" t="s">
        <v>18</v>
      </c>
      <c r="E22" s="5" t="s">
        <v>14</v>
      </c>
      <c r="F22" s="6">
        <v>44926</v>
      </c>
      <c r="G22" s="5">
        <f t="shared" si="5"/>
        <v>2022</v>
      </c>
      <c r="H22" s="5" t="str">
        <f t="shared" si="0"/>
        <v>Diciembre</v>
      </c>
      <c r="I22" s="6" t="str">
        <f t="shared" si="1"/>
        <v>2022-2</v>
      </c>
      <c r="J22" s="5">
        <v>1.6</v>
      </c>
      <c r="K22" s="5">
        <v>0.03</v>
      </c>
      <c r="L22" s="8">
        <f>IF(K22&lt;=J22,100%,J22/K22)</f>
        <v>1</v>
      </c>
      <c r="M22" s="15">
        <f>IF(K22&lt;=J22,100%,J22/K22)</f>
        <v>1</v>
      </c>
      <c r="N22" s="5" t="s">
        <v>478</v>
      </c>
      <c r="O22" s="5" t="s">
        <v>478</v>
      </c>
      <c r="P22" s="5">
        <v>1</v>
      </c>
      <c r="Q22" s="5">
        <v>2</v>
      </c>
      <c r="R22" s="5" t="str">
        <f>A22&amp;"-"&amp;YEAR(F22)&amp;"-"&amp;IF(LEN(MONTH(F22))=1,"0"&amp;MONTH(F22),MONTH(F22))&amp;"-"&amp;IF(LEN(DAY(F22))=1,"0"&amp;DAY(F22),DAY(F22))</f>
        <v>124-2022-12-31</v>
      </c>
    </row>
    <row r="23" spans="1:18" x14ac:dyDescent="0.3">
      <c r="A23" s="5">
        <v>125</v>
      </c>
      <c r="B23" s="5" t="s">
        <v>49</v>
      </c>
      <c r="C23" s="5" t="s">
        <v>24</v>
      </c>
      <c r="D23" s="5" t="s">
        <v>18</v>
      </c>
      <c r="E23" s="5" t="s">
        <v>14</v>
      </c>
      <c r="F23" s="6">
        <v>44926</v>
      </c>
      <c r="G23" s="5">
        <f t="shared" si="5"/>
        <v>2022</v>
      </c>
      <c r="H23" s="5" t="str">
        <f t="shared" si="0"/>
        <v>Diciembre</v>
      </c>
      <c r="I23" s="6" t="str">
        <f t="shared" si="1"/>
        <v>2022-2</v>
      </c>
      <c r="J23" s="5">
        <v>4.7</v>
      </c>
      <c r="K23" s="5">
        <v>0.08</v>
      </c>
      <c r="L23" s="8">
        <f>IF(K23&lt;=J23,100%,J23/K23)</f>
        <v>1</v>
      </c>
      <c r="M23" s="15">
        <f>IF(K23&lt;=J23,100%,J23/K23)</f>
        <v>1</v>
      </c>
      <c r="N23" s="5" t="s">
        <v>478</v>
      </c>
      <c r="O23" s="5" t="s">
        <v>478</v>
      </c>
      <c r="P23" s="5">
        <v>1</v>
      </c>
      <c r="Q23" s="5">
        <v>2</v>
      </c>
      <c r="R23" s="5" t="str">
        <f>A23&amp;"-"&amp;YEAR(F23)&amp;"-"&amp;IF(LEN(MONTH(F23))=1,"0"&amp;MONTH(F23),MONTH(F23))&amp;"-"&amp;IF(LEN(DAY(F23))=1,"0"&amp;DAY(F23),DAY(F23))</f>
        <v>125-2022-12-31</v>
      </c>
    </row>
    <row r="24" spans="1:18" x14ac:dyDescent="0.3">
      <c r="A24" s="5">
        <v>126</v>
      </c>
      <c r="B24" s="5" t="s">
        <v>50</v>
      </c>
      <c r="C24" s="5" t="s">
        <v>24</v>
      </c>
      <c r="D24" s="5" t="s">
        <v>25</v>
      </c>
      <c r="E24" s="5" t="s">
        <v>14</v>
      </c>
      <c r="F24" s="6">
        <v>44926</v>
      </c>
      <c r="G24" s="5">
        <f t="shared" si="5"/>
        <v>2022</v>
      </c>
      <c r="H24" s="5" t="str">
        <f t="shared" si="0"/>
        <v>Diciembre</v>
      </c>
      <c r="I24" s="6" t="str">
        <f t="shared" si="1"/>
        <v>2022-2</v>
      </c>
      <c r="J24" s="5">
        <v>2</v>
      </c>
      <c r="K24" s="5">
        <v>0.12</v>
      </c>
      <c r="L24" s="8">
        <f>IF(K24&lt;=J24,100%,J24/K24)</f>
        <v>1</v>
      </c>
      <c r="M24" s="15">
        <f>IF(K24&lt;=J24,100%,J24/K24)</f>
        <v>1</v>
      </c>
      <c r="N24" s="5" t="s">
        <v>490</v>
      </c>
      <c r="O24" s="5" t="s">
        <v>478</v>
      </c>
      <c r="P24" s="5">
        <v>0</v>
      </c>
      <c r="Q24" s="5">
        <v>2</v>
      </c>
      <c r="R24" s="5" t="str">
        <f>A24&amp;"-"&amp;YEAR(F24)&amp;"-"&amp;IF(LEN(MONTH(F24))=1,"0"&amp;MONTH(F24),MONTH(F24))&amp;"-"&amp;IF(LEN(DAY(F24))=1,"0"&amp;DAY(F24),DAY(F24))</f>
        <v>126-2022-12-31</v>
      </c>
    </row>
    <row r="25" spans="1:18" x14ac:dyDescent="0.3">
      <c r="A25" s="5">
        <v>127</v>
      </c>
      <c r="B25" s="5" t="s">
        <v>51</v>
      </c>
      <c r="C25" s="5" t="s">
        <v>24</v>
      </c>
      <c r="D25" s="5" t="s">
        <v>25</v>
      </c>
      <c r="E25" s="5" t="s">
        <v>14</v>
      </c>
      <c r="F25" s="6">
        <v>44926</v>
      </c>
      <c r="G25" s="5">
        <f t="shared" si="5"/>
        <v>2022</v>
      </c>
      <c r="H25" s="5" t="str">
        <f t="shared" si="0"/>
        <v>Diciembre</v>
      </c>
      <c r="I25" s="6" t="str">
        <f t="shared" si="1"/>
        <v>2022-2</v>
      </c>
      <c r="J25" s="16">
        <v>9.9999999999999995E-7</v>
      </c>
      <c r="K25" s="16">
        <v>9.9999999999999995E-7</v>
      </c>
      <c r="L25" s="8">
        <f>IF(K25&lt;=J25,100%,J25/K25)</f>
        <v>1</v>
      </c>
      <c r="M25" s="15">
        <f>IF(K25&lt;=J25,100%,J25/K25)</f>
        <v>1</v>
      </c>
      <c r="N25" s="5" t="s">
        <v>490</v>
      </c>
      <c r="O25" s="5" t="s">
        <v>478</v>
      </c>
      <c r="P25" s="5">
        <v>0</v>
      </c>
      <c r="Q25" s="5">
        <v>0</v>
      </c>
      <c r="R25" s="5" t="str">
        <f>A25&amp;"-"&amp;YEAR(F25)&amp;"-"&amp;IF(LEN(MONTH(F25))=1,"0"&amp;MONTH(F25),MONTH(F25))&amp;"-"&amp;IF(LEN(DAY(F25))=1,"0"&amp;DAY(F25),DAY(F25))</f>
        <v>127-2022-12-31</v>
      </c>
    </row>
    <row r="26" spans="1:18" x14ac:dyDescent="0.3">
      <c r="A26" s="5">
        <v>128</v>
      </c>
      <c r="B26" s="5" t="s">
        <v>52</v>
      </c>
      <c r="C26" s="5" t="s">
        <v>24</v>
      </c>
      <c r="D26" s="5" t="s">
        <v>18</v>
      </c>
      <c r="E26" s="5" t="s">
        <v>14</v>
      </c>
      <c r="F26" s="6">
        <v>44926</v>
      </c>
      <c r="G26" s="5">
        <f t="shared" si="5"/>
        <v>2022</v>
      </c>
      <c r="H26" s="5" t="str">
        <f t="shared" si="0"/>
        <v>Diciembre</v>
      </c>
      <c r="I26" s="6" t="str">
        <f t="shared" si="1"/>
        <v>2022-2</v>
      </c>
      <c r="J26" s="5">
        <v>1</v>
      </c>
      <c r="K26" s="5">
        <v>0.78500000000000003</v>
      </c>
      <c r="L26" s="15">
        <f>IFERROR(IF((J26/K26)&gt;1,1,J26/K26),"")</f>
        <v>1</v>
      </c>
      <c r="M26" s="15">
        <f>IFERROR(IF((J26/K26)&gt;1,1,J26/K26),"")</f>
        <v>1</v>
      </c>
      <c r="N26" s="5" t="s">
        <v>490</v>
      </c>
      <c r="O26" s="5" t="s">
        <v>478</v>
      </c>
      <c r="P26" s="5">
        <v>0</v>
      </c>
      <c r="Q26" s="5">
        <v>2</v>
      </c>
      <c r="R26" s="5" t="str">
        <f>A26&amp;"-"&amp;YEAR(F26)&amp;"-"&amp;IF(LEN(MONTH(F26))=1,"0"&amp;MONTH(F26),MONTH(F26))&amp;"-"&amp;IF(LEN(DAY(F26))=1,"0"&amp;DAY(F26),DAY(F26))</f>
        <v>128-2022-12-31</v>
      </c>
    </row>
    <row r="27" spans="1:18" x14ac:dyDescent="0.3">
      <c r="A27" s="5">
        <v>148</v>
      </c>
      <c r="B27" s="5" t="s">
        <v>65</v>
      </c>
      <c r="C27" s="5" t="s">
        <v>62</v>
      </c>
      <c r="D27" s="5" t="s">
        <v>8</v>
      </c>
      <c r="E27" s="5" t="s">
        <v>9</v>
      </c>
      <c r="F27" s="6">
        <v>44926</v>
      </c>
      <c r="G27" s="16">
        <f t="shared" si="5"/>
        <v>2022</v>
      </c>
      <c r="H27" s="6" t="str">
        <f t="shared" si="0"/>
        <v>Diciembre</v>
      </c>
      <c r="I27" s="6" t="str">
        <f t="shared" si="1"/>
        <v>2022-2</v>
      </c>
      <c r="J27" s="5">
        <v>5</v>
      </c>
      <c r="K27" s="5">
        <v>4.66</v>
      </c>
      <c r="L27" s="15">
        <f>IFERROR(IF((K27/J27)&gt;1.3,1.3,K27/J27),"")</f>
        <v>0.93200000000000005</v>
      </c>
      <c r="M27" s="15">
        <f t="shared" ref="M27:M32" si="6">IFERROR(K27/J27,"")</f>
        <v>0.93200000000000005</v>
      </c>
      <c r="N27" s="5" t="s">
        <v>347</v>
      </c>
      <c r="O27" s="5" t="s">
        <v>347</v>
      </c>
      <c r="P27" s="5">
        <v>0</v>
      </c>
      <c r="Q27" s="5">
        <v>1</v>
      </c>
      <c r="R27" s="5" t="str">
        <f>A27&amp;"-"&amp;YEAR(F27)&amp;"-"&amp;IF(LEN(MONTH(F27))=1,"0"&amp;MONTH(F27),MONTH(F27))&amp;"-"&amp;IF(LEN(DAY(F27))=1,"0"&amp;DAY(F27),DAY(F27))</f>
        <v>148-2022-12-31</v>
      </c>
    </row>
    <row r="28" spans="1:18" x14ac:dyDescent="0.3">
      <c r="A28" s="5">
        <v>172</v>
      </c>
      <c r="B28" s="5" t="s">
        <v>70</v>
      </c>
      <c r="C28" s="5" t="s">
        <v>45</v>
      </c>
      <c r="D28" s="5" t="s">
        <v>18</v>
      </c>
      <c r="E28" s="5" t="s">
        <v>9</v>
      </c>
      <c r="F28" s="6">
        <v>44926</v>
      </c>
      <c r="G28" s="5">
        <f t="shared" si="5"/>
        <v>2022</v>
      </c>
      <c r="H28" s="5" t="str">
        <f t="shared" si="0"/>
        <v>Diciembre</v>
      </c>
      <c r="I28" s="6" t="str">
        <f t="shared" si="1"/>
        <v>2022-2</v>
      </c>
      <c r="J28" s="5">
        <v>95</v>
      </c>
      <c r="K28" s="5">
        <v>100</v>
      </c>
      <c r="L28" s="15">
        <f>IFERROR(IF((K28/J28)&gt;1.3,1.3,K28/J28),"")</f>
        <v>1.0526315789473684</v>
      </c>
      <c r="M28" s="15">
        <f t="shared" si="6"/>
        <v>1.0526315789473684</v>
      </c>
      <c r="N28" s="5" t="s">
        <v>347</v>
      </c>
      <c r="O28" s="5" t="s">
        <v>347</v>
      </c>
      <c r="P28" s="5">
        <v>0</v>
      </c>
      <c r="Q28" s="5">
        <v>0</v>
      </c>
      <c r="R28" s="5" t="str">
        <f>A28&amp;"-"&amp;YEAR(F28)&amp;"-"&amp;IF(LEN(MONTH(F28))=1,"0"&amp;MONTH(F28),MONTH(F28))&amp;"-"&amp;IF(LEN(DAY(F28))=1,"0"&amp;DAY(F28),DAY(F28))</f>
        <v>172-2022-12-31</v>
      </c>
    </row>
    <row r="29" spans="1:18" x14ac:dyDescent="0.3">
      <c r="A29" s="5">
        <v>193</v>
      </c>
      <c r="B29" s="102" t="s">
        <v>847</v>
      </c>
      <c r="C29" s="5" t="s">
        <v>74</v>
      </c>
      <c r="D29" s="5" t="s">
        <v>8</v>
      </c>
      <c r="E29" s="5" t="s">
        <v>9</v>
      </c>
      <c r="F29" s="17">
        <v>44926</v>
      </c>
      <c r="G29" s="16">
        <f t="shared" si="5"/>
        <v>2022</v>
      </c>
      <c r="H29" s="6" t="str">
        <f t="shared" si="0"/>
        <v>Diciembre</v>
      </c>
      <c r="I29" s="6" t="str">
        <f t="shared" si="1"/>
        <v>2022-2</v>
      </c>
      <c r="J29" s="5">
        <v>76</v>
      </c>
      <c r="K29" s="5">
        <v>92.4</v>
      </c>
      <c r="L29" s="15">
        <f>IFERROR(IF((K29/J29)&gt;1,1,K29/J29),"")</f>
        <v>1</v>
      </c>
      <c r="M29" s="15">
        <f t="shared" si="6"/>
        <v>1.2157894736842105</v>
      </c>
      <c r="N29" s="5" t="s">
        <v>347</v>
      </c>
      <c r="O29" s="5" t="s">
        <v>347</v>
      </c>
      <c r="P29" s="5">
        <v>1</v>
      </c>
      <c r="Q29" s="5">
        <v>1</v>
      </c>
      <c r="R29" s="5" t="str">
        <f>A29&amp;"-"&amp;YEAR(F29)&amp;"-"&amp;IF(LEN(MONTH(F29))=1,"0"&amp;MONTH(F29),MONTH(F29))&amp;"-"&amp;IF(LEN(DAY(F29))=1,"0"&amp;DAY(F29),DAY(F29))</f>
        <v>193-2022-12-31</v>
      </c>
    </row>
    <row r="30" spans="1:18" x14ac:dyDescent="0.3">
      <c r="A30" s="5">
        <v>194</v>
      </c>
      <c r="B30" s="5" t="s">
        <v>75</v>
      </c>
      <c r="C30" s="5" t="s">
        <v>74</v>
      </c>
      <c r="D30" s="5" t="s">
        <v>8</v>
      </c>
      <c r="E30" s="5" t="s">
        <v>9</v>
      </c>
      <c r="F30" s="17">
        <v>44926</v>
      </c>
      <c r="G30" s="16">
        <f t="shared" si="5"/>
        <v>2022</v>
      </c>
      <c r="H30" s="6" t="str">
        <f t="shared" si="0"/>
        <v>Diciembre</v>
      </c>
      <c r="I30" s="6" t="str">
        <f t="shared" si="1"/>
        <v>2022-2</v>
      </c>
      <c r="J30" s="5">
        <v>73</v>
      </c>
      <c r="K30" s="5">
        <v>83.11</v>
      </c>
      <c r="L30" s="15">
        <f>IFERROR(IF((K30/J30)&gt;1.3,1.3,K30/J30),"")</f>
        <v>1.1384931506849314</v>
      </c>
      <c r="M30" s="15">
        <f t="shared" si="6"/>
        <v>1.1384931506849314</v>
      </c>
      <c r="N30" s="5" t="s">
        <v>347</v>
      </c>
      <c r="O30" s="5" t="s">
        <v>347</v>
      </c>
      <c r="P30" s="5">
        <v>0</v>
      </c>
      <c r="Q30" s="5">
        <v>0</v>
      </c>
      <c r="R30" s="5" t="str">
        <f>A30&amp;"-"&amp;YEAR(F30)&amp;"-"&amp;IF(LEN(MONTH(F30))=1,"0"&amp;MONTH(F30),MONTH(F30))&amp;"-"&amp;IF(LEN(DAY(F30))=1,"0"&amp;DAY(F30),DAY(F30))</f>
        <v>194-2022-12-31</v>
      </c>
    </row>
    <row r="31" spans="1:18" x14ac:dyDescent="0.3">
      <c r="A31" s="5">
        <v>203</v>
      </c>
      <c r="B31" s="5" t="s">
        <v>83</v>
      </c>
      <c r="C31" s="5" t="s">
        <v>84</v>
      </c>
      <c r="D31" s="5" t="s">
        <v>8</v>
      </c>
      <c r="E31" s="5" t="s">
        <v>9</v>
      </c>
      <c r="F31" s="17">
        <v>44926</v>
      </c>
      <c r="G31" s="16">
        <f t="shared" si="5"/>
        <v>2022</v>
      </c>
      <c r="H31" s="6" t="str">
        <f t="shared" si="0"/>
        <v>Diciembre</v>
      </c>
      <c r="I31" s="6" t="str">
        <f t="shared" si="1"/>
        <v>2022-2</v>
      </c>
      <c r="J31" s="12">
        <v>224440</v>
      </c>
      <c r="K31" s="12">
        <v>241706</v>
      </c>
      <c r="L31" s="15">
        <f>IFERROR(IF((K31/J31)&gt;1.3,1.3,K31/J31),"")</f>
        <v>1.0769292461236857</v>
      </c>
      <c r="M31" s="15">
        <f t="shared" si="6"/>
        <v>1.0769292461236857</v>
      </c>
      <c r="N31" s="5" t="s">
        <v>474</v>
      </c>
      <c r="O31" s="5" t="s">
        <v>474</v>
      </c>
      <c r="P31" s="5">
        <v>0</v>
      </c>
      <c r="Q31" s="5">
        <v>0</v>
      </c>
      <c r="R31" s="5" t="str">
        <f>A31&amp;"-"&amp;YEAR(F31)&amp;"-"&amp;IF(LEN(MONTH(F31))=1,"0"&amp;MONTH(F31),MONTH(F31))&amp;"-"&amp;IF(LEN(DAY(F31))=1,"0"&amp;DAY(F31),DAY(F31))</f>
        <v>203-2022-12-31</v>
      </c>
    </row>
    <row r="32" spans="1:18" x14ac:dyDescent="0.3">
      <c r="A32" s="5">
        <v>205</v>
      </c>
      <c r="B32" s="5" t="s">
        <v>86</v>
      </c>
      <c r="C32" s="5" t="s">
        <v>84</v>
      </c>
      <c r="D32" s="5" t="s">
        <v>8</v>
      </c>
      <c r="E32" s="5" t="s">
        <v>9</v>
      </c>
      <c r="F32" s="6">
        <v>44926</v>
      </c>
      <c r="G32" s="5">
        <f t="shared" si="5"/>
        <v>2022</v>
      </c>
      <c r="H32" s="5" t="str">
        <f t="shared" si="0"/>
        <v>Diciembre</v>
      </c>
      <c r="I32" s="6" t="str">
        <f t="shared" si="1"/>
        <v>2022-2</v>
      </c>
      <c r="J32" s="9">
        <v>2605</v>
      </c>
      <c r="K32" s="9">
        <v>2605</v>
      </c>
      <c r="L32" s="15">
        <f>IFERROR(IF((K32/J32)&gt;1.3,1.3,K32/J32),"")</f>
        <v>1</v>
      </c>
      <c r="M32" s="15">
        <f t="shared" si="6"/>
        <v>1</v>
      </c>
      <c r="N32" s="5" t="s">
        <v>474</v>
      </c>
      <c r="O32" s="5" t="s">
        <v>474</v>
      </c>
      <c r="P32" s="5">
        <v>0</v>
      </c>
      <c r="Q32" s="5">
        <v>0</v>
      </c>
      <c r="R32" s="5" t="str">
        <f>A32&amp;"-"&amp;YEAR(F32)&amp;"-"&amp;IF(LEN(MONTH(F32))=1,"0"&amp;MONTH(F32),MONTH(F32))&amp;"-"&amp;IF(LEN(DAY(F32))=1,"0"&amp;DAY(F32),DAY(F32))</f>
        <v>205-2022-12-31</v>
      </c>
    </row>
    <row r="33" spans="1:18" x14ac:dyDescent="0.3">
      <c r="A33" s="5">
        <v>208</v>
      </c>
      <c r="B33" s="5" t="s">
        <v>89</v>
      </c>
      <c r="C33" s="5" t="s">
        <v>90</v>
      </c>
      <c r="D33" s="5" t="s">
        <v>18</v>
      </c>
      <c r="E33" s="5" t="s">
        <v>14</v>
      </c>
      <c r="F33" s="6">
        <v>44926</v>
      </c>
      <c r="G33" s="5">
        <f t="shared" si="5"/>
        <v>2022</v>
      </c>
      <c r="H33" s="5" t="str">
        <f t="shared" si="0"/>
        <v>Diciembre</v>
      </c>
      <c r="I33" s="6" t="str">
        <f t="shared" si="1"/>
        <v>2022-2</v>
      </c>
      <c r="J33" s="5"/>
      <c r="K33" s="5">
        <v>14698</v>
      </c>
      <c r="L33" s="15">
        <f>IFERROR(IF((J33/K33)&gt;1,1,J33/K33),"")</f>
        <v>0</v>
      </c>
      <c r="M33" s="15">
        <f>IFERROR(IF((J33/K33)&gt;1/K33,1,J33/K33),"")</f>
        <v>0</v>
      </c>
      <c r="N33" s="5" t="s">
        <v>477</v>
      </c>
      <c r="O33" s="5" t="s">
        <v>723</v>
      </c>
      <c r="P33" s="5">
        <v>0</v>
      </c>
      <c r="Q33" s="5">
        <v>0</v>
      </c>
      <c r="R33" s="5" t="str">
        <f>A33&amp;"-"&amp;YEAR(F33)&amp;"-"&amp;IF(LEN(MONTH(F33))=1,"0"&amp;MONTH(F33),MONTH(F33))&amp;"-"&amp;IF(LEN(DAY(F33))=1,"0"&amp;DAY(F33),DAY(F33))</f>
        <v>208-2022-12-31</v>
      </c>
    </row>
    <row r="34" spans="1:18" x14ac:dyDescent="0.3">
      <c r="A34" s="5">
        <v>222</v>
      </c>
      <c r="B34" s="5" t="s">
        <v>101</v>
      </c>
      <c r="C34" s="5" t="s">
        <v>90</v>
      </c>
      <c r="D34" s="5" t="s">
        <v>25</v>
      </c>
      <c r="E34" s="5" t="s">
        <v>9</v>
      </c>
      <c r="F34" s="6">
        <v>44926</v>
      </c>
      <c r="G34" s="5">
        <f t="shared" si="5"/>
        <v>2022</v>
      </c>
      <c r="H34" s="5" t="str">
        <f t="shared" si="0"/>
        <v>Diciembre</v>
      </c>
      <c r="I34" s="6" t="str">
        <f t="shared" si="1"/>
        <v>2022-2</v>
      </c>
      <c r="J34" s="5">
        <v>100</v>
      </c>
      <c r="K34" s="5">
        <v>93.75</v>
      </c>
      <c r="L34" s="15">
        <f>IFERROR(IF((K34/J34)&gt;1.3,1.3,K34/J34),"")</f>
        <v>0.9375</v>
      </c>
      <c r="M34" s="15">
        <f>IFERROR(K34/J34,"")</f>
        <v>0.9375</v>
      </c>
      <c r="N34" s="5" t="s">
        <v>347</v>
      </c>
      <c r="O34" s="5" t="s">
        <v>347</v>
      </c>
      <c r="P34" s="5">
        <v>0</v>
      </c>
      <c r="Q34" s="5">
        <v>0</v>
      </c>
      <c r="R34" s="5" t="str">
        <f>A34&amp;"-"&amp;YEAR(F34)&amp;"-"&amp;IF(LEN(MONTH(F34))=1,"0"&amp;MONTH(F34),MONTH(F34))&amp;"-"&amp;IF(LEN(DAY(F34))=1,"0"&amp;DAY(F34),DAY(F34))</f>
        <v>222-2022-12-31</v>
      </c>
    </row>
    <row r="35" spans="1:18" x14ac:dyDescent="0.3">
      <c r="A35" s="5">
        <v>224</v>
      </c>
      <c r="B35" s="5" t="s">
        <v>458</v>
      </c>
      <c r="C35" s="5" t="s">
        <v>90</v>
      </c>
      <c r="D35" s="5" t="s">
        <v>25</v>
      </c>
      <c r="E35" s="5" t="s">
        <v>9</v>
      </c>
      <c r="F35" s="6">
        <v>44926</v>
      </c>
      <c r="G35" s="5">
        <f t="shared" si="5"/>
        <v>2022</v>
      </c>
      <c r="H35" s="5" t="str">
        <f t="shared" si="0"/>
        <v>Diciembre</v>
      </c>
      <c r="I35" s="6" t="str">
        <f t="shared" si="1"/>
        <v>2022-2</v>
      </c>
      <c r="J35" s="5">
        <v>100</v>
      </c>
      <c r="K35" s="5">
        <v>71.430000000000007</v>
      </c>
      <c r="L35" s="15">
        <f>IFERROR(IF((K35/J35)&gt;1.3,1.3,K35/J35),"")</f>
        <v>0.71430000000000005</v>
      </c>
      <c r="M35" s="15">
        <f>IFERROR(K35/J35,"")</f>
        <v>0.71430000000000005</v>
      </c>
      <c r="N35" s="5" t="s">
        <v>347</v>
      </c>
      <c r="O35" s="5" t="s">
        <v>347</v>
      </c>
      <c r="P35" s="5">
        <v>0</v>
      </c>
      <c r="Q35" s="5">
        <v>0</v>
      </c>
      <c r="R35" s="5" t="str">
        <f>A35&amp;"-"&amp;YEAR(F35)&amp;"-"&amp;IF(LEN(MONTH(F35))=1,"0"&amp;MONTH(F35),MONTH(F35))&amp;"-"&amp;IF(LEN(DAY(F35))=1,"0"&amp;DAY(F35),DAY(F35))</f>
        <v>224-2022-12-31</v>
      </c>
    </row>
    <row r="36" spans="1:18" x14ac:dyDescent="0.3">
      <c r="A36" s="5">
        <v>226</v>
      </c>
      <c r="B36" s="5" t="s">
        <v>104</v>
      </c>
      <c r="C36" s="5" t="s">
        <v>90</v>
      </c>
      <c r="D36" s="5" t="s">
        <v>25</v>
      </c>
      <c r="E36" s="5" t="s">
        <v>9</v>
      </c>
      <c r="F36" s="6">
        <v>44926</v>
      </c>
      <c r="G36" s="5">
        <f t="shared" si="5"/>
        <v>2022</v>
      </c>
      <c r="H36" s="5" t="str">
        <f t="shared" si="0"/>
        <v>Diciembre</v>
      </c>
      <c r="I36" s="6" t="str">
        <f t="shared" si="1"/>
        <v>2022-2</v>
      </c>
      <c r="J36" s="5"/>
      <c r="K36" s="5">
        <v>476.49</v>
      </c>
      <c r="L36" s="15" t="str">
        <f>IFERROR(IF((K36/J36)&gt;1,1,K36/J36),"")</f>
        <v/>
      </c>
      <c r="M36" s="15" t="str">
        <f>IFERROR(IF((K36/J36)&gt;1,1,K36/J36),"")</f>
        <v/>
      </c>
      <c r="N36" s="5" t="s">
        <v>347</v>
      </c>
      <c r="O36" s="5" t="s">
        <v>347</v>
      </c>
      <c r="P36" s="5">
        <v>0</v>
      </c>
      <c r="Q36" s="5">
        <v>0</v>
      </c>
      <c r="R36" s="5" t="str">
        <f>A36&amp;"-"&amp;YEAR(F36)&amp;"-"&amp;IF(LEN(MONTH(F36))=1,"0"&amp;MONTH(F36),MONTH(F36))&amp;"-"&amp;IF(LEN(DAY(F36))=1,"0"&amp;DAY(F36),DAY(F36))</f>
        <v>226-2022-12-31</v>
      </c>
    </row>
    <row r="37" spans="1:18" x14ac:dyDescent="0.3">
      <c r="A37" s="5">
        <v>227</v>
      </c>
      <c r="B37" s="5" t="s">
        <v>105</v>
      </c>
      <c r="C37" s="5" t="s">
        <v>90</v>
      </c>
      <c r="D37" s="5" t="s">
        <v>25</v>
      </c>
      <c r="E37" s="5" t="s">
        <v>14</v>
      </c>
      <c r="F37" s="6">
        <v>44926</v>
      </c>
      <c r="G37" s="5">
        <f t="shared" si="5"/>
        <v>2022</v>
      </c>
      <c r="H37" s="5" t="str">
        <f t="shared" si="0"/>
        <v>Diciembre</v>
      </c>
      <c r="I37" s="6" t="str">
        <f t="shared" si="1"/>
        <v>2022-2</v>
      </c>
      <c r="J37" s="5">
        <v>0.3</v>
      </c>
      <c r="K37" s="5">
        <v>0.1</v>
      </c>
      <c r="L37" s="15">
        <f>IFERROR(IF((J37/K37)&gt;1,1,J37/K37),"")</f>
        <v>1</v>
      </c>
      <c r="M37" s="15">
        <f>IFERROR(IF((J37/K37)&gt;1,1,J37/K37),"")</f>
        <v>1</v>
      </c>
      <c r="N37" s="5" t="s">
        <v>347</v>
      </c>
      <c r="O37" s="5" t="s">
        <v>347</v>
      </c>
      <c r="P37" s="5">
        <v>0</v>
      </c>
      <c r="Q37" s="5">
        <v>0</v>
      </c>
      <c r="R37" s="5" t="str">
        <f>A37&amp;"-"&amp;YEAR(F37)&amp;"-"&amp;IF(LEN(MONTH(F37))=1,"0"&amp;MONTH(F37),MONTH(F37))&amp;"-"&amp;IF(LEN(DAY(F37))=1,"0"&amp;DAY(F37),DAY(F37))</f>
        <v>227-2022-12-31</v>
      </c>
    </row>
    <row r="38" spans="1:18" x14ac:dyDescent="0.3">
      <c r="A38" s="5">
        <v>228</v>
      </c>
      <c r="B38" s="5" t="s">
        <v>106</v>
      </c>
      <c r="C38" s="5" t="s">
        <v>90</v>
      </c>
      <c r="D38" s="5" t="s">
        <v>25</v>
      </c>
      <c r="E38" s="5" t="s">
        <v>9</v>
      </c>
      <c r="F38" s="6">
        <v>44926</v>
      </c>
      <c r="G38" s="16">
        <f t="shared" si="5"/>
        <v>2022</v>
      </c>
      <c r="H38" s="6" t="str">
        <f t="shared" si="0"/>
        <v>Diciembre</v>
      </c>
      <c r="I38" s="6" t="str">
        <f t="shared" si="1"/>
        <v>2022-2</v>
      </c>
      <c r="J38" s="5">
        <v>170.99</v>
      </c>
      <c r="K38" s="5">
        <v>235</v>
      </c>
      <c r="L38" s="15">
        <f>IFERROR(IF((K38/J38)&gt;1,1,K38/J38),"")</f>
        <v>1</v>
      </c>
      <c r="M38" s="15">
        <f>IFERROR(K38/J38,"")</f>
        <v>1.3743493771565587</v>
      </c>
      <c r="N38" s="5" t="s">
        <v>798</v>
      </c>
      <c r="O38" s="5" t="s">
        <v>798</v>
      </c>
      <c r="P38" s="5">
        <v>1</v>
      </c>
      <c r="Q38" s="5">
        <v>0</v>
      </c>
      <c r="R38" s="5" t="str">
        <f>A38&amp;"-"&amp;YEAR(F38)&amp;"-"&amp;IF(LEN(MONTH(F38))=1,"0"&amp;MONTH(F38),MONTH(F38))&amp;"-"&amp;IF(LEN(DAY(F38))=1,"0"&amp;DAY(F38),DAY(F38))</f>
        <v>228-2022-12-31</v>
      </c>
    </row>
    <row r="39" spans="1:18" x14ac:dyDescent="0.3">
      <c r="A39" s="5">
        <v>244</v>
      </c>
      <c r="B39" s="5" t="s">
        <v>122</v>
      </c>
      <c r="C39" s="5" t="s">
        <v>90</v>
      </c>
      <c r="D39" s="5" t="s">
        <v>25</v>
      </c>
      <c r="E39" s="5" t="s">
        <v>14</v>
      </c>
      <c r="F39" s="6">
        <v>44926</v>
      </c>
      <c r="G39" s="16">
        <f t="shared" si="5"/>
        <v>2022</v>
      </c>
      <c r="H39" s="6" t="str">
        <f t="shared" si="0"/>
        <v>Diciembre</v>
      </c>
      <c r="I39" s="6" t="str">
        <f t="shared" si="1"/>
        <v>2022-2</v>
      </c>
      <c r="J39" s="5">
        <v>27</v>
      </c>
      <c r="K39" s="5">
        <v>27</v>
      </c>
      <c r="L39" s="15">
        <f>IFERROR(IF((K39/J39)&gt;1.3,1.3,K39/J39),"")</f>
        <v>1</v>
      </c>
      <c r="M39" s="15">
        <f>IFERROR(K39/J39,"")</f>
        <v>1</v>
      </c>
      <c r="N39" s="5" t="s">
        <v>490</v>
      </c>
      <c r="O39" s="5" t="s">
        <v>490</v>
      </c>
      <c r="P39" s="5">
        <v>0</v>
      </c>
      <c r="Q39" s="5">
        <v>0</v>
      </c>
      <c r="R39" s="5" t="str">
        <f>A39&amp;"-"&amp;YEAR(F39)&amp;"-"&amp;IF(LEN(MONTH(F39))=1,"0"&amp;MONTH(F39),MONTH(F39))&amp;"-"&amp;IF(LEN(DAY(F39))=1,"0"&amp;DAY(F39),DAY(F39))</f>
        <v>244-2022-12-31</v>
      </c>
    </row>
    <row r="40" spans="1:18" x14ac:dyDescent="0.3">
      <c r="A40" s="5">
        <v>245</v>
      </c>
      <c r="B40" s="5" t="s">
        <v>123</v>
      </c>
      <c r="C40" s="5" t="s">
        <v>124</v>
      </c>
      <c r="D40" s="5" t="s">
        <v>8</v>
      </c>
      <c r="E40" s="5" t="s">
        <v>9</v>
      </c>
      <c r="F40" s="17">
        <v>44926</v>
      </c>
      <c r="G40" s="16">
        <f t="shared" si="5"/>
        <v>2022</v>
      </c>
      <c r="H40" s="6" t="str">
        <f t="shared" si="0"/>
        <v>Diciembre</v>
      </c>
      <c r="I40" s="6" t="str">
        <f t="shared" si="1"/>
        <v>2022-2</v>
      </c>
      <c r="J40" s="5">
        <v>88.5</v>
      </c>
      <c r="K40" s="5">
        <v>85.9</v>
      </c>
      <c r="L40" s="15">
        <f>IFERROR(IF((K40/J40)&gt;1.3,1.3,K40/J40),"")</f>
        <v>0.97062146892655377</v>
      </c>
      <c r="M40" s="15">
        <f>IFERROR(K40/J40,"")</f>
        <v>0.97062146892655377</v>
      </c>
      <c r="N40" s="5" t="s">
        <v>347</v>
      </c>
      <c r="O40" s="5" t="s">
        <v>347</v>
      </c>
      <c r="P40" s="5">
        <v>1</v>
      </c>
      <c r="Q40" s="5">
        <v>1</v>
      </c>
      <c r="R40" s="5" t="str">
        <f>A40&amp;"-"&amp;YEAR(F40)&amp;"-"&amp;IF(LEN(MONTH(F40))=1,"0"&amp;MONTH(F40),MONTH(F40))&amp;"-"&amp;IF(LEN(DAY(F40))=1,"0"&amp;DAY(F40),DAY(F40))</f>
        <v>245-2022-12-31</v>
      </c>
    </row>
    <row r="41" spans="1:18" x14ac:dyDescent="0.3">
      <c r="A41" s="5">
        <v>274</v>
      </c>
      <c r="B41" s="5" t="s">
        <v>159</v>
      </c>
      <c r="C41" s="5" t="s">
        <v>142</v>
      </c>
      <c r="D41" s="5" t="s">
        <v>8</v>
      </c>
      <c r="E41" s="5" t="s">
        <v>9</v>
      </c>
      <c r="F41" s="17">
        <v>44926</v>
      </c>
      <c r="G41" s="16">
        <f t="shared" si="5"/>
        <v>2022</v>
      </c>
      <c r="H41" s="6" t="str">
        <f t="shared" si="0"/>
        <v>Diciembre</v>
      </c>
      <c r="I41" s="6" t="str">
        <f t="shared" si="1"/>
        <v>2022-2</v>
      </c>
      <c r="J41" s="5">
        <v>39817</v>
      </c>
      <c r="K41" s="5">
        <v>40663</v>
      </c>
      <c r="L41" s="15">
        <f>IFERROR(IF((K41/J41)&gt;1.3,1.3,K41/J41),"")</f>
        <v>1.0212472059673003</v>
      </c>
      <c r="M41" s="15">
        <f>IFERROR(K41/J41,"")</f>
        <v>1.0212472059673003</v>
      </c>
      <c r="N41" s="5" t="s">
        <v>490</v>
      </c>
      <c r="O41" s="5" t="s">
        <v>490</v>
      </c>
      <c r="P41" s="5">
        <v>0</v>
      </c>
      <c r="Q41" s="5">
        <v>0</v>
      </c>
      <c r="R41" s="5" t="str">
        <f>A41&amp;"-"&amp;YEAR(F41)&amp;"-"&amp;IF(LEN(MONTH(F41))=1,"0"&amp;MONTH(F41),MONTH(F41))&amp;"-"&amp;IF(LEN(DAY(F41))=1,"0"&amp;DAY(F41),DAY(F41))</f>
        <v>274-2022-12-31</v>
      </c>
    </row>
    <row r="42" spans="1:18" x14ac:dyDescent="0.3">
      <c r="A42" s="5">
        <v>276</v>
      </c>
      <c r="B42" s="5" t="s">
        <v>161</v>
      </c>
      <c r="C42" s="5" t="s">
        <v>162</v>
      </c>
      <c r="D42" s="5" t="s">
        <v>8</v>
      </c>
      <c r="E42" s="5" t="s">
        <v>14</v>
      </c>
      <c r="F42" s="17">
        <v>44926</v>
      </c>
      <c r="G42" s="16">
        <f t="shared" si="5"/>
        <v>2022</v>
      </c>
      <c r="H42" s="6" t="str">
        <f t="shared" si="0"/>
        <v>Diciembre</v>
      </c>
      <c r="I42" s="6" t="str">
        <f t="shared" si="1"/>
        <v>2022-2</v>
      </c>
      <c r="J42" s="5">
        <v>88</v>
      </c>
      <c r="K42" s="3">
        <v>88</v>
      </c>
      <c r="L42" s="15">
        <f>IFERROR(IF((J42/K42)&gt;1,1,J42/K42),"")</f>
        <v>1</v>
      </c>
      <c r="M42" s="15">
        <f>IFERROR(IF((J42/K42)&gt;J42/K42,1.3,J42/K42),"")</f>
        <v>1</v>
      </c>
      <c r="N42" s="5" t="s">
        <v>490</v>
      </c>
      <c r="O42" s="5" t="s">
        <v>490</v>
      </c>
      <c r="P42" s="5">
        <v>0</v>
      </c>
      <c r="Q42" s="5">
        <v>0</v>
      </c>
      <c r="R42" s="5" t="str">
        <f>A42&amp;"-"&amp;YEAR(F42)&amp;"-"&amp;IF(LEN(MONTH(F42))=1,"0"&amp;MONTH(F42),MONTH(F42))&amp;"-"&amp;IF(LEN(DAY(F42))=1,"0"&amp;DAY(F42),DAY(F42))</f>
        <v>276-2022-12-31</v>
      </c>
    </row>
    <row r="43" spans="1:18" x14ac:dyDescent="0.3">
      <c r="A43" s="5">
        <v>323</v>
      </c>
      <c r="B43" s="5" t="s">
        <v>208</v>
      </c>
      <c r="C43" s="5" t="s">
        <v>209</v>
      </c>
      <c r="D43" s="5" t="s">
        <v>8</v>
      </c>
      <c r="E43" s="5" t="s">
        <v>9</v>
      </c>
      <c r="F43" s="6">
        <v>44926</v>
      </c>
      <c r="G43" s="5">
        <f t="shared" si="5"/>
        <v>2022</v>
      </c>
      <c r="H43" s="5" t="str">
        <f t="shared" si="0"/>
        <v>Diciembre</v>
      </c>
      <c r="I43" s="6" t="str">
        <f t="shared" si="1"/>
        <v>2022-2</v>
      </c>
      <c r="J43" s="5">
        <v>3</v>
      </c>
      <c r="K43" s="5">
        <v>3</v>
      </c>
      <c r="L43" s="15">
        <f>IFERROR(IF((K43/J43)&gt;1.3,1.3,K43/J43),"")</f>
        <v>1</v>
      </c>
      <c r="M43" s="15">
        <f>IFERROR(K43/J43,"")</f>
        <v>1</v>
      </c>
      <c r="N43" s="5" t="s">
        <v>490</v>
      </c>
      <c r="O43" s="5" t="s">
        <v>490</v>
      </c>
      <c r="P43" s="5">
        <v>0</v>
      </c>
      <c r="Q43" s="5">
        <v>0</v>
      </c>
      <c r="R43" s="5" t="str">
        <f>A43&amp;"-"&amp;YEAR(F43)&amp;"-"&amp;IF(LEN(MONTH(F43))=1,"0"&amp;MONTH(F43),MONTH(F43))&amp;"-"&amp;IF(LEN(DAY(F43))=1,"0"&amp;DAY(F43),DAY(F43))</f>
        <v>323-2022-12-31</v>
      </c>
    </row>
    <row r="44" spans="1:18" x14ac:dyDescent="0.3">
      <c r="A44" s="5">
        <v>325</v>
      </c>
      <c r="B44" s="5" t="s">
        <v>211</v>
      </c>
      <c r="C44" s="5" t="s">
        <v>209</v>
      </c>
      <c r="D44" s="5" t="s">
        <v>8</v>
      </c>
      <c r="E44" s="5" t="s">
        <v>9</v>
      </c>
      <c r="F44" s="17">
        <v>44926</v>
      </c>
      <c r="G44" s="16">
        <f t="shared" si="5"/>
        <v>2022</v>
      </c>
      <c r="H44" s="6" t="str">
        <f t="shared" si="0"/>
        <v>Diciembre</v>
      </c>
      <c r="I44" s="6" t="str">
        <f t="shared" si="1"/>
        <v>2022-2</v>
      </c>
      <c r="J44" s="5">
        <v>6</v>
      </c>
      <c r="K44" s="5">
        <v>6</v>
      </c>
      <c r="L44" s="15">
        <f>IFERROR(IF((K44/J44)&gt;1.3,1.3,K44/J44),"")</f>
        <v>1</v>
      </c>
      <c r="M44" s="15">
        <f>IFERROR(K44/J44,"")</f>
        <v>1</v>
      </c>
      <c r="N44" s="5" t="s">
        <v>490</v>
      </c>
      <c r="O44" s="5" t="s">
        <v>490</v>
      </c>
      <c r="P44" s="5">
        <v>0</v>
      </c>
      <c r="Q44" s="5">
        <v>0</v>
      </c>
      <c r="R44" s="5" t="str">
        <f>A44&amp;"-"&amp;YEAR(F44)&amp;"-"&amp;IF(LEN(MONTH(F44))=1,"0"&amp;MONTH(F44),MONTH(F44))&amp;"-"&amp;IF(LEN(DAY(F44))=1,"0"&amp;DAY(F44),DAY(F44))</f>
        <v>325-2022-12-31</v>
      </c>
    </row>
    <row r="45" spans="1:18" x14ac:dyDescent="0.3">
      <c r="A45" s="5">
        <v>327</v>
      </c>
      <c r="B45" s="5" t="s">
        <v>213</v>
      </c>
      <c r="C45" s="5" t="s">
        <v>158</v>
      </c>
      <c r="D45" s="5" t="s">
        <v>8</v>
      </c>
      <c r="E45" s="5" t="s">
        <v>9</v>
      </c>
      <c r="F45" s="6">
        <v>44926</v>
      </c>
      <c r="G45" s="5">
        <f t="shared" si="5"/>
        <v>2022</v>
      </c>
      <c r="H45" s="5" t="str">
        <f t="shared" si="0"/>
        <v>Diciembre</v>
      </c>
      <c r="I45" s="6" t="str">
        <f t="shared" si="1"/>
        <v>2022-2</v>
      </c>
      <c r="J45" s="5">
        <v>0</v>
      </c>
      <c r="K45" s="5">
        <v>0</v>
      </c>
      <c r="L45" s="15" t="str">
        <f>IFERROR(IF((K45/J45)&gt;1.3,1.3,K45/J45),"")</f>
        <v/>
      </c>
      <c r="M45" s="15" t="str">
        <f>IFERROR(K45/J45,"")</f>
        <v/>
      </c>
      <c r="N45" s="5" t="s">
        <v>490</v>
      </c>
      <c r="O45" s="5" t="s">
        <v>490</v>
      </c>
      <c r="P45" s="5">
        <v>0</v>
      </c>
      <c r="Q45" s="5">
        <v>0</v>
      </c>
      <c r="R45" s="5" t="str">
        <f>A45&amp;"-"&amp;YEAR(F45)&amp;"-"&amp;IF(LEN(MONTH(F45))=1,"0"&amp;MONTH(F45),MONTH(F45))&amp;"-"&amp;IF(LEN(DAY(F45))=1,"0"&amp;DAY(F45),DAY(F45))</f>
        <v>327-2022-12-31</v>
      </c>
    </row>
    <row r="46" spans="1:18" x14ac:dyDescent="0.3">
      <c r="A46" s="5">
        <v>332</v>
      </c>
      <c r="B46" s="5" t="s">
        <v>217</v>
      </c>
      <c r="C46" s="5" t="s">
        <v>13</v>
      </c>
      <c r="D46" s="5" t="s">
        <v>8</v>
      </c>
      <c r="E46" s="5" t="s">
        <v>14</v>
      </c>
      <c r="F46" s="17">
        <v>44926</v>
      </c>
      <c r="G46" s="16">
        <f t="shared" si="5"/>
        <v>2022</v>
      </c>
      <c r="H46" s="6" t="str">
        <f t="shared" si="0"/>
        <v>Diciembre</v>
      </c>
      <c r="I46" s="6" t="str">
        <f t="shared" si="1"/>
        <v>2022-2</v>
      </c>
      <c r="J46" s="5">
        <v>1.6</v>
      </c>
      <c r="K46" s="5">
        <v>1.75</v>
      </c>
      <c r="L46" s="15">
        <f>IFERROR(IF((J46/K46)&gt;1.3,1.3,J46/K46),"")</f>
        <v>0.91428571428571437</v>
      </c>
      <c r="M46" s="15">
        <f>IFERROR(IF((J46/K46)&gt;J46/K46,1.3,J46/K46),"")</f>
        <v>0.91428571428571437</v>
      </c>
      <c r="N46" s="5" t="s">
        <v>478</v>
      </c>
      <c r="O46" s="5" t="s">
        <v>478</v>
      </c>
      <c r="P46" s="5">
        <v>1</v>
      </c>
      <c r="Q46" s="5">
        <v>1</v>
      </c>
      <c r="R46" s="5" t="str">
        <f>A46&amp;"-"&amp;YEAR(F46)&amp;"-"&amp;IF(LEN(MONTH(F46))=1,"0"&amp;MONTH(F46),MONTH(F46))&amp;"-"&amp;IF(LEN(DAY(F46))=1,"0"&amp;DAY(F46),DAY(F46))</f>
        <v>332-2022-12-31</v>
      </c>
    </row>
    <row r="47" spans="1:18" x14ac:dyDescent="0.3">
      <c r="A47" s="5">
        <v>334</v>
      </c>
      <c r="B47" s="5" t="s">
        <v>218</v>
      </c>
      <c r="C47" s="5" t="s">
        <v>13</v>
      </c>
      <c r="D47" s="5" t="s">
        <v>25</v>
      </c>
      <c r="E47" s="5" t="s">
        <v>9</v>
      </c>
      <c r="F47" s="6">
        <v>44926</v>
      </c>
      <c r="G47" s="5">
        <f t="shared" si="5"/>
        <v>2022</v>
      </c>
      <c r="H47" s="5" t="str">
        <f t="shared" si="0"/>
        <v>Diciembre</v>
      </c>
      <c r="I47" s="6" t="str">
        <f t="shared" si="1"/>
        <v>2022-2</v>
      </c>
      <c r="J47" s="5">
        <v>86</v>
      </c>
      <c r="K47" s="5">
        <v>86</v>
      </c>
      <c r="L47" s="15">
        <f>IFERROR(IF((K47/J47)&gt;1,1,K47/J47),"")</f>
        <v>1</v>
      </c>
      <c r="M47" s="15">
        <f t="shared" ref="M47:M63" si="7">IFERROR(K47/J47,"")</f>
        <v>1</v>
      </c>
      <c r="N47" s="5" t="s">
        <v>490</v>
      </c>
      <c r="O47" s="5" t="s">
        <v>490</v>
      </c>
      <c r="P47" s="5">
        <v>0</v>
      </c>
      <c r="Q47" s="5">
        <v>0</v>
      </c>
      <c r="R47" s="5" t="str">
        <f>A47&amp;"-"&amp;YEAR(F47)&amp;"-"&amp;IF(LEN(MONTH(F47))=1,"0"&amp;MONTH(F47),MONTH(F47))&amp;"-"&amp;IF(LEN(DAY(F47))=1,"0"&amp;DAY(F47),DAY(F47))</f>
        <v>334-2022-12-31</v>
      </c>
    </row>
    <row r="48" spans="1:18" x14ac:dyDescent="0.3">
      <c r="A48" s="5">
        <v>367</v>
      </c>
      <c r="B48" s="5" t="s">
        <v>470</v>
      </c>
      <c r="C48" s="5" t="s">
        <v>248</v>
      </c>
      <c r="D48" s="5" t="s">
        <v>25</v>
      </c>
      <c r="E48" s="5" t="s">
        <v>9</v>
      </c>
      <c r="F48" s="6">
        <v>44926</v>
      </c>
      <c r="G48" s="5">
        <f t="shared" si="5"/>
        <v>2022</v>
      </c>
      <c r="H48" s="5" t="str">
        <f t="shared" si="0"/>
        <v>Diciembre</v>
      </c>
      <c r="I48" s="6" t="str">
        <f t="shared" si="1"/>
        <v>2022-2</v>
      </c>
      <c r="J48" s="5">
        <v>5.7</v>
      </c>
      <c r="K48" s="5">
        <v>6.7</v>
      </c>
      <c r="L48" s="15">
        <f t="shared" ref="L48:L63" si="8">IFERROR(IF((K48/J48)&gt;1.3,1.3,K48/J48),"")</f>
        <v>1.1754385964912282</v>
      </c>
      <c r="M48" s="15">
        <f t="shared" si="7"/>
        <v>1.1754385964912282</v>
      </c>
      <c r="N48" s="5" t="s">
        <v>347</v>
      </c>
      <c r="O48" s="5" t="s">
        <v>347</v>
      </c>
      <c r="P48" s="5">
        <v>1</v>
      </c>
      <c r="Q48" s="5">
        <v>1</v>
      </c>
      <c r="R48" s="5" t="str">
        <f>A48&amp;"-"&amp;YEAR(F48)&amp;"-"&amp;IF(LEN(MONTH(F48))=1,"0"&amp;MONTH(F48),MONTH(F48))&amp;"-"&amp;IF(LEN(DAY(F48))=1,"0"&amp;DAY(F48),DAY(F48))</f>
        <v>367-2022-12-31</v>
      </c>
    </row>
    <row r="49" spans="1:18" x14ac:dyDescent="0.3">
      <c r="A49" s="5">
        <v>379</v>
      </c>
      <c r="B49" s="5" t="s">
        <v>266</v>
      </c>
      <c r="C49" s="5" t="s">
        <v>267</v>
      </c>
      <c r="D49" s="5" t="s">
        <v>8</v>
      </c>
      <c r="E49" s="5" t="s">
        <v>9</v>
      </c>
      <c r="F49" s="17">
        <v>44926</v>
      </c>
      <c r="G49" s="16">
        <f t="shared" si="5"/>
        <v>2022</v>
      </c>
      <c r="H49" s="6" t="str">
        <f t="shared" si="0"/>
        <v>Diciembre</v>
      </c>
      <c r="I49" s="6" t="str">
        <f t="shared" si="1"/>
        <v>2022-2</v>
      </c>
      <c r="J49" s="34">
        <v>20000</v>
      </c>
      <c r="K49" s="34">
        <v>20590</v>
      </c>
      <c r="L49" s="15">
        <f t="shared" si="8"/>
        <v>1.0295000000000001</v>
      </c>
      <c r="M49" s="15">
        <f t="shared" si="7"/>
        <v>1.0295000000000001</v>
      </c>
      <c r="N49" s="5" t="s">
        <v>490</v>
      </c>
      <c r="O49" s="5" t="s">
        <v>490</v>
      </c>
      <c r="P49" s="5">
        <v>0</v>
      </c>
      <c r="Q49" s="5">
        <v>0</v>
      </c>
      <c r="R49" s="5" t="str">
        <f>A49&amp;"-"&amp;YEAR(F49)&amp;"-"&amp;IF(LEN(MONTH(F49))=1,"0"&amp;MONTH(F49),MONTH(F49))&amp;"-"&amp;IF(LEN(DAY(F49))=1,"0"&amp;DAY(F49),DAY(F49))</f>
        <v>379-2022-12-31</v>
      </c>
    </row>
    <row r="50" spans="1:18" x14ac:dyDescent="0.3">
      <c r="A50" s="5">
        <v>381</v>
      </c>
      <c r="B50" s="5" t="s">
        <v>269</v>
      </c>
      <c r="C50" s="5" t="s">
        <v>267</v>
      </c>
      <c r="D50" s="5" t="s">
        <v>8</v>
      </c>
      <c r="E50" s="5" t="s">
        <v>9</v>
      </c>
      <c r="F50" s="6">
        <v>44926</v>
      </c>
      <c r="G50" s="5">
        <f t="shared" si="5"/>
        <v>2022</v>
      </c>
      <c r="H50" s="5" t="str">
        <f t="shared" si="0"/>
        <v>Diciembre</v>
      </c>
      <c r="I50" s="6" t="str">
        <f t="shared" si="1"/>
        <v>2022-2</v>
      </c>
      <c r="J50" s="5">
        <v>2412</v>
      </c>
      <c r="K50" s="5">
        <v>2452</v>
      </c>
      <c r="L50" s="15">
        <f t="shared" si="8"/>
        <v>1.0165837479270314</v>
      </c>
      <c r="M50" s="15">
        <f t="shared" si="7"/>
        <v>1.0165837479270314</v>
      </c>
      <c r="N50" s="5" t="s">
        <v>490</v>
      </c>
      <c r="O50" s="5" t="s">
        <v>490</v>
      </c>
      <c r="P50" s="5">
        <v>0</v>
      </c>
      <c r="Q50" s="5">
        <v>0</v>
      </c>
      <c r="R50" s="5" t="str">
        <f>A50&amp;"-"&amp;YEAR(F50)&amp;"-"&amp;IF(LEN(MONTH(F50))=1,"0"&amp;MONTH(F50),MONTH(F50))&amp;"-"&amp;IF(LEN(DAY(F50))=1,"0"&amp;DAY(F50),DAY(F50))</f>
        <v>381-2022-12-31</v>
      </c>
    </row>
    <row r="51" spans="1:18" x14ac:dyDescent="0.3">
      <c r="A51" s="5">
        <v>382</v>
      </c>
      <c r="B51" s="5" t="s">
        <v>270</v>
      </c>
      <c r="C51" s="5" t="s">
        <v>267</v>
      </c>
      <c r="D51" s="5" t="s">
        <v>8</v>
      </c>
      <c r="E51" s="5" t="s">
        <v>9</v>
      </c>
      <c r="F51" s="6">
        <v>44926</v>
      </c>
      <c r="G51" s="5">
        <f t="shared" si="5"/>
        <v>2022</v>
      </c>
      <c r="H51" s="5" t="str">
        <f t="shared" si="0"/>
        <v>Diciembre</v>
      </c>
      <c r="I51" s="6" t="str">
        <f t="shared" si="1"/>
        <v>2022-2</v>
      </c>
      <c r="J51" s="5">
        <v>15286</v>
      </c>
      <c r="K51" s="5">
        <v>15467</v>
      </c>
      <c r="L51" s="15">
        <f t="shared" si="8"/>
        <v>1.0118409001700903</v>
      </c>
      <c r="M51" s="15">
        <f t="shared" si="7"/>
        <v>1.0118409001700903</v>
      </c>
      <c r="N51" s="5" t="s">
        <v>490</v>
      </c>
      <c r="O51" s="5" t="s">
        <v>490</v>
      </c>
      <c r="P51" s="5">
        <v>0</v>
      </c>
      <c r="Q51" s="5">
        <v>0</v>
      </c>
      <c r="R51" s="5" t="str">
        <f>A51&amp;"-"&amp;YEAR(F51)&amp;"-"&amp;IF(LEN(MONTH(F51))=1,"0"&amp;MONTH(F51),MONTH(F51))&amp;"-"&amp;IF(LEN(DAY(F51))=1,"0"&amp;DAY(F51),DAY(F51))</f>
        <v>382-2022-12-31</v>
      </c>
    </row>
    <row r="52" spans="1:18" x14ac:dyDescent="0.3">
      <c r="A52" s="5">
        <v>383</v>
      </c>
      <c r="B52" s="5" t="s">
        <v>271</v>
      </c>
      <c r="C52" s="5" t="s">
        <v>267</v>
      </c>
      <c r="D52" s="5" t="s">
        <v>8</v>
      </c>
      <c r="E52" s="5" t="s">
        <v>9</v>
      </c>
      <c r="F52" s="6">
        <v>44926</v>
      </c>
      <c r="G52" s="5">
        <f t="shared" si="5"/>
        <v>2022</v>
      </c>
      <c r="H52" s="5" t="str">
        <f t="shared" si="0"/>
        <v>Diciembre</v>
      </c>
      <c r="I52" s="6" t="str">
        <f t="shared" si="1"/>
        <v>2022-2</v>
      </c>
      <c r="J52" s="5">
        <v>1768</v>
      </c>
      <c r="K52" s="5">
        <v>2184</v>
      </c>
      <c r="L52" s="15">
        <f t="shared" si="8"/>
        <v>1.2352941176470589</v>
      </c>
      <c r="M52" s="15">
        <f t="shared" si="7"/>
        <v>1.2352941176470589</v>
      </c>
      <c r="N52" s="5" t="s">
        <v>490</v>
      </c>
      <c r="O52" s="5" t="s">
        <v>490</v>
      </c>
      <c r="P52" s="5">
        <v>0</v>
      </c>
      <c r="Q52" s="5">
        <v>0</v>
      </c>
      <c r="R52" s="5" t="str">
        <f>A52&amp;"-"&amp;YEAR(F52)&amp;"-"&amp;IF(LEN(MONTH(F52))=1,"0"&amp;MONTH(F52),MONTH(F52))&amp;"-"&amp;IF(LEN(DAY(F52))=1,"0"&amp;DAY(F52),DAY(F52))</f>
        <v>383-2022-12-31</v>
      </c>
    </row>
    <row r="53" spans="1:18" x14ac:dyDescent="0.3">
      <c r="A53" s="5">
        <v>384</v>
      </c>
      <c r="B53" s="5" t="s">
        <v>272</v>
      </c>
      <c r="C53" s="5" t="s">
        <v>267</v>
      </c>
      <c r="D53" s="5" t="s">
        <v>8</v>
      </c>
      <c r="E53" s="5" t="s">
        <v>9</v>
      </c>
      <c r="F53" s="6">
        <v>44926</v>
      </c>
      <c r="G53" s="5">
        <f t="shared" si="5"/>
        <v>2022</v>
      </c>
      <c r="H53" s="5" t="str">
        <f t="shared" si="0"/>
        <v>Diciembre</v>
      </c>
      <c r="I53" s="6" t="str">
        <f t="shared" si="1"/>
        <v>2022-2</v>
      </c>
      <c r="J53" s="5">
        <v>534</v>
      </c>
      <c r="K53" s="5">
        <v>487</v>
      </c>
      <c r="L53" s="15">
        <f t="shared" si="8"/>
        <v>0.91198501872659177</v>
      </c>
      <c r="M53" s="15">
        <f t="shared" si="7"/>
        <v>0.91198501872659177</v>
      </c>
      <c r="N53" s="5" t="s">
        <v>490</v>
      </c>
      <c r="O53" s="5" t="s">
        <v>490</v>
      </c>
      <c r="P53" s="5">
        <v>0</v>
      </c>
      <c r="Q53" s="5">
        <v>0</v>
      </c>
      <c r="R53" s="5" t="str">
        <f>A53&amp;"-"&amp;YEAR(F53)&amp;"-"&amp;IF(LEN(MONTH(F53))=1,"0"&amp;MONTH(F53),MONTH(F53))&amp;"-"&amp;IF(LEN(DAY(F53))=1,"0"&amp;DAY(F53),DAY(F53))</f>
        <v>384-2022-12-31</v>
      </c>
    </row>
    <row r="54" spans="1:18" x14ac:dyDescent="0.3">
      <c r="A54" s="5">
        <v>385</v>
      </c>
      <c r="B54" s="5" t="s">
        <v>273</v>
      </c>
      <c r="C54" s="5" t="s">
        <v>274</v>
      </c>
      <c r="D54" s="5" t="s">
        <v>8</v>
      </c>
      <c r="E54" s="5" t="s">
        <v>9</v>
      </c>
      <c r="F54" s="17">
        <v>44926</v>
      </c>
      <c r="G54" s="16">
        <f t="shared" si="5"/>
        <v>2022</v>
      </c>
      <c r="H54" s="6" t="str">
        <f t="shared" si="0"/>
        <v>Diciembre</v>
      </c>
      <c r="I54" s="6" t="str">
        <f t="shared" si="1"/>
        <v>2022-2</v>
      </c>
      <c r="J54" s="11">
        <v>13361</v>
      </c>
      <c r="K54" s="11">
        <f>10035311891/1000000</f>
        <v>10035.311890999999</v>
      </c>
      <c r="L54" s="15">
        <f t="shared" si="8"/>
        <v>0.75108988032332902</v>
      </c>
      <c r="M54" s="15">
        <f t="shared" si="7"/>
        <v>0.75108988032332902</v>
      </c>
      <c r="N54" s="5" t="s">
        <v>474</v>
      </c>
      <c r="O54" s="5" t="s">
        <v>474</v>
      </c>
      <c r="P54" s="5">
        <v>0</v>
      </c>
      <c r="Q54" s="5">
        <v>0</v>
      </c>
      <c r="R54" s="5" t="str">
        <f>A54&amp;"-"&amp;YEAR(F54)&amp;"-"&amp;IF(LEN(MONTH(F54))=1,"0"&amp;MONTH(F54),MONTH(F54))&amp;"-"&amp;IF(LEN(DAY(F54))=1,"0"&amp;DAY(F54),DAY(F54))</f>
        <v>385-2022-12-31</v>
      </c>
    </row>
    <row r="55" spans="1:18" x14ac:dyDescent="0.3">
      <c r="A55" s="5">
        <v>423</v>
      </c>
      <c r="B55" s="5" t="s">
        <v>317</v>
      </c>
      <c r="C55" s="5" t="s">
        <v>315</v>
      </c>
      <c r="D55" s="5" t="s">
        <v>25</v>
      </c>
      <c r="E55" s="5" t="s">
        <v>9</v>
      </c>
      <c r="F55" s="17">
        <v>44926</v>
      </c>
      <c r="G55" s="16">
        <f t="shared" si="5"/>
        <v>2022</v>
      </c>
      <c r="H55" s="6" t="str">
        <f t="shared" si="0"/>
        <v>Diciembre</v>
      </c>
      <c r="I55" s="6" t="str">
        <f t="shared" si="1"/>
        <v>2022-2</v>
      </c>
      <c r="J55" s="5">
        <v>8.8000000000000007</v>
      </c>
      <c r="K55" s="5">
        <v>7.8</v>
      </c>
      <c r="L55" s="15">
        <f t="shared" si="8"/>
        <v>0.88636363636363624</v>
      </c>
      <c r="M55" s="15">
        <f t="shared" si="7"/>
        <v>0.88636363636363624</v>
      </c>
      <c r="N55" s="5" t="s">
        <v>478</v>
      </c>
      <c r="O55" s="5" t="s">
        <v>478</v>
      </c>
      <c r="P55" s="5">
        <v>1</v>
      </c>
      <c r="Q55" s="5">
        <v>1</v>
      </c>
      <c r="R55" s="5" t="str">
        <f>A55&amp;"-"&amp;YEAR(F55)&amp;"-"&amp;IF(LEN(MONTH(F55))=1,"0"&amp;MONTH(F55),MONTH(F55))&amp;"-"&amp;IF(LEN(DAY(F55))=1,"0"&amp;DAY(F55),DAY(F55))</f>
        <v>423-2022-12-31</v>
      </c>
    </row>
    <row r="56" spans="1:18" x14ac:dyDescent="0.3">
      <c r="A56" s="5">
        <v>424</v>
      </c>
      <c r="B56" s="5" t="s">
        <v>433</v>
      </c>
      <c r="C56" s="5" t="s">
        <v>315</v>
      </c>
      <c r="D56" s="5" t="s">
        <v>25</v>
      </c>
      <c r="E56" s="5" t="s">
        <v>9</v>
      </c>
      <c r="F56" s="17">
        <v>44926</v>
      </c>
      <c r="G56" s="16">
        <f t="shared" si="5"/>
        <v>2022</v>
      </c>
      <c r="H56" s="6" t="str">
        <f t="shared" si="0"/>
        <v>Diciembre</v>
      </c>
      <c r="I56" s="6" t="str">
        <f t="shared" si="1"/>
        <v>2022-2</v>
      </c>
      <c r="J56" s="5">
        <v>6.5</v>
      </c>
      <c r="K56" s="5">
        <v>5</v>
      </c>
      <c r="L56" s="15">
        <f t="shared" si="8"/>
        <v>0.76923076923076927</v>
      </c>
      <c r="M56" s="15">
        <f t="shared" si="7"/>
        <v>0.76923076923076927</v>
      </c>
      <c r="N56" s="5" t="s">
        <v>478</v>
      </c>
      <c r="O56" s="5" t="s">
        <v>490</v>
      </c>
      <c r="P56" s="5">
        <v>1</v>
      </c>
      <c r="Q56" s="5">
        <v>0</v>
      </c>
      <c r="R56" s="5" t="str">
        <f>A56&amp;"-"&amp;YEAR(F56)&amp;"-"&amp;IF(LEN(MONTH(F56))=1,"0"&amp;MONTH(F56),MONTH(F56))&amp;"-"&amp;IF(LEN(DAY(F56))=1,"0"&amp;DAY(F56),DAY(F56))</f>
        <v>424-2022-12-31</v>
      </c>
    </row>
    <row r="57" spans="1:18" x14ac:dyDescent="0.3">
      <c r="A57" s="5">
        <v>466</v>
      </c>
      <c r="B57" s="5" t="s">
        <v>525</v>
      </c>
      <c r="C57" s="5" t="s">
        <v>74</v>
      </c>
      <c r="D57" s="5" t="s">
        <v>8</v>
      </c>
      <c r="E57" s="5" t="s">
        <v>9</v>
      </c>
      <c r="F57" s="17">
        <v>44926</v>
      </c>
      <c r="G57" s="16">
        <f t="shared" si="5"/>
        <v>2022</v>
      </c>
      <c r="H57" s="6" t="str">
        <f t="shared" si="0"/>
        <v>Diciembre</v>
      </c>
      <c r="I57" s="6" t="str">
        <f t="shared" si="1"/>
        <v>2022-2</v>
      </c>
      <c r="J57" s="5">
        <v>25</v>
      </c>
      <c r="K57" s="5">
        <v>43.56</v>
      </c>
      <c r="L57" s="15">
        <f t="shared" si="8"/>
        <v>1.3</v>
      </c>
      <c r="M57" s="15">
        <f t="shared" si="7"/>
        <v>1.7424000000000002</v>
      </c>
      <c r="N57" s="5" t="s">
        <v>490</v>
      </c>
      <c r="O57" s="5" t="s">
        <v>478</v>
      </c>
      <c r="P57" s="5">
        <v>1</v>
      </c>
      <c r="Q57" s="5">
        <v>1</v>
      </c>
      <c r="R57" s="5" t="str">
        <f>A57&amp;"-"&amp;YEAR(F57)&amp;"-"&amp;IF(LEN(MONTH(F57))=1,"0"&amp;MONTH(F57),MONTH(F57))&amp;"-"&amp;IF(LEN(DAY(F57))=1,"0"&amp;DAY(F57),DAY(F57))</f>
        <v>466-2022-12-31</v>
      </c>
    </row>
    <row r="58" spans="1:18" x14ac:dyDescent="0.3">
      <c r="A58" s="5" t="s">
        <v>435</v>
      </c>
      <c r="B58" s="5" t="s">
        <v>39</v>
      </c>
      <c r="C58" s="5" t="s">
        <v>131</v>
      </c>
      <c r="D58" s="5" t="s">
        <v>25</v>
      </c>
      <c r="E58" s="5" t="s">
        <v>9</v>
      </c>
      <c r="F58" s="6">
        <v>44926</v>
      </c>
      <c r="G58" s="16">
        <f t="shared" si="5"/>
        <v>2022</v>
      </c>
      <c r="H58" s="5" t="str">
        <f t="shared" si="0"/>
        <v>Diciembre</v>
      </c>
      <c r="I58" s="6" t="str">
        <f t="shared" si="1"/>
        <v>2022-2</v>
      </c>
      <c r="J58" s="5">
        <v>80</v>
      </c>
      <c r="K58" s="5">
        <v>80.476190476190496</v>
      </c>
      <c r="L58" s="15">
        <f t="shared" si="8"/>
        <v>1.0059523809523812</v>
      </c>
      <c r="M58" s="15">
        <f t="shared" si="7"/>
        <v>1.0059523809523812</v>
      </c>
      <c r="N58" s="5" t="s">
        <v>347</v>
      </c>
      <c r="O58" s="5" t="s">
        <v>347</v>
      </c>
      <c r="P58" s="5">
        <v>0</v>
      </c>
      <c r="Q58" s="5">
        <v>0</v>
      </c>
      <c r="R58" s="5" t="str">
        <f>A58&amp;"-"&amp;YEAR(F58)&amp;"-"&amp;IF(LEN(MONTH(F58))=1,"0"&amp;MONTH(F58),MONTH(F58))&amp;"-"&amp;IF(LEN(DAY(F58))=1,"0"&amp;DAY(F58),DAY(F58))</f>
        <v>108.1-2022-12-31</v>
      </c>
    </row>
    <row r="59" spans="1:18" x14ac:dyDescent="0.3">
      <c r="A59" s="5" t="s">
        <v>446</v>
      </c>
      <c r="B59" s="5" t="s">
        <v>39</v>
      </c>
      <c r="C59" s="5" t="s">
        <v>185</v>
      </c>
      <c r="D59" s="5" t="s">
        <v>25</v>
      </c>
      <c r="E59" s="5" t="s">
        <v>9</v>
      </c>
      <c r="F59" s="6">
        <v>44926</v>
      </c>
      <c r="G59" s="5">
        <v>2022</v>
      </c>
      <c r="H59" s="5" t="str">
        <f t="shared" si="0"/>
        <v>Diciembre</v>
      </c>
      <c r="I59" s="6" t="str">
        <f t="shared" si="1"/>
        <v>2022-2</v>
      </c>
      <c r="J59" s="5">
        <v>80</v>
      </c>
      <c r="K59" s="5">
        <v>68</v>
      </c>
      <c r="L59" s="15">
        <f t="shared" si="8"/>
        <v>0.85</v>
      </c>
      <c r="M59" s="15">
        <f t="shared" si="7"/>
        <v>0.85</v>
      </c>
      <c r="N59" s="5" t="s">
        <v>347</v>
      </c>
      <c r="O59" s="5" t="s">
        <v>347</v>
      </c>
      <c r="P59" s="5">
        <v>0</v>
      </c>
      <c r="Q59" s="5">
        <v>0</v>
      </c>
      <c r="R59" s="5" t="str">
        <f>A59&amp;"-"&amp;YEAR(F59)&amp;"-"&amp;IF(LEN(MONTH(F59))=1,"0"&amp;MONTH(F59),MONTH(F59))&amp;"-"&amp;IF(LEN(DAY(F59))=1,"0"&amp;DAY(F59),DAY(F59))</f>
        <v>108.5-2022-12-31</v>
      </c>
    </row>
    <row r="60" spans="1:18" x14ac:dyDescent="0.3">
      <c r="A60" s="5" t="s">
        <v>427</v>
      </c>
      <c r="B60" s="5" t="s">
        <v>428</v>
      </c>
      <c r="C60" s="5" t="s">
        <v>117</v>
      </c>
      <c r="D60" s="5" t="s">
        <v>18</v>
      </c>
      <c r="E60" s="5" t="s">
        <v>9</v>
      </c>
      <c r="F60" s="6">
        <v>44926</v>
      </c>
      <c r="G60" s="16">
        <f t="shared" ref="G60:G65" si="9">YEAR(F60)</f>
        <v>2022</v>
      </c>
      <c r="H60" s="6" t="str">
        <f t="shared" si="0"/>
        <v>Diciembre</v>
      </c>
      <c r="I60" s="6" t="str">
        <f t="shared" si="1"/>
        <v>2022-2</v>
      </c>
      <c r="J60" s="5">
        <v>57</v>
      </c>
      <c r="K60" s="5">
        <v>71</v>
      </c>
      <c r="L60" s="15">
        <f t="shared" si="8"/>
        <v>1.2456140350877194</v>
      </c>
      <c r="M60" s="15">
        <f t="shared" si="7"/>
        <v>1.2456140350877194</v>
      </c>
      <c r="N60" s="5" t="s">
        <v>347</v>
      </c>
      <c r="O60" s="5" t="s">
        <v>347</v>
      </c>
      <c r="P60" s="5">
        <v>0</v>
      </c>
      <c r="Q60" s="5">
        <v>0</v>
      </c>
      <c r="R60" s="5" t="str">
        <f>A60&amp;"-"&amp;YEAR(F60)&amp;"-"&amp;IF(LEN(MONTH(F60))=1,"0"&amp;MONTH(F60),MONTH(F60))&amp;"-"&amp;IF(LEN(DAY(F60))=1,"0"&amp;DAY(F60),DAY(F60))</f>
        <v>13.1-2022-12-31</v>
      </c>
    </row>
    <row r="61" spans="1:18" x14ac:dyDescent="0.3">
      <c r="A61" s="25" t="s">
        <v>348</v>
      </c>
      <c r="B61" s="23" t="s">
        <v>349</v>
      </c>
      <c r="C61" s="5" t="s">
        <v>124</v>
      </c>
      <c r="D61" s="5" t="s">
        <v>8</v>
      </c>
      <c r="E61" s="5" t="s">
        <v>9</v>
      </c>
      <c r="F61" s="6">
        <v>44926</v>
      </c>
      <c r="G61" s="16">
        <f t="shared" si="9"/>
        <v>2022</v>
      </c>
      <c r="H61" s="6" t="str">
        <f t="shared" si="0"/>
        <v>Diciembre</v>
      </c>
      <c r="I61" s="6" t="str">
        <f t="shared" si="1"/>
        <v>2022-2</v>
      </c>
      <c r="J61" s="5">
        <v>14271</v>
      </c>
      <c r="K61" s="5">
        <v>15190</v>
      </c>
      <c r="L61" s="15">
        <f t="shared" si="8"/>
        <v>1.0643963282180646</v>
      </c>
      <c r="M61" s="15">
        <f t="shared" si="7"/>
        <v>1.0643963282180646</v>
      </c>
      <c r="N61" s="5" t="s">
        <v>490</v>
      </c>
      <c r="O61" s="5" t="s">
        <v>490</v>
      </c>
      <c r="P61" s="5">
        <v>0</v>
      </c>
      <c r="Q61" s="5">
        <v>0</v>
      </c>
      <c r="R61" s="5" t="str">
        <f>A61&amp;"-"&amp;YEAR(F61)&amp;"-"&amp;IF(LEN(MONTH(F61))=1,"0"&amp;MONTH(F61),MONTH(F61))&amp;"-"&amp;IF(LEN(DAY(F61))=1,"0"&amp;DAY(F61),DAY(F61))</f>
        <v>14.1-2022-12-31</v>
      </c>
    </row>
    <row r="62" spans="1:18" x14ac:dyDescent="0.3">
      <c r="A62" s="25" t="s">
        <v>350</v>
      </c>
      <c r="B62" s="23" t="s">
        <v>351</v>
      </c>
      <c r="C62" s="5" t="s">
        <v>74</v>
      </c>
      <c r="D62" s="5" t="s">
        <v>8</v>
      </c>
      <c r="E62" s="5" t="s">
        <v>9</v>
      </c>
      <c r="F62" s="6">
        <v>44926</v>
      </c>
      <c r="G62" s="16">
        <f t="shared" si="9"/>
        <v>2022</v>
      </c>
      <c r="H62" s="6" t="str">
        <f t="shared" si="0"/>
        <v>Diciembre</v>
      </c>
      <c r="I62" s="6" t="str">
        <f t="shared" si="1"/>
        <v>2022-2</v>
      </c>
      <c r="J62" s="5">
        <v>85163</v>
      </c>
      <c r="K62" s="5">
        <v>86058</v>
      </c>
      <c r="L62" s="15">
        <f t="shared" si="8"/>
        <v>1.0105092587156395</v>
      </c>
      <c r="M62" s="15">
        <f t="shared" si="7"/>
        <v>1.0105092587156395</v>
      </c>
      <c r="N62" s="5" t="s">
        <v>490</v>
      </c>
      <c r="O62" s="5" t="s">
        <v>490</v>
      </c>
      <c r="P62" s="5">
        <v>0</v>
      </c>
      <c r="Q62" s="5">
        <v>0</v>
      </c>
      <c r="R62" s="5" t="str">
        <f>A62&amp;"-"&amp;YEAR(F62)&amp;"-"&amp;IF(LEN(MONTH(F62))=1,"0"&amp;MONTH(F62),MONTH(F62))&amp;"-"&amp;IF(LEN(DAY(F62))=1,"0"&amp;DAY(F62),DAY(F62))</f>
        <v>14.2-2022-12-31</v>
      </c>
    </row>
    <row r="63" spans="1:18" x14ac:dyDescent="0.3">
      <c r="A63" s="25" t="s">
        <v>352</v>
      </c>
      <c r="B63" s="23" t="s">
        <v>353</v>
      </c>
      <c r="C63" s="5" t="s">
        <v>124</v>
      </c>
      <c r="D63" s="5" t="s">
        <v>8</v>
      </c>
      <c r="E63" s="5" t="s">
        <v>9</v>
      </c>
      <c r="F63" s="6">
        <v>44926</v>
      </c>
      <c r="G63" s="16">
        <f t="shared" si="9"/>
        <v>2022</v>
      </c>
      <c r="H63" s="6" t="str">
        <f t="shared" si="0"/>
        <v>Diciembre</v>
      </c>
      <c r="I63" s="6" t="str">
        <f t="shared" si="1"/>
        <v>2022-2</v>
      </c>
      <c r="J63" s="5">
        <v>94796</v>
      </c>
      <c r="K63" s="5">
        <v>96240</v>
      </c>
      <c r="L63" s="15">
        <f t="shared" si="8"/>
        <v>1.0152327102409384</v>
      </c>
      <c r="M63" s="15">
        <f t="shared" si="7"/>
        <v>1.0152327102409384</v>
      </c>
      <c r="N63" s="5" t="s">
        <v>490</v>
      </c>
      <c r="O63" s="5" t="s">
        <v>490</v>
      </c>
      <c r="P63" s="5">
        <v>0</v>
      </c>
      <c r="Q63" s="5">
        <v>0</v>
      </c>
      <c r="R63" s="5" t="str">
        <f>A63&amp;"-"&amp;YEAR(F63)&amp;"-"&amp;IF(LEN(MONTH(F63))=1,"0"&amp;MONTH(F63),MONTH(F63))&amp;"-"&amp;IF(LEN(DAY(F63))=1,"0"&amp;DAY(F63),DAY(F63))</f>
        <v>14.3-2022-12-31</v>
      </c>
    </row>
    <row r="64" spans="1:18" x14ac:dyDescent="0.3">
      <c r="A64" s="5" t="s">
        <v>429</v>
      </c>
      <c r="B64" s="5" t="s">
        <v>430</v>
      </c>
      <c r="C64" s="5" t="s">
        <v>209</v>
      </c>
      <c r="D64" s="5" t="s">
        <v>8</v>
      </c>
      <c r="E64" s="5" t="s">
        <v>9</v>
      </c>
      <c r="F64" s="17">
        <v>44926</v>
      </c>
      <c r="G64" s="16">
        <f t="shared" si="9"/>
        <v>2022</v>
      </c>
      <c r="H64" s="6" t="str">
        <f t="shared" si="0"/>
        <v>Diciembre</v>
      </c>
      <c r="I64" s="6" t="str">
        <f t="shared" si="1"/>
        <v>2022-2</v>
      </c>
      <c r="J64" s="5">
        <v>6</v>
      </c>
      <c r="K64" s="5">
        <v>2</v>
      </c>
      <c r="L64" s="15">
        <f>IFERROR(IF((K64/J64)&gt;1,1,K64/J64),"")</f>
        <v>0.33333333333333331</v>
      </c>
      <c r="M64" s="15">
        <f>IFERROR(IF((K64/J64)&gt;1,1,K64/J64),"")</f>
        <v>0.33333333333333331</v>
      </c>
      <c r="N64" s="5" t="s">
        <v>490</v>
      </c>
      <c r="O64" s="5" t="s">
        <v>490</v>
      </c>
      <c r="P64" s="5">
        <v>0</v>
      </c>
      <c r="Q64" s="5">
        <v>0</v>
      </c>
      <c r="R64" s="5" t="str">
        <f>A64&amp;"-"&amp;YEAR(F64)&amp;"-"&amp;IF(LEN(MONTH(F64))=1,"0"&amp;MONTH(F64),MONTH(F64))&amp;"-"&amp;IF(LEN(DAY(F64))=1,"0"&amp;DAY(F64),DAY(F64))</f>
        <v>325.1-2022-12-31</v>
      </c>
    </row>
    <row r="65" spans="1:18" x14ac:dyDescent="0.3">
      <c r="A65" s="5" t="s">
        <v>431</v>
      </c>
      <c r="B65" s="5" t="s">
        <v>432</v>
      </c>
      <c r="C65" s="5" t="s">
        <v>209</v>
      </c>
      <c r="D65" s="5" t="s">
        <v>8</v>
      </c>
      <c r="E65" s="5" t="s">
        <v>9</v>
      </c>
      <c r="F65" s="17">
        <v>44926</v>
      </c>
      <c r="G65" s="16">
        <f t="shared" si="9"/>
        <v>2022</v>
      </c>
      <c r="H65" s="6" t="str">
        <f t="shared" si="0"/>
        <v>Diciembre</v>
      </c>
      <c r="I65" s="6" t="str">
        <f t="shared" si="1"/>
        <v>2022-2</v>
      </c>
      <c r="J65" s="5">
        <v>2</v>
      </c>
      <c r="K65" s="5">
        <v>2</v>
      </c>
      <c r="L65" s="15">
        <f>IFERROR(IF((K65/J65)&gt;1,1,K65/J65),"")</f>
        <v>1</v>
      </c>
      <c r="M65" s="15">
        <f>IFERROR(IF((K65/J65)&gt;1,1,K65/J65),"")</f>
        <v>1</v>
      </c>
      <c r="N65" s="5" t="s">
        <v>490</v>
      </c>
      <c r="O65" s="5" t="s">
        <v>490</v>
      </c>
      <c r="P65" s="5">
        <v>0</v>
      </c>
      <c r="Q65" s="5">
        <v>0</v>
      </c>
      <c r="R65" s="5" t="str">
        <f>A65&amp;"-"&amp;YEAR(F65)&amp;"-"&amp;IF(LEN(MONTH(F65))=1,"0"&amp;MONTH(F65),MONTH(F65))&amp;"-"&amp;IF(LEN(DAY(F65))=1,"0"&amp;DAY(F65),DAY(F65))</f>
        <v>325.2-2022-12-31</v>
      </c>
    </row>
    <row r="66" spans="1:18" x14ac:dyDescent="0.3">
      <c r="A66" s="5">
        <v>112</v>
      </c>
      <c r="B66" s="5" t="s">
        <v>39</v>
      </c>
      <c r="C66" s="5" t="s">
        <v>43</v>
      </c>
      <c r="D66" s="5" t="s">
        <v>25</v>
      </c>
      <c r="E66" s="5" t="s">
        <v>9</v>
      </c>
      <c r="F66" s="6">
        <v>45230</v>
      </c>
      <c r="G66" s="5">
        <v>2023</v>
      </c>
      <c r="H66" s="5" t="str">
        <f t="shared" ref="H66:H127" si="10">PROPER(TEXT(F66,"mmmm"))</f>
        <v>Octubre</v>
      </c>
      <c r="I66" s="6" t="str">
        <f t="shared" ref="I66:I127" si="11">IF(OR(H66="Enero",H66="Febrero",H66="Marzo",H66="Abril",H66="Mayo",H66="Junio"),G66&amp;"-1",IF(OR(H66="Julio",H66="Agosto",H66="Septiembre",H66="Octubre",H66="Noviembre",H66="Diciembre"),G66&amp;"-2"))</f>
        <v>2023-2</v>
      </c>
      <c r="J66" s="5">
        <v>80</v>
      </c>
      <c r="K66" s="5">
        <v>89.603847284377991</v>
      </c>
      <c r="L66" s="15">
        <f>IFERROR(IF((K66/J66)&gt;1,1,K66/J66),"")</f>
        <v>1</v>
      </c>
      <c r="M66" s="15">
        <f t="shared" ref="M66:M70" si="12">IFERROR(K66/J66,"")</f>
        <v>1.1200480910547248</v>
      </c>
      <c r="N66" s="5" t="s">
        <v>347</v>
      </c>
      <c r="O66" s="5" t="s">
        <v>347</v>
      </c>
      <c r="P66" s="5">
        <v>0</v>
      </c>
      <c r="Q66" s="5">
        <v>0</v>
      </c>
      <c r="R66" s="5" t="str">
        <f>A66&amp;"-"&amp;YEAR(F66)&amp;"-"&amp;IF(LEN(MONTH(F66))=1,"0"&amp;MONTH(F66),MONTH(F66))&amp;"-"&amp;IF(LEN(DAY(F66))=1,"0"&amp;DAY(F66),DAY(F66))</f>
        <v>112-2023-10-31</v>
      </c>
    </row>
    <row r="67" spans="1:18" x14ac:dyDescent="0.3">
      <c r="A67" s="5">
        <v>113</v>
      </c>
      <c r="B67" s="5" t="s">
        <v>39</v>
      </c>
      <c r="C67" s="5" t="s">
        <v>438</v>
      </c>
      <c r="D67" s="5" t="s">
        <v>25</v>
      </c>
      <c r="E67" s="5" t="s">
        <v>9</v>
      </c>
      <c r="F67" s="6">
        <v>45230</v>
      </c>
      <c r="G67" s="5">
        <v>2023</v>
      </c>
      <c r="H67" s="5" t="str">
        <f t="shared" si="10"/>
        <v>Octubre</v>
      </c>
      <c r="I67" s="6" t="str">
        <f t="shared" si="11"/>
        <v>2023-2</v>
      </c>
      <c r="J67" s="5">
        <v>80</v>
      </c>
      <c r="K67" s="5">
        <v>88.101513502306503</v>
      </c>
      <c r="L67" s="15">
        <f>IFERROR(IF((K67/J67)&gt;1.3,1.3,K67/J67),"")</f>
        <v>1.1012689187788314</v>
      </c>
      <c r="M67" s="15">
        <f t="shared" si="12"/>
        <v>1.1012689187788314</v>
      </c>
      <c r="N67" s="5" t="s">
        <v>347</v>
      </c>
      <c r="O67" s="5" t="s">
        <v>347</v>
      </c>
      <c r="P67" s="5">
        <v>0</v>
      </c>
      <c r="Q67" s="5">
        <v>0</v>
      </c>
      <c r="R67" s="5" t="str">
        <f>A67&amp;"-"&amp;YEAR(F67)&amp;"-"&amp;IF(LEN(MONTH(F67))=1,"0"&amp;MONTH(F67),MONTH(F67))&amp;"-"&amp;IF(LEN(DAY(F67))=1,"0"&amp;DAY(F67),DAY(F67))</f>
        <v>113-2023-10-31</v>
      </c>
    </row>
    <row r="68" spans="1:18" x14ac:dyDescent="0.3">
      <c r="A68" s="5">
        <v>114</v>
      </c>
      <c r="B68" s="5" t="s">
        <v>39</v>
      </c>
      <c r="C68" s="5" t="s">
        <v>343</v>
      </c>
      <c r="D68" s="5" t="s">
        <v>25</v>
      </c>
      <c r="E68" s="5" t="s">
        <v>9</v>
      </c>
      <c r="F68" s="6">
        <v>45230</v>
      </c>
      <c r="G68" s="5">
        <v>2023</v>
      </c>
      <c r="H68" s="5" t="str">
        <f t="shared" si="10"/>
        <v>Octubre</v>
      </c>
      <c r="I68" s="6" t="str">
        <f t="shared" si="11"/>
        <v>2023-2</v>
      </c>
      <c r="J68" s="5">
        <v>80</v>
      </c>
      <c r="K68" s="5">
        <v>86.20923251499039</v>
      </c>
      <c r="L68" s="15">
        <f>IFERROR(IF((K68/J68)&gt;1.3,1.3,K68/J68),"")</f>
        <v>1.07761540643738</v>
      </c>
      <c r="M68" s="15">
        <f t="shared" si="12"/>
        <v>1.07761540643738</v>
      </c>
      <c r="N68" s="5" t="s">
        <v>347</v>
      </c>
      <c r="O68" s="5" t="s">
        <v>347</v>
      </c>
      <c r="P68" s="5">
        <v>0</v>
      </c>
      <c r="Q68" s="5">
        <v>0</v>
      </c>
      <c r="R68" s="5" t="str">
        <f>A68&amp;"-"&amp;YEAR(F68)&amp;"-"&amp;IF(LEN(MONTH(F68))=1,"0"&amp;MONTH(F68),MONTH(F68))&amp;"-"&amp;IF(LEN(DAY(F68))=1,"0"&amp;DAY(F68),DAY(F68))</f>
        <v>114-2023-10-31</v>
      </c>
    </row>
    <row r="69" spans="1:18" x14ac:dyDescent="0.3">
      <c r="A69" s="5">
        <v>115</v>
      </c>
      <c r="B69" s="5" t="s">
        <v>39</v>
      </c>
      <c r="C69" s="5" t="s">
        <v>24</v>
      </c>
      <c r="D69" s="5" t="s">
        <v>25</v>
      </c>
      <c r="E69" s="5" t="s">
        <v>9</v>
      </c>
      <c r="F69" s="6">
        <v>45230</v>
      </c>
      <c r="G69" s="16">
        <f>YEAR(F69)</f>
        <v>2023</v>
      </c>
      <c r="H69" s="6" t="str">
        <f t="shared" si="10"/>
        <v>Octubre</v>
      </c>
      <c r="I69" s="6" t="str">
        <f t="shared" si="11"/>
        <v>2023-2</v>
      </c>
      <c r="J69" s="5">
        <v>80</v>
      </c>
      <c r="K69" s="10">
        <v>90.789405483854196</v>
      </c>
      <c r="L69" s="15">
        <f>IFERROR(IF((K69/J69)&gt;1.3,1.3,K69/J69),"")</f>
        <v>1.1348675685481775</v>
      </c>
      <c r="M69" s="15">
        <f t="shared" si="12"/>
        <v>1.1348675685481775</v>
      </c>
      <c r="N69" s="5" t="s">
        <v>347</v>
      </c>
      <c r="O69" s="5" t="s">
        <v>347</v>
      </c>
      <c r="P69" s="5">
        <v>0</v>
      </c>
      <c r="Q69" s="5">
        <v>0</v>
      </c>
      <c r="R69" s="5" t="str">
        <f>A69&amp;"-"&amp;YEAR(F69)&amp;"-"&amp;IF(LEN(MONTH(F69))=1,"0"&amp;MONTH(F69),MONTH(F69))&amp;"-"&amp;IF(LEN(DAY(F69))=1,"0"&amp;DAY(F69),DAY(F69))</f>
        <v>115-2023-10-31</v>
      </c>
    </row>
    <row r="70" spans="1:18" x14ac:dyDescent="0.3">
      <c r="A70" s="5">
        <v>117</v>
      </c>
      <c r="B70" s="5" t="s">
        <v>39</v>
      </c>
      <c r="C70" s="5" t="s">
        <v>90</v>
      </c>
      <c r="D70" s="5" t="s">
        <v>25</v>
      </c>
      <c r="E70" s="5" t="s">
        <v>9</v>
      </c>
      <c r="F70" s="6">
        <v>45230</v>
      </c>
      <c r="G70" s="5">
        <v>2023</v>
      </c>
      <c r="H70" s="5" t="str">
        <f t="shared" si="10"/>
        <v>Octubre</v>
      </c>
      <c r="I70" s="6" t="str">
        <f t="shared" si="11"/>
        <v>2023-2</v>
      </c>
      <c r="J70" s="5">
        <v>80</v>
      </c>
      <c r="K70" s="5">
        <v>90.107415856608498</v>
      </c>
      <c r="L70" s="15">
        <f>IFERROR(IF((K70/J70)&gt;1.3,1.3,K70/J70),"")</f>
        <v>1.1263426982076061</v>
      </c>
      <c r="M70" s="15">
        <f t="shared" si="12"/>
        <v>1.1263426982076061</v>
      </c>
      <c r="N70" s="5" t="s">
        <v>347</v>
      </c>
      <c r="O70" s="5" t="s">
        <v>347</v>
      </c>
      <c r="P70" s="5">
        <v>0</v>
      </c>
      <c r="Q70" s="5">
        <v>0</v>
      </c>
      <c r="R70" s="5" t="str">
        <f>A70&amp;"-"&amp;YEAR(F70)&amp;"-"&amp;IF(LEN(MONTH(F70))=1,"0"&amp;MONTH(F70),MONTH(F70))&amp;"-"&amp;IF(LEN(DAY(F70))=1,"0"&amp;DAY(F70),DAY(F70))</f>
        <v>117-2023-10-31</v>
      </c>
    </row>
    <row r="71" spans="1:18" x14ac:dyDescent="0.3">
      <c r="A71" s="5">
        <v>1</v>
      </c>
      <c r="B71" s="5" t="s">
        <v>330</v>
      </c>
      <c r="C71" s="5" t="s">
        <v>129</v>
      </c>
      <c r="D71" s="5" t="s">
        <v>18</v>
      </c>
      <c r="E71" s="5" t="s">
        <v>9</v>
      </c>
      <c r="F71" s="6">
        <v>45291</v>
      </c>
      <c r="G71" s="16">
        <f t="shared" ref="G71:G109" si="13">YEAR(F71)</f>
        <v>2023</v>
      </c>
      <c r="H71" s="6" t="str">
        <f t="shared" si="10"/>
        <v>Diciembre</v>
      </c>
      <c r="I71" s="6" t="str">
        <f t="shared" si="11"/>
        <v>2023-2</v>
      </c>
      <c r="J71" s="13">
        <v>100</v>
      </c>
      <c r="K71" s="13">
        <v>100</v>
      </c>
      <c r="L71" s="15">
        <f t="shared" ref="L71:L83" si="14">IFERROR(IF((K71/J71)&gt;1,1,K71/J71),"")</f>
        <v>1</v>
      </c>
      <c r="M71" s="15">
        <f t="shared" ref="M71:M83" si="15">IFERROR(IF((K71/J71)&gt;1,1,K71/J71),"")</f>
        <v>1</v>
      </c>
      <c r="N71" s="5" t="s">
        <v>347</v>
      </c>
      <c r="O71" s="5" t="s">
        <v>347</v>
      </c>
      <c r="P71" s="5">
        <v>0</v>
      </c>
      <c r="Q71" s="5">
        <v>0</v>
      </c>
      <c r="R71" s="5" t="str">
        <f>A71&amp;"-"&amp;YEAR(F71)&amp;"-"&amp;IF(LEN(MONTH(F71))=1,"0"&amp;MONTH(F71),MONTH(F71))&amp;"-"&amp;IF(LEN(DAY(F71))=1,"0"&amp;DAY(F71),DAY(F71))</f>
        <v>1-2023-12-31</v>
      </c>
    </row>
    <row r="72" spans="1:18" x14ac:dyDescent="0.3">
      <c r="A72" s="5">
        <v>2</v>
      </c>
      <c r="B72" s="5" t="s">
        <v>331</v>
      </c>
      <c r="C72" s="5" t="s">
        <v>117</v>
      </c>
      <c r="D72" s="5" t="s">
        <v>18</v>
      </c>
      <c r="E72" s="5" t="s">
        <v>9</v>
      </c>
      <c r="F72" s="6">
        <v>45291</v>
      </c>
      <c r="G72" s="16">
        <f t="shared" si="13"/>
        <v>2023</v>
      </c>
      <c r="H72" s="6" t="str">
        <f t="shared" si="10"/>
        <v>Diciembre</v>
      </c>
      <c r="I72" s="6" t="str">
        <f t="shared" si="11"/>
        <v>2023-2</v>
      </c>
      <c r="J72" s="5">
        <v>100</v>
      </c>
      <c r="K72" s="5">
        <v>100</v>
      </c>
      <c r="L72" s="15">
        <f t="shared" si="14"/>
        <v>1</v>
      </c>
      <c r="M72" s="15">
        <f t="shared" si="15"/>
        <v>1</v>
      </c>
      <c r="N72" s="5" t="s">
        <v>347</v>
      </c>
      <c r="O72" s="5" t="s">
        <v>347</v>
      </c>
      <c r="P72" s="5">
        <v>0</v>
      </c>
      <c r="Q72" s="5">
        <v>0</v>
      </c>
      <c r="R72" s="5" t="str">
        <f>A72&amp;"-"&amp;YEAR(F72)&amp;"-"&amp;IF(LEN(MONTH(F72))=1,"0"&amp;MONTH(F72),MONTH(F72))&amp;"-"&amp;IF(LEN(DAY(F72))=1,"0"&amp;DAY(F72),DAY(F72))</f>
        <v>2-2023-12-31</v>
      </c>
    </row>
    <row r="73" spans="1:18" x14ac:dyDescent="0.3">
      <c r="A73" s="5">
        <v>3</v>
      </c>
      <c r="B73" s="5" t="s">
        <v>332</v>
      </c>
      <c r="C73" s="5" t="s">
        <v>45</v>
      </c>
      <c r="D73" s="5" t="s">
        <v>18</v>
      </c>
      <c r="E73" s="5" t="s">
        <v>9</v>
      </c>
      <c r="F73" s="6">
        <v>45291</v>
      </c>
      <c r="G73" s="16">
        <f t="shared" si="13"/>
        <v>2023</v>
      </c>
      <c r="H73" s="6" t="str">
        <f t="shared" si="10"/>
        <v>Diciembre</v>
      </c>
      <c r="I73" s="6" t="str">
        <f t="shared" si="11"/>
        <v>2023-2</v>
      </c>
      <c r="J73" s="13">
        <v>100</v>
      </c>
      <c r="K73" s="13">
        <v>100</v>
      </c>
      <c r="L73" s="15">
        <f t="shared" si="14"/>
        <v>1</v>
      </c>
      <c r="M73" s="15">
        <f t="shared" si="15"/>
        <v>1</v>
      </c>
      <c r="N73" s="5" t="s">
        <v>347</v>
      </c>
      <c r="O73" s="5" t="s">
        <v>347</v>
      </c>
      <c r="P73" s="5">
        <v>0</v>
      </c>
      <c r="Q73" s="5">
        <v>0</v>
      </c>
      <c r="R73" s="5" t="str">
        <f>A73&amp;"-"&amp;YEAR(F73)&amp;"-"&amp;IF(LEN(MONTH(F73))=1,"0"&amp;MONTH(F73),MONTH(F73))&amp;"-"&amp;IF(LEN(DAY(F73))=1,"0"&amp;DAY(F73),DAY(F73))</f>
        <v>3-2023-12-31</v>
      </c>
    </row>
    <row r="74" spans="1:18" x14ac:dyDescent="0.3">
      <c r="A74" s="5">
        <v>4</v>
      </c>
      <c r="B74" s="5" t="s">
        <v>333</v>
      </c>
      <c r="C74" s="5" t="s">
        <v>342</v>
      </c>
      <c r="D74" s="5" t="s">
        <v>18</v>
      </c>
      <c r="E74" s="5" t="s">
        <v>9</v>
      </c>
      <c r="F74" s="6">
        <v>45291</v>
      </c>
      <c r="G74" s="16">
        <f t="shared" si="13"/>
        <v>2023</v>
      </c>
      <c r="H74" s="6" t="str">
        <f t="shared" si="10"/>
        <v>Diciembre</v>
      </c>
      <c r="I74" s="6" t="str">
        <f t="shared" si="11"/>
        <v>2023-2</v>
      </c>
      <c r="J74" s="13">
        <v>100</v>
      </c>
      <c r="K74" s="13">
        <v>100</v>
      </c>
      <c r="L74" s="15">
        <f t="shared" si="14"/>
        <v>1</v>
      </c>
      <c r="M74" s="15">
        <f t="shared" si="15"/>
        <v>1</v>
      </c>
      <c r="N74" s="5" t="s">
        <v>347</v>
      </c>
      <c r="O74" s="5" t="s">
        <v>347</v>
      </c>
      <c r="P74" s="5">
        <v>0</v>
      </c>
      <c r="Q74" s="5">
        <v>0</v>
      </c>
      <c r="R74" s="5" t="str">
        <f>A74&amp;"-"&amp;YEAR(F74)&amp;"-"&amp;IF(LEN(MONTH(F74))=1,"0"&amp;MONTH(F74),MONTH(F74))&amp;"-"&amp;IF(LEN(DAY(F74))=1,"0"&amp;DAY(F74),DAY(F74))</f>
        <v>4-2023-12-31</v>
      </c>
    </row>
    <row r="75" spans="1:18" x14ac:dyDescent="0.3">
      <c r="A75" s="5">
        <v>5</v>
      </c>
      <c r="B75" s="5" t="s">
        <v>334</v>
      </c>
      <c r="C75" s="5" t="s">
        <v>248</v>
      </c>
      <c r="D75" s="5" t="s">
        <v>18</v>
      </c>
      <c r="E75" s="5" t="s">
        <v>9</v>
      </c>
      <c r="F75" s="6">
        <v>45291</v>
      </c>
      <c r="G75" s="16">
        <f t="shared" si="13"/>
        <v>2023</v>
      </c>
      <c r="H75" s="6" t="str">
        <f t="shared" si="10"/>
        <v>Diciembre</v>
      </c>
      <c r="I75" s="6" t="str">
        <f t="shared" si="11"/>
        <v>2023-2</v>
      </c>
      <c r="J75" s="13">
        <v>78</v>
      </c>
      <c r="K75" s="13">
        <v>74</v>
      </c>
      <c r="L75" s="15">
        <f t="shared" si="14"/>
        <v>0.94871794871794868</v>
      </c>
      <c r="M75" s="15">
        <f t="shared" si="15"/>
        <v>0.94871794871794868</v>
      </c>
      <c r="N75" s="5" t="s">
        <v>347</v>
      </c>
      <c r="O75" s="5" t="s">
        <v>347</v>
      </c>
      <c r="P75" s="5">
        <v>0</v>
      </c>
      <c r="Q75" s="5">
        <v>0</v>
      </c>
      <c r="R75" s="5" t="str">
        <f>A75&amp;"-"&amp;YEAR(F75)&amp;"-"&amp;IF(LEN(MONTH(F75))=1,"0"&amp;MONTH(F75),MONTH(F75))&amp;"-"&amp;IF(LEN(DAY(F75))=1,"0"&amp;DAY(F75),DAY(F75))</f>
        <v>5-2023-12-31</v>
      </c>
    </row>
    <row r="76" spans="1:18" x14ac:dyDescent="0.3">
      <c r="A76" s="5">
        <v>6</v>
      </c>
      <c r="B76" s="5" t="s">
        <v>335</v>
      </c>
      <c r="C76" s="5" t="s">
        <v>343</v>
      </c>
      <c r="D76" s="5" t="s">
        <v>18</v>
      </c>
      <c r="E76" s="5" t="s">
        <v>9</v>
      </c>
      <c r="F76" s="6">
        <v>45291</v>
      </c>
      <c r="G76" s="16">
        <f t="shared" si="13"/>
        <v>2023</v>
      </c>
      <c r="H76" s="6" t="str">
        <f t="shared" si="10"/>
        <v>Diciembre</v>
      </c>
      <c r="I76" s="6" t="str">
        <f t="shared" si="11"/>
        <v>2023-2</v>
      </c>
      <c r="J76" s="13">
        <v>98</v>
      </c>
      <c r="K76" s="13">
        <v>95</v>
      </c>
      <c r="L76" s="15">
        <f t="shared" si="14"/>
        <v>0.96938775510204078</v>
      </c>
      <c r="M76" s="15">
        <f t="shared" si="15"/>
        <v>0.96938775510204078</v>
      </c>
      <c r="N76" s="5" t="s">
        <v>347</v>
      </c>
      <c r="O76" s="5" t="s">
        <v>347</v>
      </c>
      <c r="P76" s="5">
        <v>0</v>
      </c>
      <c r="Q76" s="5">
        <v>0</v>
      </c>
      <c r="R76" s="5" t="str">
        <f>A76&amp;"-"&amp;YEAR(F76)&amp;"-"&amp;IF(LEN(MONTH(F76))=1,"0"&amp;MONTH(F76),MONTH(F76))&amp;"-"&amp;IF(LEN(DAY(F76))=1,"0"&amp;DAY(F76),DAY(F76))</f>
        <v>6-2023-12-31</v>
      </c>
    </row>
    <row r="77" spans="1:18" x14ac:dyDescent="0.3">
      <c r="A77" s="5">
        <v>7</v>
      </c>
      <c r="B77" s="5" t="s">
        <v>336</v>
      </c>
      <c r="C77" s="5" t="s">
        <v>343</v>
      </c>
      <c r="D77" s="5" t="s">
        <v>18</v>
      </c>
      <c r="E77" s="5" t="s">
        <v>9</v>
      </c>
      <c r="F77" s="6">
        <v>45291</v>
      </c>
      <c r="G77" s="16">
        <f t="shared" si="13"/>
        <v>2023</v>
      </c>
      <c r="H77" s="6" t="str">
        <f t="shared" si="10"/>
        <v>Diciembre</v>
      </c>
      <c r="I77" s="6" t="str">
        <f t="shared" si="11"/>
        <v>2023-2</v>
      </c>
      <c r="J77" s="13">
        <v>98</v>
      </c>
      <c r="K77" s="13">
        <v>84</v>
      </c>
      <c r="L77" s="15">
        <f t="shared" si="14"/>
        <v>0.8571428571428571</v>
      </c>
      <c r="M77" s="15">
        <f t="shared" si="15"/>
        <v>0.8571428571428571</v>
      </c>
      <c r="N77" s="5" t="s">
        <v>347</v>
      </c>
      <c r="O77" s="5" t="s">
        <v>347</v>
      </c>
      <c r="P77" s="5">
        <v>0</v>
      </c>
      <c r="Q77" s="5">
        <v>0</v>
      </c>
      <c r="R77" s="5" t="str">
        <f>A77&amp;"-"&amp;YEAR(F77)&amp;"-"&amp;IF(LEN(MONTH(F77))=1,"0"&amp;MONTH(F77),MONTH(F77))&amp;"-"&amp;IF(LEN(DAY(F77))=1,"0"&amp;DAY(F77),DAY(F77))</f>
        <v>7-2023-12-31</v>
      </c>
    </row>
    <row r="78" spans="1:18" x14ac:dyDescent="0.3">
      <c r="A78" s="5">
        <v>8</v>
      </c>
      <c r="B78" s="5" t="s">
        <v>337</v>
      </c>
      <c r="C78" s="5" t="s">
        <v>129</v>
      </c>
      <c r="D78" s="5" t="s">
        <v>18</v>
      </c>
      <c r="E78" s="5" t="s">
        <v>9</v>
      </c>
      <c r="F78" s="6">
        <v>45291</v>
      </c>
      <c r="G78" s="16">
        <f t="shared" si="13"/>
        <v>2023</v>
      </c>
      <c r="H78" s="6" t="str">
        <f t="shared" si="10"/>
        <v>Diciembre</v>
      </c>
      <c r="I78" s="6" t="str">
        <f t="shared" si="11"/>
        <v>2023-2</v>
      </c>
      <c r="J78" s="13">
        <v>100</v>
      </c>
      <c r="K78" s="13">
        <v>100</v>
      </c>
      <c r="L78" s="15">
        <f t="shared" si="14"/>
        <v>1</v>
      </c>
      <c r="M78" s="15">
        <f t="shared" si="15"/>
        <v>1</v>
      </c>
      <c r="N78" s="5" t="s">
        <v>347</v>
      </c>
      <c r="O78" s="5" t="s">
        <v>347</v>
      </c>
      <c r="P78" s="5">
        <v>0</v>
      </c>
      <c r="Q78" s="5">
        <v>0</v>
      </c>
      <c r="R78" s="5" t="str">
        <f>A78&amp;"-"&amp;YEAR(F78)&amp;"-"&amp;IF(LEN(MONTH(F78))=1,"0"&amp;MONTH(F78),MONTH(F78))&amp;"-"&amp;IF(LEN(DAY(F78))=1,"0"&amp;DAY(F78),DAY(F78))</f>
        <v>8-2023-12-31</v>
      </c>
    </row>
    <row r="79" spans="1:18" x14ac:dyDescent="0.3">
      <c r="A79" s="5">
        <v>9</v>
      </c>
      <c r="B79" s="5" t="s">
        <v>829</v>
      </c>
      <c r="C79" s="5" t="s">
        <v>343</v>
      </c>
      <c r="D79" s="5" t="s">
        <v>18</v>
      </c>
      <c r="E79" s="5" t="s">
        <v>9</v>
      </c>
      <c r="F79" s="6">
        <v>45291</v>
      </c>
      <c r="G79" s="16">
        <f t="shared" si="13"/>
        <v>2023</v>
      </c>
      <c r="H79" s="6" t="str">
        <f t="shared" si="10"/>
        <v>Diciembre</v>
      </c>
      <c r="I79" s="6" t="str">
        <f t="shared" si="11"/>
        <v>2023-2</v>
      </c>
      <c r="J79" s="13">
        <v>98</v>
      </c>
      <c r="K79" s="13">
        <v>95</v>
      </c>
      <c r="L79" s="15">
        <f t="shared" si="14"/>
        <v>0.96938775510204078</v>
      </c>
      <c r="M79" s="15">
        <f t="shared" si="15"/>
        <v>0.96938775510204078</v>
      </c>
      <c r="N79" s="5" t="s">
        <v>347</v>
      </c>
      <c r="O79" s="5" t="s">
        <v>347</v>
      </c>
      <c r="P79" s="5">
        <v>0</v>
      </c>
      <c r="Q79" s="5">
        <v>0</v>
      </c>
      <c r="R79" s="5" t="str">
        <f>A79&amp;"-"&amp;YEAR(F79)&amp;"-"&amp;IF(LEN(MONTH(F79))=1,"0"&amp;MONTH(F79),MONTH(F79))&amp;"-"&amp;IF(LEN(DAY(F79))=1,"0"&amp;DAY(F79),DAY(F79))</f>
        <v>9-2023-12-31</v>
      </c>
    </row>
    <row r="80" spans="1:18" x14ac:dyDescent="0.3">
      <c r="A80" s="5">
        <v>10</v>
      </c>
      <c r="B80" s="5" t="s">
        <v>339</v>
      </c>
      <c r="C80" s="5" t="s">
        <v>209</v>
      </c>
      <c r="D80" s="5" t="s">
        <v>18</v>
      </c>
      <c r="E80" s="5" t="s">
        <v>9</v>
      </c>
      <c r="F80" s="6">
        <v>45291</v>
      </c>
      <c r="G80" s="16">
        <f t="shared" si="13"/>
        <v>2023</v>
      </c>
      <c r="H80" s="6" t="str">
        <f t="shared" si="10"/>
        <v>Diciembre</v>
      </c>
      <c r="I80" s="6" t="str">
        <f t="shared" si="11"/>
        <v>2023-2</v>
      </c>
      <c r="J80" s="13">
        <v>47</v>
      </c>
      <c r="K80" s="13">
        <v>47</v>
      </c>
      <c r="L80" s="15">
        <f t="shared" si="14"/>
        <v>1</v>
      </c>
      <c r="M80" s="15">
        <f t="shared" si="15"/>
        <v>1</v>
      </c>
      <c r="N80" s="5" t="s">
        <v>347</v>
      </c>
      <c r="O80" s="5" t="s">
        <v>347</v>
      </c>
      <c r="P80" s="5">
        <v>0</v>
      </c>
      <c r="Q80" s="5">
        <v>0</v>
      </c>
      <c r="R80" s="5" t="str">
        <f>A80&amp;"-"&amp;YEAR(F80)&amp;"-"&amp;IF(LEN(MONTH(F80))=1,"0"&amp;MONTH(F80),MONTH(F80))&amp;"-"&amp;IF(LEN(DAY(F80))=1,"0"&amp;DAY(F80),DAY(F80))</f>
        <v>10-2023-12-31</v>
      </c>
    </row>
    <row r="81" spans="1:18" x14ac:dyDescent="0.3">
      <c r="A81" s="5">
        <v>11</v>
      </c>
      <c r="B81" s="23" t="s">
        <v>838</v>
      </c>
      <c r="C81" s="5" t="s">
        <v>145</v>
      </c>
      <c r="D81" s="5" t="s">
        <v>18</v>
      </c>
      <c r="E81" s="5" t="s">
        <v>9</v>
      </c>
      <c r="F81" s="6">
        <v>45291</v>
      </c>
      <c r="G81" s="16">
        <f t="shared" si="13"/>
        <v>2023</v>
      </c>
      <c r="H81" s="6" t="str">
        <f t="shared" si="10"/>
        <v>Diciembre</v>
      </c>
      <c r="I81" s="6" t="str">
        <f t="shared" si="11"/>
        <v>2023-2</v>
      </c>
      <c r="J81" s="13">
        <v>81</v>
      </c>
      <c r="K81" s="13">
        <v>67</v>
      </c>
      <c r="L81" s="15">
        <f t="shared" si="14"/>
        <v>0.8271604938271605</v>
      </c>
      <c r="M81" s="15">
        <f t="shared" si="15"/>
        <v>0.8271604938271605</v>
      </c>
      <c r="N81" s="5" t="s">
        <v>347</v>
      </c>
      <c r="O81" s="5" t="s">
        <v>347</v>
      </c>
      <c r="P81" s="5">
        <v>0</v>
      </c>
      <c r="Q81" s="5">
        <v>0</v>
      </c>
      <c r="R81" s="5" t="str">
        <f>A81&amp;"-"&amp;YEAR(F81)&amp;"-"&amp;IF(LEN(MONTH(F81))=1,"0"&amp;MONTH(F81),MONTH(F81))&amp;"-"&amp;IF(LEN(DAY(F81))=1,"0"&amp;DAY(F81),DAY(F81))</f>
        <v>11-2023-12-31</v>
      </c>
    </row>
    <row r="82" spans="1:18" x14ac:dyDescent="0.3">
      <c r="A82" s="5">
        <v>12</v>
      </c>
      <c r="B82" s="23" t="s">
        <v>837</v>
      </c>
      <c r="C82" s="5" t="s">
        <v>145</v>
      </c>
      <c r="D82" s="5" t="s">
        <v>18</v>
      </c>
      <c r="E82" s="5" t="s">
        <v>9</v>
      </c>
      <c r="F82" s="6">
        <v>45291</v>
      </c>
      <c r="G82" s="16">
        <f t="shared" si="13"/>
        <v>2023</v>
      </c>
      <c r="H82" s="6" t="str">
        <f t="shared" si="10"/>
        <v>Diciembre</v>
      </c>
      <c r="I82" s="6" t="str">
        <f t="shared" si="11"/>
        <v>2023-2</v>
      </c>
      <c r="J82" s="5">
        <v>65</v>
      </c>
      <c r="K82" s="5">
        <v>51</v>
      </c>
      <c r="L82" s="15">
        <f t="shared" si="14"/>
        <v>0.7846153846153846</v>
      </c>
      <c r="M82" s="15">
        <f t="shared" si="15"/>
        <v>0.7846153846153846</v>
      </c>
      <c r="N82" s="5" t="s">
        <v>347</v>
      </c>
      <c r="O82" s="5" t="s">
        <v>347</v>
      </c>
      <c r="P82" s="5">
        <v>0</v>
      </c>
      <c r="Q82" s="5">
        <v>0</v>
      </c>
      <c r="R82" s="5" t="str">
        <f>A82&amp;"-"&amp;YEAR(F82)&amp;"-"&amp;IF(LEN(MONTH(F82))=1,"0"&amp;MONTH(F82),MONTH(F82))&amp;"-"&amp;IF(LEN(DAY(F82))=1,"0"&amp;DAY(F82),DAY(F82))</f>
        <v>12-2023-12-31</v>
      </c>
    </row>
    <row r="83" spans="1:18" x14ac:dyDescent="0.3">
      <c r="A83" s="5">
        <v>13</v>
      </c>
      <c r="B83" s="5" t="s">
        <v>340</v>
      </c>
      <c r="C83" s="5" t="s">
        <v>344</v>
      </c>
      <c r="D83" s="5" t="s">
        <v>18</v>
      </c>
      <c r="E83" s="5" t="s">
        <v>9</v>
      </c>
      <c r="F83" s="6">
        <v>45291</v>
      </c>
      <c r="G83" s="16">
        <f t="shared" si="13"/>
        <v>2023</v>
      </c>
      <c r="H83" s="6" t="str">
        <f t="shared" si="10"/>
        <v>Diciembre</v>
      </c>
      <c r="I83" s="6" t="str">
        <f t="shared" si="11"/>
        <v>2023-2</v>
      </c>
      <c r="J83" s="5">
        <v>100</v>
      </c>
      <c r="K83" s="5">
        <v>99</v>
      </c>
      <c r="L83" s="15">
        <f t="shared" si="14"/>
        <v>0.99</v>
      </c>
      <c r="M83" s="15">
        <f t="shared" si="15"/>
        <v>0.99</v>
      </c>
      <c r="N83" s="5" t="s">
        <v>347</v>
      </c>
      <c r="O83" s="5" t="s">
        <v>347</v>
      </c>
      <c r="P83" s="5">
        <v>0</v>
      </c>
      <c r="Q83" s="5">
        <v>0</v>
      </c>
      <c r="R83" s="5" t="str">
        <f>A83&amp;"-"&amp;YEAR(F83)&amp;"-"&amp;IF(LEN(MONTH(F83))=1,"0"&amp;MONTH(F83),MONTH(F83))&amp;"-"&amp;IF(LEN(DAY(F83))=1,"0"&amp;DAY(F83),DAY(F83))</f>
        <v>13-2023-12-31</v>
      </c>
    </row>
    <row r="84" spans="1:18" x14ac:dyDescent="0.3">
      <c r="A84" s="5">
        <v>14</v>
      </c>
      <c r="B84" s="5" t="s">
        <v>341</v>
      </c>
      <c r="C84" s="5" t="s">
        <v>124</v>
      </c>
      <c r="D84" s="5" t="s">
        <v>8</v>
      </c>
      <c r="E84" s="5" t="s">
        <v>9</v>
      </c>
      <c r="F84" s="6">
        <v>45291</v>
      </c>
      <c r="G84" s="16">
        <f t="shared" si="13"/>
        <v>2023</v>
      </c>
      <c r="H84" s="6" t="str">
        <f t="shared" si="10"/>
        <v>Diciembre</v>
      </c>
      <c r="I84" s="6" t="str">
        <f t="shared" si="11"/>
        <v>2023-2</v>
      </c>
      <c r="J84" s="9">
        <v>51687</v>
      </c>
      <c r="K84" s="9">
        <v>51375</v>
      </c>
      <c r="L84" s="15">
        <f>IFERROR(IF((K84/J84)&gt;1.3,1.3,K84/J84),"")</f>
        <v>0.99396366591212493</v>
      </c>
      <c r="M84" s="15">
        <f>IFERROR(K84/J84,"")</f>
        <v>0.99396366591212493</v>
      </c>
      <c r="N84" s="5" t="s">
        <v>490</v>
      </c>
      <c r="O84" s="5" t="s">
        <v>490</v>
      </c>
      <c r="P84" s="5">
        <v>0</v>
      </c>
      <c r="Q84" s="5">
        <v>0</v>
      </c>
      <c r="R84" s="5" t="str">
        <f>A84&amp;"-"&amp;YEAR(F84)&amp;"-"&amp;IF(LEN(MONTH(F84))=1,"0"&amp;MONTH(F84),MONTH(F84))&amp;"-"&amp;IF(LEN(DAY(F84))=1,"0"&amp;DAY(F84),DAY(F84))</f>
        <v>14-2023-12-31</v>
      </c>
    </row>
    <row r="85" spans="1:18" x14ac:dyDescent="0.3">
      <c r="A85" s="5">
        <v>68</v>
      </c>
      <c r="B85" s="5" t="s">
        <v>6</v>
      </c>
      <c r="C85" s="5" t="s">
        <v>7</v>
      </c>
      <c r="D85" s="5" t="s">
        <v>8</v>
      </c>
      <c r="E85" s="5" t="s">
        <v>9</v>
      </c>
      <c r="F85" s="6">
        <v>45291</v>
      </c>
      <c r="G85" s="5">
        <f t="shared" si="13"/>
        <v>2023</v>
      </c>
      <c r="H85" s="5" t="str">
        <f t="shared" si="10"/>
        <v>Diciembre</v>
      </c>
      <c r="I85" s="6" t="str">
        <f t="shared" si="11"/>
        <v>2023-2</v>
      </c>
      <c r="J85" s="5">
        <v>80</v>
      </c>
      <c r="K85" s="5">
        <v>88.25</v>
      </c>
      <c r="L85" s="15">
        <f>IFERROR(IF((K85/J85)&gt;1.3,1.3,K85/J85),"")</f>
        <v>1.1031249999999999</v>
      </c>
      <c r="M85" s="15">
        <f>IFERROR(K85/J85,"")</f>
        <v>1.1031249999999999</v>
      </c>
      <c r="N85" s="5" t="s">
        <v>347</v>
      </c>
      <c r="O85" s="5" t="s">
        <v>347</v>
      </c>
      <c r="P85" s="5">
        <v>0</v>
      </c>
      <c r="Q85" s="5">
        <v>1</v>
      </c>
      <c r="R85" s="5" t="str">
        <f>A85&amp;"-"&amp;YEAR(F85)&amp;"-"&amp;IF(LEN(MONTH(F85))=1,"0"&amp;MONTH(F85),MONTH(F85))&amp;"-"&amp;IF(LEN(DAY(F85))=1,"0"&amp;DAY(F85),DAY(F85))</f>
        <v>68-2023-12-31</v>
      </c>
    </row>
    <row r="86" spans="1:18" x14ac:dyDescent="0.3">
      <c r="A86" s="5">
        <v>69</v>
      </c>
      <c r="B86" s="5" t="s">
        <v>10</v>
      </c>
      <c r="C86" s="5" t="s">
        <v>7</v>
      </c>
      <c r="D86" s="5" t="s">
        <v>11</v>
      </c>
      <c r="E86" s="5" t="s">
        <v>9</v>
      </c>
      <c r="F86" s="6">
        <v>45291</v>
      </c>
      <c r="G86" s="5">
        <f t="shared" si="13"/>
        <v>2023</v>
      </c>
      <c r="H86" s="5" t="str">
        <f t="shared" si="10"/>
        <v>Diciembre</v>
      </c>
      <c r="I86" s="6" t="str">
        <f t="shared" si="11"/>
        <v>2023-2</v>
      </c>
      <c r="J86" s="5">
        <v>90</v>
      </c>
      <c r="K86" s="5">
        <v>91.654863403455252</v>
      </c>
      <c r="L86" s="15">
        <f>IFERROR(IF((K86/J86)&gt;1.3,1.3,K86/J86),"")</f>
        <v>1.0183873711495028</v>
      </c>
      <c r="M86" s="15">
        <f>IFERROR(K86/J86,"")</f>
        <v>1.0183873711495028</v>
      </c>
      <c r="N86" s="5" t="s">
        <v>347</v>
      </c>
      <c r="O86" s="5" t="s">
        <v>347</v>
      </c>
      <c r="P86" s="5">
        <v>0</v>
      </c>
      <c r="Q86" s="5">
        <v>1</v>
      </c>
      <c r="R86" s="5" t="str">
        <f>A86&amp;"-"&amp;YEAR(F86)&amp;"-"&amp;IF(LEN(MONTH(F86))=1,"0"&amp;MONTH(F86),MONTH(F86))&amp;"-"&amp;IF(LEN(DAY(F86))=1,"0"&amp;DAY(F86),DAY(F86))</f>
        <v>69-2023-12-31</v>
      </c>
    </row>
    <row r="87" spans="1:18" x14ac:dyDescent="0.3">
      <c r="A87" s="5">
        <v>73</v>
      </c>
      <c r="B87" s="5" t="s">
        <v>12</v>
      </c>
      <c r="C87" s="5" t="s">
        <v>13</v>
      </c>
      <c r="D87" s="5" t="s">
        <v>8</v>
      </c>
      <c r="E87" s="5" t="s">
        <v>14</v>
      </c>
      <c r="F87" s="6">
        <v>45291</v>
      </c>
      <c r="G87" s="5">
        <f t="shared" si="13"/>
        <v>2023</v>
      </c>
      <c r="H87" s="5" t="str">
        <f t="shared" si="10"/>
        <v>Diciembre</v>
      </c>
      <c r="I87" s="6" t="str">
        <f t="shared" si="11"/>
        <v>2023-2</v>
      </c>
      <c r="J87" s="5">
        <v>20</v>
      </c>
      <c r="K87" s="5">
        <v>18</v>
      </c>
      <c r="L87" s="15">
        <f>IFERROR(IF((J87/K87)&gt;1.3,1.3,J87/K87),"")</f>
        <v>1.1111111111111112</v>
      </c>
      <c r="M87" s="15">
        <f>IFERROR(IF((J87/K87)&gt;J87/K87,1.3,J87/K87),"")</f>
        <v>1.1111111111111112</v>
      </c>
      <c r="N87" s="5" t="s">
        <v>479</v>
      </c>
      <c r="O87" s="5" t="s">
        <v>479</v>
      </c>
      <c r="P87" s="5">
        <v>0</v>
      </c>
      <c r="Q87" s="5">
        <v>0</v>
      </c>
      <c r="R87" s="5" t="str">
        <f>A87&amp;"-"&amp;YEAR(F87)&amp;"-"&amp;IF(LEN(MONTH(F87))=1,"0"&amp;MONTH(F87),MONTH(F87))&amp;"-"&amp;IF(LEN(DAY(F87))=1,"0"&amp;DAY(F87),DAY(F87))</f>
        <v>73-2023-12-31</v>
      </c>
    </row>
    <row r="88" spans="1:18" x14ac:dyDescent="0.3">
      <c r="A88" s="5">
        <v>74</v>
      </c>
      <c r="B88" s="5" t="s">
        <v>15</v>
      </c>
      <c r="C88" s="5" t="s">
        <v>13</v>
      </c>
      <c r="D88" s="5" t="s">
        <v>8</v>
      </c>
      <c r="E88" s="5" t="s">
        <v>9</v>
      </c>
      <c r="F88" s="6">
        <v>45291</v>
      </c>
      <c r="G88" s="5">
        <f t="shared" si="13"/>
        <v>2023</v>
      </c>
      <c r="H88" s="5" t="str">
        <f t="shared" si="10"/>
        <v>Diciembre</v>
      </c>
      <c r="I88" s="6" t="str">
        <f t="shared" si="11"/>
        <v>2023-2</v>
      </c>
      <c r="J88" s="5">
        <v>80</v>
      </c>
      <c r="K88" s="5">
        <v>90.91</v>
      </c>
      <c r="L88" s="15">
        <f>IFERROR(IF((K88/J88)&gt;1.3,1.3,K88/J88),"")</f>
        <v>1.1363749999999999</v>
      </c>
      <c r="M88" s="15">
        <f t="shared" ref="M88:M106" si="16">IFERROR(K88/J88,"")</f>
        <v>1.1363749999999999</v>
      </c>
      <c r="N88" s="5" t="s">
        <v>347</v>
      </c>
      <c r="O88" s="5" t="s">
        <v>347</v>
      </c>
      <c r="P88" s="5">
        <v>0</v>
      </c>
      <c r="Q88" s="5">
        <v>0</v>
      </c>
      <c r="R88" s="5" t="str">
        <f>A88&amp;"-"&amp;YEAR(F88)&amp;"-"&amp;IF(LEN(MONTH(F88))=1,"0"&amp;MONTH(F88),MONTH(F88))&amp;"-"&amp;IF(LEN(DAY(F88))=1,"0"&amp;DAY(F88),DAY(F88))</f>
        <v>74-2023-12-31</v>
      </c>
    </row>
    <row r="89" spans="1:18" x14ac:dyDescent="0.3">
      <c r="A89" s="5">
        <v>77</v>
      </c>
      <c r="B89" s="5" t="s">
        <v>16</v>
      </c>
      <c r="C89" s="5" t="s">
        <v>17</v>
      </c>
      <c r="D89" s="5" t="s">
        <v>18</v>
      </c>
      <c r="E89" s="5" t="s">
        <v>9</v>
      </c>
      <c r="F89" s="6">
        <v>45291</v>
      </c>
      <c r="G89" s="16">
        <f t="shared" si="13"/>
        <v>2023</v>
      </c>
      <c r="H89" s="6" t="str">
        <f t="shared" si="10"/>
        <v>Diciembre</v>
      </c>
      <c r="I89" s="6" t="str">
        <f t="shared" si="11"/>
        <v>2023-2</v>
      </c>
      <c r="J89" s="5">
        <v>97</v>
      </c>
      <c r="K89" s="5">
        <v>97.633333333333326</v>
      </c>
      <c r="L89" s="15">
        <f>IFERROR(IF((K89/J89)&gt;1.3,1.3,K89/J89),"")</f>
        <v>1.0065292096219931</v>
      </c>
      <c r="M89" s="15">
        <f t="shared" si="16"/>
        <v>1.0065292096219931</v>
      </c>
      <c r="N89" s="5" t="s">
        <v>347</v>
      </c>
      <c r="O89" s="5" t="s">
        <v>347</v>
      </c>
      <c r="P89" s="5">
        <v>0</v>
      </c>
      <c r="Q89" s="5">
        <v>1</v>
      </c>
      <c r="R89" s="5" t="str">
        <f>A89&amp;"-"&amp;YEAR(F89)&amp;"-"&amp;IF(LEN(MONTH(F89))=1,"0"&amp;MONTH(F89),MONTH(F89))&amp;"-"&amp;IF(LEN(DAY(F89))=1,"0"&amp;DAY(F89),DAY(F89))</f>
        <v>77-2023-12-31</v>
      </c>
    </row>
    <row r="90" spans="1:18" x14ac:dyDescent="0.3">
      <c r="A90" s="5">
        <v>78</v>
      </c>
      <c r="B90" s="5" t="s">
        <v>19</v>
      </c>
      <c r="C90" s="5" t="s">
        <v>20</v>
      </c>
      <c r="D90" s="5" t="s">
        <v>21</v>
      </c>
      <c r="E90" s="5" t="s">
        <v>9</v>
      </c>
      <c r="F90" s="6">
        <v>45291</v>
      </c>
      <c r="G90" s="5">
        <f t="shared" si="13"/>
        <v>2023</v>
      </c>
      <c r="H90" s="5" t="str">
        <f t="shared" si="10"/>
        <v>Diciembre</v>
      </c>
      <c r="I90" s="6" t="str">
        <f t="shared" si="11"/>
        <v>2023-2</v>
      </c>
      <c r="J90" s="5">
        <v>100</v>
      </c>
      <c r="K90" s="5">
        <v>122</v>
      </c>
      <c r="L90" s="15">
        <f>IFERROR(IF((K90/J90)&gt;1,1,K90/J90),"")</f>
        <v>1</v>
      </c>
      <c r="M90" s="15">
        <f t="shared" si="16"/>
        <v>1.22</v>
      </c>
      <c r="N90" s="5" t="s">
        <v>347</v>
      </c>
      <c r="O90" s="5" t="s">
        <v>347</v>
      </c>
      <c r="P90" s="5">
        <v>0</v>
      </c>
      <c r="Q90" s="5">
        <v>0</v>
      </c>
      <c r="R90" s="5" t="str">
        <f>A90&amp;"-"&amp;YEAR(F90)&amp;"-"&amp;IF(LEN(MONTH(F90))=1,"0"&amp;MONTH(F90),MONTH(F90))&amp;"-"&amp;IF(LEN(DAY(F90))=1,"0"&amp;DAY(F90),DAY(F90))</f>
        <v>78-2023-12-31</v>
      </c>
    </row>
    <row r="91" spans="1:18" x14ac:dyDescent="0.3">
      <c r="A91" s="5">
        <v>79</v>
      </c>
      <c r="B91" s="5" t="s">
        <v>22</v>
      </c>
      <c r="C91" s="5" t="s">
        <v>20</v>
      </c>
      <c r="D91" s="5" t="s">
        <v>21</v>
      </c>
      <c r="E91" s="5" t="s">
        <v>9</v>
      </c>
      <c r="F91" s="6">
        <v>45291</v>
      </c>
      <c r="G91" s="5">
        <f t="shared" si="13"/>
        <v>2023</v>
      </c>
      <c r="H91" s="5" t="str">
        <f t="shared" si="10"/>
        <v>Diciembre</v>
      </c>
      <c r="I91" s="6" t="str">
        <f t="shared" si="11"/>
        <v>2023-2</v>
      </c>
      <c r="J91" s="5">
        <v>85</v>
      </c>
      <c r="K91" s="5">
        <v>98.862499999999997</v>
      </c>
      <c r="L91" s="15">
        <f t="shared" ref="L91:L102" si="17">IFERROR(IF((K91/J91)&gt;1.3,1.3,K91/J91),"")</f>
        <v>1.1630882352941176</v>
      </c>
      <c r="M91" s="15">
        <f t="shared" si="16"/>
        <v>1.1630882352941176</v>
      </c>
      <c r="N91" s="5" t="s">
        <v>347</v>
      </c>
      <c r="O91" s="5" t="s">
        <v>347</v>
      </c>
      <c r="P91" s="5">
        <v>0</v>
      </c>
      <c r="Q91" s="5">
        <v>0</v>
      </c>
      <c r="R91" s="5" t="str">
        <f>A91&amp;"-"&amp;YEAR(F91)&amp;"-"&amp;IF(LEN(MONTH(F91))=1,"0"&amp;MONTH(F91),MONTH(F91))&amp;"-"&amp;IF(LEN(DAY(F91))=1,"0"&amp;DAY(F91),DAY(F91))</f>
        <v>79-2023-12-31</v>
      </c>
    </row>
    <row r="92" spans="1:18" x14ac:dyDescent="0.3">
      <c r="A92" s="5">
        <v>84</v>
      </c>
      <c r="B92" s="5" t="s">
        <v>23</v>
      </c>
      <c r="C92" s="5" t="s">
        <v>24</v>
      </c>
      <c r="D92" s="5" t="s">
        <v>25</v>
      </c>
      <c r="E92" s="5" t="s">
        <v>9</v>
      </c>
      <c r="F92" s="6">
        <v>45291</v>
      </c>
      <c r="G92" s="5">
        <f t="shared" si="13"/>
        <v>2023</v>
      </c>
      <c r="H92" s="5" t="str">
        <f t="shared" si="10"/>
        <v>Diciembre</v>
      </c>
      <c r="I92" s="6" t="str">
        <f t="shared" si="11"/>
        <v>2023-2</v>
      </c>
      <c r="J92" s="5">
        <v>100</v>
      </c>
      <c r="K92" s="5">
        <v>100</v>
      </c>
      <c r="L92" s="15">
        <f t="shared" si="17"/>
        <v>1</v>
      </c>
      <c r="M92" s="15">
        <f t="shared" si="16"/>
        <v>1</v>
      </c>
      <c r="N92" s="5" t="s">
        <v>347</v>
      </c>
      <c r="O92" s="5" t="s">
        <v>347</v>
      </c>
      <c r="P92" s="5">
        <v>0</v>
      </c>
      <c r="Q92" s="5">
        <v>0</v>
      </c>
      <c r="R92" s="5" t="str">
        <f>A92&amp;"-"&amp;YEAR(F92)&amp;"-"&amp;IF(LEN(MONTH(F92))=1,"0"&amp;MONTH(F92),MONTH(F92))&amp;"-"&amp;IF(LEN(DAY(F92))=1,"0"&amp;DAY(F92),DAY(F92))</f>
        <v>84-2023-12-31</v>
      </c>
    </row>
    <row r="93" spans="1:18" x14ac:dyDescent="0.3">
      <c r="A93" s="5">
        <v>85</v>
      </c>
      <c r="B93" s="5" t="s">
        <v>26</v>
      </c>
      <c r="C93" s="5" t="s">
        <v>24</v>
      </c>
      <c r="D93" s="5" t="s">
        <v>25</v>
      </c>
      <c r="E93" s="5" t="s">
        <v>9</v>
      </c>
      <c r="F93" s="6">
        <v>45291</v>
      </c>
      <c r="G93" s="5">
        <f t="shared" si="13"/>
        <v>2023</v>
      </c>
      <c r="H93" s="5" t="str">
        <f t="shared" si="10"/>
        <v>Diciembre</v>
      </c>
      <c r="I93" s="6" t="str">
        <f t="shared" si="11"/>
        <v>2023-2</v>
      </c>
      <c r="J93" s="5">
        <v>100</v>
      </c>
      <c r="K93" s="5">
        <v>100</v>
      </c>
      <c r="L93" s="15">
        <f t="shared" si="17"/>
        <v>1</v>
      </c>
      <c r="M93" s="15">
        <f t="shared" si="16"/>
        <v>1</v>
      </c>
      <c r="N93" s="5" t="s">
        <v>347</v>
      </c>
      <c r="O93" s="5" t="s">
        <v>347</v>
      </c>
      <c r="P93" s="5">
        <v>0</v>
      </c>
      <c r="Q93" s="5">
        <v>0</v>
      </c>
      <c r="R93" s="5" t="str">
        <f>A93&amp;"-"&amp;YEAR(F93)&amp;"-"&amp;IF(LEN(MONTH(F93))=1,"0"&amp;MONTH(F93),MONTH(F93))&amp;"-"&amp;IF(LEN(DAY(F93))=1,"0"&amp;DAY(F93),DAY(F93))</f>
        <v>85-2023-12-31</v>
      </c>
    </row>
    <row r="94" spans="1:18" x14ac:dyDescent="0.3">
      <c r="A94" s="5">
        <v>86</v>
      </c>
      <c r="B94" s="5" t="s">
        <v>27</v>
      </c>
      <c r="C94" s="5" t="s">
        <v>24</v>
      </c>
      <c r="D94" s="5" t="s">
        <v>8</v>
      </c>
      <c r="E94" s="5" t="s">
        <v>9</v>
      </c>
      <c r="F94" s="6">
        <v>45291</v>
      </c>
      <c r="G94" s="5">
        <f t="shared" si="13"/>
        <v>2023</v>
      </c>
      <c r="H94" s="5" t="str">
        <f t="shared" si="10"/>
        <v>Diciembre</v>
      </c>
      <c r="I94" s="6" t="str">
        <f t="shared" si="11"/>
        <v>2023-2</v>
      </c>
      <c r="J94" s="5">
        <v>100</v>
      </c>
      <c r="K94" s="5">
        <v>100</v>
      </c>
      <c r="L94" s="15">
        <f t="shared" si="17"/>
        <v>1</v>
      </c>
      <c r="M94" s="15">
        <f t="shared" si="16"/>
        <v>1</v>
      </c>
      <c r="N94" s="5" t="s">
        <v>347</v>
      </c>
      <c r="O94" s="5" t="s">
        <v>347</v>
      </c>
      <c r="P94" s="5">
        <v>0</v>
      </c>
      <c r="Q94" s="5">
        <v>0</v>
      </c>
      <c r="R94" s="5" t="str">
        <f>A94&amp;"-"&amp;YEAR(F94)&amp;"-"&amp;IF(LEN(MONTH(F94))=1,"0"&amp;MONTH(F94),MONTH(F94))&amp;"-"&amp;IF(LEN(DAY(F94))=1,"0"&amp;DAY(F94),DAY(F94))</f>
        <v>86-2023-12-31</v>
      </c>
    </row>
    <row r="95" spans="1:18" x14ac:dyDescent="0.3">
      <c r="A95" s="5">
        <v>87</v>
      </c>
      <c r="B95" s="5" t="s">
        <v>28</v>
      </c>
      <c r="C95" s="5" t="s">
        <v>24</v>
      </c>
      <c r="D95" s="5" t="s">
        <v>25</v>
      </c>
      <c r="E95" s="5" t="s">
        <v>9</v>
      </c>
      <c r="F95" s="6">
        <v>45291</v>
      </c>
      <c r="G95" s="5">
        <f t="shared" si="13"/>
        <v>2023</v>
      </c>
      <c r="H95" s="5" t="str">
        <f t="shared" si="10"/>
        <v>Diciembre</v>
      </c>
      <c r="I95" s="6" t="str">
        <f t="shared" si="11"/>
        <v>2023-2</v>
      </c>
      <c r="J95" s="5">
        <v>90</v>
      </c>
      <c r="K95" s="5">
        <v>100</v>
      </c>
      <c r="L95" s="15">
        <f t="shared" si="17"/>
        <v>1.1111111111111112</v>
      </c>
      <c r="M95" s="15">
        <f t="shared" si="16"/>
        <v>1.1111111111111112</v>
      </c>
      <c r="N95" s="5" t="s">
        <v>347</v>
      </c>
      <c r="O95" s="5" t="s">
        <v>347</v>
      </c>
      <c r="P95" s="5">
        <v>0</v>
      </c>
      <c r="Q95" s="5">
        <v>0</v>
      </c>
      <c r="R95" s="5" t="str">
        <f>A95&amp;"-"&amp;YEAR(F95)&amp;"-"&amp;IF(LEN(MONTH(F95))=1,"0"&amp;MONTH(F95),MONTH(F95))&amp;"-"&amp;IF(LEN(DAY(F95))=1,"0"&amp;DAY(F95),DAY(F95))</f>
        <v>87-2023-12-31</v>
      </c>
    </row>
    <row r="96" spans="1:18" x14ac:dyDescent="0.3">
      <c r="A96" s="5">
        <v>88</v>
      </c>
      <c r="B96" s="5" t="s">
        <v>29</v>
      </c>
      <c r="C96" s="5" t="s">
        <v>24</v>
      </c>
      <c r="D96" s="5" t="s">
        <v>25</v>
      </c>
      <c r="E96" s="5" t="s">
        <v>9</v>
      </c>
      <c r="F96" s="6">
        <v>45291</v>
      </c>
      <c r="G96" s="5">
        <f t="shared" si="13"/>
        <v>2023</v>
      </c>
      <c r="H96" s="5" t="str">
        <f t="shared" si="10"/>
        <v>Diciembre</v>
      </c>
      <c r="I96" s="6" t="str">
        <f t="shared" si="11"/>
        <v>2023-2</v>
      </c>
      <c r="J96" s="5">
        <v>100</v>
      </c>
      <c r="K96" s="5">
        <v>100</v>
      </c>
      <c r="L96" s="15">
        <f t="shared" si="17"/>
        <v>1</v>
      </c>
      <c r="M96" s="15">
        <f t="shared" si="16"/>
        <v>1</v>
      </c>
      <c r="N96" s="5" t="s">
        <v>347</v>
      </c>
      <c r="O96" s="5" t="s">
        <v>347</v>
      </c>
      <c r="P96" s="5">
        <v>0</v>
      </c>
      <c r="Q96" s="5">
        <v>0</v>
      </c>
      <c r="R96" s="5" t="str">
        <f>A96&amp;"-"&amp;YEAR(F96)&amp;"-"&amp;IF(LEN(MONTH(F96))=1,"0"&amp;MONTH(F96),MONTH(F96))&amp;"-"&amp;IF(LEN(DAY(F96))=1,"0"&amp;DAY(F96),DAY(F96))</f>
        <v>88-2023-12-31</v>
      </c>
    </row>
    <row r="97" spans="1:18" x14ac:dyDescent="0.3">
      <c r="A97" s="5">
        <v>89</v>
      </c>
      <c r="B97" s="5" t="s">
        <v>30</v>
      </c>
      <c r="C97" s="5" t="s">
        <v>24</v>
      </c>
      <c r="D97" s="5" t="s">
        <v>25</v>
      </c>
      <c r="E97" s="5" t="s">
        <v>9</v>
      </c>
      <c r="F97" s="6">
        <v>45291</v>
      </c>
      <c r="G97" s="5">
        <f t="shared" si="13"/>
        <v>2023</v>
      </c>
      <c r="H97" s="5" t="str">
        <f t="shared" si="10"/>
        <v>Diciembre</v>
      </c>
      <c r="I97" s="6" t="str">
        <f t="shared" si="11"/>
        <v>2023-2</v>
      </c>
      <c r="J97" s="5">
        <v>100</v>
      </c>
      <c r="K97" s="5">
        <v>100</v>
      </c>
      <c r="L97" s="15">
        <f t="shared" si="17"/>
        <v>1</v>
      </c>
      <c r="M97" s="15">
        <f t="shared" si="16"/>
        <v>1</v>
      </c>
      <c r="N97" s="5" t="s">
        <v>347</v>
      </c>
      <c r="O97" s="5" t="s">
        <v>347</v>
      </c>
      <c r="P97" s="5">
        <v>0</v>
      </c>
      <c r="Q97" s="5">
        <v>0</v>
      </c>
      <c r="R97" s="5" t="str">
        <f>A97&amp;"-"&amp;YEAR(F97)&amp;"-"&amp;IF(LEN(MONTH(F97))=1,"0"&amp;MONTH(F97),MONTH(F97))&amp;"-"&amp;IF(LEN(DAY(F97))=1,"0"&amp;DAY(F97),DAY(F97))</f>
        <v>89-2023-12-31</v>
      </c>
    </row>
    <row r="98" spans="1:18" x14ac:dyDescent="0.3">
      <c r="A98" s="5">
        <v>90</v>
      </c>
      <c r="B98" s="5" t="s">
        <v>31</v>
      </c>
      <c r="C98" s="5" t="s">
        <v>24</v>
      </c>
      <c r="D98" s="5" t="s">
        <v>25</v>
      </c>
      <c r="E98" s="5" t="s">
        <v>9</v>
      </c>
      <c r="F98" s="6">
        <v>45291</v>
      </c>
      <c r="G98" s="5">
        <f t="shared" si="13"/>
        <v>2023</v>
      </c>
      <c r="H98" s="5" t="str">
        <f t="shared" si="10"/>
        <v>Diciembre</v>
      </c>
      <c r="I98" s="6" t="str">
        <f t="shared" si="11"/>
        <v>2023-2</v>
      </c>
      <c r="J98" s="5">
        <v>100</v>
      </c>
      <c r="K98" s="5">
        <v>100</v>
      </c>
      <c r="L98" s="15">
        <f t="shared" si="17"/>
        <v>1</v>
      </c>
      <c r="M98" s="15">
        <f t="shared" si="16"/>
        <v>1</v>
      </c>
      <c r="N98" s="5" t="s">
        <v>347</v>
      </c>
      <c r="O98" s="5" t="s">
        <v>347</v>
      </c>
      <c r="P98" s="5">
        <v>0</v>
      </c>
      <c r="Q98" s="5">
        <v>0</v>
      </c>
      <c r="R98" s="5" t="str">
        <f>A98&amp;"-"&amp;YEAR(F98)&amp;"-"&amp;IF(LEN(MONTH(F98))=1,"0"&amp;MONTH(F98),MONTH(F98))&amp;"-"&amp;IF(LEN(DAY(F98))=1,"0"&amp;DAY(F98),DAY(F98))</f>
        <v>90-2023-12-31</v>
      </c>
    </row>
    <row r="99" spans="1:18" x14ac:dyDescent="0.3">
      <c r="A99" s="5">
        <v>91</v>
      </c>
      <c r="B99" s="5" t="s">
        <v>32</v>
      </c>
      <c r="C99" s="5" t="s">
        <v>24</v>
      </c>
      <c r="D99" s="5" t="s">
        <v>25</v>
      </c>
      <c r="E99" s="5" t="s">
        <v>9</v>
      </c>
      <c r="F99" s="6">
        <v>45291</v>
      </c>
      <c r="G99" s="5">
        <f t="shared" si="13"/>
        <v>2023</v>
      </c>
      <c r="H99" s="5" t="str">
        <f t="shared" si="10"/>
        <v>Diciembre</v>
      </c>
      <c r="I99" s="6" t="str">
        <f t="shared" si="11"/>
        <v>2023-2</v>
      </c>
      <c r="J99" s="5">
        <v>100</v>
      </c>
      <c r="K99" s="5">
        <v>100</v>
      </c>
      <c r="L99" s="15">
        <f t="shared" si="17"/>
        <v>1</v>
      </c>
      <c r="M99" s="15">
        <f t="shared" si="16"/>
        <v>1</v>
      </c>
      <c r="N99" s="5" t="s">
        <v>347</v>
      </c>
      <c r="O99" s="5" t="s">
        <v>347</v>
      </c>
      <c r="P99" s="5">
        <v>0</v>
      </c>
      <c r="Q99" s="5">
        <v>0</v>
      </c>
      <c r="R99" s="5" t="str">
        <f>A99&amp;"-"&amp;YEAR(F99)&amp;"-"&amp;IF(LEN(MONTH(F99))=1,"0"&amp;MONTH(F99),MONTH(F99))&amp;"-"&amp;IF(LEN(DAY(F99))=1,"0"&amp;DAY(F99),DAY(F99))</f>
        <v>91-2023-12-31</v>
      </c>
    </row>
    <row r="100" spans="1:18" x14ac:dyDescent="0.3">
      <c r="A100" s="5">
        <v>92</v>
      </c>
      <c r="B100" s="5" t="s">
        <v>33</v>
      </c>
      <c r="C100" s="5" t="s">
        <v>24</v>
      </c>
      <c r="D100" s="5" t="s">
        <v>25</v>
      </c>
      <c r="E100" s="5" t="s">
        <v>9</v>
      </c>
      <c r="F100" s="6">
        <v>45291</v>
      </c>
      <c r="G100" s="5">
        <f t="shared" si="13"/>
        <v>2023</v>
      </c>
      <c r="H100" s="5" t="str">
        <f t="shared" si="10"/>
        <v>Diciembre</v>
      </c>
      <c r="I100" s="6" t="str">
        <f t="shared" si="11"/>
        <v>2023-2</v>
      </c>
      <c r="J100" s="5">
        <v>100</v>
      </c>
      <c r="K100" s="5">
        <v>100</v>
      </c>
      <c r="L100" s="15">
        <f t="shared" si="17"/>
        <v>1</v>
      </c>
      <c r="M100" s="15">
        <f t="shared" si="16"/>
        <v>1</v>
      </c>
      <c r="N100" s="5" t="s">
        <v>347</v>
      </c>
      <c r="O100" s="5" t="s">
        <v>347</v>
      </c>
      <c r="P100" s="5">
        <v>0</v>
      </c>
      <c r="Q100" s="5">
        <v>0</v>
      </c>
      <c r="R100" s="5" t="str">
        <f>A100&amp;"-"&amp;YEAR(F100)&amp;"-"&amp;IF(LEN(MONTH(F100))=1,"0"&amp;MONTH(F100),MONTH(F100))&amp;"-"&amp;IF(LEN(DAY(F100))=1,"0"&amp;DAY(F100),DAY(F100))</f>
        <v>92-2023-12-31</v>
      </c>
    </row>
    <row r="101" spans="1:18" x14ac:dyDescent="0.3">
      <c r="A101" s="5">
        <v>94</v>
      </c>
      <c r="B101" s="5" t="s">
        <v>34</v>
      </c>
      <c r="C101" s="5" t="s">
        <v>24</v>
      </c>
      <c r="D101" s="5" t="s">
        <v>25</v>
      </c>
      <c r="E101" s="5" t="s">
        <v>9</v>
      </c>
      <c r="F101" s="6">
        <v>45291</v>
      </c>
      <c r="G101" s="5">
        <f t="shared" si="13"/>
        <v>2023</v>
      </c>
      <c r="H101" s="5" t="str">
        <f t="shared" si="10"/>
        <v>Diciembre</v>
      </c>
      <c r="I101" s="6" t="str">
        <f t="shared" si="11"/>
        <v>2023-2</v>
      </c>
      <c r="J101" s="5">
        <v>100</v>
      </c>
      <c r="K101" s="5">
        <v>100</v>
      </c>
      <c r="L101" s="15">
        <f t="shared" si="17"/>
        <v>1</v>
      </c>
      <c r="M101" s="15">
        <f t="shared" si="16"/>
        <v>1</v>
      </c>
      <c r="N101" s="5" t="s">
        <v>347</v>
      </c>
      <c r="O101" s="5" t="s">
        <v>347</v>
      </c>
      <c r="P101" s="5">
        <v>0</v>
      </c>
      <c r="Q101" s="5">
        <v>0</v>
      </c>
      <c r="R101" s="5" t="str">
        <f>A101&amp;"-"&amp;YEAR(F101)&amp;"-"&amp;IF(LEN(MONTH(F101))=1,"0"&amp;MONTH(F101),MONTH(F101))&amp;"-"&amp;IF(LEN(DAY(F101))=1,"0"&amp;DAY(F101),DAY(F101))</f>
        <v>94-2023-12-31</v>
      </c>
    </row>
    <row r="102" spans="1:18" x14ac:dyDescent="0.3">
      <c r="A102" s="5">
        <v>95</v>
      </c>
      <c r="B102" s="5" t="s">
        <v>35</v>
      </c>
      <c r="C102" s="5" t="s">
        <v>24</v>
      </c>
      <c r="D102" s="5" t="s">
        <v>8</v>
      </c>
      <c r="E102" s="5" t="s">
        <v>9</v>
      </c>
      <c r="F102" s="6">
        <v>45291</v>
      </c>
      <c r="G102" s="5">
        <f t="shared" si="13"/>
        <v>2023</v>
      </c>
      <c r="H102" s="5" t="str">
        <f t="shared" si="10"/>
        <v>Diciembre</v>
      </c>
      <c r="I102" s="6" t="str">
        <f t="shared" si="11"/>
        <v>2023-2</v>
      </c>
      <c r="J102" s="5">
        <v>100</v>
      </c>
      <c r="K102" s="5">
        <v>100</v>
      </c>
      <c r="L102" s="15">
        <f t="shared" si="17"/>
        <v>1</v>
      </c>
      <c r="M102" s="15">
        <f t="shared" si="16"/>
        <v>1</v>
      </c>
      <c r="N102" s="5" t="s">
        <v>347</v>
      </c>
      <c r="O102" s="5" t="s">
        <v>347</v>
      </c>
      <c r="P102" s="5">
        <v>0</v>
      </c>
      <c r="Q102" s="5">
        <v>0</v>
      </c>
      <c r="R102" s="5" t="str">
        <f>A102&amp;"-"&amp;YEAR(F102)&amp;"-"&amp;IF(LEN(MONTH(F102))=1,"0"&amp;MONTH(F102),MONTH(F102))&amp;"-"&amp;IF(LEN(DAY(F102))=1,"0"&amp;DAY(F102),DAY(F102))</f>
        <v>95-2023-12-31</v>
      </c>
    </row>
    <row r="103" spans="1:18" x14ac:dyDescent="0.3">
      <c r="A103" s="5">
        <v>96</v>
      </c>
      <c r="B103" s="23" t="s">
        <v>346</v>
      </c>
      <c r="C103" s="5" t="s">
        <v>59</v>
      </c>
      <c r="D103" s="5" t="s">
        <v>8</v>
      </c>
      <c r="E103" s="5" t="s">
        <v>9</v>
      </c>
      <c r="F103" s="6">
        <v>45291</v>
      </c>
      <c r="G103" s="16">
        <f t="shared" si="13"/>
        <v>2023</v>
      </c>
      <c r="H103" s="6" t="str">
        <f t="shared" si="10"/>
        <v>Diciembre</v>
      </c>
      <c r="I103" s="6" t="str">
        <f t="shared" si="11"/>
        <v>2023-2</v>
      </c>
      <c r="J103" s="5">
        <v>611</v>
      </c>
      <c r="K103" s="5">
        <v>705</v>
      </c>
      <c r="L103" s="15">
        <f>IFERROR(IF((K103/J103)&gt;1,1,K103/J103),"")</f>
        <v>1</v>
      </c>
      <c r="M103" s="15">
        <f t="shared" si="16"/>
        <v>1.1538461538461537</v>
      </c>
      <c r="N103" s="5" t="s">
        <v>490</v>
      </c>
      <c r="O103" s="5" t="s">
        <v>490</v>
      </c>
      <c r="P103" s="5">
        <v>0</v>
      </c>
      <c r="Q103" s="5">
        <v>0</v>
      </c>
      <c r="R103" s="5" t="str">
        <f>A103&amp;"-"&amp;YEAR(F103)&amp;"-"&amp;IF(LEN(MONTH(F103))=1,"0"&amp;MONTH(F103),MONTH(F103))&amp;"-"&amp;IF(LEN(DAY(F103))=1,"0"&amp;DAY(F103),DAY(F103))</f>
        <v>96-2023-12-31</v>
      </c>
    </row>
    <row r="104" spans="1:18" x14ac:dyDescent="0.3">
      <c r="A104" s="5">
        <v>97</v>
      </c>
      <c r="B104" s="5" t="s">
        <v>430</v>
      </c>
      <c r="C104" s="5" t="s">
        <v>315</v>
      </c>
      <c r="D104" s="5" t="s">
        <v>8</v>
      </c>
      <c r="E104" s="5" t="s">
        <v>9</v>
      </c>
      <c r="F104" s="17">
        <v>45291</v>
      </c>
      <c r="G104" s="16">
        <f t="shared" si="13"/>
        <v>2023</v>
      </c>
      <c r="H104" s="6" t="str">
        <f t="shared" si="10"/>
        <v>Diciembre</v>
      </c>
      <c r="I104" s="6" t="str">
        <f t="shared" si="11"/>
        <v>2023-2</v>
      </c>
      <c r="J104" s="5">
        <v>0</v>
      </c>
      <c r="K104" s="5">
        <v>0</v>
      </c>
      <c r="L104" s="15" t="str">
        <f>IFERROR(IF((K104/J104)&gt;1.3,1.3,K104/J104),"")</f>
        <v/>
      </c>
      <c r="M104" s="15" t="str">
        <f t="shared" si="16"/>
        <v/>
      </c>
      <c r="N104" s="5" t="s">
        <v>490</v>
      </c>
      <c r="O104" s="5" t="s">
        <v>490</v>
      </c>
      <c r="P104" s="5">
        <v>0</v>
      </c>
      <c r="Q104" s="5">
        <v>0</v>
      </c>
      <c r="R104" s="5" t="str">
        <f>A104&amp;"-"&amp;YEAR(F104)&amp;"-"&amp;IF(LEN(MONTH(F104))=1,"0"&amp;MONTH(F104),MONTH(F104))&amp;"-"&amp;IF(LEN(DAY(F104))=1,"0"&amp;DAY(F104),DAY(F104))</f>
        <v>97-2023-12-31</v>
      </c>
    </row>
    <row r="105" spans="1:18" x14ac:dyDescent="0.3">
      <c r="A105" s="5">
        <v>98</v>
      </c>
      <c r="B105" s="5" t="s">
        <v>432</v>
      </c>
      <c r="C105" s="5" t="s">
        <v>315</v>
      </c>
      <c r="D105" s="5" t="s">
        <v>8</v>
      </c>
      <c r="E105" s="5" t="s">
        <v>9</v>
      </c>
      <c r="F105" s="17">
        <v>45291</v>
      </c>
      <c r="G105" s="16">
        <f t="shared" si="13"/>
        <v>2023</v>
      </c>
      <c r="H105" s="6" t="str">
        <f t="shared" si="10"/>
        <v>Diciembre</v>
      </c>
      <c r="I105" s="6" t="str">
        <f t="shared" si="11"/>
        <v>2023-2</v>
      </c>
      <c r="J105" s="5">
        <v>1</v>
      </c>
      <c r="K105" s="5">
        <v>1</v>
      </c>
      <c r="L105" s="15">
        <f>IFERROR(IF((K105/J105)&gt;1.3,1.3,K105/J105),"")</f>
        <v>1</v>
      </c>
      <c r="M105" s="15">
        <f t="shared" si="16"/>
        <v>1</v>
      </c>
      <c r="N105" s="5" t="s">
        <v>490</v>
      </c>
      <c r="O105" s="5" t="s">
        <v>490</v>
      </c>
      <c r="P105" s="5">
        <v>0</v>
      </c>
      <c r="Q105" s="5">
        <v>0</v>
      </c>
      <c r="R105" s="5" t="str">
        <f>A105&amp;"-"&amp;YEAR(F105)&amp;"-"&amp;IF(LEN(MONTH(F105))=1,"0"&amp;MONTH(F105),MONTH(F105))&amp;"-"&amp;IF(LEN(DAY(F105))=1,"0"&amp;DAY(F105),DAY(F105))</f>
        <v>98-2023-12-31</v>
      </c>
    </row>
    <row r="106" spans="1:18" x14ac:dyDescent="0.3">
      <c r="A106" s="5">
        <v>100</v>
      </c>
      <c r="B106" s="5" t="s">
        <v>36</v>
      </c>
      <c r="C106" s="5" t="s">
        <v>24</v>
      </c>
      <c r="D106" s="5" t="s">
        <v>25</v>
      </c>
      <c r="E106" s="5" t="s">
        <v>9</v>
      </c>
      <c r="F106" s="6">
        <v>45291</v>
      </c>
      <c r="G106" s="5">
        <f t="shared" si="13"/>
        <v>2023</v>
      </c>
      <c r="H106" s="5" t="str">
        <f t="shared" si="10"/>
        <v>Diciembre</v>
      </c>
      <c r="I106" s="6" t="str">
        <f t="shared" si="11"/>
        <v>2023-2</v>
      </c>
      <c r="J106" s="5">
        <v>100</v>
      </c>
      <c r="K106" s="5">
        <v>99</v>
      </c>
      <c r="L106" s="15">
        <f>IFERROR(IF((K106/J106)&gt;1.3,1.3,K106/J106),"")</f>
        <v>0.99</v>
      </c>
      <c r="M106" s="15">
        <f t="shared" si="16"/>
        <v>0.99</v>
      </c>
      <c r="N106" s="5" t="s">
        <v>347</v>
      </c>
      <c r="O106" s="5" t="s">
        <v>347</v>
      </c>
      <c r="P106" s="5">
        <v>0</v>
      </c>
      <c r="Q106" s="5">
        <v>0</v>
      </c>
      <c r="R106" s="5" t="str">
        <f>A106&amp;"-"&amp;YEAR(F106)&amp;"-"&amp;IF(LEN(MONTH(F106))=1,"0"&amp;MONTH(F106),MONTH(F106))&amp;"-"&amp;IF(LEN(DAY(F106))=1,"0"&amp;DAY(F106),DAY(F106))</f>
        <v>100-2023-12-31</v>
      </c>
    </row>
    <row r="107" spans="1:18" x14ac:dyDescent="0.3">
      <c r="A107" s="5">
        <v>104</v>
      </c>
      <c r="B107" s="5" t="s">
        <v>37</v>
      </c>
      <c r="C107" s="5" t="s">
        <v>24</v>
      </c>
      <c r="D107" s="5" t="s">
        <v>25</v>
      </c>
      <c r="E107" s="5" t="s">
        <v>14</v>
      </c>
      <c r="F107" s="6">
        <v>45291</v>
      </c>
      <c r="G107" s="5">
        <f t="shared" si="13"/>
        <v>2023</v>
      </c>
      <c r="H107" s="5" t="str">
        <f t="shared" si="10"/>
        <v>Diciembre</v>
      </c>
      <c r="I107" s="6" t="str">
        <f t="shared" si="11"/>
        <v>2023-2</v>
      </c>
      <c r="J107" s="5">
        <v>2.14</v>
      </c>
      <c r="K107" s="5">
        <v>0.47</v>
      </c>
      <c r="L107" s="8">
        <v>1</v>
      </c>
      <c r="M107" s="15">
        <v>1</v>
      </c>
      <c r="N107" s="5" t="s">
        <v>478</v>
      </c>
      <c r="O107" s="5" t="s">
        <v>478</v>
      </c>
      <c r="P107" s="5">
        <v>2</v>
      </c>
      <c r="Q107" s="5">
        <v>2</v>
      </c>
      <c r="R107" s="5" t="str">
        <f>A107&amp;"-"&amp;YEAR(F107)&amp;"-"&amp;IF(LEN(MONTH(F107))=1,"0"&amp;MONTH(F107),MONTH(F107))&amp;"-"&amp;IF(LEN(DAY(F107))=1,"0"&amp;DAY(F107),DAY(F107))</f>
        <v>104-2023-12-31</v>
      </c>
    </row>
    <row r="108" spans="1:18" x14ac:dyDescent="0.3">
      <c r="A108" s="5">
        <v>106</v>
      </c>
      <c r="B108" s="5" t="s">
        <v>38</v>
      </c>
      <c r="C108" s="5" t="s">
        <v>24</v>
      </c>
      <c r="D108" s="5" t="s">
        <v>25</v>
      </c>
      <c r="E108" s="5" t="s">
        <v>14</v>
      </c>
      <c r="F108" s="6">
        <v>45291</v>
      </c>
      <c r="G108" s="5">
        <f t="shared" si="13"/>
        <v>2023</v>
      </c>
      <c r="H108" s="5" t="str">
        <f t="shared" si="10"/>
        <v>Diciembre</v>
      </c>
      <c r="I108" s="6" t="str">
        <f t="shared" si="11"/>
        <v>2023-2</v>
      </c>
      <c r="J108" s="9">
        <v>1.0000000000000001E-5</v>
      </c>
      <c r="K108" s="9">
        <v>1.0000000000000001E-5</v>
      </c>
      <c r="L108" s="15">
        <v>1</v>
      </c>
      <c r="M108" s="15">
        <v>1</v>
      </c>
      <c r="N108" s="5" t="s">
        <v>478</v>
      </c>
      <c r="O108" s="5" t="s">
        <v>478</v>
      </c>
      <c r="P108" s="5">
        <v>0</v>
      </c>
      <c r="Q108" s="5">
        <v>0</v>
      </c>
      <c r="R108" s="5" t="str">
        <f>A108&amp;"-"&amp;YEAR(F108)&amp;"-"&amp;IF(LEN(MONTH(F108))=1,"0"&amp;MONTH(F108),MONTH(F108))&amp;"-"&amp;IF(LEN(DAY(F108))=1,"0"&amp;DAY(F108),DAY(F108))</f>
        <v>106-2023-12-31</v>
      </c>
    </row>
    <row r="109" spans="1:18" x14ac:dyDescent="0.3">
      <c r="A109" s="5">
        <v>109</v>
      </c>
      <c r="B109" s="5" t="s">
        <v>840</v>
      </c>
      <c r="C109" s="5" t="s">
        <v>320</v>
      </c>
      <c r="D109" s="5" t="s">
        <v>25</v>
      </c>
      <c r="E109" s="5" t="s">
        <v>9</v>
      </c>
      <c r="F109" s="6">
        <v>45291</v>
      </c>
      <c r="G109" s="16">
        <f t="shared" si="13"/>
        <v>2023</v>
      </c>
      <c r="H109" s="6" t="str">
        <f t="shared" si="10"/>
        <v>Diciembre</v>
      </c>
      <c r="I109" s="6" t="str">
        <f t="shared" si="11"/>
        <v>2023-2</v>
      </c>
      <c r="J109" s="5">
        <v>80</v>
      </c>
      <c r="K109" s="5">
        <v>87.392767703668298</v>
      </c>
      <c r="L109" s="15">
        <f>IFERROR(IF((K109/J109)&gt;1.3,1.3,K109/J109),"")</f>
        <v>1.0924095962958538</v>
      </c>
      <c r="M109" s="15">
        <f>IFERROR(K109/J109,"")</f>
        <v>1.0924095962958538</v>
      </c>
      <c r="N109" s="5" t="s">
        <v>347</v>
      </c>
      <c r="O109" s="5" t="s">
        <v>347</v>
      </c>
      <c r="P109" s="5">
        <v>0</v>
      </c>
      <c r="Q109" s="5">
        <v>0</v>
      </c>
      <c r="R109" s="5" t="str">
        <f>A109&amp;"-"&amp;YEAR(F109)&amp;"-"&amp;IF(LEN(MONTH(F109))=1,"0"&amp;MONTH(F109),MONTH(F109))&amp;"-"&amp;IF(LEN(DAY(F109))=1,"0"&amp;DAY(F109),DAY(F109))</f>
        <v>109-2023-12-31</v>
      </c>
    </row>
    <row r="110" spans="1:18" x14ac:dyDescent="0.3">
      <c r="A110" s="5">
        <v>110</v>
      </c>
      <c r="B110" s="5" t="s">
        <v>39</v>
      </c>
      <c r="C110" s="5" t="s">
        <v>84</v>
      </c>
      <c r="D110" s="5" t="s">
        <v>25</v>
      </c>
      <c r="E110" s="5" t="s">
        <v>9</v>
      </c>
      <c r="F110" s="6">
        <v>45291</v>
      </c>
      <c r="G110" s="5">
        <v>2023</v>
      </c>
      <c r="H110" s="5" t="str">
        <f t="shared" si="10"/>
        <v>Diciembre</v>
      </c>
      <c r="I110" s="6" t="str">
        <f t="shared" si="11"/>
        <v>2023-2</v>
      </c>
      <c r="J110" s="5">
        <v>80</v>
      </c>
      <c r="K110" s="5">
        <v>78</v>
      </c>
      <c r="L110" s="15">
        <f>IFERROR(IF((K110/J110)&gt;1.3,1.3,K110/J110),"")</f>
        <v>0.97499999999999998</v>
      </c>
      <c r="M110" s="15">
        <f>IFERROR(K110/J110,"")</f>
        <v>0.97499999999999998</v>
      </c>
      <c r="N110" s="5" t="s">
        <v>347</v>
      </c>
      <c r="O110" s="5" t="s">
        <v>347</v>
      </c>
      <c r="P110" s="5">
        <v>0</v>
      </c>
      <c r="Q110" s="5">
        <v>0</v>
      </c>
      <c r="R110" s="5" t="str">
        <f>A110&amp;"-"&amp;YEAR(F110)&amp;"-"&amp;IF(LEN(MONTH(F110))=1,"0"&amp;MONTH(F110),MONTH(F110))&amp;"-"&amp;IF(LEN(DAY(F110))=1,"0"&amp;DAY(F110),DAY(F110))</f>
        <v>110-2023-12-31</v>
      </c>
    </row>
    <row r="111" spans="1:18" x14ac:dyDescent="0.3">
      <c r="A111" s="5">
        <v>111</v>
      </c>
      <c r="B111" s="5" t="s">
        <v>39</v>
      </c>
      <c r="C111" s="5" t="s">
        <v>7</v>
      </c>
      <c r="D111" s="5" t="s">
        <v>11</v>
      </c>
      <c r="E111" s="5" t="s">
        <v>9</v>
      </c>
      <c r="F111" s="6">
        <v>45291</v>
      </c>
      <c r="G111" s="5">
        <f>YEAR(F111)</f>
        <v>2023</v>
      </c>
      <c r="H111" s="5" t="str">
        <f t="shared" si="10"/>
        <v>Diciembre</v>
      </c>
      <c r="I111" s="6" t="str">
        <f t="shared" si="11"/>
        <v>2023-2</v>
      </c>
      <c r="J111" s="5">
        <v>80</v>
      </c>
      <c r="K111" s="10">
        <v>91.5</v>
      </c>
      <c r="L111" s="15">
        <f>IFERROR(IF((K111/J111)&gt;1,1,K111/J111),"")</f>
        <v>1</v>
      </c>
      <c r="M111" s="15">
        <f>IFERROR(K111/J111,"")</f>
        <v>1.14375</v>
      </c>
      <c r="N111" s="5" t="s">
        <v>347</v>
      </c>
      <c r="O111" s="5" t="s">
        <v>347</v>
      </c>
      <c r="P111" s="5">
        <v>0</v>
      </c>
      <c r="Q111" s="5">
        <v>0</v>
      </c>
      <c r="R111" s="5" t="str">
        <f>A111&amp;"-"&amp;YEAR(F111)&amp;"-"&amp;IF(LEN(MONTH(F111))=1,"0"&amp;MONTH(F111),MONTH(F111))&amp;"-"&amp;IF(LEN(DAY(F111))=1,"0"&amp;DAY(F111),DAY(F111))</f>
        <v>111-2023-12-31</v>
      </c>
    </row>
    <row r="112" spans="1:18" x14ac:dyDescent="0.3">
      <c r="A112" s="5">
        <v>116</v>
      </c>
      <c r="B112" s="5" t="s">
        <v>39</v>
      </c>
      <c r="C112" s="5" t="s">
        <v>20</v>
      </c>
      <c r="D112" s="5" t="s">
        <v>21</v>
      </c>
      <c r="E112" s="5" t="s">
        <v>9</v>
      </c>
      <c r="F112" s="6">
        <v>45291</v>
      </c>
      <c r="G112" s="5">
        <f>YEAR(F112)</f>
        <v>2023</v>
      </c>
      <c r="H112" s="5" t="str">
        <f t="shared" si="10"/>
        <v>Diciembre</v>
      </c>
      <c r="I112" s="6" t="str">
        <f t="shared" si="11"/>
        <v>2023-2</v>
      </c>
      <c r="J112" s="5">
        <v>80</v>
      </c>
      <c r="K112" s="5">
        <v>85.4</v>
      </c>
      <c r="L112" s="15">
        <f>IFERROR(IF((K112/J112)&gt;1.3,1.3,K112/J112),"")</f>
        <v>1.0675000000000001</v>
      </c>
      <c r="M112" s="15">
        <f>IFERROR(K112/J112,"")</f>
        <v>1.0675000000000001</v>
      </c>
      <c r="N112" s="5" t="s">
        <v>347</v>
      </c>
      <c r="O112" s="5" t="s">
        <v>347</v>
      </c>
      <c r="P112" s="5">
        <v>0</v>
      </c>
      <c r="Q112" s="5">
        <v>0</v>
      </c>
      <c r="R112" s="5" t="str">
        <f>A112&amp;"-"&amp;YEAR(F112)&amp;"-"&amp;IF(LEN(MONTH(F112))=1,"0"&amp;MONTH(F112),MONTH(F112))&amp;"-"&amp;IF(LEN(DAY(F112))=1,"0"&amp;DAY(F112),DAY(F112))</f>
        <v>116-2023-12-31</v>
      </c>
    </row>
    <row r="113" spans="1:18" x14ac:dyDescent="0.3">
      <c r="A113" s="5">
        <v>118</v>
      </c>
      <c r="B113" s="5" t="s">
        <v>44</v>
      </c>
      <c r="C113" s="5" t="s">
        <v>440</v>
      </c>
      <c r="D113" s="5" t="s">
        <v>25</v>
      </c>
      <c r="E113" s="5" t="s">
        <v>9</v>
      </c>
      <c r="F113" s="6">
        <v>45291</v>
      </c>
      <c r="G113" s="5">
        <v>2023</v>
      </c>
      <c r="H113" s="5" t="str">
        <f t="shared" si="10"/>
        <v>Diciembre</v>
      </c>
      <c r="I113" s="6" t="str">
        <f t="shared" si="11"/>
        <v>2023-2</v>
      </c>
      <c r="J113" s="5">
        <v>80</v>
      </c>
      <c r="K113" s="5">
        <v>94.138576779026195</v>
      </c>
      <c r="L113" s="15">
        <f>IFERROR(IF((K113/J113)&gt;1.3,1.3,K113/J113),"")</f>
        <v>1.1767322097378274</v>
      </c>
      <c r="M113" s="15">
        <f>IFERROR(K113/J113,"")</f>
        <v>1.1767322097378274</v>
      </c>
      <c r="N113" s="5" t="s">
        <v>347</v>
      </c>
      <c r="O113" s="5" t="s">
        <v>347</v>
      </c>
      <c r="P113" s="5">
        <v>0</v>
      </c>
      <c r="Q113" s="5">
        <v>0</v>
      </c>
      <c r="R113" s="5" t="str">
        <f>A113&amp;"-"&amp;YEAR(F113)&amp;"-"&amp;IF(LEN(MONTH(F113))=1,"0"&amp;MONTH(F113),MONTH(F113))&amp;"-"&amp;IF(LEN(DAY(F113))=1,"0"&amp;DAY(F113),DAY(F113))</f>
        <v>118-2023-12-31</v>
      </c>
    </row>
    <row r="114" spans="1:18" x14ac:dyDescent="0.3">
      <c r="A114" s="5">
        <v>121</v>
      </c>
      <c r="B114" s="5" t="s">
        <v>46</v>
      </c>
      <c r="C114" s="5" t="s">
        <v>13</v>
      </c>
      <c r="D114" s="5" t="s">
        <v>18</v>
      </c>
      <c r="E114" s="5" t="s">
        <v>14</v>
      </c>
      <c r="F114" s="6">
        <v>45291</v>
      </c>
      <c r="G114" s="5">
        <f t="shared" ref="G114:G120" si="18">YEAR(F114)</f>
        <v>2023</v>
      </c>
      <c r="H114" s="5" t="str">
        <f t="shared" si="10"/>
        <v>Diciembre</v>
      </c>
      <c r="I114" s="6" t="str">
        <f t="shared" si="11"/>
        <v>2023-2</v>
      </c>
      <c r="J114" s="9">
        <v>110049104</v>
      </c>
      <c r="K114" s="9">
        <v>122487832</v>
      </c>
      <c r="L114" s="15">
        <f>IFERROR(IF((J114/K114)&gt;1.3,1.3,J114/K114),"")</f>
        <v>0.89844927616973413</v>
      </c>
      <c r="M114" s="15">
        <f>IFERROR(IF((J114/K114)&gt;J114/K114,1.3,J114/K114),"")</f>
        <v>0.89844927616973413</v>
      </c>
      <c r="N114" s="5" t="s">
        <v>474</v>
      </c>
      <c r="O114" s="5" t="s">
        <v>474</v>
      </c>
      <c r="P114" s="5">
        <v>0</v>
      </c>
      <c r="Q114" s="5">
        <v>0</v>
      </c>
      <c r="R114" s="5" t="str">
        <f>A114&amp;"-"&amp;YEAR(F114)&amp;"-"&amp;IF(LEN(MONTH(F114))=1,"0"&amp;MONTH(F114),MONTH(F114))&amp;"-"&amp;IF(LEN(DAY(F114))=1,"0"&amp;DAY(F114),DAY(F114))</f>
        <v>121-2023-12-31</v>
      </c>
    </row>
    <row r="115" spans="1:18" x14ac:dyDescent="0.3">
      <c r="A115" s="5">
        <v>122</v>
      </c>
      <c r="B115" s="5" t="s">
        <v>47</v>
      </c>
      <c r="C115" s="5" t="s">
        <v>45</v>
      </c>
      <c r="D115" s="5" t="s">
        <v>21</v>
      </c>
      <c r="E115" s="5" t="s">
        <v>9</v>
      </c>
      <c r="F115" s="6">
        <v>45291</v>
      </c>
      <c r="G115" s="5">
        <f t="shared" si="18"/>
        <v>2023</v>
      </c>
      <c r="H115" s="5" t="str">
        <f t="shared" si="10"/>
        <v>Diciembre</v>
      </c>
      <c r="I115" s="6" t="str">
        <f t="shared" si="11"/>
        <v>2023-2</v>
      </c>
      <c r="J115" s="5">
        <v>80</v>
      </c>
      <c r="K115" s="5">
        <v>90.99</v>
      </c>
      <c r="L115" s="15">
        <f>IFERROR(IF((K115/J115)&gt;1.3,1.3,K115/J115),"")</f>
        <v>1.137375</v>
      </c>
      <c r="M115" s="15">
        <f>IFERROR(K115/J115,"")</f>
        <v>1.137375</v>
      </c>
      <c r="N115" s="5" t="s">
        <v>347</v>
      </c>
      <c r="O115" s="5" t="s">
        <v>347</v>
      </c>
      <c r="P115" s="5">
        <v>0</v>
      </c>
      <c r="Q115" s="5">
        <v>0</v>
      </c>
      <c r="R115" s="5" t="str">
        <f>A115&amp;"-"&amp;YEAR(F115)&amp;"-"&amp;IF(LEN(MONTH(F115))=1,"0"&amp;MONTH(F115),MONTH(F115))&amp;"-"&amp;IF(LEN(DAY(F115))=1,"0"&amp;DAY(F115),DAY(F115))</f>
        <v>122-2023-12-31</v>
      </c>
    </row>
    <row r="116" spans="1:18" x14ac:dyDescent="0.3">
      <c r="A116" s="5">
        <v>124</v>
      </c>
      <c r="B116" s="5" t="s">
        <v>48</v>
      </c>
      <c r="C116" s="5" t="s">
        <v>24</v>
      </c>
      <c r="D116" s="5" t="s">
        <v>18</v>
      </c>
      <c r="E116" s="5" t="s">
        <v>14</v>
      </c>
      <c r="F116" s="6">
        <v>45291</v>
      </c>
      <c r="G116" s="5">
        <f t="shared" si="18"/>
        <v>2023</v>
      </c>
      <c r="H116" s="5" t="str">
        <f t="shared" si="10"/>
        <v>Diciembre</v>
      </c>
      <c r="I116" s="6" t="str">
        <f t="shared" si="11"/>
        <v>2023-2</v>
      </c>
      <c r="J116" s="5">
        <v>1.6</v>
      </c>
      <c r="K116" s="5">
        <v>2.8000000000000001E-2</v>
      </c>
      <c r="L116" s="8">
        <f>IF(K116&lt;=J116,100%,J116/K116)</f>
        <v>1</v>
      </c>
      <c r="M116" s="15">
        <f>IF(K116&lt;=J116,100%,J116/K116)</f>
        <v>1</v>
      </c>
      <c r="N116" s="5" t="s">
        <v>478</v>
      </c>
      <c r="O116" s="5" t="s">
        <v>478</v>
      </c>
      <c r="P116" s="5">
        <v>1</v>
      </c>
      <c r="Q116" s="5">
        <v>2</v>
      </c>
      <c r="R116" s="5" t="str">
        <f>A116&amp;"-"&amp;YEAR(F116)&amp;"-"&amp;IF(LEN(MONTH(F116))=1,"0"&amp;MONTH(F116),MONTH(F116))&amp;"-"&amp;IF(LEN(DAY(F116))=1,"0"&amp;DAY(F116),DAY(F116))</f>
        <v>124-2023-12-31</v>
      </c>
    </row>
    <row r="117" spans="1:18" x14ac:dyDescent="0.3">
      <c r="A117" s="5">
        <v>125</v>
      </c>
      <c r="B117" s="5" t="s">
        <v>49</v>
      </c>
      <c r="C117" s="5" t="s">
        <v>24</v>
      </c>
      <c r="D117" s="5" t="s">
        <v>18</v>
      </c>
      <c r="E117" s="5" t="s">
        <v>14</v>
      </c>
      <c r="F117" s="6">
        <v>45291</v>
      </c>
      <c r="G117" s="5">
        <f t="shared" si="18"/>
        <v>2023</v>
      </c>
      <c r="H117" s="5" t="str">
        <f t="shared" si="10"/>
        <v>Diciembre</v>
      </c>
      <c r="I117" s="6" t="str">
        <f t="shared" si="11"/>
        <v>2023-2</v>
      </c>
      <c r="J117" s="5">
        <v>4.7</v>
      </c>
      <c r="K117" s="5">
        <v>0.18</v>
      </c>
      <c r="L117" s="8">
        <f>IF(K117&lt;=J117,100%,J117/K117)</f>
        <v>1</v>
      </c>
      <c r="M117" s="15">
        <f>IF(K117&lt;=J117,100%,J117/K117)</f>
        <v>1</v>
      </c>
      <c r="N117" s="5" t="s">
        <v>478</v>
      </c>
      <c r="O117" s="5" t="s">
        <v>478</v>
      </c>
      <c r="P117" s="5">
        <v>1</v>
      </c>
      <c r="Q117" s="5">
        <v>2</v>
      </c>
      <c r="R117" s="5" t="str">
        <f>A117&amp;"-"&amp;YEAR(F117)&amp;"-"&amp;IF(LEN(MONTH(F117))=1,"0"&amp;MONTH(F117),MONTH(F117))&amp;"-"&amp;IF(LEN(DAY(F117))=1,"0"&amp;DAY(F117),DAY(F117))</f>
        <v>125-2023-12-31</v>
      </c>
    </row>
    <row r="118" spans="1:18" x14ac:dyDescent="0.3">
      <c r="A118" s="5">
        <v>126</v>
      </c>
      <c r="B118" s="5" t="s">
        <v>50</v>
      </c>
      <c r="C118" s="5" t="s">
        <v>24</v>
      </c>
      <c r="D118" s="5" t="s">
        <v>25</v>
      </c>
      <c r="E118" s="5" t="s">
        <v>14</v>
      </c>
      <c r="F118" s="6">
        <v>45291</v>
      </c>
      <c r="G118" s="5">
        <f t="shared" si="18"/>
        <v>2023</v>
      </c>
      <c r="H118" s="5" t="str">
        <f t="shared" si="10"/>
        <v>Diciembre</v>
      </c>
      <c r="I118" s="6" t="str">
        <f t="shared" si="11"/>
        <v>2023-2</v>
      </c>
      <c r="J118" s="5">
        <v>2</v>
      </c>
      <c r="K118" s="5">
        <v>0.12</v>
      </c>
      <c r="L118" s="8">
        <f>IF(K118&lt;=J118,100%,J118/K118)</f>
        <v>1</v>
      </c>
      <c r="M118" s="15">
        <f>IF(K118&lt;=J118,100%,J118/K118)</f>
        <v>1</v>
      </c>
      <c r="N118" s="5" t="s">
        <v>490</v>
      </c>
      <c r="O118" s="5" t="s">
        <v>478</v>
      </c>
      <c r="P118" s="5">
        <v>0</v>
      </c>
      <c r="Q118" s="5">
        <v>2</v>
      </c>
      <c r="R118" s="5" t="str">
        <f>A118&amp;"-"&amp;YEAR(F118)&amp;"-"&amp;IF(LEN(MONTH(F118))=1,"0"&amp;MONTH(F118),MONTH(F118))&amp;"-"&amp;IF(LEN(DAY(F118))=1,"0"&amp;DAY(F118),DAY(F118))</f>
        <v>126-2023-12-31</v>
      </c>
    </row>
    <row r="119" spans="1:18" x14ac:dyDescent="0.3">
      <c r="A119" s="5">
        <v>127</v>
      </c>
      <c r="B119" s="5" t="s">
        <v>51</v>
      </c>
      <c r="C119" s="5" t="s">
        <v>24</v>
      </c>
      <c r="D119" s="5" t="s">
        <v>25</v>
      </c>
      <c r="E119" s="5" t="s">
        <v>14</v>
      </c>
      <c r="F119" s="6">
        <v>45291</v>
      </c>
      <c r="G119" s="5">
        <f t="shared" si="18"/>
        <v>2023</v>
      </c>
      <c r="H119" s="5" t="str">
        <f t="shared" si="10"/>
        <v>Diciembre</v>
      </c>
      <c r="I119" s="6" t="str">
        <f t="shared" si="11"/>
        <v>2023-2</v>
      </c>
      <c r="J119" s="16">
        <v>9.9999999999999995E-7</v>
      </c>
      <c r="K119" s="16">
        <v>9.9999999999999995E-7</v>
      </c>
      <c r="L119" s="8">
        <f>IF(K119&lt;=J119,100%,J119/K119)</f>
        <v>1</v>
      </c>
      <c r="M119" s="15">
        <f>IF(K119&lt;=J119,100%,J119/K119)</f>
        <v>1</v>
      </c>
      <c r="N119" s="5" t="s">
        <v>490</v>
      </c>
      <c r="O119" s="5" t="s">
        <v>478</v>
      </c>
      <c r="P119" s="5">
        <v>0</v>
      </c>
      <c r="Q119" s="5">
        <v>0</v>
      </c>
      <c r="R119" s="5" t="str">
        <f>A119&amp;"-"&amp;YEAR(F119)&amp;"-"&amp;IF(LEN(MONTH(F119))=1,"0"&amp;MONTH(F119),MONTH(F119))&amp;"-"&amp;IF(LEN(DAY(F119))=1,"0"&amp;DAY(F119),DAY(F119))</f>
        <v>127-2023-12-31</v>
      </c>
    </row>
    <row r="120" spans="1:18" x14ac:dyDescent="0.3">
      <c r="A120" s="5">
        <v>128</v>
      </c>
      <c r="B120" s="5" t="s">
        <v>52</v>
      </c>
      <c r="C120" s="5" t="s">
        <v>24</v>
      </c>
      <c r="D120" s="5" t="s">
        <v>18</v>
      </c>
      <c r="E120" s="5" t="s">
        <v>14</v>
      </c>
      <c r="F120" s="6">
        <v>45291</v>
      </c>
      <c r="G120" s="5">
        <f t="shared" si="18"/>
        <v>2023</v>
      </c>
      <c r="H120" s="5" t="str">
        <f t="shared" si="10"/>
        <v>Diciembre</v>
      </c>
      <c r="I120" s="6" t="str">
        <f t="shared" si="11"/>
        <v>2023-2</v>
      </c>
      <c r="J120" s="5">
        <v>1</v>
      </c>
      <c r="K120" s="5">
        <v>0.85</v>
      </c>
      <c r="L120" s="15">
        <f>IFERROR(IF((J120/K120)&gt;1,1,J120/K120),"")</f>
        <v>1</v>
      </c>
      <c r="M120" s="15">
        <f>IFERROR(IF((J120/K120)&gt;1,1,J120/K120),"")</f>
        <v>1</v>
      </c>
      <c r="N120" s="5" t="s">
        <v>490</v>
      </c>
      <c r="O120" s="5" t="s">
        <v>478</v>
      </c>
      <c r="P120" s="5">
        <v>0</v>
      </c>
      <c r="Q120" s="5">
        <v>2</v>
      </c>
      <c r="R120" s="5" t="str">
        <f>A120&amp;"-"&amp;YEAR(F120)&amp;"-"&amp;IF(LEN(MONTH(F120))=1,"0"&amp;MONTH(F120),MONTH(F120))&amp;"-"&amp;IF(LEN(DAY(F120))=1,"0"&amp;DAY(F120),DAY(F120))</f>
        <v>128-2023-12-31</v>
      </c>
    </row>
    <row r="121" spans="1:18" x14ac:dyDescent="0.3">
      <c r="A121" s="5">
        <v>133</v>
      </c>
      <c r="B121" s="5" t="s">
        <v>39</v>
      </c>
      <c r="C121" s="5" t="s">
        <v>53</v>
      </c>
      <c r="D121" s="5" t="s">
        <v>25</v>
      </c>
      <c r="E121" s="5" t="s">
        <v>9</v>
      </c>
      <c r="F121" s="6">
        <v>45291</v>
      </c>
      <c r="G121" s="5">
        <v>2023</v>
      </c>
      <c r="H121" s="5" t="str">
        <f t="shared" si="10"/>
        <v>Diciembre</v>
      </c>
      <c r="I121" s="6" t="str">
        <f t="shared" si="11"/>
        <v>2023-2</v>
      </c>
      <c r="J121" s="5">
        <v>80</v>
      </c>
      <c r="K121" s="5">
        <v>92.789115646258509</v>
      </c>
      <c r="L121" s="15">
        <f>IFERROR(IF((K121/J121)&gt;1.3,1.3,K121/J121),"")</f>
        <v>1.1598639455782314</v>
      </c>
      <c r="M121" s="15">
        <f>IFERROR(K121/J121,"")</f>
        <v>1.1598639455782314</v>
      </c>
      <c r="N121" s="5" t="s">
        <v>347</v>
      </c>
      <c r="O121" s="5" t="s">
        <v>347</v>
      </c>
      <c r="P121" s="5">
        <v>0</v>
      </c>
      <c r="Q121" s="5">
        <v>0</v>
      </c>
      <c r="R121" s="5" t="str">
        <f>A121&amp;"-"&amp;YEAR(F121)&amp;"-"&amp;IF(LEN(MONTH(F121))=1,"0"&amp;MONTH(F121),MONTH(F121))&amp;"-"&amp;IF(LEN(DAY(F121))=1,"0"&amp;DAY(F121),DAY(F121))</f>
        <v>133-2023-12-31</v>
      </c>
    </row>
    <row r="122" spans="1:18" x14ac:dyDescent="0.3">
      <c r="A122" s="5">
        <v>136</v>
      </c>
      <c r="B122" s="5" t="s">
        <v>54</v>
      </c>
      <c r="C122" s="5" t="s">
        <v>55</v>
      </c>
      <c r="D122" s="5" t="s">
        <v>8</v>
      </c>
      <c r="E122" s="5" t="s">
        <v>9</v>
      </c>
      <c r="F122" s="6">
        <v>45291</v>
      </c>
      <c r="G122" s="5">
        <f t="shared" ref="G122:G130" si="19">YEAR(F122)</f>
        <v>2023</v>
      </c>
      <c r="H122" s="5" t="str">
        <f t="shared" si="10"/>
        <v>Diciembre</v>
      </c>
      <c r="I122" s="6" t="str">
        <f t="shared" si="11"/>
        <v>2023-2</v>
      </c>
      <c r="J122" s="5">
        <v>90</v>
      </c>
      <c r="K122" s="5">
        <v>100</v>
      </c>
      <c r="L122" s="15">
        <f>IFERROR(IF((K122/J122)&gt;1.3,1.3,K122/J122),"")</f>
        <v>1.1111111111111112</v>
      </c>
      <c r="M122" s="15">
        <f>IFERROR(K122/J122,"")</f>
        <v>1.1111111111111112</v>
      </c>
      <c r="N122" s="5" t="s">
        <v>347</v>
      </c>
      <c r="O122" s="5" t="s">
        <v>347</v>
      </c>
      <c r="P122" s="5">
        <v>0</v>
      </c>
      <c r="Q122" s="5">
        <v>0</v>
      </c>
      <c r="R122" s="5" t="str">
        <f>A122&amp;"-"&amp;YEAR(F122)&amp;"-"&amp;IF(LEN(MONTH(F122))=1,"0"&amp;MONTH(F122),MONTH(F122))&amp;"-"&amp;IF(LEN(DAY(F122))=1,"0"&amp;DAY(F122),DAY(F122))</f>
        <v>136-2023-12-31</v>
      </c>
    </row>
    <row r="123" spans="1:18" x14ac:dyDescent="0.3">
      <c r="A123" s="5">
        <v>137</v>
      </c>
      <c r="B123" s="5" t="s">
        <v>56</v>
      </c>
      <c r="C123" s="5" t="s">
        <v>55</v>
      </c>
      <c r="D123" s="5" t="s">
        <v>11</v>
      </c>
      <c r="E123" s="5" t="s">
        <v>9</v>
      </c>
      <c r="F123" s="6">
        <v>45291</v>
      </c>
      <c r="G123" s="5">
        <f t="shared" si="19"/>
        <v>2023</v>
      </c>
      <c r="H123" s="5" t="str">
        <f t="shared" si="10"/>
        <v>Diciembre</v>
      </c>
      <c r="I123" s="6" t="str">
        <f t="shared" si="11"/>
        <v>2023-2</v>
      </c>
      <c r="J123" s="5">
        <v>447</v>
      </c>
      <c r="K123" s="5">
        <v>448</v>
      </c>
      <c r="L123" s="15">
        <f>IFERROR(IF((K123/J123)&gt;1.3,1.3,K123/J123),"")</f>
        <v>1.0022371364653244</v>
      </c>
      <c r="M123" s="15">
        <f>IFERROR(K123/J123,"")</f>
        <v>1.0022371364653244</v>
      </c>
      <c r="N123" s="5" t="s">
        <v>490</v>
      </c>
      <c r="O123" s="5" t="s">
        <v>490</v>
      </c>
      <c r="P123" s="5">
        <v>0</v>
      </c>
      <c r="Q123" s="5">
        <v>0</v>
      </c>
      <c r="R123" s="5" t="str">
        <f>A123&amp;"-"&amp;YEAR(F123)&amp;"-"&amp;IF(LEN(MONTH(F123))=1,"0"&amp;MONTH(F123),MONTH(F123))&amp;"-"&amp;IF(LEN(DAY(F123))=1,"0"&amp;DAY(F123),DAY(F123))</f>
        <v>137-2023-12-31</v>
      </c>
    </row>
    <row r="124" spans="1:18" x14ac:dyDescent="0.3">
      <c r="A124" s="5">
        <v>139</v>
      </c>
      <c r="B124" s="5" t="s">
        <v>57</v>
      </c>
      <c r="C124" s="5" t="s">
        <v>55</v>
      </c>
      <c r="D124" s="5" t="s">
        <v>18</v>
      </c>
      <c r="E124" s="5" t="s">
        <v>14</v>
      </c>
      <c r="F124" s="6">
        <v>45291</v>
      </c>
      <c r="G124" s="5">
        <f t="shared" si="19"/>
        <v>2023</v>
      </c>
      <c r="H124" s="5" t="str">
        <f t="shared" si="10"/>
        <v>Diciembre</v>
      </c>
      <c r="I124" s="6" t="str">
        <f t="shared" si="11"/>
        <v>2023-2</v>
      </c>
      <c r="J124" s="12">
        <v>981.98199999999997</v>
      </c>
      <c r="K124" s="12">
        <v>964.28399999999999</v>
      </c>
      <c r="L124" s="15">
        <f>IFERROR(IF((J124/K124)&gt;1.3,1.3,J124/K124),"")</f>
        <v>1.0183535141099509</v>
      </c>
      <c r="M124" s="15">
        <f>IFERROR(J124/K124,"")</f>
        <v>1.0183535141099509</v>
      </c>
      <c r="N124" s="5" t="s">
        <v>474</v>
      </c>
      <c r="O124" s="5" t="s">
        <v>474</v>
      </c>
      <c r="P124" s="5">
        <v>0</v>
      </c>
      <c r="Q124" s="5">
        <v>0</v>
      </c>
      <c r="R124" s="5" t="str">
        <f>A124&amp;"-"&amp;YEAR(F124)&amp;"-"&amp;IF(LEN(MONTH(F124))=1,"0"&amp;MONTH(F124),MONTH(F124))&amp;"-"&amp;IF(LEN(DAY(F124))=1,"0"&amp;DAY(F124),DAY(F124))</f>
        <v>139-2023-12-31</v>
      </c>
    </row>
    <row r="125" spans="1:18" x14ac:dyDescent="0.3">
      <c r="A125" s="5">
        <v>143</v>
      </c>
      <c r="B125" s="5" t="s">
        <v>800</v>
      </c>
      <c r="C125" s="5" t="s">
        <v>59</v>
      </c>
      <c r="D125" s="5" t="s">
        <v>8</v>
      </c>
      <c r="E125" s="5" t="s">
        <v>9</v>
      </c>
      <c r="F125" s="6">
        <v>45291</v>
      </c>
      <c r="G125" s="5">
        <f t="shared" si="19"/>
        <v>2023</v>
      </c>
      <c r="H125" s="5" t="str">
        <f t="shared" si="10"/>
        <v>Diciembre</v>
      </c>
      <c r="I125" s="6" t="str">
        <f t="shared" si="11"/>
        <v>2023-2</v>
      </c>
      <c r="J125" s="5"/>
      <c r="K125" s="5">
        <v>146</v>
      </c>
      <c r="L125" s="15" t="str">
        <f t="shared" ref="L125:L138" si="20">IFERROR(IF((K125/J125)&gt;1.3,1.3,K125/J125),"")</f>
        <v/>
      </c>
      <c r="M125" s="15" t="str">
        <f t="shared" ref="M125:M140" si="21">IFERROR(K125/J125,"")</f>
        <v/>
      </c>
      <c r="N125" s="5" t="s">
        <v>728</v>
      </c>
      <c r="O125" s="5"/>
      <c r="P125" s="5">
        <v>0</v>
      </c>
      <c r="Q125" s="5">
        <v>0</v>
      </c>
      <c r="R125" s="5" t="str">
        <f>A125&amp;"-"&amp;YEAR(F125)&amp;"-"&amp;IF(LEN(MONTH(F125))=1,"0"&amp;MONTH(F125),MONTH(F125))&amp;"-"&amp;IF(LEN(DAY(F125))=1,"0"&amp;DAY(F125),DAY(F125))</f>
        <v>143-2023-12-31</v>
      </c>
    </row>
    <row r="126" spans="1:18" x14ac:dyDescent="0.3">
      <c r="A126" s="5">
        <v>144</v>
      </c>
      <c r="B126" s="5" t="s">
        <v>60</v>
      </c>
      <c r="C126" s="5" t="s">
        <v>59</v>
      </c>
      <c r="D126" s="5" t="s">
        <v>25</v>
      </c>
      <c r="E126" s="5" t="s">
        <v>9</v>
      </c>
      <c r="F126" s="6">
        <v>45291</v>
      </c>
      <c r="G126" s="5">
        <f t="shared" si="19"/>
        <v>2023</v>
      </c>
      <c r="H126" s="5" t="str">
        <f t="shared" si="10"/>
        <v>Diciembre</v>
      </c>
      <c r="I126" s="6" t="str">
        <f t="shared" si="11"/>
        <v>2023-2</v>
      </c>
      <c r="J126" s="5">
        <v>3</v>
      </c>
      <c r="K126" s="5">
        <v>4.83</v>
      </c>
      <c r="L126" s="15">
        <f t="shared" si="20"/>
        <v>1.3</v>
      </c>
      <c r="M126" s="15">
        <f t="shared" si="21"/>
        <v>1.61</v>
      </c>
      <c r="N126" s="5" t="s">
        <v>490</v>
      </c>
      <c r="O126" s="5" t="s">
        <v>478</v>
      </c>
      <c r="P126" s="5">
        <v>2</v>
      </c>
      <c r="Q126" s="5">
        <v>2</v>
      </c>
      <c r="R126" s="5" t="str">
        <f>A126&amp;"-"&amp;YEAR(F126)&amp;"-"&amp;IF(LEN(MONTH(F126))=1,"0"&amp;MONTH(F126),MONTH(F126))&amp;"-"&amp;IF(LEN(DAY(F126))=1,"0"&amp;DAY(F126),DAY(F126))</f>
        <v>144-2023-12-31</v>
      </c>
    </row>
    <row r="127" spans="1:18" x14ac:dyDescent="0.3">
      <c r="A127" s="5">
        <v>145</v>
      </c>
      <c r="B127" s="5" t="s">
        <v>61</v>
      </c>
      <c r="C127" s="5" t="s">
        <v>62</v>
      </c>
      <c r="D127" s="5" t="s">
        <v>8</v>
      </c>
      <c r="E127" s="5" t="s">
        <v>9</v>
      </c>
      <c r="F127" s="6">
        <v>45291</v>
      </c>
      <c r="G127" s="5">
        <f t="shared" si="19"/>
        <v>2023</v>
      </c>
      <c r="H127" s="5" t="str">
        <f t="shared" si="10"/>
        <v>Diciembre</v>
      </c>
      <c r="I127" s="6" t="str">
        <f t="shared" si="11"/>
        <v>2023-2</v>
      </c>
      <c r="J127" s="5">
        <v>1</v>
      </c>
      <c r="K127" s="5">
        <v>2</v>
      </c>
      <c r="L127" s="15">
        <f t="shared" si="20"/>
        <v>1.3</v>
      </c>
      <c r="M127" s="15">
        <f t="shared" si="21"/>
        <v>2</v>
      </c>
      <c r="N127" s="5" t="s">
        <v>490</v>
      </c>
      <c r="O127" s="5" t="s">
        <v>490</v>
      </c>
      <c r="P127" s="5">
        <v>0</v>
      </c>
      <c r="Q127" s="5">
        <v>0</v>
      </c>
      <c r="R127" s="5" t="str">
        <f>A127&amp;"-"&amp;YEAR(F127)&amp;"-"&amp;IF(LEN(MONTH(F127))=1,"0"&amp;MONTH(F127),MONTH(F127))&amp;"-"&amp;IF(LEN(DAY(F127))=1,"0"&amp;DAY(F127),DAY(F127))</f>
        <v>145-2023-12-31</v>
      </c>
    </row>
    <row r="128" spans="1:18" x14ac:dyDescent="0.3">
      <c r="A128" s="5">
        <v>146</v>
      </c>
      <c r="B128" s="5" t="s">
        <v>63</v>
      </c>
      <c r="C128" s="5" t="s">
        <v>59</v>
      </c>
      <c r="D128" s="5" t="s">
        <v>8</v>
      </c>
      <c r="E128" s="5" t="s">
        <v>9</v>
      </c>
      <c r="F128" s="6">
        <v>45291</v>
      </c>
      <c r="G128" s="5">
        <f t="shared" si="19"/>
        <v>2023</v>
      </c>
      <c r="H128" s="5" t="str">
        <f t="shared" ref="H128:H191" si="22">PROPER(TEXT(F128,"mmmm"))</f>
        <v>Diciembre</v>
      </c>
      <c r="I128" s="6" t="str">
        <f t="shared" ref="I128:I191" si="23">IF(OR(H128="Enero",H128="Febrero",H128="Marzo",H128="Abril",H128="Mayo",H128="Junio"),G128&amp;"-1",IF(OR(H128="Julio",H128="Agosto",H128="Septiembre",H128="Octubre",H128="Noviembre",H128="Diciembre"),G128&amp;"-2"))</f>
        <v>2023-2</v>
      </c>
      <c r="J128" s="5">
        <v>230</v>
      </c>
      <c r="K128" s="5">
        <v>342</v>
      </c>
      <c r="L128" s="15">
        <f t="shared" si="20"/>
        <v>1.3</v>
      </c>
      <c r="M128" s="15">
        <f t="shared" si="21"/>
        <v>1.4869565217391305</v>
      </c>
      <c r="N128" s="5" t="s">
        <v>490</v>
      </c>
      <c r="O128" s="5" t="s">
        <v>490</v>
      </c>
      <c r="P128" s="5">
        <v>0</v>
      </c>
      <c r="Q128" s="5">
        <v>0</v>
      </c>
      <c r="R128" s="5" t="str">
        <f>A128&amp;"-"&amp;YEAR(F128)&amp;"-"&amp;IF(LEN(MONTH(F128))=1,"0"&amp;MONTH(F128),MONTH(F128))&amp;"-"&amp;IF(LEN(DAY(F128))=1,"0"&amp;DAY(F128),DAY(F128))</f>
        <v>146-2023-12-31</v>
      </c>
    </row>
    <row r="129" spans="1:18" x14ac:dyDescent="0.3">
      <c r="A129" s="5">
        <v>147</v>
      </c>
      <c r="B129" s="5" t="s">
        <v>64</v>
      </c>
      <c r="C129" s="5" t="s">
        <v>59</v>
      </c>
      <c r="D129" s="5" t="s">
        <v>25</v>
      </c>
      <c r="E129" s="5" t="s">
        <v>9</v>
      </c>
      <c r="F129" s="6">
        <v>45291</v>
      </c>
      <c r="G129" s="5">
        <f t="shared" si="19"/>
        <v>2023</v>
      </c>
      <c r="H129" s="5" t="str">
        <f t="shared" si="22"/>
        <v>Diciembre</v>
      </c>
      <c r="I129" s="6" t="str">
        <f t="shared" si="23"/>
        <v>2023-2</v>
      </c>
      <c r="J129" s="5">
        <v>13</v>
      </c>
      <c r="K129" s="5">
        <v>11</v>
      </c>
      <c r="L129" s="15">
        <f t="shared" si="20"/>
        <v>0.84615384615384615</v>
      </c>
      <c r="M129" s="15">
        <f t="shared" si="21"/>
        <v>0.84615384615384615</v>
      </c>
      <c r="N129" s="5" t="s">
        <v>490</v>
      </c>
      <c r="O129" s="5" t="s">
        <v>490</v>
      </c>
      <c r="P129" s="5">
        <v>0</v>
      </c>
      <c r="Q129" s="5">
        <v>0</v>
      </c>
      <c r="R129" s="5" t="str">
        <f>A129&amp;"-"&amp;YEAR(F129)&amp;"-"&amp;IF(LEN(MONTH(F129))=1,"0"&amp;MONTH(F129),MONTH(F129))&amp;"-"&amp;IF(LEN(DAY(F129))=1,"0"&amp;DAY(F129),DAY(F129))</f>
        <v>147-2023-12-31</v>
      </c>
    </row>
    <row r="130" spans="1:18" x14ac:dyDescent="0.3">
      <c r="A130" s="5">
        <v>148</v>
      </c>
      <c r="B130" s="5" t="s">
        <v>65</v>
      </c>
      <c r="C130" s="5" t="s">
        <v>62</v>
      </c>
      <c r="D130" s="5" t="s">
        <v>8</v>
      </c>
      <c r="E130" s="5" t="s">
        <v>9</v>
      </c>
      <c r="F130" s="6">
        <v>45291</v>
      </c>
      <c r="G130" s="16">
        <f t="shared" si="19"/>
        <v>2023</v>
      </c>
      <c r="H130" s="6" t="str">
        <f t="shared" si="22"/>
        <v>Diciembre</v>
      </c>
      <c r="I130" s="6" t="str">
        <f t="shared" si="23"/>
        <v>2023-2</v>
      </c>
      <c r="J130" s="5">
        <v>5</v>
      </c>
      <c r="K130" s="5">
        <v>5.71</v>
      </c>
      <c r="L130" s="15">
        <f t="shared" si="20"/>
        <v>1.1419999999999999</v>
      </c>
      <c r="M130" s="15">
        <f t="shared" si="21"/>
        <v>1.1419999999999999</v>
      </c>
      <c r="N130" s="5" t="s">
        <v>347</v>
      </c>
      <c r="O130" s="5" t="s">
        <v>347</v>
      </c>
      <c r="P130" s="5">
        <v>0</v>
      </c>
      <c r="Q130" s="5">
        <v>1</v>
      </c>
      <c r="R130" s="5" t="str">
        <f>A130&amp;"-"&amp;YEAR(F130)&amp;"-"&amp;IF(LEN(MONTH(F130))=1,"0"&amp;MONTH(F130),MONTH(F130))&amp;"-"&amp;IF(LEN(DAY(F130))=1,"0"&amp;DAY(F130),DAY(F130))</f>
        <v>148-2023-12-31</v>
      </c>
    </row>
    <row r="131" spans="1:18" x14ac:dyDescent="0.3">
      <c r="A131" s="5">
        <v>150</v>
      </c>
      <c r="B131" s="5" t="s">
        <v>39</v>
      </c>
      <c r="C131" s="5" t="s">
        <v>59</v>
      </c>
      <c r="D131" s="5" t="s">
        <v>25</v>
      </c>
      <c r="E131" s="5" t="s">
        <v>9</v>
      </c>
      <c r="F131" s="6">
        <v>45291</v>
      </c>
      <c r="G131" s="5">
        <v>2023</v>
      </c>
      <c r="H131" s="5" t="str">
        <f t="shared" si="22"/>
        <v>Diciembre</v>
      </c>
      <c r="I131" s="6" t="str">
        <f t="shared" si="23"/>
        <v>2023-2</v>
      </c>
      <c r="J131" s="5">
        <v>80</v>
      </c>
      <c r="K131" s="5">
        <v>84.343500708111094</v>
      </c>
      <c r="L131" s="15">
        <f t="shared" si="20"/>
        <v>1.0542937588513888</v>
      </c>
      <c r="M131" s="15">
        <f t="shared" si="21"/>
        <v>1.0542937588513888</v>
      </c>
      <c r="N131" s="5" t="s">
        <v>347</v>
      </c>
      <c r="O131" s="5" t="s">
        <v>347</v>
      </c>
      <c r="P131" s="5">
        <v>0</v>
      </c>
      <c r="Q131" s="5">
        <v>0</v>
      </c>
      <c r="R131" s="5" t="str">
        <f>A131&amp;"-"&amp;YEAR(F131)&amp;"-"&amp;IF(LEN(MONTH(F131))=1,"0"&amp;MONTH(F131),MONTH(F131))&amp;"-"&amp;IF(LEN(DAY(F131))=1,"0"&amp;DAY(F131),DAY(F131))</f>
        <v>150-2023-12-31</v>
      </c>
    </row>
    <row r="132" spans="1:18" x14ac:dyDescent="0.3">
      <c r="A132" s="5">
        <v>151</v>
      </c>
      <c r="B132" s="5" t="s">
        <v>39</v>
      </c>
      <c r="C132" s="5" t="s">
        <v>55</v>
      </c>
      <c r="D132" s="5" t="s">
        <v>25</v>
      </c>
      <c r="E132" s="5" t="s">
        <v>9</v>
      </c>
      <c r="F132" s="6">
        <v>45291</v>
      </c>
      <c r="G132" s="5">
        <f t="shared" ref="G132:G195" si="24">YEAR(F132)</f>
        <v>2023</v>
      </c>
      <c r="H132" s="5" t="str">
        <f t="shared" si="22"/>
        <v>Diciembre</v>
      </c>
      <c r="I132" s="6" t="str">
        <f t="shared" si="23"/>
        <v>2023-2</v>
      </c>
      <c r="J132" s="5"/>
      <c r="K132" s="5"/>
      <c r="L132" s="15" t="str">
        <f t="shared" si="20"/>
        <v/>
      </c>
      <c r="M132" s="15" t="str">
        <f t="shared" si="21"/>
        <v/>
      </c>
      <c r="N132" s="5" t="s">
        <v>488</v>
      </c>
      <c r="O132" s="5" t="s">
        <v>488</v>
      </c>
      <c r="P132" s="5">
        <v>0</v>
      </c>
      <c r="Q132" s="5">
        <v>0</v>
      </c>
      <c r="R132" s="5" t="str">
        <f>A132&amp;"-"&amp;YEAR(F132)&amp;"-"&amp;IF(LEN(MONTH(F132))=1,"0"&amp;MONTH(F132),MONTH(F132))&amp;"-"&amp;IF(LEN(DAY(F132))=1,"0"&amp;DAY(F132),DAY(F132))</f>
        <v>151-2023-12-31</v>
      </c>
    </row>
    <row r="133" spans="1:18" x14ac:dyDescent="0.3">
      <c r="A133" s="5">
        <v>157</v>
      </c>
      <c r="B133" s="5" t="s">
        <v>66</v>
      </c>
      <c r="C133" s="5" t="s">
        <v>67</v>
      </c>
      <c r="D133" s="5" t="s">
        <v>25</v>
      </c>
      <c r="E133" s="5" t="s">
        <v>9</v>
      </c>
      <c r="F133" s="6">
        <v>45291</v>
      </c>
      <c r="G133" s="5">
        <f t="shared" si="24"/>
        <v>2023</v>
      </c>
      <c r="H133" s="5" t="str">
        <f t="shared" si="22"/>
        <v>Diciembre</v>
      </c>
      <c r="I133" s="6" t="str">
        <f t="shared" si="23"/>
        <v>2023-2</v>
      </c>
      <c r="J133" s="5">
        <v>3</v>
      </c>
      <c r="K133" s="5">
        <v>7</v>
      </c>
      <c r="L133" s="15">
        <f t="shared" si="20"/>
        <v>1.3</v>
      </c>
      <c r="M133" s="15">
        <f t="shared" si="21"/>
        <v>2.3333333333333335</v>
      </c>
      <c r="N133" s="5" t="s">
        <v>490</v>
      </c>
      <c r="O133" s="5" t="s">
        <v>490</v>
      </c>
      <c r="P133" s="5">
        <v>0</v>
      </c>
      <c r="Q133" s="5">
        <v>0</v>
      </c>
      <c r="R133" s="5" t="str">
        <f>A133&amp;"-"&amp;YEAR(F133)&amp;"-"&amp;IF(LEN(MONTH(F133))=1,"0"&amp;MONTH(F133),MONTH(F133))&amp;"-"&amp;IF(LEN(DAY(F133))=1,"0"&amp;DAY(F133),DAY(F133))</f>
        <v>157-2023-12-31</v>
      </c>
    </row>
    <row r="134" spans="1:18" x14ac:dyDescent="0.3">
      <c r="A134" s="5">
        <v>159</v>
      </c>
      <c r="B134" s="5" t="s">
        <v>39</v>
      </c>
      <c r="C134" s="5" t="s">
        <v>67</v>
      </c>
      <c r="D134" s="5" t="s">
        <v>8</v>
      </c>
      <c r="E134" s="5" t="s">
        <v>9</v>
      </c>
      <c r="F134" s="6">
        <v>45291</v>
      </c>
      <c r="G134" s="5">
        <f t="shared" si="24"/>
        <v>2023</v>
      </c>
      <c r="H134" s="5" t="str">
        <f t="shared" si="22"/>
        <v>Diciembre</v>
      </c>
      <c r="I134" s="6" t="str">
        <f t="shared" si="23"/>
        <v>2023-2</v>
      </c>
      <c r="J134" s="5">
        <v>80</v>
      </c>
      <c r="K134" s="5">
        <v>98</v>
      </c>
      <c r="L134" s="15">
        <f t="shared" si="20"/>
        <v>1.2250000000000001</v>
      </c>
      <c r="M134" s="15">
        <f t="shared" si="21"/>
        <v>1.2250000000000001</v>
      </c>
      <c r="N134" s="5" t="s">
        <v>347</v>
      </c>
      <c r="O134" s="5" t="s">
        <v>347</v>
      </c>
      <c r="P134" s="5">
        <v>0</v>
      </c>
      <c r="Q134" s="5">
        <v>0</v>
      </c>
      <c r="R134" s="5" t="str">
        <f>A134&amp;"-"&amp;YEAR(F134)&amp;"-"&amp;IF(LEN(MONTH(F134))=1,"0"&amp;MONTH(F134),MONTH(F134))&amp;"-"&amp;IF(LEN(DAY(F134))=1,"0"&amp;DAY(F134),DAY(F134))</f>
        <v>159-2023-12-31</v>
      </c>
    </row>
    <row r="135" spans="1:18" x14ac:dyDescent="0.3">
      <c r="A135" s="5">
        <v>167</v>
      </c>
      <c r="B135" s="5" t="s">
        <v>68</v>
      </c>
      <c r="C135" s="5" t="s">
        <v>13</v>
      </c>
      <c r="D135" s="5" t="s">
        <v>8</v>
      </c>
      <c r="E135" s="5" t="s">
        <v>9</v>
      </c>
      <c r="F135" s="6">
        <v>45291</v>
      </c>
      <c r="G135" s="5">
        <f t="shared" si="24"/>
        <v>2023</v>
      </c>
      <c r="H135" s="5" t="str">
        <f t="shared" si="22"/>
        <v>Diciembre</v>
      </c>
      <c r="I135" s="6" t="str">
        <f t="shared" si="23"/>
        <v>2023-2</v>
      </c>
      <c r="J135" s="5">
        <v>80</v>
      </c>
      <c r="K135" s="5">
        <v>96.924999999999997</v>
      </c>
      <c r="L135" s="15">
        <f t="shared" si="20"/>
        <v>1.2115624999999999</v>
      </c>
      <c r="M135" s="15">
        <f t="shared" si="21"/>
        <v>1.2115624999999999</v>
      </c>
      <c r="N135" s="5" t="s">
        <v>347</v>
      </c>
      <c r="O135" s="5" t="s">
        <v>347</v>
      </c>
      <c r="P135" s="5">
        <v>0</v>
      </c>
      <c r="Q135" s="5">
        <v>1</v>
      </c>
      <c r="R135" s="5" t="str">
        <f>A135&amp;"-"&amp;YEAR(F135)&amp;"-"&amp;IF(LEN(MONTH(F135))=1,"0"&amp;MONTH(F135),MONTH(F135))&amp;"-"&amp;IF(LEN(DAY(F135))=1,"0"&amp;DAY(F135),DAY(F135))</f>
        <v>167-2023-12-31</v>
      </c>
    </row>
    <row r="136" spans="1:18" x14ac:dyDescent="0.3">
      <c r="A136" s="5">
        <v>172</v>
      </c>
      <c r="B136" s="5" t="s">
        <v>70</v>
      </c>
      <c r="C136" s="5" t="s">
        <v>45</v>
      </c>
      <c r="D136" s="5" t="s">
        <v>18</v>
      </c>
      <c r="E136" s="5" t="s">
        <v>9</v>
      </c>
      <c r="F136" s="6">
        <v>45291</v>
      </c>
      <c r="G136" s="5">
        <f t="shared" si="24"/>
        <v>2023</v>
      </c>
      <c r="H136" s="5" t="str">
        <f t="shared" si="22"/>
        <v>Diciembre</v>
      </c>
      <c r="I136" s="6" t="str">
        <f t="shared" si="23"/>
        <v>2023-2</v>
      </c>
      <c r="J136" s="5">
        <v>95</v>
      </c>
      <c r="K136" s="5">
        <v>100</v>
      </c>
      <c r="L136" s="15">
        <f t="shared" si="20"/>
        <v>1.0526315789473684</v>
      </c>
      <c r="M136" s="15">
        <f t="shared" si="21"/>
        <v>1.0526315789473684</v>
      </c>
      <c r="N136" s="5" t="s">
        <v>347</v>
      </c>
      <c r="O136" s="5" t="s">
        <v>347</v>
      </c>
      <c r="P136" s="5">
        <v>0</v>
      </c>
      <c r="Q136" s="5">
        <v>0</v>
      </c>
      <c r="R136" s="5" t="str">
        <f>A136&amp;"-"&amp;YEAR(F136)&amp;"-"&amp;IF(LEN(MONTH(F136))=1,"0"&amp;MONTH(F136),MONTH(F136))&amp;"-"&amp;IF(LEN(DAY(F136))=1,"0"&amp;DAY(F136),DAY(F136))</f>
        <v>172-2023-12-31</v>
      </c>
    </row>
    <row r="137" spans="1:18" x14ac:dyDescent="0.3">
      <c r="A137" s="5">
        <v>174</v>
      </c>
      <c r="B137" s="5" t="s">
        <v>71</v>
      </c>
      <c r="C137" s="5" t="s">
        <v>45</v>
      </c>
      <c r="D137" s="5" t="s">
        <v>8</v>
      </c>
      <c r="E137" s="5" t="s">
        <v>9</v>
      </c>
      <c r="F137" s="6">
        <v>45291</v>
      </c>
      <c r="G137" s="5">
        <f t="shared" si="24"/>
        <v>2023</v>
      </c>
      <c r="H137" s="5" t="str">
        <f t="shared" si="22"/>
        <v>Diciembre</v>
      </c>
      <c r="I137" s="6" t="str">
        <f t="shared" si="23"/>
        <v>2023-2</v>
      </c>
      <c r="J137" s="5">
        <v>95</v>
      </c>
      <c r="K137" s="5">
        <v>100</v>
      </c>
      <c r="L137" s="15">
        <f t="shared" si="20"/>
        <v>1.0526315789473684</v>
      </c>
      <c r="M137" s="15">
        <f t="shared" si="21"/>
        <v>1.0526315789473684</v>
      </c>
      <c r="N137" s="5" t="s">
        <v>347</v>
      </c>
      <c r="O137" s="5" t="s">
        <v>347</v>
      </c>
      <c r="P137" s="5">
        <v>0</v>
      </c>
      <c r="Q137" s="5">
        <v>0</v>
      </c>
      <c r="R137" s="5" t="str">
        <f>A137&amp;"-"&amp;YEAR(F137)&amp;"-"&amp;IF(LEN(MONTH(F137))=1,"0"&amp;MONTH(F137),MONTH(F137))&amp;"-"&amp;IF(LEN(DAY(F137))=1,"0"&amp;DAY(F137),DAY(F137))</f>
        <v>174-2023-12-31</v>
      </c>
    </row>
    <row r="138" spans="1:18" x14ac:dyDescent="0.3">
      <c r="A138" s="5">
        <v>176</v>
      </c>
      <c r="B138" s="5" t="s">
        <v>72</v>
      </c>
      <c r="C138" s="5" t="s">
        <v>45</v>
      </c>
      <c r="D138" s="5" t="s">
        <v>18</v>
      </c>
      <c r="E138" s="5" t="s">
        <v>9</v>
      </c>
      <c r="F138" s="6">
        <v>45291</v>
      </c>
      <c r="G138" s="5">
        <f t="shared" si="24"/>
        <v>2023</v>
      </c>
      <c r="H138" s="5" t="str">
        <f t="shared" si="22"/>
        <v>Diciembre</v>
      </c>
      <c r="I138" s="6" t="str">
        <f t="shared" si="23"/>
        <v>2023-2</v>
      </c>
      <c r="J138" s="5">
        <v>80</v>
      </c>
      <c r="K138" s="5">
        <v>81.37</v>
      </c>
      <c r="L138" s="15">
        <f t="shared" si="20"/>
        <v>1.0171250000000001</v>
      </c>
      <c r="M138" s="15">
        <f t="shared" si="21"/>
        <v>1.0171250000000001</v>
      </c>
      <c r="N138" s="5" t="s">
        <v>347</v>
      </c>
      <c r="O138" s="5" t="s">
        <v>347</v>
      </c>
      <c r="P138" s="5">
        <v>0</v>
      </c>
      <c r="Q138" s="5">
        <v>0</v>
      </c>
      <c r="R138" s="5" t="str">
        <f>A138&amp;"-"&amp;YEAR(F138)&amp;"-"&amp;IF(LEN(MONTH(F138))=1,"0"&amp;MONTH(F138),MONTH(F138))&amp;"-"&amp;IF(LEN(DAY(F138))=1,"0"&amp;DAY(F138),DAY(F138))</f>
        <v>176-2023-12-31</v>
      </c>
    </row>
    <row r="139" spans="1:18" x14ac:dyDescent="0.3">
      <c r="A139" s="5">
        <v>193</v>
      </c>
      <c r="B139" s="102" t="s">
        <v>847</v>
      </c>
      <c r="C139" s="5" t="s">
        <v>74</v>
      </c>
      <c r="D139" s="5" t="s">
        <v>8</v>
      </c>
      <c r="E139" s="5" t="s">
        <v>9</v>
      </c>
      <c r="F139" s="6">
        <v>45291</v>
      </c>
      <c r="G139" s="5">
        <f t="shared" si="24"/>
        <v>2023</v>
      </c>
      <c r="H139" s="5" t="str">
        <f t="shared" si="22"/>
        <v>Diciembre</v>
      </c>
      <c r="I139" s="6" t="str">
        <f t="shared" si="23"/>
        <v>2023-2</v>
      </c>
      <c r="J139" s="5">
        <v>92</v>
      </c>
      <c r="K139" s="5">
        <v>91.3</v>
      </c>
      <c r="L139" s="15">
        <f>IFERROR(IF((K139/J139)&gt;1,1,K139/J139),"")</f>
        <v>0.99239130434782608</v>
      </c>
      <c r="M139" s="15">
        <f t="shared" si="21"/>
        <v>0.99239130434782608</v>
      </c>
      <c r="N139" s="5" t="s">
        <v>347</v>
      </c>
      <c r="O139" s="5" t="s">
        <v>347</v>
      </c>
      <c r="P139" s="5">
        <v>1</v>
      </c>
      <c r="Q139" s="5">
        <v>1</v>
      </c>
      <c r="R139" s="5" t="str">
        <f>A139&amp;"-"&amp;YEAR(F139)&amp;"-"&amp;IF(LEN(MONTH(F139))=1,"0"&amp;MONTH(F139),MONTH(F139))&amp;"-"&amp;IF(LEN(DAY(F139))=1,"0"&amp;DAY(F139),DAY(F139))</f>
        <v>193-2023-12-31</v>
      </c>
    </row>
    <row r="140" spans="1:18" x14ac:dyDescent="0.3">
      <c r="A140" s="5">
        <v>194</v>
      </c>
      <c r="B140" s="5" t="s">
        <v>75</v>
      </c>
      <c r="C140" s="5" t="s">
        <v>74</v>
      </c>
      <c r="D140" s="5" t="s">
        <v>8</v>
      </c>
      <c r="E140" s="5" t="s">
        <v>9</v>
      </c>
      <c r="F140" s="6">
        <v>45291</v>
      </c>
      <c r="G140" s="5">
        <f t="shared" si="24"/>
        <v>2023</v>
      </c>
      <c r="H140" s="5" t="str">
        <f t="shared" si="22"/>
        <v>Diciembre</v>
      </c>
      <c r="I140" s="6" t="str">
        <f t="shared" si="23"/>
        <v>2023-2</v>
      </c>
      <c r="J140" s="5">
        <v>80</v>
      </c>
      <c r="K140" s="5">
        <v>81.91</v>
      </c>
      <c r="L140" s="15">
        <f>IFERROR(IF((K140/J140)&gt;1.3,1.3,K140/J140),"")</f>
        <v>1.0238749999999999</v>
      </c>
      <c r="M140" s="15">
        <f t="shared" si="21"/>
        <v>1.0238749999999999</v>
      </c>
      <c r="N140" s="5" t="s">
        <v>347</v>
      </c>
      <c r="O140" s="5" t="s">
        <v>347</v>
      </c>
      <c r="P140" s="5">
        <v>0</v>
      </c>
      <c r="Q140" s="5">
        <v>0</v>
      </c>
      <c r="R140" s="5" t="str">
        <f>A140&amp;"-"&amp;YEAR(F140)&amp;"-"&amp;IF(LEN(MONTH(F140))=1,"0"&amp;MONTH(F140),MONTH(F140))&amp;"-"&amp;IF(LEN(DAY(F140))=1,"0"&amp;DAY(F140),DAY(F140))</f>
        <v>194-2023-12-31</v>
      </c>
    </row>
    <row r="141" spans="1:18" x14ac:dyDescent="0.3">
      <c r="A141" s="5">
        <v>196</v>
      </c>
      <c r="B141" s="5" t="s">
        <v>77</v>
      </c>
      <c r="C141" s="5" t="s">
        <v>74</v>
      </c>
      <c r="D141" s="5" t="s">
        <v>8</v>
      </c>
      <c r="E141" s="5" t="s">
        <v>14</v>
      </c>
      <c r="F141" s="6">
        <v>45291</v>
      </c>
      <c r="G141" s="5">
        <f t="shared" si="24"/>
        <v>2023</v>
      </c>
      <c r="H141" s="5" t="str">
        <f t="shared" si="22"/>
        <v>Diciembre</v>
      </c>
      <c r="I141" s="6" t="str">
        <f t="shared" si="23"/>
        <v>2023-2</v>
      </c>
      <c r="J141" s="5">
        <v>37</v>
      </c>
      <c r="K141" s="5">
        <v>26.62</v>
      </c>
      <c r="L141" s="15">
        <f>IFERROR(IF((J141/K141)&gt;1.3,1.3,J141/K141),"")</f>
        <v>1.3</v>
      </c>
      <c r="M141" s="15">
        <f>IFERROR(IF((J141/K141)&gt;J141/K141,1.3,J141/K141),"")</f>
        <v>1.3899323816679188</v>
      </c>
      <c r="N141" s="5" t="s">
        <v>347</v>
      </c>
      <c r="O141" s="5" t="s">
        <v>347</v>
      </c>
      <c r="P141" s="5">
        <v>0</v>
      </c>
      <c r="Q141" s="5">
        <v>0</v>
      </c>
      <c r="R141" s="5" t="str">
        <f>A141&amp;"-"&amp;YEAR(F141)&amp;"-"&amp;IF(LEN(MONTH(F141))=1,"0"&amp;MONTH(F141),MONTH(F141))&amp;"-"&amp;IF(LEN(DAY(F141))=1,"0"&amp;DAY(F141),DAY(F141))</f>
        <v>196-2023-12-31</v>
      </c>
    </row>
    <row r="142" spans="1:18" x14ac:dyDescent="0.3">
      <c r="A142" s="5">
        <v>197</v>
      </c>
      <c r="B142" s="5" t="s">
        <v>78</v>
      </c>
      <c r="C142" s="5" t="s">
        <v>43</v>
      </c>
      <c r="D142" s="5" t="s">
        <v>11</v>
      </c>
      <c r="E142" s="5" t="s">
        <v>9</v>
      </c>
      <c r="F142" s="6">
        <v>45291</v>
      </c>
      <c r="G142" s="5">
        <f t="shared" si="24"/>
        <v>2023</v>
      </c>
      <c r="H142" s="5" t="str">
        <f t="shared" si="22"/>
        <v>Diciembre</v>
      </c>
      <c r="I142" s="6" t="str">
        <f t="shared" si="23"/>
        <v>2023-2</v>
      </c>
      <c r="J142" s="5">
        <v>90</v>
      </c>
      <c r="K142" s="5">
        <v>100</v>
      </c>
      <c r="L142" s="15">
        <f>IFERROR(IF(K142/J142&gt;1,1,K142/J142),"")</f>
        <v>1</v>
      </c>
      <c r="M142" s="15">
        <v>1</v>
      </c>
      <c r="N142" s="5" t="s">
        <v>347</v>
      </c>
      <c r="O142" s="5" t="s">
        <v>347</v>
      </c>
      <c r="P142" s="5">
        <v>0</v>
      </c>
      <c r="Q142" s="5">
        <v>0</v>
      </c>
      <c r="R142" s="5" t="str">
        <f>A142&amp;"-"&amp;YEAR(F142)&amp;"-"&amp;IF(LEN(MONTH(F142))=1,"0"&amp;MONTH(F142),MONTH(F142))&amp;"-"&amp;IF(LEN(DAY(F142))=1,"0"&amp;DAY(F142),DAY(F142))</f>
        <v>197-2023-12-31</v>
      </c>
    </row>
    <row r="143" spans="1:18" x14ac:dyDescent="0.3">
      <c r="A143" s="5">
        <v>199</v>
      </c>
      <c r="B143" s="5" t="s">
        <v>79</v>
      </c>
      <c r="C143" s="5" t="s">
        <v>13</v>
      </c>
      <c r="D143" s="5" t="s">
        <v>8</v>
      </c>
      <c r="E143" s="5" t="s">
        <v>9</v>
      </c>
      <c r="F143" s="6">
        <v>45291</v>
      </c>
      <c r="G143" s="5">
        <f t="shared" si="24"/>
        <v>2023</v>
      </c>
      <c r="H143" s="5" t="str">
        <f t="shared" si="22"/>
        <v>Diciembre</v>
      </c>
      <c r="I143" s="6" t="str">
        <f t="shared" si="23"/>
        <v>2023-2</v>
      </c>
      <c r="J143" s="5">
        <v>70</v>
      </c>
      <c r="K143" s="5">
        <v>87.67</v>
      </c>
      <c r="L143" s="15">
        <f t="shared" ref="L143:L149" si="25">IFERROR(IF((K143/J143)&gt;1.3,1.3,K143/J143),"")</f>
        <v>1.2524285714285714</v>
      </c>
      <c r="M143" s="15">
        <f t="shared" ref="M143:M149" si="26">IFERROR(K143/J143,"")</f>
        <v>1.2524285714285714</v>
      </c>
      <c r="N143" s="5" t="s">
        <v>347</v>
      </c>
      <c r="O143" s="5" t="s">
        <v>347</v>
      </c>
      <c r="P143" s="5">
        <v>0</v>
      </c>
      <c r="Q143" s="5">
        <v>0</v>
      </c>
      <c r="R143" s="5" t="str">
        <f>A143&amp;"-"&amp;YEAR(F143)&amp;"-"&amp;IF(LEN(MONTH(F143))=1,"0"&amp;MONTH(F143),MONTH(F143))&amp;"-"&amp;IF(LEN(DAY(F143))=1,"0"&amp;DAY(F143),DAY(F143))</f>
        <v>199-2023-12-31</v>
      </c>
    </row>
    <row r="144" spans="1:18" x14ac:dyDescent="0.3">
      <c r="A144" s="5">
        <v>200</v>
      </c>
      <c r="B144" s="5" t="s">
        <v>80</v>
      </c>
      <c r="C144" s="5" t="s">
        <v>13</v>
      </c>
      <c r="D144" s="5" t="s">
        <v>25</v>
      </c>
      <c r="E144" s="5" t="s">
        <v>9</v>
      </c>
      <c r="F144" s="6">
        <v>45291</v>
      </c>
      <c r="G144" s="5">
        <f t="shared" si="24"/>
        <v>2023</v>
      </c>
      <c r="H144" s="5" t="str">
        <f t="shared" si="22"/>
        <v>Diciembre</v>
      </c>
      <c r="I144" s="6" t="str">
        <f t="shared" si="23"/>
        <v>2023-2</v>
      </c>
      <c r="J144" s="5"/>
      <c r="K144" s="5">
        <v>90</v>
      </c>
      <c r="L144" s="15" t="str">
        <f t="shared" si="25"/>
        <v/>
      </c>
      <c r="M144" s="15" t="str">
        <f t="shared" si="26"/>
        <v/>
      </c>
      <c r="N144" s="5" t="s">
        <v>477</v>
      </c>
      <c r="O144" s="5" t="s">
        <v>347</v>
      </c>
      <c r="P144" s="5">
        <v>0</v>
      </c>
      <c r="Q144" s="5">
        <v>0</v>
      </c>
      <c r="R144" s="5" t="str">
        <f>A144&amp;"-"&amp;YEAR(F144)&amp;"-"&amp;IF(LEN(MONTH(F144))=1,"0"&amp;MONTH(F144),MONTH(F144))&amp;"-"&amp;IF(LEN(DAY(F144))=1,"0"&amp;DAY(F144),DAY(F144))</f>
        <v>200-2023-12-31</v>
      </c>
    </row>
    <row r="145" spans="1:18" x14ac:dyDescent="0.3">
      <c r="A145" s="5">
        <v>202</v>
      </c>
      <c r="B145" s="5" t="s">
        <v>82</v>
      </c>
      <c r="C145" s="5" t="s">
        <v>13</v>
      </c>
      <c r="D145" s="5" t="s">
        <v>25</v>
      </c>
      <c r="E145" s="5" t="s">
        <v>9</v>
      </c>
      <c r="F145" s="6">
        <v>45291</v>
      </c>
      <c r="G145" s="16">
        <f t="shared" si="24"/>
        <v>2023</v>
      </c>
      <c r="H145" s="6" t="str">
        <f t="shared" si="22"/>
        <v>Diciembre</v>
      </c>
      <c r="I145" s="6" t="str">
        <f t="shared" si="23"/>
        <v>2023-2</v>
      </c>
      <c r="J145" s="5">
        <v>66</v>
      </c>
      <c r="K145" s="5">
        <v>64.7</v>
      </c>
      <c r="L145" s="15">
        <f t="shared" si="25"/>
        <v>0.98030303030303034</v>
      </c>
      <c r="M145" s="15">
        <f t="shared" si="26"/>
        <v>0.98030303030303034</v>
      </c>
      <c r="N145" s="5" t="s">
        <v>490</v>
      </c>
      <c r="O145" s="5" t="s">
        <v>478</v>
      </c>
      <c r="P145" s="5">
        <v>0</v>
      </c>
      <c r="Q145" s="5">
        <v>1</v>
      </c>
      <c r="R145" s="5" t="str">
        <f>A145&amp;"-"&amp;YEAR(F145)&amp;"-"&amp;IF(LEN(MONTH(F145))=1,"0"&amp;MONTH(F145),MONTH(F145))&amp;"-"&amp;IF(LEN(DAY(F145))=1,"0"&amp;DAY(F145),DAY(F145))</f>
        <v>202-2023-12-31</v>
      </c>
    </row>
    <row r="146" spans="1:18" x14ac:dyDescent="0.3">
      <c r="A146" s="5">
        <v>203</v>
      </c>
      <c r="B146" s="5" t="s">
        <v>83</v>
      </c>
      <c r="C146" s="5" t="s">
        <v>84</v>
      </c>
      <c r="D146" s="5" t="s">
        <v>8</v>
      </c>
      <c r="E146" s="5" t="s">
        <v>9</v>
      </c>
      <c r="F146" s="6">
        <v>45291</v>
      </c>
      <c r="G146" s="5">
        <f t="shared" si="24"/>
        <v>2023</v>
      </c>
      <c r="H146" s="5" t="str">
        <f t="shared" si="22"/>
        <v>Diciembre</v>
      </c>
      <c r="I146" s="6" t="str">
        <f t="shared" si="23"/>
        <v>2023-2</v>
      </c>
      <c r="J146" s="12">
        <v>264844.43927600002</v>
      </c>
      <c r="K146" s="12">
        <v>273867.05092800001</v>
      </c>
      <c r="L146" s="15">
        <f t="shared" si="25"/>
        <v>1.0340675895505487</v>
      </c>
      <c r="M146" s="15">
        <f t="shared" si="26"/>
        <v>1.0340675895505487</v>
      </c>
      <c r="N146" s="5" t="s">
        <v>474</v>
      </c>
      <c r="O146" s="5" t="s">
        <v>474</v>
      </c>
      <c r="P146" s="5">
        <v>0</v>
      </c>
      <c r="Q146" s="5">
        <v>0</v>
      </c>
      <c r="R146" s="5" t="str">
        <f>A146&amp;"-"&amp;YEAR(F146)&amp;"-"&amp;IF(LEN(MONTH(F146))=1,"0"&amp;MONTH(F146),MONTH(F146))&amp;"-"&amp;IF(LEN(DAY(F146))=1,"0"&amp;DAY(F146),DAY(F146))</f>
        <v>203-2023-12-31</v>
      </c>
    </row>
    <row r="147" spans="1:18" x14ac:dyDescent="0.3">
      <c r="A147" s="5">
        <v>204</v>
      </c>
      <c r="B147" s="5" t="s">
        <v>85</v>
      </c>
      <c r="C147" s="5" t="s">
        <v>84</v>
      </c>
      <c r="D147" s="5" t="s">
        <v>8</v>
      </c>
      <c r="E147" s="5" t="s">
        <v>9</v>
      </c>
      <c r="F147" s="6">
        <v>45291</v>
      </c>
      <c r="G147" s="5">
        <f t="shared" si="24"/>
        <v>2023</v>
      </c>
      <c r="H147" s="5" t="str">
        <f t="shared" si="22"/>
        <v>Diciembre</v>
      </c>
      <c r="I147" s="6" t="str">
        <f t="shared" si="23"/>
        <v>2023-2</v>
      </c>
      <c r="J147" s="9">
        <v>86846.60702431656</v>
      </c>
      <c r="K147" s="9">
        <v>141016.76289899999</v>
      </c>
      <c r="L147" s="15">
        <f t="shared" si="25"/>
        <v>1.3</v>
      </c>
      <c r="M147" s="15">
        <f t="shared" si="26"/>
        <v>1.6237452185036554</v>
      </c>
      <c r="N147" s="5" t="s">
        <v>474</v>
      </c>
      <c r="O147" s="5" t="s">
        <v>474</v>
      </c>
      <c r="P147" s="5">
        <v>0</v>
      </c>
      <c r="Q147" s="5">
        <v>0</v>
      </c>
      <c r="R147" s="5" t="str">
        <f>A147&amp;"-"&amp;YEAR(F147)&amp;"-"&amp;IF(LEN(MONTH(F147))=1,"0"&amp;MONTH(F147),MONTH(F147))&amp;"-"&amp;IF(LEN(DAY(F147))=1,"0"&amp;DAY(F147),DAY(F147))</f>
        <v>204-2023-12-31</v>
      </c>
    </row>
    <row r="148" spans="1:18" x14ac:dyDescent="0.3">
      <c r="A148" s="5">
        <v>205</v>
      </c>
      <c r="B148" s="5" t="s">
        <v>86</v>
      </c>
      <c r="C148" s="5" t="s">
        <v>84</v>
      </c>
      <c r="D148" s="5" t="s">
        <v>8</v>
      </c>
      <c r="E148" s="5" t="s">
        <v>9</v>
      </c>
      <c r="F148" s="6">
        <v>45291</v>
      </c>
      <c r="G148" s="5">
        <f t="shared" si="24"/>
        <v>2023</v>
      </c>
      <c r="H148" s="5" t="str">
        <f t="shared" si="22"/>
        <v>Diciembre</v>
      </c>
      <c r="I148" s="6" t="str">
        <f t="shared" si="23"/>
        <v>2023-2</v>
      </c>
      <c r="J148" s="9">
        <v>2041.7866710000001</v>
      </c>
      <c r="K148" s="9">
        <v>8708.3762700000007</v>
      </c>
      <c r="L148" s="15">
        <f t="shared" si="25"/>
        <v>1.3</v>
      </c>
      <c r="M148" s="15">
        <f t="shared" si="26"/>
        <v>4.2650764615555667</v>
      </c>
      <c r="N148" s="5" t="s">
        <v>474</v>
      </c>
      <c r="O148" s="5" t="s">
        <v>474</v>
      </c>
      <c r="P148" s="5">
        <v>0</v>
      </c>
      <c r="Q148" s="5">
        <v>0</v>
      </c>
      <c r="R148" s="5" t="str">
        <f>A148&amp;"-"&amp;YEAR(F148)&amp;"-"&amp;IF(LEN(MONTH(F148))=1,"0"&amp;MONTH(F148),MONTH(F148))&amp;"-"&amp;IF(LEN(DAY(F148))=1,"0"&amp;DAY(F148),DAY(F148))</f>
        <v>205-2023-12-31</v>
      </c>
    </row>
    <row r="149" spans="1:18" x14ac:dyDescent="0.3">
      <c r="A149" s="5">
        <v>206</v>
      </c>
      <c r="B149" s="5" t="s">
        <v>769</v>
      </c>
      <c r="C149" s="5" t="s">
        <v>84</v>
      </c>
      <c r="D149" s="5" t="s">
        <v>8</v>
      </c>
      <c r="E149" s="5" t="s">
        <v>9</v>
      </c>
      <c r="F149" s="6">
        <v>45291</v>
      </c>
      <c r="G149" s="5">
        <f t="shared" si="24"/>
        <v>2023</v>
      </c>
      <c r="H149" s="5" t="str">
        <f t="shared" si="22"/>
        <v>Diciembre</v>
      </c>
      <c r="I149" s="6" t="str">
        <f t="shared" si="23"/>
        <v>2023-2</v>
      </c>
      <c r="J149" s="9">
        <v>1</v>
      </c>
      <c r="K149" s="9">
        <v>2.69</v>
      </c>
      <c r="L149" s="15">
        <f t="shared" si="25"/>
        <v>1.3</v>
      </c>
      <c r="M149" s="15">
        <f t="shared" si="26"/>
        <v>2.69</v>
      </c>
      <c r="N149" s="5" t="s">
        <v>347</v>
      </c>
      <c r="O149" s="5" t="s">
        <v>347</v>
      </c>
      <c r="P149" s="5">
        <v>0</v>
      </c>
      <c r="Q149" s="5">
        <v>2</v>
      </c>
      <c r="R149" s="5" t="str">
        <f>A149&amp;"-"&amp;YEAR(F149)&amp;"-"&amp;IF(LEN(MONTH(F149))=1,"0"&amp;MONTH(F149),MONTH(F149))&amp;"-"&amp;IF(LEN(DAY(F149))=1,"0"&amp;DAY(F149),DAY(F149))</f>
        <v>206-2023-12-31</v>
      </c>
    </row>
    <row r="150" spans="1:18" x14ac:dyDescent="0.3">
      <c r="A150" s="5">
        <v>207</v>
      </c>
      <c r="B150" s="5" t="s">
        <v>88</v>
      </c>
      <c r="C150" s="5" t="s">
        <v>84</v>
      </c>
      <c r="D150" s="5" t="s">
        <v>8</v>
      </c>
      <c r="E150" s="5" t="s">
        <v>14</v>
      </c>
      <c r="F150" s="6">
        <v>45291</v>
      </c>
      <c r="G150" s="5">
        <f t="shared" si="24"/>
        <v>2023</v>
      </c>
      <c r="H150" s="5" t="str">
        <f t="shared" si="22"/>
        <v>Diciembre</v>
      </c>
      <c r="I150" s="6" t="str">
        <f t="shared" si="23"/>
        <v>2023-2</v>
      </c>
      <c r="J150" s="9">
        <v>238770.96657245801</v>
      </c>
      <c r="K150" s="9">
        <v>247359.73307500005</v>
      </c>
      <c r="L150" s="15">
        <f>IFERROR(IF((J150/K150)&gt;J150/K150,1.3,J150/K150),"")</f>
        <v>0.96527823507984656</v>
      </c>
      <c r="M150" s="15">
        <f>IFERROR(IF((J150/K150)&gt;J150/K150,1.3,J150/K150),"")</f>
        <v>0.96527823507984656</v>
      </c>
      <c r="N150" s="5" t="s">
        <v>474</v>
      </c>
      <c r="O150" s="5" t="s">
        <v>474</v>
      </c>
      <c r="P150" s="5">
        <v>0</v>
      </c>
      <c r="Q150" s="5">
        <v>0</v>
      </c>
      <c r="R150" s="5" t="str">
        <f>A150&amp;"-"&amp;YEAR(F150)&amp;"-"&amp;IF(LEN(MONTH(F150))=1,"0"&amp;MONTH(F150),MONTH(F150))&amp;"-"&amp;IF(LEN(DAY(F150))=1,"0"&amp;DAY(F150),DAY(F150))</f>
        <v>207-2023-12-31</v>
      </c>
    </row>
    <row r="151" spans="1:18" x14ac:dyDescent="0.3">
      <c r="A151" s="5">
        <v>208</v>
      </c>
      <c r="B151" s="5" t="s">
        <v>89</v>
      </c>
      <c r="C151" s="5" t="s">
        <v>90</v>
      </c>
      <c r="D151" s="5" t="s">
        <v>18</v>
      </c>
      <c r="E151" s="5" t="s">
        <v>14</v>
      </c>
      <c r="F151" s="6">
        <v>45291</v>
      </c>
      <c r="G151" s="5">
        <f t="shared" si="24"/>
        <v>2023</v>
      </c>
      <c r="H151" s="5" t="str">
        <f t="shared" si="22"/>
        <v>Diciembre</v>
      </c>
      <c r="I151" s="6" t="str">
        <f t="shared" si="23"/>
        <v>2023-2</v>
      </c>
      <c r="J151" s="5"/>
      <c r="K151" s="5">
        <v>14739.5</v>
      </c>
      <c r="L151" s="15">
        <f>IFERROR(IF((J151/K151)&gt;1,1,J151/K151),"")</f>
        <v>0</v>
      </c>
      <c r="M151" s="15">
        <f>IFERROR(IF((J151/K151)&gt;1/K151,1,J151/K151),"")</f>
        <v>0</v>
      </c>
      <c r="N151" s="5" t="s">
        <v>477</v>
      </c>
      <c r="O151" s="5" t="s">
        <v>723</v>
      </c>
      <c r="P151" s="5">
        <v>0</v>
      </c>
      <c r="Q151" s="5">
        <v>0</v>
      </c>
      <c r="R151" s="5" t="str">
        <f>A151&amp;"-"&amp;YEAR(F151)&amp;"-"&amp;IF(LEN(MONTH(F151))=1,"0"&amp;MONTH(F151),MONTH(F151))&amp;"-"&amp;IF(LEN(DAY(F151))=1,"0"&amp;DAY(F151),DAY(F151))</f>
        <v>208-2023-12-31</v>
      </c>
    </row>
    <row r="152" spans="1:18" x14ac:dyDescent="0.3">
      <c r="A152" s="5">
        <v>210</v>
      </c>
      <c r="B152" s="5" t="s">
        <v>91</v>
      </c>
      <c r="C152" s="5" t="s">
        <v>90</v>
      </c>
      <c r="D152" s="5" t="s">
        <v>25</v>
      </c>
      <c r="E152" s="5" t="s">
        <v>9</v>
      </c>
      <c r="F152" s="6">
        <v>45291</v>
      </c>
      <c r="G152" s="5">
        <f t="shared" si="24"/>
        <v>2023</v>
      </c>
      <c r="H152" s="5" t="str">
        <f t="shared" si="22"/>
        <v>Diciembre</v>
      </c>
      <c r="I152" s="6" t="str">
        <f t="shared" si="23"/>
        <v>2023-2</v>
      </c>
      <c r="J152" s="5"/>
      <c r="K152" s="5"/>
      <c r="L152" s="15" t="str">
        <f>IFERROR(IF((K152/J152)&gt;1.3,1.3,K152/J152),"")</f>
        <v/>
      </c>
      <c r="M152" s="15" t="str">
        <f>IFERROR(K152/J152,"")</f>
        <v/>
      </c>
      <c r="N152" s="5" t="s">
        <v>491</v>
      </c>
      <c r="O152" s="5" t="s">
        <v>491</v>
      </c>
      <c r="P152" s="5">
        <v>0</v>
      </c>
      <c r="Q152" s="5">
        <v>0</v>
      </c>
      <c r="R152" s="5" t="str">
        <f>A152&amp;"-"&amp;YEAR(F152)&amp;"-"&amp;IF(LEN(MONTH(F152))=1,"0"&amp;MONTH(F152),MONTH(F152))&amp;"-"&amp;IF(LEN(DAY(F152))=1,"0"&amp;DAY(F152),DAY(F152))</f>
        <v>210-2023-12-31</v>
      </c>
    </row>
    <row r="153" spans="1:18" x14ac:dyDescent="0.3">
      <c r="A153" s="5">
        <v>213</v>
      </c>
      <c r="B153" s="5" t="s">
        <v>92</v>
      </c>
      <c r="C153" s="5" t="s">
        <v>90</v>
      </c>
      <c r="D153" s="5" t="s">
        <v>11</v>
      </c>
      <c r="E153" s="5" t="s">
        <v>9</v>
      </c>
      <c r="F153" s="6">
        <v>45291</v>
      </c>
      <c r="G153" s="5">
        <f t="shared" si="24"/>
        <v>2023</v>
      </c>
      <c r="H153" s="5" t="str">
        <f t="shared" si="22"/>
        <v>Diciembre</v>
      </c>
      <c r="I153" s="6" t="str">
        <f t="shared" si="23"/>
        <v>2023-2</v>
      </c>
      <c r="J153" s="5">
        <v>100</v>
      </c>
      <c r="K153" s="5">
        <v>100</v>
      </c>
      <c r="L153" s="15">
        <f>IFERROR(IF((K153/J153)&gt;1,1,K153/J153),"")</f>
        <v>1</v>
      </c>
      <c r="M153" s="15">
        <f>IFERROR(K153/J153,"")</f>
        <v>1</v>
      </c>
      <c r="N153" s="5" t="s">
        <v>347</v>
      </c>
      <c r="O153" s="5" t="s">
        <v>347</v>
      </c>
      <c r="P153" s="5">
        <v>0</v>
      </c>
      <c r="Q153" s="5">
        <v>0</v>
      </c>
      <c r="R153" s="5" t="str">
        <f>A153&amp;"-"&amp;YEAR(F153)&amp;"-"&amp;IF(LEN(MONTH(F153))=1,"0"&amp;MONTH(F153),MONTH(F153))&amp;"-"&amp;IF(LEN(DAY(F153))=1,"0"&amp;DAY(F153),DAY(F153))</f>
        <v>213-2023-12-31</v>
      </c>
    </row>
    <row r="154" spans="1:18" x14ac:dyDescent="0.3">
      <c r="A154" s="5">
        <v>214</v>
      </c>
      <c r="B154" s="5" t="s">
        <v>93</v>
      </c>
      <c r="C154" s="5" t="s">
        <v>90</v>
      </c>
      <c r="D154" s="5" t="s">
        <v>18</v>
      </c>
      <c r="E154" s="5" t="s">
        <v>14</v>
      </c>
      <c r="F154" s="6">
        <v>45291</v>
      </c>
      <c r="G154" s="5">
        <f t="shared" si="24"/>
        <v>2023</v>
      </c>
      <c r="H154" s="5" t="str">
        <f t="shared" si="22"/>
        <v>Diciembre</v>
      </c>
      <c r="I154" s="6" t="str">
        <f t="shared" si="23"/>
        <v>2023-2</v>
      </c>
      <c r="J154" s="5">
        <v>90000</v>
      </c>
      <c r="K154" s="5">
        <v>44656</v>
      </c>
      <c r="L154" s="15">
        <f>IFERROR(IF((J154/K154)&gt;1,1,J154/K154),"")</f>
        <v>1</v>
      </c>
      <c r="M154" s="15">
        <f>IFERROR(IF((J154/K154)&gt;1,1,J154/K154),"")</f>
        <v>1</v>
      </c>
      <c r="N154" s="5" t="s">
        <v>492</v>
      </c>
      <c r="O154" s="5" t="s">
        <v>492</v>
      </c>
      <c r="P154" s="5">
        <v>0</v>
      </c>
      <c r="Q154" s="5">
        <v>0</v>
      </c>
      <c r="R154" s="5" t="str">
        <f>A154&amp;"-"&amp;YEAR(F154)&amp;"-"&amp;IF(LEN(MONTH(F154))=1,"0"&amp;MONTH(F154),MONTH(F154))&amp;"-"&amp;IF(LEN(DAY(F154))=1,"0"&amp;DAY(F154),DAY(F154))</f>
        <v>214-2023-12-31</v>
      </c>
    </row>
    <row r="155" spans="1:18" x14ac:dyDescent="0.3">
      <c r="A155" s="5">
        <v>215</v>
      </c>
      <c r="B155" s="5" t="s">
        <v>94</v>
      </c>
      <c r="C155" s="5" t="s">
        <v>90</v>
      </c>
      <c r="D155" s="5" t="s">
        <v>8</v>
      </c>
      <c r="E155" s="5" t="s">
        <v>9</v>
      </c>
      <c r="F155" s="6">
        <v>45291</v>
      </c>
      <c r="G155" s="5">
        <f t="shared" si="24"/>
        <v>2023</v>
      </c>
      <c r="H155" s="5" t="str">
        <f t="shared" si="22"/>
        <v>Diciembre</v>
      </c>
      <c r="I155" s="6" t="str">
        <f t="shared" si="23"/>
        <v>2023-2</v>
      </c>
      <c r="J155" s="5">
        <v>1</v>
      </c>
      <c r="K155" s="5">
        <v>-185.88</v>
      </c>
      <c r="L155" s="15">
        <v>0</v>
      </c>
      <c r="M155" s="15">
        <v>0</v>
      </c>
      <c r="N155" s="5" t="s">
        <v>347</v>
      </c>
      <c r="O155" s="5" t="s">
        <v>347</v>
      </c>
      <c r="P155" s="5">
        <v>2</v>
      </c>
      <c r="Q155" s="5">
        <v>2</v>
      </c>
      <c r="R155" s="5" t="str">
        <f>A155&amp;"-"&amp;YEAR(F155)&amp;"-"&amp;IF(LEN(MONTH(F155))=1,"0"&amp;MONTH(F155),MONTH(F155))&amp;"-"&amp;IF(LEN(DAY(F155))=1,"0"&amp;DAY(F155),DAY(F155))</f>
        <v>215-2023-12-31</v>
      </c>
    </row>
    <row r="156" spans="1:18" x14ac:dyDescent="0.3">
      <c r="A156" s="5">
        <v>216</v>
      </c>
      <c r="B156" s="5" t="s">
        <v>95</v>
      </c>
      <c r="C156" s="5" t="s">
        <v>90</v>
      </c>
      <c r="D156" s="5" t="s">
        <v>25</v>
      </c>
      <c r="E156" s="5" t="s">
        <v>9</v>
      </c>
      <c r="F156" s="6">
        <v>45291</v>
      </c>
      <c r="G156" s="5">
        <f t="shared" si="24"/>
        <v>2023</v>
      </c>
      <c r="H156" s="5" t="str">
        <f t="shared" si="22"/>
        <v>Diciembre</v>
      </c>
      <c r="I156" s="6" t="str">
        <f t="shared" si="23"/>
        <v>2023-2</v>
      </c>
      <c r="J156" s="5">
        <v>100</v>
      </c>
      <c r="K156" s="5">
        <v>100</v>
      </c>
      <c r="L156" s="15">
        <f>K156/J156</f>
        <v>1</v>
      </c>
      <c r="M156" s="15">
        <f>K156/J156</f>
        <v>1</v>
      </c>
      <c r="N156" s="5" t="s">
        <v>347</v>
      </c>
      <c r="O156" s="5" t="s">
        <v>347</v>
      </c>
      <c r="P156" s="5">
        <v>0</v>
      </c>
      <c r="Q156" s="5">
        <v>0</v>
      </c>
      <c r="R156" s="5" t="str">
        <f>A156&amp;"-"&amp;YEAR(F156)&amp;"-"&amp;IF(LEN(MONTH(F156))=1,"0"&amp;MONTH(F156),MONTH(F156))&amp;"-"&amp;IF(LEN(DAY(F156))=1,"0"&amp;DAY(F156),DAY(F156))</f>
        <v>216-2023-12-31</v>
      </c>
    </row>
    <row r="157" spans="1:18" x14ac:dyDescent="0.3">
      <c r="A157" s="5">
        <v>217</v>
      </c>
      <c r="B157" s="5" t="s">
        <v>96</v>
      </c>
      <c r="C157" s="5" t="s">
        <v>90</v>
      </c>
      <c r="D157" s="5" t="s">
        <v>18</v>
      </c>
      <c r="E157" s="5" t="s">
        <v>9</v>
      </c>
      <c r="F157" s="6">
        <v>45291</v>
      </c>
      <c r="G157" s="5">
        <f t="shared" si="24"/>
        <v>2023</v>
      </c>
      <c r="H157" s="5" t="str">
        <f t="shared" si="22"/>
        <v>Diciembre</v>
      </c>
      <c r="I157" s="6" t="str">
        <f t="shared" si="23"/>
        <v>2023-2</v>
      </c>
      <c r="J157" s="3">
        <v>20</v>
      </c>
      <c r="K157" s="3">
        <v>23.28</v>
      </c>
      <c r="L157" s="15">
        <f>IFERROR(IF((K157/J157)&gt;1,1,K157/J157),"")</f>
        <v>1</v>
      </c>
      <c r="M157" s="15">
        <f>IFERROR(K157/J157,"")</f>
        <v>1.1640000000000001</v>
      </c>
      <c r="N157" s="5" t="s">
        <v>347</v>
      </c>
      <c r="O157" s="5" t="s">
        <v>347</v>
      </c>
      <c r="P157" s="5">
        <v>0</v>
      </c>
      <c r="Q157" s="5">
        <v>0</v>
      </c>
      <c r="R157" s="5" t="str">
        <f>A157&amp;"-"&amp;YEAR(F157)&amp;"-"&amp;IF(LEN(MONTH(F157))=1,"0"&amp;MONTH(F157),MONTH(F157))&amp;"-"&amp;IF(LEN(DAY(F157))=1,"0"&amp;DAY(F157),DAY(F157))</f>
        <v>217-2023-12-31</v>
      </c>
    </row>
    <row r="158" spans="1:18" x14ac:dyDescent="0.3">
      <c r="A158" s="5">
        <v>218</v>
      </c>
      <c r="B158" s="5" t="s">
        <v>97</v>
      </c>
      <c r="C158" s="5" t="s">
        <v>90</v>
      </c>
      <c r="D158" s="5" t="s">
        <v>18</v>
      </c>
      <c r="E158" s="5" t="s">
        <v>14</v>
      </c>
      <c r="F158" s="6">
        <v>45291</v>
      </c>
      <c r="G158" s="5">
        <f t="shared" si="24"/>
        <v>2023</v>
      </c>
      <c r="H158" s="5" t="str">
        <f t="shared" si="22"/>
        <v>Diciembre</v>
      </c>
      <c r="I158" s="6" t="str">
        <f t="shared" si="23"/>
        <v>2023-2</v>
      </c>
      <c r="J158" s="9">
        <v>2064000</v>
      </c>
      <c r="K158" s="9">
        <v>1604699.23</v>
      </c>
      <c r="L158" s="15">
        <f>IFERROR(IF((J158/K158)&gt;1,1,J158/K158),"")</f>
        <v>1</v>
      </c>
      <c r="M158" s="15">
        <f>IFERROR(IF((J158/K158)&gt;J158/K158,1.3,J158/K158),"")</f>
        <v>1.2862223408682012</v>
      </c>
      <c r="N158" s="5" t="s">
        <v>362</v>
      </c>
      <c r="O158" s="5" t="s">
        <v>362</v>
      </c>
      <c r="P158" s="5">
        <v>0</v>
      </c>
      <c r="Q158" s="5">
        <v>0</v>
      </c>
      <c r="R158" s="5" t="str">
        <f>A158&amp;"-"&amp;YEAR(F158)&amp;"-"&amp;IF(LEN(MONTH(F158))=1,"0"&amp;MONTH(F158),MONTH(F158))&amp;"-"&amp;IF(LEN(DAY(F158))=1,"0"&amp;DAY(F158),DAY(F158))</f>
        <v>218-2023-12-31</v>
      </c>
    </row>
    <row r="159" spans="1:18" x14ac:dyDescent="0.3">
      <c r="A159" s="5">
        <v>219</v>
      </c>
      <c r="B159" s="5" t="s">
        <v>98</v>
      </c>
      <c r="C159" s="5" t="s">
        <v>90</v>
      </c>
      <c r="D159" s="5" t="s">
        <v>8</v>
      </c>
      <c r="E159" s="5" t="s">
        <v>9</v>
      </c>
      <c r="F159" s="6">
        <v>45291</v>
      </c>
      <c r="G159" s="5">
        <f t="shared" si="24"/>
        <v>2023</v>
      </c>
      <c r="H159" s="5" t="str">
        <f t="shared" si="22"/>
        <v>Diciembre</v>
      </c>
      <c r="I159" s="6" t="str">
        <f t="shared" si="23"/>
        <v>2023-2</v>
      </c>
      <c r="J159" s="5">
        <v>1</v>
      </c>
      <c r="K159" s="5">
        <v>15.26</v>
      </c>
      <c r="L159" s="15">
        <f>IFERROR(IF((K159/J159)&gt;1,1,K159/J159),"")</f>
        <v>1</v>
      </c>
      <c r="M159" s="15">
        <f>IFERROR(IF((K159/J159)&gt;1,1,K159/J159),"")</f>
        <v>1</v>
      </c>
      <c r="N159" s="5" t="s">
        <v>347</v>
      </c>
      <c r="O159" s="5" t="s">
        <v>347</v>
      </c>
      <c r="P159" s="5">
        <v>0</v>
      </c>
      <c r="Q159" s="5">
        <v>0</v>
      </c>
      <c r="R159" s="5" t="str">
        <f>A159&amp;"-"&amp;YEAR(F159)&amp;"-"&amp;IF(LEN(MONTH(F159))=1,"0"&amp;MONTH(F159),MONTH(F159))&amp;"-"&amp;IF(LEN(DAY(F159))=1,"0"&amp;DAY(F159),DAY(F159))</f>
        <v>219-2023-12-31</v>
      </c>
    </row>
    <row r="160" spans="1:18" x14ac:dyDescent="0.3">
      <c r="A160" s="5">
        <v>220</v>
      </c>
      <c r="B160" s="5" t="s">
        <v>99</v>
      </c>
      <c r="C160" s="5" t="s">
        <v>90</v>
      </c>
      <c r="D160" s="5" t="s">
        <v>8</v>
      </c>
      <c r="E160" s="5" t="s">
        <v>9</v>
      </c>
      <c r="F160" s="6">
        <v>45291</v>
      </c>
      <c r="G160" s="5">
        <f t="shared" si="24"/>
        <v>2023</v>
      </c>
      <c r="H160" s="5" t="str">
        <f t="shared" si="22"/>
        <v>Diciembre</v>
      </c>
      <c r="I160" s="6" t="str">
        <f t="shared" si="23"/>
        <v>2023-2</v>
      </c>
      <c r="J160" s="5">
        <v>1</v>
      </c>
      <c r="K160" s="5">
        <f>40.68+(-38.58)</f>
        <v>2.1000000000000014</v>
      </c>
      <c r="L160" s="15">
        <f>IFERROR(IF((K160/J160)&gt;1,1,K160/J160),"")</f>
        <v>1</v>
      </c>
      <c r="M160" s="15">
        <f>IFERROR(IF((K160/J160)&gt;1,1,K160/J160),"")</f>
        <v>1</v>
      </c>
      <c r="N160" s="5" t="s">
        <v>347</v>
      </c>
      <c r="O160" s="5" t="s">
        <v>347</v>
      </c>
      <c r="P160" s="5">
        <v>0</v>
      </c>
      <c r="Q160" s="5">
        <v>0</v>
      </c>
      <c r="R160" s="5" t="str">
        <f>A160&amp;"-"&amp;YEAR(F160)&amp;"-"&amp;IF(LEN(MONTH(F160))=1,"0"&amp;MONTH(F160),MONTH(F160))&amp;"-"&amp;IF(LEN(DAY(F160))=1,"0"&amp;DAY(F160),DAY(F160))</f>
        <v>220-2023-12-31</v>
      </c>
    </row>
    <row r="161" spans="1:18" x14ac:dyDescent="0.3">
      <c r="A161" s="5">
        <v>221</v>
      </c>
      <c r="B161" s="5" t="s">
        <v>100</v>
      </c>
      <c r="C161" s="5" t="s">
        <v>90</v>
      </c>
      <c r="D161" s="5" t="s">
        <v>25</v>
      </c>
      <c r="E161" s="5" t="s">
        <v>9</v>
      </c>
      <c r="F161" s="6">
        <v>45291</v>
      </c>
      <c r="G161" s="5">
        <f t="shared" si="24"/>
        <v>2023</v>
      </c>
      <c r="H161" s="5" t="str">
        <f t="shared" si="22"/>
        <v>Diciembre</v>
      </c>
      <c r="I161" s="6" t="str">
        <f t="shared" si="23"/>
        <v>2023-2</v>
      </c>
      <c r="J161" s="5">
        <v>100</v>
      </c>
      <c r="K161" s="5">
        <v>100</v>
      </c>
      <c r="L161" s="15">
        <f>IFERROR(IF((K161/J161)&gt;1.3,1.3,K161/J161),"")</f>
        <v>1</v>
      </c>
      <c r="M161" s="15">
        <f>IFERROR(K161/J161,"")</f>
        <v>1</v>
      </c>
      <c r="N161" s="5" t="s">
        <v>347</v>
      </c>
      <c r="O161" s="5" t="s">
        <v>347</v>
      </c>
      <c r="P161" s="5">
        <v>0</v>
      </c>
      <c r="Q161" s="5">
        <v>0</v>
      </c>
      <c r="R161" s="5" t="str">
        <f>A161&amp;"-"&amp;YEAR(F161)&amp;"-"&amp;IF(LEN(MONTH(F161))=1,"0"&amp;MONTH(F161),MONTH(F161))&amp;"-"&amp;IF(LEN(DAY(F161))=1,"0"&amp;DAY(F161),DAY(F161))</f>
        <v>221-2023-12-31</v>
      </c>
    </row>
    <row r="162" spans="1:18" x14ac:dyDescent="0.3">
      <c r="A162" s="5">
        <v>222</v>
      </c>
      <c r="B162" s="5" t="s">
        <v>101</v>
      </c>
      <c r="C162" s="5" t="s">
        <v>90</v>
      </c>
      <c r="D162" s="5" t="s">
        <v>25</v>
      </c>
      <c r="E162" s="5" t="s">
        <v>9</v>
      </c>
      <c r="F162" s="6">
        <v>45291</v>
      </c>
      <c r="G162" s="5">
        <f t="shared" si="24"/>
        <v>2023</v>
      </c>
      <c r="H162" s="5" t="str">
        <f t="shared" si="22"/>
        <v>Diciembre</v>
      </c>
      <c r="I162" s="6" t="str">
        <f t="shared" si="23"/>
        <v>2023-2</v>
      </c>
      <c r="J162" s="5">
        <v>100</v>
      </c>
      <c r="K162" s="5">
        <v>68.75</v>
      </c>
      <c r="L162" s="15">
        <f>IFERROR(IF((K162/J162)&gt;1.3,1.3,K162/J162),"")</f>
        <v>0.6875</v>
      </c>
      <c r="M162" s="15">
        <f>IFERROR(K162/J162,"")</f>
        <v>0.6875</v>
      </c>
      <c r="N162" s="5" t="s">
        <v>347</v>
      </c>
      <c r="O162" s="5" t="s">
        <v>347</v>
      </c>
      <c r="P162" s="5">
        <v>0</v>
      </c>
      <c r="Q162" s="5">
        <v>0</v>
      </c>
      <c r="R162" s="5" t="str">
        <f>A162&amp;"-"&amp;YEAR(F162)&amp;"-"&amp;IF(LEN(MONTH(F162))=1,"0"&amp;MONTH(F162),MONTH(F162))&amp;"-"&amp;IF(LEN(DAY(F162))=1,"0"&amp;DAY(F162),DAY(F162))</f>
        <v>222-2023-12-31</v>
      </c>
    </row>
    <row r="163" spans="1:18" x14ac:dyDescent="0.3">
      <c r="A163" s="5">
        <v>223</v>
      </c>
      <c r="B163" s="5" t="s">
        <v>102</v>
      </c>
      <c r="C163" s="5" t="s">
        <v>90</v>
      </c>
      <c r="D163" s="5" t="s">
        <v>25</v>
      </c>
      <c r="E163" s="5" t="s">
        <v>9</v>
      </c>
      <c r="F163" s="6">
        <v>45291</v>
      </c>
      <c r="G163" s="5">
        <f t="shared" si="24"/>
        <v>2023</v>
      </c>
      <c r="H163" s="5" t="str">
        <f t="shared" si="22"/>
        <v>Diciembre</v>
      </c>
      <c r="I163" s="6" t="str">
        <f t="shared" si="23"/>
        <v>2023-2</v>
      </c>
      <c r="J163" s="5">
        <v>100</v>
      </c>
      <c r="K163" s="5">
        <v>100</v>
      </c>
      <c r="L163" s="15">
        <f>IFERROR(IF((K163/J163)&gt;1.3,1.3,K163/J163),"")</f>
        <v>1</v>
      </c>
      <c r="M163" s="15">
        <f>IFERROR(K163/J163,"")</f>
        <v>1</v>
      </c>
      <c r="N163" s="5" t="s">
        <v>347</v>
      </c>
      <c r="O163" s="5" t="s">
        <v>347</v>
      </c>
      <c r="P163" s="5">
        <v>0</v>
      </c>
      <c r="Q163" s="5">
        <v>0</v>
      </c>
      <c r="R163" s="5" t="str">
        <f>A163&amp;"-"&amp;YEAR(F163)&amp;"-"&amp;IF(LEN(MONTH(F163))=1,"0"&amp;MONTH(F163),MONTH(F163))&amp;"-"&amp;IF(LEN(DAY(F163))=1,"0"&amp;DAY(F163),DAY(F163))</f>
        <v>223-2023-12-31</v>
      </c>
    </row>
    <row r="164" spans="1:18" x14ac:dyDescent="0.3">
      <c r="A164" s="5">
        <v>224</v>
      </c>
      <c r="B164" s="5" t="s">
        <v>458</v>
      </c>
      <c r="C164" s="5" t="s">
        <v>90</v>
      </c>
      <c r="D164" s="5" t="s">
        <v>25</v>
      </c>
      <c r="E164" s="5" t="s">
        <v>9</v>
      </c>
      <c r="F164" s="6">
        <v>45291</v>
      </c>
      <c r="G164" s="5">
        <f t="shared" si="24"/>
        <v>2023</v>
      </c>
      <c r="H164" s="5" t="str">
        <f t="shared" si="22"/>
        <v>Diciembre</v>
      </c>
      <c r="I164" s="6" t="str">
        <f t="shared" si="23"/>
        <v>2023-2</v>
      </c>
      <c r="J164" s="5">
        <v>100</v>
      </c>
      <c r="K164" s="5">
        <v>40</v>
      </c>
      <c r="L164" s="15">
        <f>IFERROR(IF((K164/J164)&gt;1.3,1.3,K164/J164),"")</f>
        <v>0.4</v>
      </c>
      <c r="M164" s="15">
        <f>IFERROR(K164/J164,"")</f>
        <v>0.4</v>
      </c>
      <c r="N164" s="5" t="s">
        <v>347</v>
      </c>
      <c r="O164" s="5" t="s">
        <v>347</v>
      </c>
      <c r="P164" s="5">
        <v>0</v>
      </c>
      <c r="Q164" s="5">
        <v>0</v>
      </c>
      <c r="R164" s="5" t="str">
        <f>A164&amp;"-"&amp;YEAR(F164)&amp;"-"&amp;IF(LEN(MONTH(F164))=1,"0"&amp;MONTH(F164),MONTH(F164))&amp;"-"&amp;IF(LEN(DAY(F164))=1,"0"&amp;DAY(F164),DAY(F164))</f>
        <v>224-2023-12-31</v>
      </c>
    </row>
    <row r="165" spans="1:18" x14ac:dyDescent="0.3">
      <c r="A165" s="5">
        <v>225</v>
      </c>
      <c r="B165" s="5" t="s">
        <v>103</v>
      </c>
      <c r="C165" s="5" t="s">
        <v>90</v>
      </c>
      <c r="D165" s="5" t="s">
        <v>18</v>
      </c>
      <c r="E165" s="5" t="s">
        <v>9</v>
      </c>
      <c r="F165" s="6">
        <v>45291</v>
      </c>
      <c r="G165" s="5">
        <f t="shared" si="24"/>
        <v>2023</v>
      </c>
      <c r="H165" s="5" t="str">
        <f t="shared" si="22"/>
        <v>Diciembre</v>
      </c>
      <c r="I165" s="6" t="str">
        <f t="shared" si="23"/>
        <v>2023-2</v>
      </c>
      <c r="J165" s="5">
        <v>100</v>
      </c>
      <c r="K165" s="5">
        <v>100</v>
      </c>
      <c r="L165" s="15">
        <f>IFERROR(IF((K165/J165)&gt;1.3,1.3,K165/J165),"")</f>
        <v>1</v>
      </c>
      <c r="M165" s="15">
        <f>IFERROR(K165/J165,"")</f>
        <v>1</v>
      </c>
      <c r="N165" s="5" t="s">
        <v>347</v>
      </c>
      <c r="O165" s="5" t="s">
        <v>347</v>
      </c>
      <c r="P165" s="5">
        <v>0</v>
      </c>
      <c r="Q165" s="5">
        <v>0</v>
      </c>
      <c r="R165" s="5" t="str">
        <f>A165&amp;"-"&amp;YEAR(F165)&amp;"-"&amp;IF(LEN(MONTH(F165))=1,"0"&amp;MONTH(F165),MONTH(F165))&amp;"-"&amp;IF(LEN(DAY(F165))=1,"0"&amp;DAY(F165),DAY(F165))</f>
        <v>225-2023-12-31</v>
      </c>
    </row>
    <row r="166" spans="1:18" x14ac:dyDescent="0.3">
      <c r="A166" s="5">
        <v>226</v>
      </c>
      <c r="B166" s="5" t="s">
        <v>104</v>
      </c>
      <c r="C166" s="5" t="s">
        <v>90</v>
      </c>
      <c r="D166" s="5" t="s">
        <v>25</v>
      </c>
      <c r="E166" s="5" t="s">
        <v>9</v>
      </c>
      <c r="F166" s="6">
        <v>45291</v>
      </c>
      <c r="G166" s="5">
        <f t="shared" si="24"/>
        <v>2023</v>
      </c>
      <c r="H166" s="5" t="str">
        <f t="shared" si="22"/>
        <v>Diciembre</v>
      </c>
      <c r="I166" s="6" t="str">
        <f t="shared" si="23"/>
        <v>2023-2</v>
      </c>
      <c r="J166" s="5">
        <v>2</v>
      </c>
      <c r="K166" s="5">
        <v>622.69000000000005</v>
      </c>
      <c r="L166" s="15">
        <f>IFERROR(IF((K166/J166)&gt;1,1,K166/J166),"")</f>
        <v>1</v>
      </c>
      <c r="M166" s="15">
        <f>IFERROR(IF((K166/J166)&gt;1,1,K166/J166),"")</f>
        <v>1</v>
      </c>
      <c r="N166" s="5" t="s">
        <v>798</v>
      </c>
      <c r="O166" s="5" t="s">
        <v>798</v>
      </c>
      <c r="P166" s="5">
        <v>0</v>
      </c>
      <c r="Q166" s="5">
        <v>0</v>
      </c>
      <c r="R166" s="5" t="str">
        <f>A166&amp;"-"&amp;YEAR(F166)&amp;"-"&amp;IF(LEN(MONTH(F166))=1,"0"&amp;MONTH(F166),MONTH(F166))&amp;"-"&amp;IF(LEN(DAY(F166))=1,"0"&amp;DAY(F166),DAY(F166))</f>
        <v>226-2023-12-31</v>
      </c>
    </row>
    <row r="167" spans="1:18" x14ac:dyDescent="0.3">
      <c r="A167" s="5">
        <v>227</v>
      </c>
      <c r="B167" s="5" t="s">
        <v>105</v>
      </c>
      <c r="C167" s="5" t="s">
        <v>90</v>
      </c>
      <c r="D167" s="5" t="s">
        <v>25</v>
      </c>
      <c r="E167" s="5" t="s">
        <v>14</v>
      </c>
      <c r="F167" s="6">
        <v>45291</v>
      </c>
      <c r="G167" s="5">
        <f t="shared" si="24"/>
        <v>2023</v>
      </c>
      <c r="H167" s="5" t="str">
        <f t="shared" si="22"/>
        <v>Diciembre</v>
      </c>
      <c r="I167" s="6" t="str">
        <f t="shared" si="23"/>
        <v>2023-2</v>
      </c>
      <c r="J167" s="5">
        <v>0.3</v>
      </c>
      <c r="K167" s="5">
        <v>0.1</v>
      </c>
      <c r="L167" s="15">
        <f>IFERROR(IF((J167/K167)&gt;1,1,J167/K167),"")</f>
        <v>1</v>
      </c>
      <c r="M167" s="15">
        <f>IFERROR(IF((J167/K167)&gt;1,1,J167/K167),"")</f>
        <v>1</v>
      </c>
      <c r="N167" s="5" t="s">
        <v>347</v>
      </c>
      <c r="O167" s="5" t="s">
        <v>347</v>
      </c>
      <c r="P167" s="5">
        <v>0</v>
      </c>
      <c r="Q167" s="5">
        <v>0</v>
      </c>
      <c r="R167" s="5" t="str">
        <f>A167&amp;"-"&amp;YEAR(F167)&amp;"-"&amp;IF(LEN(MONTH(F167))=1,"0"&amp;MONTH(F167),MONTH(F167))&amp;"-"&amp;IF(LEN(DAY(F167))=1,"0"&amp;DAY(F167),DAY(F167))</f>
        <v>227-2023-12-31</v>
      </c>
    </row>
    <row r="168" spans="1:18" x14ac:dyDescent="0.3">
      <c r="A168" s="5">
        <v>228</v>
      </c>
      <c r="B168" s="5" t="s">
        <v>106</v>
      </c>
      <c r="C168" s="5" t="s">
        <v>90</v>
      </c>
      <c r="D168" s="5" t="s">
        <v>25</v>
      </c>
      <c r="E168" s="5" t="s">
        <v>9</v>
      </c>
      <c r="F168" s="6">
        <v>45291</v>
      </c>
      <c r="G168" s="5">
        <f t="shared" si="24"/>
        <v>2023</v>
      </c>
      <c r="H168" s="5" t="str">
        <f t="shared" si="22"/>
        <v>Diciembre</v>
      </c>
      <c r="I168" s="6" t="str">
        <f t="shared" si="23"/>
        <v>2023-2</v>
      </c>
      <c r="J168" s="5">
        <v>476.48</v>
      </c>
      <c r="K168" s="5">
        <v>477</v>
      </c>
      <c r="L168" s="15">
        <f t="shared" ref="L168:L173" si="27">IFERROR(IF((K168/J168)&gt;1,1,K168/J168),"")</f>
        <v>1</v>
      </c>
      <c r="M168" s="15">
        <f>IFERROR(K168/J168,"")</f>
        <v>1.0010913364674279</v>
      </c>
      <c r="N168" s="5" t="s">
        <v>798</v>
      </c>
      <c r="O168" s="5" t="s">
        <v>798</v>
      </c>
      <c r="P168" s="5">
        <v>1</v>
      </c>
      <c r="Q168" s="5">
        <v>1</v>
      </c>
      <c r="R168" s="5" t="str">
        <f>A168&amp;"-"&amp;YEAR(F168)&amp;"-"&amp;IF(LEN(MONTH(F168))=1,"0"&amp;MONTH(F168),MONTH(F168))&amp;"-"&amp;IF(LEN(DAY(F168))=1,"0"&amp;DAY(F168),DAY(F168))</f>
        <v>228-2023-12-31</v>
      </c>
    </row>
    <row r="169" spans="1:18" x14ac:dyDescent="0.3">
      <c r="A169" s="5">
        <v>230</v>
      </c>
      <c r="B169" s="5" t="s">
        <v>107</v>
      </c>
      <c r="C169" s="5" t="s">
        <v>90</v>
      </c>
      <c r="D169" s="5" t="s">
        <v>8</v>
      </c>
      <c r="E169" s="5" t="s">
        <v>9</v>
      </c>
      <c r="F169" s="6">
        <v>45291</v>
      </c>
      <c r="G169" s="5">
        <f t="shared" si="24"/>
        <v>2023</v>
      </c>
      <c r="H169" s="5" t="str">
        <f t="shared" si="22"/>
        <v>Diciembre</v>
      </c>
      <c r="I169" s="6" t="str">
        <f t="shared" si="23"/>
        <v>2023-2</v>
      </c>
      <c r="J169" s="5">
        <v>90</v>
      </c>
      <c r="K169" s="5">
        <v>100</v>
      </c>
      <c r="L169" s="15">
        <f t="shared" si="27"/>
        <v>1</v>
      </c>
      <c r="M169" s="15">
        <f>IFERROR(K169/J169,"")</f>
        <v>1.1111111111111112</v>
      </c>
      <c r="N169" s="5" t="s">
        <v>347</v>
      </c>
      <c r="O169" s="5" t="s">
        <v>347</v>
      </c>
      <c r="P169" s="5">
        <v>0</v>
      </c>
      <c r="Q169" s="5">
        <v>0</v>
      </c>
      <c r="R169" s="5" t="str">
        <f>A169&amp;"-"&amp;YEAR(F169)&amp;"-"&amp;IF(LEN(MONTH(F169))=1,"0"&amp;MONTH(F169),MONTH(F169))&amp;"-"&amp;IF(LEN(DAY(F169))=1,"0"&amp;DAY(F169),DAY(F169))</f>
        <v>230-2023-12-31</v>
      </c>
    </row>
    <row r="170" spans="1:18" x14ac:dyDescent="0.3">
      <c r="A170" s="5">
        <v>231</v>
      </c>
      <c r="B170" s="5" t="s">
        <v>108</v>
      </c>
      <c r="C170" s="5" t="s">
        <v>90</v>
      </c>
      <c r="D170" s="5" t="s">
        <v>8</v>
      </c>
      <c r="E170" s="5" t="s">
        <v>9</v>
      </c>
      <c r="F170" s="6">
        <v>45291</v>
      </c>
      <c r="G170" s="5">
        <f t="shared" si="24"/>
        <v>2023</v>
      </c>
      <c r="H170" s="5" t="str">
        <f t="shared" si="22"/>
        <v>Diciembre</v>
      </c>
      <c r="I170" s="6" t="str">
        <f t="shared" si="23"/>
        <v>2023-2</v>
      </c>
      <c r="J170" s="5">
        <v>35</v>
      </c>
      <c r="K170" s="5">
        <v>49.06</v>
      </c>
      <c r="L170" s="15">
        <f t="shared" si="27"/>
        <v>1</v>
      </c>
      <c r="M170" s="15">
        <f>IFERROR(IF((K170/J170)&gt;1,1,K170/J170),"")</f>
        <v>1</v>
      </c>
      <c r="N170" s="5" t="s">
        <v>347</v>
      </c>
      <c r="O170" s="5" t="s">
        <v>347</v>
      </c>
      <c r="P170" s="5">
        <v>0</v>
      </c>
      <c r="Q170" s="5">
        <v>0</v>
      </c>
      <c r="R170" s="5" t="str">
        <f>A170&amp;"-"&amp;YEAR(F170)&amp;"-"&amp;IF(LEN(MONTH(F170))=1,"0"&amp;MONTH(F170),MONTH(F170))&amp;"-"&amp;IF(LEN(DAY(F170))=1,"0"&amp;DAY(F170),DAY(F170))</f>
        <v>231-2023-12-31</v>
      </c>
    </row>
    <row r="171" spans="1:18" x14ac:dyDescent="0.3">
      <c r="A171" s="5">
        <v>232</v>
      </c>
      <c r="B171" s="5" t="s">
        <v>109</v>
      </c>
      <c r="C171" s="5" t="s">
        <v>90</v>
      </c>
      <c r="D171" s="5" t="s">
        <v>8</v>
      </c>
      <c r="E171" s="5" t="s">
        <v>9</v>
      </c>
      <c r="F171" s="6">
        <v>45291</v>
      </c>
      <c r="G171" s="5">
        <f t="shared" si="24"/>
        <v>2023</v>
      </c>
      <c r="H171" s="5" t="str">
        <f t="shared" si="22"/>
        <v>Diciembre</v>
      </c>
      <c r="I171" s="6" t="str">
        <f t="shared" si="23"/>
        <v>2023-2</v>
      </c>
      <c r="J171" s="5">
        <v>90</v>
      </c>
      <c r="K171" s="5">
        <f>(100+91.3)/2</f>
        <v>95.65</v>
      </c>
      <c r="L171" s="15">
        <f t="shared" si="27"/>
        <v>1</v>
      </c>
      <c r="M171" s="15">
        <f>IFERROR(IF((K171/J171)&gt;1,1,K171/J171),"")</f>
        <v>1</v>
      </c>
      <c r="N171" s="5" t="s">
        <v>347</v>
      </c>
      <c r="O171" s="5" t="s">
        <v>347</v>
      </c>
      <c r="P171" s="5">
        <v>0</v>
      </c>
      <c r="Q171" s="5">
        <v>0</v>
      </c>
      <c r="R171" s="5" t="str">
        <f>A171&amp;"-"&amp;YEAR(F171)&amp;"-"&amp;IF(LEN(MONTH(F171))=1,"0"&amp;MONTH(F171),MONTH(F171))&amp;"-"&amp;IF(LEN(DAY(F171))=1,"0"&amp;DAY(F171),DAY(F171))</f>
        <v>232-2023-12-31</v>
      </c>
    </row>
    <row r="172" spans="1:18" x14ac:dyDescent="0.3">
      <c r="A172" s="5">
        <v>233</v>
      </c>
      <c r="B172" s="5" t="s">
        <v>110</v>
      </c>
      <c r="C172" s="5" t="s">
        <v>90</v>
      </c>
      <c r="D172" s="5" t="s">
        <v>11</v>
      </c>
      <c r="E172" s="5" t="s">
        <v>9</v>
      </c>
      <c r="F172" s="6">
        <v>45291</v>
      </c>
      <c r="G172" s="5">
        <f t="shared" si="24"/>
        <v>2023</v>
      </c>
      <c r="H172" s="5" t="str">
        <f t="shared" si="22"/>
        <v>Diciembre</v>
      </c>
      <c r="I172" s="6" t="str">
        <f t="shared" si="23"/>
        <v>2023-2</v>
      </c>
      <c r="J172" s="5">
        <v>20</v>
      </c>
      <c r="K172" s="5">
        <v>27.31</v>
      </c>
      <c r="L172" s="15">
        <f t="shared" si="27"/>
        <v>1</v>
      </c>
      <c r="M172" s="15">
        <f>IFERROR(IF((K172/J172)&gt;1,1,K172/J172),"")</f>
        <v>1</v>
      </c>
      <c r="N172" s="5" t="s">
        <v>347</v>
      </c>
      <c r="O172" s="5" t="s">
        <v>347</v>
      </c>
      <c r="P172" s="5">
        <v>0</v>
      </c>
      <c r="Q172" s="5">
        <v>0</v>
      </c>
      <c r="R172" s="5" t="str">
        <f>A172&amp;"-"&amp;YEAR(F172)&amp;"-"&amp;IF(LEN(MONTH(F172))=1,"0"&amp;MONTH(F172),MONTH(F172))&amp;"-"&amp;IF(LEN(DAY(F172))=1,"0"&amp;DAY(F172),DAY(F172))</f>
        <v>233-2023-12-31</v>
      </c>
    </row>
    <row r="173" spans="1:18" x14ac:dyDescent="0.3">
      <c r="A173" s="5">
        <v>234</v>
      </c>
      <c r="B173" s="5" t="s">
        <v>111</v>
      </c>
      <c r="C173" s="5" t="s">
        <v>90</v>
      </c>
      <c r="D173" s="5" t="s">
        <v>11</v>
      </c>
      <c r="E173" s="5" t="s">
        <v>9</v>
      </c>
      <c r="F173" s="6">
        <v>45291</v>
      </c>
      <c r="G173" s="5">
        <f t="shared" si="24"/>
        <v>2023</v>
      </c>
      <c r="H173" s="5" t="str">
        <f t="shared" si="22"/>
        <v>Diciembre</v>
      </c>
      <c r="I173" s="6" t="str">
        <f t="shared" si="23"/>
        <v>2023-2</v>
      </c>
      <c r="J173" s="5">
        <v>4000</v>
      </c>
      <c r="K173" s="5">
        <v>6904.5</v>
      </c>
      <c r="L173" s="76">
        <f t="shared" si="27"/>
        <v>1</v>
      </c>
      <c r="M173" s="15">
        <f>IFERROR(K173/J173,"")</f>
        <v>1.7261249999999999</v>
      </c>
      <c r="N173" s="5" t="s">
        <v>490</v>
      </c>
      <c r="O173" s="5" t="s">
        <v>490</v>
      </c>
      <c r="P173" s="5">
        <v>0</v>
      </c>
      <c r="Q173" s="5">
        <v>0</v>
      </c>
      <c r="R173" s="5" t="str">
        <f>A173&amp;"-"&amp;YEAR(F173)&amp;"-"&amp;IF(LEN(MONTH(F173))=1,"0"&amp;MONTH(F173),MONTH(F173))&amp;"-"&amp;IF(LEN(DAY(F173))=1,"0"&amp;DAY(F173),DAY(F173))</f>
        <v>234-2023-12-31</v>
      </c>
    </row>
    <row r="174" spans="1:18" x14ac:dyDescent="0.3">
      <c r="A174" s="5">
        <v>235</v>
      </c>
      <c r="B174" s="5" t="s">
        <v>112</v>
      </c>
      <c r="C174" s="5" t="s">
        <v>90</v>
      </c>
      <c r="D174" s="5" t="s">
        <v>25</v>
      </c>
      <c r="E174" s="5" t="s">
        <v>9</v>
      </c>
      <c r="F174" s="6">
        <v>45291</v>
      </c>
      <c r="G174" s="5">
        <f t="shared" si="24"/>
        <v>2023</v>
      </c>
      <c r="H174" s="5" t="str">
        <f t="shared" si="22"/>
        <v>Diciembre</v>
      </c>
      <c r="I174" s="6" t="str">
        <f t="shared" si="23"/>
        <v>2023-2</v>
      </c>
      <c r="J174" s="5">
        <v>100</v>
      </c>
      <c r="K174" s="5">
        <v>81.650000000000006</v>
      </c>
      <c r="L174" s="15">
        <f>IFERROR(IF((K174/J174)&gt;1.3,1.3,K174/J174),"")</f>
        <v>0.8165</v>
      </c>
      <c r="M174" s="15">
        <f>IFERROR(K174/J174,"")</f>
        <v>0.8165</v>
      </c>
      <c r="N174" s="5" t="s">
        <v>347</v>
      </c>
      <c r="O174" s="5" t="s">
        <v>347</v>
      </c>
      <c r="P174" s="5">
        <v>0</v>
      </c>
      <c r="Q174" s="5">
        <v>0</v>
      </c>
      <c r="R174" s="5" t="str">
        <f>A174&amp;"-"&amp;YEAR(F174)&amp;"-"&amp;IF(LEN(MONTH(F174))=1,"0"&amp;MONTH(F174),MONTH(F174))&amp;"-"&amp;IF(LEN(DAY(F174))=1,"0"&amp;DAY(F174),DAY(F174))</f>
        <v>235-2023-12-31</v>
      </c>
    </row>
    <row r="175" spans="1:18" x14ac:dyDescent="0.3">
      <c r="A175" s="5">
        <v>236</v>
      </c>
      <c r="B175" s="5" t="s">
        <v>113</v>
      </c>
      <c r="C175" s="5" t="s">
        <v>90</v>
      </c>
      <c r="D175" s="5" t="s">
        <v>25</v>
      </c>
      <c r="E175" s="5" t="s">
        <v>14</v>
      </c>
      <c r="F175" s="6">
        <v>45291</v>
      </c>
      <c r="G175" s="5">
        <f t="shared" si="24"/>
        <v>2023</v>
      </c>
      <c r="H175" s="5" t="str">
        <f t="shared" si="22"/>
        <v>Diciembre</v>
      </c>
      <c r="I175" s="6" t="str">
        <f t="shared" si="23"/>
        <v>2023-2</v>
      </c>
      <c r="J175" s="5">
        <v>0</v>
      </c>
      <c r="K175" s="5">
        <v>0</v>
      </c>
      <c r="L175" s="15">
        <v>1</v>
      </c>
      <c r="M175" s="15">
        <v>1</v>
      </c>
      <c r="N175" s="5" t="s">
        <v>347</v>
      </c>
      <c r="O175" s="5" t="s">
        <v>347</v>
      </c>
      <c r="P175" s="5">
        <v>0</v>
      </c>
      <c r="Q175" s="5">
        <v>0</v>
      </c>
      <c r="R175" s="5" t="str">
        <f>A175&amp;"-"&amp;YEAR(F175)&amp;"-"&amp;IF(LEN(MONTH(F175))=1,"0"&amp;MONTH(F175),MONTH(F175))&amp;"-"&amp;IF(LEN(DAY(F175))=1,"0"&amp;DAY(F175),DAY(F175))</f>
        <v>236-2023-12-31</v>
      </c>
    </row>
    <row r="176" spans="1:18" x14ac:dyDescent="0.3">
      <c r="A176" s="5">
        <v>238</v>
      </c>
      <c r="B176" s="5" t="s">
        <v>115</v>
      </c>
      <c r="C176" s="5" t="s">
        <v>90</v>
      </c>
      <c r="D176" s="5" t="s">
        <v>11</v>
      </c>
      <c r="E176" s="5" t="s">
        <v>9</v>
      </c>
      <c r="F176" s="6">
        <v>45291</v>
      </c>
      <c r="G176" s="5">
        <f t="shared" si="24"/>
        <v>2023</v>
      </c>
      <c r="H176" s="5" t="str">
        <f t="shared" si="22"/>
        <v>Diciembre</v>
      </c>
      <c r="I176" s="6" t="str">
        <f t="shared" si="23"/>
        <v>2023-2</v>
      </c>
      <c r="J176" s="5">
        <v>90</v>
      </c>
      <c r="K176" s="5">
        <v>75</v>
      </c>
      <c r="L176" s="15">
        <f>IFERROR(IF((K176/J176)&gt;1.3,1.3,K176/J176),"")</f>
        <v>0.83333333333333337</v>
      </c>
      <c r="M176" s="15">
        <f>IFERROR(K176/J176,"")</f>
        <v>0.83333333333333337</v>
      </c>
      <c r="N176" s="5" t="s">
        <v>347</v>
      </c>
      <c r="O176" s="5" t="s">
        <v>347</v>
      </c>
      <c r="P176" s="5">
        <v>0</v>
      </c>
      <c r="Q176" s="5">
        <v>0</v>
      </c>
      <c r="R176" s="5" t="str">
        <f>A176&amp;"-"&amp;YEAR(F176)&amp;"-"&amp;IF(LEN(MONTH(F176))=1,"0"&amp;MONTH(F176),MONTH(F176))&amp;"-"&amp;IF(LEN(DAY(F176))=1,"0"&amp;DAY(F176),DAY(F176))</f>
        <v>238-2023-12-31</v>
      </c>
    </row>
    <row r="177" spans="1:18" x14ac:dyDescent="0.3">
      <c r="A177" s="5">
        <v>239</v>
      </c>
      <c r="B177" s="5" t="s">
        <v>116</v>
      </c>
      <c r="C177" s="5" t="s">
        <v>117</v>
      </c>
      <c r="D177" s="5" t="s">
        <v>18</v>
      </c>
      <c r="E177" s="5" t="s">
        <v>9</v>
      </c>
      <c r="F177" s="6">
        <v>45291</v>
      </c>
      <c r="G177" s="5">
        <f t="shared" si="24"/>
        <v>2023</v>
      </c>
      <c r="H177" s="5" t="str">
        <f t="shared" si="22"/>
        <v>Diciembre</v>
      </c>
      <c r="I177" s="6" t="str">
        <f t="shared" si="23"/>
        <v>2023-2</v>
      </c>
      <c r="J177" s="5"/>
      <c r="K177" s="5">
        <v>27</v>
      </c>
      <c r="L177" s="15" t="str">
        <f>IFERROR(IF((K177/J177)&gt;1.3,1.3,K177/J177),"")</f>
        <v/>
      </c>
      <c r="M177" s="15" t="str">
        <f>IFERROR(K177/J177,"")</f>
        <v/>
      </c>
      <c r="N177" s="5" t="s">
        <v>728</v>
      </c>
      <c r="O177" s="5" t="s">
        <v>490</v>
      </c>
      <c r="P177" s="5">
        <v>0</v>
      </c>
      <c r="Q177" s="5">
        <v>0</v>
      </c>
      <c r="R177" s="5" t="str">
        <f>A177&amp;"-"&amp;YEAR(F177)&amp;"-"&amp;IF(LEN(MONTH(F177))=1,"0"&amp;MONTH(F177),MONTH(F177))&amp;"-"&amp;IF(LEN(DAY(F177))=1,"0"&amp;DAY(F177),DAY(F177))</f>
        <v>239-2023-12-31</v>
      </c>
    </row>
    <row r="178" spans="1:18" x14ac:dyDescent="0.3">
      <c r="A178" s="5">
        <v>240</v>
      </c>
      <c r="B178" s="5" t="s">
        <v>118</v>
      </c>
      <c r="C178" s="5" t="s">
        <v>117</v>
      </c>
      <c r="D178" s="5" t="s">
        <v>11</v>
      </c>
      <c r="E178" s="5" t="s">
        <v>9</v>
      </c>
      <c r="F178" s="6">
        <v>45291</v>
      </c>
      <c r="G178" s="5">
        <f t="shared" si="24"/>
        <v>2023</v>
      </c>
      <c r="H178" s="5" t="str">
        <f t="shared" si="22"/>
        <v>Diciembre</v>
      </c>
      <c r="I178" s="6" t="str">
        <f t="shared" si="23"/>
        <v>2023-2</v>
      </c>
      <c r="J178" s="5">
        <v>100</v>
      </c>
      <c r="K178" s="5">
        <v>80</v>
      </c>
      <c r="L178" s="15">
        <f>IFERROR(IF((K178/J178)&gt;1.3,1.3,K178/J178),"")</f>
        <v>0.8</v>
      </c>
      <c r="M178" s="15">
        <f>IFERROR(K178/J178,"")</f>
        <v>0.8</v>
      </c>
      <c r="N178" s="5" t="s">
        <v>347</v>
      </c>
      <c r="O178" s="5" t="s">
        <v>347</v>
      </c>
      <c r="P178" s="5">
        <v>0</v>
      </c>
      <c r="Q178" s="5">
        <v>0</v>
      </c>
      <c r="R178" s="5" t="str">
        <f>A178&amp;"-"&amp;YEAR(F178)&amp;"-"&amp;IF(LEN(MONTH(F178))=1,"0"&amp;MONTH(F178),MONTH(F178))&amp;"-"&amp;IF(LEN(DAY(F178))=1,"0"&amp;DAY(F178),DAY(F178))</f>
        <v>240-2023-12-31</v>
      </c>
    </row>
    <row r="179" spans="1:18" x14ac:dyDescent="0.3">
      <c r="A179" s="5">
        <v>241</v>
      </c>
      <c r="B179" s="5" t="s">
        <v>119</v>
      </c>
      <c r="C179" s="5" t="s">
        <v>117</v>
      </c>
      <c r="D179" s="5" t="s">
        <v>18</v>
      </c>
      <c r="E179" s="5" t="s">
        <v>9</v>
      </c>
      <c r="F179" s="6">
        <v>45291</v>
      </c>
      <c r="G179" s="5">
        <f t="shared" si="24"/>
        <v>2023</v>
      </c>
      <c r="H179" s="5" t="str">
        <f t="shared" si="22"/>
        <v>Diciembre</v>
      </c>
      <c r="I179" s="6" t="str">
        <f t="shared" si="23"/>
        <v>2023-2</v>
      </c>
      <c r="J179" s="5">
        <v>80</v>
      </c>
      <c r="K179" s="5">
        <v>92.54</v>
      </c>
      <c r="L179" s="15">
        <f>IFERROR(IF((K179/J179)&gt;1.3,1.3,K179/J179),"")</f>
        <v>1.1567500000000002</v>
      </c>
      <c r="M179" s="15">
        <f>IFERROR(K179/J179,"")</f>
        <v>1.1567500000000002</v>
      </c>
      <c r="N179" s="5" t="s">
        <v>347</v>
      </c>
      <c r="O179" s="5" t="s">
        <v>347</v>
      </c>
      <c r="P179" s="5">
        <v>0</v>
      </c>
      <c r="Q179" s="5">
        <v>0</v>
      </c>
      <c r="R179" s="5" t="str">
        <f>A179&amp;"-"&amp;YEAR(F179)&amp;"-"&amp;IF(LEN(MONTH(F179))=1,"0"&amp;MONTH(F179),MONTH(F179))&amp;"-"&amp;IF(LEN(DAY(F179))=1,"0"&amp;DAY(F179),DAY(F179))</f>
        <v>241-2023-12-31</v>
      </c>
    </row>
    <row r="180" spans="1:18" x14ac:dyDescent="0.3">
      <c r="A180" s="5">
        <v>242</v>
      </c>
      <c r="B180" s="5" t="s">
        <v>120</v>
      </c>
      <c r="C180" s="5" t="s">
        <v>117</v>
      </c>
      <c r="D180" s="5" t="s">
        <v>18</v>
      </c>
      <c r="E180" s="5" t="s">
        <v>9</v>
      </c>
      <c r="F180" s="6">
        <v>45291</v>
      </c>
      <c r="G180" s="5">
        <f t="shared" si="24"/>
        <v>2023</v>
      </c>
      <c r="H180" s="5" t="str">
        <f t="shared" si="22"/>
        <v>Diciembre</v>
      </c>
      <c r="I180" s="6" t="str">
        <f t="shared" si="23"/>
        <v>2023-2</v>
      </c>
      <c r="J180" s="5">
        <v>90</v>
      </c>
      <c r="K180" s="5">
        <v>96.08</v>
      </c>
      <c r="L180" s="15">
        <f>IFERROR(IF((K180/J180)&gt;1.3,1.3,K180/J180),"")</f>
        <v>1.0675555555555556</v>
      </c>
      <c r="M180" s="15">
        <f>IFERROR(K180/J180,"")</f>
        <v>1.0675555555555556</v>
      </c>
      <c r="N180" s="5" t="s">
        <v>347</v>
      </c>
      <c r="O180" s="5" t="s">
        <v>347</v>
      </c>
      <c r="P180" s="5">
        <v>0</v>
      </c>
      <c r="Q180" s="5">
        <v>0</v>
      </c>
      <c r="R180" s="5" t="str">
        <f>A180&amp;"-"&amp;YEAR(F180)&amp;"-"&amp;IF(LEN(MONTH(F180))=1,"0"&amp;MONTH(F180),MONTH(F180))&amp;"-"&amp;IF(LEN(DAY(F180))=1,"0"&amp;DAY(F180),DAY(F180))</f>
        <v>242-2023-12-31</v>
      </c>
    </row>
    <row r="181" spans="1:18" x14ac:dyDescent="0.3">
      <c r="A181" s="5">
        <v>243</v>
      </c>
      <c r="B181" s="5" t="s">
        <v>121</v>
      </c>
      <c r="C181" s="5" t="s">
        <v>117</v>
      </c>
      <c r="D181" s="5" t="s">
        <v>18</v>
      </c>
      <c r="E181" s="5" t="s">
        <v>14</v>
      </c>
      <c r="F181" s="6">
        <v>45291</v>
      </c>
      <c r="G181" s="5">
        <f t="shared" si="24"/>
        <v>2023</v>
      </c>
      <c r="H181" s="5" t="str">
        <f t="shared" si="22"/>
        <v>Diciembre</v>
      </c>
      <c r="I181" s="6" t="str">
        <f t="shared" si="23"/>
        <v>2023-2</v>
      </c>
      <c r="J181" s="5"/>
      <c r="K181" s="5">
        <v>4.96</v>
      </c>
      <c r="L181" s="15"/>
      <c r="M181" s="15"/>
      <c r="N181" s="5" t="s">
        <v>347</v>
      </c>
      <c r="O181" s="5" t="s">
        <v>347</v>
      </c>
      <c r="P181" s="5">
        <v>0</v>
      </c>
      <c r="Q181" s="5">
        <v>0</v>
      </c>
      <c r="R181" s="5" t="str">
        <f>A181&amp;"-"&amp;YEAR(F181)&amp;"-"&amp;IF(LEN(MONTH(F181))=1,"0"&amp;MONTH(F181),MONTH(F181))&amp;"-"&amp;IF(LEN(DAY(F181))=1,"0"&amp;DAY(F181),DAY(F181))</f>
        <v>243-2023-12-31</v>
      </c>
    </row>
    <row r="182" spans="1:18" x14ac:dyDescent="0.3">
      <c r="A182" s="5">
        <v>244</v>
      </c>
      <c r="B182" s="5" t="s">
        <v>122</v>
      </c>
      <c r="C182" s="5" t="s">
        <v>90</v>
      </c>
      <c r="D182" s="5" t="s">
        <v>25</v>
      </c>
      <c r="E182" s="5" t="s">
        <v>14</v>
      </c>
      <c r="F182" s="6">
        <v>45291</v>
      </c>
      <c r="G182" s="5">
        <f t="shared" si="24"/>
        <v>2023</v>
      </c>
      <c r="H182" s="5" t="str">
        <f t="shared" si="22"/>
        <v>Diciembre</v>
      </c>
      <c r="I182" s="6" t="str">
        <f t="shared" si="23"/>
        <v>2023-2</v>
      </c>
      <c r="J182" s="5">
        <v>25</v>
      </c>
      <c r="K182" s="5">
        <v>24</v>
      </c>
      <c r="L182" s="15">
        <f>IFERROR(IF((J182/K182)&gt;1.3,1.3,J182/K182),"")</f>
        <v>1.0416666666666667</v>
      </c>
      <c r="M182" s="15">
        <f>IFERROR(IF((J182/K182)&gt;J182/K182,1.3,J182/K182),"")</f>
        <v>1.0416666666666667</v>
      </c>
      <c r="N182" s="5" t="s">
        <v>490</v>
      </c>
      <c r="O182" s="5" t="s">
        <v>490</v>
      </c>
      <c r="P182" s="5">
        <v>0</v>
      </c>
      <c r="Q182" s="5">
        <v>0</v>
      </c>
      <c r="R182" s="5" t="str">
        <f>A182&amp;"-"&amp;YEAR(F182)&amp;"-"&amp;IF(LEN(MONTH(F182))=1,"0"&amp;MONTH(F182),MONTH(F182))&amp;"-"&amp;IF(LEN(DAY(F182))=1,"0"&amp;DAY(F182),DAY(F182))</f>
        <v>244-2023-12-31</v>
      </c>
    </row>
    <row r="183" spans="1:18" x14ac:dyDescent="0.3">
      <c r="A183" s="5">
        <v>245</v>
      </c>
      <c r="B183" s="5" t="s">
        <v>123</v>
      </c>
      <c r="C183" s="5" t="s">
        <v>124</v>
      </c>
      <c r="D183" s="5" t="s">
        <v>8</v>
      </c>
      <c r="E183" s="5" t="s">
        <v>9</v>
      </c>
      <c r="F183" s="6">
        <v>45291</v>
      </c>
      <c r="G183" s="5">
        <f t="shared" si="24"/>
        <v>2023</v>
      </c>
      <c r="H183" s="5" t="str">
        <f t="shared" si="22"/>
        <v>Diciembre</v>
      </c>
      <c r="I183" s="6" t="str">
        <f t="shared" si="23"/>
        <v>2023-2</v>
      </c>
      <c r="J183" s="5">
        <v>87</v>
      </c>
      <c r="K183" s="5">
        <v>85.38</v>
      </c>
      <c r="L183" s="15">
        <f t="shared" ref="L183:L189" si="28">IFERROR(IF((K183/J183)&gt;1.3,1.3,K183/J183),"")</f>
        <v>0.9813793103448275</v>
      </c>
      <c r="M183" s="15">
        <f t="shared" ref="M183:M189" si="29">IFERROR(K183/J183,"")</f>
        <v>0.9813793103448275</v>
      </c>
      <c r="N183" s="5" t="s">
        <v>347</v>
      </c>
      <c r="O183" s="5" t="s">
        <v>347</v>
      </c>
      <c r="P183" s="5">
        <v>0</v>
      </c>
      <c r="Q183" s="5">
        <v>1</v>
      </c>
      <c r="R183" s="5" t="str">
        <f>A183&amp;"-"&amp;YEAR(F183)&amp;"-"&amp;IF(LEN(MONTH(F183))=1,"0"&amp;MONTH(F183),MONTH(F183))&amp;"-"&amp;IF(LEN(DAY(F183))=1,"0"&amp;DAY(F183),DAY(F183))</f>
        <v>245-2023-12-31</v>
      </c>
    </row>
    <row r="184" spans="1:18" x14ac:dyDescent="0.3">
      <c r="A184" s="5">
        <v>246</v>
      </c>
      <c r="B184" s="5" t="s">
        <v>125</v>
      </c>
      <c r="C184" s="5" t="s">
        <v>126</v>
      </c>
      <c r="D184" s="5" t="s">
        <v>8</v>
      </c>
      <c r="E184" s="5" t="s">
        <v>9</v>
      </c>
      <c r="F184" s="6">
        <v>45291</v>
      </c>
      <c r="G184" s="5">
        <f t="shared" si="24"/>
        <v>2023</v>
      </c>
      <c r="H184" s="5" t="str">
        <f t="shared" si="22"/>
        <v>Diciembre</v>
      </c>
      <c r="I184" s="6" t="str">
        <f t="shared" si="23"/>
        <v>2023-2</v>
      </c>
      <c r="J184" s="5">
        <v>85</v>
      </c>
      <c r="K184" s="5">
        <v>61.4</v>
      </c>
      <c r="L184" s="15">
        <f t="shared" si="28"/>
        <v>0.72235294117647053</v>
      </c>
      <c r="M184" s="15">
        <f t="shared" si="29"/>
        <v>0.72235294117647053</v>
      </c>
      <c r="N184" s="5" t="s">
        <v>347</v>
      </c>
      <c r="O184" s="5" t="s">
        <v>347</v>
      </c>
      <c r="P184" s="5">
        <v>0</v>
      </c>
      <c r="Q184" s="5">
        <v>0</v>
      </c>
      <c r="R184" s="5" t="str">
        <f>A184&amp;"-"&amp;YEAR(F184)&amp;"-"&amp;IF(LEN(MONTH(F184))=1,"0"&amp;MONTH(F184),MONTH(F184))&amp;"-"&amp;IF(LEN(DAY(F184))=1,"0"&amp;DAY(F184),DAY(F184))</f>
        <v>246-2023-12-31</v>
      </c>
    </row>
    <row r="185" spans="1:18" x14ac:dyDescent="0.3">
      <c r="A185" s="5">
        <v>247</v>
      </c>
      <c r="B185" s="5" t="s">
        <v>127</v>
      </c>
      <c r="C185" s="5" t="s">
        <v>126</v>
      </c>
      <c r="D185" s="5" t="s">
        <v>18</v>
      </c>
      <c r="E185" s="5" t="s">
        <v>9</v>
      </c>
      <c r="F185" s="6">
        <v>45291</v>
      </c>
      <c r="G185" s="5">
        <f t="shared" si="24"/>
        <v>2023</v>
      </c>
      <c r="H185" s="5" t="str">
        <f t="shared" si="22"/>
        <v>Diciembre</v>
      </c>
      <c r="I185" s="6" t="str">
        <f t="shared" si="23"/>
        <v>2023-2</v>
      </c>
      <c r="J185" s="5"/>
      <c r="K185" s="5">
        <v>69.8</v>
      </c>
      <c r="L185" s="15" t="str">
        <f t="shared" si="28"/>
        <v/>
      </c>
      <c r="M185" s="15" t="str">
        <f t="shared" si="29"/>
        <v/>
      </c>
      <c r="N185" s="5" t="s">
        <v>347</v>
      </c>
      <c r="O185" s="5" t="s">
        <v>478</v>
      </c>
      <c r="P185" s="5">
        <v>1</v>
      </c>
      <c r="Q185" s="5">
        <v>1</v>
      </c>
      <c r="R185" s="5" t="str">
        <f>A185&amp;"-"&amp;YEAR(F185)&amp;"-"&amp;IF(LEN(MONTH(F185))=1,"0"&amp;MONTH(F185),MONTH(F185))&amp;"-"&amp;IF(LEN(DAY(F185))=1,"0"&amp;DAY(F185),DAY(F185))</f>
        <v>247-2023-12-31</v>
      </c>
    </row>
    <row r="186" spans="1:18" x14ac:dyDescent="0.3">
      <c r="A186" s="5">
        <v>248</v>
      </c>
      <c r="B186" s="5" t="s">
        <v>128</v>
      </c>
      <c r="C186" s="5" t="s">
        <v>129</v>
      </c>
      <c r="D186" s="5" t="s">
        <v>8</v>
      </c>
      <c r="E186" s="5" t="s">
        <v>9</v>
      </c>
      <c r="F186" s="6">
        <v>45291</v>
      </c>
      <c r="G186" s="5">
        <f t="shared" si="24"/>
        <v>2023</v>
      </c>
      <c r="H186" s="5" t="str">
        <f t="shared" si="22"/>
        <v>Diciembre</v>
      </c>
      <c r="I186" s="6" t="str">
        <f t="shared" si="23"/>
        <v>2023-2</v>
      </c>
      <c r="J186" s="5">
        <v>44</v>
      </c>
      <c r="K186" s="5">
        <v>44</v>
      </c>
      <c r="L186" s="15">
        <f t="shared" si="28"/>
        <v>1</v>
      </c>
      <c r="M186" s="15">
        <f t="shared" si="29"/>
        <v>1</v>
      </c>
      <c r="N186" s="5" t="s">
        <v>490</v>
      </c>
      <c r="O186" s="5" t="s">
        <v>490</v>
      </c>
      <c r="P186" s="5">
        <v>0</v>
      </c>
      <c r="Q186" s="5">
        <v>0</v>
      </c>
      <c r="R186" s="5" t="str">
        <f>A186&amp;"-"&amp;YEAR(F186)&amp;"-"&amp;IF(LEN(MONTH(F186))=1,"0"&amp;MONTH(F186),MONTH(F186))&amp;"-"&amp;IF(LEN(DAY(F186))=1,"0"&amp;DAY(F186),DAY(F186))</f>
        <v>248-2023-12-31</v>
      </c>
    </row>
    <row r="187" spans="1:18" x14ac:dyDescent="0.3">
      <c r="A187" s="5">
        <v>249</v>
      </c>
      <c r="B187" s="5" t="s">
        <v>130</v>
      </c>
      <c r="C187" s="5" t="s">
        <v>129</v>
      </c>
      <c r="D187" s="5" t="s">
        <v>8</v>
      </c>
      <c r="E187" s="5" t="s">
        <v>9</v>
      </c>
      <c r="F187" s="6">
        <v>45291</v>
      </c>
      <c r="G187" s="5">
        <f t="shared" si="24"/>
        <v>2023</v>
      </c>
      <c r="H187" s="5" t="str">
        <f t="shared" si="22"/>
        <v>Diciembre</v>
      </c>
      <c r="I187" s="6" t="str">
        <f t="shared" si="23"/>
        <v>2023-2</v>
      </c>
      <c r="J187" s="5">
        <v>98</v>
      </c>
      <c r="K187" s="5">
        <v>98</v>
      </c>
      <c r="L187" s="15">
        <f t="shared" si="28"/>
        <v>1</v>
      </c>
      <c r="M187" s="15">
        <f t="shared" si="29"/>
        <v>1</v>
      </c>
      <c r="N187" s="5" t="s">
        <v>490</v>
      </c>
      <c r="O187" s="5" t="s">
        <v>490</v>
      </c>
      <c r="P187" s="5">
        <v>0</v>
      </c>
      <c r="Q187" s="5">
        <v>0</v>
      </c>
      <c r="R187" s="5" t="str">
        <f>A187&amp;"-"&amp;YEAR(F187)&amp;"-"&amp;IF(LEN(MONTH(F187))=1,"0"&amp;MONTH(F187),MONTH(F187))&amp;"-"&amp;IF(LEN(DAY(F187))=1,"0"&amp;DAY(F187),DAY(F187))</f>
        <v>249-2023-12-31</v>
      </c>
    </row>
    <row r="188" spans="1:18" x14ac:dyDescent="0.3">
      <c r="A188" s="5">
        <v>251</v>
      </c>
      <c r="B188" s="5" t="s">
        <v>133</v>
      </c>
      <c r="C188" s="5" t="s">
        <v>134</v>
      </c>
      <c r="D188" s="5" t="s">
        <v>11</v>
      </c>
      <c r="E188" s="5" t="s">
        <v>9</v>
      </c>
      <c r="F188" s="6">
        <v>45291</v>
      </c>
      <c r="G188" s="5">
        <f t="shared" si="24"/>
        <v>2023</v>
      </c>
      <c r="H188" s="5" t="str">
        <f t="shared" si="22"/>
        <v>Diciembre</v>
      </c>
      <c r="I188" s="6" t="str">
        <f t="shared" si="23"/>
        <v>2023-2</v>
      </c>
      <c r="J188" s="5">
        <v>100</v>
      </c>
      <c r="K188" s="5">
        <v>100</v>
      </c>
      <c r="L188" s="15">
        <f t="shared" si="28"/>
        <v>1</v>
      </c>
      <c r="M188" s="15">
        <f t="shared" si="29"/>
        <v>1</v>
      </c>
      <c r="N188" s="5" t="s">
        <v>347</v>
      </c>
      <c r="O188" s="5" t="s">
        <v>347</v>
      </c>
      <c r="P188" s="5">
        <v>0</v>
      </c>
      <c r="Q188" s="5">
        <v>0</v>
      </c>
      <c r="R188" s="5" t="str">
        <f>A188&amp;"-"&amp;YEAR(F188)&amp;"-"&amp;IF(LEN(MONTH(F188))=1,"0"&amp;MONTH(F188),MONTH(F188))&amp;"-"&amp;IF(LEN(DAY(F188))=1,"0"&amp;DAY(F188),DAY(F188))</f>
        <v>251-2023-12-31</v>
      </c>
    </row>
    <row r="189" spans="1:18" x14ac:dyDescent="0.3">
      <c r="A189" s="5">
        <v>252</v>
      </c>
      <c r="B189" s="5" t="s">
        <v>135</v>
      </c>
      <c r="C189" s="5" t="s">
        <v>124</v>
      </c>
      <c r="D189" s="5" t="s">
        <v>8</v>
      </c>
      <c r="E189" s="5" t="s">
        <v>9</v>
      </c>
      <c r="F189" s="6">
        <v>45291</v>
      </c>
      <c r="G189" s="5">
        <f t="shared" si="24"/>
        <v>2023</v>
      </c>
      <c r="H189" s="5" t="str">
        <f t="shared" si="22"/>
        <v>Diciembre</v>
      </c>
      <c r="I189" s="6" t="str">
        <f t="shared" si="23"/>
        <v>2023-2</v>
      </c>
      <c r="J189" s="5">
        <v>68</v>
      </c>
      <c r="K189" s="5">
        <v>74.739999999999995</v>
      </c>
      <c r="L189" s="15">
        <f t="shared" si="28"/>
        <v>1.0991176470588235</v>
      </c>
      <c r="M189" s="15">
        <f t="shared" si="29"/>
        <v>1.0991176470588235</v>
      </c>
      <c r="N189" s="5" t="s">
        <v>347</v>
      </c>
      <c r="O189" s="5" t="s">
        <v>347</v>
      </c>
      <c r="P189" s="5">
        <v>0</v>
      </c>
      <c r="Q189" s="5">
        <v>1</v>
      </c>
      <c r="R189" s="5" t="str">
        <f>A189&amp;"-"&amp;YEAR(F189)&amp;"-"&amp;IF(LEN(MONTH(F189))=1,"0"&amp;MONTH(F189),MONTH(F189))&amp;"-"&amp;IF(LEN(DAY(F189))=1,"0"&amp;DAY(F189),DAY(F189))</f>
        <v>252-2023-12-31</v>
      </c>
    </row>
    <row r="190" spans="1:18" x14ac:dyDescent="0.3">
      <c r="A190" s="5">
        <v>253</v>
      </c>
      <c r="B190" s="5" t="s">
        <v>136</v>
      </c>
      <c r="C190" s="5" t="s">
        <v>20</v>
      </c>
      <c r="D190" s="5" t="s">
        <v>21</v>
      </c>
      <c r="E190" s="5" t="s">
        <v>14</v>
      </c>
      <c r="F190" s="6">
        <v>45291</v>
      </c>
      <c r="G190" s="5">
        <f t="shared" si="24"/>
        <v>2023</v>
      </c>
      <c r="H190" s="5" t="str">
        <f t="shared" si="22"/>
        <v>Diciembre</v>
      </c>
      <c r="I190" s="6" t="str">
        <f t="shared" si="23"/>
        <v>2023-2</v>
      </c>
      <c r="J190" s="5">
        <v>8</v>
      </c>
      <c r="K190" s="5">
        <v>5.5600000000000005</v>
      </c>
      <c r="L190" s="15">
        <f>IFERROR(IF((J190/K190)&gt;1.3,1.3,J190/K190),"")</f>
        <v>1.3</v>
      </c>
      <c r="M190" s="15">
        <f>IFERROR(IF((J190/K190)&gt;J190/K190,1.3,J190/K190),"")</f>
        <v>1.4388489208633093</v>
      </c>
      <c r="N190" s="5" t="s">
        <v>479</v>
      </c>
      <c r="O190" s="5" t="s">
        <v>479</v>
      </c>
      <c r="P190" s="5">
        <v>0</v>
      </c>
      <c r="Q190" s="5">
        <v>0</v>
      </c>
      <c r="R190" s="5" t="str">
        <f>A190&amp;"-"&amp;YEAR(F190)&amp;"-"&amp;IF(LEN(MONTH(F190))=1,"0"&amp;MONTH(F190),MONTH(F190))&amp;"-"&amp;IF(LEN(DAY(F190))=1,"0"&amp;DAY(F190),DAY(F190))</f>
        <v>253-2023-12-31</v>
      </c>
    </row>
    <row r="191" spans="1:18" x14ac:dyDescent="0.3">
      <c r="A191" s="5">
        <v>254</v>
      </c>
      <c r="B191" s="5" t="s">
        <v>415</v>
      </c>
      <c r="C191" s="5" t="s">
        <v>131</v>
      </c>
      <c r="D191" s="5" t="s">
        <v>11</v>
      </c>
      <c r="E191" s="5" t="s">
        <v>9</v>
      </c>
      <c r="F191" s="6">
        <v>45291</v>
      </c>
      <c r="G191" s="5">
        <f t="shared" si="24"/>
        <v>2023</v>
      </c>
      <c r="H191" s="5" t="str">
        <f t="shared" si="22"/>
        <v>Diciembre</v>
      </c>
      <c r="I191" s="6" t="str">
        <f t="shared" si="23"/>
        <v>2023-2</v>
      </c>
      <c r="J191" s="5">
        <v>55</v>
      </c>
      <c r="K191" s="5">
        <v>55</v>
      </c>
      <c r="L191" s="15">
        <f>IFERROR(IF((K191/J191)&gt;1.3,1.3,K191/J191),"")</f>
        <v>1</v>
      </c>
      <c r="M191" s="15">
        <f>IFERROR(K191/J191,"")</f>
        <v>1</v>
      </c>
      <c r="N191" s="5" t="s">
        <v>490</v>
      </c>
      <c r="O191" s="5" t="s">
        <v>490</v>
      </c>
      <c r="P191" s="5">
        <v>0</v>
      </c>
      <c r="Q191" s="5">
        <v>0</v>
      </c>
      <c r="R191" s="5" t="str">
        <f>A191&amp;"-"&amp;YEAR(F191)&amp;"-"&amp;IF(LEN(MONTH(F191))=1,"0"&amp;MONTH(F191),MONTH(F191))&amp;"-"&amp;IF(LEN(DAY(F191))=1,"0"&amp;DAY(F191),DAY(F191))</f>
        <v>254-2023-12-31</v>
      </c>
    </row>
    <row r="192" spans="1:18" x14ac:dyDescent="0.3">
      <c r="A192" s="5">
        <v>255</v>
      </c>
      <c r="B192" s="5" t="s">
        <v>137</v>
      </c>
      <c r="C192" s="5" t="s">
        <v>67</v>
      </c>
      <c r="D192" s="5" t="s">
        <v>25</v>
      </c>
      <c r="E192" s="5" t="s">
        <v>9</v>
      </c>
      <c r="F192" s="6">
        <v>45291</v>
      </c>
      <c r="G192" s="5">
        <f t="shared" si="24"/>
        <v>2023</v>
      </c>
      <c r="H192" s="5" t="str">
        <f t="shared" ref="H192:H255" si="30">PROPER(TEXT(F192,"mmmm"))</f>
        <v>Diciembre</v>
      </c>
      <c r="I192" s="6" t="str">
        <f t="shared" ref="I192:I255" si="31">IF(OR(H192="Enero",H192="Febrero",H192="Marzo",H192="Abril",H192="Mayo",H192="Junio"),G192&amp;"-1",IF(OR(H192="Julio",H192="Agosto",H192="Septiembre",H192="Octubre",H192="Noviembre",H192="Diciembre"),G192&amp;"-2"))</f>
        <v>2023-2</v>
      </c>
      <c r="J192" s="5">
        <v>16</v>
      </c>
      <c r="K192" s="5">
        <v>18</v>
      </c>
      <c r="L192" s="15">
        <f>IFERROR(IF((K192/J192)&gt;1.3,1.3,K192/J192),"")</f>
        <v>1.125</v>
      </c>
      <c r="M192" s="15">
        <f>IFERROR(K192/J192,"")</f>
        <v>1.125</v>
      </c>
      <c r="N192" s="5" t="s">
        <v>490</v>
      </c>
      <c r="O192" s="5" t="s">
        <v>490</v>
      </c>
      <c r="P192" s="5">
        <v>0</v>
      </c>
      <c r="Q192" s="5">
        <v>0</v>
      </c>
      <c r="R192" s="5" t="str">
        <f>A192&amp;"-"&amp;YEAR(F192)&amp;"-"&amp;IF(LEN(MONTH(F192))=1,"0"&amp;MONTH(F192),MONTH(F192))&amp;"-"&amp;IF(LEN(DAY(F192))=1,"0"&amp;DAY(F192),DAY(F192))</f>
        <v>255-2023-12-31</v>
      </c>
    </row>
    <row r="193" spans="1:18" x14ac:dyDescent="0.3">
      <c r="A193" s="5">
        <v>256</v>
      </c>
      <c r="B193" s="5" t="s">
        <v>138</v>
      </c>
      <c r="C193" s="5" t="s">
        <v>67</v>
      </c>
      <c r="D193" s="5" t="s">
        <v>8</v>
      </c>
      <c r="E193" s="5" t="s">
        <v>9</v>
      </c>
      <c r="F193" s="6">
        <v>45291</v>
      </c>
      <c r="G193" s="5">
        <f t="shared" si="24"/>
        <v>2023</v>
      </c>
      <c r="H193" s="5" t="str">
        <f t="shared" si="30"/>
        <v>Diciembre</v>
      </c>
      <c r="I193" s="6" t="str">
        <f t="shared" si="31"/>
        <v>2023-2</v>
      </c>
      <c r="J193" s="5">
        <v>34</v>
      </c>
      <c r="K193" s="5">
        <v>42</v>
      </c>
      <c r="L193" s="15">
        <f>IFERROR(IF((K193/J193)&gt;1.3,1.3,K193/J193),"")</f>
        <v>1.2352941176470589</v>
      </c>
      <c r="M193" s="15">
        <f>IFERROR(K193/J193,"")</f>
        <v>1.2352941176470589</v>
      </c>
      <c r="N193" s="5" t="s">
        <v>490</v>
      </c>
      <c r="O193" s="5" t="s">
        <v>490</v>
      </c>
      <c r="P193" s="5">
        <v>0</v>
      </c>
      <c r="Q193" s="5">
        <v>0</v>
      </c>
      <c r="R193" s="5" t="str">
        <f>A193&amp;"-"&amp;YEAR(F193)&amp;"-"&amp;IF(LEN(MONTH(F193))=1,"0"&amp;MONTH(F193),MONTH(F193))&amp;"-"&amp;IF(LEN(DAY(F193))=1,"0"&amp;DAY(F193),DAY(F193))</f>
        <v>256-2023-12-31</v>
      </c>
    </row>
    <row r="194" spans="1:18" x14ac:dyDescent="0.3">
      <c r="A194" s="5">
        <v>257</v>
      </c>
      <c r="B194" s="5" t="s">
        <v>139</v>
      </c>
      <c r="C194" s="5" t="s">
        <v>67</v>
      </c>
      <c r="D194" s="5" t="s">
        <v>8</v>
      </c>
      <c r="E194" s="5" t="s">
        <v>9</v>
      </c>
      <c r="F194" s="6">
        <v>45291</v>
      </c>
      <c r="G194" s="5">
        <f t="shared" si="24"/>
        <v>2023</v>
      </c>
      <c r="H194" s="5" t="str">
        <f t="shared" si="30"/>
        <v>Diciembre</v>
      </c>
      <c r="I194" s="6" t="str">
        <f t="shared" si="31"/>
        <v>2023-2</v>
      </c>
      <c r="J194" s="5">
        <v>42</v>
      </c>
      <c r="K194" s="5">
        <v>39</v>
      </c>
      <c r="L194" s="15">
        <f>IFERROR(IF((K194/J194)&gt;1.3,1.3,K194/J194),"")</f>
        <v>0.9285714285714286</v>
      </c>
      <c r="M194" s="15">
        <f>IFERROR(K194/J194,"")</f>
        <v>0.9285714285714286</v>
      </c>
      <c r="N194" s="5" t="s">
        <v>490</v>
      </c>
      <c r="O194" s="5" t="s">
        <v>490</v>
      </c>
      <c r="P194" s="5">
        <v>0</v>
      </c>
      <c r="Q194" s="5">
        <v>0</v>
      </c>
      <c r="R194" s="5" t="str">
        <f>A194&amp;"-"&amp;YEAR(F194)&amp;"-"&amp;IF(LEN(MONTH(F194))=1,"0"&amp;MONTH(F194),MONTH(F194))&amp;"-"&amp;IF(LEN(DAY(F194))=1,"0"&amp;DAY(F194),DAY(F194))</f>
        <v>257-2023-12-31</v>
      </c>
    </row>
    <row r="195" spans="1:18" x14ac:dyDescent="0.3">
      <c r="A195" s="5">
        <v>259</v>
      </c>
      <c r="B195" s="5" t="s">
        <v>140</v>
      </c>
      <c r="C195" s="5" t="s">
        <v>134</v>
      </c>
      <c r="D195" s="5" t="s">
        <v>11</v>
      </c>
      <c r="E195" s="5" t="s">
        <v>9</v>
      </c>
      <c r="F195" s="6">
        <v>45291</v>
      </c>
      <c r="G195" s="5">
        <f t="shared" si="24"/>
        <v>2023</v>
      </c>
      <c r="H195" s="5" t="str">
        <f t="shared" si="30"/>
        <v>Diciembre</v>
      </c>
      <c r="I195" s="6" t="str">
        <f t="shared" si="31"/>
        <v>2023-2</v>
      </c>
      <c r="J195" s="5">
        <v>100</v>
      </c>
      <c r="K195" s="5">
        <v>70</v>
      </c>
      <c r="L195" s="15">
        <f>IFERROR(IF((K195/J195)&gt;1.3,1.3,K195/J195),"")</f>
        <v>0.7</v>
      </c>
      <c r="M195" s="15">
        <f>IFERROR(K195/J195,"")</f>
        <v>0.7</v>
      </c>
      <c r="N195" s="5" t="s">
        <v>347</v>
      </c>
      <c r="O195" s="5" t="s">
        <v>347</v>
      </c>
      <c r="P195" s="5">
        <v>0</v>
      </c>
      <c r="Q195" s="5">
        <v>0</v>
      </c>
      <c r="R195" s="5" t="str">
        <f>A195&amp;"-"&amp;YEAR(F195)&amp;"-"&amp;IF(LEN(MONTH(F195))=1,"0"&amp;MONTH(F195),MONTH(F195))&amp;"-"&amp;IF(LEN(DAY(F195))=1,"0"&amp;DAY(F195),DAY(F195))</f>
        <v>259-2023-12-31</v>
      </c>
    </row>
    <row r="196" spans="1:18" x14ac:dyDescent="0.3">
      <c r="A196" s="5">
        <v>260</v>
      </c>
      <c r="B196" s="5" t="s">
        <v>141</v>
      </c>
      <c r="C196" s="5" t="s">
        <v>142</v>
      </c>
      <c r="D196" s="5" t="s">
        <v>8</v>
      </c>
      <c r="E196" s="5" t="s">
        <v>14</v>
      </c>
      <c r="F196" s="6">
        <v>45291</v>
      </c>
      <c r="G196" s="5">
        <f t="shared" ref="G196:G259" si="32">YEAR(F196)</f>
        <v>2023</v>
      </c>
      <c r="H196" s="5" t="str">
        <f t="shared" si="30"/>
        <v>Diciembre</v>
      </c>
      <c r="I196" s="6" t="str">
        <f t="shared" si="31"/>
        <v>2023-2</v>
      </c>
      <c r="J196" s="5">
        <v>3</v>
      </c>
      <c r="K196" s="5">
        <v>2.85</v>
      </c>
      <c r="L196" s="15">
        <f>IFERROR(IF((J196/K196)&gt;1.3,1.3,J196/K196),"")</f>
        <v>1.0526315789473684</v>
      </c>
      <c r="M196" s="15">
        <f>IFERROR(IF((J196/K196)&gt;J196/K196,1.3,J196/K196),"")</f>
        <v>1.0526315789473684</v>
      </c>
      <c r="N196" s="5" t="s">
        <v>478</v>
      </c>
      <c r="O196" s="5" t="s">
        <v>478</v>
      </c>
      <c r="P196" s="5">
        <v>1</v>
      </c>
      <c r="Q196" s="5">
        <v>1</v>
      </c>
      <c r="R196" s="5" t="str">
        <f>A196&amp;"-"&amp;YEAR(F196)&amp;"-"&amp;IF(LEN(MONTH(F196))=1,"0"&amp;MONTH(F196),MONTH(F196))&amp;"-"&amp;IF(LEN(DAY(F196))=1,"0"&amp;DAY(F196),DAY(F196))</f>
        <v>260-2023-12-31</v>
      </c>
    </row>
    <row r="197" spans="1:18" x14ac:dyDescent="0.3">
      <c r="A197" s="5">
        <v>261</v>
      </c>
      <c r="B197" s="5" t="s">
        <v>143</v>
      </c>
      <c r="C197" s="5" t="s">
        <v>74</v>
      </c>
      <c r="D197" s="5" t="s">
        <v>8</v>
      </c>
      <c r="E197" s="5" t="s">
        <v>14</v>
      </c>
      <c r="F197" s="6">
        <v>45291</v>
      </c>
      <c r="G197" s="5">
        <f t="shared" si="32"/>
        <v>2023</v>
      </c>
      <c r="H197" s="5" t="str">
        <f t="shared" si="30"/>
        <v>Diciembre</v>
      </c>
      <c r="I197" s="6" t="str">
        <f t="shared" si="31"/>
        <v>2023-2</v>
      </c>
      <c r="J197" s="5">
        <v>3</v>
      </c>
      <c r="K197" s="5">
        <v>2.02</v>
      </c>
      <c r="L197" s="15">
        <f>IFERROR(IF((J197/K197)&gt;1.3,1.3,J197/K197),"")</f>
        <v>1.3</v>
      </c>
      <c r="M197" s="15">
        <f>IFERROR(IF((J197/K197)&gt;J197/K197,1.3,J197/K197),"")</f>
        <v>1.4851485148514851</v>
      </c>
      <c r="N197" s="5" t="s">
        <v>490</v>
      </c>
      <c r="O197" s="5" t="s">
        <v>478</v>
      </c>
      <c r="P197" s="5">
        <v>2</v>
      </c>
      <c r="Q197" s="5">
        <v>2</v>
      </c>
      <c r="R197" s="5" t="str">
        <f>A197&amp;"-"&amp;YEAR(F197)&amp;"-"&amp;IF(LEN(MONTH(F197))=1,"0"&amp;MONTH(F197),MONTH(F197))&amp;"-"&amp;IF(LEN(DAY(F197))=1,"0"&amp;DAY(F197),DAY(F197))</f>
        <v>261-2023-12-31</v>
      </c>
    </row>
    <row r="198" spans="1:18" x14ac:dyDescent="0.3">
      <c r="A198" s="5">
        <v>262</v>
      </c>
      <c r="B198" s="5" t="s">
        <v>494</v>
      </c>
      <c r="C198" s="5" t="s">
        <v>145</v>
      </c>
      <c r="D198" s="5" t="s">
        <v>8</v>
      </c>
      <c r="E198" s="5" t="s">
        <v>14</v>
      </c>
      <c r="F198" s="6">
        <v>45291</v>
      </c>
      <c r="G198" s="5">
        <f t="shared" si="32"/>
        <v>2023</v>
      </c>
      <c r="H198" s="5" t="str">
        <f t="shared" si="30"/>
        <v>Diciembre</v>
      </c>
      <c r="I198" s="6" t="str">
        <f t="shared" si="31"/>
        <v>2023-2</v>
      </c>
      <c r="J198" s="5">
        <v>20</v>
      </c>
      <c r="K198" s="5">
        <v>11</v>
      </c>
      <c r="L198" s="8">
        <v>1</v>
      </c>
      <c r="M198" s="15">
        <v>1</v>
      </c>
      <c r="N198" s="5" t="s">
        <v>347</v>
      </c>
      <c r="O198" s="5" t="s">
        <v>347</v>
      </c>
      <c r="P198" s="5">
        <v>0</v>
      </c>
      <c r="Q198" s="5">
        <v>0</v>
      </c>
      <c r="R198" s="5" t="str">
        <f>A198&amp;"-"&amp;YEAR(F198)&amp;"-"&amp;IF(LEN(MONTH(F198))=1,"0"&amp;MONTH(F198),MONTH(F198))&amp;"-"&amp;IF(LEN(DAY(F198))=1,"0"&amp;DAY(F198),DAY(F198))</f>
        <v>262-2023-12-31</v>
      </c>
    </row>
    <row r="199" spans="1:18" x14ac:dyDescent="0.3">
      <c r="A199" s="5">
        <v>263</v>
      </c>
      <c r="B199" s="5" t="s">
        <v>146</v>
      </c>
      <c r="C199" s="5" t="s">
        <v>145</v>
      </c>
      <c r="D199" s="5" t="s">
        <v>11</v>
      </c>
      <c r="E199" s="5" t="s">
        <v>9</v>
      </c>
      <c r="F199" s="6">
        <v>45291</v>
      </c>
      <c r="G199" s="5">
        <f t="shared" si="32"/>
        <v>2023</v>
      </c>
      <c r="H199" s="5" t="str">
        <f t="shared" si="30"/>
        <v>Diciembre</v>
      </c>
      <c r="I199" s="6" t="str">
        <f t="shared" si="31"/>
        <v>2023-2</v>
      </c>
      <c r="J199" s="5">
        <v>100</v>
      </c>
      <c r="K199" s="5">
        <v>100</v>
      </c>
      <c r="L199" s="21">
        <f>IFERROR(K199/J199,"")</f>
        <v>1</v>
      </c>
      <c r="M199" s="15">
        <f t="shared" ref="M199:M207" si="33">IFERROR(K199/J199,"")</f>
        <v>1</v>
      </c>
      <c r="N199" s="5" t="s">
        <v>347</v>
      </c>
      <c r="O199" s="5" t="s">
        <v>347</v>
      </c>
      <c r="P199" s="5">
        <v>0</v>
      </c>
      <c r="Q199" s="5">
        <v>0</v>
      </c>
      <c r="R199" s="5" t="str">
        <f>A199&amp;"-"&amp;YEAR(F199)&amp;"-"&amp;IF(LEN(MONTH(F199))=1,"0"&amp;MONTH(F199),MONTH(F199))&amp;"-"&amp;IF(LEN(DAY(F199))=1,"0"&amp;DAY(F199),DAY(F199))</f>
        <v>263-2023-12-31</v>
      </c>
    </row>
    <row r="200" spans="1:18" x14ac:dyDescent="0.3">
      <c r="A200" s="5">
        <v>264</v>
      </c>
      <c r="B200" s="5" t="s">
        <v>147</v>
      </c>
      <c r="C200" s="5" t="s">
        <v>145</v>
      </c>
      <c r="D200" s="5" t="s">
        <v>8</v>
      </c>
      <c r="E200" s="5" t="s">
        <v>9</v>
      </c>
      <c r="F200" s="6">
        <v>45291</v>
      </c>
      <c r="G200" s="5">
        <f t="shared" si="32"/>
        <v>2023</v>
      </c>
      <c r="H200" s="5" t="str">
        <f t="shared" si="30"/>
        <v>Diciembre</v>
      </c>
      <c r="I200" s="6" t="str">
        <f t="shared" si="31"/>
        <v>2023-2</v>
      </c>
      <c r="J200" s="5">
        <v>100</v>
      </c>
      <c r="K200" s="5">
        <v>100</v>
      </c>
      <c r="L200" s="21">
        <f>IFERROR(K200/J200,"")</f>
        <v>1</v>
      </c>
      <c r="M200" s="15">
        <f t="shared" si="33"/>
        <v>1</v>
      </c>
      <c r="N200" s="5" t="s">
        <v>347</v>
      </c>
      <c r="O200" s="5" t="s">
        <v>347</v>
      </c>
      <c r="P200" s="5">
        <v>0</v>
      </c>
      <c r="Q200" s="5">
        <v>0</v>
      </c>
      <c r="R200" s="5" t="str">
        <f>A200&amp;"-"&amp;YEAR(F200)&amp;"-"&amp;IF(LEN(MONTH(F200))=1,"0"&amp;MONTH(F200),MONTH(F200))&amp;"-"&amp;IF(LEN(DAY(F200))=1,"0"&amp;DAY(F200),DAY(F200))</f>
        <v>264-2023-12-31</v>
      </c>
    </row>
    <row r="201" spans="1:18" x14ac:dyDescent="0.3">
      <c r="A201" s="5">
        <v>265</v>
      </c>
      <c r="B201" s="5" t="s">
        <v>148</v>
      </c>
      <c r="C201" s="5" t="s">
        <v>145</v>
      </c>
      <c r="D201" s="5" t="s">
        <v>8</v>
      </c>
      <c r="E201" s="5" t="s">
        <v>9</v>
      </c>
      <c r="F201" s="6">
        <v>45291</v>
      </c>
      <c r="G201" s="5">
        <f t="shared" si="32"/>
        <v>2023</v>
      </c>
      <c r="H201" s="5" t="str">
        <f t="shared" si="30"/>
        <v>Diciembre</v>
      </c>
      <c r="I201" s="6" t="str">
        <f t="shared" si="31"/>
        <v>2023-2</v>
      </c>
      <c r="J201" s="5">
        <v>100</v>
      </c>
      <c r="K201" s="5">
        <v>97.13</v>
      </c>
      <c r="L201" s="21">
        <f>IFERROR(K201/J201,"")</f>
        <v>0.97129999999999994</v>
      </c>
      <c r="M201" s="15">
        <f t="shared" si="33"/>
        <v>0.97129999999999994</v>
      </c>
      <c r="N201" s="5" t="s">
        <v>347</v>
      </c>
      <c r="O201" s="5" t="s">
        <v>347</v>
      </c>
      <c r="P201" s="5">
        <v>0</v>
      </c>
      <c r="Q201" s="5">
        <v>0</v>
      </c>
      <c r="R201" s="5" t="str">
        <f>A201&amp;"-"&amp;YEAR(F201)&amp;"-"&amp;IF(LEN(MONTH(F201))=1,"0"&amp;MONTH(F201),MONTH(F201))&amp;"-"&amp;IF(LEN(DAY(F201))=1,"0"&amp;DAY(F201),DAY(F201))</f>
        <v>265-2023-12-31</v>
      </c>
    </row>
    <row r="202" spans="1:18" x14ac:dyDescent="0.3">
      <c r="A202" s="5">
        <v>266</v>
      </c>
      <c r="B202" s="5" t="s">
        <v>149</v>
      </c>
      <c r="C202" s="5" t="s">
        <v>145</v>
      </c>
      <c r="D202" s="5" t="s">
        <v>8</v>
      </c>
      <c r="E202" s="5" t="s">
        <v>9</v>
      </c>
      <c r="F202" s="6">
        <v>45291</v>
      </c>
      <c r="G202" s="5">
        <f t="shared" si="32"/>
        <v>2023</v>
      </c>
      <c r="H202" s="5" t="str">
        <f t="shared" si="30"/>
        <v>Diciembre</v>
      </c>
      <c r="I202" s="6" t="str">
        <f t="shared" si="31"/>
        <v>2023-2</v>
      </c>
      <c r="J202" s="5">
        <v>95</v>
      </c>
      <c r="K202" s="5">
        <v>97.07</v>
      </c>
      <c r="L202" s="15">
        <f t="shared" ref="L202:L207" si="34">IFERROR(IF((K202/J202)&gt;1.3,1.3,K202/J202),"")</f>
        <v>1.0217894736842104</v>
      </c>
      <c r="M202" s="15">
        <f t="shared" si="33"/>
        <v>1.0217894736842104</v>
      </c>
      <c r="N202" s="5" t="s">
        <v>347</v>
      </c>
      <c r="O202" s="5" t="s">
        <v>347</v>
      </c>
      <c r="P202" s="5">
        <v>0</v>
      </c>
      <c r="Q202" s="5">
        <v>0</v>
      </c>
      <c r="R202" s="5" t="str">
        <f>A202&amp;"-"&amp;YEAR(F202)&amp;"-"&amp;IF(LEN(MONTH(F202))=1,"0"&amp;MONTH(F202),MONTH(F202))&amp;"-"&amp;IF(LEN(DAY(F202))=1,"0"&amp;DAY(F202),DAY(F202))</f>
        <v>266-2023-12-31</v>
      </c>
    </row>
    <row r="203" spans="1:18" x14ac:dyDescent="0.3">
      <c r="A203" s="5">
        <v>267</v>
      </c>
      <c r="B203" s="5" t="s">
        <v>150</v>
      </c>
      <c r="C203" s="5" t="s">
        <v>126</v>
      </c>
      <c r="D203" s="5" t="s">
        <v>25</v>
      </c>
      <c r="E203" s="5" t="s">
        <v>9</v>
      </c>
      <c r="F203" s="6">
        <v>45291</v>
      </c>
      <c r="G203" s="5">
        <f t="shared" si="32"/>
        <v>2023</v>
      </c>
      <c r="H203" s="5" t="str">
        <f t="shared" si="30"/>
        <v>Diciembre</v>
      </c>
      <c r="I203" s="6" t="str">
        <f t="shared" si="31"/>
        <v>2023-2</v>
      </c>
      <c r="J203" s="5"/>
      <c r="K203" s="5"/>
      <c r="L203" s="15" t="str">
        <f t="shared" si="34"/>
        <v/>
      </c>
      <c r="M203" s="15" t="str">
        <f t="shared" si="33"/>
        <v/>
      </c>
      <c r="N203" s="5" t="s">
        <v>347</v>
      </c>
      <c r="O203" s="5" t="s">
        <v>347</v>
      </c>
      <c r="P203" s="5">
        <v>0</v>
      </c>
      <c r="Q203" s="5">
        <v>0</v>
      </c>
      <c r="R203" s="5" t="str">
        <f>A203&amp;"-"&amp;YEAR(F203)&amp;"-"&amp;IF(LEN(MONTH(F203))=1,"0"&amp;MONTH(F203),MONTH(F203))&amp;"-"&amp;IF(LEN(DAY(F203))=1,"0"&amp;DAY(F203),DAY(F203))</f>
        <v>267-2023-12-31</v>
      </c>
    </row>
    <row r="204" spans="1:18" x14ac:dyDescent="0.3">
      <c r="A204" s="5">
        <v>268</v>
      </c>
      <c r="B204" s="5" t="s">
        <v>151</v>
      </c>
      <c r="C204" s="5" t="s">
        <v>152</v>
      </c>
      <c r="D204" s="5" t="s">
        <v>8</v>
      </c>
      <c r="E204" s="5" t="s">
        <v>9</v>
      </c>
      <c r="F204" s="6">
        <v>45291</v>
      </c>
      <c r="G204" s="5">
        <f t="shared" si="32"/>
        <v>2023</v>
      </c>
      <c r="H204" s="5" t="str">
        <f t="shared" si="30"/>
        <v>Diciembre</v>
      </c>
      <c r="I204" s="6" t="str">
        <f t="shared" si="31"/>
        <v>2023-2</v>
      </c>
      <c r="J204" s="5"/>
      <c r="K204" s="5">
        <v>2204</v>
      </c>
      <c r="L204" s="15" t="str">
        <f t="shared" si="34"/>
        <v/>
      </c>
      <c r="M204" s="15" t="str">
        <f t="shared" si="33"/>
        <v/>
      </c>
      <c r="N204" s="5" t="s">
        <v>347</v>
      </c>
      <c r="O204" s="5" t="s">
        <v>490</v>
      </c>
      <c r="P204" s="5">
        <v>0</v>
      </c>
      <c r="Q204" s="5">
        <v>0</v>
      </c>
      <c r="R204" s="5" t="str">
        <f>A204&amp;"-"&amp;YEAR(F204)&amp;"-"&amp;IF(LEN(MONTH(F204))=1,"0"&amp;MONTH(F204),MONTH(F204))&amp;"-"&amp;IF(LEN(DAY(F204))=1,"0"&amp;DAY(F204),DAY(F204))</f>
        <v>268-2023-12-31</v>
      </c>
    </row>
    <row r="205" spans="1:18" x14ac:dyDescent="0.3">
      <c r="A205" s="5">
        <v>269</v>
      </c>
      <c r="B205" s="5" t="s">
        <v>153</v>
      </c>
      <c r="C205" s="5" t="s">
        <v>152</v>
      </c>
      <c r="D205" s="5" t="s">
        <v>8</v>
      </c>
      <c r="E205" s="5" t="s">
        <v>9</v>
      </c>
      <c r="F205" s="6">
        <v>45291</v>
      </c>
      <c r="G205" s="5">
        <f t="shared" si="32"/>
        <v>2023</v>
      </c>
      <c r="H205" s="5" t="str">
        <f t="shared" si="30"/>
        <v>Diciembre</v>
      </c>
      <c r="I205" s="6" t="str">
        <f t="shared" si="31"/>
        <v>2023-2</v>
      </c>
      <c r="J205" s="5">
        <v>0</v>
      </c>
      <c r="K205" s="5">
        <v>1.28</v>
      </c>
      <c r="L205" s="15" t="str">
        <f t="shared" si="34"/>
        <v/>
      </c>
      <c r="M205" s="15" t="str">
        <f t="shared" si="33"/>
        <v/>
      </c>
      <c r="N205" s="5" t="s">
        <v>478</v>
      </c>
      <c r="O205" s="5" t="s">
        <v>478</v>
      </c>
      <c r="P205" s="5">
        <v>2</v>
      </c>
      <c r="Q205" s="5">
        <v>2</v>
      </c>
      <c r="R205" s="5" t="str">
        <f>A205&amp;"-"&amp;YEAR(F205)&amp;"-"&amp;IF(LEN(MONTH(F205))=1,"0"&amp;MONTH(F205),MONTH(F205))&amp;"-"&amp;IF(LEN(DAY(F205))=1,"0"&amp;DAY(F205),DAY(F205))</f>
        <v>269-2023-12-31</v>
      </c>
    </row>
    <row r="206" spans="1:18" x14ac:dyDescent="0.3">
      <c r="A206" s="5">
        <v>270</v>
      </c>
      <c r="B206" s="5" t="s">
        <v>154</v>
      </c>
      <c r="C206" s="5" t="s">
        <v>152</v>
      </c>
      <c r="D206" s="5" t="s">
        <v>8</v>
      </c>
      <c r="E206" s="5" t="s">
        <v>9</v>
      </c>
      <c r="F206" s="6">
        <v>45291</v>
      </c>
      <c r="G206" s="5">
        <f t="shared" si="32"/>
        <v>2023</v>
      </c>
      <c r="H206" s="5" t="str">
        <f t="shared" si="30"/>
        <v>Diciembre</v>
      </c>
      <c r="I206" s="6" t="str">
        <f t="shared" si="31"/>
        <v>2023-2</v>
      </c>
      <c r="J206" s="5"/>
      <c r="K206" s="5">
        <v>5.19</v>
      </c>
      <c r="L206" s="15" t="str">
        <f t="shared" si="34"/>
        <v/>
      </c>
      <c r="M206" s="15" t="str">
        <f t="shared" si="33"/>
        <v/>
      </c>
      <c r="N206" s="5" t="s">
        <v>478</v>
      </c>
      <c r="O206" s="5" t="s">
        <v>490</v>
      </c>
      <c r="P206" s="5">
        <v>1</v>
      </c>
      <c r="Q206" s="5">
        <v>1</v>
      </c>
      <c r="R206" s="5" t="str">
        <f>A206&amp;"-"&amp;YEAR(F206)&amp;"-"&amp;IF(LEN(MONTH(F206))=1,"0"&amp;MONTH(F206),MONTH(F206))&amp;"-"&amp;IF(LEN(DAY(F206))=1,"0"&amp;DAY(F206),DAY(F206))</f>
        <v>270-2023-12-31</v>
      </c>
    </row>
    <row r="207" spans="1:18" x14ac:dyDescent="0.3">
      <c r="A207" s="5">
        <v>271</v>
      </c>
      <c r="B207" s="5" t="s">
        <v>155</v>
      </c>
      <c r="C207" s="5" t="s">
        <v>152</v>
      </c>
      <c r="D207" s="5" t="s">
        <v>8</v>
      </c>
      <c r="E207" s="5" t="s">
        <v>9</v>
      </c>
      <c r="F207" s="6">
        <v>45291</v>
      </c>
      <c r="G207" s="5">
        <f t="shared" si="32"/>
        <v>2023</v>
      </c>
      <c r="H207" s="5" t="str">
        <f t="shared" si="30"/>
        <v>Diciembre</v>
      </c>
      <c r="I207" s="6" t="str">
        <f t="shared" si="31"/>
        <v>2023-2</v>
      </c>
      <c r="J207" s="5"/>
      <c r="K207" s="5">
        <v>39.729999999999997</v>
      </c>
      <c r="L207" s="15" t="str">
        <f t="shared" si="34"/>
        <v/>
      </c>
      <c r="M207" s="15" t="str">
        <f t="shared" si="33"/>
        <v/>
      </c>
      <c r="N207" s="5">
        <v>0</v>
      </c>
      <c r="O207" s="5" t="s">
        <v>490</v>
      </c>
      <c r="P207" s="5">
        <v>1</v>
      </c>
      <c r="Q207" s="5">
        <v>1</v>
      </c>
      <c r="R207" s="5" t="str">
        <f>A207&amp;"-"&amp;YEAR(F207)&amp;"-"&amp;IF(LEN(MONTH(F207))=1,"0"&amp;MONTH(F207),MONTH(F207))&amp;"-"&amp;IF(LEN(DAY(F207))=1,"0"&amp;DAY(F207),DAY(F207))</f>
        <v>271-2023-12-31</v>
      </c>
    </row>
    <row r="208" spans="1:18" x14ac:dyDescent="0.3">
      <c r="A208" s="5">
        <v>272</v>
      </c>
      <c r="B208" s="5" t="s">
        <v>156</v>
      </c>
      <c r="C208" s="5" t="s">
        <v>24</v>
      </c>
      <c r="D208" s="5" t="s">
        <v>25</v>
      </c>
      <c r="E208" s="5" t="s">
        <v>14</v>
      </c>
      <c r="F208" s="6">
        <v>45291</v>
      </c>
      <c r="G208" s="5">
        <f t="shared" si="32"/>
        <v>2023</v>
      </c>
      <c r="H208" s="5" t="str">
        <f t="shared" si="30"/>
        <v>Diciembre</v>
      </c>
      <c r="I208" s="6" t="str">
        <f t="shared" si="31"/>
        <v>2023-2</v>
      </c>
      <c r="J208" s="16">
        <v>9.9999999999999995E-7</v>
      </c>
      <c r="K208" s="16">
        <v>9.9999999999999995E-7</v>
      </c>
      <c r="L208" s="8">
        <f>IF(K208&lt;=J208,100%,J208/K208)</f>
        <v>1</v>
      </c>
      <c r="M208" s="15">
        <f>IF(K208&lt;=J208,100%,J208/K208)</f>
        <v>1</v>
      </c>
      <c r="N208" s="5">
        <v>0</v>
      </c>
      <c r="O208" s="5" t="s">
        <v>490</v>
      </c>
      <c r="P208" s="5">
        <v>0</v>
      </c>
      <c r="Q208" s="5">
        <v>0</v>
      </c>
      <c r="R208" s="5" t="str">
        <f>A208&amp;"-"&amp;YEAR(F208)&amp;"-"&amp;IF(LEN(MONTH(F208))=1,"0"&amp;MONTH(F208),MONTH(F208))&amp;"-"&amp;IF(LEN(DAY(F208))=1,"0"&amp;DAY(F208),DAY(F208))</f>
        <v>272-2023-12-31</v>
      </c>
    </row>
    <row r="209" spans="1:18" x14ac:dyDescent="0.3">
      <c r="A209" s="5">
        <v>273</v>
      </c>
      <c r="B209" s="5" t="s">
        <v>157</v>
      </c>
      <c r="C209" s="5" t="s">
        <v>158</v>
      </c>
      <c r="D209" s="5" t="s">
        <v>8</v>
      </c>
      <c r="E209" s="5" t="s">
        <v>9</v>
      </c>
      <c r="F209" s="6">
        <v>45291</v>
      </c>
      <c r="G209" s="5">
        <f t="shared" si="32"/>
        <v>2023</v>
      </c>
      <c r="H209" s="5" t="str">
        <f t="shared" si="30"/>
        <v>Diciembre</v>
      </c>
      <c r="I209" s="6" t="str">
        <f t="shared" si="31"/>
        <v>2023-2</v>
      </c>
      <c r="J209" s="5">
        <v>5</v>
      </c>
      <c r="K209" s="5">
        <v>5</v>
      </c>
      <c r="L209" s="15">
        <f>IFERROR(IF((K209/J209)&gt;1.3,1.3,K209/J209),"")</f>
        <v>1</v>
      </c>
      <c r="M209" s="15">
        <f>IFERROR(K209/J209,"")</f>
        <v>1</v>
      </c>
      <c r="N209" s="5" t="s">
        <v>490</v>
      </c>
      <c r="O209" s="5" t="s">
        <v>490</v>
      </c>
      <c r="P209" s="5">
        <v>0</v>
      </c>
      <c r="Q209" s="5">
        <v>0</v>
      </c>
      <c r="R209" s="5" t="str">
        <f>A209&amp;"-"&amp;YEAR(F209)&amp;"-"&amp;IF(LEN(MONTH(F209))=1,"0"&amp;MONTH(F209),MONTH(F209))&amp;"-"&amp;IF(LEN(DAY(F209))=1,"0"&amp;DAY(F209),DAY(F209))</f>
        <v>273-2023-12-31</v>
      </c>
    </row>
    <row r="210" spans="1:18" x14ac:dyDescent="0.3">
      <c r="A210" s="5">
        <v>274</v>
      </c>
      <c r="B210" s="5" t="s">
        <v>159</v>
      </c>
      <c r="C210" s="5" t="s">
        <v>142</v>
      </c>
      <c r="D210" s="5" t="s">
        <v>8</v>
      </c>
      <c r="E210" s="5" t="s">
        <v>9</v>
      </c>
      <c r="F210" s="6">
        <v>45291</v>
      </c>
      <c r="G210" s="5">
        <f t="shared" si="32"/>
        <v>2023</v>
      </c>
      <c r="H210" s="5" t="str">
        <f t="shared" si="30"/>
        <v>Diciembre</v>
      </c>
      <c r="I210" s="6" t="str">
        <f t="shared" si="31"/>
        <v>2023-2</v>
      </c>
      <c r="J210" s="9">
        <v>41811</v>
      </c>
      <c r="K210" s="9">
        <v>40771</v>
      </c>
      <c r="L210" s="15">
        <f>IFERROR(IF((K210/J210)&gt;1.3,1.3,K210/J210),"")</f>
        <v>0.97512616297146681</v>
      </c>
      <c r="M210" s="15">
        <f>IFERROR(K210/J210,"")</f>
        <v>0.97512616297146681</v>
      </c>
      <c r="N210" s="5" t="s">
        <v>490</v>
      </c>
      <c r="O210" s="5" t="s">
        <v>490</v>
      </c>
      <c r="P210" s="5">
        <v>0</v>
      </c>
      <c r="Q210" s="5">
        <v>0</v>
      </c>
      <c r="R210" s="5" t="str">
        <f>A210&amp;"-"&amp;YEAR(F210)&amp;"-"&amp;IF(LEN(MONTH(F210))=1,"0"&amp;MONTH(F210),MONTH(F210))&amp;"-"&amp;IF(LEN(DAY(F210))=1,"0"&amp;DAY(F210),DAY(F210))</f>
        <v>274-2023-12-31</v>
      </c>
    </row>
    <row r="211" spans="1:18" x14ac:dyDescent="0.3">
      <c r="A211" s="5">
        <v>276</v>
      </c>
      <c r="B211" s="5" t="s">
        <v>161</v>
      </c>
      <c r="C211" s="5" t="s">
        <v>162</v>
      </c>
      <c r="D211" s="5" t="s">
        <v>8</v>
      </c>
      <c r="E211" s="5" t="s">
        <v>14</v>
      </c>
      <c r="F211" s="6">
        <v>45291</v>
      </c>
      <c r="G211" s="5">
        <f t="shared" si="32"/>
        <v>2023</v>
      </c>
      <c r="H211" s="5" t="str">
        <f t="shared" si="30"/>
        <v>Diciembre</v>
      </c>
      <c r="I211" s="6" t="str">
        <f t="shared" si="31"/>
        <v>2023-2</v>
      </c>
      <c r="J211" s="5">
        <v>85</v>
      </c>
      <c r="K211" s="5">
        <v>84.5</v>
      </c>
      <c r="L211" s="15">
        <f>IFERROR(IF((J211/K211)&gt;1,1,J211/K211),"")</f>
        <v>1</v>
      </c>
      <c r="M211" s="15">
        <f>IFERROR(IF((J211/K211)&gt;J211/K211,1.3,J211/K211),"")</f>
        <v>1.0059171597633136</v>
      </c>
      <c r="N211" s="5" t="s">
        <v>490</v>
      </c>
      <c r="O211" s="5" t="s">
        <v>478</v>
      </c>
      <c r="P211" s="5">
        <v>0</v>
      </c>
      <c r="Q211" s="5">
        <v>1</v>
      </c>
      <c r="R211" s="5" t="str">
        <f>A211&amp;"-"&amp;YEAR(F211)&amp;"-"&amp;IF(LEN(MONTH(F211))=1,"0"&amp;MONTH(F211),MONTH(F211))&amp;"-"&amp;IF(LEN(DAY(F211))=1,"0"&amp;DAY(F211),DAY(F211))</f>
        <v>276-2023-12-31</v>
      </c>
    </row>
    <row r="212" spans="1:18" x14ac:dyDescent="0.3">
      <c r="A212" s="5">
        <v>277</v>
      </c>
      <c r="B212" s="5" t="s">
        <v>163</v>
      </c>
      <c r="C212" s="5" t="s">
        <v>162</v>
      </c>
      <c r="D212" s="5" t="s">
        <v>8</v>
      </c>
      <c r="E212" s="5" t="s">
        <v>14</v>
      </c>
      <c r="F212" s="6">
        <v>45291</v>
      </c>
      <c r="G212" s="5">
        <f t="shared" si="32"/>
        <v>2023</v>
      </c>
      <c r="H212" s="5" t="str">
        <f t="shared" si="30"/>
        <v>Diciembre</v>
      </c>
      <c r="I212" s="6" t="str">
        <f t="shared" si="31"/>
        <v>2023-2</v>
      </c>
      <c r="J212" s="5">
        <v>85</v>
      </c>
      <c r="K212" s="3">
        <v>73.290000000000006</v>
      </c>
      <c r="L212" s="15">
        <f>IFERROR(IF((J212/K212)&gt;1.3,1.3,J212/K212),"")</f>
        <v>1.1597762314094691</v>
      </c>
      <c r="M212" s="15">
        <f>IFERROR(IF((J212/K212)&gt;J212/K212,1.3,J212/K212),"")</f>
        <v>1.1597762314094691</v>
      </c>
      <c r="N212" s="5" t="s">
        <v>490</v>
      </c>
      <c r="O212" s="5" t="s">
        <v>478</v>
      </c>
      <c r="P212" s="5">
        <v>1</v>
      </c>
      <c r="Q212" s="5">
        <v>1</v>
      </c>
      <c r="R212" s="5" t="str">
        <f>A212&amp;"-"&amp;YEAR(F212)&amp;"-"&amp;IF(LEN(MONTH(F212))=1,"0"&amp;MONTH(F212),MONTH(F212))&amp;"-"&amp;IF(LEN(DAY(F212))=1,"0"&amp;DAY(F212),DAY(F212))</f>
        <v>277-2023-12-31</v>
      </c>
    </row>
    <row r="213" spans="1:18" x14ac:dyDescent="0.3">
      <c r="A213" s="5">
        <v>278</v>
      </c>
      <c r="B213" s="5" t="s">
        <v>164</v>
      </c>
      <c r="C213" s="5" t="s">
        <v>162</v>
      </c>
      <c r="D213" s="5" t="s">
        <v>8</v>
      </c>
      <c r="E213" s="5" t="s">
        <v>9</v>
      </c>
      <c r="F213" s="6">
        <v>45291</v>
      </c>
      <c r="G213" s="5">
        <f t="shared" si="32"/>
        <v>2023</v>
      </c>
      <c r="H213" s="5" t="str">
        <f t="shared" si="30"/>
        <v>Diciembre</v>
      </c>
      <c r="I213" s="6" t="str">
        <f t="shared" si="31"/>
        <v>2023-2</v>
      </c>
      <c r="J213" s="5"/>
      <c r="K213" s="5">
        <v>1017</v>
      </c>
      <c r="L213" s="15" t="str">
        <f>IFERROR(IF((K213/J213)&gt;1.3,1.3,K213/J213),"")</f>
        <v/>
      </c>
      <c r="M213" s="15" t="str">
        <f t="shared" ref="M213:M230" si="35">IFERROR(K213/J213,"")</f>
        <v/>
      </c>
      <c r="N213" s="5" t="s">
        <v>490</v>
      </c>
      <c r="O213" s="5" t="s">
        <v>490</v>
      </c>
      <c r="P213" s="5">
        <v>0</v>
      </c>
      <c r="Q213" s="5">
        <v>0</v>
      </c>
      <c r="R213" s="5" t="str">
        <f>A213&amp;"-"&amp;YEAR(F213)&amp;"-"&amp;IF(LEN(MONTH(F213))=1,"0"&amp;MONTH(F213),MONTH(F213))&amp;"-"&amp;IF(LEN(DAY(F213))=1,"0"&amp;DAY(F213),DAY(F213))</f>
        <v>278-2023-12-31</v>
      </c>
    </row>
    <row r="214" spans="1:18" x14ac:dyDescent="0.3">
      <c r="A214" s="5">
        <v>279</v>
      </c>
      <c r="B214" s="5" t="s">
        <v>165</v>
      </c>
      <c r="C214" s="5" t="s">
        <v>162</v>
      </c>
      <c r="D214" s="5" t="s">
        <v>8</v>
      </c>
      <c r="E214" s="5" t="s">
        <v>9</v>
      </c>
      <c r="F214" s="6">
        <v>45291</v>
      </c>
      <c r="G214" s="5">
        <f t="shared" si="32"/>
        <v>2023</v>
      </c>
      <c r="H214" s="5" t="str">
        <f t="shared" si="30"/>
        <v>Diciembre</v>
      </c>
      <c r="I214" s="6" t="str">
        <f t="shared" si="31"/>
        <v>2023-2</v>
      </c>
      <c r="J214" s="5"/>
      <c r="K214" s="5">
        <v>608</v>
      </c>
      <c r="L214" s="15" t="str">
        <f>IFERROR(IF((K214/J214)&gt;1.3,1.3,K214/J214),"")</f>
        <v/>
      </c>
      <c r="M214" s="15" t="str">
        <f t="shared" si="35"/>
        <v/>
      </c>
      <c r="N214" s="5">
        <v>0</v>
      </c>
      <c r="O214" s="5" t="s">
        <v>490</v>
      </c>
      <c r="P214" s="5">
        <v>0</v>
      </c>
      <c r="Q214" s="5">
        <v>0</v>
      </c>
      <c r="R214" s="5" t="str">
        <f>A214&amp;"-"&amp;YEAR(F214)&amp;"-"&amp;IF(LEN(MONTH(F214))=1,"0"&amp;MONTH(F214),MONTH(F214))&amp;"-"&amp;IF(LEN(DAY(F214))=1,"0"&amp;DAY(F214),DAY(F214))</f>
        <v>279-2023-12-31</v>
      </c>
    </row>
    <row r="215" spans="1:18" x14ac:dyDescent="0.3">
      <c r="A215" s="5">
        <v>280</v>
      </c>
      <c r="B215" s="5" t="s">
        <v>166</v>
      </c>
      <c r="C215" s="5" t="s">
        <v>162</v>
      </c>
      <c r="D215" s="5" t="s">
        <v>8</v>
      </c>
      <c r="E215" s="5" t="s">
        <v>9</v>
      </c>
      <c r="F215" s="6">
        <v>45291</v>
      </c>
      <c r="G215" s="5">
        <f t="shared" si="32"/>
        <v>2023</v>
      </c>
      <c r="H215" s="5" t="str">
        <f t="shared" si="30"/>
        <v>Diciembre</v>
      </c>
      <c r="I215" s="6" t="str">
        <f t="shared" si="31"/>
        <v>2023-2</v>
      </c>
      <c r="J215" s="5"/>
      <c r="K215" s="5">
        <v>186</v>
      </c>
      <c r="L215" s="15" t="str">
        <f>IFERROR(IF((K215/J215)&gt;1.3,1.3,K215/J215),"")</f>
        <v/>
      </c>
      <c r="M215" s="15" t="str">
        <f t="shared" si="35"/>
        <v/>
      </c>
      <c r="N215" s="5">
        <v>0</v>
      </c>
      <c r="O215" s="5" t="s">
        <v>490</v>
      </c>
      <c r="P215" s="5">
        <v>0</v>
      </c>
      <c r="Q215" s="5">
        <v>0</v>
      </c>
      <c r="R215" s="5" t="str">
        <f>A215&amp;"-"&amp;YEAR(F215)&amp;"-"&amp;IF(LEN(MONTH(F215))=1,"0"&amp;MONTH(F215),MONTH(F215))&amp;"-"&amp;IF(LEN(DAY(F215))=1,"0"&amp;DAY(F215),DAY(F215))</f>
        <v>280-2023-12-31</v>
      </c>
    </row>
    <row r="216" spans="1:18" x14ac:dyDescent="0.3">
      <c r="A216" s="5">
        <v>281</v>
      </c>
      <c r="B216" s="5" t="s">
        <v>167</v>
      </c>
      <c r="C216" s="5" t="s">
        <v>162</v>
      </c>
      <c r="D216" s="5" t="s">
        <v>8</v>
      </c>
      <c r="E216" s="5" t="s">
        <v>9</v>
      </c>
      <c r="F216" s="6">
        <v>45291</v>
      </c>
      <c r="G216" s="5">
        <f t="shared" si="32"/>
        <v>2023</v>
      </c>
      <c r="H216" s="5" t="str">
        <f t="shared" si="30"/>
        <v>Diciembre</v>
      </c>
      <c r="I216" s="6" t="str">
        <f t="shared" si="31"/>
        <v>2023-2</v>
      </c>
      <c r="J216" s="5"/>
      <c r="K216" s="5">
        <v>223</v>
      </c>
      <c r="L216" s="15" t="str">
        <f>IFERROR(IF((K216/J216)&gt;1.3,1.3,K216/J216),"")</f>
        <v/>
      </c>
      <c r="M216" s="15" t="str">
        <f t="shared" si="35"/>
        <v/>
      </c>
      <c r="N216" s="5">
        <v>0</v>
      </c>
      <c r="O216" s="5" t="s">
        <v>490</v>
      </c>
      <c r="P216" s="5">
        <v>0</v>
      </c>
      <c r="Q216" s="5">
        <v>0</v>
      </c>
      <c r="R216" s="5" t="str">
        <f>A216&amp;"-"&amp;YEAR(F216)&amp;"-"&amp;IF(LEN(MONTH(F216))=1,"0"&amp;MONTH(F216),MONTH(F216))&amp;"-"&amp;IF(LEN(DAY(F216))=1,"0"&amp;DAY(F216),DAY(F216))</f>
        <v>281-2023-12-31</v>
      </c>
    </row>
    <row r="217" spans="1:18" x14ac:dyDescent="0.3">
      <c r="A217" s="5">
        <v>282</v>
      </c>
      <c r="B217" s="5" t="s">
        <v>168</v>
      </c>
      <c r="C217" s="5" t="s">
        <v>162</v>
      </c>
      <c r="D217" s="5" t="s">
        <v>8</v>
      </c>
      <c r="E217" s="5" t="s">
        <v>9</v>
      </c>
      <c r="F217" s="6">
        <v>45291</v>
      </c>
      <c r="G217" s="5">
        <f t="shared" si="32"/>
        <v>2023</v>
      </c>
      <c r="H217" s="5" t="str">
        <f t="shared" si="30"/>
        <v>Diciembre</v>
      </c>
      <c r="I217" s="6" t="str">
        <f t="shared" si="31"/>
        <v>2023-2</v>
      </c>
      <c r="J217" s="11">
        <v>96</v>
      </c>
      <c r="K217" s="5">
        <v>96.56</v>
      </c>
      <c r="L217" s="15">
        <f>IFERROR(IF((K217/J217)&gt;1.3,1.3,K217/J217),"")</f>
        <v>1.0058333333333334</v>
      </c>
      <c r="M217" s="15">
        <f t="shared" si="35"/>
        <v>1.0058333333333334</v>
      </c>
      <c r="N217" s="11" t="s">
        <v>347</v>
      </c>
      <c r="O217" s="11" t="s">
        <v>347</v>
      </c>
      <c r="P217" s="5">
        <v>0</v>
      </c>
      <c r="Q217" s="5">
        <v>0</v>
      </c>
      <c r="R217" s="5" t="str">
        <f>A217&amp;"-"&amp;YEAR(F217)&amp;"-"&amp;IF(LEN(MONTH(F217))=1,"0"&amp;MONTH(F217),MONTH(F217))&amp;"-"&amp;IF(LEN(DAY(F217))=1,"0"&amp;DAY(F217),DAY(F217))</f>
        <v>282-2023-12-31</v>
      </c>
    </row>
    <row r="218" spans="1:18" x14ac:dyDescent="0.3">
      <c r="A218" s="5">
        <v>283</v>
      </c>
      <c r="B218" s="5" t="s">
        <v>169</v>
      </c>
      <c r="C218" s="5" t="s">
        <v>162</v>
      </c>
      <c r="D218" s="5" t="s">
        <v>8</v>
      </c>
      <c r="E218" s="5" t="s">
        <v>9</v>
      </c>
      <c r="F218" s="6">
        <v>45291</v>
      </c>
      <c r="G218" s="5">
        <f t="shared" si="32"/>
        <v>2023</v>
      </c>
      <c r="H218" s="5" t="str">
        <f t="shared" si="30"/>
        <v>Diciembre</v>
      </c>
      <c r="I218" s="6" t="str">
        <f t="shared" si="31"/>
        <v>2023-2</v>
      </c>
      <c r="J218" s="5">
        <v>4.5</v>
      </c>
      <c r="K218" s="5">
        <v>4.5599999999999996</v>
      </c>
      <c r="L218" s="15">
        <f>IFERROR(IF((K218/J218)&gt;1,1,K218/J218),"")</f>
        <v>1</v>
      </c>
      <c r="M218" s="15">
        <f t="shared" si="35"/>
        <v>1.0133333333333332</v>
      </c>
      <c r="N218" s="5" t="s">
        <v>478</v>
      </c>
      <c r="O218" s="5" t="s">
        <v>478</v>
      </c>
      <c r="P218" s="5">
        <v>2</v>
      </c>
      <c r="Q218" s="5">
        <v>2</v>
      </c>
      <c r="R218" s="5" t="str">
        <f>A218&amp;"-"&amp;YEAR(F218)&amp;"-"&amp;IF(LEN(MONTH(F218))=1,"0"&amp;MONTH(F218),MONTH(F218))&amp;"-"&amp;IF(LEN(DAY(F218))=1,"0"&amp;DAY(F218),DAY(F218))</f>
        <v>283-2023-12-31</v>
      </c>
    </row>
    <row r="219" spans="1:18" x14ac:dyDescent="0.3">
      <c r="A219" s="5">
        <v>284</v>
      </c>
      <c r="B219" s="5" t="s">
        <v>170</v>
      </c>
      <c r="C219" s="5" t="s">
        <v>162</v>
      </c>
      <c r="D219" s="5" t="s">
        <v>8</v>
      </c>
      <c r="E219" s="5" t="s">
        <v>9</v>
      </c>
      <c r="F219" s="6">
        <v>45291</v>
      </c>
      <c r="G219" s="5">
        <f t="shared" si="32"/>
        <v>2023</v>
      </c>
      <c r="H219" s="5" t="str">
        <f t="shared" si="30"/>
        <v>Diciembre</v>
      </c>
      <c r="I219" s="6" t="str">
        <f t="shared" si="31"/>
        <v>2023-2</v>
      </c>
      <c r="J219" s="5"/>
      <c r="K219" s="5">
        <v>16281</v>
      </c>
      <c r="L219" s="15" t="str">
        <f t="shared" ref="L219:L230" si="36">IFERROR(IF((K219/J219)&gt;1.3,1.3,K219/J219),"")</f>
        <v/>
      </c>
      <c r="M219" s="15" t="str">
        <f t="shared" si="35"/>
        <v/>
      </c>
      <c r="N219" s="5" t="s">
        <v>478</v>
      </c>
      <c r="O219" s="5" t="s">
        <v>490</v>
      </c>
      <c r="P219" s="5">
        <v>0</v>
      </c>
      <c r="Q219" s="5">
        <v>0</v>
      </c>
      <c r="R219" s="5" t="str">
        <f>A219&amp;"-"&amp;YEAR(F219)&amp;"-"&amp;IF(LEN(MONTH(F219))=1,"0"&amp;MONTH(F219),MONTH(F219))&amp;"-"&amp;IF(LEN(DAY(F219))=1,"0"&amp;DAY(F219),DAY(F219))</f>
        <v>284-2023-12-31</v>
      </c>
    </row>
    <row r="220" spans="1:18" x14ac:dyDescent="0.3">
      <c r="A220" s="5">
        <v>285</v>
      </c>
      <c r="B220" s="5" t="s">
        <v>171</v>
      </c>
      <c r="C220" s="5" t="s">
        <v>162</v>
      </c>
      <c r="D220" s="5" t="s">
        <v>8</v>
      </c>
      <c r="E220" s="5" t="s">
        <v>9</v>
      </c>
      <c r="F220" s="6">
        <v>45291</v>
      </c>
      <c r="G220" s="5">
        <f t="shared" si="32"/>
        <v>2023</v>
      </c>
      <c r="H220" s="5" t="str">
        <f t="shared" si="30"/>
        <v>Diciembre</v>
      </c>
      <c r="I220" s="6" t="str">
        <f t="shared" si="31"/>
        <v>2023-2</v>
      </c>
      <c r="J220" s="5">
        <v>100</v>
      </c>
      <c r="K220" s="5">
        <v>100</v>
      </c>
      <c r="L220" s="15">
        <f t="shared" si="36"/>
        <v>1</v>
      </c>
      <c r="M220" s="15">
        <f t="shared" si="35"/>
        <v>1</v>
      </c>
      <c r="N220" s="5" t="s">
        <v>347</v>
      </c>
      <c r="O220" s="5" t="s">
        <v>347</v>
      </c>
      <c r="P220" s="5">
        <v>0</v>
      </c>
      <c r="Q220" s="5">
        <v>0</v>
      </c>
      <c r="R220" s="5" t="str">
        <f>A220&amp;"-"&amp;YEAR(F220)&amp;"-"&amp;IF(LEN(MONTH(F220))=1,"0"&amp;MONTH(F220),MONTH(F220))&amp;"-"&amp;IF(LEN(DAY(F220))=1,"0"&amp;DAY(F220),DAY(F220))</f>
        <v>285-2023-12-31</v>
      </c>
    </row>
    <row r="221" spans="1:18" x14ac:dyDescent="0.3">
      <c r="A221" s="5">
        <v>286</v>
      </c>
      <c r="B221" s="5" t="s">
        <v>172</v>
      </c>
      <c r="C221" s="5" t="s">
        <v>162</v>
      </c>
      <c r="D221" s="5" t="s">
        <v>8</v>
      </c>
      <c r="E221" s="5" t="s">
        <v>9</v>
      </c>
      <c r="F221" s="6">
        <v>45291</v>
      </c>
      <c r="G221" s="5">
        <f t="shared" si="32"/>
        <v>2023</v>
      </c>
      <c r="H221" s="5" t="str">
        <f t="shared" si="30"/>
        <v>Diciembre</v>
      </c>
      <c r="I221" s="6" t="str">
        <f t="shared" si="31"/>
        <v>2023-2</v>
      </c>
      <c r="J221" s="5"/>
      <c r="K221" s="5">
        <v>1017</v>
      </c>
      <c r="L221" s="15" t="str">
        <f t="shared" si="36"/>
        <v/>
      </c>
      <c r="M221" s="15" t="str">
        <f t="shared" si="35"/>
        <v/>
      </c>
      <c r="N221" s="5" t="s">
        <v>347</v>
      </c>
      <c r="O221" s="5" t="s">
        <v>490</v>
      </c>
      <c r="P221" s="5">
        <v>0</v>
      </c>
      <c r="Q221" s="5">
        <v>0</v>
      </c>
      <c r="R221" s="5" t="str">
        <f>A221&amp;"-"&amp;YEAR(F221)&amp;"-"&amp;IF(LEN(MONTH(F221))=1,"0"&amp;MONTH(F221),MONTH(F221))&amp;"-"&amp;IF(LEN(DAY(F221))=1,"0"&amp;DAY(F221),DAY(F221))</f>
        <v>286-2023-12-31</v>
      </c>
    </row>
    <row r="222" spans="1:18" x14ac:dyDescent="0.3">
      <c r="A222" s="5">
        <v>288</v>
      </c>
      <c r="B222" s="5" t="s">
        <v>173</v>
      </c>
      <c r="C222" s="5" t="s">
        <v>162</v>
      </c>
      <c r="D222" s="5" t="s">
        <v>8</v>
      </c>
      <c r="E222" s="5" t="s">
        <v>9</v>
      </c>
      <c r="F222" s="6">
        <v>45291</v>
      </c>
      <c r="G222" s="5">
        <f t="shared" si="32"/>
        <v>2023</v>
      </c>
      <c r="H222" s="5" t="str">
        <f t="shared" si="30"/>
        <v>Diciembre</v>
      </c>
      <c r="I222" s="6" t="str">
        <f t="shared" si="31"/>
        <v>2023-2</v>
      </c>
      <c r="J222" s="5">
        <v>16</v>
      </c>
      <c r="K222" s="5">
        <v>18</v>
      </c>
      <c r="L222" s="15">
        <f t="shared" si="36"/>
        <v>1.125</v>
      </c>
      <c r="M222" s="15">
        <f t="shared" si="35"/>
        <v>1.125</v>
      </c>
      <c r="N222" s="5" t="s">
        <v>490</v>
      </c>
      <c r="O222" s="5" t="s">
        <v>490</v>
      </c>
      <c r="P222" s="5">
        <v>0</v>
      </c>
      <c r="Q222" s="5">
        <v>0</v>
      </c>
      <c r="R222" s="5" t="str">
        <f>A222&amp;"-"&amp;YEAR(F222)&amp;"-"&amp;IF(LEN(MONTH(F222))=1,"0"&amp;MONTH(F222),MONTH(F222))&amp;"-"&amp;IF(LEN(DAY(F222))=1,"0"&amp;DAY(F222),DAY(F222))</f>
        <v>288-2023-12-31</v>
      </c>
    </row>
    <row r="223" spans="1:18" x14ac:dyDescent="0.3">
      <c r="A223" s="5">
        <v>289</v>
      </c>
      <c r="B223" s="5" t="s">
        <v>174</v>
      </c>
      <c r="C223" s="5" t="s">
        <v>45</v>
      </c>
      <c r="D223" s="5" t="s">
        <v>11</v>
      </c>
      <c r="E223" s="5" t="s">
        <v>9</v>
      </c>
      <c r="F223" s="6">
        <v>45291</v>
      </c>
      <c r="G223" s="5">
        <f t="shared" si="32"/>
        <v>2023</v>
      </c>
      <c r="H223" s="5" t="str">
        <f t="shared" si="30"/>
        <v>Diciembre</v>
      </c>
      <c r="I223" s="6" t="str">
        <f t="shared" si="31"/>
        <v>2023-2</v>
      </c>
      <c r="J223" s="5">
        <v>95</v>
      </c>
      <c r="K223" s="5">
        <v>87.5</v>
      </c>
      <c r="L223" s="15">
        <f t="shared" si="36"/>
        <v>0.92105263157894735</v>
      </c>
      <c r="M223" s="15">
        <f t="shared" si="35"/>
        <v>0.92105263157894735</v>
      </c>
      <c r="N223" s="5" t="s">
        <v>347</v>
      </c>
      <c r="O223" s="5" t="s">
        <v>347</v>
      </c>
      <c r="P223" s="5">
        <v>0</v>
      </c>
      <c r="Q223" s="5">
        <v>0</v>
      </c>
      <c r="R223" s="5" t="str">
        <f>A223&amp;"-"&amp;YEAR(F223)&amp;"-"&amp;IF(LEN(MONTH(F223))=1,"0"&amp;MONTH(F223),MONTH(F223))&amp;"-"&amp;IF(LEN(DAY(F223))=1,"0"&amp;DAY(F223),DAY(F223))</f>
        <v>289-2023-12-31</v>
      </c>
    </row>
    <row r="224" spans="1:18" x14ac:dyDescent="0.3">
      <c r="A224" s="5">
        <v>290</v>
      </c>
      <c r="B224" s="5" t="s">
        <v>175</v>
      </c>
      <c r="C224" s="5" t="s">
        <v>114</v>
      </c>
      <c r="D224" s="5" t="s">
        <v>21</v>
      </c>
      <c r="E224" s="5" t="s">
        <v>9</v>
      </c>
      <c r="F224" s="6">
        <v>45291</v>
      </c>
      <c r="G224" s="5">
        <f t="shared" si="32"/>
        <v>2023</v>
      </c>
      <c r="H224" s="5" t="str">
        <f t="shared" si="30"/>
        <v>Diciembre</v>
      </c>
      <c r="I224" s="6" t="str">
        <f t="shared" si="31"/>
        <v>2023-2</v>
      </c>
      <c r="J224" s="5">
        <v>90</v>
      </c>
      <c r="K224" s="5">
        <v>89.36</v>
      </c>
      <c r="L224" s="15">
        <f t="shared" si="36"/>
        <v>0.99288888888888893</v>
      </c>
      <c r="M224" s="15">
        <f t="shared" si="35"/>
        <v>0.99288888888888893</v>
      </c>
      <c r="N224" s="5" t="s">
        <v>347</v>
      </c>
      <c r="O224" s="5" t="s">
        <v>347</v>
      </c>
      <c r="P224" s="5">
        <v>0</v>
      </c>
      <c r="Q224" s="5">
        <v>0</v>
      </c>
      <c r="R224" s="5" t="str">
        <f>A224&amp;"-"&amp;YEAR(F224)&amp;"-"&amp;IF(LEN(MONTH(F224))=1,"0"&amp;MONTH(F224),MONTH(F224))&amp;"-"&amp;IF(LEN(DAY(F224))=1,"0"&amp;DAY(F224),DAY(F224))</f>
        <v>290-2023-12-31</v>
      </c>
    </row>
    <row r="225" spans="1:18" x14ac:dyDescent="0.3">
      <c r="A225" s="5">
        <v>291</v>
      </c>
      <c r="B225" s="5" t="s">
        <v>176</v>
      </c>
      <c r="C225" s="5" t="s">
        <v>177</v>
      </c>
      <c r="D225" s="5" t="s">
        <v>8</v>
      </c>
      <c r="E225" s="5" t="s">
        <v>9</v>
      </c>
      <c r="F225" s="6">
        <v>45291</v>
      </c>
      <c r="G225" s="5">
        <f t="shared" si="32"/>
        <v>2023</v>
      </c>
      <c r="H225" s="5" t="str">
        <f t="shared" si="30"/>
        <v>Diciembre</v>
      </c>
      <c r="I225" s="6" t="str">
        <f t="shared" si="31"/>
        <v>2023-2</v>
      </c>
      <c r="J225" s="5">
        <v>100</v>
      </c>
      <c r="K225" s="5">
        <v>100</v>
      </c>
      <c r="L225" s="15">
        <f t="shared" si="36"/>
        <v>1</v>
      </c>
      <c r="M225" s="15">
        <f t="shared" si="35"/>
        <v>1</v>
      </c>
      <c r="N225" s="5" t="s">
        <v>347</v>
      </c>
      <c r="O225" s="5" t="s">
        <v>347</v>
      </c>
      <c r="P225" s="5">
        <v>0</v>
      </c>
      <c r="Q225" s="5">
        <v>0</v>
      </c>
      <c r="R225" s="5" t="str">
        <f>A225&amp;"-"&amp;YEAR(F225)&amp;"-"&amp;IF(LEN(MONTH(F225))=1,"0"&amp;MONTH(F225),MONTH(F225))&amp;"-"&amp;IF(LEN(DAY(F225))=1,"0"&amp;DAY(F225),DAY(F225))</f>
        <v>291-2023-12-31</v>
      </c>
    </row>
    <row r="226" spans="1:18" x14ac:dyDescent="0.3">
      <c r="A226" s="5">
        <v>292</v>
      </c>
      <c r="B226" s="5" t="s">
        <v>178</v>
      </c>
      <c r="C226" s="5" t="s">
        <v>177</v>
      </c>
      <c r="D226" s="5" t="s">
        <v>8</v>
      </c>
      <c r="E226" s="5" t="s">
        <v>9</v>
      </c>
      <c r="F226" s="6">
        <v>45291</v>
      </c>
      <c r="G226" s="5">
        <f t="shared" si="32"/>
        <v>2023</v>
      </c>
      <c r="H226" s="5" t="str">
        <f t="shared" si="30"/>
        <v>Diciembre</v>
      </c>
      <c r="I226" s="6" t="str">
        <f t="shared" si="31"/>
        <v>2023-2</v>
      </c>
      <c r="J226" s="5">
        <v>3</v>
      </c>
      <c r="K226" s="5">
        <v>19.32</v>
      </c>
      <c r="L226" s="15">
        <f t="shared" si="36"/>
        <v>1.3</v>
      </c>
      <c r="M226" s="15">
        <f t="shared" si="35"/>
        <v>6.44</v>
      </c>
      <c r="N226" s="5" t="s">
        <v>347</v>
      </c>
      <c r="O226" s="5" t="s">
        <v>347</v>
      </c>
      <c r="P226" s="5">
        <v>0</v>
      </c>
      <c r="Q226" s="5">
        <v>0</v>
      </c>
      <c r="R226" s="5" t="str">
        <f>A226&amp;"-"&amp;YEAR(F226)&amp;"-"&amp;IF(LEN(MONTH(F226))=1,"0"&amp;MONTH(F226),MONTH(F226))&amp;"-"&amp;IF(LEN(DAY(F226))=1,"0"&amp;DAY(F226),DAY(F226))</f>
        <v>292-2023-12-31</v>
      </c>
    </row>
    <row r="227" spans="1:18" x14ac:dyDescent="0.3">
      <c r="A227" s="5">
        <v>293</v>
      </c>
      <c r="B227" s="5" t="s">
        <v>179</v>
      </c>
      <c r="C227" s="5" t="s">
        <v>177</v>
      </c>
      <c r="D227" s="5" t="s">
        <v>8</v>
      </c>
      <c r="E227" s="5" t="s">
        <v>9</v>
      </c>
      <c r="F227" s="6">
        <v>45291</v>
      </c>
      <c r="G227" s="5">
        <f t="shared" si="32"/>
        <v>2023</v>
      </c>
      <c r="H227" s="5" t="str">
        <f t="shared" si="30"/>
        <v>Diciembre</v>
      </c>
      <c r="I227" s="6" t="str">
        <f t="shared" si="31"/>
        <v>2023-2</v>
      </c>
      <c r="J227" s="5">
        <v>100</v>
      </c>
      <c r="K227" s="5">
        <v>100</v>
      </c>
      <c r="L227" s="15">
        <f t="shared" si="36"/>
        <v>1</v>
      </c>
      <c r="M227" s="15">
        <f t="shared" si="35"/>
        <v>1</v>
      </c>
      <c r="N227" s="5" t="s">
        <v>347</v>
      </c>
      <c r="O227" s="5" t="s">
        <v>347</v>
      </c>
      <c r="P227" s="5">
        <v>0</v>
      </c>
      <c r="Q227" s="5">
        <v>0</v>
      </c>
      <c r="R227" s="5" t="str">
        <f>A227&amp;"-"&amp;YEAR(F227)&amp;"-"&amp;IF(LEN(MONTH(F227))=1,"0"&amp;MONTH(F227),MONTH(F227))&amp;"-"&amp;IF(LEN(DAY(F227))=1,"0"&amp;DAY(F227),DAY(F227))</f>
        <v>293-2023-12-31</v>
      </c>
    </row>
    <row r="228" spans="1:18" x14ac:dyDescent="0.3">
      <c r="A228" s="5">
        <v>294</v>
      </c>
      <c r="B228" s="5" t="s">
        <v>180</v>
      </c>
      <c r="C228" s="5" t="s">
        <v>177</v>
      </c>
      <c r="D228" s="5" t="s">
        <v>8</v>
      </c>
      <c r="E228" s="5" t="s">
        <v>9</v>
      </c>
      <c r="F228" s="6">
        <v>45291</v>
      </c>
      <c r="G228" s="5">
        <f t="shared" si="32"/>
        <v>2023</v>
      </c>
      <c r="H228" s="5" t="str">
        <f t="shared" si="30"/>
        <v>Diciembre</v>
      </c>
      <c r="I228" s="6" t="str">
        <f t="shared" si="31"/>
        <v>2023-2</v>
      </c>
      <c r="J228" s="5">
        <v>3</v>
      </c>
      <c r="K228" s="5">
        <v>36.700000000000003</v>
      </c>
      <c r="L228" s="15">
        <f t="shared" si="36"/>
        <v>1.3</v>
      </c>
      <c r="M228" s="15">
        <f t="shared" si="35"/>
        <v>12.233333333333334</v>
      </c>
      <c r="N228" s="5" t="s">
        <v>347</v>
      </c>
      <c r="O228" s="5" t="s">
        <v>347</v>
      </c>
      <c r="P228" s="5">
        <v>0</v>
      </c>
      <c r="Q228" s="5">
        <v>0</v>
      </c>
      <c r="R228" s="5" t="str">
        <f>A228&amp;"-"&amp;YEAR(F228)&amp;"-"&amp;IF(LEN(MONTH(F228))=1,"0"&amp;MONTH(F228),MONTH(F228))&amp;"-"&amp;IF(LEN(DAY(F228))=1,"0"&amp;DAY(F228),DAY(F228))</f>
        <v>294-2023-12-31</v>
      </c>
    </row>
    <row r="229" spans="1:18" x14ac:dyDescent="0.3">
      <c r="A229" s="5">
        <v>295</v>
      </c>
      <c r="B229" s="5" t="s">
        <v>181</v>
      </c>
      <c r="C229" s="5" t="s">
        <v>20</v>
      </c>
      <c r="D229" s="5" t="s">
        <v>8</v>
      </c>
      <c r="E229" s="5" t="s">
        <v>9</v>
      </c>
      <c r="F229" s="6">
        <v>45291</v>
      </c>
      <c r="G229" s="5">
        <f t="shared" si="32"/>
        <v>2023</v>
      </c>
      <c r="H229" s="5" t="str">
        <f t="shared" si="30"/>
        <v>Diciembre</v>
      </c>
      <c r="I229" s="6" t="str">
        <f t="shared" si="31"/>
        <v>2023-2</v>
      </c>
      <c r="J229" s="5">
        <v>32</v>
      </c>
      <c r="K229" s="5">
        <v>14</v>
      </c>
      <c r="L229" s="15">
        <f t="shared" si="36"/>
        <v>0.4375</v>
      </c>
      <c r="M229" s="15">
        <f t="shared" si="35"/>
        <v>0.4375</v>
      </c>
      <c r="N229" s="5" t="s">
        <v>490</v>
      </c>
      <c r="O229" s="5" t="s">
        <v>490</v>
      </c>
      <c r="P229" s="5">
        <v>0</v>
      </c>
      <c r="Q229" s="5">
        <v>0</v>
      </c>
      <c r="R229" s="5" t="str">
        <f>A229&amp;"-"&amp;YEAR(F229)&amp;"-"&amp;IF(LEN(MONTH(F229))=1,"0"&amp;MONTH(F229),MONTH(F229))&amp;"-"&amp;IF(LEN(DAY(F229))=1,"0"&amp;DAY(F229),DAY(F229))</f>
        <v>295-2023-12-31</v>
      </c>
    </row>
    <row r="230" spans="1:18" x14ac:dyDescent="0.3">
      <c r="A230" s="5">
        <v>296</v>
      </c>
      <c r="B230" s="5" t="s">
        <v>413</v>
      </c>
      <c r="C230" s="5" t="s">
        <v>182</v>
      </c>
      <c r="D230" s="5" t="s">
        <v>21</v>
      </c>
      <c r="E230" s="5" t="s">
        <v>9</v>
      </c>
      <c r="F230" s="6">
        <v>45291</v>
      </c>
      <c r="G230" s="5">
        <f t="shared" si="32"/>
        <v>2023</v>
      </c>
      <c r="H230" s="5" t="str">
        <f t="shared" si="30"/>
        <v>Diciembre</v>
      </c>
      <c r="I230" s="6" t="str">
        <f t="shared" si="31"/>
        <v>2023-2</v>
      </c>
      <c r="J230" s="5">
        <v>100</v>
      </c>
      <c r="K230" s="5">
        <v>85.45</v>
      </c>
      <c r="L230" s="15">
        <f t="shared" si="36"/>
        <v>0.85450000000000004</v>
      </c>
      <c r="M230" s="15">
        <f t="shared" si="35"/>
        <v>0.85450000000000004</v>
      </c>
      <c r="N230" s="5" t="s">
        <v>490</v>
      </c>
      <c r="O230" s="5" t="s">
        <v>478</v>
      </c>
      <c r="P230" s="5">
        <v>1</v>
      </c>
      <c r="Q230" s="5">
        <v>1</v>
      </c>
      <c r="R230" s="5" t="str">
        <f>A230&amp;"-"&amp;YEAR(F230)&amp;"-"&amp;IF(LEN(MONTH(F230))=1,"0"&amp;MONTH(F230),MONTH(F230))&amp;"-"&amp;IF(LEN(DAY(F230))=1,"0"&amp;DAY(F230),DAY(F230))</f>
        <v>296-2023-12-31</v>
      </c>
    </row>
    <row r="231" spans="1:18" x14ac:dyDescent="0.3">
      <c r="A231" s="5">
        <v>297</v>
      </c>
      <c r="B231" s="5" t="s">
        <v>414</v>
      </c>
      <c r="C231" s="5" t="s">
        <v>182</v>
      </c>
      <c r="D231" s="5" t="s">
        <v>21</v>
      </c>
      <c r="E231" s="5" t="s">
        <v>14</v>
      </c>
      <c r="F231" s="6">
        <v>45291</v>
      </c>
      <c r="G231" s="5">
        <f t="shared" si="32"/>
        <v>2023</v>
      </c>
      <c r="H231" s="5" t="str">
        <f t="shared" si="30"/>
        <v>Diciembre</v>
      </c>
      <c r="I231" s="6" t="str">
        <f t="shared" si="31"/>
        <v>2023-2</v>
      </c>
      <c r="J231" s="5">
        <v>20</v>
      </c>
      <c r="K231" s="5">
        <v>0.93</v>
      </c>
      <c r="L231" s="15">
        <f>IFERROR(IF((J231/K231)&gt;1.3,1.3,J231/K231),"")</f>
        <v>1.3</v>
      </c>
      <c r="M231" s="15">
        <f>IFERROR(IF((J231/K231)&gt;J231/K231,1.3,J231/K231),"")</f>
        <v>21.50537634408602</v>
      </c>
      <c r="N231" s="5" t="s">
        <v>490</v>
      </c>
      <c r="O231" s="5" t="s">
        <v>478</v>
      </c>
      <c r="P231" s="5">
        <v>1</v>
      </c>
      <c r="Q231" s="5">
        <v>1</v>
      </c>
      <c r="R231" s="5" t="str">
        <f>A231&amp;"-"&amp;YEAR(F231)&amp;"-"&amp;IF(LEN(MONTH(F231))=1,"0"&amp;MONTH(F231),MONTH(F231))&amp;"-"&amp;IF(LEN(DAY(F231))=1,"0"&amp;DAY(F231),DAY(F231))</f>
        <v>297-2023-12-31</v>
      </c>
    </row>
    <row r="232" spans="1:18" x14ac:dyDescent="0.3">
      <c r="A232" s="5">
        <v>298</v>
      </c>
      <c r="B232" s="5" t="s">
        <v>183</v>
      </c>
      <c r="C232" s="5" t="s">
        <v>182</v>
      </c>
      <c r="D232" s="5" t="s">
        <v>8</v>
      </c>
      <c r="E232" s="5" t="s">
        <v>14</v>
      </c>
      <c r="F232" s="6">
        <v>45291</v>
      </c>
      <c r="G232" s="5">
        <f t="shared" si="32"/>
        <v>2023</v>
      </c>
      <c r="H232" s="5" t="str">
        <f t="shared" si="30"/>
        <v>Diciembre</v>
      </c>
      <c r="I232" s="6" t="str">
        <f t="shared" si="31"/>
        <v>2023-2</v>
      </c>
      <c r="J232" s="5"/>
      <c r="K232" s="5">
        <v>1</v>
      </c>
      <c r="L232" s="15">
        <f>IFERROR(IF((J232/K232)&gt;1.3,1.3,J232/K232),"")</f>
        <v>0</v>
      </c>
      <c r="M232" s="15">
        <f>IFERROR(IF((J232/K232)&gt;J232/K232,1.3,J232/K232),"")</f>
        <v>0</v>
      </c>
      <c r="N232" s="5" t="s">
        <v>477</v>
      </c>
      <c r="O232" s="5" t="s">
        <v>490</v>
      </c>
      <c r="P232" s="5">
        <v>0</v>
      </c>
      <c r="Q232" s="5">
        <v>0</v>
      </c>
      <c r="R232" s="5" t="str">
        <f>A232&amp;"-"&amp;YEAR(F232)&amp;"-"&amp;IF(LEN(MONTH(F232))=1,"0"&amp;MONTH(F232),MONTH(F232))&amp;"-"&amp;IF(LEN(DAY(F232))=1,"0"&amp;DAY(F232),DAY(F232))</f>
        <v>298-2023-12-31</v>
      </c>
    </row>
    <row r="233" spans="1:18" x14ac:dyDescent="0.3">
      <c r="A233" s="5">
        <v>300</v>
      </c>
      <c r="B233" s="5" t="s">
        <v>184</v>
      </c>
      <c r="C233" s="5" t="s">
        <v>185</v>
      </c>
      <c r="D233" s="5" t="s">
        <v>11</v>
      </c>
      <c r="E233" s="5" t="s">
        <v>9</v>
      </c>
      <c r="F233" s="6">
        <v>45291</v>
      </c>
      <c r="G233" s="5">
        <f t="shared" si="32"/>
        <v>2023</v>
      </c>
      <c r="H233" s="5" t="str">
        <f t="shared" si="30"/>
        <v>Diciembre</v>
      </c>
      <c r="I233" s="6" t="str">
        <f t="shared" si="31"/>
        <v>2023-2</v>
      </c>
      <c r="J233" s="5">
        <v>100</v>
      </c>
      <c r="K233" s="5">
        <v>100</v>
      </c>
      <c r="L233" s="15">
        <f t="shared" ref="L233:L262" si="37">IFERROR(IF((K233/J233)&gt;1.3,1.3,K233/J233),"")</f>
        <v>1</v>
      </c>
      <c r="M233" s="15">
        <f t="shared" ref="M233:M262" si="38">IFERROR(K233/J233,"")</f>
        <v>1</v>
      </c>
      <c r="N233" s="5" t="s">
        <v>347</v>
      </c>
      <c r="O233" s="5" t="s">
        <v>347</v>
      </c>
      <c r="P233" s="5">
        <v>0</v>
      </c>
      <c r="Q233" s="5">
        <v>0</v>
      </c>
      <c r="R233" s="5" t="str">
        <f>A233&amp;"-"&amp;YEAR(F233)&amp;"-"&amp;IF(LEN(MONTH(F233))=1,"0"&amp;MONTH(F233),MONTH(F233))&amp;"-"&amp;IF(LEN(DAY(F233))=1,"0"&amp;DAY(F233),DAY(F233))</f>
        <v>300-2023-12-31</v>
      </c>
    </row>
    <row r="234" spans="1:18" x14ac:dyDescent="0.3">
      <c r="A234" s="5">
        <v>301</v>
      </c>
      <c r="B234" s="5" t="s">
        <v>186</v>
      </c>
      <c r="C234" s="5" t="s">
        <v>185</v>
      </c>
      <c r="D234" s="5" t="s">
        <v>11</v>
      </c>
      <c r="E234" s="5" t="s">
        <v>9</v>
      </c>
      <c r="F234" s="6">
        <v>45291</v>
      </c>
      <c r="G234" s="5">
        <f t="shared" si="32"/>
        <v>2023</v>
      </c>
      <c r="H234" s="5" t="str">
        <f t="shared" si="30"/>
        <v>Diciembre</v>
      </c>
      <c r="I234" s="6" t="str">
        <f t="shared" si="31"/>
        <v>2023-2</v>
      </c>
      <c r="J234" s="5">
        <v>100</v>
      </c>
      <c r="K234" s="5">
        <v>100</v>
      </c>
      <c r="L234" s="15">
        <f t="shared" si="37"/>
        <v>1</v>
      </c>
      <c r="M234" s="15">
        <f t="shared" si="38"/>
        <v>1</v>
      </c>
      <c r="N234" s="5" t="s">
        <v>347</v>
      </c>
      <c r="O234" s="5" t="s">
        <v>347</v>
      </c>
      <c r="P234" s="5">
        <v>0</v>
      </c>
      <c r="Q234" s="5">
        <v>0</v>
      </c>
      <c r="R234" s="5" t="str">
        <f>A234&amp;"-"&amp;YEAR(F234)&amp;"-"&amp;IF(LEN(MONTH(F234))=1,"0"&amp;MONTH(F234),MONTH(F234))&amp;"-"&amp;IF(LEN(DAY(F234))=1,"0"&amp;DAY(F234),DAY(F234))</f>
        <v>301-2023-12-31</v>
      </c>
    </row>
    <row r="235" spans="1:18" x14ac:dyDescent="0.3">
      <c r="A235" s="5">
        <v>302</v>
      </c>
      <c r="B235" s="5" t="s">
        <v>187</v>
      </c>
      <c r="C235" s="5" t="s">
        <v>152</v>
      </c>
      <c r="D235" s="5" t="s">
        <v>8</v>
      </c>
      <c r="E235" s="5" t="s">
        <v>9</v>
      </c>
      <c r="F235" s="6">
        <v>45291</v>
      </c>
      <c r="G235" s="5">
        <f t="shared" si="32"/>
        <v>2023</v>
      </c>
      <c r="H235" s="5" t="str">
        <f t="shared" si="30"/>
        <v>Diciembre</v>
      </c>
      <c r="I235" s="6" t="str">
        <f t="shared" si="31"/>
        <v>2023-2</v>
      </c>
      <c r="J235" s="5"/>
      <c r="K235" s="5">
        <v>37846</v>
      </c>
      <c r="L235" s="15" t="str">
        <f t="shared" si="37"/>
        <v/>
      </c>
      <c r="M235" s="15" t="str">
        <f t="shared" si="38"/>
        <v/>
      </c>
      <c r="N235" s="5" t="s">
        <v>347</v>
      </c>
      <c r="O235" s="5" t="s">
        <v>490</v>
      </c>
      <c r="P235" s="5">
        <v>0</v>
      </c>
      <c r="Q235" s="5">
        <v>0</v>
      </c>
      <c r="R235" s="5" t="str">
        <f>A235&amp;"-"&amp;YEAR(F235)&amp;"-"&amp;IF(LEN(MONTH(F235))=1,"0"&amp;MONTH(F235),MONTH(F235))&amp;"-"&amp;IF(LEN(DAY(F235))=1,"0"&amp;DAY(F235),DAY(F235))</f>
        <v>302-2023-12-31</v>
      </c>
    </row>
    <row r="236" spans="1:18" x14ac:dyDescent="0.3">
      <c r="A236" s="5">
        <v>303</v>
      </c>
      <c r="B236" s="5" t="s">
        <v>188</v>
      </c>
      <c r="C236" s="5" t="s">
        <v>189</v>
      </c>
      <c r="D236" s="5" t="s">
        <v>8</v>
      </c>
      <c r="E236" s="5" t="s">
        <v>9</v>
      </c>
      <c r="F236" s="6">
        <v>45291</v>
      </c>
      <c r="G236" s="5">
        <f t="shared" si="32"/>
        <v>2023</v>
      </c>
      <c r="H236" s="5" t="str">
        <f t="shared" si="30"/>
        <v>Diciembre</v>
      </c>
      <c r="I236" s="6" t="str">
        <f t="shared" si="31"/>
        <v>2023-2</v>
      </c>
      <c r="J236" s="5">
        <v>100</v>
      </c>
      <c r="K236" s="5">
        <v>79.55</v>
      </c>
      <c r="L236" s="15">
        <f t="shared" si="37"/>
        <v>0.79549999999999998</v>
      </c>
      <c r="M236" s="15">
        <f t="shared" si="38"/>
        <v>0.79549999999999998</v>
      </c>
      <c r="N236" s="5" t="s">
        <v>347</v>
      </c>
      <c r="O236" s="5" t="s">
        <v>347</v>
      </c>
      <c r="P236" s="5">
        <v>0</v>
      </c>
      <c r="Q236" s="5">
        <v>0</v>
      </c>
      <c r="R236" s="5" t="str">
        <f>A236&amp;"-"&amp;YEAR(F236)&amp;"-"&amp;IF(LEN(MONTH(F236))=1,"0"&amp;MONTH(F236),MONTH(F236))&amp;"-"&amp;IF(LEN(DAY(F236))=1,"0"&amp;DAY(F236),DAY(F236))</f>
        <v>303-2023-12-31</v>
      </c>
    </row>
    <row r="237" spans="1:18" x14ac:dyDescent="0.3">
      <c r="A237" s="5">
        <v>304</v>
      </c>
      <c r="B237" s="5" t="s">
        <v>190</v>
      </c>
      <c r="C237" s="5" t="s">
        <v>189</v>
      </c>
      <c r="D237" s="5" t="s">
        <v>8</v>
      </c>
      <c r="E237" s="5" t="s">
        <v>9</v>
      </c>
      <c r="F237" s="6">
        <v>45291</v>
      </c>
      <c r="G237" s="5">
        <f t="shared" si="32"/>
        <v>2023</v>
      </c>
      <c r="H237" s="5" t="str">
        <f t="shared" si="30"/>
        <v>Diciembre</v>
      </c>
      <c r="I237" s="6" t="str">
        <f t="shared" si="31"/>
        <v>2023-2</v>
      </c>
      <c r="J237" s="5">
        <v>3726</v>
      </c>
      <c r="K237" s="5">
        <v>6822</v>
      </c>
      <c r="L237" s="15">
        <f t="shared" si="37"/>
        <v>1.3</v>
      </c>
      <c r="M237" s="15">
        <f t="shared" si="38"/>
        <v>1.8309178743961352</v>
      </c>
      <c r="N237" s="5" t="s">
        <v>490</v>
      </c>
      <c r="O237" s="5" t="s">
        <v>490</v>
      </c>
      <c r="P237" s="5">
        <v>0</v>
      </c>
      <c r="Q237" s="5">
        <v>0</v>
      </c>
      <c r="R237" s="5" t="str">
        <f>A237&amp;"-"&amp;YEAR(F237)&amp;"-"&amp;IF(LEN(MONTH(F237))=1,"0"&amp;MONTH(F237),MONTH(F237))&amp;"-"&amp;IF(LEN(DAY(F237))=1,"0"&amp;DAY(F237),DAY(F237))</f>
        <v>304-2023-12-31</v>
      </c>
    </row>
    <row r="238" spans="1:18" x14ac:dyDescent="0.3">
      <c r="A238" s="5">
        <v>305</v>
      </c>
      <c r="B238" s="5" t="s">
        <v>191</v>
      </c>
      <c r="C238" s="5" t="s">
        <v>189</v>
      </c>
      <c r="D238" s="5" t="s">
        <v>25</v>
      </c>
      <c r="E238" s="5" t="s">
        <v>9</v>
      </c>
      <c r="F238" s="6">
        <v>45291</v>
      </c>
      <c r="G238" s="5">
        <f t="shared" si="32"/>
        <v>2023</v>
      </c>
      <c r="H238" s="5" t="str">
        <f t="shared" si="30"/>
        <v>Diciembre</v>
      </c>
      <c r="I238" s="6" t="str">
        <f t="shared" si="31"/>
        <v>2023-2</v>
      </c>
      <c r="J238" s="5">
        <v>100</v>
      </c>
      <c r="K238" s="5">
        <v>100</v>
      </c>
      <c r="L238" s="15">
        <f t="shared" si="37"/>
        <v>1</v>
      </c>
      <c r="M238" s="15">
        <f t="shared" si="38"/>
        <v>1</v>
      </c>
      <c r="N238" s="5" t="s">
        <v>347</v>
      </c>
      <c r="O238" s="5" t="s">
        <v>347</v>
      </c>
      <c r="P238" s="5">
        <v>0</v>
      </c>
      <c r="Q238" s="5">
        <v>0</v>
      </c>
      <c r="R238" s="5" t="str">
        <f>A238&amp;"-"&amp;YEAR(F238)&amp;"-"&amp;IF(LEN(MONTH(F238))=1,"0"&amp;MONTH(F238),MONTH(F238))&amp;"-"&amp;IF(LEN(DAY(F238))=1,"0"&amp;DAY(F238),DAY(F238))</f>
        <v>305-2023-12-31</v>
      </c>
    </row>
    <row r="239" spans="1:18" x14ac:dyDescent="0.3">
      <c r="A239" s="5">
        <v>306</v>
      </c>
      <c r="B239" s="5" t="s">
        <v>192</v>
      </c>
      <c r="C239" s="5" t="s">
        <v>134</v>
      </c>
      <c r="D239" s="5" t="s">
        <v>11</v>
      </c>
      <c r="E239" s="5" t="s">
        <v>9</v>
      </c>
      <c r="F239" s="6">
        <v>45291</v>
      </c>
      <c r="G239" s="5">
        <f t="shared" si="32"/>
        <v>2023</v>
      </c>
      <c r="H239" s="5" t="str">
        <f t="shared" si="30"/>
        <v>Diciembre</v>
      </c>
      <c r="I239" s="6" t="str">
        <f t="shared" si="31"/>
        <v>2023-2</v>
      </c>
      <c r="J239" s="5">
        <v>100</v>
      </c>
      <c r="K239" s="5">
        <v>104.5</v>
      </c>
      <c r="L239" s="15">
        <f t="shared" si="37"/>
        <v>1.0449999999999999</v>
      </c>
      <c r="M239" s="15">
        <f t="shared" si="38"/>
        <v>1.0449999999999999</v>
      </c>
      <c r="N239" s="5" t="s">
        <v>347</v>
      </c>
      <c r="O239" s="5" t="s">
        <v>347</v>
      </c>
      <c r="P239" s="5">
        <v>0</v>
      </c>
      <c r="Q239" s="5">
        <v>0</v>
      </c>
      <c r="R239" s="5" t="str">
        <f>A239&amp;"-"&amp;YEAR(F239)&amp;"-"&amp;IF(LEN(MONTH(F239))=1,"0"&amp;MONTH(F239),MONTH(F239))&amp;"-"&amp;IF(LEN(DAY(F239))=1,"0"&amp;DAY(F239),DAY(F239))</f>
        <v>306-2023-12-31</v>
      </c>
    </row>
    <row r="240" spans="1:18" x14ac:dyDescent="0.3">
      <c r="A240" s="5">
        <v>307</v>
      </c>
      <c r="B240" s="5" t="s">
        <v>193</v>
      </c>
      <c r="C240" s="5" t="s">
        <v>53</v>
      </c>
      <c r="D240" s="5" t="s">
        <v>8</v>
      </c>
      <c r="E240" s="5" t="s">
        <v>9</v>
      </c>
      <c r="F240" s="6">
        <v>45291</v>
      </c>
      <c r="G240" s="5">
        <f t="shared" si="32"/>
        <v>2023</v>
      </c>
      <c r="H240" s="5" t="str">
        <f t="shared" si="30"/>
        <v>Diciembre</v>
      </c>
      <c r="I240" s="6" t="str">
        <f t="shared" si="31"/>
        <v>2023-2</v>
      </c>
      <c r="J240" s="5">
        <v>46</v>
      </c>
      <c r="K240" s="5">
        <v>107</v>
      </c>
      <c r="L240" s="15">
        <f t="shared" si="37"/>
        <v>1.3</v>
      </c>
      <c r="M240" s="15">
        <f t="shared" si="38"/>
        <v>2.3260869565217392</v>
      </c>
      <c r="N240" s="5" t="s">
        <v>490</v>
      </c>
      <c r="O240" s="5" t="s">
        <v>490</v>
      </c>
      <c r="P240" s="5">
        <v>0</v>
      </c>
      <c r="Q240" s="5">
        <v>0</v>
      </c>
      <c r="R240" s="5" t="str">
        <f>A240&amp;"-"&amp;YEAR(F240)&amp;"-"&amp;IF(LEN(MONTH(F240))=1,"0"&amp;MONTH(F240),MONTH(F240))&amp;"-"&amp;IF(LEN(DAY(F240))=1,"0"&amp;DAY(F240),DAY(F240))</f>
        <v>307-2023-12-31</v>
      </c>
    </row>
    <row r="241" spans="1:18" x14ac:dyDescent="0.3">
      <c r="A241" s="5">
        <v>308</v>
      </c>
      <c r="B241" s="5" t="s">
        <v>194</v>
      </c>
      <c r="C241" s="5" t="s">
        <v>53</v>
      </c>
      <c r="D241" s="5" t="s">
        <v>8</v>
      </c>
      <c r="E241" s="5" t="s">
        <v>9</v>
      </c>
      <c r="F241" s="6">
        <v>45291</v>
      </c>
      <c r="G241" s="5">
        <f t="shared" si="32"/>
        <v>2023</v>
      </c>
      <c r="H241" s="5" t="str">
        <f t="shared" si="30"/>
        <v>Diciembre</v>
      </c>
      <c r="I241" s="6" t="str">
        <f t="shared" si="31"/>
        <v>2023-2</v>
      </c>
      <c r="J241" s="5">
        <v>32</v>
      </c>
      <c r="K241" s="5">
        <v>81</v>
      </c>
      <c r="L241" s="15">
        <f t="shared" si="37"/>
        <v>1.3</v>
      </c>
      <c r="M241" s="15">
        <f t="shared" si="38"/>
        <v>2.53125</v>
      </c>
      <c r="N241" s="5" t="s">
        <v>490</v>
      </c>
      <c r="O241" s="5" t="s">
        <v>490</v>
      </c>
      <c r="P241" s="5">
        <v>0</v>
      </c>
      <c r="Q241" s="5">
        <v>0</v>
      </c>
      <c r="R241" s="5" t="str">
        <f>A241&amp;"-"&amp;YEAR(F241)&amp;"-"&amp;IF(LEN(MONTH(F241))=1,"0"&amp;MONTH(F241),MONTH(F241))&amp;"-"&amp;IF(LEN(DAY(F241))=1,"0"&amp;DAY(F241),DAY(F241))</f>
        <v>308-2023-12-31</v>
      </c>
    </row>
    <row r="242" spans="1:18" x14ac:dyDescent="0.3">
      <c r="A242" s="5">
        <v>309</v>
      </c>
      <c r="B242" s="5" t="s">
        <v>195</v>
      </c>
      <c r="C242" s="5" t="s">
        <v>53</v>
      </c>
      <c r="D242" s="5" t="s">
        <v>8</v>
      </c>
      <c r="E242" s="5" t="s">
        <v>9</v>
      </c>
      <c r="F242" s="6">
        <v>45291</v>
      </c>
      <c r="G242" s="5">
        <f t="shared" si="32"/>
        <v>2023</v>
      </c>
      <c r="H242" s="5" t="str">
        <f t="shared" si="30"/>
        <v>Diciembre</v>
      </c>
      <c r="I242" s="6" t="str">
        <f t="shared" si="31"/>
        <v>2023-2</v>
      </c>
      <c r="J242" s="5">
        <v>64</v>
      </c>
      <c r="K242" s="5">
        <v>103</v>
      </c>
      <c r="L242" s="15">
        <f t="shared" si="37"/>
        <v>1.3</v>
      </c>
      <c r="M242" s="15">
        <f t="shared" si="38"/>
        <v>1.609375</v>
      </c>
      <c r="N242" s="5" t="s">
        <v>490</v>
      </c>
      <c r="O242" s="5" t="s">
        <v>490</v>
      </c>
      <c r="P242" s="5">
        <v>0</v>
      </c>
      <c r="Q242" s="5">
        <v>0</v>
      </c>
      <c r="R242" s="5" t="str">
        <f>A242&amp;"-"&amp;YEAR(F242)&amp;"-"&amp;IF(LEN(MONTH(F242))=1,"0"&amp;MONTH(F242),MONTH(F242))&amp;"-"&amp;IF(LEN(DAY(F242))=1,"0"&amp;DAY(F242),DAY(F242))</f>
        <v>309-2023-12-31</v>
      </c>
    </row>
    <row r="243" spans="1:18" x14ac:dyDescent="0.3">
      <c r="A243" s="5">
        <v>310</v>
      </c>
      <c r="B243" s="5" t="s">
        <v>196</v>
      </c>
      <c r="C243" s="5" t="s">
        <v>53</v>
      </c>
      <c r="D243" s="5" t="s">
        <v>8</v>
      </c>
      <c r="E243" s="5" t="s">
        <v>9</v>
      </c>
      <c r="F243" s="6">
        <v>45291</v>
      </c>
      <c r="G243" s="5">
        <f t="shared" si="32"/>
        <v>2023</v>
      </c>
      <c r="H243" s="5" t="str">
        <f t="shared" si="30"/>
        <v>Diciembre</v>
      </c>
      <c r="I243" s="6" t="str">
        <f t="shared" si="31"/>
        <v>2023-2</v>
      </c>
      <c r="J243" s="5">
        <v>84</v>
      </c>
      <c r="K243" s="5">
        <v>166</v>
      </c>
      <c r="L243" s="15">
        <f t="shared" si="37"/>
        <v>1.3</v>
      </c>
      <c r="M243" s="15">
        <f t="shared" si="38"/>
        <v>1.9761904761904763</v>
      </c>
      <c r="N243" s="5" t="s">
        <v>490</v>
      </c>
      <c r="O243" s="5" t="s">
        <v>490</v>
      </c>
      <c r="P243" s="5">
        <v>0</v>
      </c>
      <c r="Q243" s="5">
        <v>0</v>
      </c>
      <c r="R243" s="5" t="str">
        <f>A243&amp;"-"&amp;YEAR(F243)&amp;"-"&amp;IF(LEN(MONTH(F243))=1,"0"&amp;MONTH(F243),MONTH(F243))&amp;"-"&amp;IF(LEN(DAY(F243))=1,"0"&amp;DAY(F243),DAY(F243))</f>
        <v>310-2023-12-31</v>
      </c>
    </row>
    <row r="244" spans="1:18" x14ac:dyDescent="0.3">
      <c r="A244" s="5">
        <v>311</v>
      </c>
      <c r="B244" s="5" t="s">
        <v>197</v>
      </c>
      <c r="C244" s="5" t="s">
        <v>53</v>
      </c>
      <c r="D244" s="5" t="s">
        <v>8</v>
      </c>
      <c r="E244" s="5" t="s">
        <v>9</v>
      </c>
      <c r="F244" s="6">
        <v>45291</v>
      </c>
      <c r="G244" s="5">
        <f t="shared" si="32"/>
        <v>2023</v>
      </c>
      <c r="H244" s="5" t="str">
        <f t="shared" si="30"/>
        <v>Diciembre</v>
      </c>
      <c r="I244" s="6" t="str">
        <f t="shared" si="31"/>
        <v>2023-2</v>
      </c>
      <c r="J244" s="5">
        <v>267</v>
      </c>
      <c r="K244" s="5">
        <v>332</v>
      </c>
      <c r="L244" s="15">
        <f t="shared" si="37"/>
        <v>1.2434456928838951</v>
      </c>
      <c r="M244" s="15">
        <f t="shared" si="38"/>
        <v>1.2434456928838951</v>
      </c>
      <c r="N244" s="5" t="s">
        <v>490</v>
      </c>
      <c r="O244" s="5" t="s">
        <v>490</v>
      </c>
      <c r="P244" s="5">
        <v>0</v>
      </c>
      <c r="Q244" s="5">
        <v>0</v>
      </c>
      <c r="R244" s="5" t="str">
        <f>A244&amp;"-"&amp;YEAR(F244)&amp;"-"&amp;IF(LEN(MONTH(F244))=1,"0"&amp;MONTH(F244),MONTH(F244))&amp;"-"&amp;IF(LEN(DAY(F244))=1,"0"&amp;DAY(F244),DAY(F244))</f>
        <v>311-2023-12-31</v>
      </c>
    </row>
    <row r="245" spans="1:18" x14ac:dyDescent="0.3">
      <c r="A245" s="5">
        <v>312</v>
      </c>
      <c r="B245" s="5" t="s">
        <v>198</v>
      </c>
      <c r="C245" s="5" t="s">
        <v>53</v>
      </c>
      <c r="D245" s="5" t="s">
        <v>8</v>
      </c>
      <c r="E245" s="5" t="s">
        <v>9</v>
      </c>
      <c r="F245" s="6">
        <v>45291</v>
      </c>
      <c r="G245" s="5">
        <f t="shared" si="32"/>
        <v>2023</v>
      </c>
      <c r="H245" s="5" t="str">
        <f t="shared" si="30"/>
        <v>Diciembre</v>
      </c>
      <c r="I245" s="6" t="str">
        <f t="shared" si="31"/>
        <v>2023-2</v>
      </c>
      <c r="J245" s="5">
        <v>221</v>
      </c>
      <c r="K245" s="5">
        <v>243</v>
      </c>
      <c r="L245" s="15">
        <f t="shared" si="37"/>
        <v>1.0995475113122173</v>
      </c>
      <c r="M245" s="15">
        <f t="shared" si="38"/>
        <v>1.0995475113122173</v>
      </c>
      <c r="N245" s="5" t="s">
        <v>490</v>
      </c>
      <c r="O245" s="5" t="s">
        <v>490</v>
      </c>
      <c r="P245" s="5">
        <v>0</v>
      </c>
      <c r="Q245" s="5">
        <v>0</v>
      </c>
      <c r="R245" s="5" t="str">
        <f>A245&amp;"-"&amp;YEAR(F245)&amp;"-"&amp;IF(LEN(MONTH(F245))=1,"0"&amp;MONTH(F245),MONTH(F245))&amp;"-"&amp;IF(LEN(DAY(F245))=1,"0"&amp;DAY(F245),DAY(F245))</f>
        <v>312-2023-12-31</v>
      </c>
    </row>
    <row r="246" spans="1:18" x14ac:dyDescent="0.3">
      <c r="A246" s="5">
        <v>313</v>
      </c>
      <c r="B246" s="5" t="s">
        <v>199</v>
      </c>
      <c r="C246" s="5" t="s">
        <v>53</v>
      </c>
      <c r="D246" s="5" t="s">
        <v>8</v>
      </c>
      <c r="E246" s="5" t="s">
        <v>9</v>
      </c>
      <c r="F246" s="6">
        <v>45291</v>
      </c>
      <c r="G246" s="5">
        <f t="shared" si="32"/>
        <v>2023</v>
      </c>
      <c r="H246" s="5" t="str">
        <f t="shared" si="30"/>
        <v>Diciembre</v>
      </c>
      <c r="I246" s="6" t="str">
        <f t="shared" si="31"/>
        <v>2023-2</v>
      </c>
      <c r="J246" s="5">
        <v>28</v>
      </c>
      <c r="K246" s="5">
        <v>25</v>
      </c>
      <c r="L246" s="15">
        <f t="shared" si="37"/>
        <v>0.8928571428571429</v>
      </c>
      <c r="M246" s="15">
        <f t="shared" si="38"/>
        <v>0.8928571428571429</v>
      </c>
      <c r="N246" s="5" t="s">
        <v>490</v>
      </c>
      <c r="O246" s="5" t="s">
        <v>490</v>
      </c>
      <c r="P246" s="5">
        <v>0</v>
      </c>
      <c r="Q246" s="5">
        <v>0</v>
      </c>
      <c r="R246" s="5" t="str">
        <f>A246&amp;"-"&amp;YEAR(F246)&amp;"-"&amp;IF(LEN(MONTH(F246))=1,"0"&amp;MONTH(F246),MONTH(F246))&amp;"-"&amp;IF(LEN(DAY(F246))=1,"0"&amp;DAY(F246),DAY(F246))</f>
        <v>313-2023-12-31</v>
      </c>
    </row>
    <row r="247" spans="1:18" x14ac:dyDescent="0.3">
      <c r="A247" s="5">
        <v>314</v>
      </c>
      <c r="B247" s="5" t="s">
        <v>200</v>
      </c>
      <c r="C247" s="5" t="s">
        <v>53</v>
      </c>
      <c r="D247" s="5" t="s">
        <v>8</v>
      </c>
      <c r="E247" s="5" t="s">
        <v>9</v>
      </c>
      <c r="F247" s="6">
        <v>45291</v>
      </c>
      <c r="G247" s="5">
        <f t="shared" si="32"/>
        <v>2023</v>
      </c>
      <c r="H247" s="5" t="str">
        <f t="shared" si="30"/>
        <v>Diciembre</v>
      </c>
      <c r="I247" s="6" t="str">
        <f t="shared" si="31"/>
        <v>2023-2</v>
      </c>
      <c r="J247" s="5">
        <v>23</v>
      </c>
      <c r="K247" s="5">
        <v>29</v>
      </c>
      <c r="L247" s="15">
        <f t="shared" si="37"/>
        <v>1.2608695652173914</v>
      </c>
      <c r="M247" s="15">
        <f t="shared" si="38"/>
        <v>1.2608695652173914</v>
      </c>
      <c r="N247" s="5" t="s">
        <v>490</v>
      </c>
      <c r="O247" s="5" t="s">
        <v>490</v>
      </c>
      <c r="P247" s="5">
        <v>0</v>
      </c>
      <c r="Q247" s="5">
        <v>0</v>
      </c>
      <c r="R247" s="5" t="str">
        <f>A247&amp;"-"&amp;YEAR(F247)&amp;"-"&amp;IF(LEN(MONTH(F247))=1,"0"&amp;MONTH(F247),MONTH(F247))&amp;"-"&amp;IF(LEN(DAY(F247))=1,"0"&amp;DAY(F247),DAY(F247))</f>
        <v>314-2023-12-31</v>
      </c>
    </row>
    <row r="248" spans="1:18" x14ac:dyDescent="0.3">
      <c r="A248" s="5">
        <v>315</v>
      </c>
      <c r="B248" s="5" t="s">
        <v>201</v>
      </c>
      <c r="C248" s="5" t="s">
        <v>53</v>
      </c>
      <c r="D248" s="5" t="s">
        <v>8</v>
      </c>
      <c r="E248" s="5" t="s">
        <v>9</v>
      </c>
      <c r="F248" s="6">
        <v>45291</v>
      </c>
      <c r="G248" s="5">
        <f t="shared" si="32"/>
        <v>2023</v>
      </c>
      <c r="H248" s="5" t="str">
        <f t="shared" si="30"/>
        <v>Diciembre</v>
      </c>
      <c r="I248" s="6" t="str">
        <f t="shared" si="31"/>
        <v>2023-2</v>
      </c>
      <c r="J248" s="5">
        <v>5</v>
      </c>
      <c r="K248" s="5">
        <v>7</v>
      </c>
      <c r="L248" s="15">
        <f t="shared" si="37"/>
        <v>1.3</v>
      </c>
      <c r="M248" s="15">
        <f t="shared" si="38"/>
        <v>1.4</v>
      </c>
      <c r="N248" s="5" t="s">
        <v>490</v>
      </c>
      <c r="O248" s="5" t="s">
        <v>490</v>
      </c>
      <c r="P248" s="5">
        <v>0</v>
      </c>
      <c r="Q248" s="5">
        <v>0</v>
      </c>
      <c r="R248" s="5" t="str">
        <f>A248&amp;"-"&amp;YEAR(F248)&amp;"-"&amp;IF(LEN(MONTH(F248))=1,"0"&amp;MONTH(F248),MONTH(F248))&amp;"-"&amp;IF(LEN(DAY(F248))=1,"0"&amp;DAY(F248),DAY(F248))</f>
        <v>315-2023-12-31</v>
      </c>
    </row>
    <row r="249" spans="1:18" x14ac:dyDescent="0.3">
      <c r="A249" s="5">
        <v>316</v>
      </c>
      <c r="B249" s="5" t="s">
        <v>202</v>
      </c>
      <c r="C249" s="5" t="s">
        <v>53</v>
      </c>
      <c r="D249" s="5" t="s">
        <v>8</v>
      </c>
      <c r="E249" s="5" t="s">
        <v>9</v>
      </c>
      <c r="F249" s="6">
        <v>45291</v>
      </c>
      <c r="G249" s="5">
        <f t="shared" si="32"/>
        <v>2023</v>
      </c>
      <c r="H249" s="5" t="str">
        <f t="shared" si="30"/>
        <v>Diciembre</v>
      </c>
      <c r="I249" s="6" t="str">
        <f t="shared" si="31"/>
        <v>2023-2</v>
      </c>
      <c r="J249" s="5">
        <v>21</v>
      </c>
      <c r="K249" s="5">
        <v>22</v>
      </c>
      <c r="L249" s="15">
        <f t="shared" si="37"/>
        <v>1.0476190476190477</v>
      </c>
      <c r="M249" s="15">
        <f t="shared" si="38"/>
        <v>1.0476190476190477</v>
      </c>
      <c r="N249" s="5" t="s">
        <v>490</v>
      </c>
      <c r="O249" s="5" t="s">
        <v>490</v>
      </c>
      <c r="P249" s="5">
        <v>0</v>
      </c>
      <c r="Q249" s="5">
        <v>0</v>
      </c>
      <c r="R249" s="5" t="str">
        <f>A249&amp;"-"&amp;YEAR(F249)&amp;"-"&amp;IF(LEN(MONTH(F249))=1,"0"&amp;MONTH(F249),MONTH(F249))&amp;"-"&amp;IF(LEN(DAY(F249))=1,"0"&amp;DAY(F249),DAY(F249))</f>
        <v>316-2023-12-31</v>
      </c>
    </row>
    <row r="250" spans="1:18" x14ac:dyDescent="0.3">
      <c r="A250" s="5">
        <v>317</v>
      </c>
      <c r="B250" s="5" t="s">
        <v>203</v>
      </c>
      <c r="C250" s="5" t="s">
        <v>53</v>
      </c>
      <c r="D250" s="5" t="s">
        <v>25</v>
      </c>
      <c r="E250" s="5" t="s">
        <v>9</v>
      </c>
      <c r="F250" s="6">
        <v>45291</v>
      </c>
      <c r="G250" s="5">
        <f t="shared" si="32"/>
        <v>2023</v>
      </c>
      <c r="H250" s="5" t="str">
        <f t="shared" si="30"/>
        <v>Diciembre</v>
      </c>
      <c r="I250" s="6" t="str">
        <f t="shared" si="31"/>
        <v>2023-2</v>
      </c>
      <c r="J250" s="5">
        <v>12</v>
      </c>
      <c r="K250" s="5">
        <v>12</v>
      </c>
      <c r="L250" s="15">
        <f t="shared" si="37"/>
        <v>1</v>
      </c>
      <c r="M250" s="15">
        <f t="shared" si="38"/>
        <v>1</v>
      </c>
      <c r="N250" s="5" t="s">
        <v>490</v>
      </c>
      <c r="O250" s="5" t="s">
        <v>490</v>
      </c>
      <c r="P250" s="5">
        <v>0</v>
      </c>
      <c r="Q250" s="5">
        <v>0</v>
      </c>
      <c r="R250" s="5" t="str">
        <f>A250&amp;"-"&amp;YEAR(F250)&amp;"-"&amp;IF(LEN(MONTH(F250))=1,"0"&amp;MONTH(F250),MONTH(F250))&amp;"-"&amp;IF(LEN(DAY(F250))=1,"0"&amp;DAY(F250),DAY(F250))</f>
        <v>317-2023-12-31</v>
      </c>
    </row>
    <row r="251" spans="1:18" x14ac:dyDescent="0.3">
      <c r="A251" s="5">
        <v>318</v>
      </c>
      <c r="B251" s="5" t="s">
        <v>204</v>
      </c>
      <c r="C251" s="5" t="s">
        <v>53</v>
      </c>
      <c r="D251" s="5" t="s">
        <v>8</v>
      </c>
      <c r="E251" s="5" t="s">
        <v>9</v>
      </c>
      <c r="F251" s="6">
        <v>45291</v>
      </c>
      <c r="G251" s="5">
        <f t="shared" si="32"/>
        <v>2023</v>
      </c>
      <c r="H251" s="5" t="str">
        <f t="shared" si="30"/>
        <v>Diciembre</v>
      </c>
      <c r="I251" s="6" t="str">
        <f t="shared" si="31"/>
        <v>2023-2</v>
      </c>
      <c r="J251" s="5">
        <v>80</v>
      </c>
      <c r="K251" s="5">
        <v>90.91</v>
      </c>
      <c r="L251" s="15">
        <f t="shared" si="37"/>
        <v>1.1363749999999999</v>
      </c>
      <c r="M251" s="15">
        <f t="shared" si="38"/>
        <v>1.1363749999999999</v>
      </c>
      <c r="N251" s="5" t="s">
        <v>347</v>
      </c>
      <c r="O251" s="5" t="s">
        <v>347</v>
      </c>
      <c r="P251" s="5">
        <v>0</v>
      </c>
      <c r="Q251" s="5">
        <v>0</v>
      </c>
      <c r="R251" s="5" t="str">
        <f>A251&amp;"-"&amp;YEAR(F251)&amp;"-"&amp;IF(LEN(MONTH(F251))=1,"0"&amp;MONTH(F251),MONTH(F251))&amp;"-"&amp;IF(LEN(DAY(F251))=1,"0"&amp;DAY(F251),DAY(F251))</f>
        <v>318-2023-12-31</v>
      </c>
    </row>
    <row r="252" spans="1:18" x14ac:dyDescent="0.3">
      <c r="A252" s="5">
        <v>319</v>
      </c>
      <c r="B252" s="5" t="s">
        <v>205</v>
      </c>
      <c r="C252" s="5" t="s">
        <v>53</v>
      </c>
      <c r="D252" s="5" t="s">
        <v>8</v>
      </c>
      <c r="E252" s="5" t="s">
        <v>9</v>
      </c>
      <c r="F252" s="6">
        <v>45291</v>
      </c>
      <c r="G252" s="5">
        <f t="shared" si="32"/>
        <v>2023</v>
      </c>
      <c r="H252" s="5" t="str">
        <f t="shared" si="30"/>
        <v>Diciembre</v>
      </c>
      <c r="I252" s="6" t="str">
        <f t="shared" si="31"/>
        <v>2023-2</v>
      </c>
      <c r="J252" s="5">
        <v>100</v>
      </c>
      <c r="K252" s="5">
        <v>100</v>
      </c>
      <c r="L252" s="15">
        <f t="shared" si="37"/>
        <v>1</v>
      </c>
      <c r="M252" s="15">
        <f t="shared" si="38"/>
        <v>1</v>
      </c>
      <c r="N252" s="5" t="s">
        <v>347</v>
      </c>
      <c r="O252" s="5" t="s">
        <v>347</v>
      </c>
      <c r="P252" s="5">
        <v>0</v>
      </c>
      <c r="Q252" s="5">
        <v>0</v>
      </c>
      <c r="R252" s="5" t="str">
        <f>A252&amp;"-"&amp;YEAR(F252)&amp;"-"&amp;IF(LEN(MONTH(F252))=1,"0"&amp;MONTH(F252),MONTH(F252))&amp;"-"&amp;IF(LEN(DAY(F252))=1,"0"&amp;DAY(F252),DAY(F252))</f>
        <v>319-2023-12-31</v>
      </c>
    </row>
    <row r="253" spans="1:18" x14ac:dyDescent="0.3">
      <c r="A253" s="5">
        <v>320</v>
      </c>
      <c r="B253" s="5" t="s">
        <v>206</v>
      </c>
      <c r="C253" s="5" t="s">
        <v>53</v>
      </c>
      <c r="D253" s="5" t="s">
        <v>8</v>
      </c>
      <c r="E253" s="5" t="s">
        <v>9</v>
      </c>
      <c r="F253" s="6">
        <v>45291</v>
      </c>
      <c r="G253" s="5">
        <f t="shared" si="32"/>
        <v>2023</v>
      </c>
      <c r="H253" s="5" t="str">
        <f t="shared" si="30"/>
        <v>Diciembre</v>
      </c>
      <c r="I253" s="6" t="str">
        <f t="shared" si="31"/>
        <v>2023-2</v>
      </c>
      <c r="J253" s="5">
        <v>41</v>
      </c>
      <c r="K253" s="5">
        <v>29</v>
      </c>
      <c r="L253" s="15">
        <f t="shared" si="37"/>
        <v>0.70731707317073167</v>
      </c>
      <c r="M253" s="15">
        <f t="shared" si="38"/>
        <v>0.70731707317073167</v>
      </c>
      <c r="N253" s="5" t="s">
        <v>490</v>
      </c>
      <c r="O253" s="5" t="s">
        <v>490</v>
      </c>
      <c r="P253" s="5">
        <v>0</v>
      </c>
      <c r="Q253" s="5">
        <v>0</v>
      </c>
      <c r="R253" s="5" t="str">
        <f>A253&amp;"-"&amp;YEAR(F253)&amp;"-"&amp;IF(LEN(MONTH(F253))=1,"0"&amp;MONTH(F253),MONTH(F253))&amp;"-"&amp;IF(LEN(DAY(F253))=1,"0"&amp;DAY(F253),DAY(F253))</f>
        <v>320-2023-12-31</v>
      </c>
    </row>
    <row r="254" spans="1:18" x14ac:dyDescent="0.3">
      <c r="A254" s="5">
        <v>321</v>
      </c>
      <c r="B254" s="5" t="s">
        <v>207</v>
      </c>
      <c r="C254" s="5" t="s">
        <v>53</v>
      </c>
      <c r="D254" s="5" t="s">
        <v>8</v>
      </c>
      <c r="E254" s="5" t="s">
        <v>9</v>
      </c>
      <c r="F254" s="6">
        <v>45291</v>
      </c>
      <c r="G254" s="5">
        <f t="shared" si="32"/>
        <v>2023</v>
      </c>
      <c r="H254" s="5" t="str">
        <f t="shared" si="30"/>
        <v>Diciembre</v>
      </c>
      <c r="I254" s="6" t="str">
        <f t="shared" si="31"/>
        <v>2023-2</v>
      </c>
      <c r="J254" s="5">
        <v>360</v>
      </c>
      <c r="K254" s="5">
        <v>467</v>
      </c>
      <c r="L254" s="15">
        <f t="shared" si="37"/>
        <v>1.2972222222222223</v>
      </c>
      <c r="M254" s="15">
        <f t="shared" si="38"/>
        <v>1.2972222222222223</v>
      </c>
      <c r="N254" s="5" t="s">
        <v>490</v>
      </c>
      <c r="O254" s="5" t="s">
        <v>490</v>
      </c>
      <c r="P254" s="5">
        <v>0</v>
      </c>
      <c r="Q254" s="5">
        <v>0</v>
      </c>
      <c r="R254" s="5" t="str">
        <f>A254&amp;"-"&amp;YEAR(F254)&amp;"-"&amp;IF(LEN(MONTH(F254))=1,"0"&amp;MONTH(F254),MONTH(F254))&amp;"-"&amp;IF(LEN(DAY(F254))=1,"0"&amp;DAY(F254),DAY(F254))</f>
        <v>321-2023-12-31</v>
      </c>
    </row>
    <row r="255" spans="1:18" x14ac:dyDescent="0.3">
      <c r="A255" s="5">
        <v>323</v>
      </c>
      <c r="B255" s="5" t="s">
        <v>208</v>
      </c>
      <c r="C255" s="5" t="s">
        <v>209</v>
      </c>
      <c r="D255" s="5" t="s">
        <v>8</v>
      </c>
      <c r="E255" s="5" t="s">
        <v>9</v>
      </c>
      <c r="F255" s="6">
        <v>45291</v>
      </c>
      <c r="G255" s="5">
        <f t="shared" si="32"/>
        <v>2023</v>
      </c>
      <c r="H255" s="5" t="str">
        <f t="shared" si="30"/>
        <v>Diciembre</v>
      </c>
      <c r="I255" s="6" t="str">
        <f t="shared" si="31"/>
        <v>2023-2</v>
      </c>
      <c r="J255" s="5">
        <v>8</v>
      </c>
      <c r="K255" s="5">
        <v>8</v>
      </c>
      <c r="L255" s="15">
        <f t="shared" si="37"/>
        <v>1</v>
      </c>
      <c r="M255" s="15">
        <f t="shared" si="38"/>
        <v>1</v>
      </c>
      <c r="N255" s="5" t="s">
        <v>490</v>
      </c>
      <c r="O255" s="5" t="s">
        <v>490</v>
      </c>
      <c r="P255" s="5">
        <v>0</v>
      </c>
      <c r="Q255" s="5">
        <v>0</v>
      </c>
      <c r="R255" s="5" t="str">
        <f>A255&amp;"-"&amp;YEAR(F255)&amp;"-"&amp;IF(LEN(MONTH(F255))=1,"0"&amp;MONTH(F255),MONTH(F255))&amp;"-"&amp;IF(LEN(DAY(F255))=1,"0"&amp;DAY(F255),DAY(F255))</f>
        <v>323-2023-12-31</v>
      </c>
    </row>
    <row r="256" spans="1:18" x14ac:dyDescent="0.3">
      <c r="A256" s="5">
        <v>324</v>
      </c>
      <c r="B256" s="5" t="s">
        <v>210</v>
      </c>
      <c r="C256" s="5" t="s">
        <v>209</v>
      </c>
      <c r="D256" s="5" t="s">
        <v>8</v>
      </c>
      <c r="E256" s="5" t="s">
        <v>9</v>
      </c>
      <c r="F256" s="6">
        <v>45291</v>
      </c>
      <c r="G256" s="5">
        <f t="shared" si="32"/>
        <v>2023</v>
      </c>
      <c r="H256" s="5" t="str">
        <f t="shared" ref="H256:H319" si="39">PROPER(TEXT(F256,"mmmm"))</f>
        <v>Diciembre</v>
      </c>
      <c r="I256" s="6" t="str">
        <f t="shared" ref="I256:I319" si="40">IF(OR(H256="Enero",H256="Febrero",H256="Marzo",H256="Abril",H256="Mayo",H256="Junio"),G256&amp;"-1",IF(OR(H256="Julio",H256="Agosto",H256="Septiembre",H256="Octubre",H256="Noviembre",H256="Diciembre"),G256&amp;"-2"))</f>
        <v>2023-2</v>
      </c>
      <c r="J256" s="5">
        <v>12</v>
      </c>
      <c r="K256" s="5">
        <v>12</v>
      </c>
      <c r="L256" s="15">
        <f t="shared" si="37"/>
        <v>1</v>
      </c>
      <c r="M256" s="15">
        <f t="shared" si="38"/>
        <v>1</v>
      </c>
      <c r="N256" s="5" t="s">
        <v>490</v>
      </c>
      <c r="O256" s="5" t="s">
        <v>490</v>
      </c>
      <c r="P256" s="5">
        <v>0</v>
      </c>
      <c r="Q256" s="5">
        <v>0</v>
      </c>
      <c r="R256" s="5" t="str">
        <f>A256&amp;"-"&amp;YEAR(F256)&amp;"-"&amp;IF(LEN(MONTH(F256))=1,"0"&amp;MONTH(F256),MONTH(F256))&amp;"-"&amp;IF(LEN(DAY(F256))=1,"0"&amp;DAY(F256),DAY(F256))</f>
        <v>324-2023-12-31</v>
      </c>
    </row>
    <row r="257" spans="1:18" x14ac:dyDescent="0.3">
      <c r="A257" s="5">
        <v>325</v>
      </c>
      <c r="B257" s="5" t="s">
        <v>211</v>
      </c>
      <c r="C257" s="5" t="s">
        <v>209</v>
      </c>
      <c r="D257" s="5" t="s">
        <v>8</v>
      </c>
      <c r="E257" s="5" t="s">
        <v>9</v>
      </c>
      <c r="F257" s="6">
        <v>45291</v>
      </c>
      <c r="G257" s="5">
        <f t="shared" si="32"/>
        <v>2023</v>
      </c>
      <c r="H257" s="5" t="str">
        <f t="shared" si="39"/>
        <v>Diciembre</v>
      </c>
      <c r="I257" s="6" t="str">
        <f t="shared" si="40"/>
        <v>2023-2</v>
      </c>
      <c r="J257" s="5">
        <v>1</v>
      </c>
      <c r="K257" s="5">
        <v>1</v>
      </c>
      <c r="L257" s="15">
        <f t="shared" si="37"/>
        <v>1</v>
      </c>
      <c r="M257" s="15">
        <f t="shared" si="38"/>
        <v>1</v>
      </c>
      <c r="N257" s="5" t="s">
        <v>490</v>
      </c>
      <c r="O257" s="5" t="s">
        <v>490</v>
      </c>
      <c r="P257" s="5">
        <v>0</v>
      </c>
      <c r="Q257" s="5">
        <v>0</v>
      </c>
      <c r="R257" s="5" t="str">
        <f>A257&amp;"-"&amp;YEAR(F257)&amp;"-"&amp;IF(LEN(MONTH(F257))=1,"0"&amp;MONTH(F257),MONTH(F257))&amp;"-"&amp;IF(LEN(DAY(F257))=1,"0"&amp;DAY(F257),DAY(F257))</f>
        <v>325-2023-12-31</v>
      </c>
    </row>
    <row r="258" spans="1:18" x14ac:dyDescent="0.3">
      <c r="A258" s="5">
        <v>326</v>
      </c>
      <c r="B258" s="5" t="s">
        <v>212</v>
      </c>
      <c r="C258" s="5" t="s">
        <v>158</v>
      </c>
      <c r="D258" s="5" t="s">
        <v>25</v>
      </c>
      <c r="E258" s="5" t="s">
        <v>9</v>
      </c>
      <c r="F258" s="6">
        <v>45291</v>
      </c>
      <c r="G258" s="5">
        <f t="shared" si="32"/>
        <v>2023</v>
      </c>
      <c r="H258" s="5" t="str">
        <f t="shared" si="39"/>
        <v>Diciembre</v>
      </c>
      <c r="I258" s="6" t="str">
        <f t="shared" si="40"/>
        <v>2023-2</v>
      </c>
      <c r="J258" s="5">
        <v>5</v>
      </c>
      <c r="K258" s="5">
        <v>5</v>
      </c>
      <c r="L258" s="15">
        <f t="shared" si="37"/>
        <v>1</v>
      </c>
      <c r="M258" s="15">
        <f t="shared" si="38"/>
        <v>1</v>
      </c>
      <c r="N258" s="5" t="s">
        <v>490</v>
      </c>
      <c r="O258" s="5" t="s">
        <v>490</v>
      </c>
      <c r="P258" s="5">
        <v>0</v>
      </c>
      <c r="Q258" s="5">
        <v>0</v>
      </c>
      <c r="R258" s="5" t="str">
        <f>A258&amp;"-"&amp;YEAR(F258)&amp;"-"&amp;IF(LEN(MONTH(F258))=1,"0"&amp;MONTH(F258),MONTH(F258))&amp;"-"&amp;IF(LEN(DAY(F258))=1,"0"&amp;DAY(F258),DAY(F258))</f>
        <v>326-2023-12-31</v>
      </c>
    </row>
    <row r="259" spans="1:18" x14ac:dyDescent="0.3">
      <c r="A259" s="5">
        <v>327</v>
      </c>
      <c r="B259" s="5" t="s">
        <v>213</v>
      </c>
      <c r="C259" s="5" t="s">
        <v>158</v>
      </c>
      <c r="D259" s="5" t="s">
        <v>8</v>
      </c>
      <c r="E259" s="5" t="s">
        <v>9</v>
      </c>
      <c r="F259" s="6">
        <v>45291</v>
      </c>
      <c r="G259" s="5">
        <f t="shared" si="32"/>
        <v>2023</v>
      </c>
      <c r="H259" s="5" t="str">
        <f t="shared" si="39"/>
        <v>Diciembre</v>
      </c>
      <c r="I259" s="6" t="str">
        <f t="shared" si="40"/>
        <v>2023-2</v>
      </c>
      <c r="J259" s="5">
        <v>2</v>
      </c>
      <c r="K259" s="5">
        <v>2</v>
      </c>
      <c r="L259" s="15">
        <f t="shared" si="37"/>
        <v>1</v>
      </c>
      <c r="M259" s="15">
        <f t="shared" si="38"/>
        <v>1</v>
      </c>
      <c r="N259" s="5" t="s">
        <v>490</v>
      </c>
      <c r="O259" s="5" t="s">
        <v>490</v>
      </c>
      <c r="P259" s="5">
        <v>0</v>
      </c>
      <c r="Q259" s="5">
        <v>0</v>
      </c>
      <c r="R259" s="5" t="str">
        <f>A259&amp;"-"&amp;YEAR(F259)&amp;"-"&amp;IF(LEN(MONTH(F259))=1,"0"&amp;MONTH(F259),MONTH(F259))&amp;"-"&amp;IF(LEN(DAY(F259))=1,"0"&amp;DAY(F259),DAY(F259))</f>
        <v>327-2023-12-31</v>
      </c>
    </row>
    <row r="260" spans="1:18" x14ac:dyDescent="0.3">
      <c r="A260" s="5">
        <v>328</v>
      </c>
      <c r="B260" s="5" t="s">
        <v>459</v>
      </c>
      <c r="C260" s="5" t="s">
        <v>214</v>
      </c>
      <c r="D260" s="5" t="s">
        <v>25</v>
      </c>
      <c r="E260" s="5" t="s">
        <v>9</v>
      </c>
      <c r="F260" s="6">
        <v>45291</v>
      </c>
      <c r="G260" s="5">
        <f t="shared" ref="G260:G323" si="41">YEAR(F260)</f>
        <v>2023</v>
      </c>
      <c r="H260" s="5" t="str">
        <f t="shared" si="39"/>
        <v>Diciembre</v>
      </c>
      <c r="I260" s="6" t="str">
        <f t="shared" si="40"/>
        <v>2023-2</v>
      </c>
      <c r="J260" s="5">
        <v>800</v>
      </c>
      <c r="K260" s="5">
        <v>1035</v>
      </c>
      <c r="L260" s="15">
        <f t="shared" si="37"/>
        <v>1.29375</v>
      </c>
      <c r="M260" s="15">
        <f t="shared" si="38"/>
        <v>1.29375</v>
      </c>
      <c r="N260" s="5" t="s">
        <v>490</v>
      </c>
      <c r="O260" s="5" t="s">
        <v>490</v>
      </c>
      <c r="P260" s="5">
        <v>0</v>
      </c>
      <c r="Q260" s="5">
        <v>0</v>
      </c>
      <c r="R260" s="5" t="str">
        <f>A260&amp;"-"&amp;YEAR(F260)&amp;"-"&amp;IF(LEN(MONTH(F260))=1,"0"&amp;MONTH(F260),MONTH(F260))&amp;"-"&amp;IF(LEN(DAY(F260))=1,"0"&amp;DAY(F260),DAY(F260))</f>
        <v>328-2023-12-31</v>
      </c>
    </row>
    <row r="261" spans="1:18" x14ac:dyDescent="0.3">
      <c r="A261" s="5">
        <v>329</v>
      </c>
      <c r="B261" s="5" t="s">
        <v>215</v>
      </c>
      <c r="C261" s="5" t="s">
        <v>214</v>
      </c>
      <c r="D261" s="5" t="s">
        <v>25</v>
      </c>
      <c r="E261" s="5" t="s">
        <v>9</v>
      </c>
      <c r="F261" s="6">
        <v>45291</v>
      </c>
      <c r="G261" s="5">
        <f t="shared" si="41"/>
        <v>2023</v>
      </c>
      <c r="H261" s="5" t="str">
        <f t="shared" si="39"/>
        <v>Diciembre</v>
      </c>
      <c r="I261" s="6" t="str">
        <f t="shared" si="40"/>
        <v>2023-2</v>
      </c>
      <c r="J261" s="5">
        <v>3000</v>
      </c>
      <c r="K261" s="5">
        <v>3315</v>
      </c>
      <c r="L261" s="15">
        <f t="shared" si="37"/>
        <v>1.105</v>
      </c>
      <c r="M261" s="15">
        <f t="shared" si="38"/>
        <v>1.105</v>
      </c>
      <c r="N261" s="5" t="s">
        <v>490</v>
      </c>
      <c r="O261" s="5" t="s">
        <v>490</v>
      </c>
      <c r="P261" s="5">
        <v>0</v>
      </c>
      <c r="Q261" s="5">
        <v>0</v>
      </c>
      <c r="R261" s="5" t="str">
        <f>A261&amp;"-"&amp;YEAR(F261)&amp;"-"&amp;IF(LEN(MONTH(F261))=1,"0"&amp;MONTH(F261),MONTH(F261))&amp;"-"&amp;IF(LEN(DAY(F261))=1,"0"&amp;DAY(F261),DAY(F261))</f>
        <v>329-2023-12-31</v>
      </c>
    </row>
    <row r="262" spans="1:18" x14ac:dyDescent="0.3">
      <c r="A262" s="5">
        <v>331</v>
      </c>
      <c r="B262" s="5" t="s">
        <v>216</v>
      </c>
      <c r="C262" s="5" t="s">
        <v>214</v>
      </c>
      <c r="D262" s="5" t="s">
        <v>25</v>
      </c>
      <c r="E262" s="5" t="s">
        <v>9</v>
      </c>
      <c r="F262" s="6">
        <v>45291</v>
      </c>
      <c r="G262" s="5">
        <f t="shared" si="41"/>
        <v>2023</v>
      </c>
      <c r="H262" s="5" t="str">
        <f t="shared" si="39"/>
        <v>Diciembre</v>
      </c>
      <c r="I262" s="6" t="str">
        <f t="shared" si="40"/>
        <v>2023-2</v>
      </c>
      <c r="J262" s="5"/>
      <c r="K262" s="5">
        <v>81</v>
      </c>
      <c r="L262" s="15" t="str">
        <f t="shared" si="37"/>
        <v/>
      </c>
      <c r="M262" s="15" t="str">
        <f t="shared" si="38"/>
        <v/>
      </c>
      <c r="N262" s="5" t="s">
        <v>488</v>
      </c>
      <c r="O262" s="5" t="s">
        <v>347</v>
      </c>
      <c r="P262" s="5">
        <v>0</v>
      </c>
      <c r="Q262" s="5">
        <v>0</v>
      </c>
      <c r="R262" s="5" t="str">
        <f>A262&amp;"-"&amp;YEAR(F262)&amp;"-"&amp;IF(LEN(MONTH(F262))=1,"0"&amp;MONTH(F262),MONTH(F262))&amp;"-"&amp;IF(LEN(DAY(F262))=1,"0"&amp;DAY(F262),DAY(F262))</f>
        <v>331-2023-12-31</v>
      </c>
    </row>
    <row r="263" spans="1:18" x14ac:dyDescent="0.3">
      <c r="A263" s="5">
        <v>332</v>
      </c>
      <c r="B263" s="5" t="s">
        <v>217</v>
      </c>
      <c r="C263" s="5" t="s">
        <v>13</v>
      </c>
      <c r="D263" s="5" t="s">
        <v>8</v>
      </c>
      <c r="E263" s="5" t="s">
        <v>14</v>
      </c>
      <c r="F263" s="6">
        <v>45291</v>
      </c>
      <c r="G263" s="5">
        <f t="shared" si="41"/>
        <v>2023</v>
      </c>
      <c r="H263" s="5" t="str">
        <f t="shared" si="39"/>
        <v>Diciembre</v>
      </c>
      <c r="I263" s="6" t="str">
        <f t="shared" si="40"/>
        <v>2023-2</v>
      </c>
      <c r="J263" s="5">
        <v>1.8</v>
      </c>
      <c r="K263" s="5">
        <v>1.4</v>
      </c>
      <c r="L263" s="15">
        <f>IFERROR(IF((J263/K263)&gt;1.3,1.3,J263/K263),"")</f>
        <v>1.2857142857142858</v>
      </c>
      <c r="M263" s="15">
        <f>IFERROR(IF((J263/K263)&gt;J263/K263,1.3,J263/K263),"")</f>
        <v>1.2857142857142858</v>
      </c>
      <c r="N263" s="5" t="s">
        <v>478</v>
      </c>
      <c r="O263" s="5" t="s">
        <v>478</v>
      </c>
      <c r="P263" s="5">
        <v>1</v>
      </c>
      <c r="Q263" s="5">
        <v>1</v>
      </c>
      <c r="R263" s="5" t="str">
        <f>A263&amp;"-"&amp;YEAR(F263)&amp;"-"&amp;IF(LEN(MONTH(F263))=1,"0"&amp;MONTH(F263),MONTH(F263))&amp;"-"&amp;IF(LEN(DAY(F263))=1,"0"&amp;DAY(F263),DAY(F263))</f>
        <v>332-2023-12-31</v>
      </c>
    </row>
    <row r="264" spans="1:18" x14ac:dyDescent="0.3">
      <c r="A264" s="5">
        <v>334</v>
      </c>
      <c r="B264" s="5" t="s">
        <v>218</v>
      </c>
      <c r="C264" s="5" t="s">
        <v>13</v>
      </c>
      <c r="D264" s="5" t="s">
        <v>25</v>
      </c>
      <c r="E264" s="5" t="s">
        <v>9</v>
      </c>
      <c r="F264" s="6">
        <v>45291</v>
      </c>
      <c r="G264" s="5">
        <f t="shared" si="41"/>
        <v>2023</v>
      </c>
      <c r="H264" s="5" t="str">
        <f t="shared" si="39"/>
        <v>Diciembre</v>
      </c>
      <c r="I264" s="6" t="str">
        <f t="shared" si="40"/>
        <v>2023-2</v>
      </c>
      <c r="J264" s="5">
        <v>88</v>
      </c>
      <c r="K264" s="5">
        <v>88.39</v>
      </c>
      <c r="L264" s="77">
        <f>K264/J264</f>
        <v>1.0044318181818181</v>
      </c>
      <c r="M264" s="15">
        <f>IFERROR(K264/J264,"")</f>
        <v>1.0044318181818181</v>
      </c>
      <c r="N264" s="5" t="s">
        <v>490</v>
      </c>
      <c r="O264" s="5" t="s">
        <v>478</v>
      </c>
      <c r="P264" s="5">
        <v>0</v>
      </c>
      <c r="Q264" s="5">
        <v>1</v>
      </c>
      <c r="R264" s="5" t="str">
        <f>A264&amp;"-"&amp;YEAR(F264)&amp;"-"&amp;IF(LEN(MONTH(F264))=1,"0"&amp;MONTH(F264),MONTH(F264))&amp;"-"&amp;IF(LEN(DAY(F264))=1,"0"&amp;DAY(F264),DAY(F264))</f>
        <v>334-2023-12-31</v>
      </c>
    </row>
    <row r="265" spans="1:18" x14ac:dyDescent="0.3">
      <c r="A265" s="5">
        <v>335</v>
      </c>
      <c r="B265" s="5" t="s">
        <v>219</v>
      </c>
      <c r="C265" s="5" t="s">
        <v>13</v>
      </c>
      <c r="D265" s="5" t="s">
        <v>25</v>
      </c>
      <c r="E265" s="5" t="s">
        <v>9</v>
      </c>
      <c r="F265" s="6">
        <v>45291</v>
      </c>
      <c r="G265" s="5">
        <f t="shared" si="41"/>
        <v>2023</v>
      </c>
      <c r="H265" s="5" t="str">
        <f t="shared" si="39"/>
        <v>Diciembre</v>
      </c>
      <c r="I265" s="6" t="str">
        <f t="shared" si="40"/>
        <v>2023-2</v>
      </c>
      <c r="J265" s="5">
        <v>80</v>
      </c>
      <c r="K265" s="5">
        <v>93.85</v>
      </c>
      <c r="L265" s="15">
        <f>IFERROR(IF((K265/J265)&gt;1.3,1.3,K265/J265),"")</f>
        <v>1.173125</v>
      </c>
      <c r="M265" s="15">
        <f>IFERROR(K265/J265,"")</f>
        <v>1.173125</v>
      </c>
      <c r="N265" s="5" t="s">
        <v>347</v>
      </c>
      <c r="O265" s="5" t="s">
        <v>347</v>
      </c>
      <c r="P265" s="5">
        <v>0</v>
      </c>
      <c r="Q265" s="5">
        <v>0</v>
      </c>
      <c r="R265" s="5" t="str">
        <f>A265&amp;"-"&amp;YEAR(F265)&amp;"-"&amp;IF(LEN(MONTH(F265))=1,"0"&amp;MONTH(F265),MONTH(F265))&amp;"-"&amp;IF(LEN(DAY(F265))=1,"0"&amp;DAY(F265),DAY(F265))</f>
        <v>335-2023-12-31</v>
      </c>
    </row>
    <row r="266" spans="1:18" x14ac:dyDescent="0.3">
      <c r="A266" s="5">
        <v>336</v>
      </c>
      <c r="B266" s="5" t="s">
        <v>220</v>
      </c>
      <c r="C266" s="5" t="s">
        <v>55</v>
      </c>
      <c r="D266" s="5" t="s">
        <v>25</v>
      </c>
      <c r="E266" s="5" t="s">
        <v>14</v>
      </c>
      <c r="F266" s="6">
        <v>45291</v>
      </c>
      <c r="G266" s="5">
        <f t="shared" si="41"/>
        <v>2023</v>
      </c>
      <c r="H266" s="5" t="str">
        <f t="shared" si="39"/>
        <v>Diciembre</v>
      </c>
      <c r="I266" s="6" t="str">
        <f t="shared" si="40"/>
        <v>2023-2</v>
      </c>
      <c r="J266" s="5"/>
      <c r="K266" s="5"/>
      <c r="L266" s="15" t="str">
        <f>IFERROR(IF((J266/K266)&gt;1.3,1.3,J266/K266),"")</f>
        <v/>
      </c>
      <c r="M266" s="15" t="str">
        <f>IFERROR(IF((J266/K266)&gt;J266/K266,1.3,J266/K266),"")</f>
        <v/>
      </c>
      <c r="N266" s="5" t="s">
        <v>347</v>
      </c>
      <c r="O266" s="5" t="s">
        <v>347</v>
      </c>
      <c r="P266" s="5">
        <v>0</v>
      </c>
      <c r="Q266" s="5">
        <v>0</v>
      </c>
      <c r="R266" s="5" t="str">
        <f>A266&amp;"-"&amp;YEAR(F266)&amp;"-"&amp;IF(LEN(MONTH(F266))=1,"0"&amp;MONTH(F266),MONTH(F266))&amp;"-"&amp;IF(LEN(DAY(F266))=1,"0"&amp;DAY(F266),DAY(F266))</f>
        <v>336-2023-12-31</v>
      </c>
    </row>
    <row r="267" spans="1:18" x14ac:dyDescent="0.3">
      <c r="A267" s="5">
        <v>337</v>
      </c>
      <c r="B267" s="5" t="s">
        <v>221</v>
      </c>
      <c r="C267" s="5" t="s">
        <v>158</v>
      </c>
      <c r="D267" s="5" t="s">
        <v>8</v>
      </c>
      <c r="E267" s="5" t="s">
        <v>9</v>
      </c>
      <c r="F267" s="6">
        <v>45291</v>
      </c>
      <c r="G267" s="5">
        <f t="shared" si="41"/>
        <v>2023</v>
      </c>
      <c r="H267" s="5" t="str">
        <f t="shared" si="39"/>
        <v>Diciembre</v>
      </c>
      <c r="I267" s="6" t="str">
        <f t="shared" si="40"/>
        <v>2023-2</v>
      </c>
      <c r="J267" s="5">
        <v>3</v>
      </c>
      <c r="K267" s="5">
        <v>3</v>
      </c>
      <c r="L267" s="15">
        <f>IFERROR(IF((K267/J267)&gt;1.3,1.3,K267/J267),"")</f>
        <v>1</v>
      </c>
      <c r="M267" s="15">
        <f>IFERROR(K267/J267,"")</f>
        <v>1</v>
      </c>
      <c r="N267" s="5" t="s">
        <v>490</v>
      </c>
      <c r="O267" s="5" t="s">
        <v>490</v>
      </c>
      <c r="P267" s="5">
        <v>0</v>
      </c>
      <c r="Q267" s="5">
        <v>0</v>
      </c>
      <c r="R267" s="5" t="str">
        <f>A267&amp;"-"&amp;YEAR(F267)&amp;"-"&amp;IF(LEN(MONTH(F267))=1,"0"&amp;MONTH(F267),MONTH(F267))&amp;"-"&amp;IF(LEN(DAY(F267))=1,"0"&amp;DAY(F267),DAY(F267))</f>
        <v>337-2023-12-31</v>
      </c>
    </row>
    <row r="268" spans="1:18" x14ac:dyDescent="0.3">
      <c r="A268" s="5">
        <v>338</v>
      </c>
      <c r="B268" s="5" t="s">
        <v>707</v>
      </c>
      <c r="C268" s="5" t="s">
        <v>158</v>
      </c>
      <c r="D268" s="5" t="s">
        <v>8</v>
      </c>
      <c r="E268" s="5" t="s">
        <v>9</v>
      </c>
      <c r="F268" s="6">
        <v>45291</v>
      </c>
      <c r="G268" s="5">
        <f t="shared" si="41"/>
        <v>2023</v>
      </c>
      <c r="H268" s="5" t="str">
        <f t="shared" si="39"/>
        <v>Diciembre</v>
      </c>
      <c r="I268" s="6" t="str">
        <f t="shared" si="40"/>
        <v>2023-2</v>
      </c>
      <c r="J268" s="5">
        <v>5</v>
      </c>
      <c r="K268" s="5">
        <v>5</v>
      </c>
      <c r="L268" s="15">
        <f>IFERROR(IF((K268/J268)&gt;1.3,1.3,K268/J268),"")</f>
        <v>1</v>
      </c>
      <c r="M268" s="15">
        <f>IFERROR(K268/J268,"")</f>
        <v>1</v>
      </c>
      <c r="N268" s="5" t="s">
        <v>490</v>
      </c>
      <c r="O268" s="5" t="s">
        <v>490</v>
      </c>
      <c r="P268" s="5">
        <v>0</v>
      </c>
      <c r="Q268" s="5">
        <v>0</v>
      </c>
      <c r="R268" s="5" t="str">
        <f>A268&amp;"-"&amp;YEAR(F268)&amp;"-"&amp;IF(LEN(MONTH(F268))=1,"0"&amp;MONTH(F268),MONTH(F268))&amp;"-"&amp;IF(LEN(DAY(F268))=1,"0"&amp;DAY(F268),DAY(F268))</f>
        <v>338-2023-12-31</v>
      </c>
    </row>
    <row r="269" spans="1:18" x14ac:dyDescent="0.3">
      <c r="A269" s="5">
        <v>339</v>
      </c>
      <c r="B269" s="5" t="s">
        <v>843</v>
      </c>
      <c r="C269" s="5" t="s">
        <v>224</v>
      </c>
      <c r="D269" s="5" t="s">
        <v>25</v>
      </c>
      <c r="E269" s="5" t="s">
        <v>9</v>
      </c>
      <c r="F269" s="6">
        <v>45291</v>
      </c>
      <c r="G269" s="5">
        <f t="shared" si="41"/>
        <v>2023</v>
      </c>
      <c r="H269" s="5" t="str">
        <f t="shared" si="39"/>
        <v>Diciembre</v>
      </c>
      <c r="I269" s="6" t="str">
        <f t="shared" si="40"/>
        <v>2023-2</v>
      </c>
      <c r="J269" s="5">
        <v>30</v>
      </c>
      <c r="K269" s="5">
        <v>28.57</v>
      </c>
      <c r="L269" s="15">
        <f>IFERROR(IF((K269/J269)&gt;1.3,1.3,K269/J269),"")</f>
        <v>0.95233333333333337</v>
      </c>
      <c r="M269" s="15">
        <f>IFERROR(K269/J269,"")</f>
        <v>0.95233333333333337</v>
      </c>
      <c r="N269" s="5" t="s">
        <v>347</v>
      </c>
      <c r="O269" s="5" t="s">
        <v>347</v>
      </c>
      <c r="P269" s="5">
        <v>0</v>
      </c>
      <c r="Q269" s="5">
        <v>1</v>
      </c>
      <c r="R269" s="5" t="str">
        <f>A269&amp;"-"&amp;YEAR(F269)&amp;"-"&amp;IF(LEN(MONTH(F269))=1,"0"&amp;MONTH(F269),MONTH(F269))&amp;"-"&amp;IF(LEN(DAY(F269))=1,"0"&amp;DAY(F269),DAY(F269))</f>
        <v>339-2023-12-31</v>
      </c>
    </row>
    <row r="270" spans="1:18" x14ac:dyDescent="0.3">
      <c r="A270" s="5">
        <v>340</v>
      </c>
      <c r="B270" s="5" t="s">
        <v>225</v>
      </c>
      <c r="C270" s="5" t="s">
        <v>43</v>
      </c>
      <c r="D270" s="5" t="s">
        <v>11</v>
      </c>
      <c r="E270" s="5" t="s">
        <v>9</v>
      </c>
      <c r="F270" s="6">
        <v>45291</v>
      </c>
      <c r="G270" s="5">
        <f t="shared" si="41"/>
        <v>2023</v>
      </c>
      <c r="H270" s="5" t="str">
        <f t="shared" si="39"/>
        <v>Diciembre</v>
      </c>
      <c r="I270" s="6" t="str">
        <f t="shared" si="40"/>
        <v>2023-2</v>
      </c>
      <c r="J270" s="5">
        <v>90</v>
      </c>
      <c r="K270" s="5">
        <v>100</v>
      </c>
      <c r="L270" s="8">
        <v>1</v>
      </c>
      <c r="M270" s="15">
        <v>1</v>
      </c>
      <c r="N270" s="5" t="s">
        <v>347</v>
      </c>
      <c r="O270" s="5" t="s">
        <v>347</v>
      </c>
      <c r="P270" s="5">
        <v>0</v>
      </c>
      <c r="Q270" s="5">
        <v>0</v>
      </c>
      <c r="R270" s="5" t="str">
        <f>A270&amp;"-"&amp;YEAR(F270)&amp;"-"&amp;IF(LEN(MONTH(F270))=1,"0"&amp;MONTH(F270),MONTH(F270))&amp;"-"&amp;IF(LEN(DAY(F270))=1,"0"&amp;DAY(F270),DAY(F270))</f>
        <v>340-2023-12-31</v>
      </c>
    </row>
    <row r="271" spans="1:18" x14ac:dyDescent="0.3">
      <c r="A271" s="5">
        <v>341</v>
      </c>
      <c r="B271" s="5" t="s">
        <v>226</v>
      </c>
      <c r="C271" s="5" t="s">
        <v>7</v>
      </c>
      <c r="D271" s="5" t="s">
        <v>8</v>
      </c>
      <c r="E271" s="5" t="s">
        <v>9</v>
      </c>
      <c r="F271" s="6">
        <v>45291</v>
      </c>
      <c r="G271" s="5">
        <f t="shared" si="41"/>
        <v>2023</v>
      </c>
      <c r="H271" s="5" t="str">
        <f t="shared" si="39"/>
        <v>Diciembre</v>
      </c>
      <c r="I271" s="6" t="str">
        <f t="shared" si="40"/>
        <v>2023-2</v>
      </c>
      <c r="J271" s="9">
        <v>1500000000</v>
      </c>
      <c r="K271" s="9">
        <v>1918390000</v>
      </c>
      <c r="L271" s="15">
        <f>IFERROR(IF((K271/J271)&gt;1.3,1.3,K271/J271),"")</f>
        <v>1.2789266666666668</v>
      </c>
      <c r="M271" s="15">
        <f>IFERROR(K271/J271,"")</f>
        <v>1.2789266666666668</v>
      </c>
      <c r="N271" s="5" t="s">
        <v>474</v>
      </c>
      <c r="O271" s="5" t="s">
        <v>474</v>
      </c>
      <c r="P271" s="5">
        <v>0</v>
      </c>
      <c r="Q271" s="5">
        <v>0</v>
      </c>
      <c r="R271" s="5" t="str">
        <f>A271&amp;"-"&amp;YEAR(F271)&amp;"-"&amp;IF(LEN(MONTH(F271))=1,"0"&amp;MONTH(F271),MONTH(F271))&amp;"-"&amp;IF(LEN(DAY(F271))=1,"0"&amp;DAY(F271),DAY(F271))</f>
        <v>341-2023-12-31</v>
      </c>
    </row>
    <row r="272" spans="1:18" x14ac:dyDescent="0.3">
      <c r="A272" s="5">
        <v>344</v>
      </c>
      <c r="B272" s="5" t="s">
        <v>227</v>
      </c>
      <c r="C272" s="5" t="s">
        <v>13</v>
      </c>
      <c r="D272" s="5" t="s">
        <v>8</v>
      </c>
      <c r="E272" s="5" t="s">
        <v>9</v>
      </c>
      <c r="F272" s="6">
        <v>45291</v>
      </c>
      <c r="G272" s="5">
        <f t="shared" si="41"/>
        <v>2023</v>
      </c>
      <c r="H272" s="5" t="str">
        <f t="shared" si="39"/>
        <v>Diciembre</v>
      </c>
      <c r="I272" s="6" t="str">
        <f t="shared" si="40"/>
        <v>2023-2</v>
      </c>
      <c r="J272" s="5">
        <v>90</v>
      </c>
      <c r="K272" s="5">
        <v>97.75</v>
      </c>
      <c r="L272" s="15">
        <f>IFERROR(IF((K272/J272)&gt;1.3,1.3,K272/J272),"")</f>
        <v>1.086111111111111</v>
      </c>
      <c r="M272" s="15">
        <f>IFERROR(K272/J272,"")</f>
        <v>1.086111111111111</v>
      </c>
      <c r="N272" s="5" t="s">
        <v>347</v>
      </c>
      <c r="O272" s="5" t="s">
        <v>347</v>
      </c>
      <c r="P272" s="5">
        <v>0</v>
      </c>
      <c r="Q272" s="5">
        <v>0</v>
      </c>
      <c r="R272" s="5" t="str">
        <f>A272&amp;"-"&amp;YEAR(F272)&amp;"-"&amp;IF(LEN(MONTH(F272))=1,"0"&amp;MONTH(F272),MONTH(F272))&amp;"-"&amp;IF(LEN(DAY(F272))=1,"0"&amp;DAY(F272),DAY(F272))</f>
        <v>344-2023-12-31</v>
      </c>
    </row>
    <row r="273" spans="1:18" x14ac:dyDescent="0.3">
      <c r="A273" s="5">
        <v>345</v>
      </c>
      <c r="B273" s="5" t="s">
        <v>228</v>
      </c>
      <c r="C273" s="5" t="s">
        <v>13</v>
      </c>
      <c r="D273" s="5" t="s">
        <v>25</v>
      </c>
      <c r="E273" s="5" t="s">
        <v>9</v>
      </c>
      <c r="F273" s="6">
        <v>45291</v>
      </c>
      <c r="G273" s="5">
        <f t="shared" si="41"/>
        <v>2023</v>
      </c>
      <c r="H273" s="5" t="str">
        <f t="shared" si="39"/>
        <v>Diciembre</v>
      </c>
      <c r="I273" s="6" t="str">
        <f t="shared" si="40"/>
        <v>2023-2</v>
      </c>
      <c r="J273" s="5"/>
      <c r="K273" s="5">
        <v>94.85</v>
      </c>
      <c r="L273" s="15" t="str">
        <f>IFERROR(IF((K273/J273)&gt;1.3,1.3,K273/J273),"")</f>
        <v/>
      </c>
      <c r="M273" s="15" t="str">
        <f>IFERROR(K273/J273,"")</f>
        <v/>
      </c>
      <c r="N273" s="5" t="s">
        <v>477</v>
      </c>
      <c r="O273" s="58" t="s">
        <v>347</v>
      </c>
      <c r="P273" s="5">
        <v>0</v>
      </c>
      <c r="Q273" s="5">
        <v>0</v>
      </c>
      <c r="R273" s="5" t="str">
        <f>A273&amp;"-"&amp;YEAR(F273)&amp;"-"&amp;IF(LEN(MONTH(F273))=1,"0"&amp;MONTH(F273),MONTH(F273))&amp;"-"&amp;IF(LEN(DAY(F273))=1,"0"&amp;DAY(F273),DAY(F273))</f>
        <v>345-2023-12-31</v>
      </c>
    </row>
    <row r="274" spans="1:18" x14ac:dyDescent="0.3">
      <c r="A274" s="5">
        <v>346</v>
      </c>
      <c r="B274" s="5" t="s">
        <v>229</v>
      </c>
      <c r="C274" s="5" t="s">
        <v>13</v>
      </c>
      <c r="D274" s="5" t="s">
        <v>25</v>
      </c>
      <c r="E274" s="5" t="s">
        <v>9</v>
      </c>
      <c r="F274" s="6">
        <v>45291</v>
      </c>
      <c r="G274" s="5">
        <f t="shared" si="41"/>
        <v>2023</v>
      </c>
      <c r="H274" s="5" t="str">
        <f t="shared" si="39"/>
        <v>Diciembre</v>
      </c>
      <c r="I274" s="6" t="str">
        <f t="shared" si="40"/>
        <v>2023-2</v>
      </c>
      <c r="J274" s="5"/>
      <c r="K274" s="5">
        <v>88.24</v>
      </c>
      <c r="L274" s="15" t="str">
        <f>IFERROR(IF((K274/J274)&gt;1.3,1.3,K274/J274),"")</f>
        <v/>
      </c>
      <c r="M274" s="15" t="str">
        <f>IFERROR(K274/J274,"")</f>
        <v/>
      </c>
      <c r="N274" s="5" t="s">
        <v>477</v>
      </c>
      <c r="O274" s="5" t="s">
        <v>347</v>
      </c>
      <c r="P274" s="5">
        <v>0</v>
      </c>
      <c r="Q274" s="5">
        <v>0</v>
      </c>
      <c r="R274" s="5" t="str">
        <f>A274&amp;"-"&amp;YEAR(F274)&amp;"-"&amp;IF(LEN(MONTH(F274))=1,"0"&amp;MONTH(F274),MONTH(F274))&amp;"-"&amp;IF(LEN(DAY(F274))=1,"0"&amp;DAY(F274),DAY(F274))</f>
        <v>346-2023-12-31</v>
      </c>
    </row>
    <row r="275" spans="1:18" x14ac:dyDescent="0.3">
      <c r="A275" s="5">
        <v>347</v>
      </c>
      <c r="B275" s="5" t="s">
        <v>230</v>
      </c>
      <c r="C275" s="5" t="s">
        <v>231</v>
      </c>
      <c r="D275" s="5" t="s">
        <v>11</v>
      </c>
      <c r="E275" s="5" t="s">
        <v>14</v>
      </c>
      <c r="F275" s="6">
        <v>45291</v>
      </c>
      <c r="G275" s="5">
        <f t="shared" si="41"/>
        <v>2023</v>
      </c>
      <c r="H275" s="5" t="str">
        <f t="shared" si="39"/>
        <v>Diciembre</v>
      </c>
      <c r="I275" s="6" t="str">
        <f t="shared" si="40"/>
        <v>2023-2</v>
      </c>
      <c r="J275" s="5">
        <v>0</v>
      </c>
      <c r="K275" s="5">
        <v>27</v>
      </c>
      <c r="L275" s="15">
        <v>0.86499999999999999</v>
      </c>
      <c r="M275" s="15">
        <v>0.86499999999999999</v>
      </c>
      <c r="N275" s="5" t="s">
        <v>490</v>
      </c>
      <c r="O275" s="5" t="s">
        <v>490</v>
      </c>
      <c r="P275" s="5">
        <v>0</v>
      </c>
      <c r="Q275" s="5">
        <v>0</v>
      </c>
      <c r="R275" s="5" t="str">
        <f>A275&amp;"-"&amp;YEAR(F275)&amp;"-"&amp;IF(LEN(MONTH(F275))=1,"0"&amp;MONTH(F275),MONTH(F275))&amp;"-"&amp;IF(LEN(DAY(F275))=1,"0"&amp;DAY(F275),DAY(F275))</f>
        <v>347-2023-12-31</v>
      </c>
    </row>
    <row r="276" spans="1:18" x14ac:dyDescent="0.3">
      <c r="A276" s="5">
        <v>348</v>
      </c>
      <c r="B276" s="5" t="s">
        <v>232</v>
      </c>
      <c r="C276" s="5" t="s">
        <v>231</v>
      </c>
      <c r="D276" s="5" t="s">
        <v>11</v>
      </c>
      <c r="E276" s="5" t="s">
        <v>9</v>
      </c>
      <c r="F276" s="6">
        <v>45291</v>
      </c>
      <c r="G276" s="5">
        <f t="shared" si="41"/>
        <v>2023</v>
      </c>
      <c r="H276" s="5" t="str">
        <f t="shared" si="39"/>
        <v>Diciembre</v>
      </c>
      <c r="I276" s="6" t="str">
        <f t="shared" si="40"/>
        <v>2023-2</v>
      </c>
      <c r="J276" s="5">
        <v>99</v>
      </c>
      <c r="K276" s="5">
        <v>99.91</v>
      </c>
      <c r="L276" s="15">
        <f>IFERROR(IF((K276/J276)&gt;1.3,1.3,K276/J276),"")</f>
        <v>1.0091919191919192</v>
      </c>
      <c r="M276" s="15">
        <f>IFERROR(K276/J276,"")</f>
        <v>1.0091919191919192</v>
      </c>
      <c r="N276" s="5" t="s">
        <v>347</v>
      </c>
      <c r="O276" s="5" t="s">
        <v>347</v>
      </c>
      <c r="P276" s="5">
        <v>1</v>
      </c>
      <c r="Q276" s="5">
        <v>0</v>
      </c>
      <c r="R276" s="5" t="str">
        <f>A276&amp;"-"&amp;YEAR(F276)&amp;"-"&amp;IF(LEN(MONTH(F276))=1,"0"&amp;MONTH(F276),MONTH(F276))&amp;"-"&amp;IF(LEN(DAY(F276))=1,"0"&amp;DAY(F276),DAY(F276))</f>
        <v>348-2023-12-31</v>
      </c>
    </row>
    <row r="277" spans="1:18" x14ac:dyDescent="0.3">
      <c r="A277" s="5">
        <v>349</v>
      </c>
      <c r="B277" s="5" t="s">
        <v>233</v>
      </c>
      <c r="C277" s="5" t="s">
        <v>59</v>
      </c>
      <c r="D277" s="5" t="s">
        <v>25</v>
      </c>
      <c r="E277" s="5" t="s">
        <v>9</v>
      </c>
      <c r="F277" s="6">
        <v>45291</v>
      </c>
      <c r="G277" s="5">
        <f t="shared" si="41"/>
        <v>2023</v>
      </c>
      <c r="H277" s="5" t="str">
        <f t="shared" si="39"/>
        <v>Diciembre</v>
      </c>
      <c r="I277" s="6" t="str">
        <f t="shared" si="40"/>
        <v>2023-2</v>
      </c>
      <c r="J277" s="5"/>
      <c r="K277" s="5"/>
      <c r="L277" s="15" t="str">
        <f>IFERROR(IF((K277/J277)&gt;1.3,1.3,K277/J277),"")</f>
        <v/>
      </c>
      <c r="M277" s="15" t="str">
        <f>IFERROR(K277/J277,"")</f>
        <v/>
      </c>
      <c r="N277" s="5" t="s">
        <v>490</v>
      </c>
      <c r="O277" s="5" t="s">
        <v>478</v>
      </c>
      <c r="P277" s="5">
        <v>0</v>
      </c>
      <c r="Q277" s="5">
        <v>0</v>
      </c>
      <c r="R277" s="5" t="str">
        <f>A277&amp;"-"&amp;YEAR(F277)&amp;"-"&amp;IF(LEN(MONTH(F277))=1,"0"&amp;MONTH(F277),MONTH(F277))&amp;"-"&amp;IF(LEN(DAY(F277))=1,"0"&amp;DAY(F277),DAY(F277))</f>
        <v>349-2023-12-31</v>
      </c>
    </row>
    <row r="278" spans="1:18" x14ac:dyDescent="0.3">
      <c r="A278" s="5">
        <v>350</v>
      </c>
      <c r="B278" s="5" t="s">
        <v>234</v>
      </c>
      <c r="C278" s="5" t="s">
        <v>59</v>
      </c>
      <c r="D278" s="5" t="s">
        <v>25</v>
      </c>
      <c r="E278" s="5" t="s">
        <v>9</v>
      </c>
      <c r="F278" s="6">
        <v>45291</v>
      </c>
      <c r="G278" s="5">
        <f t="shared" si="41"/>
        <v>2023</v>
      </c>
      <c r="H278" s="5" t="str">
        <f t="shared" si="39"/>
        <v>Diciembre</v>
      </c>
      <c r="I278" s="6" t="str">
        <f t="shared" si="40"/>
        <v>2023-2</v>
      </c>
      <c r="J278" s="5"/>
      <c r="K278" s="5"/>
      <c r="L278" s="15" t="str">
        <f>IFERROR(IF((K278/J278)&gt;1.3,1.3,K278/J278),"")</f>
        <v/>
      </c>
      <c r="M278" s="15" t="str">
        <f>IFERROR(K278/J278,"")</f>
        <v/>
      </c>
      <c r="N278" s="5" t="s">
        <v>490</v>
      </c>
      <c r="O278" s="5" t="s">
        <v>478</v>
      </c>
      <c r="P278" s="5">
        <v>0</v>
      </c>
      <c r="Q278" s="5">
        <v>0</v>
      </c>
      <c r="R278" s="5" t="str">
        <f>A278&amp;"-"&amp;YEAR(F278)&amp;"-"&amp;IF(LEN(MONTH(F278))=1,"0"&amp;MONTH(F278),MONTH(F278))&amp;"-"&amp;IF(LEN(DAY(F278))=1,"0"&amp;DAY(F278),DAY(F278))</f>
        <v>350-2023-12-31</v>
      </c>
    </row>
    <row r="279" spans="1:18" x14ac:dyDescent="0.3">
      <c r="A279" s="5">
        <v>351</v>
      </c>
      <c r="B279" s="5" t="s">
        <v>235</v>
      </c>
      <c r="C279" s="5" t="s">
        <v>231</v>
      </c>
      <c r="D279" s="5" t="s">
        <v>11</v>
      </c>
      <c r="E279" s="5" t="s">
        <v>14</v>
      </c>
      <c r="F279" s="6">
        <v>45291</v>
      </c>
      <c r="G279" s="5">
        <f t="shared" si="41"/>
        <v>2023</v>
      </c>
      <c r="H279" s="5" t="str">
        <f t="shared" si="39"/>
        <v>Diciembre</v>
      </c>
      <c r="I279" s="6" t="str">
        <f t="shared" si="40"/>
        <v>2023-2</v>
      </c>
      <c r="J279" s="5">
        <v>5</v>
      </c>
      <c r="K279" s="5">
        <v>8.4</v>
      </c>
      <c r="L279" s="8">
        <v>0.94</v>
      </c>
      <c r="M279" s="8">
        <v>0.94</v>
      </c>
      <c r="N279" s="5" t="s">
        <v>490</v>
      </c>
      <c r="O279" s="5" t="s">
        <v>478</v>
      </c>
      <c r="P279" s="5">
        <v>0</v>
      </c>
      <c r="Q279" s="5">
        <v>1</v>
      </c>
      <c r="R279" s="5" t="str">
        <f>A279&amp;"-"&amp;YEAR(F279)&amp;"-"&amp;IF(LEN(MONTH(F279))=1,"0"&amp;MONTH(F279),MONTH(F279))&amp;"-"&amp;IF(LEN(DAY(F279))=1,"0"&amp;DAY(F279),DAY(F279))</f>
        <v>351-2023-12-31</v>
      </c>
    </row>
    <row r="280" spans="1:18" x14ac:dyDescent="0.3">
      <c r="A280" s="5">
        <v>352</v>
      </c>
      <c r="B280" s="5" t="s">
        <v>412</v>
      </c>
      <c r="C280" s="5" t="s">
        <v>231</v>
      </c>
      <c r="D280" s="5" t="s">
        <v>11</v>
      </c>
      <c r="E280" s="5" t="s">
        <v>14</v>
      </c>
      <c r="F280" s="6">
        <v>45291</v>
      </c>
      <c r="G280" s="5">
        <f t="shared" si="41"/>
        <v>2023</v>
      </c>
      <c r="H280" s="5" t="str">
        <f t="shared" si="39"/>
        <v>Diciembre</v>
      </c>
      <c r="I280" s="6" t="str">
        <f t="shared" si="40"/>
        <v>2023-2</v>
      </c>
      <c r="J280" s="12">
        <v>0</v>
      </c>
      <c r="K280" s="5">
        <v>0.09</v>
      </c>
      <c r="L280" s="15">
        <f>(100%)-(K280/100)</f>
        <v>0.99909999999999999</v>
      </c>
      <c r="M280" s="15">
        <f>(100%)-(K280/100)</f>
        <v>0.99909999999999999</v>
      </c>
      <c r="N280" s="5" t="s">
        <v>347</v>
      </c>
      <c r="O280" s="5" t="s">
        <v>347</v>
      </c>
      <c r="P280" s="5">
        <v>0</v>
      </c>
      <c r="Q280" s="5">
        <v>2</v>
      </c>
      <c r="R280" s="5" t="str">
        <f>A280&amp;"-"&amp;YEAR(F280)&amp;"-"&amp;IF(LEN(MONTH(F280))=1,"0"&amp;MONTH(F280),MONTH(F280))&amp;"-"&amp;IF(LEN(DAY(F280))=1,"0"&amp;DAY(F280),DAY(F280))</f>
        <v>352-2023-12-31</v>
      </c>
    </row>
    <row r="281" spans="1:18" x14ac:dyDescent="0.3">
      <c r="A281" s="5">
        <v>353</v>
      </c>
      <c r="B281" s="5" t="s">
        <v>236</v>
      </c>
      <c r="C281" s="5" t="s">
        <v>237</v>
      </c>
      <c r="D281" s="5" t="s">
        <v>8</v>
      </c>
      <c r="E281" s="5" t="s">
        <v>9</v>
      </c>
      <c r="F281" s="6">
        <v>45291</v>
      </c>
      <c r="G281" s="5">
        <f t="shared" si="41"/>
        <v>2023</v>
      </c>
      <c r="H281" s="5" t="str">
        <f t="shared" si="39"/>
        <v>Diciembre</v>
      </c>
      <c r="I281" s="6" t="str">
        <f t="shared" si="40"/>
        <v>2023-2</v>
      </c>
      <c r="J281" s="5">
        <v>35</v>
      </c>
      <c r="K281" s="5">
        <v>40.384615384615401</v>
      </c>
      <c r="L281" s="15">
        <f>IFERROR(IF((K281/J281)&gt;1.3,1.3,K281/J281),"")</f>
        <v>1.1538461538461544</v>
      </c>
      <c r="M281" s="15">
        <f>IFERROR(K281/J281,"")</f>
        <v>1.1538461538461544</v>
      </c>
      <c r="N281" s="5" t="s">
        <v>490</v>
      </c>
      <c r="O281" s="5" t="s">
        <v>490</v>
      </c>
      <c r="P281" s="5">
        <v>1</v>
      </c>
      <c r="Q281" s="5">
        <v>1</v>
      </c>
      <c r="R281" s="5" t="str">
        <f>A281&amp;"-"&amp;YEAR(F281)&amp;"-"&amp;IF(LEN(MONTH(F281))=1,"0"&amp;MONTH(F281),MONTH(F281))&amp;"-"&amp;IF(LEN(DAY(F281))=1,"0"&amp;DAY(F281),DAY(F281))</f>
        <v>353-2023-12-31</v>
      </c>
    </row>
    <row r="282" spans="1:18" x14ac:dyDescent="0.3">
      <c r="A282" s="5">
        <v>354</v>
      </c>
      <c r="B282" s="5" t="s">
        <v>238</v>
      </c>
      <c r="C282" s="5" t="s">
        <v>237</v>
      </c>
      <c r="D282" s="5" t="s">
        <v>8</v>
      </c>
      <c r="E282" s="5" t="s">
        <v>9</v>
      </c>
      <c r="F282" s="6">
        <v>45291</v>
      </c>
      <c r="G282" s="5">
        <f t="shared" si="41"/>
        <v>2023</v>
      </c>
      <c r="H282" s="5" t="str">
        <f t="shared" si="39"/>
        <v>Diciembre</v>
      </c>
      <c r="I282" s="6" t="str">
        <f t="shared" si="40"/>
        <v>2023-2</v>
      </c>
      <c r="J282" s="5">
        <v>10</v>
      </c>
      <c r="K282" s="5">
        <v>31.77</v>
      </c>
      <c r="L282" s="15">
        <f>IFERROR(IF((K282/J282)&gt;1.3,1.3,K282/J282),"")</f>
        <v>1.3</v>
      </c>
      <c r="M282" s="15">
        <f>IFERROR(K282/J282,"")</f>
        <v>3.177</v>
      </c>
      <c r="N282" s="5" t="s">
        <v>490</v>
      </c>
      <c r="O282" s="5" t="s">
        <v>478</v>
      </c>
      <c r="P282" s="5">
        <v>1</v>
      </c>
      <c r="Q282" s="5">
        <v>1</v>
      </c>
      <c r="R282" s="5" t="str">
        <f>A282&amp;"-"&amp;YEAR(F282)&amp;"-"&amp;IF(LEN(MONTH(F282))=1,"0"&amp;MONTH(F282),MONTH(F282))&amp;"-"&amp;IF(LEN(DAY(F282))=1,"0"&amp;DAY(F282),DAY(F282))</f>
        <v>354-2023-12-31</v>
      </c>
    </row>
    <row r="283" spans="1:18" x14ac:dyDescent="0.3">
      <c r="A283" s="5">
        <v>355</v>
      </c>
      <c r="B283" s="5" t="s">
        <v>239</v>
      </c>
      <c r="C283" s="5" t="s">
        <v>240</v>
      </c>
      <c r="D283" s="5" t="s">
        <v>25</v>
      </c>
      <c r="E283" s="5" t="s">
        <v>9</v>
      </c>
      <c r="F283" s="6">
        <v>45291</v>
      </c>
      <c r="G283" s="5">
        <f t="shared" si="41"/>
        <v>2023</v>
      </c>
      <c r="H283" s="5" t="str">
        <f t="shared" si="39"/>
        <v>Diciembre</v>
      </c>
      <c r="I283" s="6" t="str">
        <f t="shared" si="40"/>
        <v>2023-2</v>
      </c>
      <c r="J283" s="5">
        <v>1</v>
      </c>
      <c r="K283" s="5">
        <v>1.65</v>
      </c>
      <c r="L283" s="15">
        <f>IFERROR(IF((K283/J283)&gt;1.3,1.3,K283/J283),"")</f>
        <v>1.3</v>
      </c>
      <c r="M283" s="15">
        <f>IFERROR(K283/J283,"")</f>
        <v>1.65</v>
      </c>
      <c r="N283" s="5" t="s">
        <v>490</v>
      </c>
      <c r="O283" s="5" t="s">
        <v>478</v>
      </c>
      <c r="P283" s="5">
        <v>1</v>
      </c>
      <c r="Q283" s="5">
        <v>1</v>
      </c>
      <c r="R283" s="5" t="str">
        <f>A283&amp;"-"&amp;YEAR(F283)&amp;"-"&amp;IF(LEN(MONTH(F283))=1,"0"&amp;MONTH(F283),MONTH(F283))&amp;"-"&amp;IF(LEN(DAY(F283))=1,"0"&amp;DAY(F283),DAY(F283))</f>
        <v>355-2023-12-31</v>
      </c>
    </row>
    <row r="284" spans="1:18" x14ac:dyDescent="0.3">
      <c r="A284" s="5">
        <v>356</v>
      </c>
      <c r="B284" s="5" t="s">
        <v>241</v>
      </c>
      <c r="C284" s="5" t="s">
        <v>240</v>
      </c>
      <c r="D284" s="5" t="s">
        <v>8</v>
      </c>
      <c r="E284" s="5" t="s">
        <v>14</v>
      </c>
      <c r="F284" s="6">
        <v>45291</v>
      </c>
      <c r="G284" s="5">
        <f t="shared" si="41"/>
        <v>2023</v>
      </c>
      <c r="H284" s="5" t="str">
        <f t="shared" si="39"/>
        <v>Diciembre</v>
      </c>
      <c r="I284" s="6" t="str">
        <f t="shared" si="40"/>
        <v>2023-2</v>
      </c>
      <c r="J284" s="5">
        <v>60</v>
      </c>
      <c r="K284" s="5">
        <v>61.54</v>
      </c>
      <c r="L284" s="15">
        <f>J284/K284</f>
        <v>0.9749756256093598</v>
      </c>
      <c r="M284" s="15">
        <f>IFERROR(IF((J284/K284)&gt;J284/K284,1.3,J284/K284),"")</f>
        <v>0.9749756256093598</v>
      </c>
      <c r="N284" s="5" t="s">
        <v>347</v>
      </c>
      <c r="O284" s="5" t="s">
        <v>347</v>
      </c>
      <c r="P284" s="5">
        <v>0</v>
      </c>
      <c r="Q284" s="5">
        <v>1</v>
      </c>
      <c r="R284" s="5" t="str">
        <f>A284&amp;"-"&amp;YEAR(F284)&amp;"-"&amp;IF(LEN(MONTH(F284))=1,"0"&amp;MONTH(F284),MONTH(F284))&amp;"-"&amp;IF(LEN(DAY(F284))=1,"0"&amp;DAY(F284),DAY(F284))</f>
        <v>356-2023-12-31</v>
      </c>
    </row>
    <row r="285" spans="1:18" x14ac:dyDescent="0.3">
      <c r="A285" s="5">
        <v>357</v>
      </c>
      <c r="B285" s="5" t="s">
        <v>242</v>
      </c>
      <c r="C285" s="5" t="s">
        <v>240</v>
      </c>
      <c r="D285" s="5" t="s">
        <v>8</v>
      </c>
      <c r="E285" s="5" t="s">
        <v>9</v>
      </c>
      <c r="F285" s="6">
        <v>45291</v>
      </c>
      <c r="G285" s="5">
        <f t="shared" si="41"/>
        <v>2023</v>
      </c>
      <c r="H285" s="5" t="str">
        <f t="shared" si="39"/>
        <v>Diciembre</v>
      </c>
      <c r="I285" s="6" t="str">
        <f t="shared" si="40"/>
        <v>2023-2</v>
      </c>
      <c r="J285" s="5"/>
      <c r="K285" s="5">
        <v>4.45</v>
      </c>
      <c r="L285" s="15" t="str">
        <f>IFERROR(IF((K285/J285)&gt;1.3,1.3,K285/J285),"")</f>
        <v/>
      </c>
      <c r="M285" s="15" t="str">
        <f>IFERROR(K285/J285,"")</f>
        <v/>
      </c>
      <c r="N285" s="5" t="s">
        <v>728</v>
      </c>
      <c r="O285" s="5"/>
      <c r="P285" s="5">
        <v>0</v>
      </c>
      <c r="Q285" s="5">
        <v>2</v>
      </c>
      <c r="R285" s="5" t="str">
        <f>A285&amp;"-"&amp;YEAR(F285)&amp;"-"&amp;IF(LEN(MONTH(F285))=1,"0"&amp;MONTH(F285),MONTH(F285))&amp;"-"&amp;IF(LEN(DAY(F285))=1,"0"&amp;DAY(F285),DAY(F285))</f>
        <v>357-2023-12-31</v>
      </c>
    </row>
    <row r="286" spans="1:18" x14ac:dyDescent="0.3">
      <c r="A286" s="5">
        <v>358</v>
      </c>
      <c r="B286" s="5" t="s">
        <v>243</v>
      </c>
      <c r="C286" s="5" t="s">
        <v>244</v>
      </c>
      <c r="D286" s="5" t="s">
        <v>8</v>
      </c>
      <c r="E286" s="5" t="s">
        <v>9</v>
      </c>
      <c r="F286" s="6">
        <v>45291</v>
      </c>
      <c r="G286" s="5">
        <f t="shared" si="41"/>
        <v>2023</v>
      </c>
      <c r="H286" s="5" t="str">
        <f t="shared" si="39"/>
        <v>Diciembre</v>
      </c>
      <c r="I286" s="6" t="str">
        <f t="shared" si="40"/>
        <v>2023-2</v>
      </c>
      <c r="J286" s="5">
        <v>87</v>
      </c>
      <c r="K286" s="5">
        <v>95</v>
      </c>
      <c r="L286" s="15">
        <f>IFERROR(IF((K286/J286)&gt;1.3,1.3,K286/J286),"")</f>
        <v>1.0919540229885059</v>
      </c>
      <c r="M286" s="15">
        <f>IFERROR(K286/J286,"")</f>
        <v>1.0919540229885059</v>
      </c>
      <c r="N286" s="5" t="s">
        <v>347</v>
      </c>
      <c r="O286" s="5" t="s">
        <v>347</v>
      </c>
      <c r="P286" s="5">
        <v>0</v>
      </c>
      <c r="Q286" s="5">
        <v>0</v>
      </c>
      <c r="R286" s="5" t="str">
        <f>A286&amp;"-"&amp;YEAR(F286)&amp;"-"&amp;IF(LEN(MONTH(F286))=1,"0"&amp;MONTH(F286),MONTH(F286))&amp;"-"&amp;IF(LEN(DAY(F286))=1,"0"&amp;DAY(F286),DAY(F286))</f>
        <v>358-2023-12-31</v>
      </c>
    </row>
    <row r="287" spans="1:18" x14ac:dyDescent="0.3">
      <c r="A287" s="5">
        <v>361</v>
      </c>
      <c r="B287" s="5" t="s">
        <v>802</v>
      </c>
      <c r="C287" s="5" t="s">
        <v>248</v>
      </c>
      <c r="D287" s="5" t="s">
        <v>25</v>
      </c>
      <c r="E287" s="5" t="s">
        <v>9</v>
      </c>
      <c r="F287" s="6">
        <v>45291</v>
      </c>
      <c r="G287" s="5">
        <f t="shared" si="41"/>
        <v>2023</v>
      </c>
      <c r="H287" s="5" t="str">
        <f t="shared" si="39"/>
        <v>Diciembre</v>
      </c>
      <c r="I287" s="6" t="str">
        <f t="shared" si="40"/>
        <v>2023-2</v>
      </c>
      <c r="J287" s="5">
        <v>4.5</v>
      </c>
      <c r="K287" s="5">
        <v>4.5599999999999996</v>
      </c>
      <c r="L287" s="15">
        <f>IFERROR(IF((K287/J287)&gt;1.3,1.3,K287/J287),"")</f>
        <v>1.0133333333333332</v>
      </c>
      <c r="M287" s="15">
        <f>IFERROR(K287/J287,"")</f>
        <v>1.0133333333333332</v>
      </c>
      <c r="N287" s="5" t="s">
        <v>478</v>
      </c>
      <c r="O287" s="5" t="s">
        <v>478</v>
      </c>
      <c r="P287" s="5">
        <v>1</v>
      </c>
      <c r="Q287" s="5">
        <v>2</v>
      </c>
      <c r="R287" s="5" t="str">
        <f>A287&amp;"-"&amp;YEAR(F287)&amp;"-"&amp;IF(LEN(MONTH(F287))=1,"0"&amp;MONTH(F287),MONTH(F287))&amp;"-"&amp;IF(LEN(DAY(F287))=1,"0"&amp;DAY(F287),DAY(F287))</f>
        <v>361-2023-12-31</v>
      </c>
    </row>
    <row r="288" spans="1:18" x14ac:dyDescent="0.3">
      <c r="A288" s="5">
        <v>362</v>
      </c>
      <c r="B288" s="5" t="s">
        <v>460</v>
      </c>
      <c r="C288" s="5" t="s">
        <v>762</v>
      </c>
      <c r="D288" s="5" t="s">
        <v>8</v>
      </c>
      <c r="E288" s="5" t="s">
        <v>9</v>
      </c>
      <c r="F288" s="6">
        <v>45291</v>
      </c>
      <c r="G288" s="5">
        <f t="shared" si="41"/>
        <v>2023</v>
      </c>
      <c r="H288" s="5" t="str">
        <f t="shared" si="39"/>
        <v>Diciembre</v>
      </c>
      <c r="I288" s="6" t="str">
        <f t="shared" si="40"/>
        <v>2023-2</v>
      </c>
      <c r="J288" s="5">
        <v>100</v>
      </c>
      <c r="K288" s="5">
        <v>99.16</v>
      </c>
      <c r="L288" s="15">
        <f>IFERROR(IF((K288/J288)&gt;1.3,1.3,K288/J288),"")</f>
        <v>0.99159999999999993</v>
      </c>
      <c r="M288" s="15">
        <f>IFERROR(K288/J288,"")</f>
        <v>0.99159999999999993</v>
      </c>
      <c r="N288" s="5" t="s">
        <v>347</v>
      </c>
      <c r="O288" s="5" t="s">
        <v>347</v>
      </c>
      <c r="P288" s="5">
        <v>0</v>
      </c>
      <c r="Q288" s="5">
        <v>0</v>
      </c>
      <c r="R288" s="5" t="str">
        <f>A288&amp;"-"&amp;YEAR(F288)&amp;"-"&amp;IF(LEN(MONTH(F288))=1,"0"&amp;MONTH(F288),MONTH(F288))&amp;"-"&amp;IF(LEN(DAY(F288))=1,"0"&amp;DAY(F288),DAY(F288))</f>
        <v>362-2023-12-31</v>
      </c>
    </row>
    <row r="289" spans="1:18" x14ac:dyDescent="0.3">
      <c r="A289" s="5">
        <v>363</v>
      </c>
      <c r="B289" s="5" t="s">
        <v>250</v>
      </c>
      <c r="C289" s="5" t="s">
        <v>762</v>
      </c>
      <c r="D289" s="5" t="s">
        <v>8</v>
      </c>
      <c r="E289" s="5" t="s">
        <v>9</v>
      </c>
      <c r="F289" s="6">
        <v>45291</v>
      </c>
      <c r="G289" s="5">
        <f t="shared" si="41"/>
        <v>2023</v>
      </c>
      <c r="H289" s="5" t="str">
        <f t="shared" si="39"/>
        <v>Diciembre</v>
      </c>
      <c r="I289" s="6" t="str">
        <f t="shared" si="40"/>
        <v>2023-2</v>
      </c>
      <c r="J289" s="5">
        <v>100</v>
      </c>
      <c r="K289" s="5">
        <v>100</v>
      </c>
      <c r="L289" s="15">
        <f>IFERROR(IF((K289/J289)&gt;1.3,1.3,K289/J289),"")</f>
        <v>1</v>
      </c>
      <c r="M289" s="15">
        <f>IFERROR(K289/J289,"")</f>
        <v>1</v>
      </c>
      <c r="N289" s="5" t="s">
        <v>347</v>
      </c>
      <c r="O289" s="5" t="s">
        <v>347</v>
      </c>
      <c r="P289" s="5">
        <v>0</v>
      </c>
      <c r="Q289" s="5">
        <v>0</v>
      </c>
      <c r="R289" s="5" t="str">
        <f>A289&amp;"-"&amp;YEAR(F289)&amp;"-"&amp;IF(LEN(MONTH(F289))=1,"0"&amp;MONTH(F289),MONTH(F289))&amp;"-"&amp;IF(LEN(DAY(F289))=1,"0"&amp;DAY(F289),DAY(F289))</f>
        <v>363-2023-12-31</v>
      </c>
    </row>
    <row r="290" spans="1:18" x14ac:dyDescent="0.3">
      <c r="A290" s="5">
        <v>364</v>
      </c>
      <c r="B290" s="5" t="s">
        <v>252</v>
      </c>
      <c r="C290" s="5" t="s">
        <v>248</v>
      </c>
      <c r="D290" s="5" t="s">
        <v>8</v>
      </c>
      <c r="E290" s="5" t="s">
        <v>9</v>
      </c>
      <c r="F290" s="6">
        <v>45291</v>
      </c>
      <c r="G290" s="5">
        <f t="shared" si="41"/>
        <v>2023</v>
      </c>
      <c r="H290" s="5" t="str">
        <f t="shared" si="39"/>
        <v>Diciembre</v>
      </c>
      <c r="I290" s="6" t="str">
        <f t="shared" si="40"/>
        <v>2023-2</v>
      </c>
      <c r="J290" s="5"/>
      <c r="K290" s="5">
        <v>78450</v>
      </c>
      <c r="L290" s="15"/>
      <c r="M290" s="15"/>
      <c r="N290" s="5" t="s">
        <v>477</v>
      </c>
      <c r="O290" s="5" t="s">
        <v>490</v>
      </c>
      <c r="P290" s="5">
        <v>0</v>
      </c>
      <c r="Q290" s="5">
        <v>0</v>
      </c>
      <c r="R290" s="5" t="str">
        <f>A290&amp;"-"&amp;YEAR(F290)&amp;"-"&amp;IF(LEN(MONTH(F290))=1,"0"&amp;MONTH(F290),MONTH(F290))&amp;"-"&amp;IF(LEN(DAY(F290))=1,"0"&amp;DAY(F290),DAY(F290))</f>
        <v>364-2023-12-31</v>
      </c>
    </row>
    <row r="291" spans="1:18" x14ac:dyDescent="0.3">
      <c r="A291" s="5">
        <v>365</v>
      </c>
      <c r="B291" s="5" t="s">
        <v>461</v>
      </c>
      <c r="C291" s="5" t="s">
        <v>762</v>
      </c>
      <c r="D291" s="5" t="s">
        <v>8</v>
      </c>
      <c r="E291" s="5" t="s">
        <v>9</v>
      </c>
      <c r="F291" s="6">
        <v>45291</v>
      </c>
      <c r="G291" s="5">
        <f t="shared" si="41"/>
        <v>2023</v>
      </c>
      <c r="H291" s="5" t="str">
        <f t="shared" si="39"/>
        <v>Diciembre</v>
      </c>
      <c r="I291" s="6" t="str">
        <f t="shared" si="40"/>
        <v>2023-2</v>
      </c>
      <c r="J291" s="5">
        <v>100</v>
      </c>
      <c r="K291" s="5">
        <v>100</v>
      </c>
      <c r="L291" s="15">
        <f t="shared" ref="L291:L298" si="42">IFERROR(IF((K291/J291)&gt;1.3,1.3,K291/J291),"")</f>
        <v>1</v>
      </c>
      <c r="M291" s="15">
        <f t="shared" ref="M291:M298" si="43">IFERROR(K291/J291,"")</f>
        <v>1</v>
      </c>
      <c r="N291" s="5" t="s">
        <v>347</v>
      </c>
      <c r="O291" s="5" t="s">
        <v>347</v>
      </c>
      <c r="P291" s="5">
        <v>0</v>
      </c>
      <c r="Q291" s="5">
        <v>0</v>
      </c>
      <c r="R291" s="5" t="str">
        <f>A291&amp;"-"&amp;YEAR(F291)&amp;"-"&amp;IF(LEN(MONTH(F291))=1,"0"&amp;MONTH(F291),MONTH(F291))&amp;"-"&amp;IF(LEN(DAY(F291))=1,"0"&amp;DAY(F291),DAY(F291))</f>
        <v>365-2023-12-31</v>
      </c>
    </row>
    <row r="292" spans="1:18" x14ac:dyDescent="0.3">
      <c r="A292" s="5">
        <v>366</v>
      </c>
      <c r="B292" s="5" t="s">
        <v>253</v>
      </c>
      <c r="C292" s="5" t="s">
        <v>762</v>
      </c>
      <c r="D292" s="5" t="s">
        <v>25</v>
      </c>
      <c r="E292" s="5" t="s">
        <v>9</v>
      </c>
      <c r="F292" s="6">
        <v>45291</v>
      </c>
      <c r="G292" s="5">
        <f t="shared" si="41"/>
        <v>2023</v>
      </c>
      <c r="H292" s="5" t="str">
        <f t="shared" si="39"/>
        <v>Diciembre</v>
      </c>
      <c r="I292" s="6" t="str">
        <f t="shared" si="40"/>
        <v>2023-2</v>
      </c>
      <c r="J292" s="5">
        <v>100</v>
      </c>
      <c r="K292" s="5">
        <v>100</v>
      </c>
      <c r="L292" s="15">
        <f t="shared" si="42"/>
        <v>1</v>
      </c>
      <c r="M292" s="15">
        <f t="shared" si="43"/>
        <v>1</v>
      </c>
      <c r="N292" s="5" t="s">
        <v>490</v>
      </c>
      <c r="O292" s="5" t="s">
        <v>490</v>
      </c>
      <c r="P292" s="5">
        <v>0</v>
      </c>
      <c r="Q292" s="5">
        <v>0</v>
      </c>
      <c r="R292" s="5" t="str">
        <f>A292&amp;"-"&amp;YEAR(F292)&amp;"-"&amp;IF(LEN(MONTH(F292))=1,"0"&amp;MONTH(F292),MONTH(F292))&amp;"-"&amp;IF(LEN(DAY(F292))=1,"0"&amp;DAY(F292),DAY(F292))</f>
        <v>366-2023-12-31</v>
      </c>
    </row>
    <row r="293" spans="1:18" x14ac:dyDescent="0.3">
      <c r="A293" s="5">
        <v>367</v>
      </c>
      <c r="B293" s="5" t="s">
        <v>470</v>
      </c>
      <c r="C293" s="5" t="s">
        <v>248</v>
      </c>
      <c r="D293" s="5" t="s">
        <v>25</v>
      </c>
      <c r="E293" s="5" t="s">
        <v>9</v>
      </c>
      <c r="F293" s="6">
        <v>45291</v>
      </c>
      <c r="G293" s="5">
        <f t="shared" si="41"/>
        <v>2023</v>
      </c>
      <c r="H293" s="5" t="str">
        <f t="shared" si="39"/>
        <v>Diciembre</v>
      </c>
      <c r="I293" s="6" t="str">
        <f t="shared" si="40"/>
        <v>2023-2</v>
      </c>
      <c r="J293" s="5">
        <v>5</v>
      </c>
      <c r="K293" s="5">
        <v>6.25</v>
      </c>
      <c r="L293" s="15">
        <f t="shared" si="42"/>
        <v>1.25</v>
      </c>
      <c r="M293" s="15">
        <f t="shared" si="43"/>
        <v>1.25</v>
      </c>
      <c r="N293" s="5" t="s">
        <v>347</v>
      </c>
      <c r="O293" s="5" t="s">
        <v>347</v>
      </c>
      <c r="P293" s="5">
        <v>0</v>
      </c>
      <c r="Q293" s="5">
        <v>2</v>
      </c>
      <c r="R293" s="5" t="str">
        <f>A293&amp;"-"&amp;YEAR(F293)&amp;"-"&amp;IF(LEN(MONTH(F293))=1,"0"&amp;MONTH(F293),MONTH(F293))&amp;"-"&amp;IF(LEN(DAY(F293))=1,"0"&amp;DAY(F293),DAY(F293))</f>
        <v>367-2023-12-31</v>
      </c>
    </row>
    <row r="294" spans="1:18" x14ac:dyDescent="0.3">
      <c r="A294" s="5">
        <v>368</v>
      </c>
      <c r="B294" s="5" t="s">
        <v>255</v>
      </c>
      <c r="C294" s="5" t="s">
        <v>256</v>
      </c>
      <c r="D294" s="5" t="s">
        <v>11</v>
      </c>
      <c r="E294" s="5" t="s">
        <v>9</v>
      </c>
      <c r="F294" s="6">
        <v>45291</v>
      </c>
      <c r="G294" s="5">
        <f t="shared" si="41"/>
        <v>2023</v>
      </c>
      <c r="H294" s="5" t="str">
        <f t="shared" si="39"/>
        <v>Diciembre</v>
      </c>
      <c r="I294" s="6" t="str">
        <f t="shared" si="40"/>
        <v>2023-2</v>
      </c>
      <c r="J294" s="5">
        <v>90</v>
      </c>
      <c r="K294" s="5">
        <v>94.5</v>
      </c>
      <c r="L294" s="15">
        <f t="shared" si="42"/>
        <v>1.05</v>
      </c>
      <c r="M294" s="15">
        <f t="shared" si="43"/>
        <v>1.05</v>
      </c>
      <c r="N294" s="5" t="s">
        <v>347</v>
      </c>
      <c r="O294" s="5" t="s">
        <v>347</v>
      </c>
      <c r="P294" s="5">
        <v>0</v>
      </c>
      <c r="Q294" s="5">
        <v>0</v>
      </c>
      <c r="R294" s="5" t="str">
        <f>A294&amp;"-"&amp;YEAR(F294)&amp;"-"&amp;IF(LEN(MONTH(F294))=1,"0"&amp;MONTH(F294),MONTH(F294))&amp;"-"&amp;IF(LEN(DAY(F294))=1,"0"&amp;DAY(F294),DAY(F294))</f>
        <v>368-2023-12-31</v>
      </c>
    </row>
    <row r="295" spans="1:18" x14ac:dyDescent="0.3">
      <c r="A295" s="5">
        <v>369</v>
      </c>
      <c r="B295" s="5" t="s">
        <v>257</v>
      </c>
      <c r="C295" s="5" t="s">
        <v>248</v>
      </c>
      <c r="D295" s="5" t="s">
        <v>8</v>
      </c>
      <c r="E295" s="5" t="s">
        <v>9</v>
      </c>
      <c r="F295" s="6">
        <v>45291</v>
      </c>
      <c r="G295" s="5">
        <f t="shared" si="41"/>
        <v>2023</v>
      </c>
      <c r="H295" s="5" t="str">
        <f t="shared" si="39"/>
        <v>Diciembre</v>
      </c>
      <c r="I295" s="6" t="str">
        <f t="shared" si="40"/>
        <v>2023-2</v>
      </c>
      <c r="J295" s="5"/>
      <c r="K295" s="5">
        <v>174</v>
      </c>
      <c r="L295" s="15" t="str">
        <f t="shared" si="42"/>
        <v/>
      </c>
      <c r="M295" s="15" t="str">
        <f t="shared" si="43"/>
        <v/>
      </c>
      <c r="N295" s="5" t="s">
        <v>477</v>
      </c>
      <c r="O295" s="5" t="s">
        <v>490</v>
      </c>
      <c r="P295" s="5">
        <v>0</v>
      </c>
      <c r="Q295" s="5">
        <v>0</v>
      </c>
      <c r="R295" s="5" t="str">
        <f>A295&amp;"-"&amp;YEAR(F295)&amp;"-"&amp;IF(LEN(MONTH(F295))=1,"0"&amp;MONTH(F295),MONTH(F295))&amp;"-"&amp;IF(LEN(DAY(F295))=1,"0"&amp;DAY(F295),DAY(F295))</f>
        <v>369-2023-12-31</v>
      </c>
    </row>
    <row r="296" spans="1:18" x14ac:dyDescent="0.3">
      <c r="A296" s="5">
        <v>370</v>
      </c>
      <c r="B296" s="5" t="s">
        <v>258</v>
      </c>
      <c r="C296" s="5" t="s">
        <v>248</v>
      </c>
      <c r="D296" s="5" t="s">
        <v>8</v>
      </c>
      <c r="E296" s="5" t="s">
        <v>9</v>
      </c>
      <c r="F296" s="6">
        <v>45291</v>
      </c>
      <c r="G296" s="5">
        <f t="shared" si="41"/>
        <v>2023</v>
      </c>
      <c r="H296" s="5" t="str">
        <f t="shared" si="39"/>
        <v>Diciembre</v>
      </c>
      <c r="I296" s="6" t="str">
        <f t="shared" si="40"/>
        <v>2023-2</v>
      </c>
      <c r="J296" s="5"/>
      <c r="K296" s="5"/>
      <c r="L296" s="15" t="str">
        <f t="shared" si="42"/>
        <v/>
      </c>
      <c r="M296" s="15" t="str">
        <f t="shared" si="43"/>
        <v/>
      </c>
      <c r="N296" s="5" t="s">
        <v>490</v>
      </c>
      <c r="O296" s="5" t="s">
        <v>490</v>
      </c>
      <c r="P296" s="5">
        <v>0</v>
      </c>
      <c r="Q296" s="5">
        <v>0</v>
      </c>
      <c r="R296" s="5" t="str">
        <f>A296&amp;"-"&amp;YEAR(F296)&amp;"-"&amp;IF(LEN(MONTH(F296))=1,"0"&amp;MONTH(F296),MONTH(F296))&amp;"-"&amp;IF(LEN(DAY(F296))=1,"0"&amp;DAY(F296),DAY(F296))</f>
        <v>370-2023-12-31</v>
      </c>
    </row>
    <row r="297" spans="1:18" x14ac:dyDescent="0.3">
      <c r="A297" s="5">
        <v>371</v>
      </c>
      <c r="B297" s="5" t="s">
        <v>259</v>
      </c>
      <c r="C297" s="5" t="s">
        <v>248</v>
      </c>
      <c r="D297" s="5" t="s">
        <v>8</v>
      </c>
      <c r="E297" s="5" t="s">
        <v>9</v>
      </c>
      <c r="F297" s="6">
        <v>45291</v>
      </c>
      <c r="G297" s="5">
        <f t="shared" si="41"/>
        <v>2023</v>
      </c>
      <c r="H297" s="5" t="str">
        <f t="shared" si="39"/>
        <v>Diciembre</v>
      </c>
      <c r="I297" s="6" t="str">
        <f t="shared" si="40"/>
        <v>2023-2</v>
      </c>
      <c r="J297" s="12">
        <v>5500000000</v>
      </c>
      <c r="K297" s="12">
        <v>9518852142</v>
      </c>
      <c r="L297" s="15">
        <f t="shared" si="42"/>
        <v>1.3</v>
      </c>
      <c r="M297" s="15">
        <f t="shared" si="43"/>
        <v>1.7307003894545454</v>
      </c>
      <c r="N297" s="5" t="s">
        <v>474</v>
      </c>
      <c r="O297" s="5" t="s">
        <v>474</v>
      </c>
      <c r="P297" s="5">
        <v>0</v>
      </c>
      <c r="Q297" s="5">
        <v>0</v>
      </c>
      <c r="R297" s="5" t="str">
        <f>A297&amp;"-"&amp;YEAR(F297)&amp;"-"&amp;IF(LEN(MONTH(F297))=1,"0"&amp;MONTH(F297),MONTH(F297))&amp;"-"&amp;IF(LEN(DAY(F297))=1,"0"&amp;DAY(F297),DAY(F297))</f>
        <v>371-2023-12-31</v>
      </c>
    </row>
    <row r="298" spans="1:18" x14ac:dyDescent="0.3">
      <c r="A298" s="5">
        <v>372</v>
      </c>
      <c r="B298" s="5" t="s">
        <v>260</v>
      </c>
      <c r="C298" s="5" t="s">
        <v>256</v>
      </c>
      <c r="D298" s="5" t="s">
        <v>11</v>
      </c>
      <c r="E298" s="5" t="s">
        <v>9</v>
      </c>
      <c r="F298" s="6">
        <v>45291</v>
      </c>
      <c r="G298" s="5">
        <f t="shared" si="41"/>
        <v>2023</v>
      </c>
      <c r="H298" s="5" t="str">
        <f t="shared" si="39"/>
        <v>Diciembre</v>
      </c>
      <c r="I298" s="6" t="str">
        <f t="shared" si="40"/>
        <v>2023-2</v>
      </c>
      <c r="J298" s="5">
        <v>87</v>
      </c>
      <c r="K298" s="5">
        <v>95.5</v>
      </c>
      <c r="L298" s="15">
        <f t="shared" si="42"/>
        <v>1.0977011494252873</v>
      </c>
      <c r="M298" s="15">
        <f t="shared" si="43"/>
        <v>1.0977011494252873</v>
      </c>
      <c r="N298" s="5" t="s">
        <v>347</v>
      </c>
      <c r="O298" s="5" t="s">
        <v>347</v>
      </c>
      <c r="P298" s="5">
        <v>0</v>
      </c>
      <c r="Q298" s="5">
        <v>0</v>
      </c>
      <c r="R298" s="5" t="str">
        <f>A298&amp;"-"&amp;YEAR(F298)&amp;"-"&amp;IF(LEN(MONTH(F298))=1,"0"&amp;MONTH(F298),MONTH(F298))&amp;"-"&amp;IF(LEN(DAY(F298))=1,"0"&amp;DAY(F298),DAY(F298))</f>
        <v>372-2023-12-31</v>
      </c>
    </row>
    <row r="299" spans="1:18" x14ac:dyDescent="0.3">
      <c r="A299" s="5">
        <v>373</v>
      </c>
      <c r="B299" s="5" t="s">
        <v>261</v>
      </c>
      <c r="C299" s="5" t="s">
        <v>131</v>
      </c>
      <c r="D299" s="5" t="s">
        <v>11</v>
      </c>
      <c r="E299" s="5" t="s">
        <v>9</v>
      </c>
      <c r="F299" s="6">
        <v>45291</v>
      </c>
      <c r="G299" s="5">
        <f t="shared" si="41"/>
        <v>2023</v>
      </c>
      <c r="H299" s="5" t="str">
        <f t="shared" si="39"/>
        <v>Diciembre</v>
      </c>
      <c r="I299" s="6" t="str">
        <f t="shared" si="40"/>
        <v>2023-2</v>
      </c>
      <c r="J299" s="5">
        <v>100</v>
      </c>
      <c r="K299" s="5">
        <v>97.17</v>
      </c>
      <c r="L299" s="15">
        <f>IFERROR(IF((K299/J299)&gt;1,1,K299/J299),"")</f>
        <v>0.97170000000000001</v>
      </c>
      <c r="M299" s="15">
        <f>IFERROR(IF((K299/J299)&gt;1,1,K299/J299),"")</f>
        <v>0.97170000000000001</v>
      </c>
      <c r="N299" s="5" t="s">
        <v>347</v>
      </c>
      <c r="O299" s="5" t="s">
        <v>347</v>
      </c>
      <c r="P299" s="5">
        <v>0</v>
      </c>
      <c r="Q299" s="5">
        <v>0</v>
      </c>
      <c r="R299" s="5" t="str">
        <f>A299&amp;"-"&amp;YEAR(F299)&amp;"-"&amp;IF(LEN(MONTH(F299))=1,"0"&amp;MONTH(F299),MONTH(F299))&amp;"-"&amp;IF(LEN(DAY(F299))=1,"0"&amp;DAY(F299),DAY(F299))</f>
        <v>373-2023-12-31</v>
      </c>
    </row>
    <row r="300" spans="1:18" x14ac:dyDescent="0.3">
      <c r="A300" s="5">
        <v>374</v>
      </c>
      <c r="B300" s="5" t="s">
        <v>262</v>
      </c>
      <c r="C300" s="5" t="s">
        <v>762</v>
      </c>
      <c r="D300" s="5" t="s">
        <v>8</v>
      </c>
      <c r="E300" s="5" t="s">
        <v>9</v>
      </c>
      <c r="F300" s="6">
        <v>45291</v>
      </c>
      <c r="G300" s="5">
        <f t="shared" si="41"/>
        <v>2023</v>
      </c>
      <c r="H300" s="5" t="str">
        <f t="shared" si="39"/>
        <v>Diciembre</v>
      </c>
      <c r="I300" s="6" t="str">
        <f t="shared" si="40"/>
        <v>2023-2</v>
      </c>
      <c r="J300" s="5">
        <v>100</v>
      </c>
      <c r="K300" s="5">
        <v>100</v>
      </c>
      <c r="L300" s="15">
        <f>IFERROR(IF((K300/J300)&gt;1.3,1.3,K300/J300),"")</f>
        <v>1</v>
      </c>
      <c r="M300" s="15">
        <f>IFERROR(K300/J300,"")</f>
        <v>1</v>
      </c>
      <c r="N300" s="5" t="s">
        <v>490</v>
      </c>
      <c r="O300" s="5" t="s">
        <v>490</v>
      </c>
      <c r="P300" s="5">
        <v>0</v>
      </c>
      <c r="Q300" s="5">
        <v>0</v>
      </c>
      <c r="R300" s="5" t="str">
        <f>A300&amp;"-"&amp;YEAR(F300)&amp;"-"&amp;IF(LEN(MONTH(F300))=1,"0"&amp;MONTH(F300),MONTH(F300))&amp;"-"&amp;IF(LEN(DAY(F300))=1,"0"&amp;DAY(F300),DAY(F300))</f>
        <v>374-2023-12-31</v>
      </c>
    </row>
    <row r="301" spans="1:18" x14ac:dyDescent="0.3">
      <c r="A301" s="5">
        <v>375</v>
      </c>
      <c r="B301" s="5" t="s">
        <v>462</v>
      </c>
      <c r="C301" s="5" t="s">
        <v>762</v>
      </c>
      <c r="D301" s="5" t="s">
        <v>8</v>
      </c>
      <c r="E301" s="5" t="s">
        <v>9</v>
      </c>
      <c r="F301" s="6">
        <v>45291</v>
      </c>
      <c r="G301" s="5">
        <f t="shared" si="41"/>
        <v>2023</v>
      </c>
      <c r="H301" s="5" t="str">
        <f t="shared" si="39"/>
        <v>Diciembre</v>
      </c>
      <c r="I301" s="6" t="str">
        <f t="shared" si="40"/>
        <v>2023-2</v>
      </c>
      <c r="J301" s="5">
        <v>100</v>
      </c>
      <c r="K301" s="5">
        <v>100</v>
      </c>
      <c r="L301" s="15">
        <f>IFERROR(IF((K301/J301)&gt;1.3,1.3,K301/J301),"")</f>
        <v>1</v>
      </c>
      <c r="M301" s="15">
        <f>IFERROR(K301/J301,"")</f>
        <v>1</v>
      </c>
      <c r="N301" s="5" t="s">
        <v>347</v>
      </c>
      <c r="O301" s="5" t="s">
        <v>347</v>
      </c>
      <c r="P301" s="5">
        <v>0</v>
      </c>
      <c r="Q301" s="5">
        <v>0</v>
      </c>
      <c r="R301" s="5" t="str">
        <f>A301&amp;"-"&amp;YEAR(F301)&amp;"-"&amp;IF(LEN(MONTH(F301))=1,"0"&amp;MONTH(F301),MONTH(F301))&amp;"-"&amp;IF(LEN(DAY(F301))=1,"0"&amp;DAY(F301),DAY(F301))</f>
        <v>375-2023-12-31</v>
      </c>
    </row>
    <row r="302" spans="1:18" x14ac:dyDescent="0.3">
      <c r="A302" s="5">
        <v>376</v>
      </c>
      <c r="B302" s="5" t="s">
        <v>732</v>
      </c>
      <c r="C302" s="5" t="s">
        <v>84</v>
      </c>
      <c r="D302" s="5" t="s">
        <v>8</v>
      </c>
      <c r="E302" s="5" t="s">
        <v>9</v>
      </c>
      <c r="F302" s="6">
        <v>45291</v>
      </c>
      <c r="G302" s="5">
        <f t="shared" si="41"/>
        <v>2023</v>
      </c>
      <c r="H302" s="5" t="str">
        <f t="shared" si="39"/>
        <v>Diciembre</v>
      </c>
      <c r="I302" s="6" t="str">
        <f t="shared" si="40"/>
        <v>2023-2</v>
      </c>
      <c r="J302" s="11">
        <v>26073.472702718544</v>
      </c>
      <c r="K302" s="11">
        <v>26403.087925999949</v>
      </c>
      <c r="L302" s="15">
        <f>IFERROR(IF((K302/J302)&gt;1.3,1.3,K302/J302),"")</f>
        <v>1.0126417845079394</v>
      </c>
      <c r="M302" s="15">
        <f>IFERROR(K302/J302,"")</f>
        <v>1.0126417845079394</v>
      </c>
      <c r="N302" s="5" t="s">
        <v>474</v>
      </c>
      <c r="O302" s="5" t="s">
        <v>474</v>
      </c>
      <c r="P302" s="5">
        <v>0</v>
      </c>
      <c r="Q302" s="5">
        <v>0</v>
      </c>
      <c r="R302" s="5" t="str">
        <f>A302&amp;"-"&amp;YEAR(F302)&amp;"-"&amp;IF(LEN(MONTH(F302))=1,"0"&amp;MONTH(F302),MONTH(F302))&amp;"-"&amp;IF(LEN(DAY(F302))=1,"0"&amp;DAY(F302),DAY(F302))</f>
        <v>376-2023-12-31</v>
      </c>
    </row>
    <row r="303" spans="1:18" x14ac:dyDescent="0.3">
      <c r="A303" s="5">
        <v>377</v>
      </c>
      <c r="B303" s="5" t="s">
        <v>264</v>
      </c>
      <c r="C303" s="5" t="s">
        <v>84</v>
      </c>
      <c r="D303" s="5" t="s">
        <v>8</v>
      </c>
      <c r="E303" s="5" t="s">
        <v>14</v>
      </c>
      <c r="F303" s="6">
        <v>45291</v>
      </c>
      <c r="G303" s="5">
        <f t="shared" si="41"/>
        <v>2023</v>
      </c>
      <c r="H303" s="5" t="str">
        <f t="shared" si="39"/>
        <v>Diciembre</v>
      </c>
      <c r="I303" s="6" t="str">
        <f t="shared" si="40"/>
        <v>2023-2</v>
      </c>
      <c r="J303" s="66">
        <v>12518.005306706254</v>
      </c>
      <c r="K303" s="67">
        <v>7607.138418999999</v>
      </c>
      <c r="L303" s="15">
        <f>IFERROR(IF((J303/K303)&gt;1.3,1.3,J303/K303),"")</f>
        <v>1.3</v>
      </c>
      <c r="M303" s="15">
        <f>IFERROR(J303/K303,"")</f>
        <v>1.6455603430904595</v>
      </c>
      <c r="N303" s="5" t="s">
        <v>474</v>
      </c>
      <c r="O303" s="5" t="s">
        <v>474</v>
      </c>
      <c r="P303" s="5">
        <v>0</v>
      </c>
      <c r="Q303" s="5">
        <v>0</v>
      </c>
      <c r="R303" s="5" t="str">
        <f>A303&amp;"-"&amp;YEAR(F303)&amp;"-"&amp;IF(LEN(MONTH(F303))=1,"0"&amp;MONTH(F303),MONTH(F303))&amp;"-"&amp;IF(LEN(DAY(F303))=1,"0"&amp;DAY(F303),DAY(F303))</f>
        <v>377-2023-12-31</v>
      </c>
    </row>
    <row r="304" spans="1:18" x14ac:dyDescent="0.3">
      <c r="A304" s="5">
        <v>378</v>
      </c>
      <c r="B304" s="5" t="s">
        <v>265</v>
      </c>
      <c r="C304" s="5" t="s">
        <v>17</v>
      </c>
      <c r="D304" s="5" t="s">
        <v>18</v>
      </c>
      <c r="E304" s="5" t="s">
        <v>9</v>
      </c>
      <c r="F304" s="6">
        <v>45291</v>
      </c>
      <c r="G304" s="5">
        <f t="shared" si="41"/>
        <v>2023</v>
      </c>
      <c r="H304" s="5" t="str">
        <f t="shared" si="39"/>
        <v>Diciembre</v>
      </c>
      <c r="I304" s="6" t="str">
        <f t="shared" si="40"/>
        <v>2023-2</v>
      </c>
      <c r="J304" s="5">
        <v>92</v>
      </c>
      <c r="K304" s="5">
        <v>95.58</v>
      </c>
      <c r="L304" s="15">
        <f t="shared" ref="L304:L318" si="44">IFERROR(IF((K304/J304)&gt;1.3,1.3,K304/J304),"")</f>
        <v>1.0389130434782607</v>
      </c>
      <c r="M304" s="15">
        <f t="shared" ref="M304:M318" si="45">IFERROR(K304/J304,"")</f>
        <v>1.0389130434782607</v>
      </c>
      <c r="N304" s="5" t="s">
        <v>347</v>
      </c>
      <c r="O304" s="5" t="s">
        <v>347</v>
      </c>
      <c r="P304" s="5">
        <v>0</v>
      </c>
      <c r="Q304" s="5">
        <v>0</v>
      </c>
      <c r="R304" s="5" t="str">
        <f>A304&amp;"-"&amp;YEAR(F304)&amp;"-"&amp;IF(LEN(MONTH(F304))=1,"0"&amp;MONTH(F304),MONTH(F304))&amp;"-"&amp;IF(LEN(DAY(F304))=1,"0"&amp;DAY(F304),DAY(F304))</f>
        <v>378-2023-12-31</v>
      </c>
    </row>
    <row r="305" spans="1:18" x14ac:dyDescent="0.3">
      <c r="A305" s="5">
        <v>379</v>
      </c>
      <c r="B305" s="5" t="s">
        <v>266</v>
      </c>
      <c r="C305" s="5" t="s">
        <v>267</v>
      </c>
      <c r="D305" s="5" t="s">
        <v>8</v>
      </c>
      <c r="E305" s="5" t="s">
        <v>9</v>
      </c>
      <c r="F305" s="6">
        <v>45291</v>
      </c>
      <c r="G305" s="5">
        <f t="shared" si="41"/>
        <v>2023</v>
      </c>
      <c r="H305" s="5" t="str">
        <f t="shared" si="39"/>
        <v>Diciembre</v>
      </c>
      <c r="I305" s="6" t="str">
        <f t="shared" si="40"/>
        <v>2023-2</v>
      </c>
      <c r="J305" s="9">
        <v>22006</v>
      </c>
      <c r="K305" s="9">
        <v>22987</v>
      </c>
      <c r="L305" s="22">
        <f t="shared" si="44"/>
        <v>1.0445787512496592</v>
      </c>
      <c r="M305" s="15">
        <f t="shared" si="45"/>
        <v>1.0445787512496592</v>
      </c>
      <c r="N305" s="5" t="s">
        <v>490</v>
      </c>
      <c r="O305" s="5" t="s">
        <v>490</v>
      </c>
      <c r="P305" s="5">
        <v>0</v>
      </c>
      <c r="Q305" s="5">
        <v>0</v>
      </c>
      <c r="R305" s="5" t="str">
        <f>A305&amp;"-"&amp;YEAR(F305)&amp;"-"&amp;IF(LEN(MONTH(F305))=1,"0"&amp;MONTH(F305),MONTH(F305))&amp;"-"&amp;IF(LEN(DAY(F305))=1,"0"&amp;DAY(F305),DAY(F305))</f>
        <v>379-2023-12-31</v>
      </c>
    </row>
    <row r="306" spans="1:18" x14ac:dyDescent="0.3">
      <c r="A306" s="5">
        <v>380</v>
      </c>
      <c r="B306" s="5" t="s">
        <v>268</v>
      </c>
      <c r="C306" s="5" t="s">
        <v>267</v>
      </c>
      <c r="D306" s="5" t="s">
        <v>8</v>
      </c>
      <c r="E306" s="5" t="s">
        <v>9</v>
      </c>
      <c r="F306" s="6">
        <v>45291</v>
      </c>
      <c r="G306" s="5">
        <f t="shared" si="41"/>
        <v>2023</v>
      </c>
      <c r="H306" s="5" t="str">
        <f t="shared" si="39"/>
        <v>Diciembre</v>
      </c>
      <c r="I306" s="6" t="str">
        <f t="shared" si="40"/>
        <v>2023-2</v>
      </c>
      <c r="J306" s="9">
        <v>49384.117102999997</v>
      </c>
      <c r="K306" s="9">
        <v>51094.632052000001</v>
      </c>
      <c r="L306" s="15">
        <f t="shared" si="44"/>
        <v>1.0346369450208535</v>
      </c>
      <c r="M306" s="15">
        <f t="shared" si="45"/>
        <v>1.0346369450208535</v>
      </c>
      <c r="N306" s="5" t="s">
        <v>474</v>
      </c>
      <c r="O306" s="5" t="s">
        <v>474</v>
      </c>
      <c r="P306" s="5">
        <v>0</v>
      </c>
      <c r="Q306" s="5">
        <v>0</v>
      </c>
      <c r="R306" s="5" t="str">
        <f>A306&amp;"-"&amp;YEAR(F306)&amp;"-"&amp;IF(LEN(MONTH(F306))=1,"0"&amp;MONTH(F306),MONTH(F306))&amp;"-"&amp;IF(LEN(DAY(F306))=1,"0"&amp;DAY(F306),DAY(F306))</f>
        <v>380-2023-12-31</v>
      </c>
    </row>
    <row r="307" spans="1:18" x14ac:dyDescent="0.3">
      <c r="A307" s="5">
        <v>381</v>
      </c>
      <c r="B307" s="5" t="s">
        <v>269</v>
      </c>
      <c r="C307" s="5" t="s">
        <v>267</v>
      </c>
      <c r="D307" s="5" t="s">
        <v>8</v>
      </c>
      <c r="E307" s="5" t="s">
        <v>9</v>
      </c>
      <c r="F307" s="6">
        <v>45291</v>
      </c>
      <c r="G307" s="5">
        <f t="shared" si="41"/>
        <v>2023</v>
      </c>
      <c r="H307" s="5" t="str">
        <f t="shared" si="39"/>
        <v>Diciembre</v>
      </c>
      <c r="I307" s="6" t="str">
        <f t="shared" si="40"/>
        <v>2023-2</v>
      </c>
      <c r="J307" s="5">
        <v>2596</v>
      </c>
      <c r="K307" s="5">
        <v>2839</v>
      </c>
      <c r="L307" s="15">
        <f t="shared" si="44"/>
        <v>1.0936055469953776</v>
      </c>
      <c r="M307" s="15">
        <f t="shared" si="45"/>
        <v>1.0936055469953776</v>
      </c>
      <c r="N307" s="5" t="s">
        <v>490</v>
      </c>
      <c r="O307" s="5" t="s">
        <v>490</v>
      </c>
      <c r="P307" s="5">
        <v>0</v>
      </c>
      <c r="Q307" s="5">
        <v>0</v>
      </c>
      <c r="R307" s="5" t="str">
        <f>A307&amp;"-"&amp;YEAR(F307)&amp;"-"&amp;IF(LEN(MONTH(F307))=1,"0"&amp;MONTH(F307),MONTH(F307))&amp;"-"&amp;IF(LEN(DAY(F307))=1,"0"&amp;DAY(F307),DAY(F307))</f>
        <v>381-2023-12-31</v>
      </c>
    </row>
    <row r="308" spans="1:18" x14ac:dyDescent="0.3">
      <c r="A308" s="5">
        <v>382</v>
      </c>
      <c r="B308" s="5" t="s">
        <v>270</v>
      </c>
      <c r="C308" s="5" t="s">
        <v>267</v>
      </c>
      <c r="D308" s="5" t="s">
        <v>8</v>
      </c>
      <c r="E308" s="5" t="s">
        <v>9</v>
      </c>
      <c r="F308" s="6">
        <v>45291</v>
      </c>
      <c r="G308" s="5">
        <f t="shared" si="41"/>
        <v>2023</v>
      </c>
      <c r="H308" s="5" t="str">
        <f t="shared" si="39"/>
        <v>Diciembre</v>
      </c>
      <c r="I308" s="6" t="str">
        <f t="shared" si="40"/>
        <v>2023-2</v>
      </c>
      <c r="J308" s="5">
        <v>16733</v>
      </c>
      <c r="K308" s="5">
        <v>16909</v>
      </c>
      <c r="L308" s="15">
        <f t="shared" si="44"/>
        <v>1.0105181378115102</v>
      </c>
      <c r="M308" s="15">
        <f t="shared" si="45"/>
        <v>1.0105181378115102</v>
      </c>
      <c r="N308" s="5" t="s">
        <v>490</v>
      </c>
      <c r="O308" s="5" t="s">
        <v>490</v>
      </c>
      <c r="P308" s="5">
        <v>0</v>
      </c>
      <c r="Q308" s="5">
        <v>0</v>
      </c>
      <c r="R308" s="5" t="str">
        <f>A308&amp;"-"&amp;YEAR(F308)&amp;"-"&amp;IF(LEN(MONTH(F308))=1,"0"&amp;MONTH(F308),MONTH(F308))&amp;"-"&amp;IF(LEN(DAY(F308))=1,"0"&amp;DAY(F308),DAY(F308))</f>
        <v>382-2023-12-31</v>
      </c>
    </row>
    <row r="309" spans="1:18" x14ac:dyDescent="0.3">
      <c r="A309" s="5">
        <v>383</v>
      </c>
      <c r="B309" s="5" t="s">
        <v>271</v>
      </c>
      <c r="C309" s="5" t="s">
        <v>267</v>
      </c>
      <c r="D309" s="5" t="s">
        <v>8</v>
      </c>
      <c r="E309" s="5" t="s">
        <v>9</v>
      </c>
      <c r="F309" s="6">
        <v>45291</v>
      </c>
      <c r="G309" s="5">
        <f t="shared" si="41"/>
        <v>2023</v>
      </c>
      <c r="H309" s="5" t="str">
        <f t="shared" si="39"/>
        <v>Diciembre</v>
      </c>
      <c r="I309" s="6" t="str">
        <f t="shared" si="40"/>
        <v>2023-2</v>
      </c>
      <c r="J309" s="5">
        <v>2175</v>
      </c>
      <c r="K309" s="5">
        <v>2681</v>
      </c>
      <c r="L309" s="15">
        <f t="shared" si="44"/>
        <v>1.2326436781609196</v>
      </c>
      <c r="M309" s="15">
        <f t="shared" si="45"/>
        <v>1.2326436781609196</v>
      </c>
      <c r="N309" s="5" t="s">
        <v>490</v>
      </c>
      <c r="O309" s="5" t="s">
        <v>490</v>
      </c>
      <c r="P309" s="5">
        <v>0</v>
      </c>
      <c r="Q309" s="5">
        <v>0</v>
      </c>
      <c r="R309" s="5" t="str">
        <f>A309&amp;"-"&amp;YEAR(F309)&amp;"-"&amp;IF(LEN(MONTH(F309))=1,"0"&amp;MONTH(F309),MONTH(F309))&amp;"-"&amp;IF(LEN(DAY(F309))=1,"0"&amp;DAY(F309),DAY(F309))</f>
        <v>383-2023-12-31</v>
      </c>
    </row>
    <row r="310" spans="1:18" x14ac:dyDescent="0.3">
      <c r="A310" s="5">
        <v>384</v>
      </c>
      <c r="B310" s="5" t="s">
        <v>272</v>
      </c>
      <c r="C310" s="5" t="s">
        <v>267</v>
      </c>
      <c r="D310" s="5" t="s">
        <v>8</v>
      </c>
      <c r="E310" s="5" t="s">
        <v>9</v>
      </c>
      <c r="F310" s="6">
        <v>45291</v>
      </c>
      <c r="G310" s="5">
        <f t="shared" si="41"/>
        <v>2023</v>
      </c>
      <c r="H310" s="5" t="str">
        <f t="shared" si="39"/>
        <v>Diciembre</v>
      </c>
      <c r="I310" s="6" t="str">
        <f t="shared" si="40"/>
        <v>2023-2</v>
      </c>
      <c r="J310" s="5">
        <v>501</v>
      </c>
      <c r="K310" s="5">
        <v>556</v>
      </c>
      <c r="L310" s="15">
        <f t="shared" si="44"/>
        <v>1.1097804391217565</v>
      </c>
      <c r="M310" s="15">
        <f t="shared" si="45"/>
        <v>1.1097804391217565</v>
      </c>
      <c r="N310" s="5" t="s">
        <v>490</v>
      </c>
      <c r="O310" s="5" t="s">
        <v>490</v>
      </c>
      <c r="P310" s="5">
        <v>0</v>
      </c>
      <c r="Q310" s="5">
        <v>0</v>
      </c>
      <c r="R310" s="5" t="str">
        <f>A310&amp;"-"&amp;YEAR(F310)&amp;"-"&amp;IF(LEN(MONTH(F310))=1,"0"&amp;MONTH(F310),MONTH(F310))&amp;"-"&amp;IF(LEN(DAY(F310))=1,"0"&amp;DAY(F310),DAY(F310))</f>
        <v>384-2023-12-31</v>
      </c>
    </row>
    <row r="311" spans="1:18" x14ac:dyDescent="0.3">
      <c r="A311" s="5">
        <v>385</v>
      </c>
      <c r="B311" s="5" t="s">
        <v>273</v>
      </c>
      <c r="C311" s="5" t="s">
        <v>274</v>
      </c>
      <c r="D311" s="5" t="s">
        <v>8</v>
      </c>
      <c r="E311" s="5" t="s">
        <v>9</v>
      </c>
      <c r="F311" s="6">
        <v>45291</v>
      </c>
      <c r="G311" s="5">
        <f t="shared" si="41"/>
        <v>2023</v>
      </c>
      <c r="H311" s="5" t="str">
        <f t="shared" si="39"/>
        <v>Diciembre</v>
      </c>
      <c r="I311" s="6" t="str">
        <f t="shared" si="40"/>
        <v>2023-2</v>
      </c>
      <c r="J311" s="11">
        <v>14097.721</v>
      </c>
      <c r="K311" s="5">
        <f>17697080527/1000000</f>
        <v>17697.080526999998</v>
      </c>
      <c r="L311" s="15">
        <f t="shared" si="44"/>
        <v>1.2553149921891629</v>
      </c>
      <c r="M311" s="15">
        <f t="shared" si="45"/>
        <v>1.2553149921891629</v>
      </c>
      <c r="N311" s="5" t="s">
        <v>474</v>
      </c>
      <c r="O311" s="5" t="s">
        <v>474</v>
      </c>
      <c r="P311" s="5">
        <v>0</v>
      </c>
      <c r="Q311" s="5">
        <v>0</v>
      </c>
      <c r="R311" s="5" t="str">
        <f>A311&amp;"-"&amp;YEAR(F311)&amp;"-"&amp;IF(LEN(MONTH(F311))=1,"0"&amp;MONTH(F311),MONTH(F311))&amp;"-"&amp;IF(LEN(DAY(F311))=1,"0"&amp;DAY(F311),DAY(F311))</f>
        <v>385-2023-12-31</v>
      </c>
    </row>
    <row r="312" spans="1:18" x14ac:dyDescent="0.3">
      <c r="A312" s="5">
        <v>386</v>
      </c>
      <c r="B312" s="5" t="s">
        <v>275</v>
      </c>
      <c r="C312" s="5" t="s">
        <v>274</v>
      </c>
      <c r="D312" s="5" t="s">
        <v>8</v>
      </c>
      <c r="E312" s="5" t="s">
        <v>9</v>
      </c>
      <c r="F312" s="6">
        <v>45291</v>
      </c>
      <c r="G312" s="5">
        <f t="shared" si="41"/>
        <v>2023</v>
      </c>
      <c r="H312" s="5" t="str">
        <f t="shared" si="39"/>
        <v>Diciembre</v>
      </c>
      <c r="I312" s="6" t="str">
        <f t="shared" si="40"/>
        <v>2023-2</v>
      </c>
      <c r="J312" s="34">
        <v>14097.721</v>
      </c>
      <c r="K312" s="86">
        <v>17612.977930000001</v>
      </c>
      <c r="L312" s="15">
        <f t="shared" si="44"/>
        <v>1.2493493047564215</v>
      </c>
      <c r="M312" s="15">
        <f t="shared" si="45"/>
        <v>1.2493493047564215</v>
      </c>
      <c r="N312" s="5" t="s">
        <v>347</v>
      </c>
      <c r="O312" s="5" t="s">
        <v>347</v>
      </c>
      <c r="P312" s="5">
        <v>0</v>
      </c>
      <c r="Q312" s="5">
        <v>0</v>
      </c>
      <c r="R312" s="5" t="str">
        <f>A312&amp;"-"&amp;YEAR(F312)&amp;"-"&amp;IF(LEN(MONTH(F312))=1,"0"&amp;MONTH(F312),MONTH(F312))&amp;"-"&amp;IF(LEN(DAY(F312))=1,"0"&amp;DAY(F312),DAY(F312))</f>
        <v>386-2023-12-31</v>
      </c>
    </row>
    <row r="313" spans="1:18" x14ac:dyDescent="0.3">
      <c r="A313" s="5">
        <v>387</v>
      </c>
      <c r="B313" s="5" t="s">
        <v>276</v>
      </c>
      <c r="C313" s="5" t="s">
        <v>129</v>
      </c>
      <c r="D313" s="5" t="s">
        <v>8</v>
      </c>
      <c r="E313" s="5" t="s">
        <v>9</v>
      </c>
      <c r="F313" s="6">
        <v>45291</v>
      </c>
      <c r="G313" s="5">
        <f t="shared" si="41"/>
        <v>2023</v>
      </c>
      <c r="H313" s="5" t="str">
        <f t="shared" si="39"/>
        <v>Diciembre</v>
      </c>
      <c r="I313" s="6" t="str">
        <f t="shared" si="40"/>
        <v>2023-2</v>
      </c>
      <c r="J313" s="5">
        <v>38</v>
      </c>
      <c r="K313" s="5">
        <v>38</v>
      </c>
      <c r="L313" s="15">
        <f t="shared" si="44"/>
        <v>1</v>
      </c>
      <c r="M313" s="15">
        <f t="shared" si="45"/>
        <v>1</v>
      </c>
      <c r="N313" s="5" t="s">
        <v>490</v>
      </c>
      <c r="O313" s="5" t="s">
        <v>490</v>
      </c>
      <c r="P313" s="5">
        <v>0</v>
      </c>
      <c r="Q313" s="5">
        <v>0</v>
      </c>
      <c r="R313" s="5" t="str">
        <f>A313&amp;"-"&amp;YEAR(F313)&amp;"-"&amp;IF(LEN(MONTH(F313))=1,"0"&amp;MONTH(F313),MONTH(F313))&amp;"-"&amp;IF(LEN(DAY(F313))=1,"0"&amp;DAY(F313),DAY(F313))</f>
        <v>387-2023-12-31</v>
      </c>
    </row>
    <row r="314" spans="1:18" x14ac:dyDescent="0.3">
      <c r="A314" s="5">
        <v>388</v>
      </c>
      <c r="B314" s="5" t="s">
        <v>277</v>
      </c>
      <c r="C314" s="5" t="s">
        <v>129</v>
      </c>
      <c r="D314" s="5" t="s">
        <v>8</v>
      </c>
      <c r="E314" s="5" t="s">
        <v>9</v>
      </c>
      <c r="F314" s="6">
        <v>45291</v>
      </c>
      <c r="G314" s="5">
        <f t="shared" si="41"/>
        <v>2023</v>
      </c>
      <c r="H314" s="5" t="str">
        <f t="shared" si="39"/>
        <v>Diciembre</v>
      </c>
      <c r="I314" s="6" t="str">
        <f t="shared" si="40"/>
        <v>2023-2</v>
      </c>
      <c r="J314" s="5">
        <v>93</v>
      </c>
      <c r="K314" s="5">
        <v>93</v>
      </c>
      <c r="L314" s="15">
        <f t="shared" si="44"/>
        <v>1</v>
      </c>
      <c r="M314" s="15">
        <f t="shared" si="45"/>
        <v>1</v>
      </c>
      <c r="N314" s="5" t="s">
        <v>490</v>
      </c>
      <c r="O314" s="5" t="s">
        <v>490</v>
      </c>
      <c r="P314" s="5">
        <v>0</v>
      </c>
      <c r="Q314" s="5">
        <v>0</v>
      </c>
      <c r="R314" s="5" t="str">
        <f>A314&amp;"-"&amp;YEAR(F314)&amp;"-"&amp;IF(LEN(MONTH(F314))=1,"0"&amp;MONTH(F314),MONTH(F314))&amp;"-"&amp;IF(LEN(DAY(F314))=1,"0"&amp;DAY(F314),DAY(F314))</f>
        <v>388-2023-12-31</v>
      </c>
    </row>
    <row r="315" spans="1:18" x14ac:dyDescent="0.3">
      <c r="A315" s="5">
        <v>389</v>
      </c>
      <c r="B315" s="5" t="s">
        <v>278</v>
      </c>
      <c r="C315" s="5" t="s">
        <v>124</v>
      </c>
      <c r="D315" s="5" t="s">
        <v>8</v>
      </c>
      <c r="E315" s="5" t="s">
        <v>9</v>
      </c>
      <c r="F315" s="6">
        <v>45291</v>
      </c>
      <c r="G315" s="5">
        <f t="shared" si="41"/>
        <v>2023</v>
      </c>
      <c r="H315" s="5" t="str">
        <f t="shared" si="39"/>
        <v>Diciembre</v>
      </c>
      <c r="I315" s="6" t="str">
        <f t="shared" si="40"/>
        <v>2023-2</v>
      </c>
      <c r="J315" s="5">
        <v>91</v>
      </c>
      <c r="K315" s="5">
        <v>85.42</v>
      </c>
      <c r="L315" s="15">
        <f t="shared" si="44"/>
        <v>0.93868131868131865</v>
      </c>
      <c r="M315" s="15">
        <f t="shared" si="45"/>
        <v>0.93868131868131865</v>
      </c>
      <c r="N315" s="5" t="s">
        <v>347</v>
      </c>
      <c r="O315" s="5" t="s">
        <v>347</v>
      </c>
      <c r="P315" s="5">
        <v>0</v>
      </c>
      <c r="Q315" s="5">
        <v>0</v>
      </c>
      <c r="R315" s="5" t="str">
        <f>A315&amp;"-"&amp;YEAR(F315)&amp;"-"&amp;IF(LEN(MONTH(F315))=1,"0"&amp;MONTH(F315),MONTH(F315))&amp;"-"&amp;IF(LEN(DAY(F315))=1,"0"&amp;DAY(F315),DAY(F315))</f>
        <v>389-2023-12-31</v>
      </c>
    </row>
    <row r="316" spans="1:18" x14ac:dyDescent="0.3">
      <c r="A316" s="5">
        <v>390</v>
      </c>
      <c r="B316" s="5" t="s">
        <v>279</v>
      </c>
      <c r="C316" s="5" t="s">
        <v>504</v>
      </c>
      <c r="D316" s="5" t="s">
        <v>11</v>
      </c>
      <c r="E316" s="5" t="s">
        <v>9</v>
      </c>
      <c r="F316" s="6">
        <v>45291</v>
      </c>
      <c r="G316" s="5">
        <f t="shared" si="41"/>
        <v>2023</v>
      </c>
      <c r="H316" s="5" t="str">
        <f t="shared" si="39"/>
        <v>Diciembre</v>
      </c>
      <c r="I316" s="6" t="str">
        <f t="shared" si="40"/>
        <v>2023-2</v>
      </c>
      <c r="J316" s="5">
        <v>100</v>
      </c>
      <c r="K316" s="5">
        <v>99.25</v>
      </c>
      <c r="L316" s="15">
        <f t="shared" si="44"/>
        <v>0.99250000000000005</v>
      </c>
      <c r="M316" s="15">
        <f t="shared" si="45"/>
        <v>0.99250000000000005</v>
      </c>
      <c r="N316" s="5" t="s">
        <v>347</v>
      </c>
      <c r="O316" s="5" t="s">
        <v>347</v>
      </c>
      <c r="P316" s="5">
        <v>0</v>
      </c>
      <c r="Q316" s="5">
        <v>0</v>
      </c>
      <c r="R316" s="5" t="str">
        <f>A316&amp;"-"&amp;YEAR(F316)&amp;"-"&amp;IF(LEN(MONTH(F316))=1,"0"&amp;MONTH(F316),MONTH(F316))&amp;"-"&amp;IF(LEN(DAY(F316))=1,"0"&amp;DAY(F316),DAY(F316))</f>
        <v>390-2023-12-31</v>
      </c>
    </row>
    <row r="317" spans="1:18" x14ac:dyDescent="0.3">
      <c r="A317" s="5">
        <v>391</v>
      </c>
      <c r="B317" s="5" t="s">
        <v>280</v>
      </c>
      <c r="C317" s="5" t="s">
        <v>281</v>
      </c>
      <c r="D317" s="5" t="s">
        <v>8</v>
      </c>
      <c r="E317" s="5" t="s">
        <v>9</v>
      </c>
      <c r="F317" s="6">
        <v>45291</v>
      </c>
      <c r="G317" s="5">
        <f t="shared" si="41"/>
        <v>2023</v>
      </c>
      <c r="H317" s="5" t="str">
        <f t="shared" si="39"/>
        <v>Diciembre</v>
      </c>
      <c r="I317" s="6" t="str">
        <f t="shared" si="40"/>
        <v>2023-2</v>
      </c>
      <c r="J317" s="5">
        <v>93</v>
      </c>
      <c r="K317" s="5">
        <v>100</v>
      </c>
      <c r="L317" s="15">
        <f t="shared" si="44"/>
        <v>1.075268817204301</v>
      </c>
      <c r="M317" s="15">
        <f t="shared" si="45"/>
        <v>1.075268817204301</v>
      </c>
      <c r="N317" s="5" t="s">
        <v>347</v>
      </c>
      <c r="O317" s="5" t="s">
        <v>347</v>
      </c>
      <c r="P317" s="5">
        <v>0</v>
      </c>
      <c r="Q317" s="5">
        <v>0</v>
      </c>
      <c r="R317" s="5" t="str">
        <f>A317&amp;"-"&amp;YEAR(F317)&amp;"-"&amp;IF(LEN(MONTH(F317))=1,"0"&amp;MONTH(F317),MONTH(F317))&amp;"-"&amp;IF(LEN(DAY(F317))=1,"0"&amp;DAY(F317),DAY(F317))</f>
        <v>391-2023-12-31</v>
      </c>
    </row>
    <row r="318" spans="1:18" x14ac:dyDescent="0.3">
      <c r="A318" s="5">
        <v>392</v>
      </c>
      <c r="B318" s="5" t="s">
        <v>282</v>
      </c>
      <c r="C318" s="5" t="s">
        <v>281</v>
      </c>
      <c r="D318" s="5" t="s">
        <v>8</v>
      </c>
      <c r="E318" s="5" t="s">
        <v>9</v>
      </c>
      <c r="F318" s="6">
        <v>45291</v>
      </c>
      <c r="G318" s="5">
        <f t="shared" si="41"/>
        <v>2023</v>
      </c>
      <c r="H318" s="5" t="str">
        <f t="shared" si="39"/>
        <v>Diciembre</v>
      </c>
      <c r="I318" s="6" t="str">
        <f t="shared" si="40"/>
        <v>2023-2</v>
      </c>
      <c r="J318" s="9">
        <v>730000000</v>
      </c>
      <c r="K318" s="9">
        <v>1417148237</v>
      </c>
      <c r="L318" s="15">
        <f t="shared" si="44"/>
        <v>1.3</v>
      </c>
      <c r="M318" s="15">
        <f t="shared" si="45"/>
        <v>1.9412989547945205</v>
      </c>
      <c r="N318" s="5" t="s">
        <v>474</v>
      </c>
      <c r="O318" s="5" t="s">
        <v>474</v>
      </c>
      <c r="P318" s="5">
        <v>0</v>
      </c>
      <c r="Q318" s="5">
        <v>0</v>
      </c>
      <c r="R318" s="5" t="str">
        <f>A318&amp;"-"&amp;YEAR(F318)&amp;"-"&amp;IF(LEN(MONTH(F318))=1,"0"&amp;MONTH(F318),MONTH(F318))&amp;"-"&amp;IF(LEN(DAY(F318))=1,"0"&amp;DAY(F318),DAY(F318))</f>
        <v>392-2023-12-31</v>
      </c>
    </row>
    <row r="319" spans="1:18" x14ac:dyDescent="0.3">
      <c r="A319" s="5">
        <v>393</v>
      </c>
      <c r="B319" s="5" t="s">
        <v>283</v>
      </c>
      <c r="C319" s="5" t="s">
        <v>281</v>
      </c>
      <c r="D319" s="5" t="s">
        <v>25</v>
      </c>
      <c r="E319" s="5" t="s">
        <v>9</v>
      </c>
      <c r="F319" s="6">
        <v>45291</v>
      </c>
      <c r="G319" s="5">
        <f t="shared" si="41"/>
        <v>2023</v>
      </c>
      <c r="H319" s="5" t="str">
        <f t="shared" si="39"/>
        <v>Diciembre</v>
      </c>
      <c r="I319" s="6" t="str">
        <f t="shared" si="40"/>
        <v>2023-2</v>
      </c>
      <c r="J319" s="5">
        <v>15</v>
      </c>
      <c r="K319" s="5">
        <v>15.45</v>
      </c>
      <c r="L319" s="15">
        <f>IFERROR(IF((J319/K319)&gt;1.3,1.3,J319/K319),"")</f>
        <v>0.970873786407767</v>
      </c>
      <c r="M319" s="15">
        <f>IFERROR(J319/K319,"")</f>
        <v>0.970873786407767</v>
      </c>
      <c r="N319" s="5" t="s">
        <v>490</v>
      </c>
      <c r="O319" s="5" t="s">
        <v>478</v>
      </c>
      <c r="P319" s="5">
        <v>1</v>
      </c>
      <c r="Q319" s="5">
        <v>1</v>
      </c>
      <c r="R319" s="5" t="str">
        <f>A319&amp;"-"&amp;YEAR(F319)&amp;"-"&amp;IF(LEN(MONTH(F319))=1,"0"&amp;MONTH(F319),MONTH(F319))&amp;"-"&amp;IF(LEN(DAY(F319))=1,"0"&amp;DAY(F319),DAY(F319))</f>
        <v>393-2023-12-31</v>
      </c>
    </row>
    <row r="320" spans="1:18" x14ac:dyDescent="0.3">
      <c r="A320" s="5">
        <v>394</v>
      </c>
      <c r="B320" s="5" t="s">
        <v>284</v>
      </c>
      <c r="C320" s="5" t="s">
        <v>285</v>
      </c>
      <c r="D320" s="5" t="s">
        <v>8</v>
      </c>
      <c r="E320" s="5" t="s">
        <v>9</v>
      </c>
      <c r="F320" s="6">
        <v>45291</v>
      </c>
      <c r="G320" s="5">
        <f t="shared" si="41"/>
        <v>2023</v>
      </c>
      <c r="H320" s="5" t="str">
        <f t="shared" ref="H320:H383" si="46">PROPER(TEXT(F320,"mmmm"))</f>
        <v>Diciembre</v>
      </c>
      <c r="I320" s="6" t="str">
        <f t="shared" ref="I320:I383" si="47">IF(OR(H320="Enero",H320="Febrero",H320="Marzo",H320="Abril",H320="Mayo",H320="Junio"),G320&amp;"-1",IF(OR(H320="Julio",H320="Agosto",H320="Septiembre",H320="Octubre",H320="Noviembre",H320="Diciembre"),G320&amp;"-2"))</f>
        <v>2023-2</v>
      </c>
      <c r="J320" s="5">
        <v>350</v>
      </c>
      <c r="K320" s="5">
        <v>1094</v>
      </c>
      <c r="L320" s="15">
        <f t="shared" ref="L320:L329" si="48">IFERROR(IF((K320/J320)&gt;1.3,1.3,K320/J320),"")</f>
        <v>1.3</v>
      </c>
      <c r="M320" s="15">
        <f t="shared" ref="M320:M329" si="49">IFERROR(K320/J320,"")</f>
        <v>3.1257142857142859</v>
      </c>
      <c r="N320" s="5" t="s">
        <v>490</v>
      </c>
      <c r="O320" s="5" t="s">
        <v>490</v>
      </c>
      <c r="P320" s="5">
        <v>0</v>
      </c>
      <c r="Q320" s="5">
        <v>0</v>
      </c>
      <c r="R320" s="5" t="str">
        <f>A320&amp;"-"&amp;YEAR(F320)&amp;"-"&amp;IF(LEN(MONTH(F320))=1,"0"&amp;MONTH(F320),MONTH(F320))&amp;"-"&amp;IF(LEN(DAY(F320))=1,"0"&amp;DAY(F320),DAY(F320))</f>
        <v>394-2023-12-31</v>
      </c>
    </row>
    <row r="321" spans="1:18" x14ac:dyDescent="0.3">
      <c r="A321" s="5">
        <v>395</v>
      </c>
      <c r="B321" s="5" t="s">
        <v>286</v>
      </c>
      <c r="C321" s="5" t="s">
        <v>285</v>
      </c>
      <c r="D321" s="5" t="s">
        <v>8</v>
      </c>
      <c r="E321" s="5" t="s">
        <v>9</v>
      </c>
      <c r="F321" s="6">
        <v>45291</v>
      </c>
      <c r="G321" s="5">
        <f t="shared" si="41"/>
        <v>2023</v>
      </c>
      <c r="H321" s="5" t="str">
        <f t="shared" si="46"/>
        <v>Diciembre</v>
      </c>
      <c r="I321" s="6" t="str">
        <f t="shared" si="47"/>
        <v>2023-2</v>
      </c>
      <c r="J321" s="5">
        <v>35</v>
      </c>
      <c r="K321" s="5">
        <v>98</v>
      </c>
      <c r="L321" s="15">
        <f t="shared" si="48"/>
        <v>1.3</v>
      </c>
      <c r="M321" s="15">
        <f t="shared" si="49"/>
        <v>2.8</v>
      </c>
      <c r="N321" s="5" t="s">
        <v>490</v>
      </c>
      <c r="O321" s="5" t="s">
        <v>490</v>
      </c>
      <c r="P321" s="5">
        <v>0</v>
      </c>
      <c r="Q321" s="5">
        <v>0</v>
      </c>
      <c r="R321" s="5" t="str">
        <f>A321&amp;"-"&amp;YEAR(F321)&amp;"-"&amp;IF(LEN(MONTH(F321))=1,"0"&amp;MONTH(F321),MONTH(F321))&amp;"-"&amp;IF(LEN(DAY(F321))=1,"0"&amp;DAY(F321),DAY(F321))</f>
        <v>395-2023-12-31</v>
      </c>
    </row>
    <row r="322" spans="1:18" x14ac:dyDescent="0.3">
      <c r="A322" s="5">
        <v>396</v>
      </c>
      <c r="B322" s="5" t="s">
        <v>287</v>
      </c>
      <c r="C322" s="5" t="s">
        <v>281</v>
      </c>
      <c r="D322" s="5" t="s">
        <v>8</v>
      </c>
      <c r="E322" s="5" t="s">
        <v>9</v>
      </c>
      <c r="F322" s="6">
        <v>45291</v>
      </c>
      <c r="G322" s="5">
        <f t="shared" si="41"/>
        <v>2023</v>
      </c>
      <c r="H322" s="5" t="str">
        <f t="shared" si="46"/>
        <v>Diciembre</v>
      </c>
      <c r="I322" s="6" t="str">
        <f t="shared" si="47"/>
        <v>2023-2</v>
      </c>
      <c r="J322" s="5">
        <v>80</v>
      </c>
      <c r="K322" s="5">
        <v>88.89</v>
      </c>
      <c r="L322" s="15">
        <f t="shared" si="48"/>
        <v>1.1111249999999999</v>
      </c>
      <c r="M322" s="15">
        <f t="shared" si="49"/>
        <v>1.1111249999999999</v>
      </c>
      <c r="N322" s="5" t="s">
        <v>490</v>
      </c>
      <c r="O322" s="5" t="s">
        <v>478</v>
      </c>
      <c r="P322" s="5">
        <v>1</v>
      </c>
      <c r="Q322" s="5">
        <v>1</v>
      </c>
      <c r="R322" s="5" t="str">
        <f>A322&amp;"-"&amp;YEAR(F322)&amp;"-"&amp;IF(LEN(MONTH(F322))=1,"0"&amp;MONTH(F322),MONTH(F322))&amp;"-"&amp;IF(LEN(DAY(F322))=1,"0"&amp;DAY(F322),DAY(F322))</f>
        <v>396-2023-12-31</v>
      </c>
    </row>
    <row r="323" spans="1:18" x14ac:dyDescent="0.3">
      <c r="A323" s="5">
        <v>397</v>
      </c>
      <c r="B323" s="5" t="s">
        <v>288</v>
      </c>
      <c r="C323" s="5" t="s">
        <v>281</v>
      </c>
      <c r="D323" s="5" t="s">
        <v>8</v>
      </c>
      <c r="E323" s="5" t="s">
        <v>9</v>
      </c>
      <c r="F323" s="6">
        <v>45291</v>
      </c>
      <c r="G323" s="5">
        <f t="shared" si="41"/>
        <v>2023</v>
      </c>
      <c r="H323" s="5" t="str">
        <f t="shared" si="46"/>
        <v>Diciembre</v>
      </c>
      <c r="I323" s="6" t="str">
        <f t="shared" si="47"/>
        <v>2023-2</v>
      </c>
      <c r="J323" s="5">
        <v>80</v>
      </c>
      <c r="K323" s="5">
        <v>92.014999999999986</v>
      </c>
      <c r="L323" s="15">
        <f t="shared" si="48"/>
        <v>1.1501874999999999</v>
      </c>
      <c r="M323" s="15">
        <f t="shared" si="49"/>
        <v>1.1501874999999999</v>
      </c>
      <c r="N323" s="5" t="s">
        <v>347</v>
      </c>
      <c r="O323" s="5" t="s">
        <v>347</v>
      </c>
      <c r="P323" s="5">
        <v>0</v>
      </c>
      <c r="Q323" s="5">
        <v>1</v>
      </c>
      <c r="R323" s="5" t="str">
        <f>A323&amp;"-"&amp;YEAR(F323)&amp;"-"&amp;IF(LEN(MONTH(F323))=1,"0"&amp;MONTH(F323),MONTH(F323))&amp;"-"&amp;IF(LEN(DAY(F323))=1,"0"&amp;DAY(F323),DAY(F323))</f>
        <v>397-2023-12-31</v>
      </c>
    </row>
    <row r="324" spans="1:18" x14ac:dyDescent="0.3">
      <c r="A324" s="5">
        <v>398</v>
      </c>
      <c r="B324" s="5" t="s">
        <v>289</v>
      </c>
      <c r="C324" s="5" t="s">
        <v>290</v>
      </c>
      <c r="D324" s="5" t="s">
        <v>8</v>
      </c>
      <c r="E324" s="5" t="s">
        <v>9</v>
      </c>
      <c r="F324" s="6">
        <v>45291</v>
      </c>
      <c r="G324" s="5">
        <f t="shared" ref="G324:G373" si="50">YEAR(F324)</f>
        <v>2023</v>
      </c>
      <c r="H324" s="5" t="str">
        <f t="shared" si="46"/>
        <v>Diciembre</v>
      </c>
      <c r="I324" s="6" t="str">
        <f t="shared" si="47"/>
        <v>2023-2</v>
      </c>
      <c r="J324" s="5">
        <v>2000</v>
      </c>
      <c r="K324" s="5">
        <v>4912</v>
      </c>
      <c r="L324" s="15">
        <f t="shared" si="48"/>
        <v>1.3</v>
      </c>
      <c r="M324" s="15">
        <f t="shared" si="49"/>
        <v>2.456</v>
      </c>
      <c r="N324" s="5" t="s">
        <v>490</v>
      </c>
      <c r="O324" s="5" t="s">
        <v>490</v>
      </c>
      <c r="P324" s="5">
        <v>0</v>
      </c>
      <c r="Q324" s="5">
        <v>0</v>
      </c>
      <c r="R324" s="5" t="str">
        <f>A324&amp;"-"&amp;YEAR(F324)&amp;"-"&amp;IF(LEN(MONTH(F324))=1,"0"&amp;MONTH(F324),MONTH(F324))&amp;"-"&amp;IF(LEN(DAY(F324))=1,"0"&amp;DAY(F324),DAY(F324))</f>
        <v>398-2023-12-31</v>
      </c>
    </row>
    <row r="325" spans="1:18" x14ac:dyDescent="0.3">
      <c r="A325" s="5">
        <v>399</v>
      </c>
      <c r="B325" s="5" t="s">
        <v>507</v>
      </c>
      <c r="C325" s="5" t="s">
        <v>290</v>
      </c>
      <c r="D325" s="5" t="s">
        <v>8</v>
      </c>
      <c r="E325" s="5" t="s">
        <v>9</v>
      </c>
      <c r="F325" s="6">
        <v>45291</v>
      </c>
      <c r="G325" s="5">
        <f t="shared" si="50"/>
        <v>2023</v>
      </c>
      <c r="H325" s="5" t="str">
        <f t="shared" si="46"/>
        <v>Diciembre</v>
      </c>
      <c r="I325" s="6" t="str">
        <f t="shared" si="47"/>
        <v>2023-2</v>
      </c>
      <c r="J325" s="5">
        <v>1000</v>
      </c>
      <c r="K325" s="5">
        <v>1334</v>
      </c>
      <c r="L325" s="15">
        <f t="shared" si="48"/>
        <v>1.3</v>
      </c>
      <c r="M325" s="15">
        <f t="shared" si="49"/>
        <v>1.3340000000000001</v>
      </c>
      <c r="N325" s="5" t="s">
        <v>490</v>
      </c>
      <c r="O325" s="5" t="s">
        <v>490</v>
      </c>
      <c r="P325" s="5">
        <v>0</v>
      </c>
      <c r="Q325" s="5">
        <v>0</v>
      </c>
      <c r="R325" s="5" t="str">
        <f>A325&amp;"-"&amp;YEAR(F325)&amp;"-"&amp;IF(LEN(MONTH(F325))=1,"0"&amp;MONTH(F325),MONTH(F325))&amp;"-"&amp;IF(LEN(DAY(F325))=1,"0"&amp;DAY(F325),DAY(F325))</f>
        <v>399-2023-12-31</v>
      </c>
    </row>
    <row r="326" spans="1:18" x14ac:dyDescent="0.3">
      <c r="A326" s="5">
        <v>400</v>
      </c>
      <c r="B326" s="5" t="s">
        <v>292</v>
      </c>
      <c r="C326" s="5" t="s">
        <v>290</v>
      </c>
      <c r="D326" s="5" t="s">
        <v>8</v>
      </c>
      <c r="E326" s="5" t="s">
        <v>9</v>
      </c>
      <c r="F326" s="6">
        <v>45291</v>
      </c>
      <c r="G326" s="5">
        <f t="shared" si="50"/>
        <v>2023</v>
      </c>
      <c r="H326" s="5" t="str">
        <f t="shared" si="46"/>
        <v>Diciembre</v>
      </c>
      <c r="I326" s="6" t="str">
        <f t="shared" si="47"/>
        <v>2023-2</v>
      </c>
      <c r="J326" s="5">
        <v>70</v>
      </c>
      <c r="K326" s="5">
        <v>176</v>
      </c>
      <c r="L326" s="15">
        <f t="shared" si="48"/>
        <v>1.3</v>
      </c>
      <c r="M326" s="15">
        <f t="shared" si="49"/>
        <v>2.5142857142857142</v>
      </c>
      <c r="N326" s="5" t="s">
        <v>490</v>
      </c>
      <c r="O326" s="5" t="s">
        <v>490</v>
      </c>
      <c r="P326" s="5">
        <v>0</v>
      </c>
      <c r="Q326" s="5">
        <v>0</v>
      </c>
      <c r="R326" s="5" t="str">
        <f>A326&amp;"-"&amp;YEAR(F326)&amp;"-"&amp;IF(LEN(MONTH(F326))=1,"0"&amp;MONTH(F326),MONTH(F326))&amp;"-"&amp;IF(LEN(DAY(F326))=1,"0"&amp;DAY(F326),DAY(F326))</f>
        <v>400-2023-12-31</v>
      </c>
    </row>
    <row r="327" spans="1:18" x14ac:dyDescent="0.3">
      <c r="A327" s="5">
        <v>401</v>
      </c>
      <c r="B327" s="5" t="s">
        <v>293</v>
      </c>
      <c r="C327" s="5" t="s">
        <v>294</v>
      </c>
      <c r="D327" s="5" t="s">
        <v>8</v>
      </c>
      <c r="E327" s="5" t="s">
        <v>9</v>
      </c>
      <c r="F327" s="6">
        <v>45291</v>
      </c>
      <c r="G327" s="5">
        <f t="shared" si="50"/>
        <v>2023</v>
      </c>
      <c r="H327" s="5" t="str">
        <f t="shared" si="46"/>
        <v>Diciembre</v>
      </c>
      <c r="I327" s="6" t="str">
        <f t="shared" si="47"/>
        <v>2023-2</v>
      </c>
      <c r="J327" s="5">
        <v>16</v>
      </c>
      <c r="K327" s="5">
        <v>17</v>
      </c>
      <c r="L327" s="15">
        <f t="shared" si="48"/>
        <v>1.0625</v>
      </c>
      <c r="M327" s="15">
        <f t="shared" si="49"/>
        <v>1.0625</v>
      </c>
      <c r="N327" s="5" t="s">
        <v>490</v>
      </c>
      <c r="O327" s="5" t="s">
        <v>490</v>
      </c>
      <c r="P327" s="5">
        <v>0</v>
      </c>
      <c r="Q327" s="5">
        <v>0</v>
      </c>
      <c r="R327" s="5" t="str">
        <f>A327&amp;"-"&amp;YEAR(F327)&amp;"-"&amp;IF(LEN(MONTH(F327))=1,"0"&amp;MONTH(F327),MONTH(F327))&amp;"-"&amp;IF(LEN(DAY(F327))=1,"0"&amp;DAY(F327),DAY(F327))</f>
        <v>401-2023-12-31</v>
      </c>
    </row>
    <row r="328" spans="1:18" x14ac:dyDescent="0.3">
      <c r="A328" s="5">
        <v>402</v>
      </c>
      <c r="B328" s="5" t="s">
        <v>295</v>
      </c>
      <c r="C328" s="5" t="s">
        <v>294</v>
      </c>
      <c r="D328" s="5" t="s">
        <v>25</v>
      </c>
      <c r="E328" s="5" t="s">
        <v>9</v>
      </c>
      <c r="F328" s="6">
        <v>45291</v>
      </c>
      <c r="G328" s="5">
        <f t="shared" si="50"/>
        <v>2023</v>
      </c>
      <c r="H328" s="5" t="str">
        <f t="shared" si="46"/>
        <v>Diciembre</v>
      </c>
      <c r="I328" s="6" t="str">
        <f t="shared" si="47"/>
        <v>2023-2</v>
      </c>
      <c r="J328" s="5"/>
      <c r="K328" s="5">
        <v>21000</v>
      </c>
      <c r="L328" s="15" t="str">
        <f t="shared" si="48"/>
        <v/>
      </c>
      <c r="M328" s="15" t="str">
        <f t="shared" si="49"/>
        <v/>
      </c>
      <c r="N328" s="5" t="s">
        <v>490</v>
      </c>
      <c r="O328" s="5" t="s">
        <v>490</v>
      </c>
      <c r="P328" s="5">
        <v>0</v>
      </c>
      <c r="Q328" s="5">
        <v>0</v>
      </c>
      <c r="R328" s="5" t="str">
        <f>A328&amp;"-"&amp;YEAR(F328)&amp;"-"&amp;IF(LEN(MONTH(F328))=1,"0"&amp;MONTH(F328),MONTH(F328))&amp;"-"&amp;IF(LEN(DAY(F328))=1,"0"&amp;DAY(F328),DAY(F328))</f>
        <v>402-2023-12-31</v>
      </c>
    </row>
    <row r="329" spans="1:18" x14ac:dyDescent="0.3">
      <c r="A329" s="5">
        <v>403</v>
      </c>
      <c r="B329" s="5" t="s">
        <v>296</v>
      </c>
      <c r="C329" s="5" t="s">
        <v>294</v>
      </c>
      <c r="D329" s="5" t="s">
        <v>8</v>
      </c>
      <c r="E329" s="5" t="s">
        <v>9</v>
      </c>
      <c r="F329" s="6">
        <v>45291</v>
      </c>
      <c r="G329" s="5">
        <f t="shared" si="50"/>
        <v>2023</v>
      </c>
      <c r="H329" s="5" t="str">
        <f t="shared" si="46"/>
        <v>Diciembre</v>
      </c>
      <c r="I329" s="6" t="str">
        <f t="shared" si="47"/>
        <v>2023-2</v>
      </c>
      <c r="J329" s="5"/>
      <c r="K329" s="5">
        <v>28590</v>
      </c>
      <c r="L329" s="15" t="str">
        <f t="shared" si="48"/>
        <v/>
      </c>
      <c r="M329" s="15" t="str">
        <f t="shared" si="49"/>
        <v/>
      </c>
      <c r="N329" s="5" t="s">
        <v>728</v>
      </c>
      <c r="O329" s="5" t="s">
        <v>490</v>
      </c>
      <c r="P329" s="5">
        <v>0</v>
      </c>
      <c r="Q329" s="5">
        <v>0</v>
      </c>
      <c r="R329" s="5" t="str">
        <f>A329&amp;"-"&amp;YEAR(F329)&amp;"-"&amp;IF(LEN(MONTH(F329))=1,"0"&amp;MONTH(F329),MONTH(F329))&amp;"-"&amp;IF(LEN(DAY(F329))=1,"0"&amp;DAY(F329),DAY(F329))</f>
        <v>403-2023-12-31</v>
      </c>
    </row>
    <row r="330" spans="1:18" x14ac:dyDescent="0.3">
      <c r="A330" s="5">
        <v>404</v>
      </c>
      <c r="B330" s="5" t="s">
        <v>297</v>
      </c>
      <c r="C330" s="5" t="s">
        <v>294</v>
      </c>
      <c r="D330" s="5" t="s">
        <v>8</v>
      </c>
      <c r="E330" s="5" t="s">
        <v>14</v>
      </c>
      <c r="F330" s="6">
        <v>45291</v>
      </c>
      <c r="G330" s="5">
        <f t="shared" si="50"/>
        <v>2023</v>
      </c>
      <c r="H330" s="5" t="str">
        <f t="shared" si="46"/>
        <v>Diciembre</v>
      </c>
      <c r="I330" s="6" t="str">
        <f t="shared" si="47"/>
        <v>2023-2</v>
      </c>
      <c r="J330" s="5">
        <v>20</v>
      </c>
      <c r="K330" s="5">
        <v>1.7</v>
      </c>
      <c r="L330" s="15">
        <f>IFERROR(IF((J330/K330)&gt;1,1,K330/J330),"")</f>
        <v>1</v>
      </c>
      <c r="M330" s="15">
        <f>IFERROR(IF((J330/K330)&gt;1,1,K330/J330),"")</f>
        <v>1</v>
      </c>
      <c r="N330" s="5" t="s">
        <v>347</v>
      </c>
      <c r="O330" s="5" t="s">
        <v>347</v>
      </c>
      <c r="P330" s="5">
        <v>0</v>
      </c>
      <c r="Q330" s="5">
        <v>0</v>
      </c>
      <c r="R330" s="5" t="str">
        <f>A330&amp;"-"&amp;YEAR(F330)&amp;"-"&amp;IF(LEN(MONTH(F330))=1,"0"&amp;MONTH(F330),MONTH(F330))&amp;"-"&amp;IF(LEN(DAY(F330))=1,"0"&amp;DAY(F330),DAY(F330))</f>
        <v>404-2023-12-31</v>
      </c>
    </row>
    <row r="331" spans="1:18" x14ac:dyDescent="0.3">
      <c r="A331" s="5">
        <v>405</v>
      </c>
      <c r="B331" s="5" t="s">
        <v>298</v>
      </c>
      <c r="C331" s="5" t="s">
        <v>294</v>
      </c>
      <c r="D331" s="5" t="s">
        <v>8</v>
      </c>
      <c r="E331" s="5" t="s">
        <v>9</v>
      </c>
      <c r="F331" s="6">
        <v>45291</v>
      </c>
      <c r="G331" s="5">
        <f t="shared" si="50"/>
        <v>2023</v>
      </c>
      <c r="H331" s="5" t="str">
        <f t="shared" si="46"/>
        <v>Diciembre</v>
      </c>
      <c r="I331" s="6" t="str">
        <f t="shared" si="47"/>
        <v>2023-2</v>
      </c>
      <c r="J331" s="5">
        <v>50</v>
      </c>
      <c r="K331" s="5">
        <v>62</v>
      </c>
      <c r="L331" s="15">
        <f>IFERROR(IF((K331/J331)&gt;1.3,1.3,K331/J331),"")</f>
        <v>1.24</v>
      </c>
      <c r="M331" s="15">
        <f t="shared" ref="M331:M352" si="51">IFERROR(K331/J331,"")</f>
        <v>1.24</v>
      </c>
      <c r="N331" s="5" t="s">
        <v>347</v>
      </c>
      <c r="O331" s="5" t="s">
        <v>347</v>
      </c>
      <c r="P331" s="5">
        <v>0</v>
      </c>
      <c r="Q331" s="5">
        <v>0</v>
      </c>
      <c r="R331" s="5" t="str">
        <f>A331&amp;"-"&amp;YEAR(F331)&amp;"-"&amp;IF(LEN(MONTH(F331))=1,"0"&amp;MONTH(F331),MONTH(F331))&amp;"-"&amp;IF(LEN(DAY(F331))=1,"0"&amp;DAY(F331),DAY(F331))</f>
        <v>405-2023-12-31</v>
      </c>
    </row>
    <row r="332" spans="1:18" x14ac:dyDescent="0.3">
      <c r="A332" s="5">
        <v>406</v>
      </c>
      <c r="B332" s="5" t="s">
        <v>299</v>
      </c>
      <c r="C332" s="5" t="s">
        <v>209</v>
      </c>
      <c r="D332" s="5" t="s">
        <v>8</v>
      </c>
      <c r="E332" s="5" t="s">
        <v>9</v>
      </c>
      <c r="F332" s="6">
        <v>45291</v>
      </c>
      <c r="G332" s="5">
        <f t="shared" si="50"/>
        <v>2023</v>
      </c>
      <c r="H332" s="5" t="str">
        <f t="shared" si="46"/>
        <v>Diciembre</v>
      </c>
      <c r="I332" s="6" t="str">
        <f t="shared" si="47"/>
        <v>2023-2</v>
      </c>
      <c r="J332" s="5">
        <v>5</v>
      </c>
      <c r="K332" s="5">
        <v>5</v>
      </c>
      <c r="L332" s="15">
        <f>IFERROR(IF((K332/J332)&gt;1.3,1.3,K332/J332),"")</f>
        <v>1</v>
      </c>
      <c r="M332" s="15">
        <f t="shared" si="51"/>
        <v>1</v>
      </c>
      <c r="N332" s="5" t="s">
        <v>490</v>
      </c>
      <c r="O332" s="5" t="s">
        <v>490</v>
      </c>
      <c r="P332" s="5">
        <v>0</v>
      </c>
      <c r="Q332" s="5">
        <v>0</v>
      </c>
      <c r="R332" s="5" t="str">
        <f>A332&amp;"-"&amp;YEAR(F332)&amp;"-"&amp;IF(LEN(MONTH(F332))=1,"0"&amp;MONTH(F332),MONTH(F332))&amp;"-"&amp;IF(LEN(DAY(F332))=1,"0"&amp;DAY(F332),DAY(F332))</f>
        <v>406-2023-12-31</v>
      </c>
    </row>
    <row r="333" spans="1:18" x14ac:dyDescent="0.3">
      <c r="A333" s="5">
        <v>407</v>
      </c>
      <c r="B333" s="5" t="s">
        <v>300</v>
      </c>
      <c r="C333" s="5" t="s">
        <v>209</v>
      </c>
      <c r="D333" s="5" t="s">
        <v>8</v>
      </c>
      <c r="E333" s="5" t="s">
        <v>9</v>
      </c>
      <c r="F333" s="6">
        <v>45291</v>
      </c>
      <c r="G333" s="5">
        <f t="shared" si="50"/>
        <v>2023</v>
      </c>
      <c r="H333" s="5" t="str">
        <f t="shared" si="46"/>
        <v>Diciembre</v>
      </c>
      <c r="I333" s="6" t="str">
        <f t="shared" si="47"/>
        <v>2023-2</v>
      </c>
      <c r="J333" s="5">
        <v>3</v>
      </c>
      <c r="K333" s="5">
        <v>3</v>
      </c>
      <c r="L333" s="15">
        <f>IFERROR(IF((K333/J333)&gt;1.3,1.3,K333/J333),"")</f>
        <v>1</v>
      </c>
      <c r="M333" s="15">
        <f t="shared" si="51"/>
        <v>1</v>
      </c>
      <c r="N333" s="5" t="s">
        <v>490</v>
      </c>
      <c r="O333" s="5" t="s">
        <v>490</v>
      </c>
      <c r="P333" s="5">
        <v>0</v>
      </c>
      <c r="Q333" s="5">
        <v>0</v>
      </c>
      <c r="R333" s="5" t="str">
        <f>A333&amp;"-"&amp;YEAR(F333)&amp;"-"&amp;IF(LEN(MONTH(F333))=1,"0"&amp;MONTH(F333),MONTH(F333))&amp;"-"&amp;IF(LEN(DAY(F333))=1,"0"&amp;DAY(F333),DAY(F333))</f>
        <v>407-2023-12-31</v>
      </c>
    </row>
    <row r="334" spans="1:18" x14ac:dyDescent="0.3">
      <c r="A334" s="5">
        <v>408</v>
      </c>
      <c r="B334" s="5" t="s">
        <v>301</v>
      </c>
      <c r="C334" s="5" t="s">
        <v>209</v>
      </c>
      <c r="D334" s="5" t="s">
        <v>8</v>
      </c>
      <c r="E334" s="5" t="s">
        <v>9</v>
      </c>
      <c r="F334" s="6">
        <v>45291</v>
      </c>
      <c r="G334" s="5">
        <f t="shared" si="50"/>
        <v>2023</v>
      </c>
      <c r="H334" s="5" t="str">
        <f t="shared" si="46"/>
        <v>Diciembre</v>
      </c>
      <c r="I334" s="6" t="str">
        <f t="shared" si="47"/>
        <v>2023-2</v>
      </c>
      <c r="J334" s="5">
        <v>12</v>
      </c>
      <c r="K334" s="5">
        <v>12</v>
      </c>
      <c r="L334" s="15">
        <f>IFERROR(IF((K334/J334)&gt;1.3,1.3,K334/J334),"")</f>
        <v>1</v>
      </c>
      <c r="M334" s="15">
        <f t="shared" si="51"/>
        <v>1</v>
      </c>
      <c r="N334" s="5" t="s">
        <v>490</v>
      </c>
      <c r="O334" s="5" t="s">
        <v>490</v>
      </c>
      <c r="P334" s="5">
        <v>0</v>
      </c>
      <c r="Q334" s="5">
        <v>0</v>
      </c>
      <c r="R334" s="5" t="str">
        <f>A334&amp;"-"&amp;YEAR(F334)&amp;"-"&amp;IF(LEN(MONTH(F334))=1,"0"&amp;MONTH(F334),MONTH(F334))&amp;"-"&amp;IF(LEN(DAY(F334))=1,"0"&amp;DAY(F334),DAY(F334))</f>
        <v>408-2023-12-31</v>
      </c>
    </row>
    <row r="335" spans="1:18" x14ac:dyDescent="0.3">
      <c r="A335" s="5">
        <v>409</v>
      </c>
      <c r="B335" s="5" t="s">
        <v>302</v>
      </c>
      <c r="C335" s="5" t="s">
        <v>145</v>
      </c>
      <c r="D335" s="5" t="s">
        <v>11</v>
      </c>
      <c r="E335" s="5" t="s">
        <v>9</v>
      </c>
      <c r="F335" s="6">
        <v>45291</v>
      </c>
      <c r="G335" s="5">
        <f t="shared" si="50"/>
        <v>2023</v>
      </c>
      <c r="H335" s="5" t="str">
        <f t="shared" si="46"/>
        <v>Diciembre</v>
      </c>
      <c r="I335" s="6" t="str">
        <f t="shared" si="47"/>
        <v>2023-2</v>
      </c>
      <c r="J335" s="5">
        <v>80</v>
      </c>
      <c r="K335" s="5">
        <v>100</v>
      </c>
      <c r="L335" s="21">
        <f>IFERROR(K335/J335,"")</f>
        <v>1.25</v>
      </c>
      <c r="M335" s="15">
        <f t="shared" si="51"/>
        <v>1.25</v>
      </c>
      <c r="N335" s="5" t="s">
        <v>347</v>
      </c>
      <c r="O335" s="5" t="s">
        <v>347</v>
      </c>
      <c r="P335" s="5">
        <v>0</v>
      </c>
      <c r="Q335" s="5">
        <v>0</v>
      </c>
      <c r="R335" s="5" t="str">
        <f>A335&amp;"-"&amp;YEAR(F335)&amp;"-"&amp;IF(LEN(MONTH(F335))=1,"0"&amp;MONTH(F335),MONTH(F335))&amp;"-"&amp;IF(LEN(DAY(F335))=1,"0"&amp;DAY(F335),DAY(F335))</f>
        <v>409-2023-12-31</v>
      </c>
    </row>
    <row r="336" spans="1:18" x14ac:dyDescent="0.3">
      <c r="A336" s="5">
        <v>410</v>
      </c>
      <c r="B336" s="5" t="s">
        <v>303</v>
      </c>
      <c r="C336" s="5" t="s">
        <v>145</v>
      </c>
      <c r="D336" s="5" t="s">
        <v>11</v>
      </c>
      <c r="E336" s="5" t="s">
        <v>9</v>
      </c>
      <c r="F336" s="6">
        <v>45291</v>
      </c>
      <c r="G336" s="5">
        <f t="shared" si="50"/>
        <v>2023</v>
      </c>
      <c r="H336" s="5" t="str">
        <f t="shared" si="46"/>
        <v>Diciembre</v>
      </c>
      <c r="I336" s="6" t="str">
        <f t="shared" si="47"/>
        <v>2023-2</v>
      </c>
      <c r="J336" s="5">
        <v>90</v>
      </c>
      <c r="K336" s="5">
        <v>100</v>
      </c>
      <c r="L336" s="15">
        <f t="shared" ref="L336:L352" si="52">IFERROR(IF((K336/J336)&gt;1.3,1.3,K336/J336),"")</f>
        <v>1.1111111111111112</v>
      </c>
      <c r="M336" s="15">
        <f t="shared" si="51"/>
        <v>1.1111111111111112</v>
      </c>
      <c r="N336" s="5" t="s">
        <v>347</v>
      </c>
      <c r="O336" s="5" t="s">
        <v>347</v>
      </c>
      <c r="P336" s="5">
        <v>0</v>
      </c>
      <c r="Q336" s="5">
        <v>0</v>
      </c>
      <c r="R336" s="5" t="str">
        <f>A336&amp;"-"&amp;YEAR(F336)&amp;"-"&amp;IF(LEN(MONTH(F336))=1,"0"&amp;MONTH(F336),MONTH(F336))&amp;"-"&amp;IF(LEN(DAY(F336))=1,"0"&amp;DAY(F336),DAY(F336))</f>
        <v>410-2023-12-31</v>
      </c>
    </row>
    <row r="337" spans="1:18" x14ac:dyDescent="0.3">
      <c r="A337" s="5">
        <v>411</v>
      </c>
      <c r="B337" s="5" t="s">
        <v>304</v>
      </c>
      <c r="C337" s="5" t="s">
        <v>285</v>
      </c>
      <c r="D337" s="5" t="s">
        <v>8</v>
      </c>
      <c r="E337" s="5" t="s">
        <v>9</v>
      </c>
      <c r="F337" s="6">
        <v>45291</v>
      </c>
      <c r="G337" s="5">
        <f t="shared" si="50"/>
        <v>2023</v>
      </c>
      <c r="H337" s="5" t="str">
        <f t="shared" si="46"/>
        <v>Diciembre</v>
      </c>
      <c r="I337" s="6" t="str">
        <f t="shared" si="47"/>
        <v>2023-2</v>
      </c>
      <c r="J337" s="5">
        <v>100</v>
      </c>
      <c r="K337" s="5">
        <v>100</v>
      </c>
      <c r="L337" s="15">
        <f t="shared" si="52"/>
        <v>1</v>
      </c>
      <c r="M337" s="15">
        <f t="shared" si="51"/>
        <v>1</v>
      </c>
      <c r="N337" s="5" t="s">
        <v>347</v>
      </c>
      <c r="O337" s="5" t="s">
        <v>347</v>
      </c>
      <c r="P337" s="5">
        <v>0</v>
      </c>
      <c r="Q337" s="5">
        <v>0</v>
      </c>
      <c r="R337" s="5" t="str">
        <f>A337&amp;"-"&amp;YEAR(F337)&amp;"-"&amp;IF(LEN(MONTH(F337))=1,"0"&amp;MONTH(F337),MONTH(F337))&amp;"-"&amp;IF(LEN(DAY(F337))=1,"0"&amp;DAY(F337),DAY(F337))</f>
        <v>411-2023-12-31</v>
      </c>
    </row>
    <row r="338" spans="1:18" x14ac:dyDescent="0.3">
      <c r="A338" s="5">
        <v>412</v>
      </c>
      <c r="B338" s="5" t="s">
        <v>305</v>
      </c>
      <c r="C338" s="5" t="s">
        <v>285</v>
      </c>
      <c r="D338" s="5" t="s">
        <v>25</v>
      </c>
      <c r="E338" s="5" t="s">
        <v>9</v>
      </c>
      <c r="F338" s="6">
        <v>45291</v>
      </c>
      <c r="G338" s="5">
        <f t="shared" si="50"/>
        <v>2023</v>
      </c>
      <c r="H338" s="5" t="str">
        <f t="shared" si="46"/>
        <v>Diciembre</v>
      </c>
      <c r="I338" s="6" t="str">
        <f t="shared" si="47"/>
        <v>2023-2</v>
      </c>
      <c r="J338" s="5">
        <v>100</v>
      </c>
      <c r="K338" s="5">
        <v>100</v>
      </c>
      <c r="L338" s="15">
        <f t="shared" si="52"/>
        <v>1</v>
      </c>
      <c r="M338" s="15">
        <f t="shared" si="51"/>
        <v>1</v>
      </c>
      <c r="N338" s="5" t="s">
        <v>347</v>
      </c>
      <c r="O338" s="5" t="s">
        <v>347</v>
      </c>
      <c r="P338" s="5">
        <v>0</v>
      </c>
      <c r="Q338" s="5">
        <v>0</v>
      </c>
      <c r="R338" s="5" t="str">
        <f>A338&amp;"-"&amp;YEAR(F338)&amp;"-"&amp;IF(LEN(MONTH(F338))=1,"0"&amp;MONTH(F338),MONTH(F338))&amp;"-"&amp;IF(LEN(DAY(F338))=1,"0"&amp;DAY(F338),DAY(F338))</f>
        <v>412-2023-12-31</v>
      </c>
    </row>
    <row r="339" spans="1:18" x14ac:dyDescent="0.3">
      <c r="A339" s="5">
        <v>413</v>
      </c>
      <c r="B339" s="5" t="s">
        <v>306</v>
      </c>
      <c r="C339" s="5" t="s">
        <v>285</v>
      </c>
      <c r="D339" s="5" t="s">
        <v>25</v>
      </c>
      <c r="E339" s="5" t="s">
        <v>9</v>
      </c>
      <c r="F339" s="6">
        <v>45291</v>
      </c>
      <c r="G339" s="5">
        <f t="shared" si="50"/>
        <v>2023</v>
      </c>
      <c r="H339" s="5" t="str">
        <f t="shared" si="46"/>
        <v>Diciembre</v>
      </c>
      <c r="I339" s="6" t="str">
        <f t="shared" si="47"/>
        <v>2023-2</v>
      </c>
      <c r="J339" s="5"/>
      <c r="K339" s="5">
        <v>2</v>
      </c>
      <c r="L339" s="15" t="str">
        <f t="shared" si="52"/>
        <v/>
      </c>
      <c r="M339" s="15" t="str">
        <f t="shared" si="51"/>
        <v/>
      </c>
      <c r="N339" s="5" t="s">
        <v>477</v>
      </c>
      <c r="O339" s="5" t="s">
        <v>490</v>
      </c>
      <c r="P339" s="5">
        <v>0</v>
      </c>
      <c r="Q339" s="5">
        <v>0</v>
      </c>
      <c r="R339" s="5" t="str">
        <f>A339&amp;"-"&amp;YEAR(F339)&amp;"-"&amp;IF(LEN(MONTH(F339))=1,"0"&amp;MONTH(F339),MONTH(F339))&amp;"-"&amp;IF(LEN(DAY(F339))=1,"0"&amp;DAY(F339),DAY(F339))</f>
        <v>413-2023-12-31</v>
      </c>
    </row>
    <row r="340" spans="1:18" x14ac:dyDescent="0.3">
      <c r="A340" s="5">
        <v>414</v>
      </c>
      <c r="B340" s="5" t="s">
        <v>307</v>
      </c>
      <c r="C340" s="5" t="s">
        <v>131</v>
      </c>
      <c r="D340" s="5" t="s">
        <v>11</v>
      </c>
      <c r="E340" s="5" t="s">
        <v>9</v>
      </c>
      <c r="F340" s="6">
        <v>45291</v>
      </c>
      <c r="G340" s="5">
        <f t="shared" si="50"/>
        <v>2023</v>
      </c>
      <c r="H340" s="5" t="str">
        <f t="shared" si="46"/>
        <v>Diciembre</v>
      </c>
      <c r="I340" s="6" t="str">
        <f t="shared" si="47"/>
        <v>2023-2</v>
      </c>
      <c r="J340" s="5">
        <v>100</v>
      </c>
      <c r="K340" s="5">
        <v>96.28</v>
      </c>
      <c r="L340" s="15">
        <f t="shared" si="52"/>
        <v>0.96279999999999999</v>
      </c>
      <c r="M340" s="15">
        <f t="shared" si="51"/>
        <v>0.96279999999999999</v>
      </c>
      <c r="N340" s="5" t="s">
        <v>477</v>
      </c>
      <c r="O340" s="5" t="s">
        <v>490</v>
      </c>
      <c r="P340" s="5">
        <v>0</v>
      </c>
      <c r="Q340" s="5">
        <v>0</v>
      </c>
      <c r="R340" s="5" t="str">
        <f>A340&amp;"-"&amp;YEAR(F340)&amp;"-"&amp;IF(LEN(MONTH(F340))=1,"0"&amp;MONTH(F340),MONTH(F340))&amp;"-"&amp;IF(LEN(DAY(F340))=1,"0"&amp;DAY(F340),DAY(F340))</f>
        <v>414-2023-12-31</v>
      </c>
    </row>
    <row r="341" spans="1:18" x14ac:dyDescent="0.3">
      <c r="A341" s="5">
        <v>415</v>
      </c>
      <c r="B341" s="5" t="s">
        <v>308</v>
      </c>
      <c r="C341" s="5" t="s">
        <v>131</v>
      </c>
      <c r="D341" s="5" t="s">
        <v>11</v>
      </c>
      <c r="E341" s="5" t="s">
        <v>9</v>
      </c>
      <c r="F341" s="6">
        <v>45291</v>
      </c>
      <c r="G341" s="5">
        <f t="shared" si="50"/>
        <v>2023</v>
      </c>
      <c r="H341" s="5" t="str">
        <f t="shared" si="46"/>
        <v>Diciembre</v>
      </c>
      <c r="I341" s="6" t="str">
        <f t="shared" si="47"/>
        <v>2023-2</v>
      </c>
      <c r="J341" s="5">
        <v>100</v>
      </c>
      <c r="K341" s="5">
        <v>96</v>
      </c>
      <c r="L341" s="15">
        <f t="shared" si="52"/>
        <v>0.96</v>
      </c>
      <c r="M341" s="15">
        <f t="shared" si="51"/>
        <v>0.96</v>
      </c>
      <c r="N341" s="5" t="s">
        <v>347</v>
      </c>
      <c r="O341" s="5" t="s">
        <v>347</v>
      </c>
      <c r="P341" s="5">
        <v>0</v>
      </c>
      <c r="Q341" s="5">
        <v>0</v>
      </c>
      <c r="R341" s="5" t="str">
        <f>A341&amp;"-"&amp;YEAR(F341)&amp;"-"&amp;IF(LEN(MONTH(F341))=1,"0"&amp;MONTH(F341),MONTH(F341))&amp;"-"&amp;IF(LEN(DAY(F341))=1,"0"&amp;DAY(F341),DAY(F341))</f>
        <v>415-2023-12-31</v>
      </c>
    </row>
    <row r="342" spans="1:18" x14ac:dyDescent="0.3">
      <c r="A342" s="5">
        <v>416</v>
      </c>
      <c r="B342" s="5" t="s">
        <v>309</v>
      </c>
      <c r="C342" s="5" t="s">
        <v>131</v>
      </c>
      <c r="D342" s="5" t="s">
        <v>11</v>
      </c>
      <c r="E342" s="5" t="s">
        <v>9</v>
      </c>
      <c r="F342" s="6">
        <v>45291</v>
      </c>
      <c r="G342" s="5">
        <f t="shared" si="50"/>
        <v>2023</v>
      </c>
      <c r="H342" s="5" t="str">
        <f t="shared" si="46"/>
        <v>Diciembre</v>
      </c>
      <c r="I342" s="6" t="str">
        <f t="shared" si="47"/>
        <v>2023-2</v>
      </c>
      <c r="J342" s="5">
        <v>100</v>
      </c>
      <c r="K342" s="5">
        <v>98</v>
      </c>
      <c r="L342" s="15">
        <f t="shared" si="52"/>
        <v>0.98</v>
      </c>
      <c r="M342" s="15">
        <f t="shared" si="51"/>
        <v>0.98</v>
      </c>
      <c r="N342" s="5" t="s">
        <v>347</v>
      </c>
      <c r="O342" s="5" t="s">
        <v>347</v>
      </c>
      <c r="P342" s="5">
        <v>0</v>
      </c>
      <c r="Q342" s="5">
        <v>0</v>
      </c>
      <c r="R342" s="5" t="str">
        <f>A342&amp;"-"&amp;YEAR(F342)&amp;"-"&amp;IF(LEN(MONTH(F342))=1,"0"&amp;MONTH(F342),MONTH(F342))&amp;"-"&amp;IF(LEN(DAY(F342))=1,"0"&amp;DAY(F342),DAY(F342))</f>
        <v>416-2023-12-31</v>
      </c>
    </row>
    <row r="343" spans="1:18" x14ac:dyDescent="0.3">
      <c r="A343" s="5">
        <v>417</v>
      </c>
      <c r="B343" s="5" t="s">
        <v>310</v>
      </c>
      <c r="C343" s="5" t="s">
        <v>131</v>
      </c>
      <c r="D343" s="5" t="s">
        <v>11</v>
      </c>
      <c r="E343" s="5" t="s">
        <v>9</v>
      </c>
      <c r="F343" s="6">
        <v>45291</v>
      </c>
      <c r="G343" s="5">
        <f t="shared" si="50"/>
        <v>2023</v>
      </c>
      <c r="H343" s="5" t="str">
        <f t="shared" si="46"/>
        <v>Diciembre</v>
      </c>
      <c r="I343" s="6" t="str">
        <f t="shared" si="47"/>
        <v>2023-2</v>
      </c>
      <c r="J343" s="5">
        <v>100</v>
      </c>
      <c r="K343" s="5">
        <v>94.39</v>
      </c>
      <c r="L343" s="15">
        <f t="shared" si="52"/>
        <v>0.94389999999999996</v>
      </c>
      <c r="M343" s="15">
        <f t="shared" si="51"/>
        <v>0.94389999999999996</v>
      </c>
      <c r="N343" s="5" t="s">
        <v>347</v>
      </c>
      <c r="O343" s="5" t="s">
        <v>347</v>
      </c>
      <c r="P343" s="5">
        <v>0</v>
      </c>
      <c r="Q343" s="5">
        <v>0</v>
      </c>
      <c r="R343" s="5" t="str">
        <f>A343&amp;"-"&amp;YEAR(F343)&amp;"-"&amp;IF(LEN(MONTH(F343))=1,"0"&amp;MONTH(F343),MONTH(F343))&amp;"-"&amp;IF(LEN(DAY(F343))=1,"0"&amp;DAY(F343),DAY(F343))</f>
        <v>417-2023-12-31</v>
      </c>
    </row>
    <row r="344" spans="1:18" x14ac:dyDescent="0.3">
      <c r="A344" s="5">
        <v>418</v>
      </c>
      <c r="B344" s="5" t="s">
        <v>311</v>
      </c>
      <c r="C344" s="5" t="s">
        <v>131</v>
      </c>
      <c r="D344" s="5" t="s">
        <v>11</v>
      </c>
      <c r="E344" s="5" t="s">
        <v>9</v>
      </c>
      <c r="F344" s="6">
        <v>45291</v>
      </c>
      <c r="G344" s="5">
        <f t="shared" si="50"/>
        <v>2023</v>
      </c>
      <c r="H344" s="5" t="str">
        <f t="shared" si="46"/>
        <v>Diciembre</v>
      </c>
      <c r="I344" s="6" t="str">
        <f t="shared" si="47"/>
        <v>2023-2</v>
      </c>
      <c r="J344" s="5">
        <v>100</v>
      </c>
      <c r="K344" s="5">
        <v>95.8</v>
      </c>
      <c r="L344" s="15">
        <f t="shared" si="52"/>
        <v>0.95799999999999996</v>
      </c>
      <c r="M344" s="15">
        <f t="shared" si="51"/>
        <v>0.95799999999999996</v>
      </c>
      <c r="N344" s="5" t="s">
        <v>347</v>
      </c>
      <c r="O344" s="5" t="s">
        <v>347</v>
      </c>
      <c r="P344" s="5">
        <v>0</v>
      </c>
      <c r="Q344" s="5">
        <v>0</v>
      </c>
      <c r="R344" s="5" t="str">
        <f>A344&amp;"-"&amp;YEAR(F344)&amp;"-"&amp;IF(LEN(MONTH(F344))=1,"0"&amp;MONTH(F344),MONTH(F344))&amp;"-"&amp;IF(LEN(DAY(F344))=1,"0"&amp;DAY(F344),DAY(F344))</f>
        <v>418-2023-12-31</v>
      </c>
    </row>
    <row r="345" spans="1:18" x14ac:dyDescent="0.3">
      <c r="A345" s="5">
        <v>419</v>
      </c>
      <c r="B345" s="5" t="s">
        <v>312</v>
      </c>
      <c r="C345" s="5" t="s">
        <v>131</v>
      </c>
      <c r="D345" s="5" t="s">
        <v>11</v>
      </c>
      <c r="E345" s="5" t="s">
        <v>9</v>
      </c>
      <c r="F345" s="6">
        <v>45291</v>
      </c>
      <c r="G345" s="5">
        <f t="shared" si="50"/>
        <v>2023</v>
      </c>
      <c r="H345" s="5" t="str">
        <f t="shared" si="46"/>
        <v>Diciembre</v>
      </c>
      <c r="I345" s="6" t="str">
        <f t="shared" si="47"/>
        <v>2023-2</v>
      </c>
      <c r="J345" s="5">
        <v>100</v>
      </c>
      <c r="K345" s="5">
        <v>93.56</v>
      </c>
      <c r="L345" s="15">
        <f t="shared" si="52"/>
        <v>0.93559999999999999</v>
      </c>
      <c r="M345" s="15">
        <f t="shared" si="51"/>
        <v>0.93559999999999999</v>
      </c>
      <c r="N345" s="5" t="s">
        <v>347</v>
      </c>
      <c r="O345" s="5" t="s">
        <v>347</v>
      </c>
      <c r="P345" s="5">
        <v>0</v>
      </c>
      <c r="Q345" s="5">
        <v>0</v>
      </c>
      <c r="R345" s="5" t="str">
        <f>A345&amp;"-"&amp;YEAR(F345)&amp;"-"&amp;IF(LEN(MONTH(F345))=1,"0"&amp;MONTH(F345),MONTH(F345))&amp;"-"&amp;IF(LEN(DAY(F345))=1,"0"&amp;DAY(F345),DAY(F345))</f>
        <v>419-2023-12-31</v>
      </c>
    </row>
    <row r="346" spans="1:18" x14ac:dyDescent="0.3">
      <c r="A346" s="5">
        <v>420</v>
      </c>
      <c r="B346" s="5" t="s">
        <v>313</v>
      </c>
      <c r="C346" s="5" t="s">
        <v>131</v>
      </c>
      <c r="D346" s="5" t="s">
        <v>11</v>
      </c>
      <c r="E346" s="5" t="s">
        <v>9</v>
      </c>
      <c r="F346" s="6">
        <v>45291</v>
      </c>
      <c r="G346" s="5">
        <f t="shared" si="50"/>
        <v>2023</v>
      </c>
      <c r="H346" s="5" t="str">
        <f t="shared" si="46"/>
        <v>Diciembre</v>
      </c>
      <c r="I346" s="6" t="str">
        <f t="shared" si="47"/>
        <v>2023-2</v>
      </c>
      <c r="J346" s="5">
        <v>100</v>
      </c>
      <c r="K346" s="5">
        <v>100</v>
      </c>
      <c r="L346" s="15">
        <f t="shared" si="52"/>
        <v>1</v>
      </c>
      <c r="M346" s="15">
        <f t="shared" si="51"/>
        <v>1</v>
      </c>
      <c r="N346" s="5" t="s">
        <v>347</v>
      </c>
      <c r="O346" s="5" t="s">
        <v>347</v>
      </c>
      <c r="P346" s="5">
        <v>0</v>
      </c>
      <c r="Q346" s="5">
        <v>0</v>
      </c>
      <c r="R346" s="5" t="str">
        <f>A346&amp;"-"&amp;YEAR(F346)&amp;"-"&amp;IF(LEN(MONTH(F346))=1,"0"&amp;MONTH(F346),MONTH(F346))&amp;"-"&amp;IF(LEN(DAY(F346))=1,"0"&amp;DAY(F346),DAY(F346))</f>
        <v>420-2023-12-31</v>
      </c>
    </row>
    <row r="347" spans="1:18" x14ac:dyDescent="0.3">
      <c r="A347" s="5">
        <v>421</v>
      </c>
      <c r="B347" s="5" t="s">
        <v>314</v>
      </c>
      <c r="C347" s="5" t="s">
        <v>315</v>
      </c>
      <c r="D347" s="5" t="s">
        <v>8</v>
      </c>
      <c r="E347" s="5" t="s">
        <v>9</v>
      </c>
      <c r="F347" s="6">
        <v>45291</v>
      </c>
      <c r="G347" s="5">
        <f t="shared" si="50"/>
        <v>2023</v>
      </c>
      <c r="H347" s="5" t="str">
        <f t="shared" si="46"/>
        <v>Diciembre</v>
      </c>
      <c r="I347" s="6" t="str">
        <f t="shared" si="47"/>
        <v>2023-2</v>
      </c>
      <c r="J347" s="5">
        <v>201272</v>
      </c>
      <c r="K347" s="5">
        <v>276201</v>
      </c>
      <c r="L347" s="15">
        <f t="shared" si="52"/>
        <v>1.3</v>
      </c>
      <c r="M347" s="15">
        <f t="shared" si="51"/>
        <v>1.3722773162685322</v>
      </c>
      <c r="N347" s="5" t="s">
        <v>490</v>
      </c>
      <c r="O347" s="5" t="s">
        <v>490</v>
      </c>
      <c r="P347" s="5">
        <v>0</v>
      </c>
      <c r="Q347" s="5">
        <v>0</v>
      </c>
      <c r="R347" s="5" t="str">
        <f>A347&amp;"-"&amp;YEAR(F347)&amp;"-"&amp;IF(LEN(MONTH(F347))=1,"0"&amp;MONTH(F347),MONTH(F347))&amp;"-"&amp;IF(LEN(DAY(F347))=1,"0"&amp;DAY(F347),DAY(F347))</f>
        <v>421-2023-12-31</v>
      </c>
    </row>
    <row r="348" spans="1:18" x14ac:dyDescent="0.3">
      <c r="A348" s="5">
        <v>422</v>
      </c>
      <c r="B348" s="5" t="s">
        <v>316</v>
      </c>
      <c r="C348" s="5" t="s">
        <v>315</v>
      </c>
      <c r="D348" s="5" t="s">
        <v>8</v>
      </c>
      <c r="E348" s="5" t="s">
        <v>9</v>
      </c>
      <c r="F348" s="6">
        <v>45291</v>
      </c>
      <c r="G348" s="5">
        <f t="shared" si="50"/>
        <v>2023</v>
      </c>
      <c r="H348" s="5" t="str">
        <f t="shared" si="46"/>
        <v>Diciembre</v>
      </c>
      <c r="I348" s="6" t="str">
        <f t="shared" si="47"/>
        <v>2023-2</v>
      </c>
      <c r="J348" s="5">
        <v>10.5</v>
      </c>
      <c r="K348" s="5">
        <v>11.04</v>
      </c>
      <c r="L348" s="15">
        <f t="shared" si="52"/>
        <v>1.0514285714285714</v>
      </c>
      <c r="M348" s="15">
        <f t="shared" si="51"/>
        <v>1.0514285714285714</v>
      </c>
      <c r="N348" s="5" t="s">
        <v>347</v>
      </c>
      <c r="O348" s="5" t="s">
        <v>347</v>
      </c>
      <c r="P348" s="5">
        <v>2</v>
      </c>
      <c r="Q348" s="5">
        <v>2</v>
      </c>
      <c r="R348" s="5" t="str">
        <f>A348&amp;"-"&amp;YEAR(F348)&amp;"-"&amp;IF(LEN(MONTH(F348))=1,"0"&amp;MONTH(F348),MONTH(F348))&amp;"-"&amp;IF(LEN(DAY(F348))=1,"0"&amp;DAY(F348),DAY(F348))</f>
        <v>422-2023-12-31</v>
      </c>
    </row>
    <row r="349" spans="1:18" x14ac:dyDescent="0.3">
      <c r="A349" s="5">
        <v>423</v>
      </c>
      <c r="B349" s="5" t="s">
        <v>317</v>
      </c>
      <c r="C349" s="5" t="s">
        <v>315</v>
      </c>
      <c r="D349" s="5" t="s">
        <v>25</v>
      </c>
      <c r="E349" s="5" t="s">
        <v>9</v>
      </c>
      <c r="F349" s="6">
        <v>45291</v>
      </c>
      <c r="G349" s="5">
        <f t="shared" si="50"/>
        <v>2023</v>
      </c>
      <c r="H349" s="5" t="str">
        <f t="shared" si="46"/>
        <v>Diciembre</v>
      </c>
      <c r="I349" s="6" t="str">
        <f t="shared" si="47"/>
        <v>2023-2</v>
      </c>
      <c r="J349" s="5">
        <v>8.4</v>
      </c>
      <c r="K349" s="5">
        <v>7.9</v>
      </c>
      <c r="L349" s="15">
        <f t="shared" si="52"/>
        <v>0.94047619047619047</v>
      </c>
      <c r="M349" s="15">
        <f t="shared" si="51"/>
        <v>0.94047619047619047</v>
      </c>
      <c r="N349" s="5" t="s">
        <v>478</v>
      </c>
      <c r="O349" s="5" t="s">
        <v>478</v>
      </c>
      <c r="P349" s="5">
        <v>1</v>
      </c>
      <c r="Q349" s="5">
        <v>1</v>
      </c>
      <c r="R349" s="5" t="str">
        <f>A349&amp;"-"&amp;YEAR(F349)&amp;"-"&amp;IF(LEN(MONTH(F349))=1,"0"&amp;MONTH(F349),MONTH(F349))&amp;"-"&amp;IF(LEN(DAY(F349))=1,"0"&amp;DAY(F349),DAY(F349))</f>
        <v>423-2023-12-31</v>
      </c>
    </row>
    <row r="350" spans="1:18" x14ac:dyDescent="0.3">
      <c r="A350" s="5">
        <v>424</v>
      </c>
      <c r="B350" s="5" t="s">
        <v>433</v>
      </c>
      <c r="C350" s="5" t="s">
        <v>315</v>
      </c>
      <c r="D350" s="5" t="s">
        <v>25</v>
      </c>
      <c r="E350" s="5" t="s">
        <v>9</v>
      </c>
      <c r="F350" s="6">
        <v>45291</v>
      </c>
      <c r="G350" s="5">
        <f t="shared" si="50"/>
        <v>2023</v>
      </c>
      <c r="H350" s="5" t="str">
        <f t="shared" si="46"/>
        <v>Diciembre</v>
      </c>
      <c r="I350" s="6" t="str">
        <f t="shared" si="47"/>
        <v>2023-2</v>
      </c>
      <c r="J350" s="5">
        <v>6</v>
      </c>
      <c r="K350" s="5">
        <v>6</v>
      </c>
      <c r="L350" s="15">
        <f t="shared" si="52"/>
        <v>1</v>
      </c>
      <c r="M350" s="15">
        <f t="shared" si="51"/>
        <v>1</v>
      </c>
      <c r="N350" s="5" t="s">
        <v>490</v>
      </c>
      <c r="O350" s="5" t="s">
        <v>490</v>
      </c>
      <c r="P350" s="5">
        <v>0</v>
      </c>
      <c r="Q350" s="5">
        <v>0</v>
      </c>
      <c r="R350" s="5" t="str">
        <f>A350&amp;"-"&amp;YEAR(F350)&amp;"-"&amp;IF(LEN(MONTH(F350))=1,"0"&amp;MONTH(F350),MONTH(F350))&amp;"-"&amp;IF(LEN(DAY(F350))=1,"0"&amp;DAY(F350),DAY(F350))</f>
        <v>424-2023-12-31</v>
      </c>
    </row>
    <row r="351" spans="1:18" x14ac:dyDescent="0.3">
      <c r="A351" s="5">
        <v>425</v>
      </c>
      <c r="B351" s="5" t="s">
        <v>318</v>
      </c>
      <c r="C351" s="5" t="s">
        <v>274</v>
      </c>
      <c r="D351" s="5" t="s">
        <v>25</v>
      </c>
      <c r="E351" s="5" t="s">
        <v>9</v>
      </c>
      <c r="F351" s="6">
        <v>45291</v>
      </c>
      <c r="G351" s="5">
        <f t="shared" si="50"/>
        <v>2023</v>
      </c>
      <c r="H351" s="5" t="str">
        <f t="shared" si="46"/>
        <v>Diciembre</v>
      </c>
      <c r="I351" s="6" t="str">
        <f t="shared" si="47"/>
        <v>2023-2</v>
      </c>
      <c r="J351" s="5">
        <v>5500</v>
      </c>
      <c r="K351" s="5">
        <v>5785</v>
      </c>
      <c r="L351" s="15">
        <f t="shared" si="52"/>
        <v>1.0518181818181818</v>
      </c>
      <c r="M351" s="15">
        <f t="shared" si="51"/>
        <v>1.0518181818181818</v>
      </c>
      <c r="N351" s="5" t="s">
        <v>490</v>
      </c>
      <c r="O351" s="5" t="s">
        <v>490</v>
      </c>
      <c r="P351" s="5">
        <v>0</v>
      </c>
      <c r="Q351" s="5">
        <v>0</v>
      </c>
      <c r="R351" s="5" t="str">
        <f>A351&amp;"-"&amp;YEAR(F351)&amp;"-"&amp;IF(LEN(MONTH(F351))=1,"0"&amp;MONTH(F351),MONTH(F351))&amp;"-"&amp;IF(LEN(DAY(F351))=1,"0"&amp;DAY(F351),DAY(F351))</f>
        <v>425-2023-12-31</v>
      </c>
    </row>
    <row r="352" spans="1:18" x14ac:dyDescent="0.3">
      <c r="A352" s="5">
        <v>426</v>
      </c>
      <c r="B352" s="5" t="s">
        <v>319</v>
      </c>
      <c r="C352" s="5" t="s">
        <v>320</v>
      </c>
      <c r="D352" s="5" t="s">
        <v>8</v>
      </c>
      <c r="E352" s="5" t="s">
        <v>9</v>
      </c>
      <c r="F352" s="6">
        <v>45291</v>
      </c>
      <c r="G352" s="5">
        <f t="shared" si="50"/>
        <v>2023</v>
      </c>
      <c r="H352" s="5" t="str">
        <f t="shared" si="46"/>
        <v>Diciembre</v>
      </c>
      <c r="I352" s="6" t="str">
        <f t="shared" si="47"/>
        <v>2023-2</v>
      </c>
      <c r="J352" s="5"/>
      <c r="K352" s="5">
        <v>89.64500000000001</v>
      </c>
      <c r="L352" s="15" t="str">
        <f t="shared" si="52"/>
        <v/>
      </c>
      <c r="M352" s="15" t="str">
        <f t="shared" si="51"/>
        <v/>
      </c>
      <c r="N352" s="5" t="s">
        <v>477</v>
      </c>
      <c r="O352" s="5" t="s">
        <v>347</v>
      </c>
      <c r="P352" s="5">
        <v>0</v>
      </c>
      <c r="Q352" s="5">
        <v>1</v>
      </c>
      <c r="R352" s="5" t="str">
        <f>A352&amp;"-"&amp;YEAR(F352)&amp;"-"&amp;IF(LEN(MONTH(F352))=1,"0"&amp;MONTH(F352),MONTH(F352))&amp;"-"&amp;IF(LEN(DAY(F352))=1,"0"&amp;DAY(F352),DAY(F352))</f>
        <v>426-2023-12-31</v>
      </c>
    </row>
    <row r="353" spans="1:18" x14ac:dyDescent="0.3">
      <c r="A353" s="5">
        <v>427</v>
      </c>
      <c r="B353" s="5" t="s">
        <v>321</v>
      </c>
      <c r="C353" s="5" t="s">
        <v>90</v>
      </c>
      <c r="D353" s="5" t="s">
        <v>8</v>
      </c>
      <c r="E353" s="5" t="s">
        <v>14</v>
      </c>
      <c r="F353" s="6">
        <v>45291</v>
      </c>
      <c r="G353" s="5">
        <f t="shared" si="50"/>
        <v>2023</v>
      </c>
      <c r="H353" s="5" t="str">
        <f t="shared" si="46"/>
        <v>Diciembre</v>
      </c>
      <c r="I353" s="6" t="str">
        <f t="shared" si="47"/>
        <v>2023-2</v>
      </c>
      <c r="J353" s="5">
        <v>0.2</v>
      </c>
      <c r="K353" s="5">
        <v>0.17</v>
      </c>
      <c r="L353" s="15">
        <f>IFERROR(IF((J353/K353)&gt;1,1,J353/K353),"")</f>
        <v>1</v>
      </c>
      <c r="M353" s="15">
        <f>IFERROR(IF((J353/K353)&gt;1,1,J353/K353),"")</f>
        <v>1</v>
      </c>
      <c r="N353" s="5" t="s">
        <v>478</v>
      </c>
      <c r="O353" s="5" t="s">
        <v>478</v>
      </c>
      <c r="P353" s="5">
        <v>1</v>
      </c>
      <c r="Q353" s="5">
        <v>2</v>
      </c>
      <c r="R353" s="5" t="str">
        <f>A353&amp;"-"&amp;YEAR(F353)&amp;"-"&amp;IF(LEN(MONTH(F353))=1,"0"&amp;MONTH(F353),MONTH(F353))&amp;"-"&amp;IF(LEN(DAY(F353))=1,"0"&amp;DAY(F353),DAY(F353))</f>
        <v>427-2023-12-31</v>
      </c>
    </row>
    <row r="354" spans="1:18" x14ac:dyDescent="0.3">
      <c r="A354" s="5">
        <v>428</v>
      </c>
      <c r="B354" s="5" t="s">
        <v>322</v>
      </c>
      <c r="C354" s="5" t="s">
        <v>90</v>
      </c>
      <c r="D354" s="5" t="s">
        <v>8</v>
      </c>
      <c r="E354" s="5" t="s">
        <v>14</v>
      </c>
      <c r="F354" s="6">
        <v>45291</v>
      </c>
      <c r="G354" s="5">
        <f t="shared" si="50"/>
        <v>2023</v>
      </c>
      <c r="H354" s="5" t="str">
        <f t="shared" si="46"/>
        <v>Diciembre</v>
      </c>
      <c r="I354" s="6" t="str">
        <f t="shared" si="47"/>
        <v>2023-2</v>
      </c>
      <c r="J354" s="5">
        <v>20</v>
      </c>
      <c r="K354" s="5">
        <v>18.350000000000001</v>
      </c>
      <c r="L354" s="15">
        <f>IFERROR(IF((J354/K354)&gt;1,1,J354/K354),"")</f>
        <v>1</v>
      </c>
      <c r="M354" s="15">
        <f>IFERROR(IF((J354/K354)&gt;1,1,J354/K354),"")</f>
        <v>1</v>
      </c>
      <c r="N354" s="5" t="s">
        <v>362</v>
      </c>
      <c r="O354" s="5" t="s">
        <v>362</v>
      </c>
      <c r="P354" s="5">
        <v>0</v>
      </c>
      <c r="Q354" s="5">
        <v>1</v>
      </c>
      <c r="R354" s="5" t="str">
        <f>A354&amp;"-"&amp;YEAR(F354)&amp;"-"&amp;IF(LEN(MONTH(F354))=1,"0"&amp;MONTH(F354),MONTH(F354))&amp;"-"&amp;IF(LEN(DAY(F354))=1,"0"&amp;DAY(F354),DAY(F354))</f>
        <v>428-2023-12-31</v>
      </c>
    </row>
    <row r="355" spans="1:18" x14ac:dyDescent="0.3">
      <c r="A355" s="5">
        <v>429</v>
      </c>
      <c r="B355" s="5" t="s">
        <v>323</v>
      </c>
      <c r="C355" s="5" t="s">
        <v>90</v>
      </c>
      <c r="D355" s="5" t="s">
        <v>8</v>
      </c>
      <c r="E355" s="5" t="s">
        <v>14</v>
      </c>
      <c r="F355" s="6">
        <v>45291</v>
      </c>
      <c r="G355" s="5">
        <f t="shared" si="50"/>
        <v>2023</v>
      </c>
      <c r="H355" s="5" t="str">
        <f t="shared" si="46"/>
        <v>Diciembre</v>
      </c>
      <c r="I355" s="6" t="str">
        <f t="shared" si="47"/>
        <v>2023-2</v>
      </c>
      <c r="J355" s="5">
        <v>0.76</v>
      </c>
      <c r="K355" s="5">
        <v>0.48</v>
      </c>
      <c r="L355" s="15">
        <f>IFERROR(IF((J355/K355)&gt;1,1,J355/K355),"")</f>
        <v>1</v>
      </c>
      <c r="M355" s="15">
        <f>IFERROR(IF((J355/K355)&gt;1,1,J355/K355),"")</f>
        <v>1</v>
      </c>
      <c r="N355" s="5" t="s">
        <v>478</v>
      </c>
      <c r="O355" s="5" t="s">
        <v>478</v>
      </c>
      <c r="P355" s="5">
        <v>2</v>
      </c>
      <c r="Q355" s="5">
        <v>2</v>
      </c>
      <c r="R355" s="5" t="str">
        <f>A355&amp;"-"&amp;YEAR(F355)&amp;"-"&amp;IF(LEN(MONTH(F355))=1,"0"&amp;MONTH(F355),MONTH(F355))&amp;"-"&amp;IF(LEN(DAY(F355))=1,"0"&amp;DAY(F355),DAY(F355))</f>
        <v>429-2023-12-31</v>
      </c>
    </row>
    <row r="356" spans="1:18" x14ac:dyDescent="0.3">
      <c r="A356" s="5">
        <v>430</v>
      </c>
      <c r="B356" s="5" t="s">
        <v>324</v>
      </c>
      <c r="C356" s="5" t="s">
        <v>84</v>
      </c>
      <c r="D356" s="5" t="s">
        <v>8</v>
      </c>
      <c r="E356" s="5" t="s">
        <v>9</v>
      </c>
      <c r="F356" s="6">
        <v>45291</v>
      </c>
      <c r="G356" s="5">
        <f t="shared" si="50"/>
        <v>2023</v>
      </c>
      <c r="H356" s="5" t="str">
        <f t="shared" si="46"/>
        <v>Diciembre</v>
      </c>
      <c r="I356" s="6" t="str">
        <f t="shared" si="47"/>
        <v>2023-2</v>
      </c>
      <c r="J356" s="12">
        <v>95</v>
      </c>
      <c r="K356" s="12">
        <v>101.4</v>
      </c>
      <c r="L356" s="15">
        <f>IFERROR(IF((K356/J356)&gt;1.3,1.3,K356/J356),"")</f>
        <v>1.0673684210526317</v>
      </c>
      <c r="M356" s="15">
        <f>IFERROR(K356/J356,"")</f>
        <v>1.0673684210526317</v>
      </c>
      <c r="N356" s="5" t="s">
        <v>347</v>
      </c>
      <c r="O356" s="5" t="s">
        <v>347</v>
      </c>
      <c r="P356" s="5">
        <v>0</v>
      </c>
      <c r="Q356" s="5">
        <v>0</v>
      </c>
      <c r="R356" s="5" t="str">
        <f>A356&amp;"-"&amp;YEAR(F356)&amp;"-"&amp;IF(LEN(MONTH(F356))=1,"0"&amp;MONTH(F356),MONTH(F356))&amp;"-"&amp;IF(LEN(DAY(F356))=1,"0"&amp;DAY(F356),DAY(F356))</f>
        <v>430-2023-12-31</v>
      </c>
    </row>
    <row r="357" spans="1:18" x14ac:dyDescent="0.3">
      <c r="A357" s="5">
        <v>431</v>
      </c>
      <c r="B357" s="5" t="s">
        <v>325</v>
      </c>
      <c r="C357" s="5" t="s">
        <v>24</v>
      </c>
      <c r="D357" s="5" t="s">
        <v>11</v>
      </c>
      <c r="E357" s="5" t="s">
        <v>9</v>
      </c>
      <c r="F357" s="6">
        <v>45291</v>
      </c>
      <c r="G357" s="5">
        <f t="shared" si="50"/>
        <v>2023</v>
      </c>
      <c r="H357" s="5" t="str">
        <f t="shared" si="46"/>
        <v>Diciembre</v>
      </c>
      <c r="I357" s="6" t="str">
        <f t="shared" si="47"/>
        <v>2023-2</v>
      </c>
      <c r="J357" s="5">
        <v>100</v>
      </c>
      <c r="K357" s="5">
        <v>100</v>
      </c>
      <c r="L357" s="15">
        <f>IFERROR(IF((K357/J357)&gt;1.3,1.3,K357/J357),"")</f>
        <v>1</v>
      </c>
      <c r="M357" s="15">
        <f>IFERROR(K357/J357,"")</f>
        <v>1</v>
      </c>
      <c r="N357" s="5" t="s">
        <v>347</v>
      </c>
      <c r="O357" s="5" t="s">
        <v>347</v>
      </c>
      <c r="P357" s="5">
        <v>0</v>
      </c>
      <c r="Q357" s="5">
        <v>0</v>
      </c>
      <c r="R357" s="5" t="str">
        <f>A357&amp;"-"&amp;YEAR(F357)&amp;"-"&amp;IF(LEN(MONTH(F357))=1,"0"&amp;MONTH(F357),MONTH(F357))&amp;"-"&amp;IF(LEN(DAY(F357))=1,"0"&amp;DAY(F357),DAY(F357))</f>
        <v>431-2023-12-31</v>
      </c>
    </row>
    <row r="358" spans="1:18" x14ac:dyDescent="0.3">
      <c r="A358" s="5">
        <v>432</v>
      </c>
      <c r="B358" s="5" t="s">
        <v>326</v>
      </c>
      <c r="C358" s="5" t="s">
        <v>24</v>
      </c>
      <c r="D358" s="5" t="s">
        <v>11</v>
      </c>
      <c r="E358" s="5" t="s">
        <v>9</v>
      </c>
      <c r="F358" s="6">
        <v>45291</v>
      </c>
      <c r="G358" s="5">
        <f t="shared" si="50"/>
        <v>2023</v>
      </c>
      <c r="H358" s="5" t="str">
        <f t="shared" si="46"/>
        <v>Diciembre</v>
      </c>
      <c r="I358" s="6" t="str">
        <f t="shared" si="47"/>
        <v>2023-2</v>
      </c>
      <c r="J358" s="5">
        <v>90</v>
      </c>
      <c r="K358" s="5">
        <v>98.77</v>
      </c>
      <c r="L358" s="15">
        <f>IFERROR(IF((K358/J358)&gt;1.3,1.3,K358/J358),"")</f>
        <v>1.0974444444444444</v>
      </c>
      <c r="M358" s="15">
        <f>IFERROR(K358/J358,"")</f>
        <v>1.0974444444444444</v>
      </c>
      <c r="N358" s="5" t="s">
        <v>347</v>
      </c>
      <c r="O358" s="5" t="s">
        <v>347</v>
      </c>
      <c r="P358" s="5">
        <v>0</v>
      </c>
      <c r="Q358" s="5">
        <v>1</v>
      </c>
      <c r="R358" s="5" t="str">
        <f>A358&amp;"-"&amp;YEAR(F358)&amp;"-"&amp;IF(LEN(MONTH(F358))=1,"0"&amp;MONTH(F358),MONTH(F358))&amp;"-"&amp;IF(LEN(DAY(F358))=1,"0"&amp;DAY(F358),DAY(F358))</f>
        <v>432-2023-12-31</v>
      </c>
    </row>
    <row r="359" spans="1:18" s="48" customFormat="1" x14ac:dyDescent="0.3">
      <c r="A359" s="5">
        <v>433</v>
      </c>
      <c r="B359" s="5" t="s">
        <v>416</v>
      </c>
      <c r="C359" s="5" t="s">
        <v>90</v>
      </c>
      <c r="D359" s="5" t="s">
        <v>8</v>
      </c>
      <c r="E359" s="5" t="s">
        <v>14</v>
      </c>
      <c r="F359" s="6">
        <v>45291</v>
      </c>
      <c r="G359" s="5">
        <f t="shared" si="50"/>
        <v>2023</v>
      </c>
      <c r="H359" s="5" t="str">
        <f t="shared" si="46"/>
        <v>Diciembre</v>
      </c>
      <c r="I359" s="6" t="str">
        <f t="shared" si="47"/>
        <v>2023-2</v>
      </c>
      <c r="J359" s="5">
        <v>0.05</v>
      </c>
      <c r="K359" s="5">
        <v>0.04</v>
      </c>
      <c r="L359" s="15">
        <f>IFERROR(IF((K359/J359)&gt;1.3,1.3,K359/J359),"")</f>
        <v>0.79999999999999993</v>
      </c>
      <c r="M359" s="15">
        <f>IF(K359&lt;J359,1,IF(K359&gt;J359,0,K359&lt;J67148))</f>
        <v>1</v>
      </c>
      <c r="N359" s="5" t="s">
        <v>478</v>
      </c>
      <c r="O359" s="5" t="s">
        <v>478</v>
      </c>
      <c r="P359" s="5">
        <v>2</v>
      </c>
      <c r="Q359" s="5">
        <v>2</v>
      </c>
      <c r="R359" s="5" t="str">
        <f>A359&amp;"-"&amp;YEAR(F359)&amp;"-"&amp;IF(LEN(MONTH(F359))=1,"0"&amp;MONTH(F359),MONTH(F359))&amp;"-"&amp;IF(LEN(DAY(F359))=1,"0"&amp;DAY(F359),DAY(F359))</f>
        <v>433-2023-12-31</v>
      </c>
    </row>
    <row r="360" spans="1:18" x14ac:dyDescent="0.3">
      <c r="A360" s="5">
        <v>434</v>
      </c>
      <c r="B360" s="5" t="s">
        <v>463</v>
      </c>
      <c r="C360" s="5" t="s">
        <v>90</v>
      </c>
      <c r="D360" s="5" t="s">
        <v>18</v>
      </c>
      <c r="E360" s="5" t="s">
        <v>14</v>
      </c>
      <c r="F360" s="6">
        <v>45291</v>
      </c>
      <c r="G360" s="5">
        <f t="shared" si="50"/>
        <v>2023</v>
      </c>
      <c r="H360" s="5" t="str">
        <f t="shared" si="46"/>
        <v>Diciembre</v>
      </c>
      <c r="I360" s="6" t="str">
        <f t="shared" si="47"/>
        <v>2023-2</v>
      </c>
      <c r="J360" s="5"/>
      <c r="K360" s="5">
        <v>2256.73</v>
      </c>
      <c r="L360" s="15"/>
      <c r="M360" s="15"/>
      <c r="N360" s="5" t="s">
        <v>477</v>
      </c>
      <c r="O360" s="5" t="s">
        <v>492</v>
      </c>
      <c r="P360" s="5">
        <v>0</v>
      </c>
      <c r="Q360" s="5">
        <v>0</v>
      </c>
      <c r="R360" s="5" t="str">
        <f>A360&amp;"-"&amp;YEAR(F360)&amp;"-"&amp;IF(LEN(MONTH(F360))=1,"0"&amp;MONTH(F360),MONTH(F360))&amp;"-"&amp;IF(LEN(DAY(F360))=1,"0"&amp;DAY(F360),DAY(F360))</f>
        <v>434-2023-12-31</v>
      </c>
    </row>
    <row r="361" spans="1:18" x14ac:dyDescent="0.3">
      <c r="A361" s="5">
        <v>435</v>
      </c>
      <c r="B361" s="5" t="s">
        <v>464</v>
      </c>
      <c r="C361" s="5" t="s">
        <v>90</v>
      </c>
      <c r="D361" s="5" t="s">
        <v>8</v>
      </c>
      <c r="E361" s="5" t="s">
        <v>9</v>
      </c>
      <c r="F361" s="6">
        <v>45291</v>
      </c>
      <c r="G361" s="5">
        <f t="shared" si="50"/>
        <v>2023</v>
      </c>
      <c r="H361" s="5" t="str">
        <f t="shared" si="46"/>
        <v>Diciembre</v>
      </c>
      <c r="I361" s="6" t="str">
        <f t="shared" si="47"/>
        <v>2023-2</v>
      </c>
      <c r="J361" s="5"/>
      <c r="K361" s="5">
        <v>-52.9</v>
      </c>
      <c r="L361" s="15">
        <v>0</v>
      </c>
      <c r="M361" s="78">
        <v>0</v>
      </c>
      <c r="N361" s="5" t="s">
        <v>347</v>
      </c>
      <c r="O361" s="5" t="s">
        <v>347</v>
      </c>
      <c r="P361" s="5">
        <v>2</v>
      </c>
      <c r="Q361" s="5">
        <v>2</v>
      </c>
      <c r="R361" s="5" t="str">
        <f>A361&amp;"-"&amp;YEAR(F361)&amp;"-"&amp;IF(LEN(MONTH(F361))=1,"0"&amp;MONTH(F361),MONTH(F361))&amp;"-"&amp;IF(LEN(DAY(F361))=1,"0"&amp;DAY(F361),DAY(F361))</f>
        <v>435-2023-12-31</v>
      </c>
    </row>
    <row r="362" spans="1:18" x14ac:dyDescent="0.3">
      <c r="A362" s="5">
        <v>436</v>
      </c>
      <c r="B362" s="5" t="s">
        <v>69</v>
      </c>
      <c r="C362" s="5" t="s">
        <v>45</v>
      </c>
      <c r="D362" s="5" t="s">
        <v>18</v>
      </c>
      <c r="E362" s="5" t="s">
        <v>14</v>
      </c>
      <c r="F362" s="6">
        <v>45291</v>
      </c>
      <c r="G362" s="5">
        <f t="shared" si="50"/>
        <v>2023</v>
      </c>
      <c r="H362" s="5" t="str">
        <f t="shared" si="46"/>
        <v>Diciembre</v>
      </c>
      <c r="I362" s="6" t="str">
        <f t="shared" si="47"/>
        <v>2023-2</v>
      </c>
      <c r="J362" s="5">
        <v>21</v>
      </c>
      <c r="K362" s="5">
        <v>11.07</v>
      </c>
      <c r="L362" s="15">
        <f>IFERROR(IF((J362/K362)&gt;1.3,1.3,J362/K362),"")</f>
        <v>1.3</v>
      </c>
      <c r="M362" s="15">
        <f>IFERROR(IF((J362/K362)&gt;J362/K362,1.3,J362/K362),"")</f>
        <v>1.8970189701897018</v>
      </c>
      <c r="N362" s="5" t="s">
        <v>479</v>
      </c>
      <c r="O362" s="5" t="s">
        <v>479</v>
      </c>
      <c r="P362" s="5">
        <v>0</v>
      </c>
      <c r="Q362" s="5">
        <v>1</v>
      </c>
      <c r="R362" s="5" t="str">
        <f>A362&amp;"-"&amp;YEAR(F362)&amp;"-"&amp;IF(LEN(MONTH(F362))=1,"0"&amp;MONTH(F362),MONTH(F362))&amp;"-"&amp;IF(LEN(DAY(F362))=1,"0"&amp;DAY(F362),DAY(F362))</f>
        <v>436-2023-12-31</v>
      </c>
    </row>
    <row r="363" spans="1:18" x14ac:dyDescent="0.3">
      <c r="A363" s="5">
        <v>437</v>
      </c>
      <c r="B363" s="5" t="s">
        <v>465</v>
      </c>
      <c r="C363" s="5" t="s">
        <v>182</v>
      </c>
      <c r="D363" s="5" t="s">
        <v>25</v>
      </c>
      <c r="E363" s="5" t="s">
        <v>9</v>
      </c>
      <c r="F363" s="6">
        <v>45291</v>
      </c>
      <c r="G363" s="5">
        <f t="shared" si="50"/>
        <v>2023</v>
      </c>
      <c r="H363" s="5" t="str">
        <f t="shared" si="46"/>
        <v>Diciembre</v>
      </c>
      <c r="I363" s="6" t="str">
        <f t="shared" si="47"/>
        <v>2023-2</v>
      </c>
      <c r="J363" s="5">
        <v>80</v>
      </c>
      <c r="K363" s="5">
        <v>96.239806704922998</v>
      </c>
      <c r="L363" s="15">
        <f t="shared" ref="L363:L371" si="53">IFERROR(IF((K363/J363)&gt;1.3,1.3,K363/J363),"")</f>
        <v>1.2029975838115374</v>
      </c>
      <c r="M363" s="15">
        <f t="shared" ref="M363:M371" si="54">IFERROR(K363/J363,"")</f>
        <v>1.2029975838115374</v>
      </c>
      <c r="N363" s="5" t="s">
        <v>347</v>
      </c>
      <c r="O363" s="5" t="s">
        <v>347</v>
      </c>
      <c r="P363" s="5">
        <v>0</v>
      </c>
      <c r="Q363" s="5">
        <v>0</v>
      </c>
      <c r="R363" s="5" t="str">
        <f>A363&amp;"-"&amp;YEAR(F363)&amp;"-"&amp;IF(LEN(MONTH(F363))=1,"0"&amp;MONTH(F363),MONTH(F363))&amp;"-"&amp;IF(LEN(DAY(F363))=1,"0"&amp;DAY(F363),DAY(F363))</f>
        <v>437-2023-12-31</v>
      </c>
    </row>
    <row r="364" spans="1:18" x14ac:dyDescent="0.3">
      <c r="A364" s="5">
        <v>438</v>
      </c>
      <c r="B364" s="5" t="s">
        <v>466</v>
      </c>
      <c r="C364" s="5" t="s">
        <v>762</v>
      </c>
      <c r="D364" s="5" t="s">
        <v>8</v>
      </c>
      <c r="E364" s="5" t="s">
        <v>9</v>
      </c>
      <c r="F364" s="6">
        <v>45291</v>
      </c>
      <c r="G364" s="5">
        <f t="shared" si="50"/>
        <v>2023</v>
      </c>
      <c r="H364" s="5" t="str">
        <f t="shared" si="46"/>
        <v>Diciembre</v>
      </c>
      <c r="I364" s="6" t="str">
        <f t="shared" si="47"/>
        <v>2023-2</v>
      </c>
      <c r="J364" s="5">
        <v>100</v>
      </c>
      <c r="K364" s="5">
        <v>100</v>
      </c>
      <c r="L364" s="15">
        <f t="shared" si="53"/>
        <v>1</v>
      </c>
      <c r="M364" s="15">
        <f t="shared" si="54"/>
        <v>1</v>
      </c>
      <c r="N364" s="5" t="s">
        <v>490</v>
      </c>
      <c r="O364" s="5" t="s">
        <v>490</v>
      </c>
      <c r="P364" s="5">
        <v>0</v>
      </c>
      <c r="Q364" s="5">
        <v>0</v>
      </c>
      <c r="R364" s="5" t="str">
        <f>A364&amp;"-"&amp;YEAR(F364)&amp;"-"&amp;IF(LEN(MONTH(F364))=1,"0"&amp;MONTH(F364),MONTH(F364))&amp;"-"&amp;IF(LEN(DAY(F364))=1,"0"&amp;DAY(F364),DAY(F364))</f>
        <v>438-2023-12-31</v>
      </c>
    </row>
    <row r="365" spans="1:18" x14ac:dyDescent="0.3">
      <c r="A365" s="5">
        <v>439</v>
      </c>
      <c r="B365" s="5" t="s">
        <v>467</v>
      </c>
      <c r="C365" s="5" t="s">
        <v>762</v>
      </c>
      <c r="D365" s="5" t="s">
        <v>8</v>
      </c>
      <c r="E365" s="5" t="s">
        <v>9</v>
      </c>
      <c r="F365" s="6">
        <v>45291</v>
      </c>
      <c r="G365" s="5">
        <f t="shared" si="50"/>
        <v>2023</v>
      </c>
      <c r="H365" s="5" t="str">
        <f t="shared" si="46"/>
        <v>Diciembre</v>
      </c>
      <c r="I365" s="6" t="str">
        <f t="shared" si="47"/>
        <v>2023-2</v>
      </c>
      <c r="J365" s="5">
        <v>100</v>
      </c>
      <c r="K365" s="5">
        <v>100</v>
      </c>
      <c r="L365" s="15">
        <f t="shared" si="53"/>
        <v>1</v>
      </c>
      <c r="M365" s="15">
        <f t="shared" si="54"/>
        <v>1</v>
      </c>
      <c r="N365" s="5" t="s">
        <v>347</v>
      </c>
      <c r="O365" s="5" t="s">
        <v>347</v>
      </c>
      <c r="P365" s="5">
        <v>0</v>
      </c>
      <c r="Q365" s="5">
        <v>0</v>
      </c>
      <c r="R365" s="5" t="str">
        <f>A365&amp;"-"&amp;YEAR(F365)&amp;"-"&amp;IF(LEN(MONTH(F365))=1,"0"&amp;MONTH(F365),MONTH(F365))&amp;"-"&amp;IF(LEN(DAY(F365))=1,"0"&amp;DAY(F365),DAY(F365))</f>
        <v>439-2023-12-31</v>
      </c>
    </row>
    <row r="366" spans="1:18" x14ac:dyDescent="0.3">
      <c r="A366" s="5">
        <v>440</v>
      </c>
      <c r="B366" s="5" t="s">
        <v>468</v>
      </c>
      <c r="C366" s="5" t="s">
        <v>762</v>
      </c>
      <c r="D366" s="5" t="s">
        <v>8</v>
      </c>
      <c r="E366" s="5" t="s">
        <v>9</v>
      </c>
      <c r="F366" s="6">
        <v>45291</v>
      </c>
      <c r="G366" s="5">
        <f t="shared" si="50"/>
        <v>2023</v>
      </c>
      <c r="H366" s="5" t="str">
        <f t="shared" si="46"/>
        <v>Diciembre</v>
      </c>
      <c r="I366" s="6" t="str">
        <f t="shared" si="47"/>
        <v>2023-2</v>
      </c>
      <c r="J366" s="5">
        <v>98</v>
      </c>
      <c r="K366" s="5">
        <v>97.75</v>
      </c>
      <c r="L366" s="15">
        <f t="shared" si="53"/>
        <v>0.99744897959183676</v>
      </c>
      <c r="M366" s="15">
        <f t="shared" si="54"/>
        <v>0.99744897959183676</v>
      </c>
      <c r="N366" s="5" t="s">
        <v>347</v>
      </c>
      <c r="O366" s="5" t="s">
        <v>347</v>
      </c>
      <c r="P366" s="5">
        <v>0</v>
      </c>
      <c r="Q366" s="5">
        <v>1</v>
      </c>
      <c r="R366" s="5" t="str">
        <f>A366&amp;"-"&amp;YEAR(F366)&amp;"-"&amp;IF(LEN(MONTH(F366))=1,"0"&amp;MONTH(F366),MONTH(F366))&amp;"-"&amp;IF(LEN(DAY(F366))=1,"0"&amp;DAY(F366),DAY(F366))</f>
        <v>440-2023-12-31</v>
      </c>
    </row>
    <row r="367" spans="1:18" x14ac:dyDescent="0.3">
      <c r="A367" s="5">
        <v>460</v>
      </c>
      <c r="B367" s="5" t="s">
        <v>228</v>
      </c>
      <c r="C367" s="5" t="s">
        <v>13</v>
      </c>
      <c r="D367" s="5" t="s">
        <v>25</v>
      </c>
      <c r="E367" s="5" t="s">
        <v>9</v>
      </c>
      <c r="F367" s="6">
        <v>45291</v>
      </c>
      <c r="G367" s="16">
        <f t="shared" si="50"/>
        <v>2023</v>
      </c>
      <c r="H367" s="6" t="str">
        <f t="shared" si="46"/>
        <v>Diciembre</v>
      </c>
      <c r="I367" s="6" t="str">
        <f t="shared" si="47"/>
        <v>2023-2</v>
      </c>
      <c r="J367" s="5"/>
      <c r="K367" s="5">
        <v>94.85</v>
      </c>
      <c r="L367" s="15" t="str">
        <f t="shared" si="53"/>
        <v/>
      </c>
      <c r="M367" s="15" t="str">
        <f t="shared" si="54"/>
        <v/>
      </c>
      <c r="N367" s="5" t="s">
        <v>477</v>
      </c>
      <c r="O367" s="58" t="s">
        <v>347</v>
      </c>
      <c r="P367" s="5">
        <v>0</v>
      </c>
      <c r="Q367" s="5">
        <v>0</v>
      </c>
      <c r="R367" s="5" t="str">
        <f>A367&amp;"-"&amp;YEAR(F367)&amp;"-"&amp;IF(LEN(MONTH(F367))=1,"0"&amp;MONTH(F367),MONTH(F367))&amp;"-"&amp;IF(LEN(DAY(F367))=1,"0"&amp;DAY(F367),DAY(F367))</f>
        <v>460-2023-12-31</v>
      </c>
    </row>
    <row r="368" spans="1:18" x14ac:dyDescent="0.3">
      <c r="A368" s="5">
        <v>466</v>
      </c>
      <c r="B368" s="5" t="s">
        <v>525</v>
      </c>
      <c r="C368" s="5" t="s">
        <v>74</v>
      </c>
      <c r="D368" s="5" t="s">
        <v>8</v>
      </c>
      <c r="E368" s="5" t="s">
        <v>9</v>
      </c>
      <c r="F368" s="6">
        <v>45291</v>
      </c>
      <c r="G368" s="5">
        <f t="shared" si="50"/>
        <v>2023</v>
      </c>
      <c r="H368" s="5" t="str">
        <f t="shared" si="46"/>
        <v>Diciembre</v>
      </c>
      <c r="I368" s="6" t="str">
        <f t="shared" si="47"/>
        <v>2023-2</v>
      </c>
      <c r="J368" s="5">
        <v>42</v>
      </c>
      <c r="K368" s="5">
        <v>53.34</v>
      </c>
      <c r="L368" s="15">
        <f t="shared" si="53"/>
        <v>1.27</v>
      </c>
      <c r="M368" s="15">
        <f t="shared" si="54"/>
        <v>1.27</v>
      </c>
      <c r="N368" s="5" t="s">
        <v>490</v>
      </c>
      <c r="O368" s="5" t="s">
        <v>478</v>
      </c>
      <c r="P368" s="5">
        <v>1</v>
      </c>
      <c r="Q368" s="5">
        <v>1</v>
      </c>
      <c r="R368" s="5" t="str">
        <f>A368&amp;"-"&amp;YEAR(F368)&amp;"-"&amp;IF(LEN(MONTH(F368))=1,"0"&amp;MONTH(F368),MONTH(F368))&amp;"-"&amp;IF(LEN(DAY(F368))=1,"0"&amp;DAY(F368),DAY(F368))</f>
        <v>466-2023-12-31</v>
      </c>
    </row>
    <row r="369" spans="1:18" x14ac:dyDescent="0.3">
      <c r="A369" s="5">
        <v>476</v>
      </c>
      <c r="B369" s="5" t="s">
        <v>725</v>
      </c>
      <c r="C369" s="5" t="s">
        <v>129</v>
      </c>
      <c r="D369" s="5" t="s">
        <v>8</v>
      </c>
      <c r="E369" s="5" t="s">
        <v>9</v>
      </c>
      <c r="F369" s="6">
        <v>45291</v>
      </c>
      <c r="G369" s="16">
        <f t="shared" si="50"/>
        <v>2023</v>
      </c>
      <c r="H369" s="6" t="str">
        <f t="shared" si="46"/>
        <v>Diciembre</v>
      </c>
      <c r="I369" s="6" t="str">
        <f t="shared" si="47"/>
        <v>2023-2</v>
      </c>
      <c r="J369" s="5">
        <v>98</v>
      </c>
      <c r="K369" s="5">
        <v>98</v>
      </c>
      <c r="L369" s="15">
        <f t="shared" si="53"/>
        <v>1</v>
      </c>
      <c r="M369" s="15">
        <f t="shared" si="54"/>
        <v>1</v>
      </c>
      <c r="N369" s="5" t="s">
        <v>490</v>
      </c>
      <c r="O369" s="5" t="s">
        <v>490</v>
      </c>
      <c r="P369" s="5">
        <v>0</v>
      </c>
      <c r="Q369" s="5">
        <v>0</v>
      </c>
      <c r="R369" s="5" t="str">
        <f>A369&amp;"-"&amp;YEAR(F369)&amp;"-"&amp;IF(LEN(MONTH(F369))=1,"0"&amp;MONTH(F369),MONTH(F369))&amp;"-"&amp;IF(LEN(DAY(F369))=1,"0"&amp;DAY(F369),DAY(F369))</f>
        <v>476-2023-12-31</v>
      </c>
    </row>
    <row r="370" spans="1:18" x14ac:dyDescent="0.3">
      <c r="A370" s="5">
        <v>518</v>
      </c>
      <c r="B370" s="5" t="s">
        <v>19</v>
      </c>
      <c r="C370" s="5" t="s">
        <v>20</v>
      </c>
      <c r="D370" s="5" t="s">
        <v>21</v>
      </c>
      <c r="E370" s="5" t="s">
        <v>9</v>
      </c>
      <c r="F370" s="6">
        <v>45291</v>
      </c>
      <c r="G370" s="16">
        <f t="shared" si="50"/>
        <v>2023</v>
      </c>
      <c r="H370" s="6" t="str">
        <f t="shared" si="46"/>
        <v>Diciembre</v>
      </c>
      <c r="I370" s="6" t="str">
        <f t="shared" si="47"/>
        <v>2023-2</v>
      </c>
      <c r="J370" s="5">
        <v>100</v>
      </c>
      <c r="K370" s="5">
        <v>122</v>
      </c>
      <c r="L370" s="15">
        <f t="shared" si="53"/>
        <v>1.22</v>
      </c>
      <c r="M370" s="15">
        <f t="shared" si="54"/>
        <v>1.22</v>
      </c>
      <c r="N370" s="5" t="s">
        <v>347</v>
      </c>
      <c r="O370" s="5" t="s">
        <v>347</v>
      </c>
      <c r="P370" s="5">
        <v>0</v>
      </c>
      <c r="Q370" s="5">
        <v>0</v>
      </c>
      <c r="R370" s="5" t="str">
        <f>A370&amp;"-"&amp;YEAR(F370)&amp;"-"&amp;IF(LEN(MONTH(F370))=1,"0"&amp;MONTH(F370),MONTH(F370))&amp;"-"&amp;IF(LEN(DAY(F370))=1,"0"&amp;DAY(F370),DAY(F370))</f>
        <v>518-2023-12-31</v>
      </c>
    </row>
    <row r="371" spans="1:18" x14ac:dyDescent="0.3">
      <c r="A371" s="5">
        <v>921</v>
      </c>
      <c r="B371" s="5" t="s">
        <v>831</v>
      </c>
      <c r="C371" s="5" t="s">
        <v>343</v>
      </c>
      <c r="D371" s="5" t="s">
        <v>18</v>
      </c>
      <c r="E371" s="5" t="s">
        <v>9</v>
      </c>
      <c r="F371" s="6">
        <v>45291</v>
      </c>
      <c r="G371" s="16">
        <f t="shared" si="50"/>
        <v>2023</v>
      </c>
      <c r="H371" s="6" t="str">
        <f t="shared" si="46"/>
        <v>Diciembre</v>
      </c>
      <c r="I371" s="6" t="str">
        <f t="shared" si="47"/>
        <v>2023-2</v>
      </c>
      <c r="J371" s="5">
        <v>100</v>
      </c>
      <c r="K371" s="5">
        <v>100</v>
      </c>
      <c r="L371" s="15">
        <f t="shared" si="53"/>
        <v>1</v>
      </c>
      <c r="M371" s="15">
        <f t="shared" si="54"/>
        <v>1</v>
      </c>
      <c r="N371" s="5" t="s">
        <v>347</v>
      </c>
      <c r="O371" s="5" t="s">
        <v>347</v>
      </c>
      <c r="P371" s="5">
        <v>0</v>
      </c>
      <c r="Q371" s="5">
        <v>0</v>
      </c>
      <c r="R371" s="5" t="str">
        <f>A371&amp;"-"&amp;YEAR(F371)&amp;"-"&amp;IF(LEN(MONTH(F371))=1,"0"&amp;MONTH(F371),MONTH(F371))&amp;"-"&amp;IF(LEN(DAY(F371))=1,"0"&amp;DAY(F371),DAY(F371))</f>
        <v>921-2023-12-31</v>
      </c>
    </row>
    <row r="372" spans="1:18" x14ac:dyDescent="0.3">
      <c r="A372" s="5">
        <v>925</v>
      </c>
      <c r="B372" s="5" t="s">
        <v>839</v>
      </c>
      <c r="C372" s="5" t="s">
        <v>84</v>
      </c>
      <c r="D372" s="5" t="s">
        <v>18</v>
      </c>
      <c r="E372" s="5" t="s">
        <v>9</v>
      </c>
      <c r="F372" s="6">
        <v>45291</v>
      </c>
      <c r="G372" s="16">
        <f t="shared" si="50"/>
        <v>2023</v>
      </c>
      <c r="H372" s="6" t="str">
        <f t="shared" si="46"/>
        <v>Diciembre</v>
      </c>
      <c r="I372" s="6" t="str">
        <f t="shared" si="47"/>
        <v>2023-2</v>
      </c>
      <c r="J372" s="34">
        <v>100</v>
      </c>
      <c r="K372" s="34">
        <v>100</v>
      </c>
      <c r="L372" s="15">
        <f>IFERROR(IF((K372/J372)&gt;1,1,K372/J372),"")</f>
        <v>1</v>
      </c>
      <c r="M372" s="15">
        <f>IFERROR(IF((K372/J372)&gt;1,1,K372/J372),"")</f>
        <v>1</v>
      </c>
      <c r="N372" s="5" t="s">
        <v>347</v>
      </c>
      <c r="O372" s="5" t="s">
        <v>347</v>
      </c>
      <c r="P372" s="5">
        <v>0</v>
      </c>
      <c r="Q372" s="5">
        <v>0</v>
      </c>
      <c r="R372" s="5" t="str">
        <f>A372&amp;"-"&amp;YEAR(F372)&amp;"-"&amp;IF(LEN(MONTH(F372))=1,"0"&amp;MONTH(F372),MONTH(F372))&amp;"-"&amp;IF(LEN(DAY(F372))=1,"0"&amp;DAY(F372),DAY(F372))</f>
        <v>925-2023-12-31</v>
      </c>
    </row>
    <row r="373" spans="1:18" x14ac:dyDescent="0.3">
      <c r="A373" s="5" t="s">
        <v>424</v>
      </c>
      <c r="B373" s="5" t="s">
        <v>425</v>
      </c>
      <c r="C373" s="5" t="s">
        <v>158</v>
      </c>
      <c r="D373" s="5" t="s">
        <v>18</v>
      </c>
      <c r="E373" s="5" t="s">
        <v>9</v>
      </c>
      <c r="F373" s="6">
        <v>45291</v>
      </c>
      <c r="G373" s="16">
        <f t="shared" si="50"/>
        <v>2023</v>
      </c>
      <c r="H373" s="6" t="str">
        <f t="shared" si="46"/>
        <v>Diciembre</v>
      </c>
      <c r="I373" s="6" t="str">
        <f t="shared" si="47"/>
        <v>2023-2</v>
      </c>
      <c r="J373" s="5">
        <v>100</v>
      </c>
      <c r="K373" s="5">
        <v>100</v>
      </c>
      <c r="L373" s="15">
        <f t="shared" ref="L373:L392" si="55">IFERROR(IF((K373/J373)&gt;1.3,1.3,K373/J373),"")</f>
        <v>1</v>
      </c>
      <c r="M373" s="15">
        <f t="shared" ref="M373:M392" si="56">IFERROR(K373/J373,"")</f>
        <v>1</v>
      </c>
      <c r="N373" s="5" t="s">
        <v>347</v>
      </c>
      <c r="O373" s="5" t="s">
        <v>347</v>
      </c>
      <c r="P373" s="5">
        <v>0</v>
      </c>
      <c r="Q373" s="5">
        <v>0</v>
      </c>
      <c r="R373" s="5" t="str">
        <f>A373&amp;"-"&amp;YEAR(F373)&amp;"-"&amp;IF(LEN(MONTH(F373))=1,"0"&amp;MONTH(F373),MONTH(F373))&amp;"-"&amp;IF(LEN(DAY(F373))=1,"0"&amp;DAY(F373),DAY(F373))</f>
        <v>10.1-2023-12-31</v>
      </c>
    </row>
    <row r="374" spans="1:18" x14ac:dyDescent="0.3">
      <c r="A374" s="5" t="s">
        <v>435</v>
      </c>
      <c r="B374" s="5" t="s">
        <v>39</v>
      </c>
      <c r="C374" s="5" t="s">
        <v>131</v>
      </c>
      <c r="D374" s="5" t="s">
        <v>25</v>
      </c>
      <c r="E374" s="5" t="s">
        <v>9</v>
      </c>
      <c r="F374" s="6">
        <v>45291</v>
      </c>
      <c r="G374" s="5">
        <v>2023</v>
      </c>
      <c r="H374" s="5" t="str">
        <f t="shared" si="46"/>
        <v>Diciembre</v>
      </c>
      <c r="I374" s="6" t="str">
        <f t="shared" si="47"/>
        <v>2023-2</v>
      </c>
      <c r="J374" s="5">
        <v>80</v>
      </c>
      <c r="K374" s="5">
        <v>92.953627628463991</v>
      </c>
      <c r="L374" s="15">
        <f t="shared" si="55"/>
        <v>1.1619203453557998</v>
      </c>
      <c r="M374" s="15">
        <f t="shared" si="56"/>
        <v>1.1619203453557998</v>
      </c>
      <c r="N374" s="5" t="s">
        <v>347</v>
      </c>
      <c r="O374" s="5" t="s">
        <v>347</v>
      </c>
      <c r="P374" s="5">
        <v>0</v>
      </c>
      <c r="Q374" s="5">
        <v>0</v>
      </c>
      <c r="R374" s="5" t="str">
        <f>A374&amp;"-"&amp;YEAR(F374)&amp;"-"&amp;IF(LEN(MONTH(F374))=1,"0"&amp;MONTH(F374),MONTH(F374))&amp;"-"&amp;IF(LEN(DAY(F374))=1,"0"&amp;DAY(F374),DAY(F374))</f>
        <v>108.1-2023-12-31</v>
      </c>
    </row>
    <row r="375" spans="1:18" x14ac:dyDescent="0.3">
      <c r="A375" s="5" t="s">
        <v>451</v>
      </c>
      <c r="B375" s="5" t="s">
        <v>39</v>
      </c>
      <c r="C375" s="5" t="s">
        <v>152</v>
      </c>
      <c r="D375" s="5" t="s">
        <v>25</v>
      </c>
      <c r="E375" s="5" t="s">
        <v>9</v>
      </c>
      <c r="F375" s="6">
        <v>45291</v>
      </c>
      <c r="G375" s="5">
        <v>2023</v>
      </c>
      <c r="H375" s="5" t="str">
        <f t="shared" si="46"/>
        <v>Diciembre</v>
      </c>
      <c r="I375" s="6" t="str">
        <f t="shared" si="47"/>
        <v>2023-2</v>
      </c>
      <c r="J375" s="5">
        <v>80</v>
      </c>
      <c r="K375" s="5">
        <v>89.440265168623696</v>
      </c>
      <c r="L375" s="15">
        <f t="shared" si="55"/>
        <v>1.1180033146077961</v>
      </c>
      <c r="M375" s="15">
        <f t="shared" si="56"/>
        <v>1.1180033146077961</v>
      </c>
      <c r="N375" s="5" t="s">
        <v>347</v>
      </c>
      <c r="O375" s="5" t="s">
        <v>347</v>
      </c>
      <c r="P375" s="5">
        <v>0</v>
      </c>
      <c r="Q375" s="5">
        <v>0</v>
      </c>
      <c r="R375" s="5" t="str">
        <f>A375&amp;"-"&amp;YEAR(F375)&amp;"-"&amp;IF(LEN(MONTH(F375))=1,"0"&amp;MONTH(F375),MONTH(F375))&amp;"-"&amp;IF(LEN(DAY(F375))=1,"0"&amp;DAY(F375),DAY(F375))</f>
        <v>108.10-2023-12-31</v>
      </c>
    </row>
    <row r="376" spans="1:18" x14ac:dyDescent="0.3">
      <c r="A376" s="5" t="s">
        <v>452</v>
      </c>
      <c r="B376" s="5" t="s">
        <v>39</v>
      </c>
      <c r="C376" s="5" t="s">
        <v>134</v>
      </c>
      <c r="D376" s="5" t="s">
        <v>25</v>
      </c>
      <c r="E376" s="5" t="s">
        <v>9</v>
      </c>
      <c r="F376" s="6">
        <v>45291</v>
      </c>
      <c r="G376" s="5">
        <v>2023</v>
      </c>
      <c r="H376" s="5" t="str">
        <f t="shared" si="46"/>
        <v>Diciembre</v>
      </c>
      <c r="I376" s="6" t="str">
        <f t="shared" si="47"/>
        <v>2023-2</v>
      </c>
      <c r="J376" s="5">
        <v>80</v>
      </c>
      <c r="K376" s="5">
        <v>96.689723320158109</v>
      </c>
      <c r="L376" s="15">
        <f t="shared" si="55"/>
        <v>1.2086215415019763</v>
      </c>
      <c r="M376" s="15">
        <f t="shared" si="56"/>
        <v>1.2086215415019763</v>
      </c>
      <c r="N376" s="5" t="s">
        <v>347</v>
      </c>
      <c r="O376" s="5" t="s">
        <v>347</v>
      </c>
      <c r="P376" s="5">
        <v>0</v>
      </c>
      <c r="Q376" s="5">
        <v>0</v>
      </c>
      <c r="R376" s="5" t="str">
        <f>A376&amp;"-"&amp;YEAR(F376)&amp;"-"&amp;IF(LEN(MONTH(F376))=1,"0"&amp;MONTH(F376),MONTH(F376))&amp;"-"&amp;IF(LEN(DAY(F376))=1,"0"&amp;DAY(F376),DAY(F376))</f>
        <v>108.11-2023-12-31</v>
      </c>
    </row>
    <row r="377" spans="1:18" x14ac:dyDescent="0.3">
      <c r="A377" s="5" t="s">
        <v>453</v>
      </c>
      <c r="B377" s="5" t="s">
        <v>39</v>
      </c>
      <c r="C377" s="5" t="s">
        <v>443</v>
      </c>
      <c r="D377" s="5" t="s">
        <v>25</v>
      </c>
      <c r="E377" s="5" t="s">
        <v>9</v>
      </c>
      <c r="F377" s="6">
        <v>45291</v>
      </c>
      <c r="G377" s="5">
        <v>2023</v>
      </c>
      <c r="H377" s="5" t="str">
        <f t="shared" si="46"/>
        <v>Diciembre</v>
      </c>
      <c r="I377" s="6" t="str">
        <f t="shared" si="47"/>
        <v>2023-2</v>
      </c>
      <c r="J377" s="5">
        <v>80</v>
      </c>
      <c r="K377" s="5">
        <v>84.559884559884608</v>
      </c>
      <c r="L377" s="15">
        <f t="shared" si="55"/>
        <v>1.0569985569985576</v>
      </c>
      <c r="M377" s="15">
        <f t="shared" si="56"/>
        <v>1.0569985569985576</v>
      </c>
      <c r="N377" s="5" t="s">
        <v>347</v>
      </c>
      <c r="O377" s="5" t="s">
        <v>347</v>
      </c>
      <c r="P377" s="5">
        <v>0</v>
      </c>
      <c r="Q377" s="5">
        <v>0</v>
      </c>
      <c r="R377" s="5" t="str">
        <f>A377&amp;"-"&amp;YEAR(F377)&amp;"-"&amp;IF(LEN(MONTH(F377))=1,"0"&amp;MONTH(F377),MONTH(F377))&amp;"-"&amp;IF(LEN(DAY(F377))=1,"0"&amp;DAY(F377),DAY(F377))</f>
        <v>108.12-2023-12-31</v>
      </c>
    </row>
    <row r="378" spans="1:18" x14ac:dyDescent="0.3">
      <c r="A378" s="5" t="s">
        <v>454</v>
      </c>
      <c r="B378" s="5" t="s">
        <v>39</v>
      </c>
      <c r="C378" s="5" t="s">
        <v>62</v>
      </c>
      <c r="D378" s="5" t="s">
        <v>25</v>
      </c>
      <c r="E378" s="5" t="s">
        <v>9</v>
      </c>
      <c r="F378" s="6">
        <v>45291</v>
      </c>
      <c r="G378" s="5">
        <v>2023</v>
      </c>
      <c r="H378" s="5" t="str">
        <f t="shared" si="46"/>
        <v>Diciembre</v>
      </c>
      <c r="I378" s="6" t="str">
        <f t="shared" si="47"/>
        <v>2023-2</v>
      </c>
      <c r="J378" s="5">
        <v>80</v>
      </c>
      <c r="K378" s="5">
        <v>86</v>
      </c>
      <c r="L378" s="15">
        <f t="shared" si="55"/>
        <v>1.075</v>
      </c>
      <c r="M378" s="15">
        <f t="shared" si="56"/>
        <v>1.075</v>
      </c>
      <c r="N378" s="5" t="s">
        <v>347</v>
      </c>
      <c r="O378" s="5" t="s">
        <v>347</v>
      </c>
      <c r="P378" s="5">
        <v>0</v>
      </c>
      <c r="Q378" s="5">
        <v>0</v>
      </c>
      <c r="R378" s="5" t="str">
        <f>A378&amp;"-"&amp;YEAR(F378)&amp;"-"&amp;IF(LEN(MONTH(F378))=1,"0"&amp;MONTH(F378),MONTH(F378))&amp;"-"&amp;IF(LEN(DAY(F378))=1,"0"&amp;DAY(F378),DAY(F378))</f>
        <v>108.13-2023-12-31</v>
      </c>
    </row>
    <row r="379" spans="1:18" x14ac:dyDescent="0.3">
      <c r="A379" s="5" t="s">
        <v>455</v>
      </c>
      <c r="B379" s="5" t="s">
        <v>39</v>
      </c>
      <c r="C379" s="5" t="s">
        <v>126</v>
      </c>
      <c r="D379" s="5" t="s">
        <v>25</v>
      </c>
      <c r="E379" s="5" t="s">
        <v>9</v>
      </c>
      <c r="F379" s="6">
        <v>45291</v>
      </c>
      <c r="G379" s="5">
        <v>2023</v>
      </c>
      <c r="H379" s="5" t="str">
        <f t="shared" si="46"/>
        <v>Diciembre</v>
      </c>
      <c r="I379" s="6" t="str">
        <f t="shared" si="47"/>
        <v>2023-2</v>
      </c>
      <c r="J379" s="5">
        <v>80</v>
      </c>
      <c r="K379" s="5">
        <v>76.418533802500093</v>
      </c>
      <c r="L379" s="15">
        <f t="shared" si="55"/>
        <v>0.95523167253125119</v>
      </c>
      <c r="M379" s="15">
        <f t="shared" si="56"/>
        <v>0.95523167253125119</v>
      </c>
      <c r="N379" s="5" t="s">
        <v>347</v>
      </c>
      <c r="O379" s="5" t="s">
        <v>347</v>
      </c>
      <c r="P379" s="5">
        <v>0</v>
      </c>
      <c r="Q379" s="5">
        <v>0</v>
      </c>
      <c r="R379" s="5" t="str">
        <f>A379&amp;"-"&amp;YEAR(F379)&amp;"-"&amp;IF(LEN(MONTH(F379))=1,"0"&amp;MONTH(F379),MONTH(F379))&amp;"-"&amp;IF(LEN(DAY(F379))=1,"0"&amp;DAY(F379),DAY(F379))</f>
        <v>108.14-2023-12-31</v>
      </c>
    </row>
    <row r="380" spans="1:18" x14ac:dyDescent="0.3">
      <c r="A380" s="5" t="s">
        <v>456</v>
      </c>
      <c r="B380" s="5" t="s">
        <v>39</v>
      </c>
      <c r="C380" s="5" t="s">
        <v>442</v>
      </c>
      <c r="D380" s="5" t="s">
        <v>25</v>
      </c>
      <c r="E380" s="5" t="s">
        <v>9</v>
      </c>
      <c r="F380" s="6">
        <v>45291</v>
      </c>
      <c r="G380" s="5">
        <v>2023</v>
      </c>
      <c r="H380" s="5" t="str">
        <f t="shared" si="46"/>
        <v>Diciembre</v>
      </c>
      <c r="I380" s="6" t="str">
        <f t="shared" si="47"/>
        <v>2023-2</v>
      </c>
      <c r="J380" s="5">
        <v>80</v>
      </c>
      <c r="K380" s="5">
        <v>82.904040404040401</v>
      </c>
      <c r="L380" s="15">
        <f t="shared" si="55"/>
        <v>1.036300505050505</v>
      </c>
      <c r="M380" s="15">
        <f t="shared" si="56"/>
        <v>1.036300505050505</v>
      </c>
      <c r="N380" s="5" t="s">
        <v>347</v>
      </c>
      <c r="O380" s="5" t="s">
        <v>347</v>
      </c>
      <c r="P380" s="5">
        <v>0</v>
      </c>
      <c r="Q380" s="5">
        <v>0</v>
      </c>
      <c r="R380" s="5" t="str">
        <f>A380&amp;"-"&amp;YEAR(F380)&amp;"-"&amp;IF(LEN(MONTH(F380))=1,"0"&amp;MONTH(F380),MONTH(F380))&amp;"-"&amp;IF(LEN(DAY(F380))=1,"0"&amp;DAY(F380),DAY(F380))</f>
        <v>108.15-2023-12-31</v>
      </c>
    </row>
    <row r="381" spans="1:18" x14ac:dyDescent="0.3">
      <c r="A381" s="5" t="s">
        <v>436</v>
      </c>
      <c r="B381" s="5" t="s">
        <v>39</v>
      </c>
      <c r="C381" s="5" t="s">
        <v>24</v>
      </c>
      <c r="D381" s="5" t="s">
        <v>25</v>
      </c>
      <c r="E381" s="5" t="s">
        <v>9</v>
      </c>
      <c r="F381" s="6">
        <v>45291</v>
      </c>
      <c r="G381" s="5">
        <v>2023</v>
      </c>
      <c r="H381" s="5" t="str">
        <f t="shared" si="46"/>
        <v>Diciembre</v>
      </c>
      <c r="I381" s="6" t="str">
        <f t="shared" si="47"/>
        <v>2023-2</v>
      </c>
      <c r="J381" s="5">
        <v>80</v>
      </c>
      <c r="K381" s="5">
        <v>88.508473249579296</v>
      </c>
      <c r="L381" s="15">
        <f t="shared" si="55"/>
        <v>1.1063559156197411</v>
      </c>
      <c r="M381" s="15">
        <f t="shared" si="56"/>
        <v>1.1063559156197411</v>
      </c>
      <c r="N381" s="5" t="s">
        <v>490</v>
      </c>
      <c r="O381" s="5" t="s">
        <v>478</v>
      </c>
      <c r="P381" s="5">
        <v>1</v>
      </c>
      <c r="Q381" s="5">
        <v>1</v>
      </c>
      <c r="R381" s="5" t="str">
        <f>A381&amp;"-"&amp;YEAR(F381)&amp;"-"&amp;IF(LEN(MONTH(F381))=1,"0"&amp;MONTH(F381),MONTH(F381))&amp;"-"&amp;IF(LEN(DAY(F381))=1,"0"&amp;DAY(F381),DAY(F381))</f>
        <v>108.2-2023-12-31</v>
      </c>
    </row>
    <row r="382" spans="1:18" x14ac:dyDescent="0.3">
      <c r="A382" s="5" t="s">
        <v>437</v>
      </c>
      <c r="B382" s="5" t="s">
        <v>39</v>
      </c>
      <c r="C382" s="5" t="s">
        <v>189</v>
      </c>
      <c r="D382" s="5" t="s">
        <v>25</v>
      </c>
      <c r="E382" s="5" t="s">
        <v>9</v>
      </c>
      <c r="F382" s="6">
        <v>45291</v>
      </c>
      <c r="G382" s="5">
        <v>2023</v>
      </c>
      <c r="H382" s="5" t="str">
        <f t="shared" si="46"/>
        <v>Diciembre</v>
      </c>
      <c r="I382" s="6" t="str">
        <f t="shared" si="47"/>
        <v>2023-2</v>
      </c>
      <c r="J382" s="5">
        <v>80</v>
      </c>
      <c r="K382" s="5">
        <v>94.811073336571098</v>
      </c>
      <c r="L382" s="15">
        <f t="shared" si="55"/>
        <v>1.1851384167071388</v>
      </c>
      <c r="M382" s="15">
        <f t="shared" si="56"/>
        <v>1.1851384167071388</v>
      </c>
      <c r="N382" s="5" t="s">
        <v>347</v>
      </c>
      <c r="O382" s="5" t="s">
        <v>347</v>
      </c>
      <c r="P382" s="5">
        <v>0</v>
      </c>
      <c r="Q382" s="5">
        <v>0</v>
      </c>
      <c r="R382" s="5" t="str">
        <f>A382&amp;"-"&amp;YEAR(F382)&amp;"-"&amp;IF(LEN(MONTH(F382))=1,"0"&amp;MONTH(F382),MONTH(F382))&amp;"-"&amp;IF(LEN(DAY(F382))=1,"0"&amp;DAY(F382),DAY(F382))</f>
        <v>108.3-2023-12-31</v>
      </c>
    </row>
    <row r="383" spans="1:18" x14ac:dyDescent="0.3">
      <c r="A383" s="5" t="s">
        <v>445</v>
      </c>
      <c r="B383" s="5" t="s">
        <v>39</v>
      </c>
      <c r="C383" s="5" t="s">
        <v>320</v>
      </c>
      <c r="D383" s="5" t="s">
        <v>25</v>
      </c>
      <c r="E383" s="5" t="s">
        <v>9</v>
      </c>
      <c r="F383" s="6">
        <v>45291</v>
      </c>
      <c r="G383" s="5">
        <v>2023</v>
      </c>
      <c r="H383" s="5" t="str">
        <f t="shared" si="46"/>
        <v>Diciembre</v>
      </c>
      <c r="I383" s="6" t="str">
        <f t="shared" si="47"/>
        <v>2023-2</v>
      </c>
      <c r="J383" s="5">
        <v>80</v>
      </c>
      <c r="K383" s="5">
        <v>87.392767703668298</v>
      </c>
      <c r="L383" s="15">
        <f t="shared" si="55"/>
        <v>1.0924095962958538</v>
      </c>
      <c r="M383" s="15">
        <f t="shared" si="56"/>
        <v>1.0924095962958538</v>
      </c>
      <c r="N383" s="5" t="s">
        <v>347</v>
      </c>
      <c r="O383" s="5" t="s">
        <v>347</v>
      </c>
      <c r="P383" s="5">
        <v>0</v>
      </c>
      <c r="Q383" s="5">
        <v>0</v>
      </c>
      <c r="R383" s="5" t="str">
        <f>A383&amp;"-"&amp;YEAR(F383)&amp;"-"&amp;IF(LEN(MONTH(F383))=1,"0"&amp;MONTH(F383),MONTH(F383))&amp;"-"&amp;IF(LEN(DAY(F383))=1,"0"&amp;DAY(F383),DAY(F383))</f>
        <v>108.4-2023-12-31</v>
      </c>
    </row>
    <row r="384" spans="1:18" x14ac:dyDescent="0.3">
      <c r="A384" s="5" t="s">
        <v>446</v>
      </c>
      <c r="B384" s="5" t="s">
        <v>39</v>
      </c>
      <c r="C384" s="5" t="s">
        <v>185</v>
      </c>
      <c r="D384" s="5" t="s">
        <v>25</v>
      </c>
      <c r="E384" s="5" t="s">
        <v>9</v>
      </c>
      <c r="F384" s="6">
        <v>45291</v>
      </c>
      <c r="G384" s="5">
        <v>2023</v>
      </c>
      <c r="H384" s="5" t="str">
        <f t="shared" ref="H384:H447" si="57">PROPER(TEXT(F384,"mmmm"))</f>
        <v>Diciembre</v>
      </c>
      <c r="I384" s="6" t="str">
        <f t="shared" ref="I384:I447" si="58">IF(OR(H384="Enero",H384="Febrero",H384="Marzo",H384="Abril",H384="Mayo",H384="Junio"),G384&amp;"-1",IF(OR(H384="Julio",H384="Agosto",H384="Septiembre",H384="Octubre",H384="Noviembre",H384="Diciembre"),G384&amp;"-2"))</f>
        <v>2023-2</v>
      </c>
      <c r="J384" s="5">
        <v>80</v>
      </c>
      <c r="K384" s="5">
        <v>90.977702771558697</v>
      </c>
      <c r="L384" s="15">
        <f t="shared" si="55"/>
        <v>1.1372212846444838</v>
      </c>
      <c r="M384" s="15">
        <f t="shared" si="56"/>
        <v>1.1372212846444838</v>
      </c>
      <c r="N384" s="5" t="s">
        <v>347</v>
      </c>
      <c r="O384" s="5" t="s">
        <v>347</v>
      </c>
      <c r="P384" s="5">
        <v>0</v>
      </c>
      <c r="Q384" s="5">
        <v>0</v>
      </c>
      <c r="R384" s="5" t="str">
        <f>A384&amp;"-"&amp;YEAR(F384)&amp;"-"&amp;IF(LEN(MONTH(F384))=1,"0"&amp;MONTH(F384),MONTH(F384))&amp;"-"&amp;IF(LEN(DAY(F384))=1,"0"&amp;DAY(F384),DAY(F384))</f>
        <v>108.5-2023-12-31</v>
      </c>
    </row>
    <row r="385" spans="1:18" x14ac:dyDescent="0.3">
      <c r="A385" s="5" t="s">
        <v>447</v>
      </c>
      <c r="B385" s="5" t="s">
        <v>39</v>
      </c>
      <c r="C385" s="5" t="s">
        <v>231</v>
      </c>
      <c r="D385" s="5" t="s">
        <v>25</v>
      </c>
      <c r="E385" s="5" t="s">
        <v>9</v>
      </c>
      <c r="F385" s="6">
        <v>45291</v>
      </c>
      <c r="G385" s="5">
        <v>2023</v>
      </c>
      <c r="H385" s="5" t="str">
        <f t="shared" si="57"/>
        <v>Diciembre</v>
      </c>
      <c r="I385" s="6" t="str">
        <f t="shared" si="58"/>
        <v>2023-2</v>
      </c>
      <c r="J385" s="5">
        <v>80</v>
      </c>
      <c r="K385" s="5">
        <v>81.991406812802296</v>
      </c>
      <c r="L385" s="15">
        <f t="shared" si="55"/>
        <v>1.0248925851600288</v>
      </c>
      <c r="M385" s="15">
        <f t="shared" si="56"/>
        <v>1.0248925851600288</v>
      </c>
      <c r="N385" s="5" t="s">
        <v>347</v>
      </c>
      <c r="O385" s="5" t="s">
        <v>347</v>
      </c>
      <c r="P385" s="5">
        <v>0</v>
      </c>
      <c r="Q385" s="5">
        <v>0</v>
      </c>
      <c r="R385" s="5" t="str">
        <f>A385&amp;"-"&amp;YEAR(F385)&amp;"-"&amp;IF(LEN(MONTH(F385))=1,"0"&amp;MONTH(F385),MONTH(F385))&amp;"-"&amp;IF(LEN(DAY(F385))=1,"0"&amp;DAY(F385),DAY(F385))</f>
        <v>108.6-2023-12-31</v>
      </c>
    </row>
    <row r="386" spans="1:18" x14ac:dyDescent="0.3">
      <c r="A386" s="5" t="s">
        <v>448</v>
      </c>
      <c r="B386" s="5" t="s">
        <v>39</v>
      </c>
      <c r="C386" s="5" t="s">
        <v>240</v>
      </c>
      <c r="D386" s="5" t="s">
        <v>25</v>
      </c>
      <c r="E386" s="5" t="s">
        <v>9</v>
      </c>
      <c r="F386" s="6">
        <v>45291</v>
      </c>
      <c r="G386" s="5">
        <v>2023</v>
      </c>
      <c r="H386" s="5" t="str">
        <f t="shared" si="57"/>
        <v>Diciembre</v>
      </c>
      <c r="I386" s="6" t="str">
        <f t="shared" si="58"/>
        <v>2023-2</v>
      </c>
      <c r="J386" s="5">
        <v>80</v>
      </c>
      <c r="K386" s="5">
        <v>81.322057504242295</v>
      </c>
      <c r="L386" s="15">
        <f t="shared" si="55"/>
        <v>1.0165257188030288</v>
      </c>
      <c r="M386" s="15">
        <f t="shared" si="56"/>
        <v>1.0165257188030288</v>
      </c>
      <c r="N386" s="5" t="s">
        <v>347</v>
      </c>
      <c r="O386" s="5" t="s">
        <v>347</v>
      </c>
      <c r="P386" s="5">
        <v>0</v>
      </c>
      <c r="Q386" s="5">
        <v>0</v>
      </c>
      <c r="R386" s="5" t="str">
        <f>A386&amp;"-"&amp;YEAR(F386)&amp;"-"&amp;IF(LEN(MONTH(F386))=1,"0"&amp;MONTH(F386),MONTH(F386))&amp;"-"&amp;IF(LEN(DAY(F386))=1,"0"&amp;DAY(F386),DAY(F386))</f>
        <v>108.7-2023-12-31</v>
      </c>
    </row>
    <row r="387" spans="1:18" x14ac:dyDescent="0.3">
      <c r="A387" s="5" t="s">
        <v>449</v>
      </c>
      <c r="B387" s="5" t="s">
        <v>39</v>
      </c>
      <c r="C387" s="5" t="s">
        <v>145</v>
      </c>
      <c r="D387" s="5" t="s">
        <v>25</v>
      </c>
      <c r="E387" s="5" t="s">
        <v>9</v>
      </c>
      <c r="F387" s="6">
        <v>45291</v>
      </c>
      <c r="G387" s="5">
        <v>2023</v>
      </c>
      <c r="H387" s="5" t="str">
        <f t="shared" si="57"/>
        <v>Diciembre</v>
      </c>
      <c r="I387" s="6" t="str">
        <f t="shared" si="58"/>
        <v>2023-2</v>
      </c>
      <c r="J387" s="5">
        <v>80</v>
      </c>
      <c r="K387" s="5">
        <v>77.756756756756801</v>
      </c>
      <c r="L387" s="15">
        <f t="shared" si="55"/>
        <v>0.97195945945946005</v>
      </c>
      <c r="M387" s="15">
        <f t="shared" si="56"/>
        <v>0.97195945945946005</v>
      </c>
      <c r="N387" s="5" t="s">
        <v>347</v>
      </c>
      <c r="O387" s="5" t="s">
        <v>347</v>
      </c>
      <c r="P387" s="5">
        <v>0</v>
      </c>
      <c r="Q387" s="5">
        <v>0</v>
      </c>
      <c r="R387" s="5" t="str">
        <f>A387&amp;"-"&amp;YEAR(F387)&amp;"-"&amp;IF(LEN(MONTH(F387))=1,"0"&amp;MONTH(F387),MONTH(F387))&amp;"-"&amp;IF(LEN(DAY(F387))=1,"0"&amp;DAY(F387),DAY(F387))</f>
        <v>108.8-2023-12-31</v>
      </c>
    </row>
    <row r="388" spans="1:18" x14ac:dyDescent="0.3">
      <c r="A388" s="5" t="s">
        <v>450</v>
      </c>
      <c r="B388" s="5" t="s">
        <v>39</v>
      </c>
      <c r="C388" s="5" t="s">
        <v>117</v>
      </c>
      <c r="D388" s="5" t="s">
        <v>25</v>
      </c>
      <c r="E388" s="5" t="s">
        <v>9</v>
      </c>
      <c r="F388" s="6">
        <v>45291</v>
      </c>
      <c r="G388" s="5">
        <v>2023</v>
      </c>
      <c r="H388" s="5" t="str">
        <f t="shared" si="57"/>
        <v>Diciembre</v>
      </c>
      <c r="I388" s="6" t="str">
        <f t="shared" si="58"/>
        <v>2023-2</v>
      </c>
      <c r="J388" s="5">
        <v>80</v>
      </c>
      <c r="K388" s="5">
        <v>94.9579831932773</v>
      </c>
      <c r="L388" s="15">
        <f t="shared" si="55"/>
        <v>1.1869747899159662</v>
      </c>
      <c r="M388" s="15">
        <f t="shared" si="56"/>
        <v>1.1869747899159662</v>
      </c>
      <c r="N388" s="5" t="s">
        <v>347</v>
      </c>
      <c r="O388" s="5" t="s">
        <v>347</v>
      </c>
      <c r="P388" s="5">
        <v>0</v>
      </c>
      <c r="Q388" s="5">
        <v>0</v>
      </c>
      <c r="R388" s="5" t="str">
        <f>A388&amp;"-"&amp;YEAR(F388)&amp;"-"&amp;IF(LEN(MONTH(F388))=1,"0"&amp;MONTH(F388),MONTH(F388))&amp;"-"&amp;IF(LEN(DAY(F388))=1,"0"&amp;DAY(F388),DAY(F388))</f>
        <v>108.9-2023-12-31</v>
      </c>
    </row>
    <row r="389" spans="1:18" x14ac:dyDescent="0.3">
      <c r="A389" s="25" t="s">
        <v>348</v>
      </c>
      <c r="B389" s="23" t="s">
        <v>349</v>
      </c>
      <c r="C389" s="5" t="s">
        <v>124</v>
      </c>
      <c r="D389" s="5" t="s">
        <v>8</v>
      </c>
      <c r="E389" s="5" t="s">
        <v>9</v>
      </c>
      <c r="F389" s="6">
        <v>45291</v>
      </c>
      <c r="G389" s="16">
        <f t="shared" ref="G389:G452" si="59">YEAR(F389)</f>
        <v>2023</v>
      </c>
      <c r="H389" s="6" t="str">
        <f t="shared" si="57"/>
        <v>Diciembre</v>
      </c>
      <c r="I389" s="6" t="str">
        <f t="shared" si="58"/>
        <v>2023-2</v>
      </c>
      <c r="J389" s="5">
        <v>15442</v>
      </c>
      <c r="K389" s="5">
        <v>15978</v>
      </c>
      <c r="L389" s="15">
        <f t="shared" si="55"/>
        <v>1.034710529724129</v>
      </c>
      <c r="M389" s="15">
        <f t="shared" si="56"/>
        <v>1.034710529724129</v>
      </c>
      <c r="N389" s="5" t="s">
        <v>490</v>
      </c>
      <c r="O389" s="5" t="s">
        <v>490</v>
      </c>
      <c r="P389" s="5">
        <v>0</v>
      </c>
      <c r="Q389" s="5">
        <v>0</v>
      </c>
      <c r="R389" s="5" t="str">
        <f>A389&amp;"-"&amp;YEAR(F389)&amp;"-"&amp;IF(LEN(MONTH(F389))=1,"0"&amp;MONTH(F389),MONTH(F389))&amp;"-"&amp;IF(LEN(DAY(F389))=1,"0"&amp;DAY(F389),DAY(F389))</f>
        <v>14.1-2023-12-31</v>
      </c>
    </row>
    <row r="390" spans="1:18" x14ac:dyDescent="0.3">
      <c r="A390" s="25" t="s">
        <v>350</v>
      </c>
      <c r="B390" s="23" t="s">
        <v>351</v>
      </c>
      <c r="C390" s="5" t="s">
        <v>124</v>
      </c>
      <c r="D390" s="5" t="s">
        <v>8</v>
      </c>
      <c r="E390" s="5" t="s">
        <v>9</v>
      </c>
      <c r="F390" s="6">
        <v>45291</v>
      </c>
      <c r="G390" s="16">
        <f t="shared" si="59"/>
        <v>2023</v>
      </c>
      <c r="H390" s="6" t="str">
        <f t="shared" si="57"/>
        <v>Diciembre</v>
      </c>
      <c r="I390" s="6" t="str">
        <f t="shared" si="58"/>
        <v>2023-2</v>
      </c>
      <c r="J390" s="5">
        <v>88422</v>
      </c>
      <c r="K390" s="5">
        <v>86869</v>
      </c>
      <c r="L390" s="15">
        <f t="shared" si="55"/>
        <v>0.98243649770419128</v>
      </c>
      <c r="M390" s="15">
        <f t="shared" si="56"/>
        <v>0.98243649770419128</v>
      </c>
      <c r="N390" s="5" t="s">
        <v>490</v>
      </c>
      <c r="O390" s="5" t="s">
        <v>490</v>
      </c>
      <c r="P390" s="5">
        <v>0</v>
      </c>
      <c r="Q390" s="5">
        <v>0</v>
      </c>
      <c r="R390" s="5" t="str">
        <f>A390&amp;"-"&amp;YEAR(F390)&amp;"-"&amp;IF(LEN(MONTH(F390))=1,"0"&amp;MONTH(F390),MONTH(F390))&amp;"-"&amp;IF(LEN(DAY(F390))=1,"0"&amp;DAY(F390),DAY(F390))</f>
        <v>14.2-2023-12-31</v>
      </c>
    </row>
    <row r="391" spans="1:18" x14ac:dyDescent="0.3">
      <c r="A391" s="25" t="s">
        <v>352</v>
      </c>
      <c r="B391" s="23" t="s">
        <v>353</v>
      </c>
      <c r="C391" s="5" t="s">
        <v>124</v>
      </c>
      <c r="D391" s="5" t="s">
        <v>8</v>
      </c>
      <c r="E391" s="5" t="s">
        <v>9</v>
      </c>
      <c r="F391" s="6">
        <v>45291</v>
      </c>
      <c r="G391" s="16">
        <f t="shared" si="59"/>
        <v>2023</v>
      </c>
      <c r="H391" s="6" t="str">
        <f t="shared" si="57"/>
        <v>Diciembre</v>
      </c>
      <c r="I391" s="6" t="str">
        <f t="shared" si="58"/>
        <v>2023-2</v>
      </c>
      <c r="J391" s="5">
        <v>98342</v>
      </c>
      <c r="K391" s="5">
        <v>96530</v>
      </c>
      <c r="L391" s="15">
        <f t="shared" si="55"/>
        <v>0.98157450529783818</v>
      </c>
      <c r="M391" s="15">
        <f t="shared" si="56"/>
        <v>0.98157450529783818</v>
      </c>
      <c r="N391" s="5" t="s">
        <v>490</v>
      </c>
      <c r="O391" s="5" t="s">
        <v>490</v>
      </c>
      <c r="P391" s="5">
        <v>0</v>
      </c>
      <c r="Q391" s="5">
        <v>0</v>
      </c>
      <c r="R391" s="5" t="str">
        <f>A391&amp;"-"&amp;YEAR(F391)&amp;"-"&amp;IF(LEN(MONTH(F391))=1,"0"&amp;MONTH(F391),MONTH(F391))&amp;"-"&amp;IF(LEN(DAY(F391))=1,"0"&amp;DAY(F391),DAY(F391))</f>
        <v>14.3-2023-12-31</v>
      </c>
    </row>
    <row r="392" spans="1:18" x14ac:dyDescent="0.3">
      <c r="A392" s="25" t="s">
        <v>354</v>
      </c>
      <c r="B392" s="23" t="s">
        <v>355</v>
      </c>
      <c r="C392" s="5" t="s">
        <v>124</v>
      </c>
      <c r="D392" s="5" t="s">
        <v>8</v>
      </c>
      <c r="E392" s="5" t="s">
        <v>9</v>
      </c>
      <c r="F392" s="6">
        <v>45291</v>
      </c>
      <c r="G392" s="16">
        <f t="shared" si="59"/>
        <v>2023</v>
      </c>
      <c r="H392" s="6" t="str">
        <f t="shared" si="57"/>
        <v>Diciembre</v>
      </c>
      <c r="I392" s="6" t="str">
        <f t="shared" si="58"/>
        <v>2023-2</v>
      </c>
      <c r="J392" s="9">
        <v>5522</v>
      </c>
      <c r="K392" s="9">
        <v>6318</v>
      </c>
      <c r="L392" s="15">
        <f t="shared" si="55"/>
        <v>1.1441506700470845</v>
      </c>
      <c r="M392" s="15">
        <f t="shared" si="56"/>
        <v>1.1441506700470845</v>
      </c>
      <c r="N392" s="5" t="s">
        <v>490</v>
      </c>
      <c r="O392" s="5" t="s">
        <v>490</v>
      </c>
      <c r="P392" s="5">
        <v>0</v>
      </c>
      <c r="Q392" s="5">
        <v>0</v>
      </c>
      <c r="R392" s="5" t="str">
        <f>A392&amp;"-"&amp;YEAR(F392)&amp;"-"&amp;IF(LEN(MONTH(F392))=1,"0"&amp;MONTH(F392),MONTH(F392))&amp;"-"&amp;IF(LEN(DAY(F392))=1,"0"&amp;DAY(F392),DAY(F392))</f>
        <v>14.4-2023-12-31</v>
      </c>
    </row>
    <row r="393" spans="1:18" x14ac:dyDescent="0.3">
      <c r="A393" s="5" t="s">
        <v>429</v>
      </c>
      <c r="B393" s="5" t="s">
        <v>430</v>
      </c>
      <c r="C393" s="5" t="s">
        <v>209</v>
      </c>
      <c r="D393" s="5" t="s">
        <v>8</v>
      </c>
      <c r="E393" s="5" t="s">
        <v>9</v>
      </c>
      <c r="F393" s="6">
        <v>45291</v>
      </c>
      <c r="G393" s="16">
        <f t="shared" si="59"/>
        <v>2023</v>
      </c>
      <c r="H393" s="6" t="str">
        <f t="shared" si="57"/>
        <v>Diciembre</v>
      </c>
      <c r="I393" s="6" t="str">
        <f t="shared" si="58"/>
        <v>2023-2</v>
      </c>
      <c r="J393" s="5">
        <v>1</v>
      </c>
      <c r="K393" s="5">
        <v>1</v>
      </c>
      <c r="L393" s="15">
        <f>IFERROR(IF((K393/J393)&gt;1,1,K393/J393),"")</f>
        <v>1</v>
      </c>
      <c r="M393" s="15">
        <f>IFERROR(IF((K393/J393)&gt;1,1,K393/J393),"")</f>
        <v>1</v>
      </c>
      <c r="N393" s="5" t="s">
        <v>490</v>
      </c>
      <c r="O393" s="5" t="s">
        <v>490</v>
      </c>
      <c r="P393" s="5">
        <v>0</v>
      </c>
      <c r="Q393" s="5">
        <v>0</v>
      </c>
      <c r="R393" s="5" t="str">
        <f>A393&amp;"-"&amp;YEAR(F393)&amp;"-"&amp;IF(LEN(MONTH(F393))=1,"0"&amp;MONTH(F393),MONTH(F393))&amp;"-"&amp;IF(LEN(DAY(F393))=1,"0"&amp;DAY(F393),DAY(F393))</f>
        <v>325.1-2023-12-31</v>
      </c>
    </row>
    <row r="394" spans="1:18" x14ac:dyDescent="0.3">
      <c r="A394" s="5" t="s">
        <v>431</v>
      </c>
      <c r="B394" s="5" t="s">
        <v>432</v>
      </c>
      <c r="C394" s="5" t="s">
        <v>209</v>
      </c>
      <c r="D394" s="5" t="s">
        <v>8</v>
      </c>
      <c r="E394" s="5" t="s">
        <v>9</v>
      </c>
      <c r="F394" s="17">
        <v>45291</v>
      </c>
      <c r="G394" s="16">
        <f t="shared" si="59"/>
        <v>2023</v>
      </c>
      <c r="H394" s="6" t="str">
        <f t="shared" si="57"/>
        <v>Diciembre</v>
      </c>
      <c r="I394" s="6" t="str">
        <f t="shared" si="58"/>
        <v>2023-2</v>
      </c>
      <c r="J394" s="5">
        <v>1</v>
      </c>
      <c r="K394" s="5">
        <v>1</v>
      </c>
      <c r="L394" s="15">
        <f>IFERROR(IF((K394/J394)&gt;1,1,K394/J394),"")</f>
        <v>1</v>
      </c>
      <c r="M394" s="15">
        <f>IFERROR(IF((K394/J394)&gt;1,1,K394/J394),"")</f>
        <v>1</v>
      </c>
      <c r="N394" s="5" t="s">
        <v>490</v>
      </c>
      <c r="O394" s="5" t="s">
        <v>490</v>
      </c>
      <c r="P394" s="5">
        <v>0</v>
      </c>
      <c r="Q394" s="5">
        <v>0</v>
      </c>
      <c r="R394" s="5" t="str">
        <f>A394&amp;"-"&amp;YEAR(F394)&amp;"-"&amp;IF(LEN(MONTH(F394))=1,"0"&amp;MONTH(F394),MONTH(F394))&amp;"-"&amp;IF(LEN(DAY(F394))=1,"0"&amp;DAY(F394),DAY(F394))</f>
        <v>325.2-2023-12-31</v>
      </c>
    </row>
    <row r="395" spans="1:18" x14ac:dyDescent="0.3">
      <c r="A395" s="26" t="s">
        <v>356</v>
      </c>
      <c r="B395" s="23" t="s">
        <v>359</v>
      </c>
      <c r="C395" s="5" t="s">
        <v>274</v>
      </c>
      <c r="D395" s="5" t="s">
        <v>8</v>
      </c>
      <c r="E395" s="5" t="s">
        <v>9</v>
      </c>
      <c r="F395" s="6">
        <v>45291</v>
      </c>
      <c r="G395" s="16">
        <f t="shared" si="59"/>
        <v>2023</v>
      </c>
      <c r="H395" s="6" t="str">
        <f t="shared" si="57"/>
        <v>Diciembre</v>
      </c>
      <c r="I395" s="6" t="str">
        <f t="shared" si="58"/>
        <v>2023-2</v>
      </c>
      <c r="J395" s="79">
        <v>1357.778</v>
      </c>
      <c r="K395" s="80">
        <f>3779928348/1000000</f>
        <v>3779.9283479999999</v>
      </c>
      <c r="L395" s="15">
        <f>IFERROR(IF((K395/J395)&gt;1.3,1.3,K395/J395),"")</f>
        <v>1.3</v>
      </c>
      <c r="M395" s="15">
        <f>IFERROR(IF((K395/J395)&gt;1,K395/J395,K395/J395),"")</f>
        <v>2.7839074929774967</v>
      </c>
      <c r="N395" s="5" t="s">
        <v>474</v>
      </c>
      <c r="O395" s="5" t="s">
        <v>474</v>
      </c>
      <c r="P395" s="5">
        <v>0</v>
      </c>
      <c r="Q395" s="5">
        <v>0</v>
      </c>
      <c r="R395" s="5" t="str">
        <f>A395&amp;"-"&amp;YEAR(F395)&amp;"-"&amp;IF(LEN(MONTH(F395))=1,"0"&amp;MONTH(F395),MONTH(F395))&amp;"-"&amp;IF(LEN(DAY(F395))=1,"0"&amp;DAY(F395),DAY(F395))</f>
        <v>386.1-2023-12-31</v>
      </c>
    </row>
    <row r="396" spans="1:18" x14ac:dyDescent="0.3">
      <c r="A396" s="26" t="s">
        <v>357</v>
      </c>
      <c r="B396" s="5" t="s">
        <v>845</v>
      </c>
      <c r="C396" s="5" t="s">
        <v>274</v>
      </c>
      <c r="D396" s="5" t="s">
        <v>8</v>
      </c>
      <c r="E396" s="5" t="s">
        <v>9</v>
      </c>
      <c r="F396" s="6">
        <v>45291</v>
      </c>
      <c r="G396" s="16">
        <f t="shared" si="59"/>
        <v>2023</v>
      </c>
      <c r="H396" s="6" t="str">
        <f t="shared" si="57"/>
        <v>Diciembre</v>
      </c>
      <c r="I396" s="6" t="str">
        <f t="shared" si="58"/>
        <v>2023-2</v>
      </c>
      <c r="J396" s="12">
        <v>7082.0029999999988</v>
      </c>
      <c r="K396" s="11">
        <f>9868418317/1000000</f>
        <v>9868.4183169999997</v>
      </c>
      <c r="L396" s="15">
        <f>IFERROR(IF((K396/J396)&gt;1.3,1.3,K396/J396),"")</f>
        <v>1.3</v>
      </c>
      <c r="M396" s="15">
        <f>IFERROR(IF((K396/J396)&gt;1,K396/J396,K396/J396),"")</f>
        <v>1.393450174618678</v>
      </c>
      <c r="N396" s="5" t="s">
        <v>474</v>
      </c>
      <c r="O396" s="5" t="s">
        <v>474</v>
      </c>
      <c r="P396" s="5">
        <v>0</v>
      </c>
      <c r="Q396" s="5">
        <v>0</v>
      </c>
      <c r="R396" s="5" t="str">
        <f>A396&amp;"-"&amp;YEAR(F396)&amp;"-"&amp;IF(LEN(MONTH(F396))=1,"0"&amp;MONTH(F396),MONTH(F396))&amp;"-"&amp;IF(LEN(DAY(F396))=1,"0"&amp;DAY(F396),DAY(F396))</f>
        <v>386.2-2023-12-31</v>
      </c>
    </row>
    <row r="397" spans="1:18" x14ac:dyDescent="0.3">
      <c r="A397" s="26" t="s">
        <v>358</v>
      </c>
      <c r="B397" s="23" t="s">
        <v>361</v>
      </c>
      <c r="C397" s="5" t="s">
        <v>274</v>
      </c>
      <c r="D397" s="5" t="s">
        <v>8</v>
      </c>
      <c r="E397" s="5" t="s">
        <v>9</v>
      </c>
      <c r="F397" s="6">
        <v>45291</v>
      </c>
      <c r="G397" s="16">
        <f t="shared" si="59"/>
        <v>2023</v>
      </c>
      <c r="H397" s="6" t="str">
        <f t="shared" si="57"/>
        <v>Diciembre</v>
      </c>
      <c r="I397" s="6" t="str">
        <f t="shared" si="58"/>
        <v>2023-2</v>
      </c>
      <c r="J397" s="12">
        <v>5657.94</v>
      </c>
      <c r="K397" s="11">
        <f>4048733862/1000000</f>
        <v>4048.733862</v>
      </c>
      <c r="L397" s="15">
        <f>IFERROR(IF((K397/J397)&gt;1.3,1.3,K397/J397),"")</f>
        <v>0.71558444628256934</v>
      </c>
      <c r="M397" s="15">
        <f>IFERROR(IF((K397/J397)&gt;1,K397/J397,K397/J397),"")</f>
        <v>0.71558444628256934</v>
      </c>
      <c r="N397" s="5" t="s">
        <v>474</v>
      </c>
      <c r="O397" s="5" t="s">
        <v>474</v>
      </c>
      <c r="P397" s="5">
        <v>0</v>
      </c>
      <c r="Q397" s="5">
        <v>0</v>
      </c>
      <c r="R397" s="5" t="str">
        <f>A397&amp;"-"&amp;YEAR(F397)&amp;"-"&amp;IF(LEN(MONTH(F397))=1,"0"&amp;MONTH(F397),MONTH(F397))&amp;"-"&amp;IF(LEN(DAY(F397))=1,"0"&amp;DAY(F397),DAY(F397))</f>
        <v>386.3-2023-12-31</v>
      </c>
    </row>
    <row r="398" spans="1:18" x14ac:dyDescent="0.3">
      <c r="A398" s="26" t="s">
        <v>622</v>
      </c>
      <c r="B398" s="23" t="s">
        <v>548</v>
      </c>
      <c r="C398" s="5" t="s">
        <v>345</v>
      </c>
      <c r="D398" s="5" t="s">
        <v>11</v>
      </c>
      <c r="E398" s="5" t="s">
        <v>9</v>
      </c>
      <c r="F398" s="6">
        <v>45291</v>
      </c>
      <c r="G398" s="52">
        <f t="shared" si="59"/>
        <v>2023</v>
      </c>
      <c r="H398" s="51" t="str">
        <f t="shared" si="57"/>
        <v>Diciembre</v>
      </c>
      <c r="I398" s="6" t="str">
        <f t="shared" si="58"/>
        <v>2023-2</v>
      </c>
      <c r="J398" s="50">
        <v>100</v>
      </c>
      <c r="K398" s="50">
        <v>100</v>
      </c>
      <c r="L398" s="15">
        <f t="shared" ref="L398:L429" si="60">IFERROR(IF((K398/J398)&gt;1,1,K398/J398),"")</f>
        <v>1</v>
      </c>
      <c r="M398" s="15">
        <f t="shared" ref="M398:M429" si="61">IFERROR(IF((K398/J398)&gt;1,1,K398/J398),"")</f>
        <v>1</v>
      </c>
      <c r="N398" s="5" t="s">
        <v>347</v>
      </c>
      <c r="O398" s="5" t="s">
        <v>347</v>
      </c>
      <c r="P398" s="5">
        <v>0</v>
      </c>
      <c r="Q398" s="5">
        <v>0</v>
      </c>
      <c r="R398" s="5" t="str">
        <f>A398&amp;"-"&amp;YEAR(F398)&amp;"-"&amp;IF(LEN(MONTH(F398))=1,"0"&amp;MONTH(F398),MONTH(F398))&amp;"-"&amp;IF(LEN(DAY(F398))=1,"0"&amp;DAY(F398),DAY(F398))</f>
        <v>390.1-2023-12-31</v>
      </c>
    </row>
    <row r="399" spans="1:18" x14ac:dyDescent="0.3">
      <c r="A399" s="26" t="s">
        <v>631</v>
      </c>
      <c r="B399" s="23" t="s">
        <v>557</v>
      </c>
      <c r="C399" s="5" t="s">
        <v>345</v>
      </c>
      <c r="D399" s="5" t="s">
        <v>11</v>
      </c>
      <c r="E399" s="5" t="s">
        <v>9</v>
      </c>
      <c r="F399" s="6">
        <v>45291</v>
      </c>
      <c r="G399" s="16">
        <f t="shared" si="59"/>
        <v>2023</v>
      </c>
      <c r="H399" s="6" t="str">
        <f t="shared" si="57"/>
        <v>Diciembre</v>
      </c>
      <c r="I399" s="6" t="str">
        <f t="shared" si="58"/>
        <v>2023-2</v>
      </c>
      <c r="J399" s="5">
        <v>100</v>
      </c>
      <c r="K399" s="5">
        <v>100</v>
      </c>
      <c r="L399" s="15">
        <f t="shared" si="60"/>
        <v>1</v>
      </c>
      <c r="M399" s="15">
        <f t="shared" si="61"/>
        <v>1</v>
      </c>
      <c r="N399" s="5" t="s">
        <v>347</v>
      </c>
      <c r="O399" s="5" t="s">
        <v>347</v>
      </c>
      <c r="P399" s="5">
        <v>0</v>
      </c>
      <c r="Q399" s="5">
        <v>0</v>
      </c>
      <c r="R399" s="5" t="str">
        <f>A399&amp;"-"&amp;YEAR(F399)&amp;"-"&amp;IF(LEN(MONTH(F399))=1,"0"&amp;MONTH(F399),MONTH(F399))&amp;"-"&amp;IF(LEN(DAY(F399))=1,"0"&amp;DAY(F399),DAY(F399))</f>
        <v>390.10-2023-12-31</v>
      </c>
    </row>
    <row r="400" spans="1:18" x14ac:dyDescent="0.3">
      <c r="A400" s="26" t="s">
        <v>632</v>
      </c>
      <c r="B400" s="23" t="s">
        <v>558</v>
      </c>
      <c r="C400" s="5" t="s">
        <v>345</v>
      </c>
      <c r="D400" s="5" t="s">
        <v>11</v>
      </c>
      <c r="E400" s="5" t="s">
        <v>9</v>
      </c>
      <c r="F400" s="6">
        <v>45291</v>
      </c>
      <c r="G400" s="16">
        <f t="shared" si="59"/>
        <v>2023</v>
      </c>
      <c r="H400" s="6" t="str">
        <f t="shared" si="57"/>
        <v>Diciembre</v>
      </c>
      <c r="I400" s="6" t="str">
        <f t="shared" si="58"/>
        <v>2023-2</v>
      </c>
      <c r="J400" s="5">
        <v>100</v>
      </c>
      <c r="K400" s="5">
        <v>100</v>
      </c>
      <c r="L400" s="15">
        <f t="shared" si="60"/>
        <v>1</v>
      </c>
      <c r="M400" s="15">
        <f t="shared" si="61"/>
        <v>1</v>
      </c>
      <c r="N400" s="5" t="s">
        <v>347</v>
      </c>
      <c r="O400" s="5" t="s">
        <v>347</v>
      </c>
      <c r="P400" s="5">
        <v>0</v>
      </c>
      <c r="Q400" s="5">
        <v>0</v>
      </c>
      <c r="R400" s="5" t="str">
        <f>A400&amp;"-"&amp;YEAR(F400)&amp;"-"&amp;IF(LEN(MONTH(F400))=1,"0"&amp;MONTH(F400),MONTH(F400))&amp;"-"&amp;IF(LEN(DAY(F400))=1,"0"&amp;DAY(F400),DAY(F400))</f>
        <v>390.11-2023-12-31</v>
      </c>
    </row>
    <row r="401" spans="1:18" x14ac:dyDescent="0.3">
      <c r="A401" s="26" t="s">
        <v>633</v>
      </c>
      <c r="B401" s="23" t="s">
        <v>559</v>
      </c>
      <c r="C401" s="5" t="s">
        <v>345</v>
      </c>
      <c r="D401" s="5" t="s">
        <v>11</v>
      </c>
      <c r="E401" s="5" t="s">
        <v>9</v>
      </c>
      <c r="F401" s="6">
        <v>45291</v>
      </c>
      <c r="G401" s="16">
        <f t="shared" si="59"/>
        <v>2023</v>
      </c>
      <c r="H401" s="6" t="str">
        <f t="shared" si="57"/>
        <v>Diciembre</v>
      </c>
      <c r="I401" s="6" t="str">
        <f t="shared" si="58"/>
        <v>2023-2</v>
      </c>
      <c r="J401" s="5">
        <v>100</v>
      </c>
      <c r="K401" s="5">
        <v>100</v>
      </c>
      <c r="L401" s="15">
        <f t="shared" si="60"/>
        <v>1</v>
      </c>
      <c r="M401" s="15">
        <f t="shared" si="61"/>
        <v>1</v>
      </c>
      <c r="N401" s="5" t="s">
        <v>347</v>
      </c>
      <c r="O401" s="5" t="s">
        <v>347</v>
      </c>
      <c r="P401" s="5">
        <v>0</v>
      </c>
      <c r="Q401" s="5">
        <v>0</v>
      </c>
      <c r="R401" s="5" t="str">
        <f>A401&amp;"-"&amp;YEAR(F401)&amp;"-"&amp;IF(LEN(MONTH(F401))=1,"0"&amp;MONTH(F401),MONTH(F401))&amp;"-"&amp;IF(LEN(DAY(F401))=1,"0"&amp;DAY(F401),DAY(F401))</f>
        <v>390.12-2023-12-31</v>
      </c>
    </row>
    <row r="402" spans="1:18" x14ac:dyDescent="0.3">
      <c r="A402" s="26" t="s">
        <v>623</v>
      </c>
      <c r="B402" s="23" t="s">
        <v>549</v>
      </c>
      <c r="C402" s="5" t="s">
        <v>345</v>
      </c>
      <c r="D402" s="5" t="s">
        <v>11</v>
      </c>
      <c r="E402" s="5" t="s">
        <v>9</v>
      </c>
      <c r="F402" s="6">
        <v>45291</v>
      </c>
      <c r="G402" s="16">
        <f t="shared" si="59"/>
        <v>2023</v>
      </c>
      <c r="H402" s="6" t="str">
        <f t="shared" si="57"/>
        <v>Diciembre</v>
      </c>
      <c r="I402" s="6" t="str">
        <f t="shared" si="58"/>
        <v>2023-2</v>
      </c>
      <c r="J402" s="5">
        <v>100</v>
      </c>
      <c r="K402" s="5">
        <v>99.5</v>
      </c>
      <c r="L402" s="15">
        <f t="shared" si="60"/>
        <v>0.995</v>
      </c>
      <c r="M402" s="15">
        <f t="shared" si="61"/>
        <v>0.995</v>
      </c>
      <c r="N402" s="5" t="s">
        <v>347</v>
      </c>
      <c r="O402" s="5" t="s">
        <v>347</v>
      </c>
      <c r="P402" s="5">
        <v>0</v>
      </c>
      <c r="Q402" s="5">
        <v>0</v>
      </c>
      <c r="R402" s="5" t="str">
        <f>A402&amp;"-"&amp;YEAR(F402)&amp;"-"&amp;IF(LEN(MONTH(F402))=1,"0"&amp;MONTH(F402),MONTH(F402))&amp;"-"&amp;IF(LEN(DAY(F402))=1,"0"&amp;DAY(F402),DAY(F402))</f>
        <v>390.2-2023-12-31</v>
      </c>
    </row>
    <row r="403" spans="1:18" x14ac:dyDescent="0.3">
      <c r="A403" s="26" t="s">
        <v>624</v>
      </c>
      <c r="B403" s="23" t="s">
        <v>550</v>
      </c>
      <c r="C403" s="5" t="s">
        <v>345</v>
      </c>
      <c r="D403" s="5" t="s">
        <v>11</v>
      </c>
      <c r="E403" s="5" t="s">
        <v>9</v>
      </c>
      <c r="F403" s="6">
        <v>45291</v>
      </c>
      <c r="G403" s="16">
        <f t="shared" si="59"/>
        <v>2023</v>
      </c>
      <c r="H403" s="6" t="str">
        <f t="shared" si="57"/>
        <v>Diciembre</v>
      </c>
      <c r="I403" s="6" t="str">
        <f t="shared" si="58"/>
        <v>2023-2</v>
      </c>
      <c r="J403" s="5">
        <v>100</v>
      </c>
      <c r="K403" s="5">
        <v>99.69</v>
      </c>
      <c r="L403" s="15">
        <f t="shared" si="60"/>
        <v>0.99690000000000001</v>
      </c>
      <c r="M403" s="15">
        <f t="shared" si="61"/>
        <v>0.99690000000000001</v>
      </c>
      <c r="N403" s="5" t="s">
        <v>347</v>
      </c>
      <c r="O403" s="5" t="s">
        <v>347</v>
      </c>
      <c r="P403" s="5">
        <v>1</v>
      </c>
      <c r="Q403" s="5">
        <v>1</v>
      </c>
      <c r="R403" s="5" t="str">
        <f>A403&amp;"-"&amp;YEAR(F403)&amp;"-"&amp;IF(LEN(MONTH(F403))=1,"0"&amp;MONTH(F403),MONTH(F403))&amp;"-"&amp;IF(LEN(DAY(F403))=1,"0"&amp;DAY(F403),DAY(F403))</f>
        <v>390.3-2023-12-31</v>
      </c>
    </row>
    <row r="404" spans="1:18" x14ac:dyDescent="0.3">
      <c r="A404" s="26" t="s">
        <v>625</v>
      </c>
      <c r="B404" s="23" t="s">
        <v>551</v>
      </c>
      <c r="C404" s="5" t="s">
        <v>345</v>
      </c>
      <c r="D404" s="5" t="s">
        <v>11</v>
      </c>
      <c r="E404" s="5" t="s">
        <v>9</v>
      </c>
      <c r="F404" s="6">
        <v>45291</v>
      </c>
      <c r="G404" s="16">
        <f t="shared" si="59"/>
        <v>2023</v>
      </c>
      <c r="H404" s="6" t="str">
        <f t="shared" si="57"/>
        <v>Diciembre</v>
      </c>
      <c r="I404" s="6" t="str">
        <f t="shared" si="58"/>
        <v>2023-2</v>
      </c>
      <c r="J404" s="5">
        <v>100</v>
      </c>
      <c r="K404" s="5">
        <v>99.44</v>
      </c>
      <c r="L404" s="15">
        <f t="shared" si="60"/>
        <v>0.99439999999999995</v>
      </c>
      <c r="M404" s="15">
        <f t="shared" si="61"/>
        <v>0.99439999999999995</v>
      </c>
      <c r="N404" s="5" t="s">
        <v>347</v>
      </c>
      <c r="O404" s="5" t="s">
        <v>347</v>
      </c>
      <c r="P404" s="5">
        <v>0</v>
      </c>
      <c r="Q404" s="5">
        <v>0</v>
      </c>
      <c r="R404" s="5" t="str">
        <f>A404&amp;"-"&amp;YEAR(F404)&amp;"-"&amp;IF(LEN(MONTH(F404))=1,"0"&amp;MONTH(F404),MONTH(F404))&amp;"-"&amp;IF(LEN(DAY(F404))=1,"0"&amp;DAY(F404),DAY(F404))</f>
        <v>390.4-2023-12-31</v>
      </c>
    </row>
    <row r="405" spans="1:18" x14ac:dyDescent="0.3">
      <c r="A405" s="26" t="s">
        <v>626</v>
      </c>
      <c r="B405" s="23" t="s">
        <v>552</v>
      </c>
      <c r="C405" s="5" t="s">
        <v>345</v>
      </c>
      <c r="D405" s="5" t="s">
        <v>11</v>
      </c>
      <c r="E405" s="5" t="s">
        <v>9</v>
      </c>
      <c r="F405" s="6">
        <v>45291</v>
      </c>
      <c r="G405" s="16">
        <f t="shared" si="59"/>
        <v>2023</v>
      </c>
      <c r="H405" s="6" t="str">
        <f t="shared" si="57"/>
        <v>Diciembre</v>
      </c>
      <c r="I405" s="6" t="str">
        <f t="shared" si="58"/>
        <v>2023-2</v>
      </c>
      <c r="J405" s="5">
        <v>100</v>
      </c>
      <c r="K405" s="5">
        <v>78.900000000000006</v>
      </c>
      <c r="L405" s="15">
        <f t="shared" si="60"/>
        <v>0.78900000000000003</v>
      </c>
      <c r="M405" s="15">
        <f t="shared" si="61"/>
        <v>0.78900000000000003</v>
      </c>
      <c r="N405" s="5" t="s">
        <v>347</v>
      </c>
      <c r="O405" s="5" t="s">
        <v>347</v>
      </c>
      <c r="P405" s="5">
        <v>0</v>
      </c>
      <c r="Q405" s="5">
        <v>0</v>
      </c>
      <c r="R405" s="5" t="str">
        <f>A405&amp;"-"&amp;YEAR(F405)&amp;"-"&amp;IF(LEN(MONTH(F405))=1,"0"&amp;MONTH(F405),MONTH(F405))&amp;"-"&amp;IF(LEN(DAY(F405))=1,"0"&amp;DAY(F405),DAY(F405))</f>
        <v>390.5-2023-12-31</v>
      </c>
    </row>
    <row r="406" spans="1:18" x14ac:dyDescent="0.3">
      <c r="A406" s="26" t="s">
        <v>627</v>
      </c>
      <c r="B406" s="23" t="s">
        <v>553</v>
      </c>
      <c r="C406" s="5" t="s">
        <v>345</v>
      </c>
      <c r="D406" s="5" t="s">
        <v>11</v>
      </c>
      <c r="E406" s="5" t="s">
        <v>9</v>
      </c>
      <c r="F406" s="6">
        <v>45291</v>
      </c>
      <c r="G406" s="16">
        <f t="shared" si="59"/>
        <v>2023</v>
      </c>
      <c r="H406" s="6" t="str">
        <f t="shared" si="57"/>
        <v>Diciembre</v>
      </c>
      <c r="I406" s="6" t="str">
        <f t="shared" si="58"/>
        <v>2023-2</v>
      </c>
      <c r="J406" s="5">
        <v>100</v>
      </c>
      <c r="K406" s="5">
        <v>100</v>
      </c>
      <c r="L406" s="15">
        <f t="shared" si="60"/>
        <v>1</v>
      </c>
      <c r="M406" s="15">
        <f t="shared" si="61"/>
        <v>1</v>
      </c>
      <c r="N406" s="5" t="s">
        <v>347</v>
      </c>
      <c r="O406" s="5" t="s">
        <v>347</v>
      </c>
      <c r="P406" s="5">
        <v>0</v>
      </c>
      <c r="Q406" s="5">
        <v>0</v>
      </c>
      <c r="R406" s="5" t="str">
        <f>A406&amp;"-"&amp;YEAR(F406)&amp;"-"&amp;IF(LEN(MONTH(F406))=1,"0"&amp;MONTH(F406),MONTH(F406))&amp;"-"&amp;IF(LEN(DAY(F406))=1,"0"&amp;DAY(F406),DAY(F406))</f>
        <v>390.6-2023-12-31</v>
      </c>
    </row>
    <row r="407" spans="1:18" x14ac:dyDescent="0.3">
      <c r="A407" s="26" t="s">
        <v>628</v>
      </c>
      <c r="B407" s="23" t="s">
        <v>554</v>
      </c>
      <c r="C407" s="5" t="s">
        <v>345</v>
      </c>
      <c r="D407" s="5" t="s">
        <v>11</v>
      </c>
      <c r="E407" s="5" t="s">
        <v>9</v>
      </c>
      <c r="F407" s="6">
        <v>45291</v>
      </c>
      <c r="G407" s="16">
        <f t="shared" si="59"/>
        <v>2023</v>
      </c>
      <c r="H407" s="6" t="str">
        <f t="shared" si="57"/>
        <v>Diciembre</v>
      </c>
      <c r="I407" s="6" t="str">
        <f t="shared" si="58"/>
        <v>2023-2</v>
      </c>
      <c r="J407" s="5">
        <v>100</v>
      </c>
      <c r="K407" s="5">
        <v>100</v>
      </c>
      <c r="L407" s="15">
        <f t="shared" si="60"/>
        <v>1</v>
      </c>
      <c r="M407" s="15">
        <f t="shared" si="61"/>
        <v>1</v>
      </c>
      <c r="N407" s="5" t="s">
        <v>347</v>
      </c>
      <c r="O407" s="5" t="s">
        <v>347</v>
      </c>
      <c r="P407" s="5">
        <v>0</v>
      </c>
      <c r="Q407" s="5">
        <v>0</v>
      </c>
      <c r="R407" s="5" t="str">
        <f>A407&amp;"-"&amp;YEAR(F407)&amp;"-"&amp;IF(LEN(MONTH(F407))=1,"0"&amp;MONTH(F407),MONTH(F407))&amp;"-"&amp;IF(LEN(DAY(F407))=1,"0"&amp;DAY(F407),DAY(F407))</f>
        <v>390.7-2023-12-31</v>
      </c>
    </row>
    <row r="408" spans="1:18" x14ac:dyDescent="0.3">
      <c r="A408" s="26" t="s">
        <v>629</v>
      </c>
      <c r="B408" s="23" t="s">
        <v>555</v>
      </c>
      <c r="C408" s="5" t="s">
        <v>345</v>
      </c>
      <c r="D408" s="5" t="s">
        <v>11</v>
      </c>
      <c r="E408" s="5" t="s">
        <v>9</v>
      </c>
      <c r="F408" s="6">
        <v>45291</v>
      </c>
      <c r="G408" s="16">
        <f t="shared" si="59"/>
        <v>2023</v>
      </c>
      <c r="H408" s="6" t="str">
        <f t="shared" si="57"/>
        <v>Diciembre</v>
      </c>
      <c r="I408" s="6" t="str">
        <f t="shared" si="58"/>
        <v>2023-2</v>
      </c>
      <c r="J408" s="5">
        <v>100</v>
      </c>
      <c r="K408" s="5">
        <v>100</v>
      </c>
      <c r="L408" s="15">
        <f t="shared" si="60"/>
        <v>1</v>
      </c>
      <c r="M408" s="15">
        <f t="shared" si="61"/>
        <v>1</v>
      </c>
      <c r="N408" s="5" t="s">
        <v>347</v>
      </c>
      <c r="O408" s="5" t="s">
        <v>347</v>
      </c>
      <c r="P408" s="5">
        <v>0</v>
      </c>
      <c r="Q408" s="5">
        <v>0</v>
      </c>
      <c r="R408" s="5" t="str">
        <f>A408&amp;"-"&amp;YEAR(F408)&amp;"-"&amp;IF(LEN(MONTH(F408))=1,"0"&amp;MONTH(F408),MONTH(F408))&amp;"-"&amp;IF(LEN(DAY(F408))=1,"0"&amp;DAY(F408),DAY(F408))</f>
        <v>390.8-2023-12-31</v>
      </c>
    </row>
    <row r="409" spans="1:18" x14ac:dyDescent="0.3">
      <c r="A409" s="26" t="s">
        <v>630</v>
      </c>
      <c r="B409" s="23" t="s">
        <v>556</v>
      </c>
      <c r="C409" s="5" t="s">
        <v>345</v>
      </c>
      <c r="D409" s="5" t="s">
        <v>11</v>
      </c>
      <c r="E409" s="5" t="s">
        <v>9</v>
      </c>
      <c r="F409" s="6">
        <v>45291</v>
      </c>
      <c r="G409" s="16">
        <f t="shared" si="59"/>
        <v>2023</v>
      </c>
      <c r="H409" s="6" t="str">
        <f t="shared" si="57"/>
        <v>Diciembre</v>
      </c>
      <c r="I409" s="6" t="str">
        <f t="shared" si="58"/>
        <v>2023-2</v>
      </c>
      <c r="J409" s="5">
        <v>100</v>
      </c>
      <c r="K409" s="5">
        <v>100</v>
      </c>
      <c r="L409" s="15">
        <f t="shared" si="60"/>
        <v>1</v>
      </c>
      <c r="M409" s="15">
        <f t="shared" si="61"/>
        <v>1</v>
      </c>
      <c r="N409" s="5" t="s">
        <v>347</v>
      </c>
      <c r="O409" s="5" t="s">
        <v>347</v>
      </c>
      <c r="P409" s="5">
        <v>0</v>
      </c>
      <c r="Q409" s="5">
        <v>0</v>
      </c>
      <c r="R409" s="5" t="str">
        <f>A409&amp;"-"&amp;YEAR(F409)&amp;"-"&amp;IF(LEN(MONTH(F409))=1,"0"&amp;MONTH(F409),MONTH(F409))&amp;"-"&amp;IF(LEN(DAY(F409))=1,"0"&amp;DAY(F409),DAY(F409))</f>
        <v>390.9-2023-12-31</v>
      </c>
    </row>
    <row r="410" spans="1:18" x14ac:dyDescent="0.3">
      <c r="A410" s="26" t="s">
        <v>634</v>
      </c>
      <c r="B410" s="23" t="s">
        <v>560</v>
      </c>
      <c r="C410" s="5" t="s">
        <v>345</v>
      </c>
      <c r="D410" s="5" t="s">
        <v>11</v>
      </c>
      <c r="E410" s="5" t="s">
        <v>9</v>
      </c>
      <c r="F410" s="6">
        <v>45291</v>
      </c>
      <c r="G410" s="16">
        <f t="shared" si="59"/>
        <v>2023</v>
      </c>
      <c r="H410" s="6" t="str">
        <f t="shared" si="57"/>
        <v>Diciembre</v>
      </c>
      <c r="I410" s="6" t="str">
        <f t="shared" si="58"/>
        <v>2023-2</v>
      </c>
      <c r="J410" s="5">
        <v>100</v>
      </c>
      <c r="K410" s="5">
        <v>99.75</v>
      </c>
      <c r="L410" s="15">
        <f t="shared" si="60"/>
        <v>0.99750000000000005</v>
      </c>
      <c r="M410" s="15">
        <f t="shared" si="61"/>
        <v>0.99750000000000005</v>
      </c>
      <c r="N410" s="5" t="s">
        <v>347</v>
      </c>
      <c r="O410" s="5" t="s">
        <v>347</v>
      </c>
      <c r="P410" s="5">
        <v>0</v>
      </c>
      <c r="Q410" s="5">
        <v>0</v>
      </c>
      <c r="R410" s="5" t="str">
        <f>A410&amp;"-"&amp;YEAR(F410)&amp;"-"&amp;IF(LEN(MONTH(F410))=1,"0"&amp;MONTH(F410),MONTH(F410))&amp;"-"&amp;IF(LEN(DAY(F410))=1,"0"&amp;DAY(F410),DAY(F410))</f>
        <v>414.1-2023-12-31</v>
      </c>
    </row>
    <row r="411" spans="1:18" x14ac:dyDescent="0.3">
      <c r="A411" s="26" t="s">
        <v>635</v>
      </c>
      <c r="B411" s="23" t="s">
        <v>561</v>
      </c>
      <c r="C411" s="5" t="s">
        <v>345</v>
      </c>
      <c r="D411" s="5" t="s">
        <v>11</v>
      </c>
      <c r="E411" s="5" t="s">
        <v>9</v>
      </c>
      <c r="F411" s="6">
        <v>45291</v>
      </c>
      <c r="G411" s="16">
        <f t="shared" si="59"/>
        <v>2023</v>
      </c>
      <c r="H411" s="6" t="str">
        <f t="shared" si="57"/>
        <v>Diciembre</v>
      </c>
      <c r="I411" s="6" t="str">
        <f t="shared" si="58"/>
        <v>2023-2</v>
      </c>
      <c r="J411" s="5">
        <v>100</v>
      </c>
      <c r="K411" s="5">
        <v>97.4</v>
      </c>
      <c r="L411" s="15">
        <f t="shared" si="60"/>
        <v>0.97400000000000009</v>
      </c>
      <c r="M411" s="15">
        <f t="shared" si="61"/>
        <v>0.97400000000000009</v>
      </c>
      <c r="N411" s="5" t="s">
        <v>347</v>
      </c>
      <c r="O411" s="5" t="s">
        <v>347</v>
      </c>
      <c r="P411" s="5">
        <v>0</v>
      </c>
      <c r="Q411" s="5">
        <v>0</v>
      </c>
      <c r="R411" s="5" t="str">
        <f>A411&amp;"-"&amp;YEAR(F411)&amp;"-"&amp;IF(LEN(MONTH(F411))=1,"0"&amp;MONTH(F411),MONTH(F411))&amp;"-"&amp;IF(LEN(DAY(F411))=1,"0"&amp;DAY(F411),DAY(F411))</f>
        <v>414.2-2023-12-31</v>
      </c>
    </row>
    <row r="412" spans="1:18" x14ac:dyDescent="0.3">
      <c r="A412" s="26" t="s">
        <v>636</v>
      </c>
      <c r="B412" s="23" t="s">
        <v>562</v>
      </c>
      <c r="C412" s="5" t="s">
        <v>345</v>
      </c>
      <c r="D412" s="5" t="s">
        <v>11</v>
      </c>
      <c r="E412" s="5" t="s">
        <v>9</v>
      </c>
      <c r="F412" s="6">
        <v>45291</v>
      </c>
      <c r="G412" s="16">
        <f t="shared" si="59"/>
        <v>2023</v>
      </c>
      <c r="H412" s="6" t="str">
        <f t="shared" si="57"/>
        <v>Diciembre</v>
      </c>
      <c r="I412" s="6" t="str">
        <f t="shared" si="58"/>
        <v>2023-2</v>
      </c>
      <c r="J412" s="5">
        <v>100</v>
      </c>
      <c r="K412" s="5">
        <v>98.83</v>
      </c>
      <c r="L412" s="15">
        <f t="shared" si="60"/>
        <v>0.98829999999999996</v>
      </c>
      <c r="M412" s="15">
        <f t="shared" si="61"/>
        <v>0.98829999999999996</v>
      </c>
      <c r="N412" s="5" t="s">
        <v>347</v>
      </c>
      <c r="O412" s="5" t="s">
        <v>347</v>
      </c>
      <c r="P412" s="5">
        <v>0</v>
      </c>
      <c r="Q412" s="5">
        <v>0</v>
      </c>
      <c r="R412" s="5" t="str">
        <f>A412&amp;"-"&amp;YEAR(F412)&amp;"-"&amp;IF(LEN(MONTH(F412))=1,"0"&amp;MONTH(F412),MONTH(F412))&amp;"-"&amp;IF(LEN(DAY(F412))=1,"0"&amp;DAY(F412),DAY(F412))</f>
        <v>414.3-2023-12-31</v>
      </c>
    </row>
    <row r="413" spans="1:18" x14ac:dyDescent="0.3">
      <c r="A413" s="26" t="s">
        <v>637</v>
      </c>
      <c r="B413" s="23" t="s">
        <v>563</v>
      </c>
      <c r="C413" s="5" t="s">
        <v>345</v>
      </c>
      <c r="D413" s="5" t="s">
        <v>11</v>
      </c>
      <c r="E413" s="5" t="s">
        <v>9</v>
      </c>
      <c r="F413" s="6">
        <v>45291</v>
      </c>
      <c r="G413" s="16">
        <f t="shared" si="59"/>
        <v>2023</v>
      </c>
      <c r="H413" s="6" t="str">
        <f t="shared" si="57"/>
        <v>Diciembre</v>
      </c>
      <c r="I413" s="6" t="str">
        <f t="shared" si="58"/>
        <v>2023-2</v>
      </c>
      <c r="J413" s="5">
        <v>100</v>
      </c>
      <c r="K413" s="5">
        <v>98.75</v>
      </c>
      <c r="L413" s="15">
        <f t="shared" si="60"/>
        <v>0.98750000000000004</v>
      </c>
      <c r="M413" s="15">
        <f t="shared" si="61"/>
        <v>0.98750000000000004</v>
      </c>
      <c r="N413" s="5" t="s">
        <v>347</v>
      </c>
      <c r="O413" s="5" t="s">
        <v>347</v>
      </c>
      <c r="P413" s="5">
        <v>0</v>
      </c>
      <c r="Q413" s="5">
        <v>0</v>
      </c>
      <c r="R413" s="5" t="str">
        <f>A413&amp;"-"&amp;YEAR(F413)&amp;"-"&amp;IF(LEN(MONTH(F413))=1,"0"&amp;MONTH(F413),MONTH(F413))&amp;"-"&amp;IF(LEN(DAY(F413))=1,"0"&amp;DAY(F413),DAY(F413))</f>
        <v>414.4-2023-12-31</v>
      </c>
    </row>
    <row r="414" spans="1:18" x14ac:dyDescent="0.3">
      <c r="A414" s="26" t="s">
        <v>638</v>
      </c>
      <c r="B414" s="23" t="s">
        <v>564</v>
      </c>
      <c r="C414" s="5"/>
      <c r="D414" s="5" t="s">
        <v>11</v>
      </c>
      <c r="E414" s="5" t="s">
        <v>9</v>
      </c>
      <c r="F414" s="6">
        <v>45291</v>
      </c>
      <c r="G414" s="16">
        <f t="shared" si="59"/>
        <v>2023</v>
      </c>
      <c r="H414" s="6" t="str">
        <f t="shared" si="57"/>
        <v>Diciembre</v>
      </c>
      <c r="I414" s="6" t="str">
        <f t="shared" si="58"/>
        <v>2023-2</v>
      </c>
      <c r="J414" s="5">
        <v>100</v>
      </c>
      <c r="K414" s="5">
        <v>100</v>
      </c>
      <c r="L414" s="15">
        <f t="shared" si="60"/>
        <v>1</v>
      </c>
      <c r="M414" s="15">
        <f t="shared" si="61"/>
        <v>1</v>
      </c>
      <c r="N414" s="5" t="s">
        <v>347</v>
      </c>
      <c r="O414" s="5" t="s">
        <v>347</v>
      </c>
      <c r="P414" s="5">
        <v>0</v>
      </c>
      <c r="Q414" s="5">
        <v>0</v>
      </c>
      <c r="R414" s="5" t="str">
        <f>A414&amp;"-"&amp;YEAR(F414)&amp;"-"&amp;IF(LEN(MONTH(F414))=1,"0"&amp;MONTH(F414),MONTH(F414))&amp;"-"&amp;IF(LEN(DAY(F414))=1,"0"&amp;DAY(F414),DAY(F414))</f>
        <v>414.5-2023-12-31</v>
      </c>
    </row>
    <row r="415" spans="1:18" x14ac:dyDescent="0.3">
      <c r="A415" s="26" t="s">
        <v>639</v>
      </c>
      <c r="B415" s="23" t="s">
        <v>565</v>
      </c>
      <c r="C415" s="5" t="s">
        <v>13</v>
      </c>
      <c r="D415" s="5" t="s">
        <v>11</v>
      </c>
      <c r="E415" s="5" t="s">
        <v>9</v>
      </c>
      <c r="F415" s="6">
        <v>45291</v>
      </c>
      <c r="G415" s="16">
        <f t="shared" si="59"/>
        <v>2023</v>
      </c>
      <c r="H415" s="6" t="str">
        <f t="shared" si="57"/>
        <v>Diciembre</v>
      </c>
      <c r="I415" s="6" t="str">
        <f t="shared" si="58"/>
        <v>2023-2</v>
      </c>
      <c r="J415" s="5">
        <v>100</v>
      </c>
      <c r="K415" s="5">
        <v>94.51</v>
      </c>
      <c r="L415" s="15">
        <f t="shared" si="60"/>
        <v>0.94510000000000005</v>
      </c>
      <c r="M415" s="15">
        <f t="shared" si="61"/>
        <v>0.94510000000000005</v>
      </c>
      <c r="N415" s="5" t="s">
        <v>347</v>
      </c>
      <c r="O415" s="5" t="s">
        <v>347</v>
      </c>
      <c r="P415" s="5">
        <v>0</v>
      </c>
      <c r="Q415" s="5">
        <v>0</v>
      </c>
      <c r="R415" s="5" t="str">
        <f>A415&amp;"-"&amp;YEAR(F415)&amp;"-"&amp;IF(LEN(MONTH(F415))=1,"0"&amp;MONTH(F415),MONTH(F415))&amp;"-"&amp;IF(LEN(DAY(F415))=1,"0"&amp;DAY(F415),DAY(F415))</f>
        <v>414.6-2023-12-31</v>
      </c>
    </row>
    <row r="416" spans="1:18" x14ac:dyDescent="0.3">
      <c r="A416" s="26" t="s">
        <v>640</v>
      </c>
      <c r="B416" s="23" t="s">
        <v>566</v>
      </c>
      <c r="C416" s="5" t="s">
        <v>410</v>
      </c>
      <c r="D416" s="5" t="s">
        <v>11</v>
      </c>
      <c r="E416" s="5" t="s">
        <v>9</v>
      </c>
      <c r="F416" s="6">
        <v>45291</v>
      </c>
      <c r="G416" s="16">
        <f t="shared" si="59"/>
        <v>2023</v>
      </c>
      <c r="H416" s="6" t="str">
        <f t="shared" si="57"/>
        <v>Diciembre</v>
      </c>
      <c r="I416" s="6" t="str">
        <f t="shared" si="58"/>
        <v>2023-2</v>
      </c>
      <c r="J416" s="5">
        <v>100</v>
      </c>
      <c r="K416" s="5">
        <v>86.53</v>
      </c>
      <c r="L416" s="15">
        <f t="shared" si="60"/>
        <v>0.86529999999999996</v>
      </c>
      <c r="M416" s="15">
        <f t="shared" si="61"/>
        <v>0.86529999999999996</v>
      </c>
      <c r="N416" s="5" t="s">
        <v>347</v>
      </c>
      <c r="O416" s="5" t="s">
        <v>347</v>
      </c>
      <c r="P416" s="5">
        <v>0</v>
      </c>
      <c r="Q416" s="5">
        <v>0</v>
      </c>
      <c r="R416" s="5" t="str">
        <f>A416&amp;"-"&amp;YEAR(F416)&amp;"-"&amp;IF(LEN(MONTH(F416))=1,"0"&amp;MONTH(F416),MONTH(F416))&amp;"-"&amp;IF(LEN(DAY(F416))=1,"0"&amp;DAY(F416),DAY(F416))</f>
        <v>414.7-2023-12-31</v>
      </c>
    </row>
    <row r="417" spans="1:18" x14ac:dyDescent="0.3">
      <c r="A417" s="26" t="s">
        <v>641</v>
      </c>
      <c r="B417" s="53" t="s">
        <v>567</v>
      </c>
      <c r="C417" s="3" t="s">
        <v>145</v>
      </c>
      <c r="D417" s="5" t="s">
        <v>11</v>
      </c>
      <c r="E417" s="5" t="s">
        <v>9</v>
      </c>
      <c r="F417" s="6">
        <v>45291</v>
      </c>
      <c r="G417" s="16">
        <f t="shared" si="59"/>
        <v>2023</v>
      </c>
      <c r="H417" s="6" t="str">
        <f t="shared" si="57"/>
        <v>Diciembre</v>
      </c>
      <c r="I417" s="6" t="str">
        <f t="shared" si="58"/>
        <v>2023-2</v>
      </c>
      <c r="J417" s="3">
        <v>100</v>
      </c>
      <c r="K417" s="3">
        <v>94.6</v>
      </c>
      <c r="L417" s="15">
        <f t="shared" si="60"/>
        <v>0.94599999999999995</v>
      </c>
      <c r="M417" s="15">
        <f t="shared" si="61"/>
        <v>0.94599999999999995</v>
      </c>
      <c r="N417" s="5" t="s">
        <v>347</v>
      </c>
      <c r="O417" s="5" t="s">
        <v>347</v>
      </c>
      <c r="P417" s="5">
        <v>0</v>
      </c>
      <c r="Q417" s="5">
        <v>0</v>
      </c>
      <c r="R417" s="5" t="str">
        <f>A417&amp;"-"&amp;YEAR(F417)&amp;"-"&amp;IF(LEN(MONTH(F417))=1,"0"&amp;MONTH(F417),MONTH(F417))&amp;"-"&amp;IF(LEN(DAY(F417))=1,"0"&amp;DAY(F417),DAY(F417))</f>
        <v>414.8-2023-12-31</v>
      </c>
    </row>
    <row r="418" spans="1:18" x14ac:dyDescent="0.3">
      <c r="A418" s="26" t="s">
        <v>609</v>
      </c>
      <c r="B418" s="23" t="s">
        <v>568</v>
      </c>
      <c r="C418" s="5" t="s">
        <v>762</v>
      </c>
      <c r="D418" s="5" t="s">
        <v>11</v>
      </c>
      <c r="E418" s="5" t="s">
        <v>9</v>
      </c>
      <c r="F418" s="6">
        <v>45291</v>
      </c>
      <c r="G418" s="16">
        <f t="shared" si="59"/>
        <v>2023</v>
      </c>
      <c r="H418" s="6" t="str">
        <f t="shared" si="57"/>
        <v>Diciembre</v>
      </c>
      <c r="I418" s="6" t="str">
        <f t="shared" si="58"/>
        <v>2023-2</v>
      </c>
      <c r="J418" s="5">
        <v>100</v>
      </c>
      <c r="K418" s="5">
        <v>99.86</v>
      </c>
      <c r="L418" s="15">
        <f t="shared" si="60"/>
        <v>0.99860000000000004</v>
      </c>
      <c r="M418" s="15">
        <f t="shared" si="61"/>
        <v>0.99860000000000004</v>
      </c>
      <c r="N418" s="5" t="s">
        <v>347</v>
      </c>
      <c r="O418" s="5" t="s">
        <v>347</v>
      </c>
      <c r="P418" s="5">
        <v>0</v>
      </c>
      <c r="Q418" s="5">
        <v>0</v>
      </c>
      <c r="R418" s="5" t="str">
        <f>A418&amp;"-"&amp;YEAR(F418)&amp;"-"&amp;IF(LEN(MONTH(F418))=1,"0"&amp;MONTH(F418),MONTH(F418))&amp;"-"&amp;IF(LEN(DAY(F418))=1,"0"&amp;DAY(F418),DAY(F418))</f>
        <v>415.1-2023-12-31</v>
      </c>
    </row>
    <row r="419" spans="1:18" x14ac:dyDescent="0.3">
      <c r="A419" s="26" t="s">
        <v>618</v>
      </c>
      <c r="B419" s="23" t="s">
        <v>570</v>
      </c>
      <c r="C419" s="5" t="s">
        <v>343</v>
      </c>
      <c r="D419" s="5" t="s">
        <v>11</v>
      </c>
      <c r="E419" s="5" t="s">
        <v>9</v>
      </c>
      <c r="F419" s="6">
        <v>45291</v>
      </c>
      <c r="G419" s="16">
        <f t="shared" si="59"/>
        <v>2023</v>
      </c>
      <c r="H419" s="6" t="str">
        <f t="shared" si="57"/>
        <v>Diciembre</v>
      </c>
      <c r="I419" s="6" t="str">
        <f t="shared" si="58"/>
        <v>2023-2</v>
      </c>
      <c r="J419" s="5">
        <v>100</v>
      </c>
      <c r="K419" s="5">
        <v>84.33</v>
      </c>
      <c r="L419" s="15">
        <f t="shared" si="60"/>
        <v>0.84329999999999994</v>
      </c>
      <c r="M419" s="15">
        <f t="shared" si="61"/>
        <v>0.84329999999999994</v>
      </c>
      <c r="N419" s="5" t="s">
        <v>347</v>
      </c>
      <c r="O419" s="5" t="s">
        <v>347</v>
      </c>
      <c r="P419" s="5">
        <v>0</v>
      </c>
      <c r="Q419" s="5">
        <v>0</v>
      </c>
      <c r="R419" s="5" t="str">
        <f>A419&amp;"-"&amp;YEAR(F419)&amp;"-"&amp;IF(LEN(MONTH(F419))=1,"0"&amp;MONTH(F419),MONTH(F419))&amp;"-"&amp;IF(LEN(DAY(F419))=1,"0"&amp;DAY(F419),DAY(F419))</f>
        <v>415.10-2023-12-31</v>
      </c>
    </row>
    <row r="420" spans="1:18" x14ac:dyDescent="0.3">
      <c r="A420" s="26" t="s">
        <v>610</v>
      </c>
      <c r="B420" s="23" t="s">
        <v>569</v>
      </c>
      <c r="C420" s="5" t="s">
        <v>74</v>
      </c>
      <c r="D420" s="5" t="s">
        <v>11</v>
      </c>
      <c r="E420" s="5" t="s">
        <v>9</v>
      </c>
      <c r="F420" s="6">
        <v>45291</v>
      </c>
      <c r="G420" s="16">
        <f t="shared" si="59"/>
        <v>2023</v>
      </c>
      <c r="H420" s="6" t="str">
        <f t="shared" si="57"/>
        <v>Diciembre</v>
      </c>
      <c r="I420" s="6" t="str">
        <f t="shared" si="58"/>
        <v>2023-2</v>
      </c>
      <c r="J420" s="5">
        <v>100</v>
      </c>
      <c r="K420" s="5">
        <v>100</v>
      </c>
      <c r="L420" s="15">
        <f t="shared" si="60"/>
        <v>1</v>
      </c>
      <c r="M420" s="15">
        <f t="shared" si="61"/>
        <v>1</v>
      </c>
      <c r="N420" s="5" t="s">
        <v>347</v>
      </c>
      <c r="O420" s="5" t="s">
        <v>347</v>
      </c>
      <c r="P420" s="5">
        <v>0</v>
      </c>
      <c r="Q420" s="5">
        <v>0</v>
      </c>
      <c r="R420" s="5" t="str">
        <f>A420&amp;"-"&amp;YEAR(F420)&amp;"-"&amp;IF(LEN(MONTH(F420))=1,"0"&amp;MONTH(F420),MONTH(F420))&amp;"-"&amp;IF(LEN(DAY(F420))=1,"0"&amp;DAY(F420),DAY(F420))</f>
        <v>415.2-2023-12-31</v>
      </c>
    </row>
    <row r="421" spans="1:18" x14ac:dyDescent="0.3">
      <c r="A421" s="26" t="s">
        <v>611</v>
      </c>
      <c r="B421" s="23" t="s">
        <v>571</v>
      </c>
      <c r="C421" s="5" t="s">
        <v>237</v>
      </c>
      <c r="D421" s="5" t="s">
        <v>11</v>
      </c>
      <c r="E421" s="5" t="s">
        <v>9</v>
      </c>
      <c r="F421" s="6">
        <v>45291</v>
      </c>
      <c r="G421" s="16">
        <f t="shared" si="59"/>
        <v>2023</v>
      </c>
      <c r="H421" s="6" t="str">
        <f t="shared" si="57"/>
        <v>Diciembre</v>
      </c>
      <c r="I421" s="6" t="str">
        <f t="shared" si="58"/>
        <v>2023-2</v>
      </c>
      <c r="J421" s="5">
        <v>100</v>
      </c>
      <c r="K421" s="5">
        <v>98</v>
      </c>
      <c r="L421" s="15">
        <f t="shared" si="60"/>
        <v>0.98</v>
      </c>
      <c r="M421" s="15">
        <f t="shared" si="61"/>
        <v>0.98</v>
      </c>
      <c r="N421" s="5" t="s">
        <v>347</v>
      </c>
      <c r="O421" s="5" t="s">
        <v>347</v>
      </c>
      <c r="P421" s="5">
        <v>0</v>
      </c>
      <c r="Q421" s="5">
        <v>0</v>
      </c>
      <c r="R421" s="5" t="str">
        <f>A421&amp;"-"&amp;YEAR(F421)&amp;"-"&amp;IF(LEN(MONTH(F421))=1,"0"&amp;MONTH(F421),MONTH(F421))&amp;"-"&amp;IF(LEN(DAY(F421))=1,"0"&amp;DAY(F421),DAY(F421))</f>
        <v>415.3-2023-12-31</v>
      </c>
    </row>
    <row r="422" spans="1:18" x14ac:dyDescent="0.3">
      <c r="A422" s="26" t="s">
        <v>612</v>
      </c>
      <c r="B422" s="23" t="s">
        <v>572</v>
      </c>
      <c r="C422" s="5" t="s">
        <v>126</v>
      </c>
      <c r="D422" s="5" t="s">
        <v>11</v>
      </c>
      <c r="E422" s="5" t="s">
        <v>9</v>
      </c>
      <c r="F422" s="6">
        <v>45291</v>
      </c>
      <c r="G422" s="16">
        <f t="shared" si="59"/>
        <v>2023</v>
      </c>
      <c r="H422" s="6" t="str">
        <f t="shared" si="57"/>
        <v>Diciembre</v>
      </c>
      <c r="I422" s="6" t="str">
        <f t="shared" si="58"/>
        <v>2023-2</v>
      </c>
      <c r="J422" s="5">
        <v>100</v>
      </c>
      <c r="K422" s="5">
        <v>100</v>
      </c>
      <c r="L422" s="15">
        <f t="shared" si="60"/>
        <v>1</v>
      </c>
      <c r="M422" s="15">
        <f t="shared" si="61"/>
        <v>1</v>
      </c>
      <c r="N422" s="5" t="s">
        <v>347</v>
      </c>
      <c r="O422" s="5" t="s">
        <v>347</v>
      </c>
      <c r="P422" s="5">
        <v>0</v>
      </c>
      <c r="Q422" s="5">
        <v>0</v>
      </c>
      <c r="R422" s="5" t="str">
        <f>A422&amp;"-"&amp;YEAR(F422)&amp;"-"&amp;IF(LEN(MONTH(F422))=1,"0"&amp;MONTH(F422),MONTH(F422))&amp;"-"&amp;IF(LEN(DAY(F422))=1,"0"&amp;DAY(F422),DAY(F422))</f>
        <v>415.4-2023-12-31</v>
      </c>
    </row>
    <row r="423" spans="1:18" x14ac:dyDescent="0.3">
      <c r="A423" s="26" t="s">
        <v>613</v>
      </c>
      <c r="B423" s="23" t="s">
        <v>690</v>
      </c>
      <c r="C423" s="5" t="s">
        <v>344</v>
      </c>
      <c r="D423" s="5" t="s">
        <v>11</v>
      </c>
      <c r="E423" s="5" t="s">
        <v>9</v>
      </c>
      <c r="F423" s="6">
        <v>45291</v>
      </c>
      <c r="G423" s="16">
        <f t="shared" si="59"/>
        <v>2023</v>
      </c>
      <c r="H423" s="6" t="str">
        <f t="shared" si="57"/>
        <v>Diciembre</v>
      </c>
      <c r="I423" s="6" t="str">
        <f t="shared" si="58"/>
        <v>2023-2</v>
      </c>
      <c r="J423" s="5">
        <v>100</v>
      </c>
      <c r="K423" s="5">
        <v>90</v>
      </c>
      <c r="L423" s="15">
        <f t="shared" si="60"/>
        <v>0.9</v>
      </c>
      <c r="M423" s="15">
        <f t="shared" si="61"/>
        <v>0.9</v>
      </c>
      <c r="N423" s="5" t="s">
        <v>347</v>
      </c>
      <c r="O423" s="5" t="s">
        <v>347</v>
      </c>
      <c r="P423" s="5">
        <v>0</v>
      </c>
      <c r="Q423" s="5">
        <v>0</v>
      </c>
      <c r="R423" s="5" t="str">
        <f>A423&amp;"-"&amp;YEAR(F423)&amp;"-"&amp;IF(LEN(MONTH(F423))=1,"0"&amp;MONTH(F423),MONTH(F423))&amp;"-"&amp;IF(LEN(DAY(F423))=1,"0"&amp;DAY(F423),DAY(F423))</f>
        <v>415.5-2023-12-31</v>
      </c>
    </row>
    <row r="424" spans="1:18" x14ac:dyDescent="0.3">
      <c r="A424" s="26" t="s">
        <v>614</v>
      </c>
      <c r="B424" s="23" t="s">
        <v>574</v>
      </c>
      <c r="C424" s="5" t="s">
        <v>248</v>
      </c>
      <c r="D424" s="5" t="s">
        <v>11</v>
      </c>
      <c r="E424" s="5" t="s">
        <v>9</v>
      </c>
      <c r="F424" s="6">
        <v>45291</v>
      </c>
      <c r="G424" s="16">
        <f t="shared" si="59"/>
        <v>2023</v>
      </c>
      <c r="H424" s="6" t="str">
        <f t="shared" si="57"/>
        <v>Diciembre</v>
      </c>
      <c r="I424" s="6" t="str">
        <f t="shared" si="58"/>
        <v>2023-2</v>
      </c>
      <c r="J424" s="5">
        <v>100</v>
      </c>
      <c r="K424" s="5">
        <v>100</v>
      </c>
      <c r="L424" s="15">
        <f t="shared" si="60"/>
        <v>1</v>
      </c>
      <c r="M424" s="15">
        <f t="shared" si="61"/>
        <v>1</v>
      </c>
      <c r="N424" s="5" t="s">
        <v>347</v>
      </c>
      <c r="O424" s="5" t="s">
        <v>347</v>
      </c>
      <c r="P424" s="5">
        <v>0</v>
      </c>
      <c r="Q424" s="5">
        <v>0</v>
      </c>
      <c r="R424" s="5" t="str">
        <f>A424&amp;"-"&amp;YEAR(F424)&amp;"-"&amp;IF(LEN(MONTH(F424))=1,"0"&amp;MONTH(F424),MONTH(F424))&amp;"-"&amp;IF(LEN(DAY(F424))=1,"0"&amp;DAY(F424),DAY(F424))</f>
        <v>415.6-2023-12-31</v>
      </c>
    </row>
    <row r="425" spans="1:18" x14ac:dyDescent="0.3">
      <c r="A425" s="26" t="s">
        <v>647</v>
      </c>
      <c r="B425" s="23" t="s">
        <v>575</v>
      </c>
      <c r="C425" s="5" t="s">
        <v>267</v>
      </c>
      <c r="D425" s="5" t="s">
        <v>11</v>
      </c>
      <c r="E425" s="5" t="s">
        <v>9</v>
      </c>
      <c r="F425" s="6">
        <v>45291</v>
      </c>
      <c r="G425" s="16">
        <f t="shared" si="59"/>
        <v>2023</v>
      </c>
      <c r="H425" s="6" t="str">
        <f t="shared" si="57"/>
        <v>Diciembre</v>
      </c>
      <c r="I425" s="6" t="str">
        <f t="shared" si="58"/>
        <v>2023-2</v>
      </c>
      <c r="J425" s="5">
        <v>100</v>
      </c>
      <c r="K425" s="5">
        <v>100</v>
      </c>
      <c r="L425" s="15">
        <f t="shared" si="60"/>
        <v>1</v>
      </c>
      <c r="M425" s="15">
        <f t="shared" si="61"/>
        <v>1</v>
      </c>
      <c r="N425" s="5" t="s">
        <v>347</v>
      </c>
      <c r="O425" s="5" t="s">
        <v>347</v>
      </c>
      <c r="P425" s="5">
        <v>0</v>
      </c>
      <c r="Q425" s="5">
        <v>0</v>
      </c>
      <c r="R425" s="5" t="str">
        <f>A425&amp;"-"&amp;YEAR(F425)&amp;"-"&amp;IF(LEN(MONTH(F425))=1,"0"&amp;MONTH(F425),MONTH(F425))&amp;"-"&amp;IF(LEN(DAY(F425))=1,"0"&amp;DAY(F425),DAY(F425))</f>
        <v>416.1-2023-12-31</v>
      </c>
    </row>
    <row r="426" spans="1:18" x14ac:dyDescent="0.3">
      <c r="A426" s="26" t="s">
        <v>648</v>
      </c>
      <c r="B426" s="23" t="s">
        <v>576</v>
      </c>
      <c r="C426" s="5" t="s">
        <v>315</v>
      </c>
      <c r="D426" s="5" t="s">
        <v>11</v>
      </c>
      <c r="E426" s="5" t="s">
        <v>9</v>
      </c>
      <c r="F426" s="6">
        <v>45291</v>
      </c>
      <c r="G426" s="16">
        <f t="shared" si="59"/>
        <v>2023</v>
      </c>
      <c r="H426" s="6" t="str">
        <f t="shared" si="57"/>
        <v>Diciembre</v>
      </c>
      <c r="I426" s="6" t="str">
        <f t="shared" si="58"/>
        <v>2023-2</v>
      </c>
      <c r="J426" s="5">
        <v>100</v>
      </c>
      <c r="K426" s="5">
        <v>96</v>
      </c>
      <c r="L426" s="15">
        <f t="shared" si="60"/>
        <v>0.96</v>
      </c>
      <c r="M426" s="15">
        <f t="shared" si="61"/>
        <v>0.96</v>
      </c>
      <c r="N426" s="5" t="s">
        <v>347</v>
      </c>
      <c r="O426" s="5" t="s">
        <v>347</v>
      </c>
      <c r="P426" s="5">
        <v>0</v>
      </c>
      <c r="Q426" s="5">
        <v>0</v>
      </c>
      <c r="R426" s="5" t="str">
        <f>A426&amp;"-"&amp;YEAR(F426)&amp;"-"&amp;IF(LEN(MONTH(F426))=1,"0"&amp;MONTH(F426),MONTH(F426))&amp;"-"&amp;IF(LEN(DAY(F426))=1,"0"&amp;DAY(F426),DAY(F426))</f>
        <v>416.2-2023-12-31</v>
      </c>
    </row>
    <row r="427" spans="1:18" x14ac:dyDescent="0.3">
      <c r="A427" s="26" t="s">
        <v>702</v>
      </c>
      <c r="B427" s="23" t="s">
        <v>604</v>
      </c>
      <c r="C427" s="5" t="s">
        <v>274</v>
      </c>
      <c r="D427" s="5" t="s">
        <v>11</v>
      </c>
      <c r="E427" s="5" t="s">
        <v>9</v>
      </c>
      <c r="F427" s="6">
        <v>45291</v>
      </c>
      <c r="G427" s="16">
        <f t="shared" si="59"/>
        <v>2023</v>
      </c>
      <c r="H427" s="6" t="str">
        <f t="shared" si="57"/>
        <v>Diciembre</v>
      </c>
      <c r="I427" s="6" t="str">
        <f t="shared" si="58"/>
        <v>2023-2</v>
      </c>
      <c r="J427" s="5">
        <v>100</v>
      </c>
      <c r="K427" s="5">
        <v>92.5</v>
      </c>
      <c r="L427" s="15">
        <f t="shared" si="60"/>
        <v>0.92500000000000004</v>
      </c>
      <c r="M427" s="15">
        <f t="shared" si="61"/>
        <v>0.92500000000000004</v>
      </c>
      <c r="N427" s="5" t="s">
        <v>347</v>
      </c>
      <c r="O427" s="5" t="s">
        <v>347</v>
      </c>
      <c r="P427" s="5">
        <v>0</v>
      </c>
      <c r="Q427" s="5">
        <v>0</v>
      </c>
      <c r="R427" s="5" t="str">
        <f>A427&amp;"-"&amp;YEAR(F427)&amp;"-"&amp;IF(LEN(MONTH(F427))=1,"0"&amp;MONTH(F427),MONTH(F427))&amp;"-"&amp;IF(LEN(DAY(F427))=1,"0"&amp;DAY(F427),DAY(F427))</f>
        <v>416.7-2023-12-31</v>
      </c>
    </row>
    <row r="428" spans="1:18" x14ac:dyDescent="0.3">
      <c r="A428" s="26" t="s">
        <v>703</v>
      </c>
      <c r="B428" s="23" t="s">
        <v>605</v>
      </c>
      <c r="C428" s="5" t="s">
        <v>410</v>
      </c>
      <c r="D428" s="5" t="s">
        <v>11</v>
      </c>
      <c r="E428" s="5" t="s">
        <v>9</v>
      </c>
      <c r="F428" s="6">
        <v>45291</v>
      </c>
      <c r="G428" s="16">
        <f t="shared" si="59"/>
        <v>2023</v>
      </c>
      <c r="H428" s="6" t="str">
        <f t="shared" si="57"/>
        <v>Diciembre</v>
      </c>
      <c r="I428" s="6" t="str">
        <f t="shared" si="58"/>
        <v>2023-2</v>
      </c>
      <c r="J428" s="5">
        <v>100</v>
      </c>
      <c r="K428" s="5">
        <v>99.88</v>
      </c>
      <c r="L428" s="15">
        <f t="shared" si="60"/>
        <v>0.99879999999999991</v>
      </c>
      <c r="M428" s="15">
        <f t="shared" si="61"/>
        <v>0.99879999999999991</v>
      </c>
      <c r="N428" s="5" t="s">
        <v>347</v>
      </c>
      <c r="O428" s="5" t="s">
        <v>347</v>
      </c>
      <c r="P428" s="5">
        <v>0</v>
      </c>
      <c r="Q428" s="5">
        <v>0</v>
      </c>
      <c r="R428" s="5" t="str">
        <f>A428&amp;"-"&amp;YEAR(F428)&amp;"-"&amp;IF(LEN(MONTH(F428))=1,"0"&amp;MONTH(F428),MONTH(F428))&amp;"-"&amp;IF(LEN(DAY(F428))=1,"0"&amp;DAY(F428),DAY(F428))</f>
        <v>416.8-2023-12-31</v>
      </c>
    </row>
    <row r="429" spans="1:18" x14ac:dyDescent="0.3">
      <c r="A429" s="26" t="s">
        <v>653</v>
      </c>
      <c r="B429" s="23" t="s">
        <v>577</v>
      </c>
      <c r="C429" s="5" t="s">
        <v>231</v>
      </c>
      <c r="D429" s="5" t="s">
        <v>11</v>
      </c>
      <c r="E429" s="5" t="s">
        <v>9</v>
      </c>
      <c r="F429" s="6">
        <v>45291</v>
      </c>
      <c r="G429" s="16">
        <f t="shared" si="59"/>
        <v>2023</v>
      </c>
      <c r="H429" s="6" t="str">
        <f t="shared" si="57"/>
        <v>Diciembre</v>
      </c>
      <c r="I429" s="6" t="str">
        <f t="shared" si="58"/>
        <v>2023-2</v>
      </c>
      <c r="J429" s="5">
        <v>100</v>
      </c>
      <c r="K429" s="5">
        <v>94</v>
      </c>
      <c r="L429" s="15">
        <f t="shared" si="60"/>
        <v>0.94</v>
      </c>
      <c r="M429" s="15">
        <f t="shared" si="61"/>
        <v>0.94</v>
      </c>
      <c r="N429" s="5" t="s">
        <v>347</v>
      </c>
      <c r="O429" s="5" t="s">
        <v>347</v>
      </c>
      <c r="P429" s="5">
        <v>0</v>
      </c>
      <c r="Q429" s="5">
        <v>0</v>
      </c>
      <c r="R429" s="5" t="str">
        <f>A429&amp;"-"&amp;YEAR(F429)&amp;"-"&amp;IF(LEN(MONTH(F429))=1,"0"&amp;MONTH(F429),MONTH(F429))&amp;"-"&amp;IF(LEN(DAY(F429))=1,"0"&amp;DAY(F429),DAY(F429))</f>
        <v>417.1-2023-12-31</v>
      </c>
    </row>
    <row r="430" spans="1:18" x14ac:dyDescent="0.3">
      <c r="A430" s="26" t="s">
        <v>654</v>
      </c>
      <c r="B430" s="23" t="s">
        <v>578</v>
      </c>
      <c r="C430" s="5" t="s">
        <v>43</v>
      </c>
      <c r="D430" s="5" t="s">
        <v>11</v>
      </c>
      <c r="E430" s="5" t="s">
        <v>9</v>
      </c>
      <c r="F430" s="6">
        <v>45291</v>
      </c>
      <c r="G430" s="16">
        <f t="shared" si="59"/>
        <v>2023</v>
      </c>
      <c r="H430" s="6" t="str">
        <f t="shared" si="57"/>
        <v>Diciembre</v>
      </c>
      <c r="I430" s="6" t="str">
        <f t="shared" si="58"/>
        <v>2023-2</v>
      </c>
      <c r="J430" s="5">
        <v>100</v>
      </c>
      <c r="K430" s="5">
        <v>86.67</v>
      </c>
      <c r="L430" s="15">
        <f t="shared" ref="L430:L457" si="62">IFERROR(IF((K430/J430)&gt;1,1,K430/J430),"")</f>
        <v>0.86670000000000003</v>
      </c>
      <c r="M430" s="15">
        <f t="shared" ref="M430:M457" si="63">IFERROR(IF((K430/J430)&gt;1,1,K430/J430),"")</f>
        <v>0.86670000000000003</v>
      </c>
      <c r="N430" s="5" t="s">
        <v>347</v>
      </c>
      <c r="O430" s="5" t="s">
        <v>347</v>
      </c>
      <c r="P430" s="5">
        <v>0</v>
      </c>
      <c r="Q430" s="5">
        <v>0</v>
      </c>
      <c r="R430" s="5" t="str">
        <f>A430&amp;"-"&amp;YEAR(F430)&amp;"-"&amp;IF(LEN(MONTH(F430))=1,"0"&amp;MONTH(F430),MONTH(F430))&amp;"-"&amp;IF(LEN(DAY(F430))=1,"0"&amp;DAY(F430),DAY(F430))</f>
        <v>417.2-2023-12-31</v>
      </c>
    </row>
    <row r="431" spans="1:18" x14ac:dyDescent="0.3">
      <c r="A431" s="26" t="s">
        <v>655</v>
      </c>
      <c r="B431" s="23" t="s">
        <v>579</v>
      </c>
      <c r="C431" s="5" t="s">
        <v>84</v>
      </c>
      <c r="D431" s="5" t="s">
        <v>11</v>
      </c>
      <c r="E431" s="5" t="s">
        <v>9</v>
      </c>
      <c r="F431" s="6">
        <v>45291</v>
      </c>
      <c r="G431" s="16">
        <f t="shared" si="59"/>
        <v>2023</v>
      </c>
      <c r="H431" s="6" t="str">
        <f t="shared" si="57"/>
        <v>Diciembre</v>
      </c>
      <c r="I431" s="6" t="str">
        <f t="shared" si="58"/>
        <v>2023-2</v>
      </c>
      <c r="J431" s="5">
        <v>100</v>
      </c>
      <c r="K431" s="5">
        <v>93.75</v>
      </c>
      <c r="L431" s="15">
        <f t="shared" si="62"/>
        <v>0.9375</v>
      </c>
      <c r="M431" s="15">
        <f t="shared" si="63"/>
        <v>0.9375</v>
      </c>
      <c r="N431" s="5" t="s">
        <v>347</v>
      </c>
      <c r="O431" s="5" t="s">
        <v>347</v>
      </c>
      <c r="P431" s="5">
        <v>0</v>
      </c>
      <c r="Q431" s="5">
        <v>0</v>
      </c>
      <c r="R431" s="5" t="str">
        <f>A431&amp;"-"&amp;YEAR(F431)&amp;"-"&amp;IF(LEN(MONTH(F431))=1,"0"&amp;MONTH(F431),MONTH(F431))&amp;"-"&amp;IF(LEN(DAY(F431))=1,"0"&amp;DAY(F431),DAY(F431))</f>
        <v>417.3-2023-12-31</v>
      </c>
    </row>
    <row r="432" spans="1:18" x14ac:dyDescent="0.3">
      <c r="A432" s="26" t="s">
        <v>656</v>
      </c>
      <c r="B432" s="23" t="s">
        <v>657</v>
      </c>
      <c r="C432" s="5" t="s">
        <v>185</v>
      </c>
      <c r="D432" s="5" t="s">
        <v>11</v>
      </c>
      <c r="E432" s="5" t="s">
        <v>9</v>
      </c>
      <c r="F432" s="6">
        <v>45291</v>
      </c>
      <c r="G432" s="16">
        <f t="shared" si="59"/>
        <v>2023</v>
      </c>
      <c r="H432" s="6" t="str">
        <f t="shared" si="57"/>
        <v>Diciembre</v>
      </c>
      <c r="I432" s="6" t="str">
        <f t="shared" si="58"/>
        <v>2023-2</v>
      </c>
      <c r="J432" s="5">
        <v>100</v>
      </c>
      <c r="K432" s="5">
        <v>94.17</v>
      </c>
      <c r="L432" s="15">
        <f t="shared" si="62"/>
        <v>0.94169999999999998</v>
      </c>
      <c r="M432" s="15">
        <f t="shared" si="63"/>
        <v>0.94169999999999998</v>
      </c>
      <c r="N432" s="5" t="s">
        <v>347</v>
      </c>
      <c r="O432" s="5" t="s">
        <v>347</v>
      </c>
      <c r="P432" s="5">
        <v>0</v>
      </c>
      <c r="Q432" s="5">
        <v>0</v>
      </c>
      <c r="R432" s="5" t="str">
        <f>A432&amp;"-"&amp;YEAR(F432)&amp;"-"&amp;IF(LEN(MONTH(F432))=1,"0"&amp;MONTH(F432),MONTH(F432))&amp;"-"&amp;IF(LEN(DAY(F432))=1,"0"&amp;DAY(F432),DAY(F432))</f>
        <v>417.4-2023-12-31</v>
      </c>
    </row>
    <row r="433" spans="1:18" x14ac:dyDescent="0.3">
      <c r="A433" s="26" t="s">
        <v>659</v>
      </c>
      <c r="B433" s="23" t="s">
        <v>658</v>
      </c>
      <c r="C433" s="5" t="s">
        <v>7</v>
      </c>
      <c r="D433" s="5" t="s">
        <v>11</v>
      </c>
      <c r="E433" s="5" t="s">
        <v>9</v>
      </c>
      <c r="F433" s="6">
        <v>45291</v>
      </c>
      <c r="G433" s="16">
        <f t="shared" si="59"/>
        <v>2023</v>
      </c>
      <c r="H433" s="6" t="str">
        <f t="shared" si="57"/>
        <v>Diciembre</v>
      </c>
      <c r="I433" s="6" t="str">
        <f t="shared" si="58"/>
        <v>2023-2</v>
      </c>
      <c r="J433" s="5">
        <v>100</v>
      </c>
      <c r="K433" s="5">
        <v>99</v>
      </c>
      <c r="L433" s="15">
        <f t="shared" si="62"/>
        <v>0.99</v>
      </c>
      <c r="M433" s="15">
        <f t="shared" si="63"/>
        <v>0.99</v>
      </c>
      <c r="N433" s="5" t="s">
        <v>347</v>
      </c>
      <c r="O433" s="5" t="s">
        <v>347</v>
      </c>
      <c r="P433" s="5">
        <v>0</v>
      </c>
      <c r="Q433" s="5">
        <v>0</v>
      </c>
      <c r="R433" s="5" t="str">
        <f>A433&amp;"-"&amp;YEAR(F433)&amp;"-"&amp;IF(LEN(MONTH(F433))=1,"0"&amp;MONTH(F433),MONTH(F433))&amp;"-"&amp;IF(LEN(DAY(F433))=1,"0"&amp;DAY(F433),DAY(F433))</f>
        <v>417.5-2023-12-31</v>
      </c>
    </row>
    <row r="434" spans="1:18" x14ac:dyDescent="0.3">
      <c r="A434" s="26" t="s">
        <v>704</v>
      </c>
      <c r="B434" s="23" t="s">
        <v>580</v>
      </c>
      <c r="C434" s="5"/>
      <c r="D434" s="5" t="s">
        <v>11</v>
      </c>
      <c r="E434" s="5" t="s">
        <v>9</v>
      </c>
      <c r="F434" s="6">
        <v>45291</v>
      </c>
      <c r="G434" s="16">
        <f t="shared" si="59"/>
        <v>2023</v>
      </c>
      <c r="H434" s="6" t="str">
        <f t="shared" si="57"/>
        <v>Diciembre</v>
      </c>
      <c r="I434" s="6" t="str">
        <f t="shared" si="58"/>
        <v>2023-2</v>
      </c>
      <c r="J434" s="5">
        <v>100</v>
      </c>
      <c r="K434" s="5">
        <v>98.75</v>
      </c>
      <c r="L434" s="15">
        <f t="shared" si="62"/>
        <v>0.98750000000000004</v>
      </c>
      <c r="M434" s="15">
        <f t="shared" si="63"/>
        <v>0.98750000000000004</v>
      </c>
      <c r="N434" s="5" t="s">
        <v>347</v>
      </c>
      <c r="O434" s="5" t="s">
        <v>347</v>
      </c>
      <c r="P434" s="5">
        <v>0</v>
      </c>
      <c r="Q434" s="5">
        <v>0</v>
      </c>
      <c r="R434" s="5" t="str">
        <f>A434&amp;"-"&amp;YEAR(F434)&amp;"-"&amp;IF(LEN(MONTH(F434))=1,"0"&amp;MONTH(F434),MONTH(F434))&amp;"-"&amp;IF(LEN(DAY(F434))=1,"0"&amp;DAY(F434),DAY(F434))</f>
        <v>417.6-2023-12-31</v>
      </c>
    </row>
    <row r="435" spans="1:18" x14ac:dyDescent="0.3">
      <c r="A435" s="26" t="s">
        <v>660</v>
      </c>
      <c r="B435" s="23" t="s">
        <v>583</v>
      </c>
      <c r="C435" s="5" t="s">
        <v>209</v>
      </c>
      <c r="D435" s="5" t="s">
        <v>11</v>
      </c>
      <c r="E435" s="5" t="s">
        <v>9</v>
      </c>
      <c r="F435" s="6">
        <v>45291</v>
      </c>
      <c r="G435" s="16">
        <f t="shared" si="59"/>
        <v>2023</v>
      </c>
      <c r="H435" s="6" t="str">
        <f t="shared" si="57"/>
        <v>Diciembre</v>
      </c>
      <c r="I435" s="6" t="str">
        <f t="shared" si="58"/>
        <v>2023-2</v>
      </c>
      <c r="J435" s="5">
        <v>100</v>
      </c>
      <c r="K435" s="5">
        <v>87.5</v>
      </c>
      <c r="L435" s="15">
        <f t="shared" si="62"/>
        <v>0.875</v>
      </c>
      <c r="M435" s="15">
        <f t="shared" si="63"/>
        <v>0.875</v>
      </c>
      <c r="N435" s="5" t="s">
        <v>347</v>
      </c>
      <c r="O435" s="5" t="s">
        <v>347</v>
      </c>
      <c r="P435" s="5">
        <v>0</v>
      </c>
      <c r="Q435" s="5">
        <v>0</v>
      </c>
      <c r="R435" s="5" t="str">
        <f>A435&amp;"-"&amp;YEAR(F435)&amp;"-"&amp;IF(LEN(MONTH(F435))=1,"0"&amp;MONTH(F435),MONTH(F435))&amp;"-"&amp;IF(LEN(DAY(F435))=1,"0"&amp;DAY(F435),DAY(F435))</f>
        <v>418.1-2023-12-31</v>
      </c>
    </row>
    <row r="436" spans="1:18" x14ac:dyDescent="0.3">
      <c r="A436" s="26" t="s">
        <v>661</v>
      </c>
      <c r="B436" s="23" t="s">
        <v>584</v>
      </c>
      <c r="C436" s="5" t="s">
        <v>59</v>
      </c>
      <c r="D436" s="5" t="s">
        <v>11</v>
      </c>
      <c r="E436" s="5" t="s">
        <v>9</v>
      </c>
      <c r="F436" s="6">
        <v>45291</v>
      </c>
      <c r="G436" s="16">
        <f t="shared" si="59"/>
        <v>2023</v>
      </c>
      <c r="H436" s="6" t="str">
        <f t="shared" si="57"/>
        <v>Diciembre</v>
      </c>
      <c r="I436" s="6" t="str">
        <f t="shared" si="58"/>
        <v>2023-2</v>
      </c>
      <c r="J436" s="5">
        <v>100</v>
      </c>
      <c r="K436" s="5">
        <v>86.25</v>
      </c>
      <c r="L436" s="15">
        <f t="shared" si="62"/>
        <v>0.86250000000000004</v>
      </c>
      <c r="M436" s="15">
        <f t="shared" si="63"/>
        <v>0.86250000000000004</v>
      </c>
      <c r="N436" s="5" t="s">
        <v>347</v>
      </c>
      <c r="O436" s="5" t="s">
        <v>347</v>
      </c>
      <c r="P436" s="5">
        <v>0</v>
      </c>
      <c r="Q436" s="5">
        <v>0</v>
      </c>
      <c r="R436" s="5" t="str">
        <f>A436&amp;"-"&amp;YEAR(F436)&amp;"-"&amp;IF(LEN(MONTH(F436))=1,"0"&amp;MONTH(F436),MONTH(F436))&amp;"-"&amp;IF(LEN(DAY(F436))=1,"0"&amp;DAY(F436),DAY(F436))</f>
        <v>418.2-2023-12-31</v>
      </c>
    </row>
    <row r="437" spans="1:18" x14ac:dyDescent="0.3">
      <c r="A437" s="26" t="s">
        <v>662</v>
      </c>
      <c r="B437" s="23" t="s">
        <v>585</v>
      </c>
      <c r="C437" s="5" t="s">
        <v>53</v>
      </c>
      <c r="D437" s="5" t="s">
        <v>11</v>
      </c>
      <c r="E437" s="5" t="s">
        <v>9</v>
      </c>
      <c r="F437" s="6">
        <v>45291</v>
      </c>
      <c r="G437" s="16">
        <f t="shared" si="59"/>
        <v>2023</v>
      </c>
      <c r="H437" s="6" t="str">
        <f t="shared" si="57"/>
        <v>Diciembre</v>
      </c>
      <c r="I437" s="6" t="str">
        <f t="shared" si="58"/>
        <v>2023-2</v>
      </c>
      <c r="J437" s="5">
        <v>100</v>
      </c>
      <c r="K437" s="5">
        <v>90.95</v>
      </c>
      <c r="L437" s="15">
        <f t="shared" si="62"/>
        <v>0.90949999999999998</v>
      </c>
      <c r="M437" s="15">
        <f t="shared" si="63"/>
        <v>0.90949999999999998</v>
      </c>
      <c r="N437" s="5" t="s">
        <v>347</v>
      </c>
      <c r="O437" s="5" t="s">
        <v>347</v>
      </c>
      <c r="P437" s="5">
        <v>0</v>
      </c>
      <c r="Q437" s="5">
        <v>0</v>
      </c>
      <c r="R437" s="5" t="str">
        <f>A437&amp;"-"&amp;YEAR(F437)&amp;"-"&amp;IF(LEN(MONTH(F437))=1,"0"&amp;MONTH(F437),MONTH(F437))&amp;"-"&amp;IF(LEN(DAY(F437))=1,"0"&amp;DAY(F437),DAY(F437))</f>
        <v>418.3-2023-12-31</v>
      </c>
    </row>
    <row r="438" spans="1:18" x14ac:dyDescent="0.3">
      <c r="A438" s="26" t="s">
        <v>663</v>
      </c>
      <c r="B438" s="23" t="s">
        <v>586</v>
      </c>
      <c r="C438" s="5" t="s">
        <v>67</v>
      </c>
      <c r="D438" s="5" t="s">
        <v>11</v>
      </c>
      <c r="E438" s="5" t="s">
        <v>9</v>
      </c>
      <c r="F438" s="6">
        <v>45291</v>
      </c>
      <c r="G438" s="16">
        <f t="shared" si="59"/>
        <v>2023</v>
      </c>
      <c r="H438" s="6" t="str">
        <f t="shared" si="57"/>
        <v>Diciembre</v>
      </c>
      <c r="I438" s="6" t="str">
        <f t="shared" si="58"/>
        <v>2023-2</v>
      </c>
      <c r="J438" s="5">
        <v>100</v>
      </c>
      <c r="K438" s="5">
        <v>99.78</v>
      </c>
      <c r="L438" s="15">
        <f t="shared" si="62"/>
        <v>0.99780000000000002</v>
      </c>
      <c r="M438" s="15">
        <f t="shared" si="63"/>
        <v>0.99780000000000002</v>
      </c>
      <c r="N438" s="5" t="s">
        <v>347</v>
      </c>
      <c r="O438" s="5" t="s">
        <v>347</v>
      </c>
      <c r="P438" s="5">
        <v>0</v>
      </c>
      <c r="Q438" s="5">
        <v>0</v>
      </c>
      <c r="R438" s="5" t="str">
        <f>A438&amp;"-"&amp;YEAR(F438)&amp;"-"&amp;IF(LEN(MONTH(F438))=1,"0"&amp;MONTH(F438),MONTH(F438))&amp;"-"&amp;IF(LEN(DAY(F438))=1,"0"&amp;DAY(F438),DAY(F438))</f>
        <v>418.4-2023-12-31</v>
      </c>
    </row>
    <row r="439" spans="1:18" x14ac:dyDescent="0.3">
      <c r="A439" s="26" t="s">
        <v>664</v>
      </c>
      <c r="B439" s="23" t="s">
        <v>587</v>
      </c>
      <c r="C439" s="5" t="s">
        <v>162</v>
      </c>
      <c r="D439" s="5" t="s">
        <v>11</v>
      </c>
      <c r="E439" s="5" t="s">
        <v>9</v>
      </c>
      <c r="F439" s="6">
        <v>45291</v>
      </c>
      <c r="G439" s="16">
        <f t="shared" si="59"/>
        <v>2023</v>
      </c>
      <c r="H439" s="6" t="str">
        <f t="shared" si="57"/>
        <v>Diciembre</v>
      </c>
      <c r="I439" s="6" t="str">
        <f t="shared" si="58"/>
        <v>2023-2</v>
      </c>
      <c r="J439" s="5">
        <v>100</v>
      </c>
      <c r="K439" s="5">
        <v>100</v>
      </c>
      <c r="L439" s="15">
        <f t="shared" si="62"/>
        <v>1</v>
      </c>
      <c r="M439" s="15">
        <f t="shared" si="63"/>
        <v>1</v>
      </c>
      <c r="N439" s="5" t="s">
        <v>347</v>
      </c>
      <c r="O439" s="5" t="s">
        <v>347</v>
      </c>
      <c r="P439" s="5">
        <v>0</v>
      </c>
      <c r="Q439" s="5">
        <v>0</v>
      </c>
      <c r="R439" s="5" t="str">
        <f>A439&amp;"-"&amp;YEAR(F439)&amp;"-"&amp;IF(LEN(MONTH(F439))=1,"0"&amp;MONTH(F439),MONTH(F439))&amp;"-"&amp;IF(LEN(DAY(F439))=1,"0"&amp;DAY(F439),DAY(F439))</f>
        <v>418.5-2023-12-31</v>
      </c>
    </row>
    <row r="440" spans="1:18" x14ac:dyDescent="0.3">
      <c r="A440" s="26" t="s">
        <v>665</v>
      </c>
      <c r="B440" s="23" t="s">
        <v>588</v>
      </c>
      <c r="C440" s="5" t="s">
        <v>129</v>
      </c>
      <c r="D440" s="5" t="s">
        <v>11</v>
      </c>
      <c r="E440" s="5" t="s">
        <v>9</v>
      </c>
      <c r="F440" s="6">
        <v>45291</v>
      </c>
      <c r="G440" s="16">
        <f t="shared" si="59"/>
        <v>2023</v>
      </c>
      <c r="H440" s="6" t="str">
        <f t="shared" si="57"/>
        <v>Diciembre</v>
      </c>
      <c r="I440" s="6" t="str">
        <f t="shared" si="58"/>
        <v>2023-2</v>
      </c>
      <c r="J440" s="5">
        <v>100</v>
      </c>
      <c r="K440" s="5">
        <v>100</v>
      </c>
      <c r="L440" s="15">
        <f t="shared" si="62"/>
        <v>1</v>
      </c>
      <c r="M440" s="15">
        <f t="shared" si="63"/>
        <v>1</v>
      </c>
      <c r="N440" s="5" t="s">
        <v>347</v>
      </c>
      <c r="O440" s="5" t="s">
        <v>347</v>
      </c>
      <c r="P440" s="5">
        <v>0</v>
      </c>
      <c r="Q440" s="5">
        <v>0</v>
      </c>
      <c r="R440" s="5" t="str">
        <f>A440&amp;"-"&amp;YEAR(F440)&amp;"-"&amp;IF(LEN(MONTH(F440))=1,"0"&amp;MONTH(F440),MONTH(F440))&amp;"-"&amp;IF(LEN(DAY(F440))=1,"0"&amp;DAY(F440),DAY(F440))</f>
        <v>418.6-2023-12-31</v>
      </c>
    </row>
    <row r="441" spans="1:18" x14ac:dyDescent="0.3">
      <c r="A441" s="26" t="s">
        <v>666</v>
      </c>
      <c r="B441" s="23" t="s">
        <v>589</v>
      </c>
      <c r="C441" s="5" t="s">
        <v>345</v>
      </c>
      <c r="D441" s="5" t="s">
        <v>11</v>
      </c>
      <c r="E441" s="5" t="s">
        <v>9</v>
      </c>
      <c r="F441" s="6">
        <v>45291</v>
      </c>
      <c r="G441" s="16">
        <f t="shared" si="59"/>
        <v>2023</v>
      </c>
      <c r="H441" s="6" t="str">
        <f t="shared" si="57"/>
        <v>Diciembre</v>
      </c>
      <c r="I441" s="6" t="str">
        <f t="shared" si="58"/>
        <v>2023-2</v>
      </c>
      <c r="J441" s="5">
        <v>100</v>
      </c>
      <c r="K441" s="5">
        <v>100</v>
      </c>
      <c r="L441" s="15">
        <f t="shared" si="62"/>
        <v>1</v>
      </c>
      <c r="M441" s="15">
        <f t="shared" si="63"/>
        <v>1</v>
      </c>
      <c r="N441" s="5" t="s">
        <v>347</v>
      </c>
      <c r="O441" s="5" t="s">
        <v>347</v>
      </c>
      <c r="P441" s="5">
        <v>0</v>
      </c>
      <c r="Q441" s="5">
        <v>0</v>
      </c>
      <c r="R441" s="5" t="str">
        <f>A441&amp;"-"&amp;YEAR(F441)&amp;"-"&amp;IF(LEN(MONTH(F441))=1,"0"&amp;MONTH(F441),MONTH(F441))&amp;"-"&amp;IF(LEN(DAY(F441))=1,"0"&amp;DAY(F441),DAY(F441))</f>
        <v>418.7-2023-12-31</v>
      </c>
    </row>
    <row r="442" spans="1:18" x14ac:dyDescent="0.3">
      <c r="A442" s="26" t="s">
        <v>667</v>
      </c>
      <c r="B442" s="23" t="s">
        <v>590</v>
      </c>
      <c r="C442" s="5" t="s">
        <v>345</v>
      </c>
      <c r="D442" s="5" t="s">
        <v>11</v>
      </c>
      <c r="E442" s="5" t="s">
        <v>9</v>
      </c>
      <c r="F442" s="6">
        <v>45291</v>
      </c>
      <c r="G442" s="16">
        <f t="shared" si="59"/>
        <v>2023</v>
      </c>
      <c r="H442" s="6" t="str">
        <f t="shared" si="57"/>
        <v>Diciembre</v>
      </c>
      <c r="I442" s="6" t="str">
        <f t="shared" si="58"/>
        <v>2023-2</v>
      </c>
      <c r="J442" s="5">
        <v>100</v>
      </c>
      <c r="K442" s="5">
        <v>97.74</v>
      </c>
      <c r="L442" s="15">
        <f t="shared" si="62"/>
        <v>0.97739999999999994</v>
      </c>
      <c r="M442" s="15">
        <f t="shared" si="63"/>
        <v>0.97739999999999994</v>
      </c>
      <c r="N442" s="5" t="s">
        <v>347</v>
      </c>
      <c r="O442" s="5" t="s">
        <v>347</v>
      </c>
      <c r="P442" s="5">
        <v>0</v>
      </c>
      <c r="Q442" s="5">
        <v>0</v>
      </c>
      <c r="R442" s="5" t="str">
        <f>A442&amp;"-"&amp;YEAR(F442)&amp;"-"&amp;IF(LEN(MONTH(F442))=1,"0"&amp;MONTH(F442),MONTH(F442))&amp;"-"&amp;IF(LEN(DAY(F442))=1,"0"&amp;DAY(F442),DAY(F442))</f>
        <v>418.8-2023-12-31</v>
      </c>
    </row>
    <row r="443" spans="1:18" x14ac:dyDescent="0.3">
      <c r="A443" s="26" t="s">
        <v>668</v>
      </c>
      <c r="B443" s="23" t="s">
        <v>591</v>
      </c>
      <c r="C443" s="5" t="s">
        <v>345</v>
      </c>
      <c r="D443" s="5" t="s">
        <v>11</v>
      </c>
      <c r="E443" s="5" t="s">
        <v>9</v>
      </c>
      <c r="F443" s="6">
        <v>45291</v>
      </c>
      <c r="G443" s="16">
        <f t="shared" si="59"/>
        <v>2023</v>
      </c>
      <c r="H443" s="6" t="str">
        <f t="shared" si="57"/>
        <v>Diciembre</v>
      </c>
      <c r="I443" s="6" t="str">
        <f t="shared" si="58"/>
        <v>2023-2</v>
      </c>
      <c r="J443" s="5">
        <v>100</v>
      </c>
      <c r="K443" s="5">
        <v>100</v>
      </c>
      <c r="L443" s="15">
        <f t="shared" si="62"/>
        <v>1</v>
      </c>
      <c r="M443" s="15">
        <f t="shared" si="63"/>
        <v>1</v>
      </c>
      <c r="N443" s="5" t="s">
        <v>347</v>
      </c>
      <c r="O443" s="5" t="s">
        <v>347</v>
      </c>
      <c r="P443" s="5">
        <v>0</v>
      </c>
      <c r="Q443" s="5">
        <v>0</v>
      </c>
      <c r="R443" s="5" t="str">
        <f>A443&amp;"-"&amp;YEAR(F443)&amp;"-"&amp;IF(LEN(MONTH(F443))=1,"0"&amp;MONTH(F443),MONTH(F443))&amp;"-"&amp;IF(LEN(DAY(F443))=1,"0"&amp;DAY(F443),DAY(F443))</f>
        <v>418.9-2023-12-31</v>
      </c>
    </row>
    <row r="444" spans="1:18" x14ac:dyDescent="0.3">
      <c r="A444" s="26" t="s">
        <v>683</v>
      </c>
      <c r="B444" s="23" t="s">
        <v>601</v>
      </c>
      <c r="C444" s="5" t="s">
        <v>45</v>
      </c>
      <c r="D444" s="5" t="s">
        <v>11</v>
      </c>
      <c r="E444" s="5" t="s">
        <v>9</v>
      </c>
      <c r="F444" s="6">
        <v>45291</v>
      </c>
      <c r="G444" s="16">
        <f t="shared" si="59"/>
        <v>2023</v>
      </c>
      <c r="H444" s="6" t="str">
        <f t="shared" si="57"/>
        <v>Diciembre</v>
      </c>
      <c r="I444" s="6" t="str">
        <f t="shared" si="58"/>
        <v>2023-2</v>
      </c>
      <c r="J444" s="5">
        <v>100</v>
      </c>
      <c r="K444" s="5">
        <v>100</v>
      </c>
      <c r="L444" s="15">
        <f t="shared" si="62"/>
        <v>1</v>
      </c>
      <c r="M444" s="15">
        <f t="shared" si="63"/>
        <v>1</v>
      </c>
      <c r="N444" s="5" t="s">
        <v>347</v>
      </c>
      <c r="O444" s="5" t="s">
        <v>347</v>
      </c>
      <c r="P444" s="5">
        <v>0</v>
      </c>
      <c r="Q444" s="5">
        <v>0</v>
      </c>
      <c r="R444" s="5" t="str">
        <f>A444&amp;"-"&amp;YEAR(F444)&amp;"-"&amp;IF(LEN(MONTH(F444))=1,"0"&amp;MONTH(F444),MONTH(F444))&amp;"-"&amp;IF(LEN(DAY(F444))=1,"0"&amp;DAY(F444),DAY(F444))</f>
        <v>420.1-2023-12-31</v>
      </c>
    </row>
    <row r="445" spans="1:18" x14ac:dyDescent="0.3">
      <c r="A445" s="26" t="s">
        <v>684</v>
      </c>
      <c r="B445" s="23" t="s">
        <v>602</v>
      </c>
      <c r="C445" s="5" t="s">
        <v>90</v>
      </c>
      <c r="D445" s="5" t="s">
        <v>11</v>
      </c>
      <c r="E445" s="5" t="s">
        <v>9</v>
      </c>
      <c r="F445" s="6">
        <v>45291</v>
      </c>
      <c r="G445" s="16">
        <f t="shared" si="59"/>
        <v>2023</v>
      </c>
      <c r="H445" s="6" t="str">
        <f t="shared" si="57"/>
        <v>Diciembre</v>
      </c>
      <c r="I445" s="6" t="str">
        <f t="shared" si="58"/>
        <v>2023-2</v>
      </c>
      <c r="J445" s="5">
        <v>100</v>
      </c>
      <c r="K445" s="29">
        <v>100</v>
      </c>
      <c r="L445" s="15">
        <f t="shared" si="62"/>
        <v>1</v>
      </c>
      <c r="M445" s="15">
        <f t="shared" si="63"/>
        <v>1</v>
      </c>
      <c r="N445" s="5" t="s">
        <v>347</v>
      </c>
      <c r="O445" s="5" t="s">
        <v>347</v>
      </c>
      <c r="P445" s="5">
        <v>0</v>
      </c>
      <c r="Q445" s="5">
        <v>0</v>
      </c>
      <c r="R445" s="5" t="str">
        <f>A445&amp;"-"&amp;YEAR(F445)&amp;"-"&amp;IF(LEN(MONTH(F445))=1,"0"&amp;MONTH(F445),MONTH(F445))&amp;"-"&amp;IF(LEN(DAY(F445))=1,"0"&amp;DAY(F445),DAY(F445))</f>
        <v>420.2-2023-12-31</v>
      </c>
    </row>
    <row r="446" spans="1:18" x14ac:dyDescent="0.3">
      <c r="A446" s="26" t="s">
        <v>685</v>
      </c>
      <c r="B446" s="23" t="s">
        <v>603</v>
      </c>
      <c r="C446" s="5" t="s">
        <v>182</v>
      </c>
      <c r="D446" s="5" t="s">
        <v>11</v>
      </c>
      <c r="E446" s="5" t="s">
        <v>9</v>
      </c>
      <c r="F446" s="6">
        <v>45291</v>
      </c>
      <c r="G446" s="16">
        <f t="shared" si="59"/>
        <v>2023</v>
      </c>
      <c r="H446" s="6" t="str">
        <f t="shared" si="57"/>
        <v>Diciembre</v>
      </c>
      <c r="I446" s="6" t="str">
        <f t="shared" si="58"/>
        <v>2023-2</v>
      </c>
      <c r="J446" s="5">
        <v>100</v>
      </c>
      <c r="K446" s="5">
        <v>100</v>
      </c>
      <c r="L446" s="15">
        <f t="shared" si="62"/>
        <v>1</v>
      </c>
      <c r="M446" s="15">
        <f t="shared" si="63"/>
        <v>1</v>
      </c>
      <c r="N446" s="5" t="s">
        <v>347</v>
      </c>
      <c r="O446" s="5" t="s">
        <v>347</v>
      </c>
      <c r="P446" s="5">
        <v>0</v>
      </c>
      <c r="Q446" s="5">
        <v>0</v>
      </c>
      <c r="R446" s="5" t="str">
        <f>A446&amp;"-"&amp;YEAR(F446)&amp;"-"&amp;IF(LEN(MONTH(F446))=1,"0"&amp;MONTH(F446),MONTH(F446))&amp;"-"&amp;IF(LEN(DAY(F446))=1,"0"&amp;DAY(F446),DAY(F446))</f>
        <v>420.3-2023-12-31</v>
      </c>
    </row>
    <row r="447" spans="1:18" x14ac:dyDescent="0.3">
      <c r="A447" s="26" t="s">
        <v>686</v>
      </c>
      <c r="B447" s="23" t="s">
        <v>606</v>
      </c>
      <c r="C447" s="5" t="s">
        <v>20</v>
      </c>
      <c r="D447" s="5" t="s">
        <v>11</v>
      </c>
      <c r="E447" s="5" t="s">
        <v>9</v>
      </c>
      <c r="F447" s="6">
        <v>45291</v>
      </c>
      <c r="G447" s="16">
        <f t="shared" si="59"/>
        <v>2023</v>
      </c>
      <c r="H447" s="6" t="str">
        <f t="shared" si="57"/>
        <v>Diciembre</v>
      </c>
      <c r="I447" s="6" t="str">
        <f t="shared" si="58"/>
        <v>2023-2</v>
      </c>
      <c r="J447" s="5">
        <v>100</v>
      </c>
      <c r="K447" s="5">
        <v>100</v>
      </c>
      <c r="L447" s="15">
        <f t="shared" si="62"/>
        <v>1</v>
      </c>
      <c r="M447" s="15">
        <f t="shared" si="63"/>
        <v>1</v>
      </c>
      <c r="N447" s="5" t="s">
        <v>347</v>
      </c>
      <c r="O447" s="5" t="s">
        <v>347</v>
      </c>
      <c r="P447" s="5">
        <v>0</v>
      </c>
      <c r="Q447" s="5">
        <v>0</v>
      </c>
      <c r="R447" s="5" t="str">
        <f>A447&amp;"-"&amp;YEAR(F447)&amp;"-"&amp;IF(LEN(MONTH(F447))=1,"0"&amp;MONTH(F447),MONTH(F447))&amp;"-"&amp;IF(LEN(DAY(F447))=1,"0"&amp;DAY(F447),DAY(F447))</f>
        <v>420.4-2023-12-31</v>
      </c>
    </row>
    <row r="448" spans="1:18" x14ac:dyDescent="0.3">
      <c r="A448" s="26" t="s">
        <v>687</v>
      </c>
      <c r="B448" s="23" t="s">
        <v>688</v>
      </c>
      <c r="C448" s="5" t="s">
        <v>131</v>
      </c>
      <c r="D448" s="5" t="s">
        <v>11</v>
      </c>
      <c r="E448" s="5" t="s">
        <v>9</v>
      </c>
      <c r="F448" s="6">
        <v>45291</v>
      </c>
      <c r="G448" s="16">
        <f t="shared" si="59"/>
        <v>2023</v>
      </c>
      <c r="H448" s="6" t="str">
        <f t="shared" ref="H448:H480" si="64">PROPER(TEXT(F448,"mmmm"))</f>
        <v>Diciembre</v>
      </c>
      <c r="I448" s="6" t="str">
        <f t="shared" ref="I448:I480" si="65">IF(OR(H448="Enero",H448="Febrero",H448="Marzo",H448="Abril",H448="Mayo",H448="Junio"),G448&amp;"-1",IF(OR(H448="Julio",H448="Agosto",H448="Septiembre",H448="Octubre",H448="Noviembre",H448="Diciembre"),G448&amp;"-2"))</f>
        <v>2023-2</v>
      </c>
      <c r="J448" s="5">
        <v>100</v>
      </c>
      <c r="K448" s="5">
        <v>100</v>
      </c>
      <c r="L448" s="15">
        <f t="shared" si="62"/>
        <v>1</v>
      </c>
      <c r="M448" s="15">
        <f t="shared" si="63"/>
        <v>1</v>
      </c>
      <c r="N448" s="5" t="s">
        <v>347</v>
      </c>
      <c r="O448" s="5" t="s">
        <v>347</v>
      </c>
      <c r="P448" s="5">
        <v>0</v>
      </c>
      <c r="Q448" s="5">
        <v>0</v>
      </c>
      <c r="R448" s="5" t="str">
        <f>A448&amp;"-"&amp;YEAR(F448)&amp;"-"&amp;IF(LEN(MONTH(F448))=1,"0"&amp;MONTH(F448),MONTH(F448))&amp;"-"&amp;IF(LEN(DAY(F448))=1,"0"&amp;DAY(F448),DAY(F448))</f>
        <v>420.5-2023-12-31</v>
      </c>
    </row>
    <row r="449" spans="1:18" x14ac:dyDescent="0.3">
      <c r="A449" s="26" t="s">
        <v>701</v>
      </c>
      <c r="B449" s="23" t="s">
        <v>593</v>
      </c>
      <c r="C449" s="5" t="s">
        <v>345</v>
      </c>
      <c r="D449" s="5" t="s">
        <v>11</v>
      </c>
      <c r="E449" s="5" t="s">
        <v>9</v>
      </c>
      <c r="F449" s="6">
        <v>45291</v>
      </c>
      <c r="G449" s="16">
        <f t="shared" si="59"/>
        <v>2023</v>
      </c>
      <c r="H449" s="6" t="str">
        <f t="shared" si="64"/>
        <v>Diciembre</v>
      </c>
      <c r="I449" s="6" t="str">
        <f t="shared" si="65"/>
        <v>2023-2</v>
      </c>
      <c r="J449" s="5">
        <v>100</v>
      </c>
      <c r="K449" s="5">
        <v>55</v>
      </c>
      <c r="L449" s="15">
        <f t="shared" si="62"/>
        <v>0.55000000000000004</v>
      </c>
      <c r="M449" s="15">
        <f t="shared" si="63"/>
        <v>0.55000000000000004</v>
      </c>
      <c r="N449" s="5" t="s">
        <v>347</v>
      </c>
      <c r="O449" s="5" t="s">
        <v>347</v>
      </c>
      <c r="P449" s="5">
        <v>0</v>
      </c>
      <c r="Q449" s="5">
        <v>0</v>
      </c>
      <c r="R449" s="5" t="str">
        <f>A449&amp;"-"&amp;YEAR(F449)&amp;"-"&amp;IF(LEN(MONTH(F449))=1,"0"&amp;MONTH(F449),MONTH(F449))&amp;"-"&amp;IF(LEN(DAY(F449))=1,"0"&amp;DAY(F449),DAY(F449))</f>
        <v>469.0-2023-12-31</v>
      </c>
    </row>
    <row r="450" spans="1:18" x14ac:dyDescent="0.3">
      <c r="A450" s="26" t="s">
        <v>673</v>
      </c>
      <c r="B450" s="23" t="s">
        <v>600</v>
      </c>
      <c r="C450" s="5" t="s">
        <v>410</v>
      </c>
      <c r="D450" s="5" t="s">
        <v>11</v>
      </c>
      <c r="E450" s="5" t="s">
        <v>9</v>
      </c>
      <c r="F450" s="6">
        <v>45291</v>
      </c>
      <c r="G450" s="16">
        <f t="shared" si="59"/>
        <v>2023</v>
      </c>
      <c r="H450" s="6" t="str">
        <f t="shared" si="64"/>
        <v>Diciembre</v>
      </c>
      <c r="I450" s="6" t="str">
        <f t="shared" si="65"/>
        <v>2023-2</v>
      </c>
      <c r="J450" s="5">
        <v>100</v>
      </c>
      <c r="K450" s="5">
        <v>100</v>
      </c>
      <c r="L450" s="15">
        <f t="shared" si="62"/>
        <v>1</v>
      </c>
      <c r="M450" s="15">
        <f t="shared" si="63"/>
        <v>1</v>
      </c>
      <c r="N450" s="5" t="s">
        <v>347</v>
      </c>
      <c r="O450" s="5" t="s">
        <v>347</v>
      </c>
      <c r="P450" s="5">
        <v>0</v>
      </c>
      <c r="Q450" s="5">
        <v>0</v>
      </c>
      <c r="R450" s="5" t="str">
        <f>A450&amp;"-"&amp;YEAR(F450)&amp;"-"&amp;IF(LEN(MONTH(F450))=1,"0"&amp;MONTH(F450),MONTH(F450))&amp;"-"&amp;IF(LEN(DAY(F450))=1,"0"&amp;DAY(F450),DAY(F450))</f>
        <v>469.1-2023-12-31</v>
      </c>
    </row>
    <row r="451" spans="1:18" x14ac:dyDescent="0.3">
      <c r="A451" s="26" t="s">
        <v>674</v>
      </c>
      <c r="B451" s="23" t="s">
        <v>594</v>
      </c>
      <c r="C451" s="5" t="s">
        <v>345</v>
      </c>
      <c r="D451" s="5" t="s">
        <v>11</v>
      </c>
      <c r="E451" s="5" t="s">
        <v>9</v>
      </c>
      <c r="F451" s="6">
        <v>45291</v>
      </c>
      <c r="G451" s="16">
        <f t="shared" si="59"/>
        <v>2023</v>
      </c>
      <c r="H451" s="6" t="str">
        <f t="shared" si="64"/>
        <v>Diciembre</v>
      </c>
      <c r="I451" s="6" t="str">
        <f t="shared" si="65"/>
        <v>2023-2</v>
      </c>
      <c r="J451" s="5">
        <v>100</v>
      </c>
      <c r="K451" s="5">
        <v>83.33</v>
      </c>
      <c r="L451" s="15">
        <f t="shared" si="62"/>
        <v>0.83329999999999993</v>
      </c>
      <c r="M451" s="15">
        <f t="shared" si="63"/>
        <v>0.83329999999999993</v>
      </c>
      <c r="N451" s="5" t="s">
        <v>347</v>
      </c>
      <c r="O451" s="5" t="s">
        <v>347</v>
      </c>
      <c r="P451" s="5">
        <v>0</v>
      </c>
      <c r="Q451" s="5">
        <v>0</v>
      </c>
      <c r="R451" s="5" t="str">
        <f>A451&amp;"-"&amp;YEAR(F451)&amp;"-"&amp;IF(LEN(MONTH(F451))=1,"0"&amp;MONTH(F451),MONTH(F451))&amp;"-"&amp;IF(LEN(DAY(F451))=1,"0"&amp;DAY(F451),DAY(F451))</f>
        <v>469.2-2023-12-31</v>
      </c>
    </row>
    <row r="452" spans="1:18" x14ac:dyDescent="0.3">
      <c r="A452" s="26" t="s">
        <v>675</v>
      </c>
      <c r="B452" s="23" t="s">
        <v>669</v>
      </c>
      <c r="C452" s="5" t="s">
        <v>345</v>
      </c>
      <c r="D452" s="5" t="s">
        <v>11</v>
      </c>
      <c r="E452" s="5" t="s">
        <v>9</v>
      </c>
      <c r="F452" s="6">
        <v>45291</v>
      </c>
      <c r="G452" s="16">
        <f t="shared" si="59"/>
        <v>2023</v>
      </c>
      <c r="H452" s="6" t="str">
        <f t="shared" si="64"/>
        <v>Diciembre</v>
      </c>
      <c r="I452" s="6" t="str">
        <f t="shared" si="65"/>
        <v>2023-2</v>
      </c>
      <c r="J452" s="5">
        <v>100</v>
      </c>
      <c r="K452" s="5">
        <v>100</v>
      </c>
      <c r="L452" s="15">
        <f t="shared" si="62"/>
        <v>1</v>
      </c>
      <c r="M452" s="15">
        <f t="shared" si="63"/>
        <v>1</v>
      </c>
      <c r="N452" s="5" t="s">
        <v>347</v>
      </c>
      <c r="O452" s="5" t="s">
        <v>347</v>
      </c>
      <c r="P452" s="5">
        <v>0</v>
      </c>
      <c r="Q452" s="5">
        <v>0</v>
      </c>
      <c r="R452" s="5" t="str">
        <f>A452&amp;"-"&amp;YEAR(F452)&amp;"-"&amp;IF(LEN(MONTH(F452))=1,"0"&amp;MONTH(F452),MONTH(F452))&amp;"-"&amp;IF(LEN(DAY(F452))=1,"0"&amp;DAY(F452),DAY(F452))</f>
        <v>469.3-2023-12-31</v>
      </c>
    </row>
    <row r="453" spans="1:18" x14ac:dyDescent="0.3">
      <c r="A453" s="26" t="s">
        <v>676</v>
      </c>
      <c r="B453" s="23" t="s">
        <v>596</v>
      </c>
      <c r="C453" s="5" t="s">
        <v>345</v>
      </c>
      <c r="D453" s="5" t="s">
        <v>11</v>
      </c>
      <c r="E453" s="5" t="s">
        <v>9</v>
      </c>
      <c r="F453" s="6">
        <v>45291</v>
      </c>
      <c r="G453" s="16">
        <f t="shared" ref="G453:G480" si="66">YEAR(F453)</f>
        <v>2023</v>
      </c>
      <c r="H453" s="6" t="str">
        <f t="shared" si="64"/>
        <v>Diciembre</v>
      </c>
      <c r="I453" s="6" t="str">
        <f t="shared" si="65"/>
        <v>2023-2</v>
      </c>
      <c r="J453" s="5">
        <v>100</v>
      </c>
      <c r="K453" s="5">
        <v>100</v>
      </c>
      <c r="L453" s="15">
        <f t="shared" si="62"/>
        <v>1</v>
      </c>
      <c r="M453" s="15">
        <f t="shared" si="63"/>
        <v>1</v>
      </c>
      <c r="N453" s="5" t="s">
        <v>347</v>
      </c>
      <c r="O453" s="5" t="s">
        <v>347</v>
      </c>
      <c r="P453" s="5">
        <v>0</v>
      </c>
      <c r="Q453" s="5">
        <v>0</v>
      </c>
      <c r="R453" s="5" t="str">
        <f>A453&amp;"-"&amp;YEAR(F453)&amp;"-"&amp;IF(LEN(MONTH(F453))=1,"0"&amp;MONTH(F453),MONTH(F453))&amp;"-"&amp;IF(LEN(DAY(F453))=1,"0"&amp;DAY(F453),DAY(F453))</f>
        <v>469.4-2023-12-31</v>
      </c>
    </row>
    <row r="454" spans="1:18" x14ac:dyDescent="0.3">
      <c r="A454" s="26" t="s">
        <v>677</v>
      </c>
      <c r="B454" s="23" t="s">
        <v>597</v>
      </c>
      <c r="C454" s="5" t="s">
        <v>345</v>
      </c>
      <c r="D454" s="5" t="s">
        <v>11</v>
      </c>
      <c r="E454" s="5" t="s">
        <v>9</v>
      </c>
      <c r="F454" s="6">
        <v>45291</v>
      </c>
      <c r="G454" s="16">
        <f t="shared" si="66"/>
        <v>2023</v>
      </c>
      <c r="H454" s="6" t="str">
        <f t="shared" si="64"/>
        <v>Diciembre</v>
      </c>
      <c r="I454" s="6" t="str">
        <f t="shared" si="65"/>
        <v>2023-2</v>
      </c>
      <c r="J454" s="5">
        <v>100</v>
      </c>
      <c r="K454" s="5">
        <v>100</v>
      </c>
      <c r="L454" s="15">
        <f t="shared" si="62"/>
        <v>1</v>
      </c>
      <c r="M454" s="15">
        <f t="shared" si="63"/>
        <v>1</v>
      </c>
      <c r="N454" s="5" t="s">
        <v>347</v>
      </c>
      <c r="O454" s="5" t="s">
        <v>347</v>
      </c>
      <c r="P454" s="5">
        <v>0</v>
      </c>
      <c r="Q454" s="5">
        <v>0</v>
      </c>
      <c r="R454" s="5" t="str">
        <f>A454&amp;"-"&amp;YEAR(F454)&amp;"-"&amp;IF(LEN(MONTH(F454))=1,"0"&amp;MONTH(F454),MONTH(F454))&amp;"-"&amp;IF(LEN(DAY(F454))=1,"0"&amp;DAY(F454),DAY(F454))</f>
        <v>469.5-2023-12-31</v>
      </c>
    </row>
    <row r="455" spans="1:18" x14ac:dyDescent="0.3">
      <c r="A455" s="26" t="s">
        <v>678</v>
      </c>
      <c r="B455" s="23" t="s">
        <v>598</v>
      </c>
      <c r="C455" s="5" t="s">
        <v>345</v>
      </c>
      <c r="D455" s="5" t="s">
        <v>11</v>
      </c>
      <c r="E455" s="5" t="s">
        <v>9</v>
      </c>
      <c r="F455" s="6">
        <v>45291</v>
      </c>
      <c r="G455" s="16">
        <f t="shared" si="66"/>
        <v>2023</v>
      </c>
      <c r="H455" s="6" t="str">
        <f t="shared" si="64"/>
        <v>Diciembre</v>
      </c>
      <c r="I455" s="6" t="str">
        <f t="shared" si="65"/>
        <v>2023-2</v>
      </c>
      <c r="J455" s="5">
        <v>100</v>
      </c>
      <c r="K455" s="5">
        <v>100</v>
      </c>
      <c r="L455" s="15">
        <f t="shared" si="62"/>
        <v>1</v>
      </c>
      <c r="M455" s="15">
        <f t="shared" si="63"/>
        <v>1</v>
      </c>
      <c r="N455" s="5" t="s">
        <v>347</v>
      </c>
      <c r="O455" s="5" t="s">
        <v>347</v>
      </c>
      <c r="P455" s="5">
        <v>0</v>
      </c>
      <c r="Q455" s="5">
        <v>0</v>
      </c>
      <c r="R455" s="5" t="str">
        <f>A455&amp;"-"&amp;YEAR(F455)&amp;"-"&amp;IF(LEN(MONTH(F455))=1,"0"&amp;MONTH(F455),MONTH(F455))&amp;"-"&amp;IF(LEN(DAY(F455))=1,"0"&amp;DAY(F455),DAY(F455))</f>
        <v>469.6-2023-12-31</v>
      </c>
    </row>
    <row r="456" spans="1:18" x14ac:dyDescent="0.3">
      <c r="A456" s="26" t="s">
        <v>679</v>
      </c>
      <c r="B456" s="23" t="s">
        <v>599</v>
      </c>
      <c r="C456" s="5" t="s">
        <v>345</v>
      </c>
      <c r="D456" s="5" t="s">
        <v>11</v>
      </c>
      <c r="E456" s="5" t="s">
        <v>9</v>
      </c>
      <c r="F456" s="6">
        <v>45291</v>
      </c>
      <c r="G456" s="16">
        <f t="shared" si="66"/>
        <v>2023</v>
      </c>
      <c r="H456" s="6" t="str">
        <f t="shared" si="64"/>
        <v>Diciembre</v>
      </c>
      <c r="I456" s="6" t="str">
        <f t="shared" si="65"/>
        <v>2023-2</v>
      </c>
      <c r="J456" s="5">
        <v>100</v>
      </c>
      <c r="K456" s="5">
        <v>100</v>
      </c>
      <c r="L456" s="15">
        <f t="shared" si="62"/>
        <v>1</v>
      </c>
      <c r="M456" s="15">
        <f t="shared" si="63"/>
        <v>1</v>
      </c>
      <c r="N456" s="5" t="s">
        <v>347</v>
      </c>
      <c r="O456" s="5" t="s">
        <v>347</v>
      </c>
      <c r="P456" s="5">
        <v>0</v>
      </c>
      <c r="Q456" s="5">
        <v>0</v>
      </c>
      <c r="R456" s="5" t="str">
        <f>A456&amp;"-"&amp;YEAR(F456)&amp;"-"&amp;IF(LEN(MONTH(F456))=1,"0"&amp;MONTH(F456),MONTH(F456))&amp;"-"&amp;IF(LEN(DAY(F456))=1,"0"&amp;DAY(F456),DAY(F456))</f>
        <v>469.7-2023-12-31</v>
      </c>
    </row>
    <row r="457" spans="1:18" x14ac:dyDescent="0.3">
      <c r="A457" s="26" t="s">
        <v>681</v>
      </c>
      <c r="B457" s="23" t="s">
        <v>671</v>
      </c>
      <c r="C457" s="5" t="s">
        <v>345</v>
      </c>
      <c r="D457" s="5" t="s">
        <v>11</v>
      </c>
      <c r="E457" s="5" t="s">
        <v>9</v>
      </c>
      <c r="F457" s="6">
        <v>45291</v>
      </c>
      <c r="G457" s="16">
        <f t="shared" si="66"/>
        <v>2023</v>
      </c>
      <c r="H457" s="6" t="str">
        <f t="shared" si="64"/>
        <v>Diciembre</v>
      </c>
      <c r="I457" s="6" t="str">
        <f t="shared" si="65"/>
        <v>2023-2</v>
      </c>
      <c r="J457" s="5">
        <v>100</v>
      </c>
      <c r="K457" s="5">
        <v>98.4</v>
      </c>
      <c r="L457" s="15">
        <f t="shared" si="62"/>
        <v>0.9840000000000001</v>
      </c>
      <c r="M457" s="15">
        <f t="shared" si="63"/>
        <v>0.9840000000000001</v>
      </c>
      <c r="N457" s="5" t="s">
        <v>347</v>
      </c>
      <c r="O457" s="5" t="s">
        <v>347</v>
      </c>
      <c r="P457" s="5">
        <v>0</v>
      </c>
      <c r="Q457" s="5">
        <v>0</v>
      </c>
      <c r="R457" s="5" t="str">
        <f>A457&amp;"-"&amp;YEAR(F457)&amp;"-"&amp;IF(LEN(MONTH(F457))=1,"0"&amp;MONTH(F457),MONTH(F457))&amp;"-"&amp;IF(LEN(DAY(F457))=1,"0"&amp;DAY(F457),DAY(F457))</f>
        <v>469.9-2023-12-31</v>
      </c>
    </row>
    <row r="458" spans="1:18" x14ac:dyDescent="0.3">
      <c r="A458" s="26" t="s">
        <v>411</v>
      </c>
      <c r="B458" s="5" t="s">
        <v>363</v>
      </c>
      <c r="C458" s="5" t="s">
        <v>410</v>
      </c>
      <c r="D458" s="5" t="s">
        <v>8</v>
      </c>
      <c r="E458" s="5" t="s">
        <v>9</v>
      </c>
      <c r="F458" s="6">
        <v>45291</v>
      </c>
      <c r="G458" s="16">
        <f t="shared" si="66"/>
        <v>2023</v>
      </c>
      <c r="H458" s="6" t="str">
        <f t="shared" si="64"/>
        <v>Diciembre</v>
      </c>
      <c r="I458" s="6" t="str">
        <f t="shared" si="65"/>
        <v>2023-2</v>
      </c>
      <c r="J458" s="5">
        <v>5099</v>
      </c>
      <c r="K458" s="5">
        <v>4977</v>
      </c>
      <c r="L458" s="15">
        <f t="shared" ref="L458:L480" si="67">IFERROR(IF((K458/J458)&gt;1.3,1.3,K458/J458),"")</f>
        <v>0.97607373994900959</v>
      </c>
      <c r="M458" s="15">
        <f t="shared" ref="M458:M480" si="68">IFERROR(K458/J458,"")</f>
        <v>0.97607373994900959</v>
      </c>
      <c r="N458" s="5" t="s">
        <v>490</v>
      </c>
      <c r="O458" s="5" t="s">
        <v>490</v>
      </c>
      <c r="P458" s="5">
        <v>0</v>
      </c>
      <c r="Q458" s="5">
        <v>0</v>
      </c>
      <c r="R458" s="5" t="str">
        <f>A458&amp;"-"&amp;YEAR(F458)&amp;"-"&amp;IF(LEN(MONTH(F458))=1,"0"&amp;MONTH(F458),MONTH(F458))&amp;"-"&amp;IF(LEN(DAY(F458))=1,"0"&amp;DAY(F458),DAY(F458))</f>
        <v>Med 1-2023-12-31</v>
      </c>
    </row>
    <row r="459" spans="1:18" x14ac:dyDescent="0.3">
      <c r="A459" s="26" t="s">
        <v>368</v>
      </c>
      <c r="B459" s="5" t="s">
        <v>364</v>
      </c>
      <c r="C459" s="5" t="s">
        <v>410</v>
      </c>
      <c r="D459" s="5" t="s">
        <v>8</v>
      </c>
      <c r="E459" s="5" t="s">
        <v>9</v>
      </c>
      <c r="F459" s="6">
        <v>45291</v>
      </c>
      <c r="G459" s="16">
        <f t="shared" si="66"/>
        <v>2023</v>
      </c>
      <c r="H459" s="6" t="str">
        <f t="shared" si="64"/>
        <v>Diciembre</v>
      </c>
      <c r="I459" s="6" t="str">
        <f t="shared" si="65"/>
        <v>2023-2</v>
      </c>
      <c r="J459" s="5">
        <v>1013</v>
      </c>
      <c r="K459" s="5">
        <v>1000</v>
      </c>
      <c r="L459" s="15">
        <f t="shared" si="67"/>
        <v>0.98716683119447191</v>
      </c>
      <c r="M459" s="15">
        <f t="shared" si="68"/>
        <v>0.98716683119447191</v>
      </c>
      <c r="N459" s="5" t="s">
        <v>490</v>
      </c>
      <c r="O459" s="5" t="s">
        <v>490</v>
      </c>
      <c r="P459" s="5">
        <v>0</v>
      </c>
      <c r="Q459" s="5">
        <v>0</v>
      </c>
      <c r="R459" s="5" t="str">
        <f>A459&amp;"-"&amp;YEAR(F459)&amp;"-"&amp;IF(LEN(MONTH(F459))=1,"0"&amp;MONTH(F459),MONTH(F459))&amp;"-"&amp;IF(LEN(DAY(F459))=1,"0"&amp;DAY(F459),DAY(F459))</f>
        <v>Med 1.1-2023-12-31</v>
      </c>
    </row>
    <row r="460" spans="1:18" x14ac:dyDescent="0.3">
      <c r="A460" s="26" t="s">
        <v>369</v>
      </c>
      <c r="B460" s="5" t="s">
        <v>365</v>
      </c>
      <c r="C460" s="5" t="s">
        <v>410</v>
      </c>
      <c r="D460" s="5" t="s">
        <v>8</v>
      </c>
      <c r="E460" s="5" t="s">
        <v>9</v>
      </c>
      <c r="F460" s="6">
        <v>45291</v>
      </c>
      <c r="G460" s="16">
        <f t="shared" si="66"/>
        <v>2023</v>
      </c>
      <c r="H460" s="6" t="str">
        <f t="shared" si="64"/>
        <v>Diciembre</v>
      </c>
      <c r="I460" s="6" t="str">
        <f t="shared" si="65"/>
        <v>2023-2</v>
      </c>
      <c r="J460" s="5">
        <v>30</v>
      </c>
      <c r="K460" s="5">
        <v>20</v>
      </c>
      <c r="L460" s="15">
        <f t="shared" si="67"/>
        <v>0.66666666666666663</v>
      </c>
      <c r="M460" s="15">
        <f t="shared" si="68"/>
        <v>0.66666666666666663</v>
      </c>
      <c r="N460" s="5" t="s">
        <v>490</v>
      </c>
      <c r="O460" s="5" t="s">
        <v>490</v>
      </c>
      <c r="P460" s="5">
        <v>0</v>
      </c>
      <c r="Q460" s="5">
        <v>0</v>
      </c>
      <c r="R460" s="5" t="str">
        <f>A460&amp;"-"&amp;YEAR(F460)&amp;"-"&amp;IF(LEN(MONTH(F460))=1,"0"&amp;MONTH(F460),MONTH(F460))&amp;"-"&amp;IF(LEN(DAY(F460))=1,"0"&amp;DAY(F460),DAY(F460))</f>
        <v>Med 1.2-2023-12-31</v>
      </c>
    </row>
    <row r="461" spans="1:18" x14ac:dyDescent="0.3">
      <c r="A461" s="26" t="s">
        <v>370</v>
      </c>
      <c r="B461" s="5" t="s">
        <v>366</v>
      </c>
      <c r="C461" s="5" t="s">
        <v>410</v>
      </c>
      <c r="D461" s="5" t="s">
        <v>8</v>
      </c>
      <c r="E461" s="5" t="s">
        <v>9</v>
      </c>
      <c r="F461" s="6">
        <v>45291</v>
      </c>
      <c r="G461" s="16">
        <f t="shared" si="66"/>
        <v>2023</v>
      </c>
      <c r="H461" s="6" t="str">
        <f t="shared" si="64"/>
        <v>Diciembre</v>
      </c>
      <c r="I461" s="6" t="str">
        <f t="shared" si="65"/>
        <v>2023-2</v>
      </c>
      <c r="J461" s="5">
        <v>1043</v>
      </c>
      <c r="K461" s="5">
        <v>1020</v>
      </c>
      <c r="L461" s="15">
        <f t="shared" si="67"/>
        <v>0.97794822627037392</v>
      </c>
      <c r="M461" s="15">
        <f t="shared" si="68"/>
        <v>0.97794822627037392</v>
      </c>
      <c r="N461" s="5" t="s">
        <v>490</v>
      </c>
      <c r="O461" s="5" t="s">
        <v>490</v>
      </c>
      <c r="P461" s="5">
        <v>0</v>
      </c>
      <c r="Q461" s="5">
        <v>0</v>
      </c>
      <c r="R461" s="5" t="str">
        <f>A461&amp;"-"&amp;YEAR(F461)&amp;"-"&amp;IF(LEN(MONTH(F461))=1,"0"&amp;MONTH(F461),MONTH(F461))&amp;"-"&amp;IF(LEN(DAY(F461))=1,"0"&amp;DAY(F461),DAY(F461))</f>
        <v>Med 1.3-2023-12-31</v>
      </c>
    </row>
    <row r="462" spans="1:18" x14ac:dyDescent="0.3">
      <c r="A462" s="26" t="s">
        <v>371</v>
      </c>
      <c r="B462" s="5" t="s">
        <v>367</v>
      </c>
      <c r="C462" s="5" t="s">
        <v>410</v>
      </c>
      <c r="D462" s="5" t="s">
        <v>8</v>
      </c>
      <c r="E462" s="5" t="s">
        <v>9</v>
      </c>
      <c r="F462" s="6">
        <v>45291</v>
      </c>
      <c r="G462" s="16">
        <f t="shared" si="66"/>
        <v>2023</v>
      </c>
      <c r="H462" s="6" t="str">
        <f t="shared" si="64"/>
        <v>Diciembre</v>
      </c>
      <c r="I462" s="6" t="str">
        <f t="shared" si="65"/>
        <v>2023-2</v>
      </c>
      <c r="J462" s="5">
        <v>4056</v>
      </c>
      <c r="K462" s="5">
        <v>3957</v>
      </c>
      <c r="L462" s="15">
        <f t="shared" si="67"/>
        <v>0.97559171597633132</v>
      </c>
      <c r="M462" s="15">
        <f t="shared" si="68"/>
        <v>0.97559171597633132</v>
      </c>
      <c r="N462" s="5" t="s">
        <v>490</v>
      </c>
      <c r="O462" s="5" t="s">
        <v>490</v>
      </c>
      <c r="P462" s="5">
        <v>0</v>
      </c>
      <c r="Q462" s="5">
        <v>0</v>
      </c>
      <c r="R462" s="5" t="str">
        <f>A462&amp;"-"&amp;YEAR(F462)&amp;"-"&amp;IF(LEN(MONTH(F462))=1,"0"&amp;MONTH(F462),MONTH(F462))&amp;"-"&amp;IF(LEN(DAY(F462))=1,"0"&amp;DAY(F462),DAY(F462))</f>
        <v>Med 1.4-2023-12-31</v>
      </c>
    </row>
    <row r="463" spans="1:18" x14ac:dyDescent="0.3">
      <c r="A463" s="26" t="s">
        <v>403</v>
      </c>
      <c r="B463" s="5" t="s">
        <v>384</v>
      </c>
      <c r="C463" s="5" t="s">
        <v>410</v>
      </c>
      <c r="D463" s="5" t="s">
        <v>8</v>
      </c>
      <c r="E463" s="5" t="s">
        <v>9</v>
      </c>
      <c r="F463" s="6">
        <v>45291</v>
      </c>
      <c r="G463" s="16">
        <f t="shared" si="66"/>
        <v>2023</v>
      </c>
      <c r="H463" s="6" t="str">
        <f t="shared" si="64"/>
        <v>Diciembre</v>
      </c>
      <c r="I463" s="6" t="str">
        <f t="shared" si="65"/>
        <v>2023-2</v>
      </c>
      <c r="J463" s="12">
        <v>100</v>
      </c>
      <c r="K463" s="12">
        <v>103.18</v>
      </c>
      <c r="L463" s="15">
        <f t="shared" si="67"/>
        <v>1.0318000000000001</v>
      </c>
      <c r="M463" s="15">
        <f t="shared" si="68"/>
        <v>1.0318000000000001</v>
      </c>
      <c r="N463" s="5" t="s">
        <v>347</v>
      </c>
      <c r="O463" s="5" t="s">
        <v>347</v>
      </c>
      <c r="P463" s="5">
        <v>0</v>
      </c>
      <c r="Q463" s="5">
        <v>0</v>
      </c>
      <c r="R463" s="5" t="str">
        <f>A463&amp;"-"&amp;YEAR(F463)&amp;"-"&amp;IF(LEN(MONTH(F463))=1,"0"&amp;MONTH(F463),MONTH(F463))&amp;"-"&amp;IF(LEN(DAY(F463))=1,"0"&amp;DAY(F463),DAY(F463))</f>
        <v>Med 10-2023-12-31</v>
      </c>
    </row>
    <row r="464" spans="1:18" x14ac:dyDescent="0.3">
      <c r="A464" s="26" t="s">
        <v>404</v>
      </c>
      <c r="B464" s="5" t="s">
        <v>385</v>
      </c>
      <c r="C464" s="5" t="s">
        <v>410</v>
      </c>
      <c r="D464" s="5" t="s">
        <v>8</v>
      </c>
      <c r="E464" s="5" t="s">
        <v>9</v>
      </c>
      <c r="F464" s="6">
        <v>45291</v>
      </c>
      <c r="G464" s="16">
        <f t="shared" si="66"/>
        <v>2023</v>
      </c>
      <c r="H464" s="6" t="str">
        <f t="shared" si="64"/>
        <v>Diciembre</v>
      </c>
      <c r="I464" s="6" t="str">
        <f t="shared" si="65"/>
        <v>2023-2</v>
      </c>
      <c r="J464" s="12">
        <v>100</v>
      </c>
      <c r="K464" s="12">
        <v>40.369999999999997</v>
      </c>
      <c r="L464" s="15">
        <f t="shared" si="67"/>
        <v>0.40369999999999995</v>
      </c>
      <c r="M464" s="15">
        <f t="shared" si="68"/>
        <v>0.40369999999999995</v>
      </c>
      <c r="N464" s="5" t="s">
        <v>347</v>
      </c>
      <c r="O464" s="5" t="s">
        <v>347</v>
      </c>
      <c r="P464" s="5">
        <v>0</v>
      </c>
      <c r="Q464" s="5">
        <v>0</v>
      </c>
      <c r="R464" s="5" t="str">
        <f>A464&amp;"-"&amp;YEAR(F464)&amp;"-"&amp;IF(LEN(MONTH(F464))=1,"0"&amp;MONTH(F464),MONTH(F464))&amp;"-"&amp;IF(LEN(DAY(F464))=1,"0"&amp;DAY(F464),DAY(F464))</f>
        <v>Med 11-2023-12-31</v>
      </c>
    </row>
    <row r="465" spans="1:18" x14ac:dyDescent="0.3">
      <c r="A465" s="26" t="s">
        <v>406</v>
      </c>
      <c r="B465" s="5" t="s">
        <v>387</v>
      </c>
      <c r="C465" s="5" t="s">
        <v>410</v>
      </c>
      <c r="D465" s="5" t="s">
        <v>8</v>
      </c>
      <c r="E465" s="5" t="s">
        <v>9</v>
      </c>
      <c r="F465" s="6">
        <v>45291</v>
      </c>
      <c r="G465" s="16">
        <f t="shared" si="66"/>
        <v>2023</v>
      </c>
      <c r="H465" s="6" t="str">
        <f t="shared" si="64"/>
        <v>Diciembre</v>
      </c>
      <c r="I465" s="6" t="str">
        <f t="shared" si="65"/>
        <v>2023-2</v>
      </c>
      <c r="J465" s="5">
        <v>100</v>
      </c>
      <c r="K465" s="5">
        <v>100</v>
      </c>
      <c r="L465" s="15">
        <f t="shared" si="67"/>
        <v>1</v>
      </c>
      <c r="M465" s="15">
        <f t="shared" si="68"/>
        <v>1</v>
      </c>
      <c r="N465" s="5" t="s">
        <v>347</v>
      </c>
      <c r="O465" s="5" t="s">
        <v>347</v>
      </c>
      <c r="P465" s="5">
        <v>0</v>
      </c>
      <c r="Q465" s="5">
        <v>0</v>
      </c>
      <c r="R465" s="5" t="str">
        <f>A465&amp;"-"&amp;YEAR(F465)&amp;"-"&amp;IF(LEN(MONTH(F465))=1,"0"&amp;MONTH(F465),MONTH(F465))&amp;"-"&amp;IF(LEN(DAY(F465))=1,"0"&amp;DAY(F465),DAY(F465))</f>
        <v>Med 14-2023-12-31</v>
      </c>
    </row>
    <row r="466" spans="1:18" x14ac:dyDescent="0.3">
      <c r="A466" s="26" t="s">
        <v>407</v>
      </c>
      <c r="B466" s="5" t="s">
        <v>388</v>
      </c>
      <c r="C466" s="5" t="s">
        <v>410</v>
      </c>
      <c r="D466" s="5" t="s">
        <v>8</v>
      </c>
      <c r="E466" s="5" t="s">
        <v>9</v>
      </c>
      <c r="F466" s="6">
        <v>45291</v>
      </c>
      <c r="G466" s="16">
        <f t="shared" si="66"/>
        <v>2023</v>
      </c>
      <c r="H466" s="6" t="str">
        <f t="shared" si="64"/>
        <v>Diciembre</v>
      </c>
      <c r="I466" s="6" t="str">
        <f t="shared" si="65"/>
        <v>2023-2</v>
      </c>
      <c r="J466" s="5">
        <v>100</v>
      </c>
      <c r="K466" s="5">
        <v>86</v>
      </c>
      <c r="L466" s="15">
        <f t="shared" si="67"/>
        <v>0.86</v>
      </c>
      <c r="M466" s="15">
        <f t="shared" si="68"/>
        <v>0.86</v>
      </c>
      <c r="N466" s="5" t="s">
        <v>347</v>
      </c>
      <c r="O466" s="5" t="s">
        <v>347</v>
      </c>
      <c r="P466" s="5">
        <v>0</v>
      </c>
      <c r="Q466" s="5">
        <v>0</v>
      </c>
      <c r="R466" s="5" t="str">
        <f>A466&amp;"-"&amp;YEAR(F466)&amp;"-"&amp;IF(LEN(MONTH(F466))=1,"0"&amp;MONTH(F466),MONTH(F466))&amp;"-"&amp;IF(LEN(DAY(F466))=1,"0"&amp;DAY(F466),DAY(F466))</f>
        <v>Med 15-2023-12-31</v>
      </c>
    </row>
    <row r="467" spans="1:18" x14ac:dyDescent="0.3">
      <c r="A467" s="26" t="s">
        <v>408</v>
      </c>
      <c r="B467" s="5" t="s">
        <v>389</v>
      </c>
      <c r="C467" s="5" t="s">
        <v>410</v>
      </c>
      <c r="D467" s="5" t="s">
        <v>8</v>
      </c>
      <c r="E467" s="5" t="s">
        <v>9</v>
      </c>
      <c r="F467" s="6">
        <v>45291</v>
      </c>
      <c r="G467" s="16">
        <f t="shared" si="66"/>
        <v>2023</v>
      </c>
      <c r="H467" s="6" t="str">
        <f t="shared" si="64"/>
        <v>Diciembre</v>
      </c>
      <c r="I467" s="6" t="str">
        <f t="shared" si="65"/>
        <v>2023-2</v>
      </c>
      <c r="J467" s="5">
        <v>2</v>
      </c>
      <c r="K467" s="5">
        <v>2</v>
      </c>
      <c r="L467" s="15">
        <f t="shared" si="67"/>
        <v>1</v>
      </c>
      <c r="M467" s="15">
        <f t="shared" si="68"/>
        <v>1</v>
      </c>
      <c r="N467" s="5" t="s">
        <v>490</v>
      </c>
      <c r="O467" s="5" t="s">
        <v>490</v>
      </c>
      <c r="P467" s="5">
        <v>0</v>
      </c>
      <c r="Q467" s="5">
        <v>0</v>
      </c>
      <c r="R467" s="5" t="str">
        <f>A467&amp;"-"&amp;YEAR(F467)&amp;"-"&amp;IF(LEN(MONTH(F467))=1,"0"&amp;MONTH(F467),MONTH(F467))&amp;"-"&amp;IF(LEN(DAY(F467))=1,"0"&amp;DAY(F467),DAY(F467))</f>
        <v>Med 16-2023-12-31</v>
      </c>
    </row>
    <row r="468" spans="1:18" x14ac:dyDescent="0.3">
      <c r="A468" s="26" t="s">
        <v>409</v>
      </c>
      <c r="B468" s="5" t="s">
        <v>390</v>
      </c>
      <c r="C468" s="5" t="s">
        <v>410</v>
      </c>
      <c r="D468" s="5" t="s">
        <v>8</v>
      </c>
      <c r="E468" s="5" t="s">
        <v>9</v>
      </c>
      <c r="F468" s="6">
        <v>45291</v>
      </c>
      <c r="G468" s="16">
        <f t="shared" si="66"/>
        <v>2023</v>
      </c>
      <c r="H468" s="6" t="str">
        <f t="shared" si="64"/>
        <v>Diciembre</v>
      </c>
      <c r="I468" s="6" t="str">
        <f t="shared" si="65"/>
        <v>2023-2</v>
      </c>
      <c r="J468" s="5">
        <v>67</v>
      </c>
      <c r="K468" s="5">
        <v>63</v>
      </c>
      <c r="L468" s="15">
        <f t="shared" si="67"/>
        <v>0.94029850746268662</v>
      </c>
      <c r="M468" s="15">
        <f t="shared" si="68"/>
        <v>0.94029850746268662</v>
      </c>
      <c r="N468" s="5" t="s">
        <v>490</v>
      </c>
      <c r="O468" s="5" t="s">
        <v>490</v>
      </c>
      <c r="P468" s="5">
        <v>1</v>
      </c>
      <c r="Q468" s="5">
        <v>1</v>
      </c>
      <c r="R468" s="5" t="str">
        <f>A468&amp;"-"&amp;YEAR(F468)&amp;"-"&amp;IF(LEN(MONTH(F468))=1,"0"&amp;MONTH(F468),MONTH(F468))&amp;"-"&amp;IF(LEN(DAY(F468))=1,"0"&amp;DAY(F468),DAY(F468))</f>
        <v>Med 17-2023-12-31</v>
      </c>
    </row>
    <row r="469" spans="1:18" x14ac:dyDescent="0.3">
      <c r="A469" s="26" t="s">
        <v>391</v>
      </c>
      <c r="B469" s="5" t="s">
        <v>372</v>
      </c>
      <c r="C469" s="5" t="s">
        <v>410</v>
      </c>
      <c r="D469" s="5" t="s">
        <v>8</v>
      </c>
      <c r="E469" s="5" t="s">
        <v>9</v>
      </c>
      <c r="F469" s="6">
        <v>45291</v>
      </c>
      <c r="G469" s="16">
        <f t="shared" si="66"/>
        <v>2023</v>
      </c>
      <c r="H469" s="6" t="str">
        <f t="shared" si="64"/>
        <v>Diciembre</v>
      </c>
      <c r="I469" s="6" t="str">
        <f t="shared" si="65"/>
        <v>2023-2</v>
      </c>
      <c r="J469" s="5">
        <v>5039</v>
      </c>
      <c r="K469" s="5">
        <v>4921</v>
      </c>
      <c r="L469" s="15">
        <f t="shared" si="67"/>
        <v>0.97658265528874777</v>
      </c>
      <c r="M469" s="15">
        <f t="shared" si="68"/>
        <v>0.97658265528874777</v>
      </c>
      <c r="N469" s="5" t="s">
        <v>490</v>
      </c>
      <c r="O469" s="5" t="s">
        <v>490</v>
      </c>
      <c r="P469" s="5">
        <v>0</v>
      </c>
      <c r="Q469" s="5">
        <v>0</v>
      </c>
      <c r="R469" s="5" t="str">
        <f>A469&amp;"-"&amp;YEAR(F469)&amp;"-"&amp;IF(LEN(MONTH(F469))=1,"0"&amp;MONTH(F469),MONTH(F469))&amp;"-"&amp;IF(LEN(DAY(F469))=1,"0"&amp;DAY(F469),DAY(F469))</f>
        <v>Med 2-2023-12-31</v>
      </c>
    </row>
    <row r="470" spans="1:18" x14ac:dyDescent="0.3">
      <c r="A470" s="26" t="s">
        <v>392</v>
      </c>
      <c r="B470" s="5" t="s">
        <v>375</v>
      </c>
      <c r="C470" s="5" t="s">
        <v>410</v>
      </c>
      <c r="D470" s="5" t="s">
        <v>8</v>
      </c>
      <c r="E470" s="5" t="s">
        <v>9</v>
      </c>
      <c r="F470" s="6">
        <v>45291</v>
      </c>
      <c r="G470" s="16">
        <f t="shared" si="66"/>
        <v>2023</v>
      </c>
      <c r="H470" s="6" t="str">
        <f t="shared" si="64"/>
        <v>Diciembre</v>
      </c>
      <c r="I470" s="6" t="str">
        <f t="shared" si="65"/>
        <v>2023-2</v>
      </c>
      <c r="J470" s="5">
        <v>3052</v>
      </c>
      <c r="K470" s="5">
        <v>3218</v>
      </c>
      <c r="L470" s="15">
        <f t="shared" si="67"/>
        <v>1.0543905635648756</v>
      </c>
      <c r="M470" s="15">
        <f t="shared" si="68"/>
        <v>1.0543905635648756</v>
      </c>
      <c r="N470" s="5" t="s">
        <v>490</v>
      </c>
      <c r="O470" s="5" t="s">
        <v>490</v>
      </c>
      <c r="P470" s="5">
        <v>0</v>
      </c>
      <c r="Q470" s="5">
        <v>0</v>
      </c>
      <c r="R470" s="5" t="str">
        <f>A470&amp;"-"&amp;YEAR(F470)&amp;"-"&amp;IF(LEN(MONTH(F470))=1,"0"&amp;MONTH(F470),MONTH(F470))&amp;"-"&amp;IF(LEN(DAY(F470))=1,"0"&amp;DAY(F470),DAY(F470))</f>
        <v>Med 2.1-2023-12-31</v>
      </c>
    </row>
    <row r="471" spans="1:18" x14ac:dyDescent="0.3">
      <c r="A471" s="26" t="s">
        <v>397</v>
      </c>
      <c r="B471" s="5" t="s">
        <v>377</v>
      </c>
      <c r="C471" s="5" t="s">
        <v>410</v>
      </c>
      <c r="D471" s="5" t="s">
        <v>8</v>
      </c>
      <c r="E471" s="5" t="s">
        <v>9</v>
      </c>
      <c r="F471" s="6">
        <v>45291</v>
      </c>
      <c r="G471" s="16">
        <f t="shared" si="66"/>
        <v>2023</v>
      </c>
      <c r="H471" s="6" t="str">
        <f t="shared" si="64"/>
        <v>Diciembre</v>
      </c>
      <c r="I471" s="6" t="str">
        <f t="shared" si="65"/>
        <v>2023-2</v>
      </c>
      <c r="J471" s="5">
        <v>10723</v>
      </c>
      <c r="K471" s="5">
        <v>10070</v>
      </c>
      <c r="L471" s="15">
        <f t="shared" si="67"/>
        <v>0.93910286300475609</v>
      </c>
      <c r="M471" s="15">
        <f t="shared" si="68"/>
        <v>0.93910286300475609</v>
      </c>
      <c r="N471" s="5" t="s">
        <v>490</v>
      </c>
      <c r="O471" s="5" t="s">
        <v>490</v>
      </c>
      <c r="P471" s="5">
        <v>0</v>
      </c>
      <c r="Q471" s="5">
        <v>0</v>
      </c>
      <c r="R471" s="5" t="str">
        <f>A471&amp;"-"&amp;YEAR(F471)&amp;"-"&amp;IF(LEN(MONTH(F471))=1,"0"&amp;MONTH(F471),MONTH(F471))&amp;"-"&amp;IF(LEN(DAY(F471))=1,"0"&amp;DAY(F471),DAY(F471))</f>
        <v>Med 2.2-2023-12-31</v>
      </c>
    </row>
    <row r="472" spans="1:18" x14ac:dyDescent="0.3">
      <c r="A472" s="26" t="s">
        <v>393</v>
      </c>
      <c r="B472" s="5" t="s">
        <v>373</v>
      </c>
      <c r="C472" s="5" t="s">
        <v>410</v>
      </c>
      <c r="D472" s="5" t="s">
        <v>8</v>
      </c>
      <c r="E472" s="5" t="s">
        <v>9</v>
      </c>
      <c r="F472" s="6">
        <v>45291</v>
      </c>
      <c r="G472" s="16">
        <f t="shared" si="66"/>
        <v>2023</v>
      </c>
      <c r="H472" s="6" t="str">
        <f t="shared" si="64"/>
        <v>Diciembre</v>
      </c>
      <c r="I472" s="6" t="str">
        <f t="shared" si="65"/>
        <v>2023-2</v>
      </c>
      <c r="J472" s="5">
        <v>432</v>
      </c>
      <c r="K472" s="5">
        <v>292</v>
      </c>
      <c r="L472" s="15">
        <f t="shared" si="67"/>
        <v>0.67592592592592593</v>
      </c>
      <c r="M472" s="15">
        <f t="shared" si="68"/>
        <v>0.67592592592592593</v>
      </c>
      <c r="N472" s="5" t="s">
        <v>490</v>
      </c>
      <c r="O472" s="5" t="s">
        <v>490</v>
      </c>
      <c r="P472" s="5">
        <v>0</v>
      </c>
      <c r="Q472" s="5">
        <v>0</v>
      </c>
      <c r="R472" s="5" t="str">
        <f>A472&amp;"-"&amp;YEAR(F472)&amp;"-"&amp;IF(LEN(MONTH(F472))=1,"0"&amp;MONTH(F472),MONTH(F472))&amp;"-"&amp;IF(LEN(DAY(F472))=1,"0"&amp;DAY(F472),DAY(F472))</f>
        <v>Med 3-2023-12-31</v>
      </c>
    </row>
    <row r="473" spans="1:18" x14ac:dyDescent="0.3">
      <c r="A473" s="26" t="s">
        <v>394</v>
      </c>
      <c r="B473" s="5" t="s">
        <v>374</v>
      </c>
      <c r="C473" s="5" t="s">
        <v>410</v>
      </c>
      <c r="D473" s="5" t="s">
        <v>8</v>
      </c>
      <c r="E473" s="5" t="s">
        <v>9</v>
      </c>
      <c r="F473" s="6">
        <v>45291</v>
      </c>
      <c r="G473" s="16">
        <f t="shared" si="66"/>
        <v>2023</v>
      </c>
      <c r="H473" s="6" t="str">
        <f t="shared" si="64"/>
        <v>Diciembre</v>
      </c>
      <c r="I473" s="6" t="str">
        <f t="shared" si="65"/>
        <v>2023-2</v>
      </c>
      <c r="J473" s="5">
        <v>60</v>
      </c>
      <c r="K473" s="5">
        <v>56</v>
      </c>
      <c r="L473" s="15">
        <f t="shared" si="67"/>
        <v>0.93333333333333335</v>
      </c>
      <c r="M473" s="15">
        <f t="shared" si="68"/>
        <v>0.93333333333333335</v>
      </c>
      <c r="N473" s="5" t="s">
        <v>490</v>
      </c>
      <c r="O473" s="5" t="s">
        <v>490</v>
      </c>
      <c r="P473" s="5">
        <v>0</v>
      </c>
      <c r="Q473" s="5">
        <v>0</v>
      </c>
      <c r="R473" s="5" t="str">
        <f>A473&amp;"-"&amp;YEAR(F473)&amp;"-"&amp;IF(LEN(MONTH(F473))=1,"0"&amp;MONTH(F473),MONTH(F473))&amp;"-"&amp;IF(LEN(DAY(F473))=1,"0"&amp;DAY(F473),DAY(F473))</f>
        <v>Med 4-2023-12-31</v>
      </c>
    </row>
    <row r="474" spans="1:18" x14ac:dyDescent="0.3">
      <c r="A474" s="26" t="s">
        <v>395</v>
      </c>
      <c r="B474" s="5" t="s">
        <v>376</v>
      </c>
      <c r="C474" s="5" t="s">
        <v>410</v>
      </c>
      <c r="D474" s="5" t="s">
        <v>8</v>
      </c>
      <c r="E474" s="5" t="s">
        <v>9</v>
      </c>
      <c r="F474" s="6">
        <v>45291</v>
      </c>
      <c r="G474" s="16">
        <f t="shared" si="66"/>
        <v>2023</v>
      </c>
      <c r="H474" s="6" t="str">
        <f t="shared" si="64"/>
        <v>Diciembre</v>
      </c>
      <c r="I474" s="6" t="str">
        <f t="shared" si="65"/>
        <v>2023-2</v>
      </c>
      <c r="J474" s="5">
        <v>3052</v>
      </c>
      <c r="K474" s="5">
        <v>3218</v>
      </c>
      <c r="L474" s="15">
        <f t="shared" si="67"/>
        <v>1.0543905635648756</v>
      </c>
      <c r="M474" s="15">
        <f t="shared" si="68"/>
        <v>1.0543905635648756</v>
      </c>
      <c r="N474" s="5" t="s">
        <v>490</v>
      </c>
      <c r="O474" s="5" t="s">
        <v>490</v>
      </c>
      <c r="P474" s="5">
        <v>0</v>
      </c>
      <c r="Q474" s="5">
        <v>0</v>
      </c>
      <c r="R474" s="5" t="str">
        <f>A474&amp;"-"&amp;YEAR(F474)&amp;"-"&amp;IF(LEN(MONTH(F474))=1,"0"&amp;MONTH(F474),MONTH(F474))&amp;"-"&amp;IF(LEN(DAY(F474))=1,"0"&amp;DAY(F474),DAY(F474))</f>
        <v>Med 4.1-2023-12-31</v>
      </c>
    </row>
    <row r="475" spans="1:18" x14ac:dyDescent="0.3">
      <c r="A475" s="26" t="s">
        <v>396</v>
      </c>
      <c r="B475" s="5" t="s">
        <v>378</v>
      </c>
      <c r="C475" s="5" t="s">
        <v>410</v>
      </c>
      <c r="D475" s="5" t="s">
        <v>8</v>
      </c>
      <c r="E475" s="5" t="s">
        <v>9</v>
      </c>
      <c r="F475" s="6">
        <v>45291</v>
      </c>
      <c r="G475" s="16">
        <f t="shared" si="66"/>
        <v>2023</v>
      </c>
      <c r="H475" s="6" t="str">
        <f t="shared" si="64"/>
        <v>Diciembre</v>
      </c>
      <c r="I475" s="6" t="str">
        <f t="shared" si="65"/>
        <v>2023-2</v>
      </c>
      <c r="J475" s="5">
        <v>432</v>
      </c>
      <c r="K475" s="5">
        <v>292</v>
      </c>
      <c r="L475" s="15">
        <f t="shared" si="67"/>
        <v>0.67592592592592593</v>
      </c>
      <c r="M475" s="15">
        <f t="shared" si="68"/>
        <v>0.67592592592592593</v>
      </c>
      <c r="N475" s="5" t="s">
        <v>490</v>
      </c>
      <c r="O475" s="5" t="s">
        <v>490</v>
      </c>
      <c r="P475" s="5">
        <v>0</v>
      </c>
      <c r="Q475" s="5">
        <v>0</v>
      </c>
      <c r="R475" s="5" t="str">
        <f>A475&amp;"-"&amp;YEAR(F475)&amp;"-"&amp;IF(LEN(MONTH(F475))=1,"0"&amp;MONTH(F475),MONTH(F475))&amp;"-"&amp;IF(LEN(DAY(F475))=1,"0"&amp;DAY(F475),DAY(F475))</f>
        <v>Med 4.2-2023-12-31</v>
      </c>
    </row>
    <row r="476" spans="1:18" x14ac:dyDescent="0.3">
      <c r="A476" s="26" t="s">
        <v>398</v>
      </c>
      <c r="B476" s="5" t="s">
        <v>379</v>
      </c>
      <c r="C476" s="5" t="s">
        <v>410</v>
      </c>
      <c r="D476" s="5" t="s">
        <v>8</v>
      </c>
      <c r="E476" s="5" t="s">
        <v>9</v>
      </c>
      <c r="F476" s="6">
        <v>45291</v>
      </c>
      <c r="G476" s="16">
        <f t="shared" si="66"/>
        <v>2023</v>
      </c>
      <c r="H476" s="6" t="str">
        <f t="shared" si="64"/>
        <v>Diciembre</v>
      </c>
      <c r="I476" s="6" t="str">
        <f t="shared" si="65"/>
        <v>2023-2</v>
      </c>
      <c r="J476" s="5">
        <v>11155</v>
      </c>
      <c r="K476" s="5">
        <v>10362</v>
      </c>
      <c r="L476" s="15">
        <f t="shared" si="67"/>
        <v>0.92891080233079337</v>
      </c>
      <c r="M476" s="15">
        <f t="shared" si="68"/>
        <v>0.92891080233079337</v>
      </c>
      <c r="N476" s="5" t="s">
        <v>490</v>
      </c>
      <c r="O476" s="5" t="s">
        <v>490</v>
      </c>
      <c r="P476" s="5">
        <v>0</v>
      </c>
      <c r="Q476" s="5">
        <v>0</v>
      </c>
      <c r="R476" s="5" t="str">
        <f>A476&amp;"-"&amp;YEAR(F476)&amp;"-"&amp;IF(LEN(MONTH(F476))=1,"0"&amp;MONTH(F476),MONTH(F476))&amp;"-"&amp;IF(LEN(DAY(F476))=1,"0"&amp;DAY(F476),DAY(F476))</f>
        <v>Med 5-2023-12-31</v>
      </c>
    </row>
    <row r="477" spans="1:18" x14ac:dyDescent="0.3">
      <c r="A477" s="26" t="s">
        <v>399</v>
      </c>
      <c r="B477" s="5" t="s">
        <v>380</v>
      </c>
      <c r="C477" s="5" t="s">
        <v>410</v>
      </c>
      <c r="D477" s="5" t="s">
        <v>8</v>
      </c>
      <c r="E477" s="5" t="s">
        <v>9</v>
      </c>
      <c r="F477" s="6">
        <v>45291</v>
      </c>
      <c r="G477" s="16">
        <f t="shared" si="66"/>
        <v>2023</v>
      </c>
      <c r="H477" s="6" t="str">
        <f t="shared" si="64"/>
        <v>Diciembre</v>
      </c>
      <c r="I477" s="6" t="str">
        <f t="shared" si="65"/>
        <v>2023-2</v>
      </c>
      <c r="J477" s="12">
        <v>100</v>
      </c>
      <c r="K477" s="12">
        <v>93.67</v>
      </c>
      <c r="L477" s="15">
        <f t="shared" si="67"/>
        <v>0.93669999999999998</v>
      </c>
      <c r="M477" s="15">
        <f t="shared" si="68"/>
        <v>0.93669999999999998</v>
      </c>
      <c r="N477" s="5" t="s">
        <v>347</v>
      </c>
      <c r="O477" s="5" t="s">
        <v>347</v>
      </c>
      <c r="P477" s="5">
        <v>0</v>
      </c>
      <c r="Q477" s="5">
        <v>0</v>
      </c>
      <c r="R477" s="5" t="str">
        <f>A477&amp;"-"&amp;YEAR(F477)&amp;"-"&amp;IF(LEN(MONTH(F477))=1,"0"&amp;MONTH(F477),MONTH(F477))&amp;"-"&amp;IF(LEN(DAY(F477))=1,"0"&amp;DAY(F477),DAY(F477))</f>
        <v>Med 6-2023-12-31</v>
      </c>
    </row>
    <row r="478" spans="1:18" x14ac:dyDescent="0.3">
      <c r="A478" s="26" t="s">
        <v>400</v>
      </c>
      <c r="B478" s="5" t="s">
        <v>381</v>
      </c>
      <c r="C478" s="5" t="s">
        <v>410</v>
      </c>
      <c r="D478" s="5" t="s">
        <v>8</v>
      </c>
      <c r="E478" s="5" t="s">
        <v>9</v>
      </c>
      <c r="F478" s="6">
        <v>45291</v>
      </c>
      <c r="G478" s="16">
        <f t="shared" si="66"/>
        <v>2023</v>
      </c>
      <c r="H478" s="6" t="str">
        <f t="shared" si="64"/>
        <v>Diciembre</v>
      </c>
      <c r="I478" s="6" t="str">
        <f t="shared" si="65"/>
        <v>2023-2</v>
      </c>
      <c r="J478" s="5">
        <v>42</v>
      </c>
      <c r="K478" s="5">
        <v>53</v>
      </c>
      <c r="L478" s="15">
        <f t="shared" si="67"/>
        <v>1.2619047619047619</v>
      </c>
      <c r="M478" s="15">
        <f t="shared" si="68"/>
        <v>1.2619047619047619</v>
      </c>
      <c r="N478" s="5" t="s">
        <v>347</v>
      </c>
      <c r="O478" s="5" t="s">
        <v>347</v>
      </c>
      <c r="P478" s="5">
        <v>0</v>
      </c>
      <c r="Q478" s="5">
        <v>0</v>
      </c>
      <c r="R478" s="5" t="str">
        <f>A478&amp;"-"&amp;YEAR(F478)&amp;"-"&amp;IF(LEN(MONTH(F478))=1,"0"&amp;MONTH(F478),MONTH(F478))&amp;"-"&amp;IF(LEN(DAY(F478))=1,"0"&amp;DAY(F478),DAY(F478))</f>
        <v>Med 7-2023-12-31</v>
      </c>
    </row>
    <row r="479" spans="1:18" x14ac:dyDescent="0.3">
      <c r="A479" s="26" t="s">
        <v>401</v>
      </c>
      <c r="B479" s="5" t="s">
        <v>382</v>
      </c>
      <c r="C479" s="5" t="s">
        <v>410</v>
      </c>
      <c r="D479" s="5" t="s">
        <v>8</v>
      </c>
      <c r="E479" s="5" t="s">
        <v>9</v>
      </c>
      <c r="F479" s="6">
        <v>45291</v>
      </c>
      <c r="G479" s="16">
        <f t="shared" si="66"/>
        <v>2023</v>
      </c>
      <c r="H479" s="6" t="str">
        <f t="shared" si="64"/>
        <v>Diciembre</v>
      </c>
      <c r="I479" s="6" t="str">
        <f t="shared" si="65"/>
        <v>2023-2</v>
      </c>
      <c r="J479" s="5">
        <v>87.3</v>
      </c>
      <c r="K479" s="5">
        <v>89.6</v>
      </c>
      <c r="L479" s="15">
        <f t="shared" si="67"/>
        <v>1.0263459335624283</v>
      </c>
      <c r="M479" s="15">
        <f t="shared" si="68"/>
        <v>1.0263459335624283</v>
      </c>
      <c r="N479" s="5" t="s">
        <v>347</v>
      </c>
      <c r="O479" s="5" t="s">
        <v>347</v>
      </c>
      <c r="P479" s="5">
        <v>1</v>
      </c>
      <c r="Q479" s="5">
        <v>1</v>
      </c>
      <c r="R479" s="5" t="str">
        <f>A479&amp;"-"&amp;YEAR(F479)&amp;"-"&amp;IF(LEN(MONTH(F479))=1,"0"&amp;MONTH(F479),MONTH(F479))&amp;"-"&amp;IF(LEN(DAY(F479))=1,"0"&amp;DAY(F479),DAY(F479))</f>
        <v>Med 8-2023-12-31</v>
      </c>
    </row>
    <row r="480" spans="1:18" x14ac:dyDescent="0.3">
      <c r="A480" s="26" t="s">
        <v>402</v>
      </c>
      <c r="B480" s="5" t="s">
        <v>383</v>
      </c>
      <c r="C480" s="5" t="s">
        <v>410</v>
      </c>
      <c r="D480" s="5" t="s">
        <v>8</v>
      </c>
      <c r="E480" s="5" t="s">
        <v>9</v>
      </c>
      <c r="F480" s="6">
        <v>45291</v>
      </c>
      <c r="G480" s="16">
        <f t="shared" si="66"/>
        <v>2023</v>
      </c>
      <c r="H480" s="6" t="str">
        <f t="shared" si="64"/>
        <v>Diciembre</v>
      </c>
      <c r="I480" s="6" t="str">
        <f t="shared" si="65"/>
        <v>2023-2</v>
      </c>
      <c r="J480" s="5">
        <v>97.13</v>
      </c>
      <c r="K480" s="5">
        <v>79.180000000000007</v>
      </c>
      <c r="L480" s="15">
        <f t="shared" si="67"/>
        <v>0.81519612889941329</v>
      </c>
      <c r="M480" s="15">
        <f t="shared" si="68"/>
        <v>0.81519612889941329</v>
      </c>
      <c r="N480" s="5" t="s">
        <v>347</v>
      </c>
      <c r="O480" s="5" t="s">
        <v>347</v>
      </c>
      <c r="P480" s="5">
        <v>0</v>
      </c>
      <c r="Q480" s="5">
        <v>0</v>
      </c>
      <c r="R480" s="5" t="str">
        <f>A480&amp;"-"&amp;YEAR(F480)&amp;"-"&amp;IF(LEN(MONTH(F480))=1,"0"&amp;MONTH(F480),MONTH(F480))&amp;"-"&amp;IF(LEN(DAY(F480))=1,"0"&amp;DAY(F480),DAY(F480))</f>
        <v>Med 9-2023-12-31</v>
      </c>
    </row>
    <row r="481" spans="1:18" x14ac:dyDescent="0.3">
      <c r="A481" s="5">
        <v>243</v>
      </c>
      <c r="B481" s="5" t="s">
        <v>121</v>
      </c>
      <c r="C481" s="5" t="s">
        <v>117</v>
      </c>
      <c r="D481" s="5" t="s">
        <v>18</v>
      </c>
      <c r="E481" s="5" t="s">
        <v>14</v>
      </c>
      <c r="F481" s="6">
        <v>45503</v>
      </c>
      <c r="G481" s="5">
        <f t="shared" ref="G481:G512" si="69">YEAR(F481)</f>
        <v>2024</v>
      </c>
      <c r="H481" s="5" t="str">
        <f t="shared" ref="H481:H507" si="70">PROPER(TEXT(F481,"mmmm"))</f>
        <v>Julio</v>
      </c>
      <c r="I481" s="6" t="str">
        <f t="shared" ref="I481:I507" si="71">IF(OR(H481="Enero",H481="Febrero",H481="Marzo",H481="Abril",H481="Mayo",H481="Junio"),G481&amp;"-1",IF(OR(H481="Julio",H481="Agosto",H481="Septiembre",H481="Octubre",H481="Noviembre",H481="Diciembre"),G481&amp;"-2"))</f>
        <v>2024-2</v>
      </c>
      <c r="J481" s="5">
        <v>20</v>
      </c>
      <c r="K481" s="5">
        <v>7.28</v>
      </c>
      <c r="L481" s="15">
        <f t="shared" ref="L481" si="72">IFERROR(IF((K481/J481)&gt;1.3,1.3,K481/J481),"")</f>
        <v>0.36399999999999999</v>
      </c>
      <c r="M481" s="15">
        <f t="shared" ref="M481" si="73">IFERROR(K481/J481,"")</f>
        <v>0.36399999999999999</v>
      </c>
      <c r="N481" s="5" t="s">
        <v>347</v>
      </c>
      <c r="O481" s="5" t="s">
        <v>347</v>
      </c>
      <c r="P481" s="5">
        <v>0</v>
      </c>
      <c r="Q481" s="5">
        <v>0</v>
      </c>
      <c r="R481" s="5" t="str">
        <f>A481&amp;"-"&amp;YEAR(F481)&amp;"-"&amp;IF(LEN(MONTH(F481))=1,"0"&amp;MONTH(F481),MONTH(F481))&amp;"-"&amp;IF(LEN(DAY(F481))=1,"0"&amp;DAY(F481),DAY(F481))</f>
        <v>243-2024-07-30</v>
      </c>
    </row>
    <row r="482" spans="1:18" x14ac:dyDescent="0.3">
      <c r="A482" s="5">
        <v>139</v>
      </c>
      <c r="B482" s="5" t="s">
        <v>57</v>
      </c>
      <c r="C482" s="5" t="s">
        <v>55</v>
      </c>
      <c r="D482" s="5" t="s">
        <v>18</v>
      </c>
      <c r="E482" s="5" t="s">
        <v>14</v>
      </c>
      <c r="F482" s="6">
        <v>45504</v>
      </c>
      <c r="G482" s="5">
        <f t="shared" si="69"/>
        <v>2024</v>
      </c>
      <c r="H482" s="5" t="str">
        <f t="shared" si="70"/>
        <v>Julio</v>
      </c>
      <c r="I482" s="6" t="str">
        <f t="shared" si="71"/>
        <v>2024-2</v>
      </c>
      <c r="J482" s="9">
        <v>1338.6143959999999</v>
      </c>
      <c r="K482" s="9">
        <v>1214.7518809999999</v>
      </c>
      <c r="L482" s="15">
        <f>IFERROR(IF((J482/K482)&gt;1.3,1.3,J482/K482),"")</f>
        <v>1.1019652794429384</v>
      </c>
      <c r="M482" s="15">
        <f>IFERROR(J482/K482,"")</f>
        <v>1.1019652794429384</v>
      </c>
      <c r="N482" s="5" t="s">
        <v>474</v>
      </c>
      <c r="O482" s="5" t="s">
        <v>474</v>
      </c>
      <c r="P482" s="5">
        <v>0</v>
      </c>
      <c r="Q482" s="5">
        <v>0</v>
      </c>
      <c r="R482" s="5" t="str">
        <f>A482&amp;"-"&amp;YEAR(F482)&amp;"-"&amp;IF(LEN(MONTH(F482))=1,"0"&amp;MONTH(F482),MONTH(F482))&amp;"-"&amp;IF(LEN(DAY(F482))=1,"0"&amp;DAY(F482),DAY(F482))</f>
        <v>139-2024-07-31</v>
      </c>
    </row>
    <row r="483" spans="1:18" x14ac:dyDescent="0.3">
      <c r="A483" s="5">
        <v>441</v>
      </c>
      <c r="B483" s="5" t="s">
        <v>508</v>
      </c>
      <c r="C483" s="5" t="s">
        <v>117</v>
      </c>
      <c r="D483" s="5" t="s">
        <v>18</v>
      </c>
      <c r="E483" s="5" t="s">
        <v>9</v>
      </c>
      <c r="F483" s="6">
        <v>45504</v>
      </c>
      <c r="G483" s="5">
        <f t="shared" si="69"/>
        <v>2024</v>
      </c>
      <c r="H483" s="5" t="str">
        <f t="shared" si="70"/>
        <v>Julio</v>
      </c>
      <c r="I483" s="6" t="str">
        <f t="shared" si="71"/>
        <v>2024-2</v>
      </c>
      <c r="J483" s="5">
        <v>90</v>
      </c>
      <c r="K483" s="5">
        <v>96.98</v>
      </c>
      <c r="L483" s="15">
        <f>IFERROR(IF((K483/J483)&gt;1.3,1.3,K483/J483),"")</f>
        <v>1.0775555555555556</v>
      </c>
      <c r="M483" s="15">
        <f t="shared" ref="M483:M489" si="74">IFERROR(K483/J483,"")</f>
        <v>1.0775555555555556</v>
      </c>
      <c r="N483" s="5" t="s">
        <v>417</v>
      </c>
      <c r="O483" s="5" t="s">
        <v>417</v>
      </c>
      <c r="P483" s="5">
        <v>0</v>
      </c>
      <c r="Q483" s="5">
        <v>0</v>
      </c>
      <c r="R483" s="5" t="str">
        <f>A483&amp;"-"&amp;YEAR(F483)&amp;"-"&amp;IF(LEN(MONTH(F483))=1,"0"&amp;MONTH(F483),MONTH(F483))&amp;"-"&amp;IF(LEN(DAY(F483))=1,"0"&amp;DAY(F483),DAY(F483))</f>
        <v>441-2024-07-31</v>
      </c>
    </row>
    <row r="484" spans="1:18" x14ac:dyDescent="0.3">
      <c r="A484" s="5">
        <v>290</v>
      </c>
      <c r="B484" s="5" t="s">
        <v>175</v>
      </c>
      <c r="C484" s="5" t="s">
        <v>114</v>
      </c>
      <c r="D484" s="5" t="s">
        <v>21</v>
      </c>
      <c r="E484" s="5" t="s">
        <v>9</v>
      </c>
      <c r="F484" s="6">
        <v>45535</v>
      </c>
      <c r="G484" s="5">
        <f t="shared" si="69"/>
        <v>2024</v>
      </c>
      <c r="H484" s="5" t="str">
        <f t="shared" si="70"/>
        <v>Agosto</v>
      </c>
      <c r="I484" s="6" t="str">
        <f t="shared" si="71"/>
        <v>2024-2</v>
      </c>
      <c r="J484" s="5">
        <v>90</v>
      </c>
      <c r="K484" s="5">
        <v>100</v>
      </c>
      <c r="L484" s="15">
        <f>IFERROR(IF((K484/J484)&gt;1,1,K484/J484),"")</f>
        <v>1</v>
      </c>
      <c r="M484" s="15">
        <f t="shared" si="74"/>
        <v>1.1111111111111112</v>
      </c>
      <c r="N484" s="5" t="s">
        <v>347</v>
      </c>
      <c r="O484" s="5" t="s">
        <v>347</v>
      </c>
      <c r="P484" s="5">
        <v>0</v>
      </c>
      <c r="Q484" s="5">
        <v>0</v>
      </c>
      <c r="R484" s="5" t="str">
        <f>A484&amp;"-"&amp;YEAR(F484)&amp;"-"&amp;IF(LEN(MONTH(F484))=1,"0"&amp;MONTH(F484),MONTH(F484))&amp;"-"&amp;IF(LEN(DAY(F484))=1,"0"&amp;DAY(F484),DAY(F484))</f>
        <v>290-2024-08-31</v>
      </c>
    </row>
    <row r="485" spans="1:18" x14ac:dyDescent="0.3">
      <c r="A485" s="5">
        <v>112</v>
      </c>
      <c r="B485" s="5" t="s">
        <v>39</v>
      </c>
      <c r="C485" s="5" t="s">
        <v>43</v>
      </c>
      <c r="D485" s="5" t="s">
        <v>25</v>
      </c>
      <c r="E485" s="5" t="s">
        <v>9</v>
      </c>
      <c r="F485" s="6">
        <v>45596</v>
      </c>
      <c r="G485" s="5">
        <f t="shared" si="69"/>
        <v>2024</v>
      </c>
      <c r="H485" s="5" t="str">
        <f t="shared" si="70"/>
        <v>Octubre</v>
      </c>
      <c r="I485" s="6" t="str">
        <f t="shared" si="71"/>
        <v>2024-2</v>
      </c>
      <c r="J485" s="5">
        <v>80</v>
      </c>
      <c r="K485" s="5">
        <v>90</v>
      </c>
      <c r="L485" s="15">
        <f>IFERROR(IF((K485/J485)&gt;1.3,1.3,K485/J485),"")</f>
        <v>1.125</v>
      </c>
      <c r="M485" s="15">
        <f t="shared" si="74"/>
        <v>1.125</v>
      </c>
      <c r="N485" s="5" t="s">
        <v>347</v>
      </c>
      <c r="O485" s="5" t="s">
        <v>347</v>
      </c>
      <c r="P485" s="5">
        <v>0</v>
      </c>
      <c r="Q485" s="5">
        <v>0</v>
      </c>
      <c r="R485" s="5" t="str">
        <f>A485&amp;"-"&amp;YEAR(F485)&amp;"-"&amp;IF(LEN(MONTH(F485))=1,"0"&amp;MONTH(F485),MONTH(F485))&amp;"-"&amp;IF(LEN(DAY(F485))=1,"0"&amp;DAY(F485),DAY(F485))</f>
        <v>112-2024-10-31</v>
      </c>
    </row>
    <row r="486" spans="1:18" x14ac:dyDescent="0.3">
      <c r="A486" s="5">
        <v>113</v>
      </c>
      <c r="B486" s="5" t="s">
        <v>39</v>
      </c>
      <c r="C486" s="5" t="s">
        <v>438</v>
      </c>
      <c r="D486" s="5" t="s">
        <v>25</v>
      </c>
      <c r="E486" s="5" t="s">
        <v>9</v>
      </c>
      <c r="F486" s="6">
        <v>45596</v>
      </c>
      <c r="G486" s="5">
        <f t="shared" si="69"/>
        <v>2024</v>
      </c>
      <c r="H486" s="5" t="str">
        <f t="shared" si="70"/>
        <v>Octubre</v>
      </c>
      <c r="I486" s="6" t="str">
        <f t="shared" si="71"/>
        <v>2024-2</v>
      </c>
      <c r="J486" s="5">
        <v>80</v>
      </c>
      <c r="K486" s="5">
        <v>88</v>
      </c>
      <c r="L486" s="15">
        <f>IFERROR(IF((K486/J486)&gt;1.3,1.3,K486/J486),"")</f>
        <v>1.1000000000000001</v>
      </c>
      <c r="M486" s="15">
        <f t="shared" si="74"/>
        <v>1.1000000000000001</v>
      </c>
      <c r="N486" s="5" t="s">
        <v>347</v>
      </c>
      <c r="O486" s="5" t="s">
        <v>347</v>
      </c>
      <c r="P486" s="5">
        <v>0</v>
      </c>
      <c r="Q486" s="5">
        <v>0</v>
      </c>
      <c r="R486" s="5" t="str">
        <f>A486&amp;"-"&amp;YEAR(F486)&amp;"-"&amp;IF(LEN(MONTH(F486))=1,"0"&amp;MONTH(F486),MONTH(F486))&amp;"-"&amp;IF(LEN(DAY(F486))=1,"0"&amp;DAY(F486),DAY(F486))</f>
        <v>113-2024-10-31</v>
      </c>
    </row>
    <row r="487" spans="1:18" x14ac:dyDescent="0.3">
      <c r="A487" s="5">
        <v>114</v>
      </c>
      <c r="B487" s="5" t="s">
        <v>39</v>
      </c>
      <c r="C487" s="5" t="s">
        <v>17</v>
      </c>
      <c r="D487" s="5" t="s">
        <v>25</v>
      </c>
      <c r="E487" s="5" t="s">
        <v>9</v>
      </c>
      <c r="F487" s="6">
        <v>45596</v>
      </c>
      <c r="G487" s="5">
        <f t="shared" si="69"/>
        <v>2024</v>
      </c>
      <c r="H487" s="5" t="str">
        <f t="shared" si="70"/>
        <v>Octubre</v>
      </c>
      <c r="I487" s="6" t="str">
        <f t="shared" si="71"/>
        <v>2024-2</v>
      </c>
      <c r="J487" s="5">
        <v>80</v>
      </c>
      <c r="K487" s="5">
        <v>81</v>
      </c>
      <c r="L487" s="15">
        <f>IFERROR(IF((K487/J487)&gt;1.3,1.3,K487/J487),"")</f>
        <v>1.0125</v>
      </c>
      <c r="M487" s="15">
        <f t="shared" si="74"/>
        <v>1.0125</v>
      </c>
      <c r="N487" s="5" t="s">
        <v>347</v>
      </c>
      <c r="O487" s="5" t="s">
        <v>347</v>
      </c>
      <c r="P487" s="5">
        <v>0</v>
      </c>
      <c r="Q487" s="5">
        <v>0</v>
      </c>
      <c r="R487" s="5" t="str">
        <f>A487&amp;"-"&amp;YEAR(F487)&amp;"-"&amp;IF(LEN(MONTH(F487))=1,"0"&amp;MONTH(F487),MONTH(F487))&amp;"-"&amp;IF(LEN(DAY(F487))=1,"0"&amp;DAY(F487),DAY(F487))</f>
        <v>114-2024-10-31</v>
      </c>
    </row>
    <row r="488" spans="1:18" x14ac:dyDescent="0.3">
      <c r="A488" s="5">
        <v>115</v>
      </c>
      <c r="B488" s="5" t="s">
        <v>39</v>
      </c>
      <c r="C488" s="5" t="s">
        <v>24</v>
      </c>
      <c r="D488" s="5" t="s">
        <v>25</v>
      </c>
      <c r="E488" s="5" t="s">
        <v>9</v>
      </c>
      <c r="F488" s="6">
        <v>45596</v>
      </c>
      <c r="G488" s="16">
        <f t="shared" si="69"/>
        <v>2024</v>
      </c>
      <c r="H488" s="6" t="str">
        <f t="shared" si="70"/>
        <v>Octubre</v>
      </c>
      <c r="I488" s="6" t="str">
        <f t="shared" si="71"/>
        <v>2024-2</v>
      </c>
      <c r="J488" s="5">
        <v>80</v>
      </c>
      <c r="K488" s="10">
        <v>90</v>
      </c>
      <c r="L488" s="15">
        <f>IFERROR(IF((K488/J488)&gt;1.3,1.3,K488/J488),"")</f>
        <v>1.125</v>
      </c>
      <c r="M488" s="15">
        <f t="shared" si="74"/>
        <v>1.125</v>
      </c>
      <c r="N488" s="5" t="s">
        <v>347</v>
      </c>
      <c r="O488" s="5" t="s">
        <v>347</v>
      </c>
      <c r="P488" s="5">
        <v>0</v>
      </c>
      <c r="Q488" s="5">
        <v>0</v>
      </c>
      <c r="R488" s="5" t="str">
        <f>A488&amp;"-"&amp;YEAR(F488)&amp;"-"&amp;IF(LEN(MONTH(F488))=1,"0"&amp;MONTH(F488),MONTH(F488))&amp;"-"&amp;IF(LEN(DAY(F488))=1,"0"&amp;DAY(F488),DAY(F488))</f>
        <v>115-2024-10-31</v>
      </c>
    </row>
    <row r="489" spans="1:18" x14ac:dyDescent="0.3">
      <c r="A489" s="5">
        <v>117</v>
      </c>
      <c r="B489" s="5" t="s">
        <v>39</v>
      </c>
      <c r="C489" s="5" t="s">
        <v>90</v>
      </c>
      <c r="D489" s="5" t="s">
        <v>25</v>
      </c>
      <c r="E489" s="5" t="s">
        <v>9</v>
      </c>
      <c r="F489" s="6">
        <v>45596</v>
      </c>
      <c r="G489" s="5">
        <f t="shared" si="69"/>
        <v>2024</v>
      </c>
      <c r="H489" s="5" t="str">
        <f t="shared" si="70"/>
        <v>Octubre</v>
      </c>
      <c r="I489" s="6" t="str">
        <f t="shared" si="71"/>
        <v>2024-2</v>
      </c>
      <c r="J489" s="5">
        <v>80</v>
      </c>
      <c r="K489" s="5">
        <v>89</v>
      </c>
      <c r="L489" s="15">
        <f>IFERROR(IF((K489/J489)&gt;1.3,1.3,K489/J489),"")</f>
        <v>1.1125</v>
      </c>
      <c r="M489" s="15">
        <f t="shared" si="74"/>
        <v>1.1125</v>
      </c>
      <c r="N489" s="5" t="s">
        <v>347</v>
      </c>
      <c r="O489" s="5" t="s">
        <v>347</v>
      </c>
      <c r="P489" s="5">
        <v>0</v>
      </c>
      <c r="Q489" s="5">
        <v>0</v>
      </c>
      <c r="R489" s="5" t="str">
        <f>A489&amp;"-"&amp;YEAR(F489)&amp;"-"&amp;IF(LEN(MONTH(F489))=1,"0"&amp;MONTH(F489),MONTH(F489))&amp;"-"&amp;IF(LEN(DAY(F489))=1,"0"&amp;DAY(F489),DAY(F489))</f>
        <v>117-2024-10-31</v>
      </c>
    </row>
    <row r="490" spans="1:18" x14ac:dyDescent="0.3">
      <c r="A490" s="5">
        <v>5</v>
      </c>
      <c r="B490" s="5" t="s">
        <v>334</v>
      </c>
      <c r="C490" s="5" t="s">
        <v>248</v>
      </c>
      <c r="D490" s="5" t="s">
        <v>18</v>
      </c>
      <c r="E490" s="5" t="s">
        <v>9</v>
      </c>
      <c r="F490" s="6">
        <v>45657</v>
      </c>
      <c r="G490" s="16">
        <f t="shared" si="69"/>
        <v>2024</v>
      </c>
      <c r="H490" s="6" t="str">
        <f t="shared" si="70"/>
        <v>Diciembre</v>
      </c>
      <c r="I490" s="6" t="str">
        <f t="shared" si="71"/>
        <v>2024-2</v>
      </c>
      <c r="J490" s="13">
        <v>100</v>
      </c>
      <c r="K490" s="13">
        <v>100</v>
      </c>
      <c r="L490" s="15">
        <f t="shared" ref="L490:L496" si="75">IFERROR(IF((K490/J490)&gt;1,1,K490/J490),"")</f>
        <v>1</v>
      </c>
      <c r="M490" s="15">
        <f t="shared" ref="M490:M496" si="76">IFERROR(IF((K490/J490)&gt;1,1,K490/J490),"")</f>
        <v>1</v>
      </c>
      <c r="N490" s="5" t="s">
        <v>347</v>
      </c>
      <c r="O490" s="5" t="s">
        <v>347</v>
      </c>
      <c r="P490" s="5">
        <v>0</v>
      </c>
      <c r="Q490" s="5">
        <v>0</v>
      </c>
      <c r="R490" s="5" t="str">
        <f>A490&amp;"-"&amp;YEAR(F490)&amp;"-"&amp;IF(LEN(MONTH(F490))=1,"0"&amp;MONTH(F490),MONTH(F490))&amp;"-"&amp;IF(LEN(DAY(F490))=1,"0"&amp;DAY(F490),DAY(F490))</f>
        <v>5-2024-12-31</v>
      </c>
    </row>
    <row r="491" spans="1:18" x14ac:dyDescent="0.3">
      <c r="A491" s="5">
        <v>6</v>
      </c>
      <c r="B491" s="5" t="s">
        <v>335</v>
      </c>
      <c r="C491" s="5" t="s">
        <v>343</v>
      </c>
      <c r="D491" s="5" t="s">
        <v>18</v>
      </c>
      <c r="E491" s="5" t="s">
        <v>9</v>
      </c>
      <c r="F491" s="6">
        <v>45657</v>
      </c>
      <c r="G491" s="16">
        <f t="shared" si="69"/>
        <v>2024</v>
      </c>
      <c r="H491" s="6" t="str">
        <f t="shared" si="70"/>
        <v>Diciembre</v>
      </c>
      <c r="I491" s="6" t="str">
        <f t="shared" si="71"/>
        <v>2024-2</v>
      </c>
      <c r="J491" s="13">
        <v>100</v>
      </c>
      <c r="K491" s="13">
        <v>100</v>
      </c>
      <c r="L491" s="15">
        <f t="shared" si="75"/>
        <v>1</v>
      </c>
      <c r="M491" s="15">
        <f t="shared" si="76"/>
        <v>1</v>
      </c>
      <c r="N491" s="5" t="s">
        <v>347</v>
      </c>
      <c r="O491" s="5" t="s">
        <v>347</v>
      </c>
      <c r="P491" s="5">
        <v>0</v>
      </c>
      <c r="Q491" s="5">
        <v>0</v>
      </c>
      <c r="R491" s="5" t="str">
        <f>A491&amp;"-"&amp;YEAR(F491)&amp;"-"&amp;IF(LEN(MONTH(F491))=1,"0"&amp;MONTH(F491),MONTH(F491))&amp;"-"&amp;IF(LEN(DAY(F491))=1,"0"&amp;DAY(F491),DAY(F491))</f>
        <v>6-2024-12-31</v>
      </c>
    </row>
    <row r="492" spans="1:18" x14ac:dyDescent="0.3">
      <c r="A492" s="5">
        <v>7</v>
      </c>
      <c r="B492" s="5" t="s">
        <v>336</v>
      </c>
      <c r="C492" s="5" t="s">
        <v>343</v>
      </c>
      <c r="D492" s="5" t="s">
        <v>18</v>
      </c>
      <c r="E492" s="5" t="s">
        <v>9</v>
      </c>
      <c r="F492" s="6">
        <v>45657</v>
      </c>
      <c r="G492" s="16">
        <f t="shared" si="69"/>
        <v>2024</v>
      </c>
      <c r="H492" s="6" t="str">
        <f t="shared" si="70"/>
        <v>Diciembre</v>
      </c>
      <c r="I492" s="6" t="str">
        <f t="shared" si="71"/>
        <v>2024-2</v>
      </c>
      <c r="J492" s="13">
        <v>100</v>
      </c>
      <c r="K492" s="13">
        <v>100</v>
      </c>
      <c r="L492" s="15">
        <f t="shared" si="75"/>
        <v>1</v>
      </c>
      <c r="M492" s="15">
        <f t="shared" si="76"/>
        <v>1</v>
      </c>
      <c r="N492" s="5" t="s">
        <v>347</v>
      </c>
      <c r="O492" s="5" t="s">
        <v>347</v>
      </c>
      <c r="P492" s="5">
        <v>0</v>
      </c>
      <c r="Q492" s="5">
        <v>0</v>
      </c>
      <c r="R492" s="5" t="str">
        <f>A492&amp;"-"&amp;YEAR(F492)&amp;"-"&amp;IF(LEN(MONTH(F492))=1,"0"&amp;MONTH(F492),MONTH(F492))&amp;"-"&amp;IF(LEN(DAY(F492))=1,"0"&amp;DAY(F492),DAY(F492))</f>
        <v>7-2024-12-31</v>
      </c>
    </row>
    <row r="493" spans="1:18" x14ac:dyDescent="0.3">
      <c r="A493" s="5">
        <v>10</v>
      </c>
      <c r="B493" s="5" t="s">
        <v>339</v>
      </c>
      <c r="C493" s="5" t="s">
        <v>209</v>
      </c>
      <c r="D493" s="5" t="s">
        <v>18</v>
      </c>
      <c r="E493" s="5" t="s">
        <v>9</v>
      </c>
      <c r="F493" s="6">
        <v>45657</v>
      </c>
      <c r="G493" s="16">
        <f t="shared" si="69"/>
        <v>2024</v>
      </c>
      <c r="H493" s="6" t="str">
        <f t="shared" si="70"/>
        <v>Diciembre</v>
      </c>
      <c r="I493" s="6" t="str">
        <f t="shared" si="71"/>
        <v>2024-2</v>
      </c>
      <c r="J493" s="13">
        <v>100</v>
      </c>
      <c r="K493" s="13">
        <v>100</v>
      </c>
      <c r="L493" s="15">
        <f t="shared" si="75"/>
        <v>1</v>
      </c>
      <c r="M493" s="15">
        <f t="shared" si="76"/>
        <v>1</v>
      </c>
      <c r="N493" s="5" t="s">
        <v>347</v>
      </c>
      <c r="O493" s="5" t="s">
        <v>347</v>
      </c>
      <c r="P493" s="5">
        <v>0</v>
      </c>
      <c r="Q493" s="5">
        <v>0</v>
      </c>
      <c r="R493" s="5" t="str">
        <f>A493&amp;"-"&amp;YEAR(F493)&amp;"-"&amp;IF(LEN(MONTH(F493))=1,"0"&amp;MONTH(F493),MONTH(F493))&amp;"-"&amp;IF(LEN(DAY(F493))=1,"0"&amp;DAY(F493),DAY(F493))</f>
        <v>10-2024-12-31</v>
      </c>
    </row>
    <row r="494" spans="1:18" x14ac:dyDescent="0.3">
      <c r="A494" s="5">
        <v>11</v>
      </c>
      <c r="B494" s="23" t="s">
        <v>838</v>
      </c>
      <c r="C494" s="5" t="s">
        <v>145</v>
      </c>
      <c r="D494" s="5" t="s">
        <v>18</v>
      </c>
      <c r="E494" s="5" t="s">
        <v>9</v>
      </c>
      <c r="F494" s="6">
        <v>45657</v>
      </c>
      <c r="G494" s="16">
        <f t="shared" si="69"/>
        <v>2024</v>
      </c>
      <c r="H494" s="6" t="str">
        <f t="shared" si="70"/>
        <v>Diciembre</v>
      </c>
      <c r="I494" s="6" t="str">
        <f t="shared" si="71"/>
        <v>2024-2</v>
      </c>
      <c r="J494" s="13">
        <v>56</v>
      </c>
      <c r="K494" s="13">
        <v>56</v>
      </c>
      <c r="L494" s="15">
        <f t="shared" si="75"/>
        <v>1</v>
      </c>
      <c r="M494" s="15">
        <f t="shared" si="76"/>
        <v>1</v>
      </c>
      <c r="N494" s="5" t="s">
        <v>347</v>
      </c>
      <c r="O494" s="5" t="s">
        <v>347</v>
      </c>
      <c r="P494" s="5">
        <v>0</v>
      </c>
      <c r="Q494" s="5">
        <v>0</v>
      </c>
      <c r="R494" s="5" t="str">
        <f>A494&amp;"-"&amp;YEAR(F494)&amp;"-"&amp;IF(LEN(MONTH(F494))=1,"0"&amp;MONTH(F494),MONTH(F494))&amp;"-"&amp;IF(LEN(DAY(F494))=1,"0"&amp;DAY(F494),DAY(F494))</f>
        <v>11-2024-12-31</v>
      </c>
    </row>
    <row r="495" spans="1:18" x14ac:dyDescent="0.3">
      <c r="A495" s="5">
        <v>12</v>
      </c>
      <c r="B495" s="23" t="s">
        <v>837</v>
      </c>
      <c r="C495" s="5" t="s">
        <v>145</v>
      </c>
      <c r="D495" s="5" t="s">
        <v>18</v>
      </c>
      <c r="E495" s="5" t="s">
        <v>9</v>
      </c>
      <c r="F495" s="6">
        <v>45657</v>
      </c>
      <c r="G495" s="16">
        <f t="shared" si="69"/>
        <v>2024</v>
      </c>
      <c r="H495" s="6" t="str">
        <f t="shared" si="70"/>
        <v>Diciembre</v>
      </c>
      <c r="I495" s="6" t="str">
        <f t="shared" si="71"/>
        <v>2024-2</v>
      </c>
      <c r="J495" s="13">
        <v>76</v>
      </c>
      <c r="K495" s="13">
        <v>56</v>
      </c>
      <c r="L495" s="15">
        <f t="shared" si="75"/>
        <v>0.73684210526315785</v>
      </c>
      <c r="M495" s="15">
        <f t="shared" si="76"/>
        <v>0.73684210526315785</v>
      </c>
      <c r="N495" s="5" t="s">
        <v>347</v>
      </c>
      <c r="O495" s="5" t="s">
        <v>347</v>
      </c>
      <c r="P495" s="5">
        <v>0</v>
      </c>
      <c r="Q495" s="5">
        <v>0</v>
      </c>
      <c r="R495" s="5" t="str">
        <f>A495&amp;"-"&amp;YEAR(F495)&amp;"-"&amp;IF(LEN(MONTH(F495))=1,"0"&amp;MONTH(F495),MONTH(F495))&amp;"-"&amp;IF(LEN(DAY(F495))=1,"0"&amp;DAY(F495),DAY(F495))</f>
        <v>12-2024-12-31</v>
      </c>
    </row>
    <row r="496" spans="1:18" x14ac:dyDescent="0.3">
      <c r="A496" s="5">
        <v>13</v>
      </c>
      <c r="B496" s="5" t="s">
        <v>340</v>
      </c>
      <c r="C496" s="5" t="s">
        <v>344</v>
      </c>
      <c r="D496" s="5" t="s">
        <v>18</v>
      </c>
      <c r="E496" s="5" t="s">
        <v>9</v>
      </c>
      <c r="F496" s="6">
        <v>45657</v>
      </c>
      <c r="G496" s="16">
        <f t="shared" si="69"/>
        <v>2024</v>
      </c>
      <c r="H496" s="6" t="str">
        <f t="shared" si="70"/>
        <v>Diciembre</v>
      </c>
      <c r="I496" s="6" t="str">
        <f t="shared" si="71"/>
        <v>2024-2</v>
      </c>
      <c r="J496" s="5">
        <v>100</v>
      </c>
      <c r="K496" s="5">
        <v>100</v>
      </c>
      <c r="L496" s="15">
        <f t="shared" si="75"/>
        <v>1</v>
      </c>
      <c r="M496" s="15">
        <f t="shared" si="76"/>
        <v>1</v>
      </c>
      <c r="N496" s="5" t="s">
        <v>347</v>
      </c>
      <c r="O496" s="5" t="s">
        <v>347</v>
      </c>
      <c r="P496" s="5">
        <v>0</v>
      </c>
      <c r="Q496" s="5">
        <v>0</v>
      </c>
      <c r="R496" s="5" t="str">
        <f>A496&amp;"-"&amp;YEAR(F496)&amp;"-"&amp;IF(LEN(MONTH(F496))=1,"0"&amp;MONTH(F496),MONTH(F496))&amp;"-"&amp;IF(LEN(DAY(F496))=1,"0"&amp;DAY(F496),DAY(F496))</f>
        <v>13-2024-12-31</v>
      </c>
    </row>
    <row r="497" spans="1:18" x14ac:dyDescent="0.3">
      <c r="A497" s="5">
        <v>14</v>
      </c>
      <c r="B497" s="5" t="s">
        <v>341</v>
      </c>
      <c r="C497" s="5" t="s">
        <v>124</v>
      </c>
      <c r="D497" s="5" t="s">
        <v>8</v>
      </c>
      <c r="E497" s="5" t="s">
        <v>9</v>
      </c>
      <c r="F497" s="6">
        <v>45657</v>
      </c>
      <c r="G497" s="16">
        <f t="shared" si="69"/>
        <v>2024</v>
      </c>
      <c r="H497" s="6" t="str">
        <f t="shared" si="70"/>
        <v>Diciembre</v>
      </c>
      <c r="I497" s="6" t="str">
        <f t="shared" si="71"/>
        <v>2024-2</v>
      </c>
      <c r="J497" s="82">
        <v>51116.334115206948</v>
      </c>
      <c r="K497" s="9">
        <v>52005</v>
      </c>
      <c r="L497" s="15">
        <f>IFERROR(IF((K497/J497)&gt;1.3,1.3,K497/J497),"")</f>
        <v>1.0173851646479608</v>
      </c>
      <c r="M497" s="15">
        <f>IFERROR(K497/J497,"")</f>
        <v>1.0173851646479608</v>
      </c>
      <c r="N497" s="5" t="s">
        <v>490</v>
      </c>
      <c r="O497" s="5" t="s">
        <v>490</v>
      </c>
      <c r="P497" s="5">
        <v>0</v>
      </c>
      <c r="Q497" s="5">
        <v>0</v>
      </c>
      <c r="R497" s="5" t="str">
        <f>A497&amp;"-"&amp;YEAR(F497)&amp;"-"&amp;IF(LEN(MONTH(F497))=1,"0"&amp;MONTH(F497),MONTH(F497))&amp;"-"&amp;IF(LEN(DAY(F497))=1,"0"&amp;DAY(F497),DAY(F497))</f>
        <v>14-2024-12-31</v>
      </c>
    </row>
    <row r="498" spans="1:18" x14ac:dyDescent="0.3">
      <c r="A498" s="5">
        <v>68</v>
      </c>
      <c r="B498" s="5" t="s">
        <v>6</v>
      </c>
      <c r="C498" s="5" t="s">
        <v>7</v>
      </c>
      <c r="D498" s="5" t="s">
        <v>8</v>
      </c>
      <c r="E498" s="5" t="s">
        <v>9</v>
      </c>
      <c r="F498" s="6">
        <v>45657</v>
      </c>
      <c r="G498" s="5">
        <f t="shared" si="69"/>
        <v>2024</v>
      </c>
      <c r="H498" s="5" t="str">
        <f t="shared" si="70"/>
        <v>Diciembre</v>
      </c>
      <c r="I498" s="6" t="str">
        <f t="shared" si="71"/>
        <v>2024-2</v>
      </c>
      <c r="J498" s="5">
        <v>80</v>
      </c>
      <c r="K498" s="5">
        <v>86.75</v>
      </c>
      <c r="L498" s="15">
        <f>IFERROR(IF((K498/J498)&gt;1.3,1.3,K498/J498),"")</f>
        <v>1.0843750000000001</v>
      </c>
      <c r="M498" s="15">
        <f>IFERROR(K498/J498,"")</f>
        <v>1.0843750000000001</v>
      </c>
      <c r="N498" s="5" t="s">
        <v>347</v>
      </c>
      <c r="O498" s="5" t="s">
        <v>347</v>
      </c>
      <c r="P498" s="5">
        <v>0</v>
      </c>
      <c r="Q498" s="5">
        <v>1</v>
      </c>
      <c r="R498" s="5" t="str">
        <f>A498&amp;"-"&amp;YEAR(F498)&amp;"-"&amp;IF(LEN(MONTH(F498))=1,"0"&amp;MONTH(F498),MONTH(F498))&amp;"-"&amp;IF(LEN(DAY(F498))=1,"0"&amp;DAY(F498),DAY(F498))</f>
        <v>68-2024-12-31</v>
      </c>
    </row>
    <row r="499" spans="1:18" x14ac:dyDescent="0.3">
      <c r="A499" s="5">
        <v>69</v>
      </c>
      <c r="B499" s="5" t="s">
        <v>10</v>
      </c>
      <c r="C499" s="5" t="s">
        <v>7</v>
      </c>
      <c r="D499" s="5" t="s">
        <v>11</v>
      </c>
      <c r="E499" s="5" t="s">
        <v>9</v>
      </c>
      <c r="F499" s="6">
        <v>45657</v>
      </c>
      <c r="G499" s="5">
        <f t="shared" si="69"/>
        <v>2024</v>
      </c>
      <c r="H499" s="5" t="str">
        <f t="shared" si="70"/>
        <v>Diciembre</v>
      </c>
      <c r="I499" s="6" t="str">
        <f t="shared" si="71"/>
        <v>2024-2</v>
      </c>
      <c r="J499" s="5">
        <v>90</v>
      </c>
      <c r="K499" s="5">
        <v>91.204999999999998</v>
      </c>
      <c r="L499" s="15">
        <f>IFERROR(IF((K499/J499)&gt;1.3,1.3,K499/J499),"")</f>
        <v>1.0133888888888889</v>
      </c>
      <c r="M499" s="15">
        <f>IFERROR(K499/J499,"")</f>
        <v>1.0133888888888889</v>
      </c>
      <c r="N499" s="5" t="s">
        <v>347</v>
      </c>
      <c r="O499" s="5" t="s">
        <v>347</v>
      </c>
      <c r="P499" s="5">
        <v>0</v>
      </c>
      <c r="Q499" s="5">
        <v>1</v>
      </c>
      <c r="R499" s="5" t="str">
        <f>A499&amp;"-"&amp;YEAR(F499)&amp;"-"&amp;IF(LEN(MONTH(F499))=1,"0"&amp;MONTH(F499),MONTH(F499))&amp;"-"&amp;IF(LEN(DAY(F499))=1,"0"&amp;DAY(F499),DAY(F499))</f>
        <v>69-2024-12-31</v>
      </c>
    </row>
    <row r="500" spans="1:18" x14ac:dyDescent="0.3">
      <c r="A500" s="5">
        <v>73</v>
      </c>
      <c r="B500" s="5" t="s">
        <v>12</v>
      </c>
      <c r="C500" s="5" t="s">
        <v>13</v>
      </c>
      <c r="D500" s="5" t="s">
        <v>8</v>
      </c>
      <c r="E500" s="5" t="s">
        <v>14</v>
      </c>
      <c r="F500" s="6">
        <v>45657</v>
      </c>
      <c r="G500" s="5">
        <f t="shared" si="69"/>
        <v>2024</v>
      </c>
      <c r="H500" s="5" t="str">
        <f t="shared" si="70"/>
        <v>Diciembre</v>
      </c>
      <c r="I500" s="6" t="str">
        <f t="shared" si="71"/>
        <v>2024-2</v>
      </c>
      <c r="J500" s="5">
        <v>20</v>
      </c>
      <c r="K500" s="5">
        <v>18.5</v>
      </c>
      <c r="L500" s="15">
        <f>IFERROR(IF((J500/K500)&gt;1.3,1.3,J500/K500),"")</f>
        <v>1.0810810810810811</v>
      </c>
      <c r="M500" s="15">
        <f>IFERROR(IF((J500/K500)&gt;J500/K500,1.3,J500/K500),"")</f>
        <v>1.0810810810810811</v>
      </c>
      <c r="N500" s="5" t="s">
        <v>479</v>
      </c>
      <c r="O500" s="5" t="s">
        <v>479</v>
      </c>
      <c r="P500" s="5">
        <v>0</v>
      </c>
      <c r="Q500" s="5">
        <v>0</v>
      </c>
      <c r="R500" s="5" t="str">
        <f>A500&amp;"-"&amp;YEAR(F500)&amp;"-"&amp;IF(LEN(MONTH(F500))=1,"0"&amp;MONTH(F500),MONTH(F500))&amp;"-"&amp;IF(LEN(DAY(F500))=1,"0"&amp;DAY(F500),DAY(F500))</f>
        <v>73-2024-12-31</v>
      </c>
    </row>
    <row r="501" spans="1:18" x14ac:dyDescent="0.3">
      <c r="A501" s="5">
        <v>74</v>
      </c>
      <c r="B501" s="5" t="s">
        <v>15</v>
      </c>
      <c r="C501" s="5" t="s">
        <v>13</v>
      </c>
      <c r="D501" s="5" t="s">
        <v>8</v>
      </c>
      <c r="E501" s="5" t="s">
        <v>9</v>
      </c>
      <c r="F501" s="6">
        <v>45657</v>
      </c>
      <c r="G501" s="5">
        <f t="shared" si="69"/>
        <v>2024</v>
      </c>
      <c r="H501" s="5" t="str">
        <f t="shared" si="70"/>
        <v>Diciembre</v>
      </c>
      <c r="I501" s="6" t="str">
        <f t="shared" si="71"/>
        <v>2024-2</v>
      </c>
      <c r="J501" s="5">
        <v>80</v>
      </c>
      <c r="K501" s="5">
        <v>93.490000000000009</v>
      </c>
      <c r="L501" s="15">
        <f t="shared" ref="L501:L514" si="77">IFERROR(IF((K501/J501)&gt;1.3,1.3,K501/J501),"")</f>
        <v>1.168625</v>
      </c>
      <c r="M501" s="15">
        <f t="shared" ref="M501:M518" si="78">IFERROR(K501/J501,"")</f>
        <v>1.168625</v>
      </c>
      <c r="N501" s="5" t="s">
        <v>347</v>
      </c>
      <c r="O501" s="5" t="s">
        <v>347</v>
      </c>
      <c r="P501" s="5">
        <v>0</v>
      </c>
      <c r="Q501" s="5">
        <v>0</v>
      </c>
      <c r="R501" s="5" t="str">
        <f>A501&amp;"-"&amp;YEAR(F501)&amp;"-"&amp;IF(LEN(MONTH(F501))=1,"0"&amp;MONTH(F501),MONTH(F501))&amp;"-"&amp;IF(LEN(DAY(F501))=1,"0"&amp;DAY(F501),DAY(F501))</f>
        <v>74-2024-12-31</v>
      </c>
    </row>
    <row r="502" spans="1:18" x14ac:dyDescent="0.3">
      <c r="A502" s="5">
        <v>77</v>
      </c>
      <c r="B502" s="5" t="s">
        <v>16</v>
      </c>
      <c r="C502" s="5" t="s">
        <v>17</v>
      </c>
      <c r="D502" s="5" t="s">
        <v>18</v>
      </c>
      <c r="E502" s="5" t="s">
        <v>9</v>
      </c>
      <c r="F502" s="6">
        <v>45657</v>
      </c>
      <c r="G502" s="5">
        <f t="shared" si="69"/>
        <v>2024</v>
      </c>
      <c r="H502" s="5" t="str">
        <f t="shared" si="70"/>
        <v>Diciembre</v>
      </c>
      <c r="I502" s="6" t="str">
        <f t="shared" si="71"/>
        <v>2024-2</v>
      </c>
      <c r="J502" s="5">
        <v>97</v>
      </c>
      <c r="K502" s="5">
        <v>97.432500000000005</v>
      </c>
      <c r="L502" s="15">
        <f t="shared" si="77"/>
        <v>1.004458762886598</v>
      </c>
      <c r="M502" s="15">
        <f t="shared" si="78"/>
        <v>1.004458762886598</v>
      </c>
      <c r="N502" s="5" t="s">
        <v>347</v>
      </c>
      <c r="O502" s="5" t="s">
        <v>347</v>
      </c>
      <c r="P502" s="5">
        <v>0</v>
      </c>
      <c r="Q502" s="5">
        <v>1</v>
      </c>
      <c r="R502" s="5" t="str">
        <f>A502&amp;"-"&amp;YEAR(F502)&amp;"-"&amp;IF(LEN(MONTH(F502))=1,"0"&amp;MONTH(F502),MONTH(F502))&amp;"-"&amp;IF(LEN(DAY(F502))=1,"0"&amp;DAY(F502),DAY(F502))</f>
        <v>77-2024-12-31</v>
      </c>
    </row>
    <row r="503" spans="1:18" x14ac:dyDescent="0.3">
      <c r="A503" s="5">
        <v>78</v>
      </c>
      <c r="B503" s="5" t="s">
        <v>19</v>
      </c>
      <c r="C503" s="5" t="s">
        <v>20</v>
      </c>
      <c r="D503" s="5" t="s">
        <v>21</v>
      </c>
      <c r="E503" s="5" t="s">
        <v>9</v>
      </c>
      <c r="F503" s="6">
        <v>45657</v>
      </c>
      <c r="G503" s="5">
        <f t="shared" si="69"/>
        <v>2024</v>
      </c>
      <c r="H503" s="5" t="str">
        <f t="shared" si="70"/>
        <v>Diciembre</v>
      </c>
      <c r="I503" s="6" t="str">
        <f t="shared" si="71"/>
        <v>2024-2</v>
      </c>
      <c r="J503" s="5">
        <v>100</v>
      </c>
      <c r="K503" s="10">
        <v>112.5</v>
      </c>
      <c r="L503" s="15">
        <f t="shared" si="77"/>
        <v>1.125</v>
      </c>
      <c r="M503" s="15">
        <f t="shared" si="78"/>
        <v>1.125</v>
      </c>
      <c r="N503" s="5" t="s">
        <v>347</v>
      </c>
      <c r="O503" s="5" t="s">
        <v>347</v>
      </c>
      <c r="P503" s="5">
        <v>0</v>
      </c>
      <c r="Q503" s="5">
        <v>0</v>
      </c>
      <c r="R503" s="5" t="str">
        <f>A503&amp;"-"&amp;YEAR(F503)&amp;"-"&amp;IF(LEN(MONTH(F503))=1,"0"&amp;MONTH(F503),MONTH(F503))&amp;"-"&amp;IF(LEN(DAY(F503))=1,"0"&amp;DAY(F503),DAY(F503))</f>
        <v>78-2024-12-31</v>
      </c>
    </row>
    <row r="504" spans="1:18" x14ac:dyDescent="0.3">
      <c r="A504" s="5">
        <v>84</v>
      </c>
      <c r="B504" s="5" t="s">
        <v>23</v>
      </c>
      <c r="C504" s="5" t="s">
        <v>24</v>
      </c>
      <c r="D504" s="5" t="s">
        <v>25</v>
      </c>
      <c r="E504" s="5" t="s">
        <v>9</v>
      </c>
      <c r="F504" s="6">
        <v>45657</v>
      </c>
      <c r="G504" s="5">
        <f t="shared" si="69"/>
        <v>2024</v>
      </c>
      <c r="H504" s="5" t="str">
        <f t="shared" si="70"/>
        <v>Diciembre</v>
      </c>
      <c r="I504" s="6" t="str">
        <f t="shared" si="71"/>
        <v>2024-2</v>
      </c>
      <c r="J504" s="5">
        <v>100</v>
      </c>
      <c r="K504" s="5">
        <v>100</v>
      </c>
      <c r="L504" s="15">
        <f t="shared" si="77"/>
        <v>1</v>
      </c>
      <c r="M504" s="15">
        <f t="shared" si="78"/>
        <v>1</v>
      </c>
      <c r="N504" s="5" t="s">
        <v>347</v>
      </c>
      <c r="O504" s="5" t="s">
        <v>347</v>
      </c>
      <c r="P504" s="5">
        <v>0</v>
      </c>
      <c r="Q504" s="5">
        <v>0</v>
      </c>
      <c r="R504" s="5" t="str">
        <f>A504&amp;"-"&amp;YEAR(F504)&amp;"-"&amp;IF(LEN(MONTH(F504))=1,"0"&amp;MONTH(F504),MONTH(F504))&amp;"-"&amp;IF(LEN(DAY(F504))=1,"0"&amp;DAY(F504),DAY(F504))</f>
        <v>84-2024-12-31</v>
      </c>
    </row>
    <row r="505" spans="1:18" x14ac:dyDescent="0.3">
      <c r="A505" s="5">
        <v>85</v>
      </c>
      <c r="B505" s="5" t="s">
        <v>26</v>
      </c>
      <c r="C505" s="5" t="s">
        <v>24</v>
      </c>
      <c r="D505" s="5" t="s">
        <v>25</v>
      </c>
      <c r="E505" s="5" t="s">
        <v>9</v>
      </c>
      <c r="F505" s="6">
        <v>45657</v>
      </c>
      <c r="G505" s="5">
        <f t="shared" si="69"/>
        <v>2024</v>
      </c>
      <c r="H505" s="5" t="str">
        <f t="shared" si="70"/>
        <v>Diciembre</v>
      </c>
      <c r="I505" s="6" t="str">
        <f t="shared" si="71"/>
        <v>2024-2</v>
      </c>
      <c r="J505" s="5">
        <v>100</v>
      </c>
      <c r="K505" s="5">
        <v>100</v>
      </c>
      <c r="L505" s="15">
        <f t="shared" si="77"/>
        <v>1</v>
      </c>
      <c r="M505" s="15">
        <f t="shared" si="78"/>
        <v>1</v>
      </c>
      <c r="N505" s="5" t="s">
        <v>347</v>
      </c>
      <c r="O505" s="5" t="s">
        <v>347</v>
      </c>
      <c r="P505" s="5">
        <v>0</v>
      </c>
      <c r="Q505" s="5">
        <v>0</v>
      </c>
      <c r="R505" s="5" t="str">
        <f>A505&amp;"-"&amp;YEAR(F505)&amp;"-"&amp;IF(LEN(MONTH(F505))=1,"0"&amp;MONTH(F505),MONTH(F505))&amp;"-"&amp;IF(LEN(DAY(F505))=1,"0"&amp;DAY(F505),DAY(F505))</f>
        <v>85-2024-12-31</v>
      </c>
    </row>
    <row r="506" spans="1:18" x14ac:dyDescent="0.3">
      <c r="A506" s="5">
        <v>86</v>
      </c>
      <c r="B506" s="5" t="s">
        <v>27</v>
      </c>
      <c r="C506" s="5" t="s">
        <v>24</v>
      </c>
      <c r="D506" s="5" t="s">
        <v>8</v>
      </c>
      <c r="E506" s="5" t="s">
        <v>9</v>
      </c>
      <c r="F506" s="6">
        <v>45657</v>
      </c>
      <c r="G506" s="5">
        <f t="shared" si="69"/>
        <v>2024</v>
      </c>
      <c r="H506" s="5" t="str">
        <f t="shared" si="70"/>
        <v>Diciembre</v>
      </c>
      <c r="I506" s="6" t="str">
        <f t="shared" si="71"/>
        <v>2024-2</v>
      </c>
      <c r="J506" s="5">
        <v>100</v>
      </c>
      <c r="K506" s="5">
        <v>100</v>
      </c>
      <c r="L506" s="15">
        <f t="shared" si="77"/>
        <v>1</v>
      </c>
      <c r="M506" s="15">
        <f t="shared" si="78"/>
        <v>1</v>
      </c>
      <c r="N506" s="5" t="s">
        <v>347</v>
      </c>
      <c r="O506" s="5" t="s">
        <v>347</v>
      </c>
      <c r="P506" s="5">
        <v>0</v>
      </c>
      <c r="Q506" s="5">
        <v>0</v>
      </c>
      <c r="R506" s="5" t="str">
        <f>A506&amp;"-"&amp;YEAR(F506)&amp;"-"&amp;IF(LEN(MONTH(F506))=1,"0"&amp;MONTH(F506),MONTH(F506))&amp;"-"&amp;IF(LEN(DAY(F506))=1,"0"&amp;DAY(F506),DAY(F506))</f>
        <v>86-2024-12-31</v>
      </c>
    </row>
    <row r="507" spans="1:18" x14ac:dyDescent="0.3">
      <c r="A507" s="5">
        <v>87</v>
      </c>
      <c r="B507" s="5" t="s">
        <v>28</v>
      </c>
      <c r="C507" s="5" t="s">
        <v>24</v>
      </c>
      <c r="D507" s="5" t="s">
        <v>25</v>
      </c>
      <c r="E507" s="5" t="s">
        <v>9</v>
      </c>
      <c r="F507" s="6">
        <v>45657</v>
      </c>
      <c r="G507" s="5">
        <f t="shared" si="69"/>
        <v>2024</v>
      </c>
      <c r="H507" s="5" t="str">
        <f t="shared" si="70"/>
        <v>Diciembre</v>
      </c>
      <c r="I507" s="6" t="str">
        <f t="shared" si="71"/>
        <v>2024-2</v>
      </c>
      <c r="J507" s="5" t="s">
        <v>417</v>
      </c>
      <c r="K507" s="5" t="s">
        <v>417</v>
      </c>
      <c r="L507" s="15" t="str">
        <f t="shared" si="77"/>
        <v/>
      </c>
      <c r="M507" s="15" t="str">
        <f t="shared" si="78"/>
        <v/>
      </c>
      <c r="N507" s="5" t="s">
        <v>347</v>
      </c>
      <c r="O507" s="5" t="s">
        <v>347</v>
      </c>
      <c r="P507" s="5">
        <v>0</v>
      </c>
      <c r="Q507" s="5">
        <v>0</v>
      </c>
      <c r="R507" s="5" t="str">
        <f>A507&amp;"-"&amp;YEAR(F507)&amp;"-"&amp;IF(LEN(MONTH(F507))=1,"0"&amp;MONTH(F507),MONTH(F507))&amp;"-"&amp;IF(LEN(DAY(F507))=1,"0"&amp;DAY(F507),DAY(F507))</f>
        <v>87-2024-12-31</v>
      </c>
    </row>
    <row r="508" spans="1:18" x14ac:dyDescent="0.3">
      <c r="A508" s="5">
        <v>88</v>
      </c>
      <c r="B508" s="5" t="s">
        <v>29</v>
      </c>
      <c r="C508" s="5" t="s">
        <v>24</v>
      </c>
      <c r="D508" s="5" t="s">
        <v>25</v>
      </c>
      <c r="E508" s="5" t="s">
        <v>9</v>
      </c>
      <c r="F508" s="6">
        <v>45657</v>
      </c>
      <c r="G508" s="5">
        <f t="shared" si="69"/>
        <v>2024</v>
      </c>
      <c r="H508" s="5" t="str">
        <f t="shared" ref="H508:H571" si="79">PROPER(TEXT(F508,"mmmm"))</f>
        <v>Diciembre</v>
      </c>
      <c r="I508" s="6" t="str">
        <f t="shared" ref="I508:I571" si="80">IF(OR(H508="Enero",H508="Febrero",H508="Marzo",H508="Abril",H508="Mayo",H508="Junio"),G508&amp;"-1",IF(OR(H508="Julio",H508="Agosto",H508="Septiembre",H508="Octubre",H508="Noviembre",H508="Diciembre"),G508&amp;"-2"))</f>
        <v>2024-2</v>
      </c>
      <c r="J508" s="5">
        <v>100</v>
      </c>
      <c r="K508" s="5">
        <v>100</v>
      </c>
      <c r="L508" s="15">
        <f t="shared" si="77"/>
        <v>1</v>
      </c>
      <c r="M508" s="15">
        <f t="shared" si="78"/>
        <v>1</v>
      </c>
      <c r="N508" s="5" t="s">
        <v>347</v>
      </c>
      <c r="O508" s="5" t="s">
        <v>347</v>
      </c>
      <c r="P508" s="5">
        <v>0</v>
      </c>
      <c r="Q508" s="5">
        <v>0</v>
      </c>
      <c r="R508" s="5" t="str">
        <f>A508&amp;"-"&amp;YEAR(F508)&amp;"-"&amp;IF(LEN(MONTH(F508))=1,"0"&amp;MONTH(F508),MONTH(F508))&amp;"-"&amp;IF(LEN(DAY(F508))=1,"0"&amp;DAY(F508),DAY(F508))</f>
        <v>88-2024-12-31</v>
      </c>
    </row>
    <row r="509" spans="1:18" x14ac:dyDescent="0.3">
      <c r="A509" s="5">
        <v>89</v>
      </c>
      <c r="B509" s="5" t="s">
        <v>30</v>
      </c>
      <c r="C509" s="5" t="s">
        <v>24</v>
      </c>
      <c r="D509" s="5" t="s">
        <v>25</v>
      </c>
      <c r="E509" s="5" t="s">
        <v>9</v>
      </c>
      <c r="F509" s="6">
        <v>45657</v>
      </c>
      <c r="G509" s="5">
        <f t="shared" si="69"/>
        <v>2024</v>
      </c>
      <c r="H509" s="5" t="str">
        <f t="shared" si="79"/>
        <v>Diciembre</v>
      </c>
      <c r="I509" s="6" t="str">
        <f t="shared" si="80"/>
        <v>2024-2</v>
      </c>
      <c r="J509" s="5">
        <v>100</v>
      </c>
      <c r="K509" s="5">
        <v>100</v>
      </c>
      <c r="L509" s="15">
        <f t="shared" si="77"/>
        <v>1</v>
      </c>
      <c r="M509" s="15">
        <f t="shared" si="78"/>
        <v>1</v>
      </c>
      <c r="N509" s="5" t="s">
        <v>347</v>
      </c>
      <c r="O509" s="5" t="s">
        <v>347</v>
      </c>
      <c r="P509" s="5">
        <v>0</v>
      </c>
      <c r="Q509" s="5">
        <v>0</v>
      </c>
      <c r="R509" s="5" t="str">
        <f>A509&amp;"-"&amp;YEAR(F509)&amp;"-"&amp;IF(LEN(MONTH(F509))=1,"0"&amp;MONTH(F509),MONTH(F509))&amp;"-"&amp;IF(LEN(DAY(F509))=1,"0"&amp;DAY(F509),DAY(F509))</f>
        <v>89-2024-12-31</v>
      </c>
    </row>
    <row r="510" spans="1:18" x14ac:dyDescent="0.3">
      <c r="A510" s="5">
        <v>90</v>
      </c>
      <c r="B510" s="5" t="s">
        <v>31</v>
      </c>
      <c r="C510" s="5" t="s">
        <v>24</v>
      </c>
      <c r="D510" s="5" t="s">
        <v>25</v>
      </c>
      <c r="E510" s="5" t="s">
        <v>9</v>
      </c>
      <c r="F510" s="6">
        <v>45657</v>
      </c>
      <c r="G510" s="5">
        <f t="shared" si="69"/>
        <v>2024</v>
      </c>
      <c r="H510" s="5" t="str">
        <f t="shared" si="79"/>
        <v>Diciembre</v>
      </c>
      <c r="I510" s="6" t="str">
        <f t="shared" si="80"/>
        <v>2024-2</v>
      </c>
      <c r="J510" s="5">
        <v>100</v>
      </c>
      <c r="K510" s="5">
        <v>100</v>
      </c>
      <c r="L510" s="15">
        <f t="shared" si="77"/>
        <v>1</v>
      </c>
      <c r="M510" s="15">
        <f t="shared" si="78"/>
        <v>1</v>
      </c>
      <c r="N510" s="5" t="s">
        <v>347</v>
      </c>
      <c r="O510" s="5" t="s">
        <v>347</v>
      </c>
      <c r="P510" s="5">
        <v>0</v>
      </c>
      <c r="Q510" s="5">
        <v>0</v>
      </c>
      <c r="R510" s="5" t="str">
        <f>A510&amp;"-"&amp;YEAR(F510)&amp;"-"&amp;IF(LEN(MONTH(F510))=1,"0"&amp;MONTH(F510),MONTH(F510))&amp;"-"&amp;IF(LEN(DAY(F510))=1,"0"&amp;DAY(F510),DAY(F510))</f>
        <v>90-2024-12-31</v>
      </c>
    </row>
    <row r="511" spans="1:18" x14ac:dyDescent="0.3">
      <c r="A511" s="5">
        <v>91</v>
      </c>
      <c r="B511" s="5" t="s">
        <v>32</v>
      </c>
      <c r="C511" s="5" t="s">
        <v>24</v>
      </c>
      <c r="D511" s="5" t="s">
        <v>25</v>
      </c>
      <c r="E511" s="5" t="s">
        <v>9</v>
      </c>
      <c r="F511" s="6">
        <v>45657</v>
      </c>
      <c r="G511" s="5">
        <f t="shared" si="69"/>
        <v>2024</v>
      </c>
      <c r="H511" s="5" t="str">
        <f t="shared" si="79"/>
        <v>Diciembre</v>
      </c>
      <c r="I511" s="6" t="str">
        <f t="shared" si="80"/>
        <v>2024-2</v>
      </c>
      <c r="J511" s="5">
        <v>100</v>
      </c>
      <c r="K511" s="5">
        <v>100</v>
      </c>
      <c r="L511" s="15">
        <f t="shared" si="77"/>
        <v>1</v>
      </c>
      <c r="M511" s="15">
        <f t="shared" si="78"/>
        <v>1</v>
      </c>
      <c r="N511" s="5" t="s">
        <v>347</v>
      </c>
      <c r="O511" s="5" t="s">
        <v>347</v>
      </c>
      <c r="P511" s="5">
        <v>0</v>
      </c>
      <c r="Q511" s="5">
        <v>0</v>
      </c>
      <c r="R511" s="5" t="str">
        <f>A511&amp;"-"&amp;YEAR(F511)&amp;"-"&amp;IF(LEN(MONTH(F511))=1,"0"&amp;MONTH(F511),MONTH(F511))&amp;"-"&amp;IF(LEN(DAY(F511))=1,"0"&amp;DAY(F511),DAY(F511))</f>
        <v>91-2024-12-31</v>
      </c>
    </row>
    <row r="512" spans="1:18" x14ac:dyDescent="0.3">
      <c r="A512" s="5">
        <v>92</v>
      </c>
      <c r="B512" s="5" t="s">
        <v>33</v>
      </c>
      <c r="C512" s="5" t="s">
        <v>24</v>
      </c>
      <c r="D512" s="5" t="s">
        <v>25</v>
      </c>
      <c r="E512" s="5" t="s">
        <v>9</v>
      </c>
      <c r="F512" s="6">
        <v>45657</v>
      </c>
      <c r="G512" s="5">
        <f t="shared" si="69"/>
        <v>2024</v>
      </c>
      <c r="H512" s="5" t="str">
        <f t="shared" si="79"/>
        <v>Diciembre</v>
      </c>
      <c r="I512" s="6" t="str">
        <f t="shared" si="80"/>
        <v>2024-2</v>
      </c>
      <c r="J512" s="5">
        <v>98</v>
      </c>
      <c r="K512" s="5">
        <v>100</v>
      </c>
      <c r="L512" s="15">
        <f t="shared" si="77"/>
        <v>1.0204081632653061</v>
      </c>
      <c r="M512" s="15">
        <f t="shared" si="78"/>
        <v>1.0204081632653061</v>
      </c>
      <c r="N512" s="5" t="s">
        <v>347</v>
      </c>
      <c r="O512" s="5" t="s">
        <v>347</v>
      </c>
      <c r="P512" s="5">
        <v>0</v>
      </c>
      <c r="Q512" s="5">
        <v>0</v>
      </c>
      <c r="R512" s="5" t="str">
        <f>A512&amp;"-"&amp;YEAR(F512)&amp;"-"&amp;IF(LEN(MONTH(F512))=1,"0"&amp;MONTH(F512),MONTH(F512))&amp;"-"&amp;IF(LEN(DAY(F512))=1,"0"&amp;DAY(F512),DAY(F512))</f>
        <v>92-2024-12-31</v>
      </c>
    </row>
    <row r="513" spans="1:18" x14ac:dyDescent="0.3">
      <c r="A513" s="5">
        <v>94</v>
      </c>
      <c r="B513" s="5" t="s">
        <v>34</v>
      </c>
      <c r="C513" s="5" t="s">
        <v>24</v>
      </c>
      <c r="D513" s="5" t="s">
        <v>25</v>
      </c>
      <c r="E513" s="5" t="s">
        <v>9</v>
      </c>
      <c r="F513" s="6">
        <v>45657</v>
      </c>
      <c r="G513" s="5">
        <f t="shared" ref="G513:G576" si="81">YEAR(F513)</f>
        <v>2024</v>
      </c>
      <c r="H513" s="5" t="str">
        <f t="shared" si="79"/>
        <v>Diciembre</v>
      </c>
      <c r="I513" s="6" t="str">
        <f t="shared" si="80"/>
        <v>2024-2</v>
      </c>
      <c r="J513" s="5">
        <v>100</v>
      </c>
      <c r="K513" s="5">
        <v>100</v>
      </c>
      <c r="L513" s="15">
        <f t="shared" si="77"/>
        <v>1</v>
      </c>
      <c r="M513" s="15">
        <f t="shared" si="78"/>
        <v>1</v>
      </c>
      <c r="N513" s="5" t="s">
        <v>347</v>
      </c>
      <c r="O513" s="5" t="s">
        <v>347</v>
      </c>
      <c r="P513" s="5">
        <v>0</v>
      </c>
      <c r="Q513" s="5">
        <v>0</v>
      </c>
      <c r="R513" s="5" t="str">
        <f>A513&amp;"-"&amp;YEAR(F513)&amp;"-"&amp;IF(LEN(MONTH(F513))=1,"0"&amp;MONTH(F513),MONTH(F513))&amp;"-"&amp;IF(LEN(DAY(F513))=1,"0"&amp;DAY(F513),DAY(F513))</f>
        <v>94-2024-12-31</v>
      </c>
    </row>
    <row r="514" spans="1:18" x14ac:dyDescent="0.3">
      <c r="A514" s="5">
        <v>95</v>
      </c>
      <c r="B514" s="5" t="s">
        <v>35</v>
      </c>
      <c r="C514" s="5" t="s">
        <v>24</v>
      </c>
      <c r="D514" s="5" t="s">
        <v>8</v>
      </c>
      <c r="E514" s="5" t="s">
        <v>9</v>
      </c>
      <c r="F514" s="6">
        <v>45657</v>
      </c>
      <c r="G514" s="5">
        <f t="shared" si="81"/>
        <v>2024</v>
      </c>
      <c r="H514" s="5" t="str">
        <f t="shared" si="79"/>
        <v>Diciembre</v>
      </c>
      <c r="I514" s="6" t="str">
        <f t="shared" si="80"/>
        <v>2024-2</v>
      </c>
      <c r="J514" s="5">
        <v>100</v>
      </c>
      <c r="K514" s="5">
        <v>100</v>
      </c>
      <c r="L514" s="15">
        <f t="shared" si="77"/>
        <v>1</v>
      </c>
      <c r="M514" s="15">
        <f t="shared" si="78"/>
        <v>1</v>
      </c>
      <c r="N514" s="5" t="s">
        <v>347</v>
      </c>
      <c r="O514" s="5" t="s">
        <v>347</v>
      </c>
      <c r="P514" s="5">
        <v>0</v>
      </c>
      <c r="Q514" s="5">
        <v>0</v>
      </c>
      <c r="R514" s="5" t="str">
        <f>A514&amp;"-"&amp;YEAR(F514)&amp;"-"&amp;IF(LEN(MONTH(F514))=1,"0"&amp;MONTH(F514),MONTH(F514))&amp;"-"&amp;IF(LEN(DAY(F514))=1,"0"&amp;DAY(F514),DAY(F514))</f>
        <v>95-2024-12-31</v>
      </c>
    </row>
    <row r="515" spans="1:18" x14ac:dyDescent="0.3">
      <c r="A515" s="5">
        <v>96</v>
      </c>
      <c r="B515" s="23" t="s">
        <v>547</v>
      </c>
      <c r="C515" s="5" t="s">
        <v>59</v>
      </c>
      <c r="D515" s="5" t="s">
        <v>8</v>
      </c>
      <c r="E515" s="5" t="s">
        <v>9</v>
      </c>
      <c r="F515" s="6">
        <v>45657</v>
      </c>
      <c r="G515" s="16">
        <f t="shared" si="81"/>
        <v>2024</v>
      </c>
      <c r="H515" s="6" t="str">
        <f t="shared" si="79"/>
        <v>Diciembre</v>
      </c>
      <c r="I515" s="6" t="str">
        <f t="shared" si="80"/>
        <v>2024-2</v>
      </c>
      <c r="J515" s="5">
        <v>672</v>
      </c>
      <c r="K515" s="5">
        <v>740</v>
      </c>
      <c r="L515" s="15">
        <f>IFERROR(IF((K515/J515)&gt;1,1,K515/J515),"")</f>
        <v>1</v>
      </c>
      <c r="M515" s="15">
        <f t="shared" si="78"/>
        <v>1.1011904761904763</v>
      </c>
      <c r="N515" s="5" t="s">
        <v>490</v>
      </c>
      <c r="O515" s="5" t="s">
        <v>490</v>
      </c>
      <c r="P515" s="5">
        <v>0</v>
      </c>
      <c r="Q515" s="5">
        <v>0</v>
      </c>
      <c r="R515" s="5" t="str">
        <f>A515&amp;"-"&amp;YEAR(F515)&amp;"-"&amp;IF(LEN(MONTH(F515))=1,"0"&amp;MONTH(F515),MONTH(F515))&amp;"-"&amp;IF(LEN(DAY(F515))=1,"0"&amp;DAY(F515),DAY(F515))</f>
        <v>96-2024-12-31</v>
      </c>
    </row>
    <row r="516" spans="1:18" x14ac:dyDescent="0.3">
      <c r="A516" s="5">
        <v>97</v>
      </c>
      <c r="B516" s="5" t="s">
        <v>430</v>
      </c>
      <c r="C516" s="5" t="s">
        <v>315</v>
      </c>
      <c r="D516" s="5" t="s">
        <v>8</v>
      </c>
      <c r="E516" s="5" t="s">
        <v>9</v>
      </c>
      <c r="F516" s="17">
        <v>45657</v>
      </c>
      <c r="G516" s="16">
        <f t="shared" si="81"/>
        <v>2024</v>
      </c>
      <c r="H516" s="6" t="str">
        <f t="shared" si="79"/>
        <v>Diciembre</v>
      </c>
      <c r="I516" s="6" t="str">
        <f t="shared" si="80"/>
        <v>2024-2</v>
      </c>
      <c r="J516" s="5">
        <v>0</v>
      </c>
      <c r="K516" s="5">
        <v>0</v>
      </c>
      <c r="L516" s="15" t="str">
        <f>IFERROR(IF((K516/J516)&gt;1.3,1.3,K516/J516),"")</f>
        <v/>
      </c>
      <c r="M516" s="15" t="str">
        <f t="shared" si="78"/>
        <v/>
      </c>
      <c r="N516" s="5" t="s">
        <v>490</v>
      </c>
      <c r="O516" s="5" t="s">
        <v>490</v>
      </c>
      <c r="P516" s="5">
        <v>0</v>
      </c>
      <c r="Q516" s="5">
        <v>0</v>
      </c>
      <c r="R516" s="5" t="str">
        <f>A516&amp;"-"&amp;YEAR(F516)&amp;"-"&amp;IF(LEN(MONTH(F516))=1,"0"&amp;MONTH(F516),MONTH(F516))&amp;"-"&amp;IF(LEN(DAY(F516))=1,"0"&amp;DAY(F516),DAY(F516))</f>
        <v>97-2024-12-31</v>
      </c>
    </row>
    <row r="517" spans="1:18" x14ac:dyDescent="0.3">
      <c r="A517" s="5">
        <v>98</v>
      </c>
      <c r="B517" s="5" t="s">
        <v>432</v>
      </c>
      <c r="C517" s="5" t="s">
        <v>315</v>
      </c>
      <c r="D517" s="5" t="s">
        <v>8</v>
      </c>
      <c r="E517" s="5" t="s">
        <v>9</v>
      </c>
      <c r="F517" s="17">
        <v>45657</v>
      </c>
      <c r="G517" s="16">
        <f t="shared" si="81"/>
        <v>2024</v>
      </c>
      <c r="H517" s="6" t="str">
        <f t="shared" si="79"/>
        <v>Diciembre</v>
      </c>
      <c r="I517" s="6" t="str">
        <f t="shared" si="80"/>
        <v>2024-2</v>
      </c>
      <c r="J517" s="5">
        <v>5</v>
      </c>
      <c r="K517" s="5">
        <v>5</v>
      </c>
      <c r="L517" s="15">
        <f>IFERROR(IF((K517/J517)&gt;1.3,1.3,K517/J517),"")</f>
        <v>1</v>
      </c>
      <c r="M517" s="15">
        <f t="shared" si="78"/>
        <v>1</v>
      </c>
      <c r="N517" s="5" t="s">
        <v>490</v>
      </c>
      <c r="O517" s="5" t="s">
        <v>490</v>
      </c>
      <c r="P517" s="5">
        <v>0</v>
      </c>
      <c r="Q517" s="5">
        <v>0</v>
      </c>
      <c r="R517" s="5" t="str">
        <f>A517&amp;"-"&amp;YEAR(F517)&amp;"-"&amp;IF(LEN(MONTH(F517))=1,"0"&amp;MONTH(F517),MONTH(F517))&amp;"-"&amp;IF(LEN(DAY(F517))=1,"0"&amp;DAY(F517),DAY(F517))</f>
        <v>98-2024-12-31</v>
      </c>
    </row>
    <row r="518" spans="1:18" x14ac:dyDescent="0.3">
      <c r="A518" s="5">
        <v>100</v>
      </c>
      <c r="B518" s="5" t="s">
        <v>36</v>
      </c>
      <c r="C518" s="5" t="s">
        <v>24</v>
      </c>
      <c r="D518" s="5" t="s">
        <v>25</v>
      </c>
      <c r="E518" s="5" t="s">
        <v>9</v>
      </c>
      <c r="F518" s="6">
        <v>45657</v>
      </c>
      <c r="G518" s="5">
        <f t="shared" si="81"/>
        <v>2024</v>
      </c>
      <c r="H518" s="5" t="str">
        <f t="shared" si="79"/>
        <v>Diciembre</v>
      </c>
      <c r="I518" s="6" t="str">
        <f t="shared" si="80"/>
        <v>2024-2</v>
      </c>
      <c r="J518" s="5">
        <v>100</v>
      </c>
      <c r="K518" s="5">
        <v>99</v>
      </c>
      <c r="L518" s="15">
        <f>IFERROR(IF((K518/J518)&gt;1.3,1.3,K518/J518),"")</f>
        <v>0.99</v>
      </c>
      <c r="M518" s="15">
        <f t="shared" si="78"/>
        <v>0.99</v>
      </c>
      <c r="N518" s="5" t="s">
        <v>347</v>
      </c>
      <c r="O518" s="5" t="s">
        <v>347</v>
      </c>
      <c r="P518" s="5">
        <v>0</v>
      </c>
      <c r="Q518" s="5">
        <v>0</v>
      </c>
      <c r="R518" s="5" t="str">
        <f>A518&amp;"-"&amp;YEAR(F518)&amp;"-"&amp;IF(LEN(MONTH(F518))=1,"0"&amp;MONTH(F518),MONTH(F518))&amp;"-"&amp;IF(LEN(DAY(F518))=1,"0"&amp;DAY(F518),DAY(F518))</f>
        <v>100-2024-12-31</v>
      </c>
    </row>
    <row r="519" spans="1:18" x14ac:dyDescent="0.3">
      <c r="A519" s="5">
        <v>104</v>
      </c>
      <c r="B519" s="5" t="s">
        <v>37</v>
      </c>
      <c r="C519" s="5" t="s">
        <v>24</v>
      </c>
      <c r="D519" s="5" t="s">
        <v>25</v>
      </c>
      <c r="E519" s="5" t="s">
        <v>14</v>
      </c>
      <c r="F519" s="6">
        <v>45657</v>
      </c>
      <c r="G519" s="5">
        <f t="shared" si="81"/>
        <v>2024</v>
      </c>
      <c r="H519" s="5" t="str">
        <f t="shared" si="79"/>
        <v>Diciembre</v>
      </c>
      <c r="I519" s="6" t="str">
        <f t="shared" si="80"/>
        <v>2024-2</v>
      </c>
      <c r="J519" s="5">
        <v>1.2</v>
      </c>
      <c r="K519" s="5">
        <v>0.11</v>
      </c>
      <c r="L519" s="8">
        <v>1</v>
      </c>
      <c r="M519" s="15">
        <v>1</v>
      </c>
      <c r="N519" s="5" t="s">
        <v>478</v>
      </c>
      <c r="O519" s="5" t="s">
        <v>478</v>
      </c>
      <c r="P519" s="5">
        <v>1</v>
      </c>
      <c r="Q519" s="5">
        <v>2</v>
      </c>
      <c r="R519" s="5" t="str">
        <f>A519&amp;"-"&amp;YEAR(F519)&amp;"-"&amp;IF(LEN(MONTH(F519))=1,"0"&amp;MONTH(F519),MONTH(F519))&amp;"-"&amp;IF(LEN(DAY(F519))=1,"0"&amp;DAY(F519),DAY(F519))</f>
        <v>104-2024-12-31</v>
      </c>
    </row>
    <row r="520" spans="1:18" x14ac:dyDescent="0.3">
      <c r="A520" s="5">
        <v>106</v>
      </c>
      <c r="B520" s="5" t="s">
        <v>38</v>
      </c>
      <c r="C520" s="5" t="s">
        <v>24</v>
      </c>
      <c r="D520" s="5" t="s">
        <v>25</v>
      </c>
      <c r="E520" s="5" t="s">
        <v>14</v>
      </c>
      <c r="F520" s="6">
        <v>45657</v>
      </c>
      <c r="G520" s="5">
        <f t="shared" si="81"/>
        <v>2024</v>
      </c>
      <c r="H520" s="5" t="str">
        <f t="shared" si="79"/>
        <v>Diciembre</v>
      </c>
      <c r="I520" s="6" t="str">
        <f t="shared" si="80"/>
        <v>2024-2</v>
      </c>
      <c r="J520" s="9">
        <v>1.0000000000000001E-5</v>
      </c>
      <c r="K520" s="9">
        <v>1.0000000000000001E-5</v>
      </c>
      <c r="L520" s="15">
        <f t="shared" ref="L520:L526" si="82">IFERROR(IF((K520/J520)&gt;1.3,1.3,K520/J520),"")</f>
        <v>1</v>
      </c>
      <c r="M520" s="15">
        <f t="shared" ref="M520:M526" si="83">IFERROR(K520/J520,"")</f>
        <v>1</v>
      </c>
      <c r="N520" s="5" t="s">
        <v>478</v>
      </c>
      <c r="O520" s="5" t="s">
        <v>478</v>
      </c>
      <c r="P520" s="5">
        <v>0</v>
      </c>
      <c r="Q520" s="5">
        <v>0</v>
      </c>
      <c r="R520" s="5" t="str">
        <f>A520&amp;"-"&amp;YEAR(F520)&amp;"-"&amp;IF(LEN(MONTH(F520))=1,"0"&amp;MONTH(F520),MONTH(F520))&amp;"-"&amp;IF(LEN(DAY(F520))=1,"0"&amp;DAY(F520),DAY(F520))</f>
        <v>106-2024-12-31</v>
      </c>
    </row>
    <row r="521" spans="1:18" x14ac:dyDescent="0.3">
      <c r="A521" s="5">
        <v>108</v>
      </c>
      <c r="B521" s="5" t="s">
        <v>39</v>
      </c>
      <c r="C521" s="5" t="s">
        <v>40</v>
      </c>
      <c r="D521" s="5" t="s">
        <v>25</v>
      </c>
      <c r="E521" s="5" t="s">
        <v>9</v>
      </c>
      <c r="F521" s="6">
        <v>45657</v>
      </c>
      <c r="G521" s="5">
        <f t="shared" si="81"/>
        <v>2024</v>
      </c>
      <c r="H521" s="5" t="str">
        <f t="shared" si="79"/>
        <v>Diciembre</v>
      </c>
      <c r="I521" s="6" t="str">
        <f t="shared" si="80"/>
        <v>2024-2</v>
      </c>
      <c r="J521" s="5" t="s">
        <v>417</v>
      </c>
      <c r="K521" s="5" t="s">
        <v>417</v>
      </c>
      <c r="L521" s="15" t="str">
        <f t="shared" si="82"/>
        <v/>
      </c>
      <c r="M521" s="15" t="str">
        <f t="shared" si="83"/>
        <v/>
      </c>
      <c r="N521" s="5" t="s">
        <v>347</v>
      </c>
      <c r="O521" s="5" t="s">
        <v>347</v>
      </c>
      <c r="P521" s="5">
        <v>0</v>
      </c>
      <c r="Q521" s="5">
        <v>0</v>
      </c>
      <c r="R521" s="5" t="str">
        <f>A521&amp;"-"&amp;YEAR(F521)&amp;"-"&amp;IF(LEN(MONTH(F521))=1,"0"&amp;MONTH(F521),MONTH(F521))&amp;"-"&amp;IF(LEN(DAY(F521))=1,"0"&amp;DAY(F521),DAY(F521))</f>
        <v>108-2024-12-31</v>
      </c>
    </row>
    <row r="522" spans="1:18" x14ac:dyDescent="0.3">
      <c r="A522" s="5">
        <v>109</v>
      </c>
      <c r="B522" s="5" t="s">
        <v>840</v>
      </c>
      <c r="C522" s="5" t="s">
        <v>320</v>
      </c>
      <c r="D522" s="5" t="s">
        <v>25</v>
      </c>
      <c r="E522" s="5" t="s">
        <v>9</v>
      </c>
      <c r="F522" s="6">
        <v>45657</v>
      </c>
      <c r="G522" s="5">
        <f t="shared" si="81"/>
        <v>2024</v>
      </c>
      <c r="H522" s="5" t="str">
        <f t="shared" si="79"/>
        <v>Diciembre</v>
      </c>
      <c r="I522" s="6" t="str">
        <f t="shared" si="80"/>
        <v>2024-2</v>
      </c>
      <c r="J522" s="5">
        <v>80</v>
      </c>
      <c r="K522" s="5">
        <v>85</v>
      </c>
      <c r="L522" s="15">
        <f t="shared" si="82"/>
        <v>1.0625</v>
      </c>
      <c r="M522" s="15">
        <f t="shared" si="83"/>
        <v>1.0625</v>
      </c>
      <c r="N522" s="5" t="s">
        <v>347</v>
      </c>
      <c r="O522" s="5" t="s">
        <v>347</v>
      </c>
      <c r="P522" s="5">
        <v>0</v>
      </c>
      <c r="Q522" s="5">
        <v>0</v>
      </c>
      <c r="R522" s="5" t="str">
        <f>A522&amp;"-"&amp;YEAR(F522)&amp;"-"&amp;IF(LEN(MONTH(F522))=1,"0"&amp;MONTH(F522),MONTH(F522))&amp;"-"&amp;IF(LEN(DAY(F522))=1,"0"&amp;DAY(F522),DAY(F522))</f>
        <v>109-2024-12-31</v>
      </c>
    </row>
    <row r="523" spans="1:18" x14ac:dyDescent="0.3">
      <c r="A523" s="5">
        <v>111</v>
      </c>
      <c r="B523" s="5" t="s">
        <v>39</v>
      </c>
      <c r="C523" s="5" t="s">
        <v>7</v>
      </c>
      <c r="D523" s="5" t="s">
        <v>11</v>
      </c>
      <c r="E523" s="5" t="s">
        <v>9</v>
      </c>
      <c r="F523" s="6">
        <v>45657</v>
      </c>
      <c r="G523" s="5">
        <f t="shared" si="81"/>
        <v>2024</v>
      </c>
      <c r="H523" s="5" t="str">
        <f t="shared" si="79"/>
        <v>Diciembre</v>
      </c>
      <c r="I523" s="6" t="str">
        <f t="shared" si="80"/>
        <v>2024-2</v>
      </c>
      <c r="J523" s="5">
        <v>80</v>
      </c>
      <c r="K523" s="10">
        <v>92.674999999999997</v>
      </c>
      <c r="L523" s="15">
        <f t="shared" si="82"/>
        <v>1.1584375</v>
      </c>
      <c r="M523" s="15">
        <f t="shared" si="83"/>
        <v>1.1584375</v>
      </c>
      <c r="N523" s="5" t="s">
        <v>347</v>
      </c>
      <c r="O523" s="5" t="s">
        <v>347</v>
      </c>
      <c r="P523" s="5">
        <v>0</v>
      </c>
      <c r="Q523" s="5">
        <v>0</v>
      </c>
      <c r="R523" s="5" t="str">
        <f>A523&amp;"-"&amp;YEAR(F523)&amp;"-"&amp;IF(LEN(MONTH(F523))=1,"0"&amp;MONTH(F523),MONTH(F523))&amp;"-"&amp;IF(LEN(DAY(F523))=1,"0"&amp;DAY(F523),DAY(F523))</f>
        <v>111-2024-12-31</v>
      </c>
    </row>
    <row r="524" spans="1:18" x14ac:dyDescent="0.3">
      <c r="A524" s="5">
        <v>115</v>
      </c>
      <c r="B524" s="5" t="s">
        <v>39</v>
      </c>
      <c r="C524" s="5" t="s">
        <v>24</v>
      </c>
      <c r="D524" s="5" t="s">
        <v>25</v>
      </c>
      <c r="E524" s="5" t="s">
        <v>9</v>
      </c>
      <c r="F524" s="6">
        <v>45657</v>
      </c>
      <c r="G524" s="5">
        <f t="shared" si="81"/>
        <v>2024</v>
      </c>
      <c r="H524" s="5" t="str">
        <f t="shared" si="79"/>
        <v>Diciembre</v>
      </c>
      <c r="I524" s="6" t="str">
        <f t="shared" si="80"/>
        <v>2024-2</v>
      </c>
      <c r="J524" s="5" t="s">
        <v>417</v>
      </c>
      <c r="K524" s="5" t="s">
        <v>417</v>
      </c>
      <c r="L524" s="15" t="str">
        <f t="shared" si="82"/>
        <v/>
      </c>
      <c r="M524" s="15" t="str">
        <f t="shared" si="83"/>
        <v/>
      </c>
      <c r="N524" s="5" t="s">
        <v>347</v>
      </c>
      <c r="O524" s="5" t="s">
        <v>347</v>
      </c>
      <c r="P524" s="5">
        <v>0</v>
      </c>
      <c r="Q524" s="5">
        <v>0</v>
      </c>
      <c r="R524" s="5" t="str">
        <f>A524&amp;"-"&amp;YEAR(F524)&amp;"-"&amp;IF(LEN(MONTH(F524))=1,"0"&amp;MONTH(F524),MONTH(F524))&amp;"-"&amp;IF(LEN(DAY(F524))=1,"0"&amp;DAY(F524),DAY(F524))</f>
        <v>115-2024-12-31</v>
      </c>
    </row>
    <row r="525" spans="1:18" x14ac:dyDescent="0.3">
      <c r="A525" s="5">
        <v>116</v>
      </c>
      <c r="B525" s="5" t="s">
        <v>39</v>
      </c>
      <c r="C525" s="5" t="s">
        <v>20</v>
      </c>
      <c r="D525" s="5" t="s">
        <v>21</v>
      </c>
      <c r="E525" s="5" t="s">
        <v>9</v>
      </c>
      <c r="F525" s="6">
        <v>45657</v>
      </c>
      <c r="G525" s="5">
        <f t="shared" si="81"/>
        <v>2024</v>
      </c>
      <c r="H525" s="5" t="str">
        <f t="shared" si="79"/>
        <v>Diciembre</v>
      </c>
      <c r="I525" s="6" t="str">
        <f t="shared" si="80"/>
        <v>2024-2</v>
      </c>
      <c r="J525" s="5">
        <v>80</v>
      </c>
      <c r="K525" s="5">
        <v>88</v>
      </c>
      <c r="L525" s="15">
        <f t="shared" si="82"/>
        <v>1.1000000000000001</v>
      </c>
      <c r="M525" s="15">
        <f t="shared" si="83"/>
        <v>1.1000000000000001</v>
      </c>
      <c r="N525" s="5" t="s">
        <v>347</v>
      </c>
      <c r="O525" s="5" t="s">
        <v>347</v>
      </c>
      <c r="P525" s="5">
        <v>0</v>
      </c>
      <c r="Q525" s="5">
        <v>0</v>
      </c>
      <c r="R525" s="5" t="str">
        <f>A525&amp;"-"&amp;YEAR(F525)&amp;"-"&amp;IF(LEN(MONTH(F525))=1,"0"&amp;MONTH(F525),MONTH(F525))&amp;"-"&amp;IF(LEN(DAY(F525))=1,"0"&amp;DAY(F525),DAY(F525))</f>
        <v>116-2024-12-31</v>
      </c>
    </row>
    <row r="526" spans="1:18" x14ac:dyDescent="0.3">
      <c r="A526" s="5">
        <v>118</v>
      </c>
      <c r="B526" s="5" t="s">
        <v>44</v>
      </c>
      <c r="C526" s="5" t="s">
        <v>45</v>
      </c>
      <c r="D526" s="5" t="s">
        <v>25</v>
      </c>
      <c r="E526" s="5" t="s">
        <v>9</v>
      </c>
      <c r="F526" s="6">
        <v>45657</v>
      </c>
      <c r="G526" s="5">
        <f t="shared" si="81"/>
        <v>2024</v>
      </c>
      <c r="H526" s="5" t="str">
        <f t="shared" si="79"/>
        <v>Diciembre</v>
      </c>
      <c r="I526" s="6" t="str">
        <f t="shared" si="80"/>
        <v>2024-2</v>
      </c>
      <c r="J526" s="5">
        <v>80</v>
      </c>
      <c r="K526" s="5">
        <v>86</v>
      </c>
      <c r="L526" s="15">
        <f t="shared" si="82"/>
        <v>1.075</v>
      </c>
      <c r="M526" s="15">
        <f t="shared" si="83"/>
        <v>1.075</v>
      </c>
      <c r="N526" s="5" t="s">
        <v>347</v>
      </c>
      <c r="O526" s="5" t="s">
        <v>347</v>
      </c>
      <c r="P526" s="5">
        <v>0</v>
      </c>
      <c r="Q526" s="5">
        <v>0</v>
      </c>
      <c r="R526" s="5" t="str">
        <f>A526&amp;"-"&amp;YEAR(F526)&amp;"-"&amp;IF(LEN(MONTH(F526))=1,"0"&amp;MONTH(F526),MONTH(F526))&amp;"-"&amp;IF(LEN(DAY(F526))=1,"0"&amp;DAY(F526),DAY(F526))</f>
        <v>118-2024-12-31</v>
      </c>
    </row>
    <row r="527" spans="1:18" x14ac:dyDescent="0.3">
      <c r="A527" s="5">
        <v>121</v>
      </c>
      <c r="B527" s="5" t="s">
        <v>46</v>
      </c>
      <c r="C527" s="5" t="s">
        <v>13</v>
      </c>
      <c r="D527" s="5" t="s">
        <v>18</v>
      </c>
      <c r="E527" s="5" t="s">
        <v>14</v>
      </c>
      <c r="F527" s="6">
        <v>45657</v>
      </c>
      <c r="G527" s="5">
        <f t="shared" si="81"/>
        <v>2024</v>
      </c>
      <c r="H527" s="5" t="str">
        <f t="shared" si="79"/>
        <v>Diciembre</v>
      </c>
      <c r="I527" s="6" t="str">
        <f t="shared" si="80"/>
        <v>2024-2</v>
      </c>
      <c r="J527" s="9">
        <v>122326052</v>
      </c>
      <c r="K527" s="9">
        <v>122528282</v>
      </c>
      <c r="L527" s="15">
        <f>IFERROR(IF((J527/K527)&gt;1.3,1.3,J527/K527),"")</f>
        <v>0.99834952390828424</v>
      </c>
      <c r="M527" s="15">
        <f>IFERROR(IF((J527/K527)&gt;J527/K527,1.3,J527/K527),"")</f>
        <v>0.99834952390828424</v>
      </c>
      <c r="N527" s="5" t="s">
        <v>474</v>
      </c>
      <c r="O527" s="5" t="s">
        <v>474</v>
      </c>
      <c r="P527" s="5">
        <v>0</v>
      </c>
      <c r="Q527" s="5">
        <v>0</v>
      </c>
      <c r="R527" s="5" t="str">
        <f>A527&amp;"-"&amp;YEAR(F527)&amp;"-"&amp;IF(LEN(MONTH(F527))=1,"0"&amp;MONTH(F527),MONTH(F527))&amp;"-"&amp;IF(LEN(DAY(F527))=1,"0"&amp;DAY(F527),DAY(F527))</f>
        <v>121-2024-12-31</v>
      </c>
    </row>
    <row r="528" spans="1:18" x14ac:dyDescent="0.3">
      <c r="A528" s="5">
        <v>122</v>
      </c>
      <c r="B528" s="5" t="s">
        <v>47</v>
      </c>
      <c r="C528" s="5" t="s">
        <v>45</v>
      </c>
      <c r="D528" s="5" t="s">
        <v>21</v>
      </c>
      <c r="E528" s="5" t="s">
        <v>9</v>
      </c>
      <c r="F528" s="6">
        <v>45657</v>
      </c>
      <c r="G528" s="5">
        <f t="shared" si="81"/>
        <v>2024</v>
      </c>
      <c r="H528" s="5" t="str">
        <f t="shared" si="79"/>
        <v>Diciembre</v>
      </c>
      <c r="I528" s="6" t="str">
        <f t="shared" si="80"/>
        <v>2024-2</v>
      </c>
      <c r="J528" s="5">
        <v>80</v>
      </c>
      <c r="K528" s="5">
        <v>94.32</v>
      </c>
      <c r="L528" s="15">
        <f>IFERROR(IF((K528/J528)&gt;1.3,1.3,K528/J528),"")</f>
        <v>1.1789999999999998</v>
      </c>
      <c r="M528" s="15">
        <f>IFERROR(K528/J528,"")</f>
        <v>1.1789999999999998</v>
      </c>
      <c r="N528" s="5" t="s">
        <v>347</v>
      </c>
      <c r="O528" s="5" t="s">
        <v>347</v>
      </c>
      <c r="P528" s="5">
        <v>0</v>
      </c>
      <c r="Q528" s="5">
        <v>0</v>
      </c>
      <c r="R528" s="5" t="str">
        <f>A528&amp;"-"&amp;YEAR(F528)&amp;"-"&amp;IF(LEN(MONTH(F528))=1,"0"&amp;MONTH(F528),MONTH(F528))&amp;"-"&amp;IF(LEN(DAY(F528))=1,"0"&amp;DAY(F528),DAY(F528))</f>
        <v>122-2024-12-31</v>
      </c>
    </row>
    <row r="529" spans="1:18" x14ac:dyDescent="0.3">
      <c r="A529" s="5">
        <v>124</v>
      </c>
      <c r="B529" s="5" t="s">
        <v>48</v>
      </c>
      <c r="C529" s="5" t="s">
        <v>24</v>
      </c>
      <c r="D529" s="5" t="s">
        <v>18</v>
      </c>
      <c r="E529" s="5" t="s">
        <v>14</v>
      </c>
      <c r="F529" s="6">
        <v>45657</v>
      </c>
      <c r="G529" s="5">
        <f t="shared" si="81"/>
        <v>2024</v>
      </c>
      <c r="H529" s="5" t="str">
        <f t="shared" si="79"/>
        <v>Diciembre</v>
      </c>
      <c r="I529" s="6" t="str">
        <f t="shared" si="80"/>
        <v>2024-2</v>
      </c>
      <c r="J529" s="5">
        <v>0.2</v>
      </c>
      <c r="K529" s="5">
        <v>1.2500000000000001E-2</v>
      </c>
      <c r="L529" s="8">
        <f>IF(K529&lt;=J529,100%,J529/K529)</f>
        <v>1</v>
      </c>
      <c r="M529" s="15">
        <f>IF(K529&lt;=J529,100%,J529/K529)</f>
        <v>1</v>
      </c>
      <c r="N529" s="5" t="s">
        <v>478</v>
      </c>
      <c r="O529" s="5" t="s">
        <v>478</v>
      </c>
      <c r="P529" s="5">
        <v>1</v>
      </c>
      <c r="Q529" s="5">
        <v>2</v>
      </c>
      <c r="R529" s="5" t="str">
        <f>A529&amp;"-"&amp;YEAR(F529)&amp;"-"&amp;IF(LEN(MONTH(F529))=1,"0"&amp;MONTH(F529),MONTH(F529))&amp;"-"&amp;IF(LEN(DAY(F529))=1,"0"&amp;DAY(F529),DAY(F529))</f>
        <v>124-2024-12-31</v>
      </c>
    </row>
    <row r="530" spans="1:18" x14ac:dyDescent="0.3">
      <c r="A530" s="5">
        <v>125</v>
      </c>
      <c r="B530" s="5" t="s">
        <v>49</v>
      </c>
      <c r="C530" s="5" t="s">
        <v>24</v>
      </c>
      <c r="D530" s="5" t="s">
        <v>18</v>
      </c>
      <c r="E530" s="5" t="s">
        <v>14</v>
      </c>
      <c r="F530" s="6">
        <v>45657</v>
      </c>
      <c r="G530" s="5">
        <f t="shared" si="81"/>
        <v>2024</v>
      </c>
      <c r="H530" s="5" t="str">
        <f t="shared" si="79"/>
        <v>Diciembre</v>
      </c>
      <c r="I530" s="6" t="str">
        <f t="shared" si="80"/>
        <v>2024-2</v>
      </c>
      <c r="J530" s="5">
        <v>1.9</v>
      </c>
      <c r="K530" s="5">
        <v>0.09</v>
      </c>
      <c r="L530" s="8">
        <f>IF(K530&lt;=J530,100%,J530/K530)</f>
        <v>1</v>
      </c>
      <c r="M530" s="15">
        <f>IF(K530&lt;=J530,100%,J530/K530)</f>
        <v>1</v>
      </c>
      <c r="N530" s="5" t="s">
        <v>478</v>
      </c>
      <c r="O530" s="5" t="s">
        <v>478</v>
      </c>
      <c r="P530" s="5">
        <v>1</v>
      </c>
      <c r="Q530" s="5">
        <v>2</v>
      </c>
      <c r="R530" s="5" t="str">
        <f>A530&amp;"-"&amp;YEAR(F530)&amp;"-"&amp;IF(LEN(MONTH(F530))=1,"0"&amp;MONTH(F530),MONTH(F530))&amp;"-"&amp;IF(LEN(DAY(F530))=1,"0"&amp;DAY(F530),DAY(F530))</f>
        <v>125-2024-12-31</v>
      </c>
    </row>
    <row r="531" spans="1:18" x14ac:dyDescent="0.3">
      <c r="A531" s="5">
        <v>126</v>
      </c>
      <c r="B531" s="5" t="s">
        <v>50</v>
      </c>
      <c r="C531" s="5" t="s">
        <v>24</v>
      </c>
      <c r="D531" s="5" t="s">
        <v>25</v>
      </c>
      <c r="E531" s="5" t="s">
        <v>14</v>
      </c>
      <c r="F531" s="6">
        <v>45657</v>
      </c>
      <c r="G531" s="5">
        <f t="shared" si="81"/>
        <v>2024</v>
      </c>
      <c r="H531" s="5" t="str">
        <f t="shared" si="79"/>
        <v>Diciembre</v>
      </c>
      <c r="I531" s="6" t="str">
        <f t="shared" si="80"/>
        <v>2024-2</v>
      </c>
      <c r="J531" s="5">
        <v>2</v>
      </c>
      <c r="K531" s="5">
        <v>0.1</v>
      </c>
      <c r="L531" s="8">
        <f>IF(K531&lt;=J531,100%,J531/K531)</f>
        <v>1</v>
      </c>
      <c r="M531" s="15">
        <f>IF(K531&lt;=J531,100%,J531/K531)</f>
        <v>1</v>
      </c>
      <c r="N531" s="5" t="s">
        <v>490</v>
      </c>
      <c r="O531" s="5" t="s">
        <v>478</v>
      </c>
      <c r="P531" s="5">
        <v>0</v>
      </c>
      <c r="Q531" s="5">
        <v>1</v>
      </c>
      <c r="R531" s="5" t="str">
        <f>A531&amp;"-"&amp;YEAR(F531)&amp;"-"&amp;IF(LEN(MONTH(F531))=1,"0"&amp;MONTH(F531),MONTH(F531))&amp;"-"&amp;IF(LEN(DAY(F531))=1,"0"&amp;DAY(F531),DAY(F531))</f>
        <v>126-2024-12-31</v>
      </c>
    </row>
    <row r="532" spans="1:18" x14ac:dyDescent="0.3">
      <c r="A532" s="5">
        <v>127</v>
      </c>
      <c r="B532" s="5" t="s">
        <v>51</v>
      </c>
      <c r="C532" s="5" t="s">
        <v>24</v>
      </c>
      <c r="D532" s="5" t="s">
        <v>25</v>
      </c>
      <c r="E532" s="5" t="s">
        <v>14</v>
      </c>
      <c r="F532" s="6">
        <v>45657</v>
      </c>
      <c r="G532" s="5">
        <f t="shared" si="81"/>
        <v>2024</v>
      </c>
      <c r="H532" s="5" t="str">
        <f t="shared" si="79"/>
        <v>Diciembre</v>
      </c>
      <c r="I532" s="6" t="str">
        <f t="shared" si="80"/>
        <v>2024-2</v>
      </c>
      <c r="J532" s="5">
        <v>0</v>
      </c>
      <c r="K532" s="5">
        <v>0</v>
      </c>
      <c r="L532" s="8">
        <f>IF(K532&lt;=J532,100%,J532/K532)</f>
        <v>1</v>
      </c>
      <c r="M532" s="15">
        <f>IF(K532&lt;=J532,100%,J532/K532)</f>
        <v>1</v>
      </c>
      <c r="N532" s="5" t="s">
        <v>490</v>
      </c>
      <c r="O532" s="5" t="s">
        <v>478</v>
      </c>
      <c r="P532" s="5">
        <v>0</v>
      </c>
      <c r="Q532" s="5">
        <v>0</v>
      </c>
      <c r="R532" s="5" t="str">
        <f>A532&amp;"-"&amp;YEAR(F532)&amp;"-"&amp;IF(LEN(MONTH(F532))=1,"0"&amp;MONTH(F532),MONTH(F532))&amp;"-"&amp;IF(LEN(DAY(F532))=1,"0"&amp;DAY(F532),DAY(F532))</f>
        <v>127-2024-12-31</v>
      </c>
    </row>
    <row r="533" spans="1:18" x14ac:dyDescent="0.3">
      <c r="A533" s="5">
        <v>128</v>
      </c>
      <c r="B533" s="5" t="s">
        <v>52</v>
      </c>
      <c r="C533" s="5" t="s">
        <v>24</v>
      </c>
      <c r="D533" s="5" t="s">
        <v>18</v>
      </c>
      <c r="E533" s="5" t="s">
        <v>14</v>
      </c>
      <c r="F533" s="6">
        <v>45657</v>
      </c>
      <c r="G533" s="5">
        <f t="shared" si="81"/>
        <v>2024</v>
      </c>
      <c r="H533" s="5" t="str">
        <f t="shared" si="79"/>
        <v>Diciembre</v>
      </c>
      <c r="I533" s="6" t="str">
        <f t="shared" si="80"/>
        <v>2024-2</v>
      </c>
      <c r="J533" s="5">
        <v>1</v>
      </c>
      <c r="K533" s="5">
        <v>0.68</v>
      </c>
      <c r="L533" s="15">
        <f>IFERROR(IF((J533/K533)&gt;1,1,J533/K533),"")</f>
        <v>1</v>
      </c>
      <c r="M533" s="15">
        <f>IFERROR(IF((J533/K533)&gt;1,1,J533/K533),"")</f>
        <v>1</v>
      </c>
      <c r="N533" s="5" t="s">
        <v>490</v>
      </c>
      <c r="O533" s="5" t="s">
        <v>478</v>
      </c>
      <c r="P533" s="5">
        <v>0</v>
      </c>
      <c r="Q533" s="5">
        <v>2</v>
      </c>
      <c r="R533" s="5" t="str">
        <f>A533&amp;"-"&amp;YEAR(F533)&amp;"-"&amp;IF(LEN(MONTH(F533))=1,"0"&amp;MONTH(F533),MONTH(F533))&amp;"-"&amp;IF(LEN(DAY(F533))=1,"0"&amp;DAY(F533),DAY(F533))</f>
        <v>128-2024-12-31</v>
      </c>
    </row>
    <row r="534" spans="1:18" x14ac:dyDescent="0.3">
      <c r="A534" s="5">
        <v>133</v>
      </c>
      <c r="B534" s="5" t="s">
        <v>39</v>
      </c>
      <c r="C534" s="5" t="s">
        <v>53</v>
      </c>
      <c r="D534" s="5" t="s">
        <v>25</v>
      </c>
      <c r="E534" s="5" t="s">
        <v>9</v>
      </c>
      <c r="F534" s="6">
        <v>45657</v>
      </c>
      <c r="G534" s="5">
        <f t="shared" si="81"/>
        <v>2024</v>
      </c>
      <c r="H534" s="5" t="str">
        <f t="shared" si="79"/>
        <v>Diciembre</v>
      </c>
      <c r="I534" s="6" t="str">
        <f t="shared" si="80"/>
        <v>2024-2</v>
      </c>
      <c r="J534" s="5">
        <v>80</v>
      </c>
      <c r="K534" s="5">
        <v>91</v>
      </c>
      <c r="L534" s="15">
        <f t="shared" ref="L534:L548" si="84">IFERROR(IF((K534/J534)&gt;1.3,1.3,K534/J534),"")</f>
        <v>1.1375</v>
      </c>
      <c r="M534" s="15">
        <f t="shared" ref="M534:M561" si="85">IFERROR(K534/J534,"")</f>
        <v>1.1375</v>
      </c>
      <c r="N534" s="5" t="s">
        <v>347</v>
      </c>
      <c r="O534" s="5" t="s">
        <v>347</v>
      </c>
      <c r="P534" s="5">
        <v>0</v>
      </c>
      <c r="Q534" s="5">
        <v>0</v>
      </c>
      <c r="R534" s="5" t="str">
        <f>A534&amp;"-"&amp;YEAR(F534)&amp;"-"&amp;IF(LEN(MONTH(F534))=1,"0"&amp;MONTH(F534),MONTH(F534))&amp;"-"&amp;IF(LEN(DAY(F534))=1,"0"&amp;DAY(F534),DAY(F534))</f>
        <v>133-2024-12-31</v>
      </c>
    </row>
    <row r="535" spans="1:18" x14ac:dyDescent="0.3">
      <c r="A535" s="5">
        <v>143</v>
      </c>
      <c r="B535" s="5" t="s">
        <v>800</v>
      </c>
      <c r="C535" s="5" t="s">
        <v>59</v>
      </c>
      <c r="D535" s="5" t="s">
        <v>8</v>
      </c>
      <c r="E535" s="5" t="s">
        <v>9</v>
      </c>
      <c r="F535" s="6">
        <v>45657</v>
      </c>
      <c r="G535" s="5">
        <f t="shared" si="81"/>
        <v>2024</v>
      </c>
      <c r="H535" s="5" t="str">
        <f t="shared" si="79"/>
        <v>Diciembre</v>
      </c>
      <c r="I535" s="6" t="str">
        <f t="shared" si="80"/>
        <v>2024-2</v>
      </c>
      <c r="J535" s="5"/>
      <c r="K535" s="5">
        <v>135</v>
      </c>
      <c r="L535" s="15" t="str">
        <f t="shared" si="84"/>
        <v/>
      </c>
      <c r="M535" s="15" t="str">
        <f t="shared" si="85"/>
        <v/>
      </c>
      <c r="N535" s="5" t="s">
        <v>728</v>
      </c>
      <c r="O535" s="5"/>
      <c r="P535" s="5">
        <v>0</v>
      </c>
      <c r="Q535" s="5">
        <v>0</v>
      </c>
      <c r="R535" s="5" t="str">
        <f>A535&amp;"-"&amp;YEAR(F535)&amp;"-"&amp;IF(LEN(MONTH(F535))=1,"0"&amp;MONTH(F535),MONTH(F535))&amp;"-"&amp;IF(LEN(DAY(F535))=1,"0"&amp;DAY(F535),DAY(F535))</f>
        <v>143-2024-12-31</v>
      </c>
    </row>
    <row r="536" spans="1:18" x14ac:dyDescent="0.3">
      <c r="A536" s="5">
        <v>144</v>
      </c>
      <c r="B536" s="5" t="s">
        <v>60</v>
      </c>
      <c r="C536" s="5" t="s">
        <v>59</v>
      </c>
      <c r="D536" s="5" t="s">
        <v>25</v>
      </c>
      <c r="E536" s="5" t="s">
        <v>9</v>
      </c>
      <c r="F536" s="6">
        <v>45657</v>
      </c>
      <c r="G536" s="5">
        <f t="shared" si="81"/>
        <v>2024</v>
      </c>
      <c r="H536" s="5" t="str">
        <f t="shared" si="79"/>
        <v>Diciembre</v>
      </c>
      <c r="I536" s="6" t="str">
        <f t="shared" si="80"/>
        <v>2024-2</v>
      </c>
      <c r="J536" s="5">
        <v>3</v>
      </c>
      <c r="K536" s="5">
        <v>3.07</v>
      </c>
      <c r="L536" s="15">
        <f t="shared" si="84"/>
        <v>1.0233333333333332</v>
      </c>
      <c r="M536" s="15">
        <f t="shared" si="85"/>
        <v>1.0233333333333332</v>
      </c>
      <c r="N536" s="5" t="s">
        <v>490</v>
      </c>
      <c r="O536" s="5" t="s">
        <v>478</v>
      </c>
      <c r="P536" s="5">
        <v>2</v>
      </c>
      <c r="Q536" s="5">
        <v>2</v>
      </c>
      <c r="R536" s="5" t="str">
        <f>A536&amp;"-"&amp;YEAR(F536)&amp;"-"&amp;IF(LEN(MONTH(F536))=1,"0"&amp;MONTH(F536),MONTH(F536))&amp;"-"&amp;IF(LEN(DAY(F536))=1,"0"&amp;DAY(F536),DAY(F536))</f>
        <v>144-2024-12-31</v>
      </c>
    </row>
    <row r="537" spans="1:18" x14ac:dyDescent="0.3">
      <c r="A537" s="5">
        <v>145</v>
      </c>
      <c r="B537" s="5" t="s">
        <v>61</v>
      </c>
      <c r="C537" s="5" t="s">
        <v>62</v>
      </c>
      <c r="D537" s="5" t="s">
        <v>8</v>
      </c>
      <c r="E537" s="5" t="s">
        <v>9</v>
      </c>
      <c r="F537" s="6">
        <v>45657</v>
      </c>
      <c r="G537" s="5">
        <f t="shared" si="81"/>
        <v>2024</v>
      </c>
      <c r="H537" s="5" t="str">
        <f t="shared" si="79"/>
        <v>Diciembre</v>
      </c>
      <c r="I537" s="6" t="str">
        <f t="shared" si="80"/>
        <v>2024-2</v>
      </c>
      <c r="J537" s="5">
        <v>1</v>
      </c>
      <c r="K537" s="5">
        <v>1.94</v>
      </c>
      <c r="L537" s="15">
        <f t="shared" si="84"/>
        <v>1.3</v>
      </c>
      <c r="M537" s="15">
        <f t="shared" si="85"/>
        <v>1.94</v>
      </c>
      <c r="N537" s="5" t="s">
        <v>490</v>
      </c>
      <c r="O537" s="5" t="s">
        <v>478</v>
      </c>
      <c r="P537" s="5">
        <v>0</v>
      </c>
      <c r="Q537" s="5">
        <v>2</v>
      </c>
      <c r="R537" s="5" t="str">
        <f>A537&amp;"-"&amp;YEAR(F537)&amp;"-"&amp;IF(LEN(MONTH(F537))=1,"0"&amp;MONTH(F537),MONTH(F537))&amp;"-"&amp;IF(LEN(DAY(F537))=1,"0"&amp;DAY(F537),DAY(F537))</f>
        <v>145-2024-12-31</v>
      </c>
    </row>
    <row r="538" spans="1:18" x14ac:dyDescent="0.3">
      <c r="A538" s="5">
        <v>146</v>
      </c>
      <c r="B538" s="5" t="s">
        <v>63</v>
      </c>
      <c r="C538" s="5" t="s">
        <v>59</v>
      </c>
      <c r="D538" s="5" t="s">
        <v>8</v>
      </c>
      <c r="E538" s="5" t="s">
        <v>9</v>
      </c>
      <c r="F538" s="6">
        <v>45657</v>
      </c>
      <c r="G538" s="5">
        <f t="shared" si="81"/>
        <v>2024</v>
      </c>
      <c r="H538" s="5" t="str">
        <f t="shared" si="79"/>
        <v>Diciembre</v>
      </c>
      <c r="I538" s="6" t="str">
        <f t="shared" si="80"/>
        <v>2024-2</v>
      </c>
      <c r="J538" s="5">
        <v>294</v>
      </c>
      <c r="K538" s="5">
        <v>343</v>
      </c>
      <c r="L538" s="15">
        <f t="shared" si="84"/>
        <v>1.1666666666666667</v>
      </c>
      <c r="M538" s="15">
        <f t="shared" si="85"/>
        <v>1.1666666666666667</v>
      </c>
      <c r="N538" s="5" t="s">
        <v>490</v>
      </c>
      <c r="O538" s="5" t="s">
        <v>490</v>
      </c>
      <c r="P538" s="5">
        <v>0</v>
      </c>
      <c r="Q538" s="5">
        <v>0</v>
      </c>
      <c r="R538" s="5" t="str">
        <f>A538&amp;"-"&amp;YEAR(F538)&amp;"-"&amp;IF(LEN(MONTH(F538))=1,"0"&amp;MONTH(F538),MONTH(F538))&amp;"-"&amp;IF(LEN(DAY(F538))=1,"0"&amp;DAY(F538),DAY(F538))</f>
        <v>146-2024-12-31</v>
      </c>
    </row>
    <row r="539" spans="1:18" x14ac:dyDescent="0.3">
      <c r="A539" s="5">
        <v>147</v>
      </c>
      <c r="B539" s="5" t="s">
        <v>64</v>
      </c>
      <c r="C539" s="5" t="s">
        <v>59</v>
      </c>
      <c r="D539" s="5" t="s">
        <v>25</v>
      </c>
      <c r="E539" s="5" t="s">
        <v>9</v>
      </c>
      <c r="F539" s="6">
        <v>45657</v>
      </c>
      <c r="G539" s="5">
        <f t="shared" si="81"/>
        <v>2024</v>
      </c>
      <c r="H539" s="5" t="str">
        <f t="shared" si="79"/>
        <v>Diciembre</v>
      </c>
      <c r="I539" s="6" t="str">
        <f t="shared" si="80"/>
        <v>2024-2</v>
      </c>
      <c r="J539" s="5">
        <v>16</v>
      </c>
      <c r="K539" s="5">
        <v>12</v>
      </c>
      <c r="L539" s="15">
        <f t="shared" si="84"/>
        <v>0.75</v>
      </c>
      <c r="M539" s="15">
        <f t="shared" si="85"/>
        <v>0.75</v>
      </c>
      <c r="N539" s="5" t="s">
        <v>490</v>
      </c>
      <c r="O539" s="5" t="s">
        <v>490</v>
      </c>
      <c r="P539" s="5">
        <v>0</v>
      </c>
      <c r="Q539" s="5">
        <v>0</v>
      </c>
      <c r="R539" s="5" t="str">
        <f>A539&amp;"-"&amp;YEAR(F539)&amp;"-"&amp;IF(LEN(MONTH(F539))=1,"0"&amp;MONTH(F539),MONTH(F539))&amp;"-"&amp;IF(LEN(DAY(F539))=1,"0"&amp;DAY(F539),DAY(F539))</f>
        <v>147-2024-12-31</v>
      </c>
    </row>
    <row r="540" spans="1:18" x14ac:dyDescent="0.3">
      <c r="A540" s="5">
        <v>148</v>
      </c>
      <c r="B540" s="5" t="s">
        <v>65</v>
      </c>
      <c r="C540" s="5" t="s">
        <v>62</v>
      </c>
      <c r="D540" s="5" t="s">
        <v>8</v>
      </c>
      <c r="E540" s="5" t="s">
        <v>9</v>
      </c>
      <c r="F540" s="6">
        <v>45657</v>
      </c>
      <c r="G540" s="5">
        <f t="shared" si="81"/>
        <v>2024</v>
      </c>
      <c r="H540" s="5" t="str">
        <f t="shared" si="79"/>
        <v>Diciembre</v>
      </c>
      <c r="I540" s="6" t="str">
        <f t="shared" si="80"/>
        <v>2024-2</v>
      </c>
      <c r="J540" s="5">
        <v>5</v>
      </c>
      <c r="K540" s="5">
        <v>6.3</v>
      </c>
      <c r="L540" s="15">
        <f t="shared" si="84"/>
        <v>1.26</v>
      </c>
      <c r="M540" s="15">
        <f t="shared" si="85"/>
        <v>1.26</v>
      </c>
      <c r="N540" s="5" t="s">
        <v>347</v>
      </c>
      <c r="O540" s="5" t="s">
        <v>347</v>
      </c>
      <c r="P540" s="5">
        <v>0</v>
      </c>
      <c r="Q540" s="5">
        <v>1</v>
      </c>
      <c r="R540" s="5" t="str">
        <f>A540&amp;"-"&amp;YEAR(F540)&amp;"-"&amp;IF(LEN(MONTH(F540))=1,"0"&amp;MONTH(F540),MONTH(F540))&amp;"-"&amp;IF(LEN(DAY(F540))=1,"0"&amp;DAY(F540),DAY(F540))</f>
        <v>148-2024-12-31</v>
      </c>
    </row>
    <row r="541" spans="1:18" x14ac:dyDescent="0.3">
      <c r="A541" s="5">
        <v>150</v>
      </c>
      <c r="B541" s="5" t="s">
        <v>39</v>
      </c>
      <c r="C541" s="5" t="s">
        <v>59</v>
      </c>
      <c r="D541" s="5" t="s">
        <v>25</v>
      </c>
      <c r="E541" s="5" t="s">
        <v>9</v>
      </c>
      <c r="F541" s="6">
        <v>45657</v>
      </c>
      <c r="G541" s="5">
        <f t="shared" si="81"/>
        <v>2024</v>
      </c>
      <c r="H541" s="5" t="str">
        <f t="shared" si="79"/>
        <v>Diciembre</v>
      </c>
      <c r="I541" s="6" t="str">
        <f t="shared" si="80"/>
        <v>2024-2</v>
      </c>
      <c r="J541" s="5">
        <v>80</v>
      </c>
      <c r="K541" s="5">
        <v>89</v>
      </c>
      <c r="L541" s="15">
        <f t="shared" si="84"/>
        <v>1.1125</v>
      </c>
      <c r="M541" s="15">
        <f t="shared" si="85"/>
        <v>1.1125</v>
      </c>
      <c r="N541" s="5" t="s">
        <v>347</v>
      </c>
      <c r="O541" s="5" t="s">
        <v>347</v>
      </c>
      <c r="P541" s="5">
        <v>0</v>
      </c>
      <c r="Q541" s="5">
        <v>0</v>
      </c>
      <c r="R541" s="5" t="str">
        <f>A541&amp;"-"&amp;YEAR(F541)&amp;"-"&amp;IF(LEN(MONTH(F541))=1,"0"&amp;MONTH(F541),MONTH(F541))&amp;"-"&amp;IF(LEN(DAY(F541))=1,"0"&amp;DAY(F541),DAY(F541))</f>
        <v>150-2024-12-31</v>
      </c>
    </row>
    <row r="542" spans="1:18" x14ac:dyDescent="0.3">
      <c r="A542" s="5">
        <v>151</v>
      </c>
      <c r="B542" s="5" t="s">
        <v>39</v>
      </c>
      <c r="C542" s="5" t="s">
        <v>55</v>
      </c>
      <c r="D542" s="5" t="s">
        <v>25</v>
      </c>
      <c r="E542" s="5" t="s">
        <v>9</v>
      </c>
      <c r="F542" s="6">
        <v>45657</v>
      </c>
      <c r="G542" s="5">
        <f t="shared" si="81"/>
        <v>2024</v>
      </c>
      <c r="H542" s="5" t="str">
        <f t="shared" si="79"/>
        <v>Diciembre</v>
      </c>
      <c r="I542" s="6" t="str">
        <f t="shared" si="80"/>
        <v>2024-2</v>
      </c>
      <c r="J542" s="5" t="s">
        <v>417</v>
      </c>
      <c r="K542" s="5" t="s">
        <v>417</v>
      </c>
      <c r="L542" s="15" t="str">
        <f t="shared" si="84"/>
        <v/>
      </c>
      <c r="M542" s="15" t="str">
        <f t="shared" si="85"/>
        <v/>
      </c>
      <c r="N542" s="5" t="s">
        <v>347</v>
      </c>
      <c r="O542" s="5" t="s">
        <v>347</v>
      </c>
      <c r="P542" s="5">
        <v>0</v>
      </c>
      <c r="Q542" s="5">
        <v>0</v>
      </c>
      <c r="R542" s="5" t="str">
        <f>A542&amp;"-"&amp;YEAR(F542)&amp;"-"&amp;IF(LEN(MONTH(F542))=1,"0"&amp;MONTH(F542),MONTH(F542))&amp;"-"&amp;IF(LEN(DAY(F542))=1,"0"&amp;DAY(F542),DAY(F542))</f>
        <v>151-2024-12-31</v>
      </c>
    </row>
    <row r="543" spans="1:18" x14ac:dyDescent="0.3">
      <c r="A543" s="5">
        <v>157</v>
      </c>
      <c r="B543" s="5" t="s">
        <v>66</v>
      </c>
      <c r="C543" s="5" t="s">
        <v>67</v>
      </c>
      <c r="D543" s="5" t="s">
        <v>25</v>
      </c>
      <c r="E543" s="5" t="s">
        <v>9</v>
      </c>
      <c r="F543" s="6">
        <v>45657</v>
      </c>
      <c r="G543" s="5">
        <f t="shared" si="81"/>
        <v>2024</v>
      </c>
      <c r="H543" s="5" t="str">
        <f t="shared" si="79"/>
        <v>Diciembre</v>
      </c>
      <c r="I543" s="6" t="str">
        <f t="shared" si="80"/>
        <v>2024-2</v>
      </c>
      <c r="J543" s="5">
        <v>100</v>
      </c>
      <c r="K543" s="5">
        <v>125</v>
      </c>
      <c r="L543" s="15">
        <f t="shared" si="84"/>
        <v>1.25</v>
      </c>
      <c r="M543" s="15">
        <f t="shared" si="85"/>
        <v>1.25</v>
      </c>
      <c r="N543" s="5" t="s">
        <v>490</v>
      </c>
      <c r="O543" s="5" t="s">
        <v>490</v>
      </c>
      <c r="P543" s="5">
        <v>0</v>
      </c>
      <c r="Q543" s="5">
        <v>0</v>
      </c>
      <c r="R543" s="5" t="str">
        <f>A543&amp;"-"&amp;YEAR(F543)&amp;"-"&amp;IF(LEN(MONTH(F543))=1,"0"&amp;MONTH(F543),MONTH(F543))&amp;"-"&amp;IF(LEN(DAY(F543))=1,"0"&amp;DAY(F543),DAY(F543))</f>
        <v>157-2024-12-31</v>
      </c>
    </row>
    <row r="544" spans="1:18" x14ac:dyDescent="0.3">
      <c r="A544" s="5">
        <v>159</v>
      </c>
      <c r="B544" s="5" t="s">
        <v>39</v>
      </c>
      <c r="C544" s="5" t="s">
        <v>67</v>
      </c>
      <c r="D544" s="5" t="s">
        <v>8</v>
      </c>
      <c r="E544" s="5" t="s">
        <v>9</v>
      </c>
      <c r="F544" s="6">
        <v>45657</v>
      </c>
      <c r="G544" s="5">
        <f t="shared" si="81"/>
        <v>2024</v>
      </c>
      <c r="H544" s="5" t="str">
        <f t="shared" si="79"/>
        <v>Diciembre</v>
      </c>
      <c r="I544" s="6" t="str">
        <f t="shared" si="80"/>
        <v>2024-2</v>
      </c>
      <c r="J544" s="5">
        <v>80</v>
      </c>
      <c r="K544" s="5">
        <v>96.4</v>
      </c>
      <c r="L544" s="15">
        <f t="shared" si="84"/>
        <v>1.2050000000000001</v>
      </c>
      <c r="M544" s="15">
        <f t="shared" si="85"/>
        <v>1.2050000000000001</v>
      </c>
      <c r="N544" s="5" t="s">
        <v>347</v>
      </c>
      <c r="O544" s="5" t="s">
        <v>347</v>
      </c>
      <c r="P544" s="5">
        <v>0</v>
      </c>
      <c r="Q544" s="5">
        <v>0</v>
      </c>
      <c r="R544" s="5" t="str">
        <f>A544&amp;"-"&amp;YEAR(F544)&amp;"-"&amp;IF(LEN(MONTH(F544))=1,"0"&amp;MONTH(F544),MONTH(F544))&amp;"-"&amp;IF(LEN(DAY(F544))=1,"0"&amp;DAY(F544),DAY(F544))</f>
        <v>159-2024-12-31</v>
      </c>
    </row>
    <row r="545" spans="1:18" x14ac:dyDescent="0.3">
      <c r="A545" s="5">
        <v>167</v>
      </c>
      <c r="B545" s="5" t="s">
        <v>68</v>
      </c>
      <c r="C545" s="5" t="s">
        <v>13</v>
      </c>
      <c r="D545" s="5" t="s">
        <v>8</v>
      </c>
      <c r="E545" s="5" t="s">
        <v>9</v>
      </c>
      <c r="F545" s="6">
        <v>45657</v>
      </c>
      <c r="G545" s="5">
        <f t="shared" si="81"/>
        <v>2024</v>
      </c>
      <c r="H545" s="5" t="str">
        <f t="shared" si="79"/>
        <v>Diciembre</v>
      </c>
      <c r="I545" s="6" t="str">
        <f t="shared" si="80"/>
        <v>2024-2</v>
      </c>
      <c r="J545" s="5">
        <v>85</v>
      </c>
      <c r="K545" s="5">
        <v>96.83</v>
      </c>
      <c r="L545" s="15">
        <f t="shared" si="84"/>
        <v>1.1391764705882352</v>
      </c>
      <c r="M545" s="15">
        <f t="shared" si="85"/>
        <v>1.1391764705882352</v>
      </c>
      <c r="N545" s="5" t="s">
        <v>347</v>
      </c>
      <c r="O545" s="5" t="s">
        <v>347</v>
      </c>
      <c r="P545" s="5">
        <v>0</v>
      </c>
      <c r="Q545" s="5">
        <v>1</v>
      </c>
      <c r="R545" s="5" t="str">
        <f>A545&amp;"-"&amp;YEAR(F545)&amp;"-"&amp;IF(LEN(MONTH(F545))=1,"0"&amp;MONTH(F545),MONTH(F545))&amp;"-"&amp;IF(LEN(DAY(F545))=1,"0"&amp;DAY(F545),DAY(F545))</f>
        <v>167-2024-12-31</v>
      </c>
    </row>
    <row r="546" spans="1:18" x14ac:dyDescent="0.3">
      <c r="A546" s="5">
        <v>172</v>
      </c>
      <c r="B546" s="5" t="s">
        <v>70</v>
      </c>
      <c r="C546" s="5" t="s">
        <v>45</v>
      </c>
      <c r="D546" s="5" t="s">
        <v>18</v>
      </c>
      <c r="E546" s="5" t="s">
        <v>9</v>
      </c>
      <c r="F546" s="6">
        <v>45657</v>
      </c>
      <c r="G546" s="5">
        <f t="shared" si="81"/>
        <v>2024</v>
      </c>
      <c r="H546" s="5" t="str">
        <f t="shared" si="79"/>
        <v>Diciembre</v>
      </c>
      <c r="I546" s="6" t="str">
        <f t="shared" si="80"/>
        <v>2024-2</v>
      </c>
      <c r="J546" s="5">
        <v>95</v>
      </c>
      <c r="K546" s="5">
        <v>97.37</v>
      </c>
      <c r="L546" s="15">
        <f t="shared" si="84"/>
        <v>1.0249473684210526</v>
      </c>
      <c r="M546" s="15">
        <f t="shared" si="85"/>
        <v>1.0249473684210526</v>
      </c>
      <c r="N546" s="5" t="s">
        <v>347</v>
      </c>
      <c r="O546" s="5" t="s">
        <v>347</v>
      </c>
      <c r="P546" s="5">
        <v>0</v>
      </c>
      <c r="Q546" s="5">
        <v>0</v>
      </c>
      <c r="R546" s="5" t="str">
        <f>A546&amp;"-"&amp;YEAR(F546)&amp;"-"&amp;IF(LEN(MONTH(F546))=1,"0"&amp;MONTH(F546),MONTH(F546))&amp;"-"&amp;IF(LEN(DAY(F546))=1,"0"&amp;DAY(F546),DAY(F546))</f>
        <v>172-2024-12-31</v>
      </c>
    </row>
    <row r="547" spans="1:18" x14ac:dyDescent="0.3">
      <c r="A547" s="5">
        <v>174</v>
      </c>
      <c r="B547" s="5" t="s">
        <v>71</v>
      </c>
      <c r="C547" s="5" t="s">
        <v>45</v>
      </c>
      <c r="D547" s="5" t="s">
        <v>8</v>
      </c>
      <c r="E547" s="5" t="s">
        <v>9</v>
      </c>
      <c r="F547" s="6">
        <v>45657</v>
      </c>
      <c r="G547" s="5">
        <f t="shared" si="81"/>
        <v>2024</v>
      </c>
      <c r="H547" s="5" t="str">
        <f t="shared" si="79"/>
        <v>Diciembre</v>
      </c>
      <c r="I547" s="6" t="str">
        <f t="shared" si="80"/>
        <v>2024-2</v>
      </c>
      <c r="J547" s="5">
        <v>95</v>
      </c>
      <c r="K547" s="5"/>
      <c r="L547" s="15">
        <f t="shared" si="84"/>
        <v>0</v>
      </c>
      <c r="M547" s="15">
        <f t="shared" si="85"/>
        <v>0</v>
      </c>
      <c r="N547" s="5" t="s">
        <v>347</v>
      </c>
      <c r="O547" s="5" t="s">
        <v>347</v>
      </c>
      <c r="P547" s="5">
        <v>0</v>
      </c>
      <c r="Q547" s="5">
        <v>0</v>
      </c>
      <c r="R547" s="5" t="str">
        <f>A547&amp;"-"&amp;YEAR(F547)&amp;"-"&amp;IF(LEN(MONTH(F547))=1,"0"&amp;MONTH(F547),MONTH(F547))&amp;"-"&amp;IF(LEN(DAY(F547))=1,"0"&amp;DAY(F547),DAY(F547))</f>
        <v>174-2024-12-31</v>
      </c>
    </row>
    <row r="548" spans="1:18" x14ac:dyDescent="0.3">
      <c r="A548" s="5">
        <v>176</v>
      </c>
      <c r="B548" s="5" t="s">
        <v>72</v>
      </c>
      <c r="C548" s="5" t="s">
        <v>45</v>
      </c>
      <c r="D548" s="5" t="s">
        <v>18</v>
      </c>
      <c r="E548" s="5" t="s">
        <v>9</v>
      </c>
      <c r="F548" s="6">
        <v>45657</v>
      </c>
      <c r="G548" s="5">
        <f t="shared" si="81"/>
        <v>2024</v>
      </c>
      <c r="H548" s="5" t="str">
        <f t="shared" si="79"/>
        <v>Diciembre</v>
      </c>
      <c r="I548" s="6" t="str">
        <f t="shared" si="80"/>
        <v>2024-2</v>
      </c>
      <c r="J548" s="5">
        <v>85</v>
      </c>
      <c r="K548" s="5">
        <v>89.08</v>
      </c>
      <c r="L548" s="15">
        <f t="shared" si="84"/>
        <v>1.048</v>
      </c>
      <c r="M548" s="15">
        <f t="shared" si="85"/>
        <v>1.048</v>
      </c>
      <c r="N548" s="5" t="s">
        <v>347</v>
      </c>
      <c r="O548" s="5" t="s">
        <v>347</v>
      </c>
      <c r="P548" s="5">
        <v>0</v>
      </c>
      <c r="Q548" s="5">
        <v>0</v>
      </c>
      <c r="R548" s="5" t="str">
        <f>A548&amp;"-"&amp;YEAR(F548)&amp;"-"&amp;IF(LEN(MONTH(F548))=1,"0"&amp;MONTH(F548),MONTH(F548))&amp;"-"&amp;IF(LEN(DAY(F548))=1,"0"&amp;DAY(F548),DAY(F548))</f>
        <v>176-2024-12-31</v>
      </c>
    </row>
    <row r="549" spans="1:18" x14ac:dyDescent="0.3">
      <c r="A549" s="5">
        <v>193</v>
      </c>
      <c r="B549" s="102" t="s">
        <v>847</v>
      </c>
      <c r="C549" s="5" t="s">
        <v>74</v>
      </c>
      <c r="D549" s="5" t="s">
        <v>8</v>
      </c>
      <c r="E549" s="5" t="s">
        <v>9</v>
      </c>
      <c r="F549" s="6">
        <v>45657</v>
      </c>
      <c r="G549" s="5">
        <f t="shared" si="81"/>
        <v>2024</v>
      </c>
      <c r="H549" s="5" t="str">
        <f t="shared" si="79"/>
        <v>Diciembre</v>
      </c>
      <c r="I549" s="6" t="str">
        <f t="shared" si="80"/>
        <v>2024-2</v>
      </c>
      <c r="J549" s="5">
        <v>90</v>
      </c>
      <c r="K549" s="5">
        <v>93.5</v>
      </c>
      <c r="L549" s="15">
        <f>IFERROR(IF((K549/J549)&gt;1,1,K549/J549),"")</f>
        <v>1</v>
      </c>
      <c r="M549" s="15">
        <f t="shared" si="85"/>
        <v>1.038888888888889</v>
      </c>
      <c r="N549" s="5" t="s">
        <v>347</v>
      </c>
      <c r="O549" s="5" t="s">
        <v>347</v>
      </c>
      <c r="P549" s="5">
        <v>1</v>
      </c>
      <c r="Q549" s="5">
        <v>1</v>
      </c>
      <c r="R549" s="5" t="str">
        <f>A549&amp;"-"&amp;YEAR(F549)&amp;"-"&amp;IF(LEN(MONTH(F549))=1,"0"&amp;MONTH(F549),MONTH(F549))&amp;"-"&amp;IF(LEN(DAY(F549))=1,"0"&amp;DAY(F549),DAY(F549))</f>
        <v>193-2024-12-31</v>
      </c>
    </row>
    <row r="550" spans="1:18" x14ac:dyDescent="0.3">
      <c r="A550" s="5">
        <v>194</v>
      </c>
      <c r="B550" s="5" t="s">
        <v>75</v>
      </c>
      <c r="C550" s="5" t="s">
        <v>74</v>
      </c>
      <c r="D550" s="5" t="s">
        <v>8</v>
      </c>
      <c r="E550" s="5" t="s">
        <v>9</v>
      </c>
      <c r="F550" s="6">
        <v>45657</v>
      </c>
      <c r="G550" s="16">
        <f t="shared" si="81"/>
        <v>2024</v>
      </c>
      <c r="H550" s="6" t="str">
        <f t="shared" si="79"/>
        <v>Diciembre</v>
      </c>
      <c r="I550" s="6" t="str">
        <f t="shared" si="80"/>
        <v>2024-2</v>
      </c>
      <c r="J550" s="5">
        <v>81</v>
      </c>
      <c r="K550" s="5">
        <v>89</v>
      </c>
      <c r="L550" s="15">
        <f>IFERROR(IF((K550/J550)&gt;1.3,1.3,K550/J550),"")</f>
        <v>1.0987654320987654</v>
      </c>
      <c r="M550" s="15">
        <f t="shared" si="85"/>
        <v>1.0987654320987654</v>
      </c>
      <c r="N550" s="5" t="s">
        <v>347</v>
      </c>
      <c r="O550" s="5" t="s">
        <v>347</v>
      </c>
      <c r="P550" s="5">
        <v>0</v>
      </c>
      <c r="Q550" s="5">
        <v>0</v>
      </c>
      <c r="R550" s="5" t="str">
        <f>A550&amp;"-"&amp;YEAR(F550)&amp;"-"&amp;IF(LEN(MONTH(F550))=1,"0"&amp;MONTH(F550),MONTH(F550))&amp;"-"&amp;IF(LEN(DAY(F550))=1,"0"&amp;DAY(F550),DAY(F550))</f>
        <v>194-2024-12-31</v>
      </c>
    </row>
    <row r="551" spans="1:18" x14ac:dyDescent="0.3">
      <c r="A551" s="5">
        <v>197</v>
      </c>
      <c r="B551" s="5" t="s">
        <v>78</v>
      </c>
      <c r="C551" s="5" t="s">
        <v>43</v>
      </c>
      <c r="D551" s="5" t="s">
        <v>11</v>
      </c>
      <c r="E551" s="5" t="s">
        <v>9</v>
      </c>
      <c r="F551" s="6">
        <v>45657</v>
      </c>
      <c r="G551" s="5">
        <f t="shared" si="81"/>
        <v>2024</v>
      </c>
      <c r="H551" s="5" t="str">
        <f t="shared" si="79"/>
        <v>Diciembre</v>
      </c>
      <c r="I551" s="6" t="str">
        <f t="shared" si="80"/>
        <v>2024-2</v>
      </c>
      <c r="J551" s="5">
        <v>95</v>
      </c>
      <c r="K551" s="5">
        <v>100</v>
      </c>
      <c r="L551" s="15">
        <f>IFERROR(IF(K551/J551&gt;1,1,K551/J551),"")</f>
        <v>1</v>
      </c>
      <c r="M551" s="15">
        <f t="shared" si="85"/>
        <v>1.0526315789473684</v>
      </c>
      <c r="N551" s="5" t="s">
        <v>347</v>
      </c>
      <c r="O551" s="5" t="s">
        <v>347</v>
      </c>
      <c r="P551" s="5">
        <v>0</v>
      </c>
      <c r="Q551" s="5">
        <v>0</v>
      </c>
      <c r="R551" s="5" t="str">
        <f>A551&amp;"-"&amp;YEAR(F551)&amp;"-"&amp;IF(LEN(MONTH(F551))=1,"0"&amp;MONTH(F551),MONTH(F551))&amp;"-"&amp;IF(LEN(DAY(F551))=1,"0"&amp;DAY(F551),DAY(F551))</f>
        <v>197-2024-12-31</v>
      </c>
    </row>
    <row r="552" spans="1:18" x14ac:dyDescent="0.3">
      <c r="A552" s="5">
        <v>199</v>
      </c>
      <c r="B552" s="5" t="s">
        <v>79</v>
      </c>
      <c r="C552" s="5" t="s">
        <v>13</v>
      </c>
      <c r="D552" s="5" t="s">
        <v>8</v>
      </c>
      <c r="E552" s="5" t="s">
        <v>9</v>
      </c>
      <c r="F552" s="6">
        <v>45657</v>
      </c>
      <c r="G552" s="5">
        <f t="shared" si="81"/>
        <v>2024</v>
      </c>
      <c r="H552" s="5" t="str">
        <f t="shared" si="79"/>
        <v>Diciembre</v>
      </c>
      <c r="I552" s="6" t="str">
        <f t="shared" si="80"/>
        <v>2024-2</v>
      </c>
      <c r="J552" s="5">
        <v>70</v>
      </c>
      <c r="K552" s="5">
        <v>92.5</v>
      </c>
      <c r="L552" s="15">
        <f t="shared" ref="L552:L560" si="86">IFERROR(IF((K552/J552)&gt;1.3,1.3,K552/J552),"")</f>
        <v>1.3</v>
      </c>
      <c r="M552" s="15">
        <f t="shared" si="85"/>
        <v>1.3214285714285714</v>
      </c>
      <c r="N552" s="5" t="s">
        <v>347</v>
      </c>
      <c r="O552" s="5" t="s">
        <v>347</v>
      </c>
      <c r="P552" s="5">
        <v>0</v>
      </c>
      <c r="Q552" s="5">
        <v>0</v>
      </c>
      <c r="R552" s="5" t="str">
        <f>A552&amp;"-"&amp;YEAR(F552)&amp;"-"&amp;IF(LEN(MONTH(F552))=1,"0"&amp;MONTH(F552),MONTH(F552))&amp;"-"&amp;IF(LEN(DAY(F552))=1,"0"&amp;DAY(F552),DAY(F552))</f>
        <v>199-2024-12-31</v>
      </c>
    </row>
    <row r="553" spans="1:18" x14ac:dyDescent="0.3">
      <c r="A553" s="5">
        <v>200</v>
      </c>
      <c r="B553" s="5" t="s">
        <v>80</v>
      </c>
      <c r="C553" s="5" t="s">
        <v>13</v>
      </c>
      <c r="D553" s="5" t="s">
        <v>25</v>
      </c>
      <c r="E553" s="5" t="s">
        <v>9</v>
      </c>
      <c r="F553" s="6">
        <v>45657</v>
      </c>
      <c r="G553" s="5">
        <f t="shared" si="81"/>
        <v>2024</v>
      </c>
      <c r="H553" s="5" t="str">
        <f t="shared" si="79"/>
        <v>Diciembre</v>
      </c>
      <c r="I553" s="6" t="str">
        <f t="shared" si="80"/>
        <v>2024-2</v>
      </c>
      <c r="J553" s="5">
        <v>80</v>
      </c>
      <c r="K553" s="5">
        <v>87.4</v>
      </c>
      <c r="L553" s="15">
        <f t="shared" si="86"/>
        <v>1.0925</v>
      </c>
      <c r="M553" s="15">
        <f t="shared" si="85"/>
        <v>1.0925</v>
      </c>
      <c r="N553" s="5" t="s">
        <v>347</v>
      </c>
      <c r="O553" s="5" t="s">
        <v>347</v>
      </c>
      <c r="P553" s="5">
        <v>0</v>
      </c>
      <c r="Q553" s="5">
        <v>1</v>
      </c>
      <c r="R553" s="5" t="str">
        <f>A553&amp;"-"&amp;YEAR(F553)&amp;"-"&amp;IF(LEN(MONTH(F553))=1,"0"&amp;MONTH(F553),MONTH(F553))&amp;"-"&amp;IF(LEN(DAY(F553))=1,"0"&amp;DAY(F553),DAY(F553))</f>
        <v>200-2024-12-31</v>
      </c>
    </row>
    <row r="554" spans="1:18" x14ac:dyDescent="0.3">
      <c r="A554" s="5">
        <v>202</v>
      </c>
      <c r="B554" s="5" t="s">
        <v>82</v>
      </c>
      <c r="C554" s="5" t="s">
        <v>13</v>
      </c>
      <c r="D554" s="5" t="s">
        <v>25</v>
      </c>
      <c r="E554" s="5" t="s">
        <v>9</v>
      </c>
      <c r="F554" s="6">
        <v>45657</v>
      </c>
      <c r="G554" s="5">
        <f t="shared" si="81"/>
        <v>2024</v>
      </c>
      <c r="H554" s="5" t="str">
        <f t="shared" si="79"/>
        <v>Diciembre</v>
      </c>
      <c r="I554" s="6" t="str">
        <f t="shared" si="80"/>
        <v>2024-2</v>
      </c>
      <c r="J554" s="5">
        <v>0</v>
      </c>
      <c r="K554" s="5"/>
      <c r="L554" s="15" t="str">
        <f t="shared" si="86"/>
        <v/>
      </c>
      <c r="M554" s="15" t="str">
        <f t="shared" si="85"/>
        <v/>
      </c>
      <c r="N554" s="5" t="s">
        <v>490</v>
      </c>
      <c r="O554" s="5" t="s">
        <v>478</v>
      </c>
      <c r="P554" s="5">
        <v>0</v>
      </c>
      <c r="Q554" s="5">
        <v>0</v>
      </c>
      <c r="R554" s="5" t="str">
        <f>A554&amp;"-"&amp;YEAR(F554)&amp;"-"&amp;IF(LEN(MONTH(F554))=1,"0"&amp;MONTH(F554),MONTH(F554))&amp;"-"&amp;IF(LEN(DAY(F554))=1,"0"&amp;DAY(F554),DAY(F554))</f>
        <v>202-2024-12-31</v>
      </c>
    </row>
    <row r="555" spans="1:18" x14ac:dyDescent="0.3">
      <c r="A555" s="5">
        <v>203</v>
      </c>
      <c r="B555" s="5" t="s">
        <v>83</v>
      </c>
      <c r="C555" s="5" t="s">
        <v>84</v>
      </c>
      <c r="D555" s="5" t="s">
        <v>8</v>
      </c>
      <c r="E555" s="5" t="s">
        <v>9</v>
      </c>
      <c r="F555" s="6">
        <v>45657</v>
      </c>
      <c r="G555" s="5">
        <f t="shared" si="81"/>
        <v>2024</v>
      </c>
      <c r="H555" s="5" t="str">
        <f t="shared" si="79"/>
        <v>Diciembre</v>
      </c>
      <c r="I555" s="6" t="str">
        <f t="shared" si="80"/>
        <v>2024-2</v>
      </c>
      <c r="J555" s="12">
        <v>289638.45267000003</v>
      </c>
      <c r="K555" s="12">
        <v>297867.12192900002</v>
      </c>
      <c r="L555" s="15">
        <f t="shared" si="86"/>
        <v>1.0284101409296484</v>
      </c>
      <c r="M555" s="15">
        <f t="shared" si="85"/>
        <v>1.0284101409296484</v>
      </c>
      <c r="N555" s="5" t="s">
        <v>474</v>
      </c>
      <c r="O555" s="5" t="s">
        <v>474</v>
      </c>
      <c r="P555" s="5">
        <v>0</v>
      </c>
      <c r="Q555" s="5">
        <v>0</v>
      </c>
      <c r="R555" s="5" t="str">
        <f>A555&amp;"-"&amp;YEAR(F555)&amp;"-"&amp;IF(LEN(MONTH(F555))=1,"0"&amp;MONTH(F555),MONTH(F555))&amp;"-"&amp;IF(LEN(DAY(F555))=1,"0"&amp;DAY(F555),DAY(F555))</f>
        <v>203-2024-12-31</v>
      </c>
    </row>
    <row r="556" spans="1:18" x14ac:dyDescent="0.3">
      <c r="A556" s="5">
        <v>204</v>
      </c>
      <c r="B556" s="5" t="s">
        <v>85</v>
      </c>
      <c r="C556" s="5" t="s">
        <v>84</v>
      </c>
      <c r="D556" s="5" t="s">
        <v>8</v>
      </c>
      <c r="E556" s="5" t="s">
        <v>9</v>
      </c>
      <c r="F556" s="6">
        <v>45657</v>
      </c>
      <c r="G556" s="5">
        <f t="shared" si="81"/>
        <v>2024</v>
      </c>
      <c r="H556" s="5" t="str">
        <f t="shared" si="79"/>
        <v>Diciembre</v>
      </c>
      <c r="I556" s="6" t="str">
        <f t="shared" si="80"/>
        <v>2024-2</v>
      </c>
      <c r="J556" s="16">
        <f>122440821151/1000000</f>
        <v>122440.821151</v>
      </c>
      <c r="K556" s="10">
        <f>176962748824/1000000</f>
        <v>176962.74882400001</v>
      </c>
      <c r="L556" s="15">
        <f t="shared" si="86"/>
        <v>1.3</v>
      </c>
      <c r="M556" s="15">
        <f t="shared" si="85"/>
        <v>1.4452920779235947</v>
      </c>
      <c r="N556" s="5" t="s">
        <v>474</v>
      </c>
      <c r="O556" s="5" t="s">
        <v>474</v>
      </c>
      <c r="P556" s="5">
        <v>0</v>
      </c>
      <c r="Q556" s="5">
        <v>0</v>
      </c>
      <c r="R556" s="5" t="str">
        <f>A556&amp;"-"&amp;YEAR(F556)&amp;"-"&amp;IF(LEN(MONTH(F556))=1,"0"&amp;MONTH(F556),MONTH(F556))&amp;"-"&amp;IF(LEN(DAY(F556))=1,"0"&amp;DAY(F556),DAY(F556))</f>
        <v>204-2024-12-31</v>
      </c>
    </row>
    <row r="557" spans="1:18" x14ac:dyDescent="0.3">
      <c r="A557" s="5">
        <v>205</v>
      </c>
      <c r="B557" s="5" t="s">
        <v>86</v>
      </c>
      <c r="C557" s="5" t="s">
        <v>84</v>
      </c>
      <c r="D557" s="5" t="s">
        <v>8</v>
      </c>
      <c r="E557" s="5" t="s">
        <v>9</v>
      </c>
      <c r="F557" s="6">
        <v>45657</v>
      </c>
      <c r="G557" s="5">
        <f t="shared" si="81"/>
        <v>2024</v>
      </c>
      <c r="H557" s="5" t="str">
        <f t="shared" si="79"/>
        <v>Diciembre</v>
      </c>
      <c r="I557" s="6" t="str">
        <f t="shared" si="80"/>
        <v>2024-2</v>
      </c>
      <c r="J557" s="5">
        <f>2783219654/1000000</f>
        <v>2783.219654</v>
      </c>
      <c r="K557" s="10">
        <f>5141102865/1000000</f>
        <v>5141.1028649999998</v>
      </c>
      <c r="L557" s="15">
        <f t="shared" si="86"/>
        <v>1.3</v>
      </c>
      <c r="M557" s="15">
        <f t="shared" si="85"/>
        <v>1.8471782698182972</v>
      </c>
      <c r="N557" s="5" t="s">
        <v>474</v>
      </c>
      <c r="O557" s="5" t="s">
        <v>474</v>
      </c>
      <c r="P557" s="5">
        <v>0</v>
      </c>
      <c r="Q557" s="5">
        <v>0</v>
      </c>
      <c r="R557" s="5" t="str">
        <f>A557&amp;"-"&amp;YEAR(F557)&amp;"-"&amp;IF(LEN(MONTH(F557))=1,"0"&amp;MONTH(F557),MONTH(F557))&amp;"-"&amp;IF(LEN(DAY(F557))=1,"0"&amp;DAY(F557),DAY(F557))</f>
        <v>205-2024-12-31</v>
      </c>
    </row>
    <row r="558" spans="1:18" x14ac:dyDescent="0.3">
      <c r="A558" s="5">
        <v>206</v>
      </c>
      <c r="B558" s="5" t="s">
        <v>769</v>
      </c>
      <c r="C558" s="5" t="s">
        <v>84</v>
      </c>
      <c r="D558" s="5" t="s">
        <v>8</v>
      </c>
      <c r="E558" s="5" t="s">
        <v>9</v>
      </c>
      <c r="F558" s="6">
        <v>45657</v>
      </c>
      <c r="G558" s="5">
        <f t="shared" si="81"/>
        <v>2024</v>
      </c>
      <c r="H558" s="5" t="str">
        <f t="shared" si="79"/>
        <v>Diciembre</v>
      </c>
      <c r="I558" s="6" t="str">
        <f t="shared" si="80"/>
        <v>2024-2</v>
      </c>
      <c r="J558" s="9">
        <v>1</v>
      </c>
      <c r="K558" s="9">
        <v>1.37</v>
      </c>
      <c r="L558" s="15">
        <f t="shared" si="86"/>
        <v>1.3</v>
      </c>
      <c r="M558" s="15">
        <f t="shared" si="85"/>
        <v>1.37</v>
      </c>
      <c r="N558" s="5" t="s">
        <v>347</v>
      </c>
      <c r="O558" s="5" t="s">
        <v>347</v>
      </c>
      <c r="P558" s="5">
        <v>0</v>
      </c>
      <c r="Q558" s="5">
        <v>2</v>
      </c>
      <c r="R558" s="5" t="str">
        <f>A558&amp;"-"&amp;YEAR(F558)&amp;"-"&amp;IF(LEN(MONTH(F558))=1,"0"&amp;MONTH(F558),MONTH(F558))&amp;"-"&amp;IF(LEN(DAY(F558))=1,"0"&amp;DAY(F558),DAY(F558))</f>
        <v>206-2024-12-31</v>
      </c>
    </row>
    <row r="559" spans="1:18" x14ac:dyDescent="0.3">
      <c r="A559" s="5">
        <v>207</v>
      </c>
      <c r="B559" s="5" t="s">
        <v>88</v>
      </c>
      <c r="C559" s="5" t="s">
        <v>84</v>
      </c>
      <c r="D559" s="5" t="s">
        <v>8</v>
      </c>
      <c r="E559" s="5" t="s">
        <v>14</v>
      </c>
      <c r="F559" s="6">
        <v>45657</v>
      </c>
      <c r="G559" s="5">
        <f t="shared" si="81"/>
        <v>2024</v>
      </c>
      <c r="H559" s="5" t="str">
        <f t="shared" si="79"/>
        <v>Diciembre</v>
      </c>
      <c r="I559" s="6" t="str">
        <f t="shared" si="80"/>
        <v>2024-2</v>
      </c>
      <c r="J559" s="11">
        <f>262628344390/1000000</f>
        <v>262628.34438999998</v>
      </c>
      <c r="K559" s="11">
        <f>268399199817/1000000</f>
        <v>268399.19981700002</v>
      </c>
      <c r="L559" s="15">
        <f t="shared" si="86"/>
        <v>1.0219734676407599</v>
      </c>
      <c r="M559" s="15">
        <f t="shared" si="85"/>
        <v>1.0219734676407599</v>
      </c>
      <c r="N559" s="5" t="s">
        <v>474</v>
      </c>
      <c r="O559" s="5" t="s">
        <v>474</v>
      </c>
      <c r="P559" s="5">
        <v>0</v>
      </c>
      <c r="Q559" s="5">
        <v>0</v>
      </c>
      <c r="R559" s="5" t="str">
        <f>A559&amp;"-"&amp;YEAR(F559)&amp;"-"&amp;IF(LEN(MONTH(F559))=1,"0"&amp;MONTH(F559),MONTH(F559))&amp;"-"&amp;IF(LEN(DAY(F559))=1,"0"&amp;DAY(F559),DAY(F559))</f>
        <v>207-2024-12-31</v>
      </c>
    </row>
    <row r="560" spans="1:18" x14ac:dyDescent="0.3">
      <c r="A560" s="5">
        <v>208</v>
      </c>
      <c r="B560" s="5" t="s">
        <v>89</v>
      </c>
      <c r="C560" s="5" t="s">
        <v>90</v>
      </c>
      <c r="D560" s="5" t="s">
        <v>18</v>
      </c>
      <c r="E560" s="5" t="s">
        <v>14</v>
      </c>
      <c r="F560" s="6">
        <v>45657</v>
      </c>
      <c r="G560" s="5">
        <f t="shared" si="81"/>
        <v>2024</v>
      </c>
      <c r="H560" s="5" t="str">
        <f t="shared" si="79"/>
        <v>Diciembre</v>
      </c>
      <c r="I560" s="6" t="str">
        <f t="shared" si="80"/>
        <v>2024-2</v>
      </c>
      <c r="J560" s="5">
        <v>20400</v>
      </c>
      <c r="K560" s="5">
        <v>15674.5</v>
      </c>
      <c r="L560" s="15">
        <f t="shared" si="86"/>
        <v>0.76835784313725486</v>
      </c>
      <c r="M560" s="15">
        <f t="shared" si="85"/>
        <v>0.76835784313725486</v>
      </c>
      <c r="N560" s="5" t="s">
        <v>723</v>
      </c>
      <c r="O560" s="5" t="s">
        <v>723</v>
      </c>
      <c r="P560" s="5">
        <v>0</v>
      </c>
      <c r="Q560" s="5">
        <v>0</v>
      </c>
      <c r="R560" s="5" t="str">
        <f>A560&amp;"-"&amp;YEAR(F560)&amp;"-"&amp;IF(LEN(MONTH(F560))=1,"0"&amp;MONTH(F560),MONTH(F560))&amp;"-"&amp;IF(LEN(DAY(F560))=1,"0"&amp;DAY(F560),DAY(F560))</f>
        <v>208-2024-12-31</v>
      </c>
    </row>
    <row r="561" spans="1:18" x14ac:dyDescent="0.3">
      <c r="A561" s="5">
        <v>213</v>
      </c>
      <c r="B561" s="5" t="s">
        <v>92</v>
      </c>
      <c r="C561" s="5" t="s">
        <v>90</v>
      </c>
      <c r="D561" s="5" t="s">
        <v>11</v>
      </c>
      <c r="E561" s="5" t="s">
        <v>9</v>
      </c>
      <c r="F561" s="6">
        <v>45657</v>
      </c>
      <c r="G561" s="5">
        <f t="shared" si="81"/>
        <v>2024</v>
      </c>
      <c r="H561" s="5" t="str">
        <f t="shared" si="79"/>
        <v>Diciembre</v>
      </c>
      <c r="I561" s="6" t="str">
        <f t="shared" si="80"/>
        <v>2024-2</v>
      </c>
      <c r="J561" s="5">
        <v>90</v>
      </c>
      <c r="K561" s="5">
        <v>100</v>
      </c>
      <c r="L561" s="15">
        <f>IFERROR(IF((K561/J561)&gt;1,1,K561/J561),"")</f>
        <v>1</v>
      </c>
      <c r="M561" s="15">
        <f t="shared" si="85"/>
        <v>1.1111111111111112</v>
      </c>
      <c r="N561" s="5" t="s">
        <v>347</v>
      </c>
      <c r="O561" s="5" t="s">
        <v>347</v>
      </c>
      <c r="P561" s="5">
        <v>0</v>
      </c>
      <c r="Q561" s="5">
        <v>0</v>
      </c>
      <c r="R561" s="5" t="str">
        <f>A561&amp;"-"&amp;YEAR(F561)&amp;"-"&amp;IF(LEN(MONTH(F561))=1,"0"&amp;MONTH(F561),MONTH(F561))&amp;"-"&amp;IF(LEN(DAY(F561))=1,"0"&amp;DAY(F561),DAY(F561))</f>
        <v>213-2024-12-31</v>
      </c>
    </row>
    <row r="562" spans="1:18" x14ac:dyDescent="0.3">
      <c r="A562" s="5">
        <v>214</v>
      </c>
      <c r="B562" s="5" t="s">
        <v>93</v>
      </c>
      <c r="C562" s="5" t="s">
        <v>90</v>
      </c>
      <c r="D562" s="5" t="s">
        <v>18</v>
      </c>
      <c r="E562" s="5" t="s">
        <v>14</v>
      </c>
      <c r="F562" s="6">
        <v>45657</v>
      </c>
      <c r="G562" s="5">
        <f t="shared" si="81"/>
        <v>2024</v>
      </c>
      <c r="H562" s="5" t="str">
        <f t="shared" si="79"/>
        <v>Diciembre</v>
      </c>
      <c r="I562" s="6" t="str">
        <f t="shared" si="80"/>
        <v>2024-2</v>
      </c>
      <c r="J562" s="5">
        <f>7500*12</f>
        <v>90000</v>
      </c>
      <c r="K562" s="5">
        <v>60787</v>
      </c>
      <c r="L562" s="15">
        <f>IFERROR(IF((J562/K562)&gt;1,1,J562/K562),"")</f>
        <v>1</v>
      </c>
      <c r="M562" s="15">
        <f>IFERROR(IF((J562/K562)&gt;1,1,J562/K562),"")</f>
        <v>1</v>
      </c>
      <c r="N562" s="5" t="s">
        <v>492</v>
      </c>
      <c r="O562" s="5" t="s">
        <v>492</v>
      </c>
      <c r="P562" s="5">
        <v>0</v>
      </c>
      <c r="Q562" s="5">
        <v>0</v>
      </c>
      <c r="R562" s="5" t="str">
        <f>A562&amp;"-"&amp;YEAR(F562)&amp;"-"&amp;IF(LEN(MONTH(F562))=1,"0"&amp;MONTH(F562),MONTH(F562))&amp;"-"&amp;IF(LEN(DAY(F562))=1,"0"&amp;DAY(F562),DAY(F562))</f>
        <v>214-2024-12-31</v>
      </c>
    </row>
    <row r="563" spans="1:18" x14ac:dyDescent="0.3">
      <c r="A563" s="5">
        <v>215</v>
      </c>
      <c r="B563" s="5" t="s">
        <v>94</v>
      </c>
      <c r="C563" s="5" t="s">
        <v>90</v>
      </c>
      <c r="D563" s="5" t="s">
        <v>8</v>
      </c>
      <c r="E563" s="5" t="s">
        <v>9</v>
      </c>
      <c r="F563" s="6">
        <v>45657</v>
      </c>
      <c r="G563" s="5">
        <f t="shared" si="81"/>
        <v>2024</v>
      </c>
      <c r="H563" s="5" t="str">
        <f t="shared" si="79"/>
        <v>Diciembre</v>
      </c>
      <c r="I563" s="6" t="str">
        <f t="shared" si="80"/>
        <v>2024-2</v>
      </c>
      <c r="J563" s="5">
        <v>1</v>
      </c>
      <c r="K563" s="5">
        <v>-45.65</v>
      </c>
      <c r="L563" s="15">
        <v>0</v>
      </c>
      <c r="M563" s="15">
        <v>0</v>
      </c>
      <c r="N563" s="5" t="s">
        <v>347</v>
      </c>
      <c r="O563" s="5" t="s">
        <v>347</v>
      </c>
      <c r="P563" s="5">
        <v>2</v>
      </c>
      <c r="Q563" s="5">
        <v>2</v>
      </c>
      <c r="R563" s="5" t="str">
        <f>A563&amp;"-"&amp;YEAR(F563)&amp;"-"&amp;IF(LEN(MONTH(F563))=1,"0"&amp;MONTH(F563),MONTH(F563))&amp;"-"&amp;IF(LEN(DAY(F563))=1,"0"&amp;DAY(F563),DAY(F563))</f>
        <v>215-2024-12-31</v>
      </c>
    </row>
    <row r="564" spans="1:18" x14ac:dyDescent="0.3">
      <c r="A564" s="5">
        <v>216</v>
      </c>
      <c r="B564" s="5" t="s">
        <v>95</v>
      </c>
      <c r="C564" s="5" t="s">
        <v>90</v>
      </c>
      <c r="D564" s="5" t="s">
        <v>25</v>
      </c>
      <c r="E564" s="5" t="s">
        <v>9</v>
      </c>
      <c r="F564" s="6">
        <v>45657</v>
      </c>
      <c r="G564" s="5">
        <f t="shared" si="81"/>
        <v>2024</v>
      </c>
      <c r="H564" s="5" t="str">
        <f t="shared" si="79"/>
        <v>Diciembre</v>
      </c>
      <c r="I564" s="6" t="str">
        <f t="shared" si="80"/>
        <v>2024-2</v>
      </c>
      <c r="J564" s="5">
        <v>100</v>
      </c>
      <c r="K564" s="5">
        <v>100</v>
      </c>
      <c r="L564" s="15">
        <f>IFERROR(IF((K564/J564)&gt;1.3,1.3,K564/J564),"")</f>
        <v>1</v>
      </c>
      <c r="M564" s="15">
        <f>IFERROR(K564/J564,"")</f>
        <v>1</v>
      </c>
      <c r="N564" s="5" t="s">
        <v>347</v>
      </c>
      <c r="O564" s="5" t="s">
        <v>347</v>
      </c>
      <c r="P564" s="5">
        <v>0</v>
      </c>
      <c r="Q564" s="5">
        <v>0</v>
      </c>
      <c r="R564" s="5" t="str">
        <f>A564&amp;"-"&amp;YEAR(F564)&amp;"-"&amp;IF(LEN(MONTH(F564))=1,"0"&amp;MONTH(F564),MONTH(F564))&amp;"-"&amp;IF(LEN(DAY(F564))=1,"0"&amp;DAY(F564),DAY(F564))</f>
        <v>216-2024-12-31</v>
      </c>
    </row>
    <row r="565" spans="1:18" x14ac:dyDescent="0.3">
      <c r="A565" s="5">
        <v>217</v>
      </c>
      <c r="B565" s="5" t="s">
        <v>96</v>
      </c>
      <c r="C565" s="5" t="s">
        <v>90</v>
      </c>
      <c r="D565" s="5" t="s">
        <v>18</v>
      </c>
      <c r="E565" s="5" t="s">
        <v>9</v>
      </c>
      <c r="F565" s="6">
        <v>45657</v>
      </c>
      <c r="G565" s="5">
        <f t="shared" si="81"/>
        <v>2024</v>
      </c>
      <c r="H565" s="5" t="str">
        <f t="shared" si="79"/>
        <v>Diciembre</v>
      </c>
      <c r="I565" s="6" t="str">
        <f t="shared" si="80"/>
        <v>2024-2</v>
      </c>
      <c r="J565" s="5">
        <v>20</v>
      </c>
      <c r="K565" s="5">
        <v>27.05</v>
      </c>
      <c r="L565" s="15">
        <f>IFERROR(IF((K565/J565)&gt;1,1,K565/J565),"")</f>
        <v>1</v>
      </c>
      <c r="M565" s="15">
        <f>IFERROR(K565/J565,"")</f>
        <v>1.3525</v>
      </c>
      <c r="N565" s="5" t="s">
        <v>347</v>
      </c>
      <c r="O565" s="5" t="s">
        <v>347</v>
      </c>
      <c r="P565" s="5">
        <v>0</v>
      </c>
      <c r="Q565" s="5">
        <v>0</v>
      </c>
      <c r="R565" s="5" t="str">
        <f>A565&amp;"-"&amp;YEAR(F565)&amp;"-"&amp;IF(LEN(MONTH(F565))=1,"0"&amp;MONTH(F565),MONTH(F565))&amp;"-"&amp;IF(LEN(DAY(F565))=1,"0"&amp;DAY(F565),DAY(F565))</f>
        <v>217-2024-12-31</v>
      </c>
    </row>
    <row r="566" spans="1:18" x14ac:dyDescent="0.3">
      <c r="A566" s="5">
        <v>218</v>
      </c>
      <c r="B566" s="5" t="s">
        <v>97</v>
      </c>
      <c r="C566" s="5" t="s">
        <v>90</v>
      </c>
      <c r="D566" s="5" t="s">
        <v>18</v>
      </c>
      <c r="E566" s="5" t="s">
        <v>14</v>
      </c>
      <c r="F566" s="6">
        <v>45657</v>
      </c>
      <c r="G566" s="5">
        <f t="shared" si="81"/>
        <v>2024</v>
      </c>
      <c r="H566" s="5" t="str">
        <f t="shared" si="79"/>
        <v>Diciembre</v>
      </c>
      <c r="I566" s="6" t="str">
        <f t="shared" si="80"/>
        <v>2024-2</v>
      </c>
      <c r="J566" s="5">
        <f>172000*12</f>
        <v>2064000</v>
      </c>
      <c r="K566" s="5">
        <v>1724302.82</v>
      </c>
      <c r="L566" s="15">
        <f>IFERROR(IF((J566/K566)&gt;1,1,J566/K566),"")</f>
        <v>1</v>
      </c>
      <c r="M566" s="15">
        <f>IFERROR(IF((J566/K566)&gt;J566/K566,1.3,J566/K566),"")</f>
        <v>1.1970055236585415</v>
      </c>
      <c r="N566" s="5" t="s">
        <v>362</v>
      </c>
      <c r="O566" s="5" t="s">
        <v>362</v>
      </c>
      <c r="P566" s="5">
        <v>0</v>
      </c>
      <c r="Q566" s="5">
        <v>0</v>
      </c>
      <c r="R566" s="5" t="str">
        <f>A566&amp;"-"&amp;YEAR(F566)&amp;"-"&amp;IF(LEN(MONTH(F566))=1,"0"&amp;MONTH(F566),MONTH(F566))&amp;"-"&amp;IF(LEN(DAY(F566))=1,"0"&amp;DAY(F566),DAY(F566))</f>
        <v>218-2024-12-31</v>
      </c>
    </row>
    <row r="567" spans="1:18" x14ac:dyDescent="0.3">
      <c r="A567" s="5">
        <v>219</v>
      </c>
      <c r="B567" s="5" t="s">
        <v>98</v>
      </c>
      <c r="C567" s="5" t="s">
        <v>90</v>
      </c>
      <c r="D567" s="5" t="s">
        <v>8</v>
      </c>
      <c r="E567" s="5" t="s">
        <v>9</v>
      </c>
      <c r="F567" s="6">
        <v>45657</v>
      </c>
      <c r="G567" s="5">
        <f t="shared" si="81"/>
        <v>2024</v>
      </c>
      <c r="H567" s="5" t="str">
        <f t="shared" si="79"/>
        <v>Diciembre</v>
      </c>
      <c r="I567" s="6" t="str">
        <f t="shared" si="80"/>
        <v>2024-2</v>
      </c>
      <c r="J567" s="5">
        <v>1</v>
      </c>
      <c r="K567" s="5">
        <v>-0.53</v>
      </c>
      <c r="L567" s="15">
        <v>0</v>
      </c>
      <c r="M567" s="15">
        <v>0</v>
      </c>
      <c r="N567" s="5" t="s">
        <v>347</v>
      </c>
      <c r="O567" s="5" t="s">
        <v>347</v>
      </c>
      <c r="P567" s="5">
        <v>0</v>
      </c>
      <c r="Q567" s="5">
        <v>0</v>
      </c>
      <c r="R567" s="5" t="str">
        <f>A567&amp;"-"&amp;YEAR(F567)&amp;"-"&amp;IF(LEN(MONTH(F567))=1,"0"&amp;MONTH(F567),MONTH(F567))&amp;"-"&amp;IF(LEN(DAY(F567))=1,"0"&amp;DAY(F567),DAY(F567))</f>
        <v>219-2024-12-31</v>
      </c>
    </row>
    <row r="568" spans="1:18" x14ac:dyDescent="0.3">
      <c r="A568" s="5">
        <v>220</v>
      </c>
      <c r="B568" s="5" t="s">
        <v>99</v>
      </c>
      <c r="C568" s="5" t="s">
        <v>90</v>
      </c>
      <c r="D568" s="5" t="s">
        <v>8</v>
      </c>
      <c r="E568" s="5" t="s">
        <v>9</v>
      </c>
      <c r="F568" s="6">
        <v>45657</v>
      </c>
      <c r="G568" s="5">
        <f t="shared" si="81"/>
        <v>2024</v>
      </c>
      <c r="H568" s="5" t="str">
        <f t="shared" si="79"/>
        <v>Diciembre</v>
      </c>
      <c r="I568" s="6" t="str">
        <f t="shared" si="80"/>
        <v>2024-2</v>
      </c>
      <c r="J568" s="5">
        <v>1</v>
      </c>
      <c r="K568" s="5">
        <v>13.03</v>
      </c>
      <c r="L568" s="15">
        <f>IFERROR(IF((K568/J568)&gt;1,1,K568/J568),"")</f>
        <v>1</v>
      </c>
      <c r="M568" s="15">
        <f>IFERROR(IF((K568/J568)&gt;1,1,K568/J568),"")</f>
        <v>1</v>
      </c>
      <c r="N568" s="5" t="s">
        <v>347</v>
      </c>
      <c r="O568" s="5" t="s">
        <v>347</v>
      </c>
      <c r="P568" s="5">
        <v>0</v>
      </c>
      <c r="Q568" s="5">
        <v>0</v>
      </c>
      <c r="R568" s="5" t="str">
        <f>A568&amp;"-"&amp;YEAR(F568)&amp;"-"&amp;IF(LEN(MONTH(F568))=1,"0"&amp;MONTH(F568),MONTH(F568))&amp;"-"&amp;IF(LEN(DAY(F568))=1,"0"&amp;DAY(F568),DAY(F568))</f>
        <v>220-2024-12-31</v>
      </c>
    </row>
    <row r="569" spans="1:18" x14ac:dyDescent="0.3">
      <c r="A569" s="5">
        <v>221</v>
      </c>
      <c r="B569" s="5" t="s">
        <v>100</v>
      </c>
      <c r="C569" s="5" t="s">
        <v>90</v>
      </c>
      <c r="D569" s="5" t="s">
        <v>25</v>
      </c>
      <c r="E569" s="5" t="s">
        <v>9</v>
      </c>
      <c r="F569" s="6">
        <v>45657</v>
      </c>
      <c r="G569" s="5">
        <f t="shared" si="81"/>
        <v>2024</v>
      </c>
      <c r="H569" s="5" t="str">
        <f t="shared" si="79"/>
        <v>Diciembre</v>
      </c>
      <c r="I569" s="6" t="str">
        <f t="shared" si="80"/>
        <v>2024-2</v>
      </c>
      <c r="J569" s="5">
        <v>100</v>
      </c>
      <c r="K569" s="5">
        <v>33.33</v>
      </c>
      <c r="L569" s="15">
        <f>IFERROR(IF((K569/J569)&gt;1.3,1.3,K569/J569),"")</f>
        <v>0.33329999999999999</v>
      </c>
      <c r="M569" s="15">
        <f>IFERROR(K569/J569,"")</f>
        <v>0.33329999999999999</v>
      </c>
      <c r="N569" s="5" t="s">
        <v>347</v>
      </c>
      <c r="O569" s="5" t="s">
        <v>347</v>
      </c>
      <c r="P569" s="5">
        <v>0</v>
      </c>
      <c r="Q569" s="5">
        <v>0</v>
      </c>
      <c r="R569" s="5" t="str">
        <f>A569&amp;"-"&amp;YEAR(F569)&amp;"-"&amp;IF(LEN(MONTH(F569))=1,"0"&amp;MONTH(F569),MONTH(F569))&amp;"-"&amp;IF(LEN(DAY(F569))=1,"0"&amp;DAY(F569),DAY(F569))</f>
        <v>221-2024-12-31</v>
      </c>
    </row>
    <row r="570" spans="1:18" x14ac:dyDescent="0.3">
      <c r="A570" s="5">
        <v>222</v>
      </c>
      <c r="B570" s="5" t="s">
        <v>101</v>
      </c>
      <c r="C570" s="5" t="s">
        <v>90</v>
      </c>
      <c r="D570" s="5" t="s">
        <v>25</v>
      </c>
      <c r="E570" s="5" t="s">
        <v>9</v>
      </c>
      <c r="F570" s="6">
        <v>45657</v>
      </c>
      <c r="G570" s="5">
        <f t="shared" si="81"/>
        <v>2024</v>
      </c>
      <c r="H570" s="5" t="str">
        <f t="shared" si="79"/>
        <v>Diciembre</v>
      </c>
      <c r="I570" s="6" t="str">
        <f t="shared" si="80"/>
        <v>2024-2</v>
      </c>
      <c r="J570" s="5">
        <v>100</v>
      </c>
      <c r="K570" s="5">
        <v>68.75</v>
      </c>
      <c r="L570" s="15">
        <f>IFERROR(IF((K570/J570)&gt;1.3,1.3,K570/J570),"")</f>
        <v>0.6875</v>
      </c>
      <c r="M570" s="15">
        <f>IFERROR(K570/J570,"")</f>
        <v>0.6875</v>
      </c>
      <c r="N570" s="5" t="s">
        <v>347</v>
      </c>
      <c r="O570" s="5" t="s">
        <v>347</v>
      </c>
      <c r="P570" s="5">
        <v>0</v>
      </c>
      <c r="Q570" s="5">
        <v>0</v>
      </c>
      <c r="R570" s="5" t="str">
        <f>A570&amp;"-"&amp;YEAR(F570)&amp;"-"&amp;IF(LEN(MONTH(F570))=1,"0"&amp;MONTH(F570),MONTH(F570))&amp;"-"&amp;IF(LEN(DAY(F570))=1,"0"&amp;DAY(F570),DAY(F570))</f>
        <v>222-2024-12-31</v>
      </c>
    </row>
    <row r="571" spans="1:18" x14ac:dyDescent="0.3">
      <c r="A571" s="5">
        <v>223</v>
      </c>
      <c r="B571" s="5" t="s">
        <v>102</v>
      </c>
      <c r="C571" s="5" t="s">
        <v>90</v>
      </c>
      <c r="D571" s="5" t="s">
        <v>25</v>
      </c>
      <c r="E571" s="5" t="s">
        <v>9</v>
      </c>
      <c r="F571" s="6">
        <v>45657</v>
      </c>
      <c r="G571" s="5">
        <f t="shared" si="81"/>
        <v>2024</v>
      </c>
      <c r="H571" s="5" t="str">
        <f t="shared" si="79"/>
        <v>Diciembre</v>
      </c>
      <c r="I571" s="6" t="str">
        <f t="shared" si="80"/>
        <v>2024-2</v>
      </c>
      <c r="J571" s="5">
        <v>100</v>
      </c>
      <c r="K571" s="5">
        <v>94.12</v>
      </c>
      <c r="L571" s="15">
        <f>IFERROR(IF((K571/J571)&gt;1.3,1.3,K571/J571),"")</f>
        <v>0.94120000000000004</v>
      </c>
      <c r="M571" s="15">
        <f>IFERROR(K571/J571,"")</f>
        <v>0.94120000000000004</v>
      </c>
      <c r="N571" s="5" t="s">
        <v>347</v>
      </c>
      <c r="O571" s="5" t="s">
        <v>347</v>
      </c>
      <c r="P571" s="5">
        <v>0</v>
      </c>
      <c r="Q571" s="5">
        <v>0</v>
      </c>
      <c r="R571" s="5" t="str">
        <f>A571&amp;"-"&amp;YEAR(F571)&amp;"-"&amp;IF(LEN(MONTH(F571))=1,"0"&amp;MONTH(F571),MONTH(F571))&amp;"-"&amp;IF(LEN(DAY(F571))=1,"0"&amp;DAY(F571),DAY(F571))</f>
        <v>223-2024-12-31</v>
      </c>
    </row>
    <row r="572" spans="1:18" x14ac:dyDescent="0.3">
      <c r="A572" s="5">
        <v>224</v>
      </c>
      <c r="B572" s="5" t="s">
        <v>458</v>
      </c>
      <c r="C572" s="5" t="s">
        <v>90</v>
      </c>
      <c r="D572" s="5" t="s">
        <v>25</v>
      </c>
      <c r="E572" s="5" t="s">
        <v>9</v>
      </c>
      <c r="F572" s="6">
        <v>45657</v>
      </c>
      <c r="G572" s="5">
        <f t="shared" si="81"/>
        <v>2024</v>
      </c>
      <c r="H572" s="5" t="str">
        <f t="shared" ref="H572:H635" si="87">PROPER(TEXT(F572,"mmmm"))</f>
        <v>Diciembre</v>
      </c>
      <c r="I572" s="6" t="str">
        <f t="shared" ref="I572:I635" si="88">IF(OR(H572="Enero",H572="Febrero",H572="Marzo",H572="Abril",H572="Mayo",H572="Junio"),G572&amp;"-1",IF(OR(H572="Julio",H572="Agosto",H572="Septiembre",H572="Octubre",H572="Noviembre",H572="Diciembre"),G572&amp;"-2"))</f>
        <v>2024-2</v>
      </c>
      <c r="J572" s="5">
        <v>100</v>
      </c>
      <c r="K572" s="5">
        <v>100</v>
      </c>
      <c r="L572" s="15">
        <f>IFERROR(IF((K572/J572)&gt;1.3,1.3,K572/J572),"")</f>
        <v>1</v>
      </c>
      <c r="M572" s="15">
        <f>IFERROR(K572/J572,"")</f>
        <v>1</v>
      </c>
      <c r="N572" s="5" t="s">
        <v>347</v>
      </c>
      <c r="O572" s="5" t="s">
        <v>347</v>
      </c>
      <c r="P572" s="5">
        <v>0</v>
      </c>
      <c r="Q572" s="5">
        <v>0</v>
      </c>
      <c r="R572" s="5" t="str">
        <f>A572&amp;"-"&amp;YEAR(F572)&amp;"-"&amp;IF(LEN(MONTH(F572))=1,"0"&amp;MONTH(F572),MONTH(F572))&amp;"-"&amp;IF(LEN(DAY(F572))=1,"0"&amp;DAY(F572),DAY(F572))</f>
        <v>224-2024-12-31</v>
      </c>
    </row>
    <row r="573" spans="1:18" x14ac:dyDescent="0.3">
      <c r="A573" s="5">
        <v>225</v>
      </c>
      <c r="B573" s="5" t="s">
        <v>103</v>
      </c>
      <c r="C573" s="5" t="s">
        <v>90</v>
      </c>
      <c r="D573" s="5" t="s">
        <v>18</v>
      </c>
      <c r="E573" s="5" t="s">
        <v>9</v>
      </c>
      <c r="F573" s="6">
        <v>45657</v>
      </c>
      <c r="G573" s="5">
        <f t="shared" si="81"/>
        <v>2024</v>
      </c>
      <c r="H573" s="5" t="str">
        <f t="shared" si="87"/>
        <v>Diciembre</v>
      </c>
      <c r="I573" s="6" t="str">
        <f t="shared" si="88"/>
        <v>2024-2</v>
      </c>
      <c r="J573" s="5">
        <v>100</v>
      </c>
      <c r="K573" s="5">
        <v>100</v>
      </c>
      <c r="L573" s="15">
        <f>IFERROR(IF((K573/J573)&gt;1.3,1.3,K573/J573),"")</f>
        <v>1</v>
      </c>
      <c r="M573" s="15">
        <f>IFERROR(K573/J573,"")</f>
        <v>1</v>
      </c>
      <c r="N573" s="5" t="s">
        <v>347</v>
      </c>
      <c r="O573" s="5" t="s">
        <v>347</v>
      </c>
      <c r="P573" s="5">
        <v>0</v>
      </c>
      <c r="Q573" s="5">
        <v>0</v>
      </c>
      <c r="R573" s="5" t="str">
        <f>A573&amp;"-"&amp;YEAR(F573)&amp;"-"&amp;IF(LEN(MONTH(F573))=1,"0"&amp;MONTH(F573),MONTH(F573))&amp;"-"&amp;IF(LEN(DAY(F573))=1,"0"&amp;DAY(F573),DAY(F573))</f>
        <v>225-2024-12-31</v>
      </c>
    </row>
    <row r="574" spans="1:18" x14ac:dyDescent="0.3">
      <c r="A574" s="5">
        <v>226</v>
      </c>
      <c r="B574" s="5" t="s">
        <v>104</v>
      </c>
      <c r="C574" s="5" t="s">
        <v>90</v>
      </c>
      <c r="D574" s="5" t="s">
        <v>25</v>
      </c>
      <c r="E574" s="5" t="s">
        <v>9</v>
      </c>
      <c r="F574" s="6">
        <v>45657</v>
      </c>
      <c r="G574" s="5">
        <f t="shared" si="81"/>
        <v>2024</v>
      </c>
      <c r="H574" s="5" t="str">
        <f t="shared" si="87"/>
        <v>Diciembre</v>
      </c>
      <c r="I574" s="6" t="str">
        <f t="shared" si="88"/>
        <v>2024-2</v>
      </c>
      <c r="J574" s="5"/>
      <c r="K574" s="5"/>
      <c r="L574" s="15" t="str">
        <f>IFERROR(IF((K574/J574)&gt;1,1,K574/J574),"")</f>
        <v/>
      </c>
      <c r="M574" s="15" t="str">
        <f>IFERROR(IF((K574/J574)&gt;1,1,K574/J574),"")</f>
        <v/>
      </c>
      <c r="N574" s="5" t="s">
        <v>347</v>
      </c>
      <c r="O574" s="5" t="s">
        <v>347</v>
      </c>
      <c r="P574" s="5">
        <v>0</v>
      </c>
      <c r="Q574" s="5">
        <v>0</v>
      </c>
      <c r="R574" s="5" t="str">
        <f>A574&amp;"-"&amp;YEAR(F574)&amp;"-"&amp;IF(LEN(MONTH(F574))=1,"0"&amp;MONTH(F574),MONTH(F574))&amp;"-"&amp;IF(LEN(DAY(F574))=1,"0"&amp;DAY(F574),DAY(F574))</f>
        <v>226-2024-12-31</v>
      </c>
    </row>
    <row r="575" spans="1:18" x14ac:dyDescent="0.3">
      <c r="A575" s="5">
        <v>227</v>
      </c>
      <c r="B575" s="5" t="s">
        <v>105</v>
      </c>
      <c r="C575" s="5" t="s">
        <v>90</v>
      </c>
      <c r="D575" s="5" t="s">
        <v>25</v>
      </c>
      <c r="E575" s="5" t="s">
        <v>14</v>
      </c>
      <c r="F575" s="6">
        <v>45657</v>
      </c>
      <c r="G575" s="5">
        <f t="shared" si="81"/>
        <v>2024</v>
      </c>
      <c r="H575" s="5" t="str">
        <f t="shared" si="87"/>
        <v>Diciembre</v>
      </c>
      <c r="I575" s="6" t="str">
        <f t="shared" si="88"/>
        <v>2024-2</v>
      </c>
      <c r="J575" s="5"/>
      <c r="K575" s="5"/>
      <c r="L575" s="15" t="str">
        <f>IFERROR(IF((K575/J575)&gt;1.3,1.3,K575/J575),"")</f>
        <v/>
      </c>
      <c r="M575" s="15" t="str">
        <f>IFERROR(K575/J575,"")</f>
        <v/>
      </c>
      <c r="N575" s="5" t="s">
        <v>347</v>
      </c>
      <c r="O575" s="5" t="s">
        <v>347</v>
      </c>
      <c r="P575" s="5">
        <v>0</v>
      </c>
      <c r="Q575" s="5">
        <v>0</v>
      </c>
      <c r="R575" s="5" t="str">
        <f>A575&amp;"-"&amp;YEAR(F575)&amp;"-"&amp;IF(LEN(MONTH(F575))=1,"0"&amp;MONTH(F575),MONTH(F575))&amp;"-"&amp;IF(LEN(DAY(F575))=1,"0"&amp;DAY(F575),DAY(F575))</f>
        <v>227-2024-12-31</v>
      </c>
    </row>
    <row r="576" spans="1:18" x14ac:dyDescent="0.3">
      <c r="A576" s="5">
        <v>228</v>
      </c>
      <c r="B576" s="5" t="s">
        <v>106</v>
      </c>
      <c r="C576" s="5" t="s">
        <v>90</v>
      </c>
      <c r="D576" s="5" t="s">
        <v>25</v>
      </c>
      <c r="E576" s="5" t="s">
        <v>9</v>
      </c>
      <c r="F576" s="6">
        <v>45657</v>
      </c>
      <c r="G576" s="5">
        <f t="shared" si="81"/>
        <v>2024</v>
      </c>
      <c r="H576" s="5" t="str">
        <f t="shared" si="87"/>
        <v>Diciembre</v>
      </c>
      <c r="I576" s="6" t="str">
        <f t="shared" si="88"/>
        <v>2024-2</v>
      </c>
      <c r="J576" s="5">
        <v>622.68999999999994</v>
      </c>
      <c r="K576" s="5">
        <v>622.68999999999994</v>
      </c>
      <c r="L576" s="15">
        <f>IFERROR(IF((K576/J576)&gt;1,1,K576/J576),"")</f>
        <v>1</v>
      </c>
      <c r="M576" s="15">
        <f>IFERROR(K576/J576,"")</f>
        <v>1</v>
      </c>
      <c r="N576" s="5" t="s">
        <v>798</v>
      </c>
      <c r="O576" s="5" t="s">
        <v>798</v>
      </c>
      <c r="P576" s="5">
        <v>1</v>
      </c>
      <c r="Q576" s="5">
        <v>1</v>
      </c>
      <c r="R576" s="5" t="str">
        <f>A576&amp;"-"&amp;YEAR(F576)&amp;"-"&amp;IF(LEN(MONTH(F576))=1,"0"&amp;MONTH(F576),MONTH(F576))&amp;"-"&amp;IF(LEN(DAY(F576))=1,"0"&amp;DAY(F576),DAY(F576))</f>
        <v>228-2024-12-31</v>
      </c>
    </row>
    <row r="577" spans="1:18" x14ac:dyDescent="0.3">
      <c r="A577" s="5">
        <v>230</v>
      </c>
      <c r="B577" s="5" t="s">
        <v>107</v>
      </c>
      <c r="C577" s="5" t="s">
        <v>90</v>
      </c>
      <c r="D577" s="5" t="s">
        <v>8</v>
      </c>
      <c r="E577" s="5" t="s">
        <v>9</v>
      </c>
      <c r="F577" s="6">
        <v>45657</v>
      </c>
      <c r="G577" s="5">
        <f t="shared" ref="G577:G640" si="89">YEAR(F577)</f>
        <v>2024</v>
      </c>
      <c r="H577" s="5" t="str">
        <f t="shared" si="87"/>
        <v>Diciembre</v>
      </c>
      <c r="I577" s="6" t="str">
        <f t="shared" si="88"/>
        <v>2024-2</v>
      </c>
      <c r="J577" s="5">
        <v>90</v>
      </c>
      <c r="K577" s="5">
        <v>100</v>
      </c>
      <c r="L577" s="15">
        <f>IFERROR(IF((K577/J577)&gt;1,1,K577/J577),"")</f>
        <v>1</v>
      </c>
      <c r="M577" s="15">
        <f>IFERROR(K577/J577,"")</f>
        <v>1.1111111111111112</v>
      </c>
      <c r="N577" s="5" t="s">
        <v>347</v>
      </c>
      <c r="O577" s="5" t="s">
        <v>347</v>
      </c>
      <c r="P577" s="5">
        <v>0</v>
      </c>
      <c r="Q577" s="5">
        <v>0</v>
      </c>
      <c r="R577" s="5" t="str">
        <f>A577&amp;"-"&amp;YEAR(F577)&amp;"-"&amp;IF(LEN(MONTH(F577))=1,"0"&amp;MONTH(F577),MONTH(F577))&amp;"-"&amp;IF(LEN(DAY(F577))=1,"0"&amp;DAY(F577),DAY(F577))</f>
        <v>230-2024-12-31</v>
      </c>
    </row>
    <row r="578" spans="1:18" x14ac:dyDescent="0.3">
      <c r="A578" s="5">
        <v>231</v>
      </c>
      <c r="B578" s="5" t="s">
        <v>108</v>
      </c>
      <c r="C578" s="5" t="s">
        <v>90</v>
      </c>
      <c r="D578" s="5" t="s">
        <v>8</v>
      </c>
      <c r="E578" s="5" t="s">
        <v>9</v>
      </c>
      <c r="F578" s="6">
        <v>45657</v>
      </c>
      <c r="G578" s="5">
        <f t="shared" si="89"/>
        <v>2024</v>
      </c>
      <c r="H578" s="5" t="str">
        <f t="shared" si="87"/>
        <v>Diciembre</v>
      </c>
      <c r="I578" s="6" t="str">
        <f t="shared" si="88"/>
        <v>2024-2</v>
      </c>
      <c r="J578" s="5">
        <v>35</v>
      </c>
      <c r="K578" s="5">
        <v>101.22</v>
      </c>
      <c r="L578" s="15">
        <f>IFERROR(IF((K578/J578)&gt;1,1,K578/J578),"")</f>
        <v>1</v>
      </c>
      <c r="M578" s="15">
        <f>IFERROR(IF((K578/J578)&gt;1,1,K578/J578),"")</f>
        <v>1</v>
      </c>
      <c r="N578" s="5" t="s">
        <v>347</v>
      </c>
      <c r="O578" s="5" t="s">
        <v>347</v>
      </c>
      <c r="P578" s="5">
        <v>0</v>
      </c>
      <c r="Q578" s="5">
        <v>0</v>
      </c>
      <c r="R578" s="5" t="str">
        <f>A578&amp;"-"&amp;YEAR(F578)&amp;"-"&amp;IF(LEN(MONTH(F578))=1,"0"&amp;MONTH(F578),MONTH(F578))&amp;"-"&amp;IF(LEN(DAY(F578))=1,"0"&amp;DAY(F578),DAY(F578))</f>
        <v>231-2024-12-31</v>
      </c>
    </row>
    <row r="579" spans="1:18" x14ac:dyDescent="0.3">
      <c r="A579" s="5">
        <v>232</v>
      </c>
      <c r="B579" s="5" t="s">
        <v>109</v>
      </c>
      <c r="C579" s="5" t="s">
        <v>90</v>
      </c>
      <c r="D579" s="5" t="s">
        <v>8</v>
      </c>
      <c r="E579" s="5" t="s">
        <v>9</v>
      </c>
      <c r="F579" s="6">
        <v>45657</v>
      </c>
      <c r="G579" s="5">
        <f t="shared" si="89"/>
        <v>2024</v>
      </c>
      <c r="H579" s="5" t="str">
        <f t="shared" si="87"/>
        <v>Diciembre</v>
      </c>
      <c r="I579" s="6" t="str">
        <f t="shared" si="88"/>
        <v>2024-2</v>
      </c>
      <c r="J579" s="5">
        <v>90</v>
      </c>
      <c r="K579" s="5">
        <v>97.73</v>
      </c>
      <c r="L579" s="15">
        <f>IFERROR(IF((K579/J579)&gt;1.3,1.3,K579/J579),"")</f>
        <v>1.0858888888888889</v>
      </c>
      <c r="M579" s="15">
        <f t="shared" ref="M579:M587" si="90">IFERROR(K579/J579,"")</f>
        <v>1.0858888888888889</v>
      </c>
      <c r="N579" s="5" t="s">
        <v>347</v>
      </c>
      <c r="O579" s="5" t="s">
        <v>347</v>
      </c>
      <c r="P579" s="5">
        <v>0</v>
      </c>
      <c r="Q579" s="5">
        <v>0</v>
      </c>
      <c r="R579" s="5" t="str">
        <f>A579&amp;"-"&amp;YEAR(F579)&amp;"-"&amp;IF(LEN(MONTH(F579))=1,"0"&amp;MONTH(F579),MONTH(F579))&amp;"-"&amp;IF(LEN(DAY(F579))=1,"0"&amp;DAY(F579),DAY(F579))</f>
        <v>232-2024-12-31</v>
      </c>
    </row>
    <row r="580" spans="1:18" x14ac:dyDescent="0.3">
      <c r="A580" s="5">
        <v>233</v>
      </c>
      <c r="B580" s="5" t="s">
        <v>110</v>
      </c>
      <c r="C580" s="5" t="s">
        <v>90</v>
      </c>
      <c r="D580" s="5" t="s">
        <v>11</v>
      </c>
      <c r="E580" s="5" t="s">
        <v>9</v>
      </c>
      <c r="F580" s="6">
        <v>45657</v>
      </c>
      <c r="G580" s="5">
        <f t="shared" si="89"/>
        <v>2024</v>
      </c>
      <c r="H580" s="5" t="str">
        <f t="shared" si="87"/>
        <v>Diciembre</v>
      </c>
      <c r="I580" s="6" t="str">
        <f t="shared" si="88"/>
        <v>2024-2</v>
      </c>
      <c r="J580" s="5">
        <v>20</v>
      </c>
      <c r="K580" s="5">
        <v>18.62</v>
      </c>
      <c r="L580" s="15">
        <f>IFERROR(IF((K580/J580)&gt;1.3,1.3,K580/J580),"")</f>
        <v>0.93100000000000005</v>
      </c>
      <c r="M580" s="15">
        <f t="shared" si="90"/>
        <v>0.93100000000000005</v>
      </c>
      <c r="N580" s="5" t="s">
        <v>347</v>
      </c>
      <c r="O580" s="5" t="s">
        <v>347</v>
      </c>
      <c r="P580" s="5">
        <v>0</v>
      </c>
      <c r="Q580" s="5">
        <v>0</v>
      </c>
      <c r="R580" s="5" t="str">
        <f>A580&amp;"-"&amp;YEAR(F580)&amp;"-"&amp;IF(LEN(MONTH(F580))=1,"0"&amp;MONTH(F580),MONTH(F580))&amp;"-"&amp;IF(LEN(DAY(F580))=1,"0"&amp;DAY(F580),DAY(F580))</f>
        <v>233-2024-12-31</v>
      </c>
    </row>
    <row r="581" spans="1:18" x14ac:dyDescent="0.3">
      <c r="A581" s="5">
        <v>234</v>
      </c>
      <c r="B581" s="5" t="s">
        <v>111</v>
      </c>
      <c r="C581" s="5" t="s">
        <v>90</v>
      </c>
      <c r="D581" s="5" t="s">
        <v>11</v>
      </c>
      <c r="E581" s="5" t="s">
        <v>9</v>
      </c>
      <c r="F581" s="6">
        <v>45657</v>
      </c>
      <c r="G581" s="5">
        <f t="shared" si="89"/>
        <v>2024</v>
      </c>
      <c r="H581" s="5" t="str">
        <f t="shared" si="87"/>
        <v>Diciembre</v>
      </c>
      <c r="I581" s="6" t="str">
        <f t="shared" si="88"/>
        <v>2024-2</v>
      </c>
      <c r="J581" s="5">
        <v>4000</v>
      </c>
      <c r="K581" s="5">
        <v>4747.43</v>
      </c>
      <c r="L581" s="76">
        <f>IFERROR(IF((K581/J581)&gt;1,1,K581/J581),"")</f>
        <v>1</v>
      </c>
      <c r="M581" s="15">
        <f t="shared" si="90"/>
        <v>1.1868575000000001</v>
      </c>
      <c r="N581" s="5" t="s">
        <v>490</v>
      </c>
      <c r="O581" s="5" t="s">
        <v>490</v>
      </c>
      <c r="P581" s="5">
        <v>0</v>
      </c>
      <c r="Q581" s="5">
        <v>0</v>
      </c>
      <c r="R581" s="5" t="str">
        <f>A581&amp;"-"&amp;YEAR(F581)&amp;"-"&amp;IF(LEN(MONTH(F581))=1,"0"&amp;MONTH(F581),MONTH(F581))&amp;"-"&amp;IF(LEN(DAY(F581))=1,"0"&amp;DAY(F581),DAY(F581))</f>
        <v>234-2024-12-31</v>
      </c>
    </row>
    <row r="582" spans="1:18" x14ac:dyDescent="0.3">
      <c r="A582" s="5">
        <v>235</v>
      </c>
      <c r="B582" s="5" t="s">
        <v>112</v>
      </c>
      <c r="C582" s="5" t="s">
        <v>90</v>
      </c>
      <c r="D582" s="5" t="s">
        <v>25</v>
      </c>
      <c r="E582" s="5" t="s">
        <v>9</v>
      </c>
      <c r="F582" s="6">
        <v>45657</v>
      </c>
      <c r="G582" s="5">
        <f t="shared" si="89"/>
        <v>2024</v>
      </c>
      <c r="H582" s="5" t="str">
        <f t="shared" si="87"/>
        <v>Diciembre</v>
      </c>
      <c r="I582" s="6" t="str">
        <f t="shared" si="88"/>
        <v>2024-2</v>
      </c>
      <c r="J582" s="5">
        <v>100</v>
      </c>
      <c r="K582" s="5">
        <v>92.01</v>
      </c>
      <c r="L582" s="15">
        <f t="shared" ref="L582:L587" si="91">IFERROR(IF((K582/J582)&gt;1.3,1.3,K582/J582),"")</f>
        <v>0.92010000000000003</v>
      </c>
      <c r="M582" s="15">
        <f t="shared" si="90"/>
        <v>0.92010000000000003</v>
      </c>
      <c r="N582" s="5" t="s">
        <v>347</v>
      </c>
      <c r="O582" s="5" t="s">
        <v>347</v>
      </c>
      <c r="P582" s="5">
        <v>0</v>
      </c>
      <c r="Q582" s="5">
        <v>0</v>
      </c>
      <c r="R582" s="5" t="str">
        <f>A582&amp;"-"&amp;YEAR(F582)&amp;"-"&amp;IF(LEN(MONTH(F582))=1,"0"&amp;MONTH(F582),MONTH(F582))&amp;"-"&amp;IF(LEN(DAY(F582))=1,"0"&amp;DAY(F582),DAY(F582))</f>
        <v>235-2024-12-31</v>
      </c>
    </row>
    <row r="583" spans="1:18" x14ac:dyDescent="0.3">
      <c r="A583" s="5">
        <v>236</v>
      </c>
      <c r="B583" s="5" t="s">
        <v>113</v>
      </c>
      <c r="C583" s="5" t="s">
        <v>90</v>
      </c>
      <c r="D583" s="5" t="s">
        <v>25</v>
      </c>
      <c r="E583" s="5" t="s">
        <v>14</v>
      </c>
      <c r="F583" s="6">
        <v>45657</v>
      </c>
      <c r="G583" s="5">
        <f t="shared" si="89"/>
        <v>2024</v>
      </c>
      <c r="H583" s="5" t="str">
        <f t="shared" si="87"/>
        <v>Diciembre</v>
      </c>
      <c r="I583" s="6" t="str">
        <f t="shared" si="88"/>
        <v>2024-2</v>
      </c>
      <c r="J583" s="5">
        <v>0</v>
      </c>
      <c r="K583" s="5">
        <v>0</v>
      </c>
      <c r="L583" s="15" t="str">
        <f t="shared" si="91"/>
        <v/>
      </c>
      <c r="M583" s="15" t="str">
        <f t="shared" si="90"/>
        <v/>
      </c>
      <c r="N583" s="5" t="s">
        <v>347</v>
      </c>
      <c r="O583" s="5" t="s">
        <v>347</v>
      </c>
      <c r="P583" s="5">
        <v>0</v>
      </c>
      <c r="Q583" s="5">
        <v>0</v>
      </c>
      <c r="R583" s="5" t="str">
        <f>A583&amp;"-"&amp;YEAR(F583)&amp;"-"&amp;IF(LEN(MONTH(F583))=1,"0"&amp;MONTH(F583),MONTH(F583))&amp;"-"&amp;IF(LEN(DAY(F583))=1,"0"&amp;DAY(F583),DAY(F583))</f>
        <v>236-2024-12-31</v>
      </c>
    </row>
    <row r="584" spans="1:18" x14ac:dyDescent="0.3">
      <c r="A584" s="5">
        <v>238</v>
      </c>
      <c r="B584" s="5" t="s">
        <v>115</v>
      </c>
      <c r="C584" s="5" t="s">
        <v>90</v>
      </c>
      <c r="D584" s="5" t="s">
        <v>11</v>
      </c>
      <c r="E584" s="5" t="s">
        <v>9</v>
      </c>
      <c r="F584" s="6">
        <v>45657</v>
      </c>
      <c r="G584" s="5">
        <f t="shared" si="89"/>
        <v>2024</v>
      </c>
      <c r="H584" s="5" t="str">
        <f t="shared" si="87"/>
        <v>Diciembre</v>
      </c>
      <c r="I584" s="6" t="str">
        <f t="shared" si="88"/>
        <v>2024-2</v>
      </c>
      <c r="J584" s="5">
        <v>90</v>
      </c>
      <c r="K584" s="5">
        <v>80</v>
      </c>
      <c r="L584" s="15">
        <f t="shared" si="91"/>
        <v>0.88888888888888884</v>
      </c>
      <c r="M584" s="15">
        <f t="shared" si="90"/>
        <v>0.88888888888888884</v>
      </c>
      <c r="N584" s="5" t="s">
        <v>491</v>
      </c>
      <c r="O584" s="5" t="s">
        <v>491</v>
      </c>
      <c r="P584" s="5">
        <v>0</v>
      </c>
      <c r="Q584" s="5">
        <v>0</v>
      </c>
      <c r="R584" s="5" t="str">
        <f>A584&amp;"-"&amp;YEAR(F584)&amp;"-"&amp;IF(LEN(MONTH(F584))=1,"0"&amp;MONTH(F584),MONTH(F584))&amp;"-"&amp;IF(LEN(DAY(F584))=1,"0"&amp;DAY(F584),DAY(F584))</f>
        <v>238-2024-12-31</v>
      </c>
    </row>
    <row r="585" spans="1:18" x14ac:dyDescent="0.3">
      <c r="A585" s="5">
        <v>239</v>
      </c>
      <c r="B585" s="5" t="s">
        <v>116</v>
      </c>
      <c r="C585" s="5" t="s">
        <v>117</v>
      </c>
      <c r="D585" s="5" t="s">
        <v>18</v>
      </c>
      <c r="E585" s="5" t="s">
        <v>9</v>
      </c>
      <c r="F585" s="6">
        <v>45657</v>
      </c>
      <c r="G585" s="5">
        <f t="shared" si="89"/>
        <v>2024</v>
      </c>
      <c r="H585" s="5" t="str">
        <f t="shared" si="87"/>
        <v>Diciembre</v>
      </c>
      <c r="I585" s="6" t="str">
        <f t="shared" si="88"/>
        <v>2024-2</v>
      </c>
      <c r="J585" s="5"/>
      <c r="K585" s="5">
        <v>32</v>
      </c>
      <c r="L585" s="15" t="str">
        <f t="shared" si="91"/>
        <v/>
      </c>
      <c r="M585" s="15" t="str">
        <f t="shared" si="90"/>
        <v/>
      </c>
      <c r="N585" s="5" t="s">
        <v>728</v>
      </c>
      <c r="O585" s="5" t="s">
        <v>490</v>
      </c>
      <c r="P585" s="5">
        <v>0</v>
      </c>
      <c r="Q585" s="5">
        <v>0</v>
      </c>
      <c r="R585" s="5" t="str">
        <f>A585&amp;"-"&amp;YEAR(F585)&amp;"-"&amp;IF(LEN(MONTH(F585))=1,"0"&amp;MONTH(F585),MONTH(F585))&amp;"-"&amp;IF(LEN(DAY(F585))=1,"0"&amp;DAY(F585),DAY(F585))</f>
        <v>239-2024-12-31</v>
      </c>
    </row>
    <row r="586" spans="1:18" x14ac:dyDescent="0.3">
      <c r="A586" s="5">
        <v>240</v>
      </c>
      <c r="B586" s="5" t="s">
        <v>118</v>
      </c>
      <c r="C586" s="5" t="s">
        <v>117</v>
      </c>
      <c r="D586" s="5" t="s">
        <v>11</v>
      </c>
      <c r="E586" s="5" t="s">
        <v>9</v>
      </c>
      <c r="F586" s="6">
        <v>45657</v>
      </c>
      <c r="G586" s="5">
        <f t="shared" si="89"/>
        <v>2024</v>
      </c>
      <c r="H586" s="5" t="str">
        <f t="shared" si="87"/>
        <v>Diciembre</v>
      </c>
      <c r="I586" s="6" t="str">
        <f t="shared" si="88"/>
        <v>2024-2</v>
      </c>
      <c r="J586" s="5">
        <v>100</v>
      </c>
      <c r="K586" s="5">
        <v>100</v>
      </c>
      <c r="L586" s="15">
        <f t="shared" si="91"/>
        <v>1</v>
      </c>
      <c r="M586" s="15">
        <f t="shared" si="90"/>
        <v>1</v>
      </c>
      <c r="N586" s="5" t="s">
        <v>347</v>
      </c>
      <c r="O586" s="5" t="s">
        <v>347</v>
      </c>
      <c r="P586" s="5">
        <v>0</v>
      </c>
      <c r="Q586" s="5">
        <v>0</v>
      </c>
      <c r="R586" s="5" t="str">
        <f>A586&amp;"-"&amp;YEAR(F586)&amp;"-"&amp;IF(LEN(MONTH(F586))=1,"0"&amp;MONTH(F586),MONTH(F586))&amp;"-"&amp;IF(LEN(DAY(F586))=1,"0"&amp;DAY(F586),DAY(F586))</f>
        <v>240-2024-12-31</v>
      </c>
    </row>
    <row r="587" spans="1:18" x14ac:dyDescent="0.3">
      <c r="A587" s="5">
        <v>241</v>
      </c>
      <c r="B587" s="5" t="s">
        <v>119</v>
      </c>
      <c r="C587" s="5" t="s">
        <v>117</v>
      </c>
      <c r="D587" s="5" t="s">
        <v>18</v>
      </c>
      <c r="E587" s="5" t="s">
        <v>9</v>
      </c>
      <c r="F587" s="6">
        <v>45657</v>
      </c>
      <c r="G587" s="5">
        <f t="shared" si="89"/>
        <v>2024</v>
      </c>
      <c r="H587" s="5" t="str">
        <f t="shared" si="87"/>
        <v>Diciembre</v>
      </c>
      <c r="I587" s="6" t="str">
        <f t="shared" si="88"/>
        <v>2024-2</v>
      </c>
      <c r="J587" s="5">
        <v>80</v>
      </c>
      <c r="K587" s="5">
        <v>100</v>
      </c>
      <c r="L587" s="15">
        <f t="shared" si="91"/>
        <v>1.25</v>
      </c>
      <c r="M587" s="15">
        <f t="shared" si="90"/>
        <v>1.25</v>
      </c>
      <c r="N587" s="5" t="s">
        <v>347</v>
      </c>
      <c r="O587" s="5" t="s">
        <v>347</v>
      </c>
      <c r="P587" s="5">
        <v>0</v>
      </c>
      <c r="Q587" s="5">
        <v>0</v>
      </c>
      <c r="R587" s="5" t="str">
        <f>A587&amp;"-"&amp;YEAR(F587)&amp;"-"&amp;IF(LEN(MONTH(F587))=1,"0"&amp;MONTH(F587),MONTH(F587))&amp;"-"&amp;IF(LEN(DAY(F587))=1,"0"&amp;DAY(F587),DAY(F587))</f>
        <v>241-2024-12-31</v>
      </c>
    </row>
    <row r="588" spans="1:18" x14ac:dyDescent="0.3">
      <c r="A588" s="5">
        <v>244</v>
      </c>
      <c r="B588" s="5" t="s">
        <v>122</v>
      </c>
      <c r="C588" s="5" t="s">
        <v>90</v>
      </c>
      <c r="D588" s="5" t="s">
        <v>25</v>
      </c>
      <c r="E588" s="5" t="s">
        <v>14</v>
      </c>
      <c r="F588" s="6">
        <v>45657</v>
      </c>
      <c r="G588" s="5">
        <f t="shared" si="89"/>
        <v>2024</v>
      </c>
      <c r="H588" s="5" t="str">
        <f t="shared" si="87"/>
        <v>Diciembre</v>
      </c>
      <c r="I588" s="6" t="str">
        <f t="shared" si="88"/>
        <v>2024-2</v>
      </c>
      <c r="J588" s="5">
        <v>25</v>
      </c>
      <c r="K588" s="5">
        <v>25</v>
      </c>
      <c r="L588" s="15">
        <f>IFERROR(IF((J588/K588)&gt;1.3,1.3,J588/K588),"")</f>
        <v>1</v>
      </c>
      <c r="M588" s="15">
        <f>IFERROR(IF((J588/K588)&gt;J588/K588,1.3,J588/K588),"")</f>
        <v>1</v>
      </c>
      <c r="N588" s="5" t="s">
        <v>490</v>
      </c>
      <c r="O588" s="5" t="s">
        <v>490</v>
      </c>
      <c r="P588" s="5">
        <v>0</v>
      </c>
      <c r="Q588" s="5">
        <v>0</v>
      </c>
      <c r="R588" s="5" t="str">
        <f>A588&amp;"-"&amp;YEAR(F588)&amp;"-"&amp;IF(LEN(MONTH(F588))=1,"0"&amp;MONTH(F588),MONTH(F588))&amp;"-"&amp;IF(LEN(DAY(F588))=1,"0"&amp;DAY(F588),DAY(F588))</f>
        <v>244-2024-12-31</v>
      </c>
    </row>
    <row r="589" spans="1:18" x14ac:dyDescent="0.3">
      <c r="A589" s="5">
        <v>245</v>
      </c>
      <c r="B589" s="5" t="s">
        <v>123</v>
      </c>
      <c r="C589" s="5" t="s">
        <v>124</v>
      </c>
      <c r="D589" s="5" t="s">
        <v>8</v>
      </c>
      <c r="E589" s="5" t="s">
        <v>9</v>
      </c>
      <c r="F589" s="6">
        <v>45657</v>
      </c>
      <c r="G589" s="5">
        <f t="shared" si="89"/>
        <v>2024</v>
      </c>
      <c r="H589" s="5" t="str">
        <f t="shared" si="87"/>
        <v>Diciembre</v>
      </c>
      <c r="I589" s="6" t="str">
        <f t="shared" si="88"/>
        <v>2024-2</v>
      </c>
      <c r="J589" s="5">
        <v>85</v>
      </c>
      <c r="K589" s="5">
        <v>85.19</v>
      </c>
      <c r="L589" s="15">
        <f>IFERROR(IF((K589/J589)&gt;1.3,1.3,K589/J589),"")</f>
        <v>1.0022352941176471</v>
      </c>
      <c r="M589" s="15">
        <f>IFERROR(K589/J589,"")</f>
        <v>1.0022352941176471</v>
      </c>
      <c r="N589" s="5" t="s">
        <v>347</v>
      </c>
      <c r="O589" s="5" t="s">
        <v>347</v>
      </c>
      <c r="P589" s="5">
        <v>0</v>
      </c>
      <c r="Q589" s="5">
        <v>1</v>
      </c>
      <c r="R589" s="5" t="str">
        <f>A589&amp;"-"&amp;YEAR(F589)&amp;"-"&amp;IF(LEN(MONTH(F589))=1,"0"&amp;MONTH(F589),MONTH(F589))&amp;"-"&amp;IF(LEN(DAY(F589))=1,"0"&amp;DAY(F589),DAY(F589))</f>
        <v>245-2024-12-31</v>
      </c>
    </row>
    <row r="590" spans="1:18" x14ac:dyDescent="0.3">
      <c r="A590" s="5">
        <v>246</v>
      </c>
      <c r="B590" s="5" t="s">
        <v>721</v>
      </c>
      <c r="C590" s="5" t="s">
        <v>126</v>
      </c>
      <c r="D590" s="5" t="s">
        <v>8</v>
      </c>
      <c r="E590" s="5" t="s">
        <v>9</v>
      </c>
      <c r="F590" s="6">
        <v>45657</v>
      </c>
      <c r="G590" s="5">
        <f t="shared" si="89"/>
        <v>2024</v>
      </c>
      <c r="H590" s="5" t="str">
        <f t="shared" si="87"/>
        <v>Diciembre</v>
      </c>
      <c r="I590" s="6" t="str">
        <f t="shared" si="88"/>
        <v>2024-2</v>
      </c>
      <c r="J590" s="5">
        <v>67.5</v>
      </c>
      <c r="K590" s="5">
        <v>94.4</v>
      </c>
      <c r="L590" s="15">
        <f>IFERROR(IF((K590/J590)&gt;1.3,1.3,K590/J590),"")</f>
        <v>1.3</v>
      </c>
      <c r="M590" s="15">
        <f>IFERROR(K590/J590,"")</f>
        <v>1.3985185185185185</v>
      </c>
      <c r="N590" s="5" t="s">
        <v>347</v>
      </c>
      <c r="O590" s="5" t="s">
        <v>347</v>
      </c>
      <c r="P590" s="5">
        <v>0</v>
      </c>
      <c r="Q590" s="5">
        <v>0</v>
      </c>
      <c r="R590" s="5" t="str">
        <f>A590&amp;"-"&amp;YEAR(F590)&amp;"-"&amp;IF(LEN(MONTH(F590))=1,"0"&amp;MONTH(F590),MONTH(F590))&amp;"-"&amp;IF(LEN(DAY(F590))=1,"0"&amp;DAY(F590),DAY(F590))</f>
        <v>246-2024-12-31</v>
      </c>
    </row>
    <row r="591" spans="1:18" x14ac:dyDescent="0.3">
      <c r="A591" s="5">
        <v>251</v>
      </c>
      <c r="B591" s="5" t="s">
        <v>133</v>
      </c>
      <c r="C591" s="5" t="s">
        <v>134</v>
      </c>
      <c r="D591" s="5" t="s">
        <v>11</v>
      </c>
      <c r="E591" s="5" t="s">
        <v>9</v>
      </c>
      <c r="F591" s="6">
        <v>45657</v>
      </c>
      <c r="G591" s="5">
        <f t="shared" si="89"/>
        <v>2024</v>
      </c>
      <c r="H591" s="5" t="str">
        <f t="shared" si="87"/>
        <v>Diciembre</v>
      </c>
      <c r="I591" s="6" t="str">
        <f t="shared" si="88"/>
        <v>2024-2</v>
      </c>
      <c r="J591" s="5">
        <v>100</v>
      </c>
      <c r="K591" s="5">
        <v>96.23</v>
      </c>
      <c r="L591" s="15">
        <f>IFERROR(IF((K591/J591)&gt;1.3,1.3,K591/J591),"")</f>
        <v>0.96230000000000004</v>
      </c>
      <c r="M591" s="15">
        <f>IFERROR(K591/J591,"")</f>
        <v>0.96230000000000004</v>
      </c>
      <c r="N591" s="5" t="s">
        <v>347</v>
      </c>
      <c r="O591" s="5" t="s">
        <v>347</v>
      </c>
      <c r="P591" s="5">
        <v>0</v>
      </c>
      <c r="Q591" s="5">
        <v>0</v>
      </c>
      <c r="R591" s="5" t="str">
        <f>A591&amp;"-"&amp;YEAR(F591)&amp;"-"&amp;IF(LEN(MONTH(F591))=1,"0"&amp;MONTH(F591),MONTH(F591))&amp;"-"&amp;IF(LEN(DAY(F591))=1,"0"&amp;DAY(F591),DAY(F591))</f>
        <v>251-2024-12-31</v>
      </c>
    </row>
    <row r="592" spans="1:18" x14ac:dyDescent="0.3">
      <c r="A592" s="5">
        <v>252</v>
      </c>
      <c r="B592" s="5" t="s">
        <v>135</v>
      </c>
      <c r="C592" s="5" t="s">
        <v>124</v>
      </c>
      <c r="D592" s="5" t="s">
        <v>8</v>
      </c>
      <c r="E592" s="5" t="s">
        <v>9</v>
      </c>
      <c r="F592" s="6">
        <v>45657</v>
      </c>
      <c r="G592" s="5">
        <f t="shared" si="89"/>
        <v>2024</v>
      </c>
      <c r="H592" s="5" t="str">
        <f t="shared" si="87"/>
        <v>Diciembre</v>
      </c>
      <c r="I592" s="6" t="str">
        <f t="shared" si="88"/>
        <v>2024-2</v>
      </c>
      <c r="J592" s="5">
        <v>72.900000000000006</v>
      </c>
      <c r="K592" s="5">
        <v>72.53</v>
      </c>
      <c r="L592" s="15">
        <f>IFERROR(IF((K592/J592)&gt;1.3,1.3,K592/J592),"")</f>
        <v>0.99492455418381343</v>
      </c>
      <c r="M592" s="15">
        <f>IFERROR(K592/J592,"")</f>
        <v>0.99492455418381343</v>
      </c>
      <c r="N592" s="5" t="s">
        <v>347</v>
      </c>
      <c r="O592" s="5" t="s">
        <v>347</v>
      </c>
      <c r="P592" s="5">
        <v>1</v>
      </c>
      <c r="Q592" s="5">
        <v>1</v>
      </c>
      <c r="R592" s="5" t="str">
        <f>A592&amp;"-"&amp;YEAR(F592)&amp;"-"&amp;IF(LEN(MONTH(F592))=1,"0"&amp;MONTH(F592),MONTH(F592))&amp;"-"&amp;IF(LEN(DAY(F592))=1,"0"&amp;DAY(F592),DAY(F592))</f>
        <v>252-2024-12-31</v>
      </c>
    </row>
    <row r="593" spans="1:18" x14ac:dyDescent="0.3">
      <c r="A593" s="5">
        <v>254</v>
      </c>
      <c r="B593" s="5" t="s">
        <v>415</v>
      </c>
      <c r="C593" s="5" t="s">
        <v>131</v>
      </c>
      <c r="D593" s="5" t="s">
        <v>11</v>
      </c>
      <c r="E593" s="5" t="s">
        <v>9</v>
      </c>
      <c r="F593" s="6">
        <v>45657</v>
      </c>
      <c r="G593" s="5">
        <f t="shared" si="89"/>
        <v>2024</v>
      </c>
      <c r="H593" s="5" t="str">
        <f t="shared" si="87"/>
        <v>Diciembre</v>
      </c>
      <c r="I593" s="6" t="str">
        <f t="shared" si="88"/>
        <v>2024-2</v>
      </c>
      <c r="J593" s="5">
        <v>73</v>
      </c>
      <c r="K593" s="5">
        <v>73</v>
      </c>
      <c r="L593" s="15">
        <f>IFERROR(IF((K593/J593)&gt;1.3,1.3,K593/J593),"")</f>
        <v>1</v>
      </c>
      <c r="M593" s="15">
        <f>IFERROR(K593/J593,"")</f>
        <v>1</v>
      </c>
      <c r="N593" s="5" t="s">
        <v>490</v>
      </c>
      <c r="O593" s="5" t="s">
        <v>490</v>
      </c>
      <c r="P593" s="5">
        <v>0</v>
      </c>
      <c r="Q593" s="5">
        <v>0</v>
      </c>
      <c r="R593" s="5" t="str">
        <f>A593&amp;"-"&amp;YEAR(F593)&amp;"-"&amp;IF(LEN(MONTH(F593))=1,"0"&amp;MONTH(F593),MONTH(F593))&amp;"-"&amp;IF(LEN(DAY(F593))=1,"0"&amp;DAY(F593),DAY(F593))</f>
        <v>254-2024-12-31</v>
      </c>
    </row>
    <row r="594" spans="1:18" x14ac:dyDescent="0.3">
      <c r="A594" s="5">
        <v>255</v>
      </c>
      <c r="B594" s="5" t="s">
        <v>137</v>
      </c>
      <c r="C594" s="5" t="s">
        <v>67</v>
      </c>
      <c r="D594" s="5" t="s">
        <v>25</v>
      </c>
      <c r="E594" s="5" t="s">
        <v>9</v>
      </c>
      <c r="F594" s="6">
        <v>45657</v>
      </c>
      <c r="G594" s="5">
        <f t="shared" si="89"/>
        <v>2024</v>
      </c>
      <c r="H594" s="5" t="str">
        <f t="shared" si="87"/>
        <v>Diciembre</v>
      </c>
      <c r="I594" s="6" t="str">
        <f t="shared" si="88"/>
        <v>2024-2</v>
      </c>
      <c r="J594" s="5">
        <v>100</v>
      </c>
      <c r="K594" s="5">
        <v>-5</v>
      </c>
      <c r="L594" s="15">
        <v>0</v>
      </c>
      <c r="M594" s="15">
        <v>0</v>
      </c>
      <c r="N594" s="5" t="s">
        <v>490</v>
      </c>
      <c r="O594" s="5" t="s">
        <v>490</v>
      </c>
      <c r="P594" s="5">
        <v>0</v>
      </c>
      <c r="Q594" s="5">
        <v>0</v>
      </c>
      <c r="R594" s="5" t="str">
        <f>A594&amp;"-"&amp;YEAR(F594)&amp;"-"&amp;IF(LEN(MONTH(F594))=1,"0"&amp;MONTH(F594),MONTH(F594))&amp;"-"&amp;IF(LEN(DAY(F594))=1,"0"&amp;DAY(F594),DAY(F594))</f>
        <v>255-2024-12-31</v>
      </c>
    </row>
    <row r="595" spans="1:18" x14ac:dyDescent="0.3">
      <c r="A595" s="5">
        <v>256</v>
      </c>
      <c r="B595" s="5" t="s">
        <v>138</v>
      </c>
      <c r="C595" s="5" t="s">
        <v>67</v>
      </c>
      <c r="D595" s="5" t="s">
        <v>8</v>
      </c>
      <c r="E595" s="5" t="s">
        <v>9</v>
      </c>
      <c r="F595" s="6">
        <v>45657</v>
      </c>
      <c r="G595" s="5">
        <f t="shared" si="89"/>
        <v>2024</v>
      </c>
      <c r="H595" s="5" t="str">
        <f t="shared" si="87"/>
        <v>Diciembre</v>
      </c>
      <c r="I595" s="6" t="str">
        <f t="shared" si="88"/>
        <v>2024-2</v>
      </c>
      <c r="J595" s="5">
        <v>34</v>
      </c>
      <c r="K595" s="5">
        <v>46</v>
      </c>
      <c r="L595" s="15">
        <f>IFERROR(IF((K595/J595)&gt;1.3,1.3,K595/J595),"")</f>
        <v>1.3</v>
      </c>
      <c r="M595" s="15">
        <f>IFERROR(K595/J595,"")</f>
        <v>1.3529411764705883</v>
      </c>
      <c r="N595" s="5" t="s">
        <v>490</v>
      </c>
      <c r="O595" s="5" t="s">
        <v>490</v>
      </c>
      <c r="P595" s="5">
        <v>0</v>
      </c>
      <c r="Q595" s="5">
        <v>0</v>
      </c>
      <c r="R595" s="5" t="str">
        <f>A595&amp;"-"&amp;YEAR(F595)&amp;"-"&amp;IF(LEN(MONTH(F595))=1,"0"&amp;MONTH(F595),MONTH(F595))&amp;"-"&amp;IF(LEN(DAY(F595))=1,"0"&amp;DAY(F595),DAY(F595))</f>
        <v>256-2024-12-31</v>
      </c>
    </row>
    <row r="596" spans="1:18" x14ac:dyDescent="0.3">
      <c r="A596" s="5">
        <v>259</v>
      </c>
      <c r="B596" s="5" t="s">
        <v>140</v>
      </c>
      <c r="C596" s="5" t="s">
        <v>134</v>
      </c>
      <c r="D596" s="5" t="s">
        <v>11</v>
      </c>
      <c r="E596" s="5" t="s">
        <v>9</v>
      </c>
      <c r="F596" s="6">
        <v>45657</v>
      </c>
      <c r="G596" s="5">
        <f t="shared" si="89"/>
        <v>2024</v>
      </c>
      <c r="H596" s="5" t="str">
        <f t="shared" si="87"/>
        <v>Diciembre</v>
      </c>
      <c r="I596" s="6" t="str">
        <f t="shared" si="88"/>
        <v>2024-2</v>
      </c>
      <c r="J596" s="5">
        <v>90</v>
      </c>
      <c r="K596" s="5">
        <v>78.430000000000007</v>
      </c>
      <c r="L596" s="15">
        <f>IFERROR(IF((K596/J596)&gt;1.3,1.3,K596/J596),"")</f>
        <v>0.87144444444444447</v>
      </c>
      <c r="M596" s="15">
        <f>IFERROR(K596/J596,"")</f>
        <v>0.87144444444444447</v>
      </c>
      <c r="N596" s="5" t="s">
        <v>347</v>
      </c>
      <c r="O596" s="5" t="s">
        <v>347</v>
      </c>
      <c r="P596" s="5">
        <v>0</v>
      </c>
      <c r="Q596" s="5">
        <v>0</v>
      </c>
      <c r="R596" s="5" t="str">
        <f>A596&amp;"-"&amp;YEAR(F596)&amp;"-"&amp;IF(LEN(MONTH(F596))=1,"0"&amp;MONTH(F596),MONTH(F596))&amp;"-"&amp;IF(LEN(DAY(F596))=1,"0"&amp;DAY(F596),DAY(F596))</f>
        <v>259-2024-12-31</v>
      </c>
    </row>
    <row r="597" spans="1:18" x14ac:dyDescent="0.3">
      <c r="A597" s="5">
        <v>260</v>
      </c>
      <c r="B597" s="5" t="s">
        <v>141</v>
      </c>
      <c r="C597" s="5" t="s">
        <v>142</v>
      </c>
      <c r="D597" s="5" t="s">
        <v>8</v>
      </c>
      <c r="E597" s="5" t="s">
        <v>14</v>
      </c>
      <c r="F597" s="6">
        <v>45657</v>
      </c>
      <c r="G597" s="5">
        <f t="shared" si="89"/>
        <v>2024</v>
      </c>
      <c r="H597" s="5" t="str">
        <f t="shared" si="87"/>
        <v>Diciembre</v>
      </c>
      <c r="I597" s="6" t="str">
        <f t="shared" si="88"/>
        <v>2024-2</v>
      </c>
      <c r="J597" s="5">
        <v>2.8</v>
      </c>
      <c r="K597" s="5">
        <v>2.1</v>
      </c>
      <c r="L597" s="15">
        <f>IFERROR(IF((J597/K597)&gt;1.3,1.3,J597/K597),"")</f>
        <v>1.3</v>
      </c>
      <c r="M597" s="15">
        <f>IFERROR(IF((J597/K597)&gt;J597/K597,1.3,J597/K597),"")</f>
        <v>1.3333333333333333</v>
      </c>
      <c r="N597" s="5" t="s">
        <v>478</v>
      </c>
      <c r="O597" s="5" t="s">
        <v>478</v>
      </c>
      <c r="P597" s="5">
        <v>1</v>
      </c>
      <c r="Q597" s="5">
        <v>1</v>
      </c>
      <c r="R597" s="5" t="str">
        <f>A597&amp;"-"&amp;YEAR(F597)&amp;"-"&amp;IF(LEN(MONTH(F597))=1,"0"&amp;MONTH(F597),MONTH(F597))&amp;"-"&amp;IF(LEN(DAY(F597))=1,"0"&amp;DAY(F597),DAY(F597))</f>
        <v>260-2024-12-31</v>
      </c>
    </row>
    <row r="598" spans="1:18" x14ac:dyDescent="0.3">
      <c r="A598" s="5">
        <v>261</v>
      </c>
      <c r="B598" s="5" t="s">
        <v>143</v>
      </c>
      <c r="C598" s="5" t="s">
        <v>74</v>
      </c>
      <c r="D598" s="5" t="s">
        <v>8</v>
      </c>
      <c r="E598" s="5" t="s">
        <v>14</v>
      </c>
      <c r="F598" s="6">
        <v>45657</v>
      </c>
      <c r="G598" s="5">
        <f t="shared" si="89"/>
        <v>2024</v>
      </c>
      <c r="H598" s="5" t="str">
        <f t="shared" si="87"/>
        <v>Diciembre</v>
      </c>
      <c r="I598" s="6" t="str">
        <f t="shared" si="88"/>
        <v>2024-2</v>
      </c>
      <c r="J598" s="5">
        <v>3</v>
      </c>
      <c r="K598" s="5">
        <v>2.2000000000000002</v>
      </c>
      <c r="L598" s="15">
        <f>IFERROR(IF((J598/K598)&gt;1.3,1.3,J598/K598),"")</f>
        <v>1.3</v>
      </c>
      <c r="M598" s="15">
        <f>IFERROR(IF((J598/K598)&gt;J598/K598,1.3,J598/K598),"")</f>
        <v>1.3636363636363635</v>
      </c>
      <c r="N598" s="5" t="s">
        <v>490</v>
      </c>
      <c r="O598" s="5" t="s">
        <v>478</v>
      </c>
      <c r="P598" s="5">
        <v>1</v>
      </c>
      <c r="Q598" s="5">
        <v>1</v>
      </c>
      <c r="R598" s="5" t="str">
        <f>A598&amp;"-"&amp;YEAR(F598)&amp;"-"&amp;IF(LEN(MONTH(F598))=1,"0"&amp;MONTH(F598),MONTH(F598))&amp;"-"&amp;IF(LEN(DAY(F598))=1,"0"&amp;DAY(F598),DAY(F598))</f>
        <v>261-2024-12-31</v>
      </c>
    </row>
    <row r="599" spans="1:18" x14ac:dyDescent="0.3">
      <c r="A599" s="5">
        <v>262</v>
      </c>
      <c r="B599" s="5" t="s">
        <v>494</v>
      </c>
      <c r="C599" s="5" t="s">
        <v>145</v>
      </c>
      <c r="D599" s="5" t="s">
        <v>8</v>
      </c>
      <c r="E599" s="5" t="s">
        <v>14</v>
      </c>
      <c r="F599" s="6">
        <v>45657</v>
      </c>
      <c r="G599" s="5">
        <f t="shared" si="89"/>
        <v>2024</v>
      </c>
      <c r="H599" s="5" t="str">
        <f t="shared" si="87"/>
        <v>Diciembre</v>
      </c>
      <c r="I599" s="6" t="str">
        <f t="shared" si="88"/>
        <v>2024-2</v>
      </c>
      <c r="J599" s="5">
        <v>20</v>
      </c>
      <c r="K599" s="5">
        <v>0</v>
      </c>
      <c r="L599" s="8">
        <v>1</v>
      </c>
      <c r="M599" s="15">
        <v>1</v>
      </c>
      <c r="N599" s="5" t="s">
        <v>347</v>
      </c>
      <c r="O599" s="5" t="s">
        <v>347</v>
      </c>
      <c r="P599" s="5">
        <v>0</v>
      </c>
      <c r="Q599" s="5">
        <v>0</v>
      </c>
      <c r="R599" s="5" t="str">
        <f>A599&amp;"-"&amp;YEAR(F599)&amp;"-"&amp;IF(LEN(MONTH(F599))=1,"0"&amp;MONTH(F599),MONTH(F599))&amp;"-"&amp;IF(LEN(DAY(F599))=1,"0"&amp;DAY(F599),DAY(F599))</f>
        <v>262-2024-12-31</v>
      </c>
    </row>
    <row r="600" spans="1:18" x14ac:dyDescent="0.3">
      <c r="A600" s="5">
        <v>263</v>
      </c>
      <c r="B600" s="5" t="s">
        <v>146</v>
      </c>
      <c r="C600" s="5" t="s">
        <v>145</v>
      </c>
      <c r="D600" s="5" t="s">
        <v>11</v>
      </c>
      <c r="E600" s="5" t="s">
        <v>9</v>
      </c>
      <c r="F600" s="6">
        <v>45657</v>
      </c>
      <c r="G600" s="5">
        <f t="shared" si="89"/>
        <v>2024</v>
      </c>
      <c r="H600" s="5" t="str">
        <f t="shared" si="87"/>
        <v>Diciembre</v>
      </c>
      <c r="I600" s="6" t="str">
        <f t="shared" si="88"/>
        <v>2024-2</v>
      </c>
      <c r="J600" s="5">
        <v>100</v>
      </c>
      <c r="K600" s="5">
        <v>100</v>
      </c>
      <c r="L600" s="15">
        <f t="shared" ref="L600:L611" si="92">IFERROR(IF((K600/J600)&gt;1.3,1.3,K600/J600),"")</f>
        <v>1</v>
      </c>
      <c r="M600" s="15">
        <f t="shared" ref="M600:M611" si="93">IFERROR(K600/J600,"")</f>
        <v>1</v>
      </c>
      <c r="N600" s="5" t="s">
        <v>347</v>
      </c>
      <c r="O600" s="5" t="s">
        <v>347</v>
      </c>
      <c r="P600" s="5">
        <v>0</v>
      </c>
      <c r="Q600" s="5">
        <v>0</v>
      </c>
      <c r="R600" s="5" t="str">
        <f>A600&amp;"-"&amp;YEAR(F600)&amp;"-"&amp;IF(LEN(MONTH(F600))=1,"0"&amp;MONTH(F600),MONTH(F600))&amp;"-"&amp;IF(LEN(DAY(F600))=1,"0"&amp;DAY(F600),DAY(F600))</f>
        <v>263-2024-12-31</v>
      </c>
    </row>
    <row r="601" spans="1:18" x14ac:dyDescent="0.3">
      <c r="A601" s="5">
        <v>264</v>
      </c>
      <c r="B601" s="5" t="s">
        <v>495</v>
      </c>
      <c r="C601" s="5" t="s">
        <v>145</v>
      </c>
      <c r="D601" s="5" t="s">
        <v>8</v>
      </c>
      <c r="E601" s="5" t="s">
        <v>9</v>
      </c>
      <c r="F601" s="6">
        <v>45657</v>
      </c>
      <c r="G601" s="5">
        <f t="shared" si="89"/>
        <v>2024</v>
      </c>
      <c r="H601" s="5" t="str">
        <f t="shared" si="87"/>
        <v>Diciembre</v>
      </c>
      <c r="I601" s="6" t="str">
        <f t="shared" si="88"/>
        <v>2024-2</v>
      </c>
      <c r="J601" s="5">
        <v>100</v>
      </c>
      <c r="K601" s="5">
        <v>100</v>
      </c>
      <c r="L601" s="15">
        <f t="shared" si="92"/>
        <v>1</v>
      </c>
      <c r="M601" s="15">
        <f t="shared" si="93"/>
        <v>1</v>
      </c>
      <c r="N601" s="5" t="s">
        <v>347</v>
      </c>
      <c r="O601" s="5" t="s">
        <v>347</v>
      </c>
      <c r="P601" s="5">
        <v>0</v>
      </c>
      <c r="Q601" s="5">
        <v>0</v>
      </c>
      <c r="R601" s="5" t="str">
        <f>A601&amp;"-"&amp;YEAR(F601)&amp;"-"&amp;IF(LEN(MONTH(F601))=1,"0"&amp;MONTH(F601),MONTH(F601))&amp;"-"&amp;IF(LEN(DAY(F601))=1,"0"&amp;DAY(F601),DAY(F601))</f>
        <v>264-2024-12-31</v>
      </c>
    </row>
    <row r="602" spans="1:18" x14ac:dyDescent="0.3">
      <c r="A602" s="5">
        <v>265</v>
      </c>
      <c r="B602" s="5" t="s">
        <v>496</v>
      </c>
      <c r="C602" s="5" t="s">
        <v>145</v>
      </c>
      <c r="D602" s="5" t="s">
        <v>8</v>
      </c>
      <c r="E602" s="5" t="s">
        <v>9</v>
      </c>
      <c r="F602" s="6">
        <v>45657</v>
      </c>
      <c r="G602" s="5">
        <f t="shared" si="89"/>
        <v>2024</v>
      </c>
      <c r="H602" s="5" t="str">
        <f t="shared" si="87"/>
        <v>Diciembre</v>
      </c>
      <c r="I602" s="6" t="str">
        <f t="shared" si="88"/>
        <v>2024-2</v>
      </c>
      <c r="J602" s="5">
        <v>95</v>
      </c>
      <c r="K602" s="5">
        <v>100</v>
      </c>
      <c r="L602" s="15">
        <f t="shared" si="92"/>
        <v>1.0526315789473684</v>
      </c>
      <c r="M602" s="15">
        <f t="shared" si="93"/>
        <v>1.0526315789473684</v>
      </c>
      <c r="N602" s="5" t="s">
        <v>347</v>
      </c>
      <c r="O602" s="5" t="s">
        <v>347</v>
      </c>
      <c r="P602" s="5">
        <v>0</v>
      </c>
      <c r="Q602" s="5">
        <v>0</v>
      </c>
      <c r="R602" s="5" t="str">
        <f>A602&amp;"-"&amp;YEAR(F602)&amp;"-"&amp;IF(LEN(MONTH(F602))=1,"0"&amp;MONTH(F602),MONTH(F602))&amp;"-"&amp;IF(LEN(DAY(F602))=1,"0"&amp;DAY(F602),DAY(F602))</f>
        <v>265-2024-12-31</v>
      </c>
    </row>
    <row r="603" spans="1:18" x14ac:dyDescent="0.3">
      <c r="A603" s="5">
        <v>266</v>
      </c>
      <c r="B603" s="5" t="s">
        <v>149</v>
      </c>
      <c r="C603" s="5" t="s">
        <v>145</v>
      </c>
      <c r="D603" s="5" t="s">
        <v>8</v>
      </c>
      <c r="E603" s="5" t="s">
        <v>9</v>
      </c>
      <c r="F603" s="6">
        <v>45657</v>
      </c>
      <c r="G603" s="5">
        <f t="shared" si="89"/>
        <v>2024</v>
      </c>
      <c r="H603" s="5" t="str">
        <f t="shared" si="87"/>
        <v>Diciembre</v>
      </c>
      <c r="I603" s="6" t="str">
        <f t="shared" si="88"/>
        <v>2024-2</v>
      </c>
      <c r="J603" s="5">
        <v>95</v>
      </c>
      <c r="K603" s="5">
        <v>81.93</v>
      </c>
      <c r="L603" s="15">
        <f t="shared" si="92"/>
        <v>0.86242105263157898</v>
      </c>
      <c r="M603" s="15">
        <f t="shared" si="93"/>
        <v>0.86242105263157898</v>
      </c>
      <c r="N603" s="5" t="s">
        <v>347</v>
      </c>
      <c r="O603" s="5" t="s">
        <v>347</v>
      </c>
      <c r="P603" s="5">
        <v>0</v>
      </c>
      <c r="Q603" s="5">
        <v>0</v>
      </c>
      <c r="R603" s="5" t="str">
        <f>A603&amp;"-"&amp;YEAR(F603)&amp;"-"&amp;IF(LEN(MONTH(F603))=1,"0"&amp;MONTH(F603),MONTH(F603))&amp;"-"&amp;IF(LEN(DAY(F603))=1,"0"&amp;DAY(F603),DAY(F603))</f>
        <v>266-2024-12-31</v>
      </c>
    </row>
    <row r="604" spans="1:18" x14ac:dyDescent="0.3">
      <c r="A604" s="5">
        <v>268</v>
      </c>
      <c r="B604" s="5" t="s">
        <v>151</v>
      </c>
      <c r="C604" s="5" t="s">
        <v>152</v>
      </c>
      <c r="D604" s="5" t="s">
        <v>8</v>
      </c>
      <c r="E604" s="5" t="s">
        <v>9</v>
      </c>
      <c r="F604" s="6">
        <v>45657</v>
      </c>
      <c r="G604" s="5">
        <f t="shared" si="89"/>
        <v>2024</v>
      </c>
      <c r="H604" s="5" t="str">
        <f t="shared" si="87"/>
        <v>Diciembre</v>
      </c>
      <c r="I604" s="6" t="str">
        <f t="shared" si="88"/>
        <v>2024-2</v>
      </c>
      <c r="J604" s="5">
        <v>0</v>
      </c>
      <c r="K604" s="5">
        <v>1005</v>
      </c>
      <c r="L604" s="15" t="str">
        <f t="shared" si="92"/>
        <v/>
      </c>
      <c r="M604" s="15" t="str">
        <f t="shared" si="93"/>
        <v/>
      </c>
      <c r="N604" s="5">
        <v>0</v>
      </c>
      <c r="O604" s="5" t="s">
        <v>490</v>
      </c>
      <c r="P604" s="5">
        <v>0</v>
      </c>
      <c r="Q604" s="5">
        <v>0</v>
      </c>
      <c r="R604" s="5" t="str">
        <f>A604&amp;"-"&amp;YEAR(F604)&amp;"-"&amp;IF(LEN(MONTH(F604))=1,"0"&amp;MONTH(F604),MONTH(F604))&amp;"-"&amp;IF(LEN(DAY(F604))=1,"0"&amp;DAY(F604),DAY(F604))</f>
        <v>268-2024-12-31</v>
      </c>
    </row>
    <row r="605" spans="1:18" x14ac:dyDescent="0.3">
      <c r="A605" s="5">
        <v>269</v>
      </c>
      <c r="B605" s="5" t="s">
        <v>153</v>
      </c>
      <c r="C605" s="5" t="s">
        <v>152</v>
      </c>
      <c r="D605" s="5" t="s">
        <v>8</v>
      </c>
      <c r="E605" s="5" t="s">
        <v>9</v>
      </c>
      <c r="F605" s="6">
        <v>45657</v>
      </c>
      <c r="G605" s="5">
        <f t="shared" si="89"/>
        <v>2024</v>
      </c>
      <c r="H605" s="5" t="str">
        <f t="shared" si="87"/>
        <v>Diciembre</v>
      </c>
      <c r="I605" s="6" t="str">
        <f t="shared" si="88"/>
        <v>2024-2</v>
      </c>
      <c r="J605" s="5" t="s">
        <v>417</v>
      </c>
      <c r="K605" s="5" t="s">
        <v>417</v>
      </c>
      <c r="L605" s="15" t="str">
        <f t="shared" si="92"/>
        <v/>
      </c>
      <c r="M605" s="15" t="str">
        <f t="shared" si="93"/>
        <v/>
      </c>
      <c r="N605" s="5" t="s">
        <v>478</v>
      </c>
      <c r="O605" s="5" t="s">
        <v>478</v>
      </c>
      <c r="P605" s="5">
        <v>2</v>
      </c>
      <c r="Q605" s="5">
        <v>2</v>
      </c>
      <c r="R605" s="5" t="str">
        <f>A605&amp;"-"&amp;YEAR(F605)&amp;"-"&amp;IF(LEN(MONTH(F605))=1,"0"&amp;MONTH(F605),MONTH(F605))&amp;"-"&amp;IF(LEN(DAY(F605))=1,"0"&amp;DAY(F605),DAY(F605))</f>
        <v>269-2024-12-31</v>
      </c>
    </row>
    <row r="606" spans="1:18" x14ac:dyDescent="0.3">
      <c r="A606" s="5">
        <v>270</v>
      </c>
      <c r="B606" s="5" t="s">
        <v>154</v>
      </c>
      <c r="C606" s="5" t="s">
        <v>152</v>
      </c>
      <c r="D606" s="5" t="s">
        <v>8</v>
      </c>
      <c r="E606" s="5" t="s">
        <v>9</v>
      </c>
      <c r="F606" s="6">
        <v>45657</v>
      </c>
      <c r="G606" s="5">
        <f t="shared" si="89"/>
        <v>2024</v>
      </c>
      <c r="H606" s="5" t="str">
        <f t="shared" si="87"/>
        <v>Diciembre</v>
      </c>
      <c r="I606" s="6" t="str">
        <f t="shared" si="88"/>
        <v>2024-2</v>
      </c>
      <c r="J606" s="5">
        <v>0</v>
      </c>
      <c r="K606" s="5">
        <v>4.57</v>
      </c>
      <c r="L606" s="15" t="str">
        <f t="shared" si="92"/>
        <v/>
      </c>
      <c r="M606" s="15" t="str">
        <f t="shared" si="93"/>
        <v/>
      </c>
      <c r="N606" s="5">
        <v>0</v>
      </c>
      <c r="O606" s="5" t="s">
        <v>490</v>
      </c>
      <c r="P606" s="5">
        <v>1</v>
      </c>
      <c r="Q606" s="5">
        <v>1</v>
      </c>
      <c r="R606" s="5" t="str">
        <f>A606&amp;"-"&amp;YEAR(F606)&amp;"-"&amp;IF(LEN(MONTH(F606))=1,"0"&amp;MONTH(F606),MONTH(F606))&amp;"-"&amp;IF(LEN(DAY(F606))=1,"0"&amp;DAY(F606),DAY(F606))</f>
        <v>270-2024-12-31</v>
      </c>
    </row>
    <row r="607" spans="1:18" x14ac:dyDescent="0.3">
      <c r="A607" s="5">
        <v>271</v>
      </c>
      <c r="B607" s="5" t="s">
        <v>155</v>
      </c>
      <c r="C607" s="5" t="s">
        <v>152</v>
      </c>
      <c r="D607" s="5" t="s">
        <v>8</v>
      </c>
      <c r="E607" s="5" t="s">
        <v>9</v>
      </c>
      <c r="F607" s="6">
        <v>45657</v>
      </c>
      <c r="G607" s="5">
        <f t="shared" si="89"/>
        <v>2024</v>
      </c>
      <c r="H607" s="5" t="str">
        <f t="shared" si="87"/>
        <v>Diciembre</v>
      </c>
      <c r="I607" s="6" t="str">
        <f t="shared" si="88"/>
        <v>2024-2</v>
      </c>
      <c r="J607" s="5" t="s">
        <v>417</v>
      </c>
      <c r="K607" s="5" t="s">
        <v>417</v>
      </c>
      <c r="L607" s="15" t="str">
        <f t="shared" si="92"/>
        <v/>
      </c>
      <c r="M607" s="15" t="str">
        <f t="shared" si="93"/>
        <v/>
      </c>
      <c r="N607" s="5">
        <v>0</v>
      </c>
      <c r="O607" s="5" t="s">
        <v>490</v>
      </c>
      <c r="P607" s="5">
        <v>1</v>
      </c>
      <c r="Q607" s="5">
        <v>1</v>
      </c>
      <c r="R607" s="5" t="str">
        <f>A607&amp;"-"&amp;YEAR(F607)&amp;"-"&amp;IF(LEN(MONTH(F607))=1,"0"&amp;MONTH(F607),MONTH(F607))&amp;"-"&amp;IF(LEN(DAY(F607))=1,"0"&amp;DAY(F607),DAY(F607))</f>
        <v>271-2024-12-31</v>
      </c>
    </row>
    <row r="608" spans="1:18" x14ac:dyDescent="0.3">
      <c r="A608" s="5">
        <v>272</v>
      </c>
      <c r="B608" s="5" t="s">
        <v>156</v>
      </c>
      <c r="C608" s="5" t="s">
        <v>24</v>
      </c>
      <c r="D608" s="5" t="s">
        <v>25</v>
      </c>
      <c r="E608" s="5" t="s">
        <v>14</v>
      </c>
      <c r="F608" s="6">
        <v>45657</v>
      </c>
      <c r="G608" s="5">
        <f t="shared" si="89"/>
        <v>2024</v>
      </c>
      <c r="H608" s="5" t="str">
        <f t="shared" si="87"/>
        <v>Diciembre</v>
      </c>
      <c r="I608" s="6" t="str">
        <f t="shared" si="88"/>
        <v>2024-2</v>
      </c>
      <c r="J608" s="5">
        <v>0</v>
      </c>
      <c r="K608" s="5">
        <v>0</v>
      </c>
      <c r="L608" s="15" t="str">
        <f t="shared" si="92"/>
        <v/>
      </c>
      <c r="M608" s="15" t="str">
        <f t="shared" si="93"/>
        <v/>
      </c>
      <c r="N608" s="5">
        <v>0</v>
      </c>
      <c r="O608" s="5" t="s">
        <v>490</v>
      </c>
      <c r="P608" s="5">
        <v>0</v>
      </c>
      <c r="Q608" s="5">
        <v>0</v>
      </c>
      <c r="R608" s="5" t="str">
        <f>A608&amp;"-"&amp;YEAR(F608)&amp;"-"&amp;IF(LEN(MONTH(F608))=1,"0"&amp;MONTH(F608),MONTH(F608))&amp;"-"&amp;IF(LEN(DAY(F608))=1,"0"&amp;DAY(F608),DAY(F608))</f>
        <v>272-2024-12-31</v>
      </c>
    </row>
    <row r="609" spans="1:18" x14ac:dyDescent="0.3">
      <c r="A609" s="5">
        <v>273</v>
      </c>
      <c r="B609" s="5" t="s">
        <v>157</v>
      </c>
      <c r="C609" s="5" t="s">
        <v>158</v>
      </c>
      <c r="D609" s="5" t="s">
        <v>8</v>
      </c>
      <c r="E609" s="5" t="s">
        <v>9</v>
      </c>
      <c r="F609" s="6">
        <v>45657</v>
      </c>
      <c r="G609" s="5">
        <f t="shared" si="89"/>
        <v>2024</v>
      </c>
      <c r="H609" s="5" t="str">
        <f t="shared" si="87"/>
        <v>Diciembre</v>
      </c>
      <c r="I609" s="6" t="str">
        <f t="shared" si="88"/>
        <v>2024-2</v>
      </c>
      <c r="J609" s="5">
        <v>6</v>
      </c>
      <c r="K609" s="5">
        <v>6</v>
      </c>
      <c r="L609" s="15">
        <f t="shared" si="92"/>
        <v>1</v>
      </c>
      <c r="M609" s="15">
        <f t="shared" si="93"/>
        <v>1</v>
      </c>
      <c r="N609" s="5" t="s">
        <v>490</v>
      </c>
      <c r="O609" s="5" t="s">
        <v>490</v>
      </c>
      <c r="P609" s="5">
        <v>0</v>
      </c>
      <c r="Q609" s="5">
        <v>0</v>
      </c>
      <c r="R609" s="5" t="str">
        <f>A609&amp;"-"&amp;YEAR(F609)&amp;"-"&amp;IF(LEN(MONTH(F609))=1,"0"&amp;MONTH(F609),MONTH(F609))&amp;"-"&amp;IF(LEN(DAY(F609))=1,"0"&amp;DAY(F609),DAY(F609))</f>
        <v>273-2024-12-31</v>
      </c>
    </row>
    <row r="610" spans="1:18" x14ac:dyDescent="0.3">
      <c r="A610" s="5">
        <v>274</v>
      </c>
      <c r="B610" s="5" t="s">
        <v>159</v>
      </c>
      <c r="C610" s="5" t="s">
        <v>142</v>
      </c>
      <c r="D610" s="5" t="s">
        <v>8</v>
      </c>
      <c r="E610" s="5" t="s">
        <v>9</v>
      </c>
      <c r="F610" s="6">
        <v>45657</v>
      </c>
      <c r="G610" s="5">
        <f t="shared" si="89"/>
        <v>2024</v>
      </c>
      <c r="H610" s="5" t="str">
        <f t="shared" si="87"/>
        <v>Diciembre</v>
      </c>
      <c r="I610" s="6" t="str">
        <f t="shared" si="88"/>
        <v>2024-2</v>
      </c>
      <c r="J610" s="82">
        <v>40441.334115206948</v>
      </c>
      <c r="K610" s="9">
        <v>41436</v>
      </c>
      <c r="L610" s="15">
        <f t="shared" si="92"/>
        <v>1.0245952787304076</v>
      </c>
      <c r="M610" s="15">
        <f t="shared" si="93"/>
        <v>1.0245952787304076</v>
      </c>
      <c r="N610" s="5" t="s">
        <v>490</v>
      </c>
      <c r="O610" s="5" t="s">
        <v>490</v>
      </c>
      <c r="P610" s="5">
        <v>0</v>
      </c>
      <c r="Q610" s="5">
        <v>0</v>
      </c>
      <c r="R610" s="5" t="str">
        <f>A610&amp;"-"&amp;YEAR(F610)&amp;"-"&amp;IF(LEN(MONTH(F610))=1,"0"&amp;MONTH(F610),MONTH(F610))&amp;"-"&amp;IF(LEN(DAY(F610))=1,"0"&amp;DAY(F610),DAY(F610))</f>
        <v>274-2024-12-31</v>
      </c>
    </row>
    <row r="611" spans="1:18" x14ac:dyDescent="0.3">
      <c r="A611" s="5">
        <v>275</v>
      </c>
      <c r="B611" s="5" t="s">
        <v>497</v>
      </c>
      <c r="C611" s="5" t="s">
        <v>160</v>
      </c>
      <c r="D611" s="5" t="s">
        <v>8</v>
      </c>
      <c r="E611" s="5" t="s">
        <v>9</v>
      </c>
      <c r="F611" s="6">
        <v>45657</v>
      </c>
      <c r="G611" s="5">
        <f t="shared" si="89"/>
        <v>2024</v>
      </c>
      <c r="H611" s="5" t="str">
        <f t="shared" si="87"/>
        <v>Diciembre</v>
      </c>
      <c r="I611" s="6" t="str">
        <f t="shared" si="88"/>
        <v>2024-2</v>
      </c>
      <c r="J611" s="5">
        <v>80</v>
      </c>
      <c r="K611" s="5">
        <v>87.67</v>
      </c>
      <c r="L611" s="15">
        <f t="shared" si="92"/>
        <v>1.0958749999999999</v>
      </c>
      <c r="M611" s="15">
        <f t="shared" si="93"/>
        <v>1.0958749999999999</v>
      </c>
      <c r="N611" s="5" t="s">
        <v>347</v>
      </c>
      <c r="O611" s="5" t="s">
        <v>347</v>
      </c>
      <c r="P611" s="5">
        <v>0</v>
      </c>
      <c r="Q611" s="5">
        <v>0</v>
      </c>
      <c r="R611" s="5" t="str">
        <f>A611&amp;"-"&amp;YEAR(F611)&amp;"-"&amp;IF(LEN(MONTH(F611))=1,"0"&amp;MONTH(F611),MONTH(F611))&amp;"-"&amp;IF(LEN(DAY(F611))=1,"0"&amp;DAY(F611),DAY(F611))</f>
        <v>275-2024-12-31</v>
      </c>
    </row>
    <row r="612" spans="1:18" x14ac:dyDescent="0.3">
      <c r="A612" s="5">
        <v>276</v>
      </c>
      <c r="B612" s="5" t="s">
        <v>161</v>
      </c>
      <c r="C612" s="5" t="s">
        <v>162</v>
      </c>
      <c r="D612" s="5" t="s">
        <v>8</v>
      </c>
      <c r="E612" s="5" t="s">
        <v>14</v>
      </c>
      <c r="F612" s="6">
        <v>45657</v>
      </c>
      <c r="G612" s="5">
        <f t="shared" si="89"/>
        <v>2024</v>
      </c>
      <c r="H612" s="5" t="str">
        <f t="shared" si="87"/>
        <v>Diciembre</v>
      </c>
      <c r="I612" s="6" t="str">
        <f t="shared" si="88"/>
        <v>2024-2</v>
      </c>
      <c r="J612" s="5">
        <v>75</v>
      </c>
      <c r="K612" s="5">
        <v>82.68</v>
      </c>
      <c r="L612" s="15">
        <f>IFERROR(IF((J612/K612)&gt;1,1,J612/K612),"")</f>
        <v>0.90711175616835982</v>
      </c>
      <c r="M612" s="15">
        <f>IFERROR(IF((J612/K612)&gt;J612/K612,1.3,J612/K612),"")</f>
        <v>0.90711175616835982</v>
      </c>
      <c r="N612" s="5" t="s">
        <v>490</v>
      </c>
      <c r="O612" s="5" t="s">
        <v>478</v>
      </c>
      <c r="P612" s="5">
        <v>0</v>
      </c>
      <c r="Q612" s="5">
        <v>1</v>
      </c>
      <c r="R612" s="5" t="str">
        <f>A612&amp;"-"&amp;YEAR(F612)&amp;"-"&amp;IF(LEN(MONTH(F612))=1,"0"&amp;MONTH(F612),MONTH(F612))&amp;"-"&amp;IF(LEN(DAY(F612))=1,"0"&amp;DAY(F612),DAY(F612))</f>
        <v>276-2024-12-31</v>
      </c>
    </row>
    <row r="613" spans="1:18" x14ac:dyDescent="0.3">
      <c r="A613" s="5">
        <v>277</v>
      </c>
      <c r="B613" s="5" t="s">
        <v>163</v>
      </c>
      <c r="C613" s="5" t="s">
        <v>162</v>
      </c>
      <c r="D613" s="5" t="s">
        <v>8</v>
      </c>
      <c r="E613" s="5" t="s">
        <v>14</v>
      </c>
      <c r="F613" s="6">
        <v>45657</v>
      </c>
      <c r="G613" s="5">
        <f t="shared" si="89"/>
        <v>2024</v>
      </c>
      <c r="H613" s="5" t="str">
        <f t="shared" si="87"/>
        <v>Diciembre</v>
      </c>
      <c r="I613" s="6" t="str">
        <f t="shared" si="88"/>
        <v>2024-2</v>
      </c>
      <c r="J613" s="5">
        <v>73</v>
      </c>
      <c r="K613" s="5">
        <v>71.239999999999995</v>
      </c>
      <c r="L613" s="15">
        <f>IFERROR(IF((J613/K613)&gt;1.3,1.3,J613/K613),"")</f>
        <v>1.0247052217855139</v>
      </c>
      <c r="M613" s="15">
        <f>IFERROR(IF((J613/K613)&gt;J613/K613,1.3,J613/K613),"")</f>
        <v>1.0247052217855139</v>
      </c>
      <c r="N613" s="5" t="s">
        <v>490</v>
      </c>
      <c r="O613" s="5" t="s">
        <v>478</v>
      </c>
      <c r="P613" s="5">
        <v>1</v>
      </c>
      <c r="Q613" s="5">
        <v>1</v>
      </c>
      <c r="R613" s="5" t="str">
        <f>A613&amp;"-"&amp;YEAR(F613)&amp;"-"&amp;IF(LEN(MONTH(F613))=1,"0"&amp;MONTH(F613),MONTH(F613))&amp;"-"&amp;IF(LEN(DAY(F613))=1,"0"&amp;DAY(F613),DAY(F613))</f>
        <v>277-2024-12-31</v>
      </c>
    </row>
    <row r="614" spans="1:18" x14ac:dyDescent="0.3">
      <c r="A614" s="5">
        <v>278</v>
      </c>
      <c r="B614" s="5" t="s">
        <v>164</v>
      </c>
      <c r="C614" s="5" t="s">
        <v>162</v>
      </c>
      <c r="D614" s="5" t="s">
        <v>8</v>
      </c>
      <c r="E614" s="5" t="s">
        <v>9</v>
      </c>
      <c r="F614" s="6">
        <v>45657</v>
      </c>
      <c r="G614" s="5">
        <f t="shared" si="89"/>
        <v>2024</v>
      </c>
      <c r="H614" s="5" t="str">
        <f t="shared" si="87"/>
        <v>Diciembre</v>
      </c>
      <c r="I614" s="6" t="str">
        <f t="shared" si="88"/>
        <v>2024-2</v>
      </c>
      <c r="J614" s="5"/>
      <c r="K614" s="5">
        <v>1013</v>
      </c>
      <c r="L614" s="15" t="str">
        <f t="shared" ref="L614:L620" si="94">IFERROR(IF((K614/J614)&gt;1.3,1.3,K614/J614),"")</f>
        <v/>
      </c>
      <c r="M614" s="15" t="str">
        <f t="shared" ref="M614:M654" si="95">IFERROR(K614/J614,"")</f>
        <v/>
      </c>
      <c r="N614" s="5" t="s">
        <v>728</v>
      </c>
      <c r="O614" s="5" t="s">
        <v>728</v>
      </c>
      <c r="P614" s="5">
        <v>0</v>
      </c>
      <c r="Q614" s="5">
        <v>0</v>
      </c>
      <c r="R614" s="5" t="str">
        <f>A614&amp;"-"&amp;YEAR(F614)&amp;"-"&amp;IF(LEN(MONTH(F614))=1,"0"&amp;MONTH(F614),MONTH(F614))&amp;"-"&amp;IF(LEN(DAY(F614))=1,"0"&amp;DAY(F614),DAY(F614))</f>
        <v>278-2024-12-31</v>
      </c>
    </row>
    <row r="615" spans="1:18" x14ac:dyDescent="0.3">
      <c r="A615" s="5">
        <v>282</v>
      </c>
      <c r="B615" s="5" t="s">
        <v>168</v>
      </c>
      <c r="C615" s="5" t="s">
        <v>162</v>
      </c>
      <c r="D615" s="5" t="s">
        <v>8</v>
      </c>
      <c r="E615" s="5" t="s">
        <v>9</v>
      </c>
      <c r="F615" s="6">
        <v>45657</v>
      </c>
      <c r="G615" s="5">
        <f t="shared" si="89"/>
        <v>2024</v>
      </c>
      <c r="H615" s="5" t="str">
        <f t="shared" si="87"/>
        <v>Diciembre</v>
      </c>
      <c r="I615" s="6" t="str">
        <f t="shared" si="88"/>
        <v>2024-2</v>
      </c>
      <c r="J615" s="5">
        <v>97</v>
      </c>
      <c r="K615" s="5">
        <v>96.93</v>
      </c>
      <c r="L615" s="15">
        <f t="shared" si="94"/>
        <v>0.99927835051546399</v>
      </c>
      <c r="M615" s="15">
        <f t="shared" si="95"/>
        <v>0.99927835051546399</v>
      </c>
      <c r="N615" s="5" t="s">
        <v>347</v>
      </c>
      <c r="O615" s="5" t="s">
        <v>347</v>
      </c>
      <c r="P615" s="5">
        <v>0</v>
      </c>
      <c r="Q615" s="5">
        <v>0</v>
      </c>
      <c r="R615" s="5" t="str">
        <f>A615&amp;"-"&amp;YEAR(F615)&amp;"-"&amp;IF(LEN(MONTH(F615))=1,"0"&amp;MONTH(F615),MONTH(F615))&amp;"-"&amp;IF(LEN(DAY(F615))=1,"0"&amp;DAY(F615),DAY(F615))</f>
        <v>282-2024-12-31</v>
      </c>
    </row>
    <row r="616" spans="1:18" x14ac:dyDescent="0.3">
      <c r="A616" s="5">
        <v>283</v>
      </c>
      <c r="B616" s="5" t="s">
        <v>169</v>
      </c>
      <c r="C616" s="5" t="s">
        <v>162</v>
      </c>
      <c r="D616" s="5" t="s">
        <v>8</v>
      </c>
      <c r="E616" s="5" t="s">
        <v>9</v>
      </c>
      <c r="F616" s="6">
        <v>45657</v>
      </c>
      <c r="G616" s="5">
        <f t="shared" si="89"/>
        <v>2024</v>
      </c>
      <c r="H616" s="5" t="str">
        <f t="shared" si="87"/>
        <v>Diciembre</v>
      </c>
      <c r="I616" s="6" t="str">
        <f t="shared" si="88"/>
        <v>2024-2</v>
      </c>
      <c r="J616" s="5">
        <v>4.5</v>
      </c>
      <c r="K616" s="5">
        <v>4.6399999999999997</v>
      </c>
      <c r="L616" s="15">
        <f t="shared" si="94"/>
        <v>1.0311111111111111</v>
      </c>
      <c r="M616" s="15">
        <f t="shared" si="95"/>
        <v>1.0311111111111111</v>
      </c>
      <c r="N616" s="5" t="s">
        <v>478</v>
      </c>
      <c r="O616" s="5" t="s">
        <v>478</v>
      </c>
      <c r="P616" s="5">
        <v>2</v>
      </c>
      <c r="Q616" s="5">
        <v>2</v>
      </c>
      <c r="R616" s="5" t="str">
        <f>A616&amp;"-"&amp;YEAR(F616)&amp;"-"&amp;IF(LEN(MONTH(F616))=1,"0"&amp;MONTH(F616),MONTH(F616))&amp;"-"&amp;IF(LEN(DAY(F616))=1,"0"&amp;DAY(F616),DAY(F616))</f>
        <v>283-2024-12-31</v>
      </c>
    </row>
    <row r="617" spans="1:18" x14ac:dyDescent="0.3">
      <c r="A617" s="5">
        <v>285</v>
      </c>
      <c r="B617" s="5" t="s">
        <v>171</v>
      </c>
      <c r="C617" s="5" t="s">
        <v>162</v>
      </c>
      <c r="D617" s="5" t="s">
        <v>8</v>
      </c>
      <c r="E617" s="5" t="s">
        <v>9</v>
      </c>
      <c r="F617" s="6">
        <v>45657</v>
      </c>
      <c r="G617" s="5">
        <f t="shared" si="89"/>
        <v>2024</v>
      </c>
      <c r="H617" s="5" t="str">
        <f t="shared" si="87"/>
        <v>Diciembre</v>
      </c>
      <c r="I617" s="6" t="str">
        <f t="shared" si="88"/>
        <v>2024-2</v>
      </c>
      <c r="J617" s="5">
        <v>100</v>
      </c>
      <c r="K617" s="5">
        <v>100</v>
      </c>
      <c r="L617" s="15">
        <f t="shared" si="94"/>
        <v>1</v>
      </c>
      <c r="M617" s="15">
        <f t="shared" si="95"/>
        <v>1</v>
      </c>
      <c r="N617" s="5" t="s">
        <v>347</v>
      </c>
      <c r="O617" s="5" t="s">
        <v>347</v>
      </c>
      <c r="P617" s="5">
        <v>0</v>
      </c>
      <c r="Q617" s="5">
        <v>0</v>
      </c>
      <c r="R617" s="5" t="str">
        <f>A617&amp;"-"&amp;YEAR(F617)&amp;"-"&amp;IF(LEN(MONTH(F617))=1,"0"&amp;MONTH(F617),MONTH(F617))&amp;"-"&amp;IF(LEN(DAY(F617))=1,"0"&amp;DAY(F617),DAY(F617))</f>
        <v>285-2024-12-31</v>
      </c>
    </row>
    <row r="618" spans="1:18" x14ac:dyDescent="0.3">
      <c r="A618" s="5">
        <v>286</v>
      </c>
      <c r="B618" s="5" t="s">
        <v>172</v>
      </c>
      <c r="C618" s="5" t="s">
        <v>162</v>
      </c>
      <c r="D618" s="5" t="s">
        <v>8</v>
      </c>
      <c r="E618" s="5" t="s">
        <v>9</v>
      </c>
      <c r="F618" s="6">
        <v>45657</v>
      </c>
      <c r="G618" s="5">
        <f t="shared" si="89"/>
        <v>2024</v>
      </c>
      <c r="H618" s="5" t="str">
        <f t="shared" si="87"/>
        <v>Diciembre</v>
      </c>
      <c r="I618" s="6" t="str">
        <f t="shared" si="88"/>
        <v>2024-2</v>
      </c>
      <c r="J618" s="5"/>
      <c r="K618" s="5">
        <v>1013</v>
      </c>
      <c r="L618" s="15" t="str">
        <f t="shared" si="94"/>
        <v/>
      </c>
      <c r="M618" s="15" t="str">
        <f t="shared" si="95"/>
        <v/>
      </c>
      <c r="N618" s="5" t="s">
        <v>728</v>
      </c>
      <c r="O618" s="5" t="s">
        <v>728</v>
      </c>
      <c r="P618" s="5">
        <v>0</v>
      </c>
      <c r="Q618" s="5">
        <v>0</v>
      </c>
      <c r="R618" s="5" t="str">
        <f>A618&amp;"-"&amp;YEAR(F618)&amp;"-"&amp;IF(LEN(MONTH(F618))=1,"0"&amp;MONTH(F618),MONTH(F618))&amp;"-"&amp;IF(LEN(DAY(F618))=1,"0"&amp;DAY(F618),DAY(F618))</f>
        <v>286-2024-12-31</v>
      </c>
    </row>
    <row r="619" spans="1:18" x14ac:dyDescent="0.3">
      <c r="A619" s="5">
        <v>288</v>
      </c>
      <c r="B619" s="5" t="s">
        <v>173</v>
      </c>
      <c r="C619" s="5" t="s">
        <v>162</v>
      </c>
      <c r="D619" s="5" t="s">
        <v>8</v>
      </c>
      <c r="E619" s="5" t="s">
        <v>9</v>
      </c>
      <c r="F619" s="6">
        <v>45657</v>
      </c>
      <c r="G619" s="5">
        <f t="shared" si="89"/>
        <v>2024</v>
      </c>
      <c r="H619" s="5" t="str">
        <f t="shared" si="87"/>
        <v>Diciembre</v>
      </c>
      <c r="I619" s="6" t="str">
        <f t="shared" si="88"/>
        <v>2024-2</v>
      </c>
      <c r="J619" s="5">
        <v>14</v>
      </c>
      <c r="K619" s="5">
        <v>26</v>
      </c>
      <c r="L619" s="15">
        <f t="shared" si="94"/>
        <v>1.3</v>
      </c>
      <c r="M619" s="15">
        <f t="shared" si="95"/>
        <v>1.8571428571428572</v>
      </c>
      <c r="N619" s="5" t="s">
        <v>490</v>
      </c>
      <c r="O619" s="5" t="s">
        <v>490</v>
      </c>
      <c r="P619" s="5">
        <v>0</v>
      </c>
      <c r="Q619" s="5">
        <v>0</v>
      </c>
      <c r="R619" s="5" t="str">
        <f>A619&amp;"-"&amp;YEAR(F619)&amp;"-"&amp;IF(LEN(MONTH(F619))=1,"0"&amp;MONTH(F619),MONTH(F619))&amp;"-"&amp;IF(LEN(DAY(F619))=1,"0"&amp;DAY(F619),DAY(F619))</f>
        <v>288-2024-12-31</v>
      </c>
    </row>
    <row r="620" spans="1:18" x14ac:dyDescent="0.3">
      <c r="A620" s="5">
        <v>289</v>
      </c>
      <c r="B620" s="5" t="s">
        <v>174</v>
      </c>
      <c r="C620" s="5" t="s">
        <v>45</v>
      </c>
      <c r="D620" s="5" t="s">
        <v>11</v>
      </c>
      <c r="E620" s="5" t="s">
        <v>9</v>
      </c>
      <c r="F620" s="6">
        <v>45657</v>
      </c>
      <c r="G620" s="5">
        <f t="shared" si="89"/>
        <v>2024</v>
      </c>
      <c r="H620" s="5" t="str">
        <f t="shared" si="87"/>
        <v>Diciembre</v>
      </c>
      <c r="I620" s="6" t="str">
        <f t="shared" si="88"/>
        <v>2024-2</v>
      </c>
      <c r="J620" s="5">
        <v>95</v>
      </c>
      <c r="K620" s="5">
        <v>100</v>
      </c>
      <c r="L620" s="15">
        <f t="shared" si="94"/>
        <v>1.0526315789473684</v>
      </c>
      <c r="M620" s="15">
        <f t="shared" si="95"/>
        <v>1.0526315789473684</v>
      </c>
      <c r="N620" s="5" t="s">
        <v>347</v>
      </c>
      <c r="O620" s="5" t="s">
        <v>347</v>
      </c>
      <c r="P620" s="5">
        <v>0</v>
      </c>
      <c r="Q620" s="5">
        <v>0</v>
      </c>
      <c r="R620" s="5" t="str">
        <f>A620&amp;"-"&amp;YEAR(F620)&amp;"-"&amp;IF(LEN(MONTH(F620))=1,"0"&amp;MONTH(F620),MONTH(F620))&amp;"-"&amp;IF(LEN(DAY(F620))=1,"0"&amp;DAY(F620),DAY(F620))</f>
        <v>289-2024-12-31</v>
      </c>
    </row>
    <row r="621" spans="1:18" x14ac:dyDescent="0.3">
      <c r="A621" s="5">
        <v>290</v>
      </c>
      <c r="B621" s="5" t="s">
        <v>175</v>
      </c>
      <c r="C621" s="5" t="s">
        <v>114</v>
      </c>
      <c r="D621" s="5" t="s">
        <v>21</v>
      </c>
      <c r="E621" s="5" t="s">
        <v>9</v>
      </c>
      <c r="F621" s="6">
        <v>45657</v>
      </c>
      <c r="G621" s="5">
        <f t="shared" si="89"/>
        <v>2024</v>
      </c>
      <c r="H621" s="5" t="str">
        <f t="shared" si="87"/>
        <v>Diciembre</v>
      </c>
      <c r="I621" s="6" t="str">
        <f t="shared" si="88"/>
        <v>2024-2</v>
      </c>
      <c r="J621" s="5">
        <v>90</v>
      </c>
      <c r="K621" s="5">
        <v>100</v>
      </c>
      <c r="L621" s="15">
        <f>IFERROR(IF((K621/J621)&gt;1,1,K621/J621),"")</f>
        <v>1</v>
      </c>
      <c r="M621" s="15">
        <f t="shared" si="95"/>
        <v>1.1111111111111112</v>
      </c>
      <c r="N621" s="5" t="s">
        <v>347</v>
      </c>
      <c r="O621" s="5" t="s">
        <v>347</v>
      </c>
      <c r="P621" s="5">
        <v>0</v>
      </c>
      <c r="Q621" s="5">
        <v>0</v>
      </c>
      <c r="R621" s="5" t="str">
        <f>A621&amp;"-"&amp;YEAR(F621)&amp;"-"&amp;IF(LEN(MONTH(F621))=1,"0"&amp;MONTH(F621),MONTH(F621))&amp;"-"&amp;IF(LEN(DAY(F621))=1,"0"&amp;DAY(F621),DAY(F621))</f>
        <v>290-2024-12-31</v>
      </c>
    </row>
    <row r="622" spans="1:18" x14ac:dyDescent="0.3">
      <c r="A622" s="5">
        <v>291</v>
      </c>
      <c r="B622" s="5" t="s">
        <v>176</v>
      </c>
      <c r="C622" s="5" t="s">
        <v>177</v>
      </c>
      <c r="D622" s="5" t="s">
        <v>8</v>
      </c>
      <c r="E622" s="5" t="s">
        <v>9</v>
      </c>
      <c r="F622" s="6">
        <v>45657</v>
      </c>
      <c r="G622" s="5">
        <f t="shared" si="89"/>
        <v>2024</v>
      </c>
      <c r="H622" s="5" t="str">
        <f t="shared" si="87"/>
        <v>Diciembre</v>
      </c>
      <c r="I622" s="6" t="str">
        <f t="shared" si="88"/>
        <v>2024-2</v>
      </c>
      <c r="J622" s="5">
        <v>100</v>
      </c>
      <c r="K622" s="5">
        <v>100</v>
      </c>
      <c r="L622" s="15">
        <f t="shared" ref="L622:L654" si="96">IFERROR(IF((K622/J622)&gt;1.3,1.3,K622/J622),"")</f>
        <v>1</v>
      </c>
      <c r="M622" s="15">
        <f t="shared" si="95"/>
        <v>1</v>
      </c>
      <c r="N622" s="5" t="s">
        <v>347</v>
      </c>
      <c r="O622" s="5" t="s">
        <v>347</v>
      </c>
      <c r="P622" s="5">
        <v>0</v>
      </c>
      <c r="Q622" s="5">
        <v>0</v>
      </c>
      <c r="R622" s="5" t="str">
        <f>A622&amp;"-"&amp;YEAR(F622)&amp;"-"&amp;IF(LEN(MONTH(F622))=1,"0"&amp;MONTH(F622),MONTH(F622))&amp;"-"&amp;IF(LEN(DAY(F622))=1,"0"&amp;DAY(F622),DAY(F622))</f>
        <v>291-2024-12-31</v>
      </c>
    </row>
    <row r="623" spans="1:18" x14ac:dyDescent="0.3">
      <c r="A623" s="5">
        <v>292</v>
      </c>
      <c r="B623" s="5" t="s">
        <v>729</v>
      </c>
      <c r="C623" s="5" t="s">
        <v>177</v>
      </c>
      <c r="D623" s="5" t="s">
        <v>8</v>
      </c>
      <c r="E623" s="5" t="s">
        <v>9</v>
      </c>
      <c r="F623" s="6">
        <v>45657</v>
      </c>
      <c r="G623" s="5">
        <f t="shared" si="89"/>
        <v>2024</v>
      </c>
      <c r="H623" s="5" t="str">
        <f t="shared" si="87"/>
        <v>Diciembre</v>
      </c>
      <c r="I623" s="6" t="str">
        <f t="shared" si="88"/>
        <v>2024-2</v>
      </c>
      <c r="J623" s="5">
        <v>3</v>
      </c>
      <c r="K623" s="5">
        <v>14.263862332695901</v>
      </c>
      <c r="L623" s="15">
        <f t="shared" si="96"/>
        <v>1.3</v>
      </c>
      <c r="M623" s="15">
        <f t="shared" si="95"/>
        <v>4.7546207775653002</v>
      </c>
      <c r="N623" s="5" t="s">
        <v>347</v>
      </c>
      <c r="O623" s="5" t="s">
        <v>347</v>
      </c>
      <c r="P623" s="5">
        <v>0</v>
      </c>
      <c r="Q623" s="5">
        <v>0</v>
      </c>
      <c r="R623" s="5" t="str">
        <f>A623&amp;"-"&amp;YEAR(F623)&amp;"-"&amp;IF(LEN(MONTH(F623))=1,"0"&amp;MONTH(F623),MONTH(F623))&amp;"-"&amp;IF(LEN(DAY(F623))=1,"0"&amp;DAY(F623),DAY(F623))</f>
        <v>292-2024-12-31</v>
      </c>
    </row>
    <row r="624" spans="1:18" x14ac:dyDescent="0.3">
      <c r="A624" s="5">
        <v>293</v>
      </c>
      <c r="B624" s="5" t="s">
        <v>179</v>
      </c>
      <c r="C624" s="5" t="s">
        <v>177</v>
      </c>
      <c r="D624" s="5" t="s">
        <v>8</v>
      </c>
      <c r="E624" s="5" t="s">
        <v>9</v>
      </c>
      <c r="F624" s="6">
        <v>45657</v>
      </c>
      <c r="G624" s="5">
        <f t="shared" si="89"/>
        <v>2024</v>
      </c>
      <c r="H624" s="5" t="str">
        <f t="shared" si="87"/>
        <v>Diciembre</v>
      </c>
      <c r="I624" s="6" t="str">
        <f t="shared" si="88"/>
        <v>2024-2</v>
      </c>
      <c r="J624" s="5">
        <v>100</v>
      </c>
      <c r="K624" s="5">
        <v>100</v>
      </c>
      <c r="L624" s="15">
        <f t="shared" si="96"/>
        <v>1</v>
      </c>
      <c r="M624" s="15">
        <f t="shared" si="95"/>
        <v>1</v>
      </c>
      <c r="N624" s="5" t="s">
        <v>347</v>
      </c>
      <c r="O624" s="5" t="s">
        <v>347</v>
      </c>
      <c r="P624" s="5">
        <v>0</v>
      </c>
      <c r="Q624" s="5">
        <v>0</v>
      </c>
      <c r="R624" s="5" t="str">
        <f>A624&amp;"-"&amp;YEAR(F624)&amp;"-"&amp;IF(LEN(MONTH(F624))=1,"0"&amp;MONTH(F624),MONTH(F624))&amp;"-"&amp;IF(LEN(DAY(F624))=1,"0"&amp;DAY(F624),DAY(F624))</f>
        <v>293-2024-12-31</v>
      </c>
    </row>
    <row r="625" spans="1:18" x14ac:dyDescent="0.3">
      <c r="A625" s="5">
        <v>294</v>
      </c>
      <c r="B625" s="5" t="s">
        <v>512</v>
      </c>
      <c r="C625" s="5" t="s">
        <v>177</v>
      </c>
      <c r="D625" s="5" t="s">
        <v>8</v>
      </c>
      <c r="E625" s="5" t="s">
        <v>9</v>
      </c>
      <c r="F625" s="6">
        <v>45657</v>
      </c>
      <c r="G625" s="5">
        <f t="shared" si="89"/>
        <v>2024</v>
      </c>
      <c r="H625" s="5" t="str">
        <f t="shared" si="87"/>
        <v>Diciembre</v>
      </c>
      <c r="I625" s="6" t="str">
        <f t="shared" si="88"/>
        <v>2024-2</v>
      </c>
      <c r="J625" s="5">
        <v>3</v>
      </c>
      <c r="K625" s="5">
        <v>5.5</v>
      </c>
      <c r="L625" s="15">
        <f t="shared" si="96"/>
        <v>1.3</v>
      </c>
      <c r="M625" s="15">
        <f t="shared" si="95"/>
        <v>1.8333333333333333</v>
      </c>
      <c r="N625" s="5" t="s">
        <v>347</v>
      </c>
      <c r="O625" s="5" t="s">
        <v>347</v>
      </c>
      <c r="P625" s="5">
        <v>0</v>
      </c>
      <c r="Q625" s="5">
        <v>0</v>
      </c>
      <c r="R625" s="5" t="str">
        <f>A625&amp;"-"&amp;YEAR(F625)&amp;"-"&amp;IF(LEN(MONTH(F625))=1,"0"&amp;MONTH(F625),MONTH(F625))&amp;"-"&amp;IF(LEN(DAY(F625))=1,"0"&amp;DAY(F625),DAY(F625))</f>
        <v>294-2024-12-31</v>
      </c>
    </row>
    <row r="626" spans="1:18" x14ac:dyDescent="0.3">
      <c r="A626" s="5">
        <v>300</v>
      </c>
      <c r="B626" s="5" t="s">
        <v>184</v>
      </c>
      <c r="C626" s="5" t="s">
        <v>185</v>
      </c>
      <c r="D626" s="5" t="s">
        <v>11</v>
      </c>
      <c r="E626" s="5" t="s">
        <v>9</v>
      </c>
      <c r="F626" s="6">
        <v>45657</v>
      </c>
      <c r="G626" s="5">
        <f t="shared" si="89"/>
        <v>2024</v>
      </c>
      <c r="H626" s="5" t="str">
        <f t="shared" si="87"/>
        <v>Diciembre</v>
      </c>
      <c r="I626" s="6" t="str">
        <f t="shared" si="88"/>
        <v>2024-2</v>
      </c>
      <c r="J626" s="5">
        <v>100</v>
      </c>
      <c r="K626" s="5">
        <v>100</v>
      </c>
      <c r="L626" s="15">
        <f t="shared" si="96"/>
        <v>1</v>
      </c>
      <c r="M626" s="15">
        <f t="shared" si="95"/>
        <v>1</v>
      </c>
      <c r="N626" s="5" t="s">
        <v>347</v>
      </c>
      <c r="O626" s="5" t="s">
        <v>347</v>
      </c>
      <c r="P626" s="5">
        <v>0</v>
      </c>
      <c r="Q626" s="5">
        <v>0</v>
      </c>
      <c r="R626" s="5" t="str">
        <f>A626&amp;"-"&amp;YEAR(F626)&amp;"-"&amp;IF(LEN(MONTH(F626))=1,"0"&amp;MONTH(F626),MONTH(F626))&amp;"-"&amp;IF(LEN(DAY(F626))=1,"0"&amp;DAY(F626),DAY(F626))</f>
        <v>300-2024-12-31</v>
      </c>
    </row>
    <row r="627" spans="1:18" x14ac:dyDescent="0.3">
      <c r="A627" s="5">
        <v>301</v>
      </c>
      <c r="B627" s="5" t="s">
        <v>186</v>
      </c>
      <c r="C627" s="5" t="s">
        <v>185</v>
      </c>
      <c r="D627" s="5" t="s">
        <v>11</v>
      </c>
      <c r="E627" s="5" t="s">
        <v>9</v>
      </c>
      <c r="F627" s="6">
        <v>45657</v>
      </c>
      <c r="G627" s="5">
        <f t="shared" si="89"/>
        <v>2024</v>
      </c>
      <c r="H627" s="5" t="str">
        <f t="shared" si="87"/>
        <v>Diciembre</v>
      </c>
      <c r="I627" s="6" t="str">
        <f t="shared" si="88"/>
        <v>2024-2</v>
      </c>
      <c r="J627" s="5">
        <v>100</v>
      </c>
      <c r="K627" s="5">
        <v>100</v>
      </c>
      <c r="L627" s="15">
        <f t="shared" si="96"/>
        <v>1</v>
      </c>
      <c r="M627" s="15">
        <f t="shared" si="95"/>
        <v>1</v>
      </c>
      <c r="N627" s="5" t="s">
        <v>347</v>
      </c>
      <c r="O627" s="5" t="s">
        <v>347</v>
      </c>
      <c r="P627" s="5">
        <v>0</v>
      </c>
      <c r="Q627" s="5">
        <v>0</v>
      </c>
      <c r="R627" s="5" t="str">
        <f>A627&amp;"-"&amp;YEAR(F627)&amp;"-"&amp;IF(LEN(MONTH(F627))=1,"0"&amp;MONTH(F627),MONTH(F627))&amp;"-"&amp;IF(LEN(DAY(F627))=1,"0"&amp;DAY(F627),DAY(F627))</f>
        <v>301-2024-12-31</v>
      </c>
    </row>
    <row r="628" spans="1:18" x14ac:dyDescent="0.3">
      <c r="A628" s="5">
        <v>302</v>
      </c>
      <c r="B628" s="5" t="s">
        <v>187</v>
      </c>
      <c r="C628" s="5" t="s">
        <v>152</v>
      </c>
      <c r="D628" s="5" t="s">
        <v>8</v>
      </c>
      <c r="E628" s="5" t="s">
        <v>9</v>
      </c>
      <c r="F628" s="6">
        <v>45657</v>
      </c>
      <c r="G628" s="5">
        <f t="shared" si="89"/>
        <v>2024</v>
      </c>
      <c r="H628" s="5" t="str">
        <f t="shared" si="87"/>
        <v>Diciembre</v>
      </c>
      <c r="I628" s="6" t="str">
        <f t="shared" si="88"/>
        <v>2024-2</v>
      </c>
      <c r="J628" s="5">
        <v>0</v>
      </c>
      <c r="K628" s="5">
        <v>0</v>
      </c>
      <c r="L628" s="15" t="str">
        <f t="shared" si="96"/>
        <v/>
      </c>
      <c r="M628" s="15" t="str">
        <f t="shared" si="95"/>
        <v/>
      </c>
      <c r="N628" s="5">
        <v>0</v>
      </c>
      <c r="O628" s="5" t="s">
        <v>490</v>
      </c>
      <c r="P628" s="5">
        <v>0</v>
      </c>
      <c r="Q628" s="5">
        <v>0</v>
      </c>
      <c r="R628" s="5" t="str">
        <f>A628&amp;"-"&amp;YEAR(F628)&amp;"-"&amp;IF(LEN(MONTH(F628))=1,"0"&amp;MONTH(F628),MONTH(F628))&amp;"-"&amp;IF(LEN(DAY(F628))=1,"0"&amp;DAY(F628),DAY(F628))</f>
        <v>302-2024-12-31</v>
      </c>
    </row>
    <row r="629" spans="1:18" x14ac:dyDescent="0.3">
      <c r="A629" s="5">
        <v>303</v>
      </c>
      <c r="B629" s="5" t="s">
        <v>188</v>
      </c>
      <c r="C629" s="5" t="s">
        <v>189</v>
      </c>
      <c r="D629" s="5" t="s">
        <v>8</v>
      </c>
      <c r="E629" s="5" t="s">
        <v>9</v>
      </c>
      <c r="F629" s="6">
        <v>45657</v>
      </c>
      <c r="G629" s="5">
        <f t="shared" si="89"/>
        <v>2024</v>
      </c>
      <c r="H629" s="5" t="str">
        <f t="shared" si="87"/>
        <v>Diciembre</v>
      </c>
      <c r="I629" s="6" t="str">
        <f t="shared" si="88"/>
        <v>2024-2</v>
      </c>
      <c r="J629" s="5">
        <v>95</v>
      </c>
      <c r="K629" s="5">
        <v>95.652173913043399</v>
      </c>
      <c r="L629" s="15">
        <f t="shared" si="96"/>
        <v>1.0068649885583516</v>
      </c>
      <c r="M629" s="15">
        <f t="shared" si="95"/>
        <v>1.0068649885583516</v>
      </c>
      <c r="N629" s="5" t="s">
        <v>347</v>
      </c>
      <c r="O629" s="5" t="s">
        <v>347</v>
      </c>
      <c r="P629" s="5">
        <v>0</v>
      </c>
      <c r="Q629" s="5">
        <v>0</v>
      </c>
      <c r="R629" s="5" t="str">
        <f>A629&amp;"-"&amp;YEAR(F629)&amp;"-"&amp;IF(LEN(MONTH(F629))=1,"0"&amp;MONTH(F629),MONTH(F629))&amp;"-"&amp;IF(LEN(DAY(F629))=1,"0"&amp;DAY(F629),DAY(F629))</f>
        <v>303-2024-12-31</v>
      </c>
    </row>
    <row r="630" spans="1:18" x14ac:dyDescent="0.3">
      <c r="A630" s="5">
        <v>304</v>
      </c>
      <c r="B630" s="5" t="s">
        <v>190</v>
      </c>
      <c r="C630" s="5" t="s">
        <v>189</v>
      </c>
      <c r="D630" s="5" t="s">
        <v>8</v>
      </c>
      <c r="E630" s="5" t="s">
        <v>9</v>
      </c>
      <c r="F630" s="6">
        <v>45657</v>
      </c>
      <c r="G630" s="5">
        <f t="shared" si="89"/>
        <v>2024</v>
      </c>
      <c r="H630" s="5" t="str">
        <f t="shared" si="87"/>
        <v>Diciembre</v>
      </c>
      <c r="I630" s="6" t="str">
        <f t="shared" si="88"/>
        <v>2024-2</v>
      </c>
      <c r="J630" s="5">
        <v>6800</v>
      </c>
      <c r="K630" s="5">
        <v>6245</v>
      </c>
      <c r="L630" s="15">
        <f t="shared" si="96"/>
        <v>0.91838235294117643</v>
      </c>
      <c r="M630" s="15">
        <f t="shared" si="95"/>
        <v>0.91838235294117643</v>
      </c>
      <c r="N630" s="5" t="s">
        <v>490</v>
      </c>
      <c r="O630" s="5" t="s">
        <v>490</v>
      </c>
      <c r="P630" s="5">
        <v>0</v>
      </c>
      <c r="Q630" s="5">
        <v>0</v>
      </c>
      <c r="R630" s="5" t="str">
        <f>A630&amp;"-"&amp;YEAR(F630)&amp;"-"&amp;IF(LEN(MONTH(F630))=1,"0"&amp;MONTH(F630),MONTH(F630))&amp;"-"&amp;IF(LEN(DAY(F630))=1,"0"&amp;DAY(F630),DAY(F630))</f>
        <v>304-2024-12-31</v>
      </c>
    </row>
    <row r="631" spans="1:18" x14ac:dyDescent="0.3">
      <c r="A631" s="5">
        <v>305</v>
      </c>
      <c r="B631" s="5" t="s">
        <v>191</v>
      </c>
      <c r="C631" s="5" t="s">
        <v>189</v>
      </c>
      <c r="D631" s="5" t="s">
        <v>25</v>
      </c>
      <c r="E631" s="5" t="s">
        <v>9</v>
      </c>
      <c r="F631" s="6">
        <v>45657</v>
      </c>
      <c r="G631" s="5">
        <f t="shared" si="89"/>
        <v>2024</v>
      </c>
      <c r="H631" s="5" t="str">
        <f t="shared" si="87"/>
        <v>Diciembre</v>
      </c>
      <c r="I631" s="6" t="str">
        <f t="shared" si="88"/>
        <v>2024-2</v>
      </c>
      <c r="J631" s="5">
        <v>100</v>
      </c>
      <c r="K631" s="5">
        <v>100</v>
      </c>
      <c r="L631" s="15">
        <f t="shared" si="96"/>
        <v>1</v>
      </c>
      <c r="M631" s="15">
        <f t="shared" si="95"/>
        <v>1</v>
      </c>
      <c r="N631" s="5" t="s">
        <v>347</v>
      </c>
      <c r="O631" s="5" t="s">
        <v>347</v>
      </c>
      <c r="P631" s="5">
        <v>0</v>
      </c>
      <c r="Q631" s="5">
        <v>0</v>
      </c>
      <c r="R631" s="5" t="str">
        <f>A631&amp;"-"&amp;YEAR(F631)&amp;"-"&amp;IF(LEN(MONTH(F631))=1,"0"&amp;MONTH(F631),MONTH(F631))&amp;"-"&amp;IF(LEN(DAY(F631))=1,"0"&amp;DAY(F631),DAY(F631))</f>
        <v>305-2024-12-31</v>
      </c>
    </row>
    <row r="632" spans="1:18" x14ac:dyDescent="0.3">
      <c r="A632" s="5">
        <v>306</v>
      </c>
      <c r="B632" s="5" t="s">
        <v>192</v>
      </c>
      <c r="C632" s="5" t="s">
        <v>134</v>
      </c>
      <c r="D632" s="5" t="s">
        <v>11</v>
      </c>
      <c r="E632" s="5" t="s">
        <v>9</v>
      </c>
      <c r="F632" s="6">
        <v>45657</v>
      </c>
      <c r="G632" s="5">
        <f t="shared" si="89"/>
        <v>2024</v>
      </c>
      <c r="H632" s="5" t="str">
        <f t="shared" si="87"/>
        <v>Diciembre</v>
      </c>
      <c r="I632" s="6" t="str">
        <f t="shared" si="88"/>
        <v>2024-2</v>
      </c>
      <c r="J632" s="5">
        <v>100</v>
      </c>
      <c r="K632" s="5">
        <v>101</v>
      </c>
      <c r="L632" s="15">
        <f t="shared" si="96"/>
        <v>1.01</v>
      </c>
      <c r="M632" s="15">
        <f t="shared" si="95"/>
        <v>1.01</v>
      </c>
      <c r="N632" s="5" t="s">
        <v>347</v>
      </c>
      <c r="O632" s="5" t="s">
        <v>347</v>
      </c>
      <c r="P632" s="5">
        <v>0</v>
      </c>
      <c r="Q632" s="5">
        <v>0</v>
      </c>
      <c r="R632" s="5" t="str">
        <f>A632&amp;"-"&amp;YEAR(F632)&amp;"-"&amp;IF(LEN(MONTH(F632))=1,"0"&amp;MONTH(F632),MONTH(F632))&amp;"-"&amp;IF(LEN(DAY(F632))=1,"0"&amp;DAY(F632),DAY(F632))</f>
        <v>306-2024-12-31</v>
      </c>
    </row>
    <row r="633" spans="1:18" x14ac:dyDescent="0.3">
      <c r="A633" s="5">
        <v>307</v>
      </c>
      <c r="B633" s="5" t="s">
        <v>193</v>
      </c>
      <c r="C633" s="5" t="s">
        <v>53</v>
      </c>
      <c r="D633" s="5" t="s">
        <v>8</v>
      </c>
      <c r="E633" s="5" t="s">
        <v>9</v>
      </c>
      <c r="F633" s="6">
        <v>45657</v>
      </c>
      <c r="G633" s="5">
        <f t="shared" si="89"/>
        <v>2024</v>
      </c>
      <c r="H633" s="5" t="str">
        <f t="shared" si="87"/>
        <v>Diciembre</v>
      </c>
      <c r="I633" s="6" t="str">
        <f t="shared" si="88"/>
        <v>2024-2</v>
      </c>
      <c r="J633" s="5">
        <v>100</v>
      </c>
      <c r="K633" s="5">
        <v>413.33</v>
      </c>
      <c r="L633" s="15">
        <f t="shared" si="96"/>
        <v>1.3</v>
      </c>
      <c r="M633" s="15">
        <f t="shared" si="95"/>
        <v>4.1333000000000002</v>
      </c>
      <c r="N633" s="5" t="s">
        <v>490</v>
      </c>
      <c r="O633" s="5" t="s">
        <v>490</v>
      </c>
      <c r="P633" s="5">
        <v>0</v>
      </c>
      <c r="Q633" s="5">
        <v>0</v>
      </c>
      <c r="R633" s="5" t="str">
        <f>A633&amp;"-"&amp;YEAR(F633)&amp;"-"&amp;IF(LEN(MONTH(F633))=1,"0"&amp;MONTH(F633),MONTH(F633))&amp;"-"&amp;IF(LEN(DAY(F633))=1,"0"&amp;DAY(F633),DAY(F633))</f>
        <v>307-2024-12-31</v>
      </c>
    </row>
    <row r="634" spans="1:18" x14ac:dyDescent="0.3">
      <c r="A634" s="5">
        <v>308</v>
      </c>
      <c r="B634" s="5" t="s">
        <v>194</v>
      </c>
      <c r="C634" s="5" t="s">
        <v>53</v>
      </c>
      <c r="D634" s="5" t="s">
        <v>8</v>
      </c>
      <c r="E634" s="5" t="s">
        <v>9</v>
      </c>
      <c r="F634" s="6">
        <v>45657</v>
      </c>
      <c r="G634" s="5">
        <f t="shared" si="89"/>
        <v>2024</v>
      </c>
      <c r="H634" s="5" t="str">
        <f t="shared" si="87"/>
        <v>Diciembre</v>
      </c>
      <c r="I634" s="6" t="str">
        <f t="shared" si="88"/>
        <v>2024-2</v>
      </c>
      <c r="J634" s="5">
        <v>100</v>
      </c>
      <c r="K634" s="5">
        <v>100</v>
      </c>
      <c r="L634" s="15">
        <f t="shared" si="96"/>
        <v>1</v>
      </c>
      <c r="M634" s="15">
        <f t="shared" si="95"/>
        <v>1</v>
      </c>
      <c r="N634" s="5" t="s">
        <v>490</v>
      </c>
      <c r="O634" s="5" t="s">
        <v>490</v>
      </c>
      <c r="P634" s="5">
        <v>0</v>
      </c>
      <c r="Q634" s="5">
        <v>0</v>
      </c>
      <c r="R634" s="5" t="str">
        <f>A634&amp;"-"&amp;YEAR(F634)&amp;"-"&amp;IF(LEN(MONTH(F634))=1,"0"&amp;MONTH(F634),MONTH(F634))&amp;"-"&amp;IF(LEN(DAY(F634))=1,"0"&amp;DAY(F634),DAY(F634))</f>
        <v>308-2024-12-31</v>
      </c>
    </row>
    <row r="635" spans="1:18" x14ac:dyDescent="0.3">
      <c r="A635" s="5">
        <v>309</v>
      </c>
      <c r="B635" s="5" t="s">
        <v>730</v>
      </c>
      <c r="C635" s="5" t="s">
        <v>53</v>
      </c>
      <c r="D635" s="5" t="s">
        <v>8</v>
      </c>
      <c r="E635" s="5" t="s">
        <v>9</v>
      </c>
      <c r="F635" s="6">
        <v>45657</v>
      </c>
      <c r="G635" s="5">
        <f t="shared" si="89"/>
        <v>2024</v>
      </c>
      <c r="H635" s="5" t="str">
        <f t="shared" si="87"/>
        <v>Diciembre</v>
      </c>
      <c r="I635" s="6" t="str">
        <f t="shared" si="88"/>
        <v>2024-2</v>
      </c>
      <c r="J635" s="5">
        <v>100</v>
      </c>
      <c r="K635" s="5">
        <v>154.66999999999999</v>
      </c>
      <c r="L635" s="15">
        <f t="shared" si="96"/>
        <v>1.3</v>
      </c>
      <c r="M635" s="15">
        <f t="shared" si="95"/>
        <v>1.5467</v>
      </c>
      <c r="N635" s="5" t="s">
        <v>490</v>
      </c>
      <c r="O635" s="5" t="s">
        <v>490</v>
      </c>
      <c r="P635" s="5">
        <v>0</v>
      </c>
      <c r="Q635" s="5">
        <v>0</v>
      </c>
      <c r="R635" s="5" t="str">
        <f>A635&amp;"-"&amp;YEAR(F635)&amp;"-"&amp;IF(LEN(MONTH(F635))=1,"0"&amp;MONTH(F635),MONTH(F635))&amp;"-"&amp;IF(LEN(DAY(F635))=1,"0"&amp;DAY(F635),DAY(F635))</f>
        <v>309-2024-12-31</v>
      </c>
    </row>
    <row r="636" spans="1:18" x14ac:dyDescent="0.3">
      <c r="A636" s="5">
        <v>310</v>
      </c>
      <c r="B636" s="5" t="s">
        <v>196</v>
      </c>
      <c r="C636" s="5" t="s">
        <v>53</v>
      </c>
      <c r="D636" s="5" t="s">
        <v>8</v>
      </c>
      <c r="E636" s="5" t="s">
        <v>9</v>
      </c>
      <c r="F636" s="6">
        <v>45657</v>
      </c>
      <c r="G636" s="5">
        <f t="shared" si="89"/>
        <v>2024</v>
      </c>
      <c r="H636" s="5" t="str">
        <f t="shared" ref="H636:H699" si="97">PROPER(TEXT(F636,"mmmm"))</f>
        <v>Diciembre</v>
      </c>
      <c r="I636" s="6" t="str">
        <f t="shared" ref="I636:I699" si="98">IF(OR(H636="Enero",H636="Febrero",H636="Marzo",H636="Abril",H636="Mayo",H636="Junio"),G636&amp;"-1",IF(OR(H636="Julio",H636="Agosto",H636="Septiembre",H636="Octubre",H636="Noviembre",H636="Diciembre"),G636&amp;"-2"))</f>
        <v>2024-2</v>
      </c>
      <c r="J636" s="5">
        <v>100</v>
      </c>
      <c r="K636" s="5">
        <v>79.13</v>
      </c>
      <c r="L636" s="15">
        <f t="shared" si="96"/>
        <v>0.7913</v>
      </c>
      <c r="M636" s="15">
        <f t="shared" si="95"/>
        <v>0.7913</v>
      </c>
      <c r="N636" s="5" t="s">
        <v>490</v>
      </c>
      <c r="O636" s="5" t="s">
        <v>490</v>
      </c>
      <c r="P636" s="5">
        <v>0</v>
      </c>
      <c r="Q636" s="5">
        <v>0</v>
      </c>
      <c r="R636" s="5" t="str">
        <f>A636&amp;"-"&amp;YEAR(F636)&amp;"-"&amp;IF(LEN(MONTH(F636))=1,"0"&amp;MONTH(F636),MONTH(F636))&amp;"-"&amp;IF(LEN(DAY(F636))=1,"0"&amp;DAY(F636),DAY(F636))</f>
        <v>310-2024-12-31</v>
      </c>
    </row>
    <row r="637" spans="1:18" x14ac:dyDescent="0.3">
      <c r="A637" s="5">
        <v>311</v>
      </c>
      <c r="B637" s="5" t="s">
        <v>197</v>
      </c>
      <c r="C637" s="5" t="s">
        <v>53</v>
      </c>
      <c r="D637" s="5" t="s">
        <v>8</v>
      </c>
      <c r="E637" s="5" t="s">
        <v>9</v>
      </c>
      <c r="F637" s="6">
        <v>45657</v>
      </c>
      <c r="G637" s="5">
        <f t="shared" si="89"/>
        <v>2024</v>
      </c>
      <c r="H637" s="5" t="str">
        <f t="shared" si="97"/>
        <v>Diciembre</v>
      </c>
      <c r="I637" s="6" t="str">
        <f t="shared" si="98"/>
        <v>2024-2</v>
      </c>
      <c r="J637" s="5">
        <v>100</v>
      </c>
      <c r="K637" s="5">
        <v>67.760000000000005</v>
      </c>
      <c r="L637" s="15">
        <f t="shared" si="96"/>
        <v>0.67760000000000009</v>
      </c>
      <c r="M637" s="15">
        <f t="shared" si="95"/>
        <v>0.67760000000000009</v>
      </c>
      <c r="N637" s="5" t="s">
        <v>490</v>
      </c>
      <c r="O637" s="5" t="s">
        <v>490</v>
      </c>
      <c r="P637" s="5">
        <v>0</v>
      </c>
      <c r="Q637" s="5">
        <v>0</v>
      </c>
      <c r="R637" s="5" t="str">
        <f>A637&amp;"-"&amp;YEAR(F637)&amp;"-"&amp;IF(LEN(MONTH(F637))=1,"0"&amp;MONTH(F637),MONTH(F637))&amp;"-"&amp;IF(LEN(DAY(F637))=1,"0"&amp;DAY(F637),DAY(F637))</f>
        <v>311-2024-12-31</v>
      </c>
    </row>
    <row r="638" spans="1:18" x14ac:dyDescent="0.3">
      <c r="A638" s="5">
        <v>312</v>
      </c>
      <c r="B638" s="5" t="s">
        <v>198</v>
      </c>
      <c r="C638" s="5" t="s">
        <v>53</v>
      </c>
      <c r="D638" s="5" t="s">
        <v>8</v>
      </c>
      <c r="E638" s="5" t="s">
        <v>9</v>
      </c>
      <c r="F638" s="6">
        <v>45657</v>
      </c>
      <c r="G638" s="5">
        <f t="shared" si="89"/>
        <v>2024</v>
      </c>
      <c r="H638" s="5" t="str">
        <f t="shared" si="97"/>
        <v>Diciembre</v>
      </c>
      <c r="I638" s="6" t="str">
        <f t="shared" si="98"/>
        <v>2024-2</v>
      </c>
      <c r="J638" s="5">
        <v>100</v>
      </c>
      <c r="K638" s="5">
        <v>137</v>
      </c>
      <c r="L638" s="15">
        <f t="shared" si="96"/>
        <v>1.3</v>
      </c>
      <c r="M638" s="15">
        <f t="shared" si="95"/>
        <v>1.37</v>
      </c>
      <c r="N638" s="5" t="s">
        <v>490</v>
      </c>
      <c r="O638" s="5" t="s">
        <v>490</v>
      </c>
      <c r="P638" s="5">
        <v>0</v>
      </c>
      <c r="Q638" s="5">
        <v>0</v>
      </c>
      <c r="R638" s="5" t="str">
        <f>A638&amp;"-"&amp;YEAR(F638)&amp;"-"&amp;IF(LEN(MONTH(F638))=1,"0"&amp;MONTH(F638),MONTH(F638))&amp;"-"&amp;IF(LEN(DAY(F638))=1,"0"&amp;DAY(F638),DAY(F638))</f>
        <v>312-2024-12-31</v>
      </c>
    </row>
    <row r="639" spans="1:18" x14ac:dyDescent="0.3">
      <c r="A639" s="5">
        <v>313</v>
      </c>
      <c r="B639" s="5" t="s">
        <v>199</v>
      </c>
      <c r="C639" s="5" t="s">
        <v>53</v>
      </c>
      <c r="D639" s="5" t="s">
        <v>8</v>
      </c>
      <c r="E639" s="5" t="s">
        <v>9</v>
      </c>
      <c r="F639" s="6">
        <v>45657</v>
      </c>
      <c r="G639" s="5">
        <f t="shared" si="89"/>
        <v>2024</v>
      </c>
      <c r="H639" s="5" t="str">
        <f t="shared" si="97"/>
        <v>Diciembre</v>
      </c>
      <c r="I639" s="6" t="str">
        <f t="shared" si="98"/>
        <v>2024-2</v>
      </c>
      <c r="J639" s="5">
        <v>100</v>
      </c>
      <c r="K639" s="5">
        <v>100</v>
      </c>
      <c r="L639" s="15">
        <f t="shared" si="96"/>
        <v>1</v>
      </c>
      <c r="M639" s="15">
        <f t="shared" si="95"/>
        <v>1</v>
      </c>
      <c r="N639" s="5" t="s">
        <v>490</v>
      </c>
      <c r="O639" s="5" t="s">
        <v>490</v>
      </c>
      <c r="P639" s="5">
        <v>0</v>
      </c>
      <c r="Q639" s="5">
        <v>0</v>
      </c>
      <c r="R639" s="5" t="str">
        <f>A639&amp;"-"&amp;YEAR(F639)&amp;"-"&amp;IF(LEN(MONTH(F639))=1,"0"&amp;MONTH(F639),MONTH(F639))&amp;"-"&amp;IF(LEN(DAY(F639))=1,"0"&amp;DAY(F639),DAY(F639))</f>
        <v>313-2024-12-31</v>
      </c>
    </row>
    <row r="640" spans="1:18" x14ac:dyDescent="0.3">
      <c r="A640" s="5">
        <v>314</v>
      </c>
      <c r="B640" s="5" t="s">
        <v>200</v>
      </c>
      <c r="C640" s="5" t="s">
        <v>53</v>
      </c>
      <c r="D640" s="5" t="s">
        <v>8</v>
      </c>
      <c r="E640" s="5" t="s">
        <v>9</v>
      </c>
      <c r="F640" s="6">
        <v>45657</v>
      </c>
      <c r="G640" s="5">
        <f t="shared" si="89"/>
        <v>2024</v>
      </c>
      <c r="H640" s="5" t="str">
        <f t="shared" si="97"/>
        <v>Diciembre</v>
      </c>
      <c r="I640" s="6" t="str">
        <f t="shared" si="98"/>
        <v>2024-2</v>
      </c>
      <c r="J640" s="5">
        <v>100</v>
      </c>
      <c r="K640" s="5">
        <v>145</v>
      </c>
      <c r="L640" s="15">
        <f t="shared" si="96"/>
        <v>1.3</v>
      </c>
      <c r="M640" s="15">
        <f t="shared" si="95"/>
        <v>1.45</v>
      </c>
      <c r="N640" s="5" t="s">
        <v>490</v>
      </c>
      <c r="O640" s="5" t="s">
        <v>490</v>
      </c>
      <c r="P640" s="5">
        <v>0</v>
      </c>
      <c r="Q640" s="5">
        <v>0</v>
      </c>
      <c r="R640" s="5" t="str">
        <f>A640&amp;"-"&amp;YEAR(F640)&amp;"-"&amp;IF(LEN(MONTH(F640))=1,"0"&amp;MONTH(F640),MONTH(F640))&amp;"-"&amp;IF(LEN(DAY(F640))=1,"0"&amp;DAY(F640),DAY(F640))</f>
        <v>314-2024-12-31</v>
      </c>
    </row>
    <row r="641" spans="1:18" x14ac:dyDescent="0.3">
      <c r="A641" s="5">
        <v>315</v>
      </c>
      <c r="B641" s="5" t="s">
        <v>498</v>
      </c>
      <c r="C641" s="5" t="s">
        <v>53</v>
      </c>
      <c r="D641" s="5" t="s">
        <v>8</v>
      </c>
      <c r="E641" s="5" t="s">
        <v>9</v>
      </c>
      <c r="F641" s="6">
        <v>45657</v>
      </c>
      <c r="G641" s="5">
        <f t="shared" ref="G641:G704" si="99">YEAR(F641)</f>
        <v>2024</v>
      </c>
      <c r="H641" s="5" t="str">
        <f t="shared" si="97"/>
        <v>Diciembre</v>
      </c>
      <c r="I641" s="6" t="str">
        <f t="shared" si="98"/>
        <v>2024-2</v>
      </c>
      <c r="J641" s="5" t="s">
        <v>417</v>
      </c>
      <c r="K641" s="5" t="s">
        <v>417</v>
      </c>
      <c r="L641" s="15" t="str">
        <f t="shared" si="96"/>
        <v/>
      </c>
      <c r="M641" s="15" t="str">
        <f t="shared" si="95"/>
        <v/>
      </c>
      <c r="N641" s="5" t="s">
        <v>490</v>
      </c>
      <c r="O641" s="5" t="s">
        <v>490</v>
      </c>
      <c r="P641" s="5">
        <v>0</v>
      </c>
      <c r="Q641" s="5">
        <v>0</v>
      </c>
      <c r="R641" s="5" t="str">
        <f>A641&amp;"-"&amp;YEAR(F641)&amp;"-"&amp;IF(LEN(MONTH(F641))=1,"0"&amp;MONTH(F641),MONTH(F641))&amp;"-"&amp;IF(LEN(DAY(F641))=1,"0"&amp;DAY(F641),DAY(F641))</f>
        <v>315-2024-12-31</v>
      </c>
    </row>
    <row r="642" spans="1:18" x14ac:dyDescent="0.3">
      <c r="A642" s="5">
        <v>317</v>
      </c>
      <c r="B642" s="5" t="s">
        <v>203</v>
      </c>
      <c r="C642" s="5" t="s">
        <v>53</v>
      </c>
      <c r="D642" s="5" t="s">
        <v>25</v>
      </c>
      <c r="E642" s="5" t="s">
        <v>9</v>
      </c>
      <c r="F642" s="6">
        <v>45657</v>
      </c>
      <c r="G642" s="5">
        <f t="shared" si="99"/>
        <v>2024</v>
      </c>
      <c r="H642" s="5" t="str">
        <f t="shared" si="97"/>
        <v>Diciembre</v>
      </c>
      <c r="I642" s="6" t="str">
        <f t="shared" si="98"/>
        <v>2024-2</v>
      </c>
      <c r="J642" s="5">
        <v>100</v>
      </c>
      <c r="K642" s="5">
        <v>100</v>
      </c>
      <c r="L642" s="15">
        <f t="shared" si="96"/>
        <v>1</v>
      </c>
      <c r="M642" s="15">
        <f t="shared" si="95"/>
        <v>1</v>
      </c>
      <c r="N642" s="5" t="s">
        <v>490</v>
      </c>
      <c r="O642" s="5" t="s">
        <v>490</v>
      </c>
      <c r="P642" s="5">
        <v>0</v>
      </c>
      <c r="Q642" s="5">
        <v>0</v>
      </c>
      <c r="R642" s="5" t="str">
        <f>A642&amp;"-"&amp;YEAR(F642)&amp;"-"&amp;IF(LEN(MONTH(F642))=1,"0"&amp;MONTH(F642),MONTH(F642))&amp;"-"&amp;IF(LEN(DAY(F642))=1,"0"&amp;DAY(F642),DAY(F642))</f>
        <v>317-2024-12-31</v>
      </c>
    </row>
    <row r="643" spans="1:18" x14ac:dyDescent="0.3">
      <c r="A643" s="5">
        <v>318</v>
      </c>
      <c r="B643" s="5" t="s">
        <v>731</v>
      </c>
      <c r="C643" s="5" t="s">
        <v>53</v>
      </c>
      <c r="D643" s="5" t="s">
        <v>25</v>
      </c>
      <c r="E643" s="5" t="s">
        <v>9</v>
      </c>
      <c r="F643" s="6">
        <v>45657</v>
      </c>
      <c r="G643" s="5">
        <f t="shared" si="99"/>
        <v>2024</v>
      </c>
      <c r="H643" s="5" t="str">
        <f t="shared" si="97"/>
        <v>Diciembre</v>
      </c>
      <c r="I643" s="6" t="str">
        <f t="shared" si="98"/>
        <v>2024-2</v>
      </c>
      <c r="J643" s="5">
        <v>80</v>
      </c>
      <c r="K643" s="5">
        <v>90.28</v>
      </c>
      <c r="L643" s="15">
        <f t="shared" si="96"/>
        <v>1.1285000000000001</v>
      </c>
      <c r="M643" s="15">
        <f t="shared" si="95"/>
        <v>1.1285000000000001</v>
      </c>
      <c r="N643" s="5" t="s">
        <v>347</v>
      </c>
      <c r="O643" s="5" t="s">
        <v>347</v>
      </c>
      <c r="P643" s="5">
        <v>0</v>
      </c>
      <c r="Q643" s="5">
        <v>0</v>
      </c>
      <c r="R643" s="5" t="str">
        <f>A643&amp;"-"&amp;YEAR(F643)&amp;"-"&amp;IF(LEN(MONTH(F643))=1,"0"&amp;MONTH(F643),MONTH(F643))&amp;"-"&amp;IF(LEN(DAY(F643))=1,"0"&amp;DAY(F643),DAY(F643))</f>
        <v>318-2024-12-31</v>
      </c>
    </row>
    <row r="644" spans="1:18" x14ac:dyDescent="0.3">
      <c r="A644" s="5">
        <v>319</v>
      </c>
      <c r="B644" s="5" t="s">
        <v>205</v>
      </c>
      <c r="C644" s="5" t="s">
        <v>53</v>
      </c>
      <c r="D644" s="5" t="s">
        <v>8</v>
      </c>
      <c r="E644" s="5" t="s">
        <v>9</v>
      </c>
      <c r="F644" s="6">
        <v>45657</v>
      </c>
      <c r="G644" s="5">
        <f t="shared" si="99"/>
        <v>2024</v>
      </c>
      <c r="H644" s="5" t="str">
        <f t="shared" si="97"/>
        <v>Diciembre</v>
      </c>
      <c r="I644" s="6" t="str">
        <f t="shared" si="98"/>
        <v>2024-2</v>
      </c>
      <c r="J644" s="5">
        <v>100</v>
      </c>
      <c r="K644" s="5">
        <v>100</v>
      </c>
      <c r="L644" s="15">
        <f t="shared" si="96"/>
        <v>1</v>
      </c>
      <c r="M644" s="15">
        <f t="shared" si="95"/>
        <v>1</v>
      </c>
      <c r="N644" s="5" t="s">
        <v>347</v>
      </c>
      <c r="O644" s="5" t="s">
        <v>347</v>
      </c>
      <c r="P644" s="5">
        <v>0</v>
      </c>
      <c r="Q644" s="5">
        <v>0</v>
      </c>
      <c r="R644" s="5" t="str">
        <f>A644&amp;"-"&amp;YEAR(F644)&amp;"-"&amp;IF(LEN(MONTH(F644))=1,"0"&amp;MONTH(F644),MONTH(F644))&amp;"-"&amp;IF(LEN(DAY(F644))=1,"0"&amp;DAY(F644),DAY(F644))</f>
        <v>319-2024-12-31</v>
      </c>
    </row>
    <row r="645" spans="1:18" x14ac:dyDescent="0.3">
      <c r="A645" s="5">
        <v>320</v>
      </c>
      <c r="B645" s="5" t="s">
        <v>499</v>
      </c>
      <c r="C645" s="5" t="s">
        <v>53</v>
      </c>
      <c r="D645" s="5" t="s">
        <v>8</v>
      </c>
      <c r="E645" s="5" t="s">
        <v>9</v>
      </c>
      <c r="F645" s="6">
        <v>45657</v>
      </c>
      <c r="G645" s="5">
        <f t="shared" si="99"/>
        <v>2024</v>
      </c>
      <c r="H645" s="5" t="str">
        <f t="shared" si="97"/>
        <v>Diciembre</v>
      </c>
      <c r="I645" s="6" t="str">
        <f t="shared" si="98"/>
        <v>2024-2</v>
      </c>
      <c r="J645" s="5">
        <v>100</v>
      </c>
      <c r="K645" s="5">
        <v>115</v>
      </c>
      <c r="L645" s="15">
        <f t="shared" si="96"/>
        <v>1.1499999999999999</v>
      </c>
      <c r="M645" s="15">
        <f t="shared" si="95"/>
        <v>1.1499999999999999</v>
      </c>
      <c r="N645" s="5" t="s">
        <v>490</v>
      </c>
      <c r="O645" s="5" t="s">
        <v>490</v>
      </c>
      <c r="P645" s="5">
        <v>0</v>
      </c>
      <c r="Q645" s="5">
        <v>0</v>
      </c>
      <c r="R645" s="5" t="str">
        <f>A645&amp;"-"&amp;YEAR(F645)&amp;"-"&amp;IF(LEN(MONTH(F645))=1,"0"&amp;MONTH(F645),MONTH(F645))&amp;"-"&amp;IF(LEN(DAY(F645))=1,"0"&amp;DAY(F645),DAY(F645))</f>
        <v>320-2024-12-31</v>
      </c>
    </row>
    <row r="646" spans="1:18" x14ac:dyDescent="0.3">
      <c r="A646" s="5">
        <v>321</v>
      </c>
      <c r="B646" s="5" t="s">
        <v>500</v>
      </c>
      <c r="C646" s="5" t="s">
        <v>53</v>
      </c>
      <c r="D646" s="5" t="s">
        <v>8</v>
      </c>
      <c r="E646" s="5" t="s">
        <v>9</v>
      </c>
      <c r="F646" s="6">
        <v>45657</v>
      </c>
      <c r="G646" s="5">
        <f t="shared" si="99"/>
        <v>2024</v>
      </c>
      <c r="H646" s="5" t="str">
        <f t="shared" si="97"/>
        <v>Diciembre</v>
      </c>
      <c r="I646" s="6" t="str">
        <f t="shared" si="98"/>
        <v>2024-2</v>
      </c>
      <c r="J646" s="5">
        <v>100</v>
      </c>
      <c r="K646" s="5">
        <v>502.17</v>
      </c>
      <c r="L646" s="15">
        <f t="shared" si="96"/>
        <v>1.3</v>
      </c>
      <c r="M646" s="15">
        <f t="shared" si="95"/>
        <v>5.0217000000000001</v>
      </c>
      <c r="N646" s="5" t="s">
        <v>490</v>
      </c>
      <c r="O646" s="5" t="s">
        <v>490</v>
      </c>
      <c r="P646" s="5">
        <v>0</v>
      </c>
      <c r="Q646" s="5">
        <v>0</v>
      </c>
      <c r="R646" s="5" t="str">
        <f>A646&amp;"-"&amp;YEAR(F646)&amp;"-"&amp;IF(LEN(MONTH(F646))=1,"0"&amp;MONTH(F646),MONTH(F646))&amp;"-"&amp;IF(LEN(DAY(F646))=1,"0"&amp;DAY(F646),DAY(F646))</f>
        <v>321-2024-12-31</v>
      </c>
    </row>
    <row r="647" spans="1:18" x14ac:dyDescent="0.3">
      <c r="A647" s="5">
        <v>323</v>
      </c>
      <c r="B647" s="5" t="s">
        <v>208</v>
      </c>
      <c r="C647" s="5" t="s">
        <v>209</v>
      </c>
      <c r="D647" s="5" t="s">
        <v>8</v>
      </c>
      <c r="E647" s="5" t="s">
        <v>9</v>
      </c>
      <c r="F647" s="6">
        <v>45657</v>
      </c>
      <c r="G647" s="5">
        <f t="shared" si="99"/>
        <v>2024</v>
      </c>
      <c r="H647" s="5" t="str">
        <f t="shared" si="97"/>
        <v>Diciembre</v>
      </c>
      <c r="I647" s="6" t="str">
        <f t="shared" si="98"/>
        <v>2024-2</v>
      </c>
      <c r="J647" s="5">
        <v>3</v>
      </c>
      <c r="K647" s="5">
        <v>3</v>
      </c>
      <c r="L647" s="15">
        <f t="shared" si="96"/>
        <v>1</v>
      </c>
      <c r="M647" s="15">
        <f t="shared" si="95"/>
        <v>1</v>
      </c>
      <c r="N647" s="5" t="s">
        <v>490</v>
      </c>
      <c r="O647" s="5" t="s">
        <v>490</v>
      </c>
      <c r="P647" s="5">
        <v>0</v>
      </c>
      <c r="Q647" s="5">
        <v>0</v>
      </c>
      <c r="R647" s="5" t="str">
        <f>A647&amp;"-"&amp;YEAR(F647)&amp;"-"&amp;IF(LEN(MONTH(F647))=1,"0"&amp;MONTH(F647),MONTH(F647))&amp;"-"&amp;IF(LEN(DAY(F647))=1,"0"&amp;DAY(F647),DAY(F647))</f>
        <v>323-2024-12-31</v>
      </c>
    </row>
    <row r="648" spans="1:18" x14ac:dyDescent="0.3">
      <c r="A648" s="5">
        <v>324</v>
      </c>
      <c r="B648" s="5" t="s">
        <v>210</v>
      </c>
      <c r="C648" s="5" t="s">
        <v>209</v>
      </c>
      <c r="D648" s="5" t="s">
        <v>8</v>
      </c>
      <c r="E648" s="5" t="s">
        <v>9</v>
      </c>
      <c r="F648" s="6">
        <v>45657</v>
      </c>
      <c r="G648" s="5">
        <f t="shared" si="99"/>
        <v>2024</v>
      </c>
      <c r="H648" s="5" t="str">
        <f t="shared" si="97"/>
        <v>Diciembre</v>
      </c>
      <c r="I648" s="6" t="str">
        <f t="shared" si="98"/>
        <v>2024-2</v>
      </c>
      <c r="J648" s="5">
        <v>6</v>
      </c>
      <c r="K648" s="5">
        <v>6</v>
      </c>
      <c r="L648" s="15">
        <f t="shared" si="96"/>
        <v>1</v>
      </c>
      <c r="M648" s="15">
        <f t="shared" si="95"/>
        <v>1</v>
      </c>
      <c r="N648" s="5" t="s">
        <v>490</v>
      </c>
      <c r="O648" s="5" t="s">
        <v>490</v>
      </c>
      <c r="P648" s="5">
        <v>0</v>
      </c>
      <c r="Q648" s="5">
        <v>0</v>
      </c>
      <c r="R648" s="5" t="str">
        <f>A648&amp;"-"&amp;YEAR(F648)&amp;"-"&amp;IF(LEN(MONTH(F648))=1,"0"&amp;MONTH(F648),MONTH(F648))&amp;"-"&amp;IF(LEN(DAY(F648))=1,"0"&amp;DAY(F648),DAY(F648))</f>
        <v>324-2024-12-31</v>
      </c>
    </row>
    <row r="649" spans="1:18" x14ac:dyDescent="0.3">
      <c r="A649" s="5">
        <v>325</v>
      </c>
      <c r="B649" s="5" t="s">
        <v>211</v>
      </c>
      <c r="C649" s="5" t="s">
        <v>209</v>
      </c>
      <c r="D649" s="5" t="s">
        <v>8</v>
      </c>
      <c r="E649" s="5" t="s">
        <v>9</v>
      </c>
      <c r="F649" s="6">
        <v>45657</v>
      </c>
      <c r="G649" s="5">
        <f t="shared" si="99"/>
        <v>2024</v>
      </c>
      <c r="H649" s="5" t="str">
        <f t="shared" si="97"/>
        <v>Diciembre</v>
      </c>
      <c r="I649" s="6" t="str">
        <f t="shared" si="98"/>
        <v>2024-2</v>
      </c>
      <c r="J649" s="5">
        <v>8</v>
      </c>
      <c r="K649" s="16">
        <v>8</v>
      </c>
      <c r="L649" s="15">
        <f t="shared" si="96"/>
        <v>1</v>
      </c>
      <c r="M649" s="15">
        <f t="shared" si="95"/>
        <v>1</v>
      </c>
      <c r="N649" s="5" t="s">
        <v>490</v>
      </c>
      <c r="O649" s="5" t="s">
        <v>490</v>
      </c>
      <c r="P649" s="5">
        <v>0</v>
      </c>
      <c r="Q649" s="5">
        <v>0</v>
      </c>
      <c r="R649" s="5" t="str">
        <f>A649&amp;"-"&amp;YEAR(F649)&amp;"-"&amp;IF(LEN(MONTH(F649))=1,"0"&amp;MONTH(F649),MONTH(F649))&amp;"-"&amp;IF(LEN(DAY(F649))=1,"0"&amp;DAY(F649),DAY(F649))</f>
        <v>325-2024-12-31</v>
      </c>
    </row>
    <row r="650" spans="1:18" x14ac:dyDescent="0.3">
      <c r="A650" s="5">
        <v>326</v>
      </c>
      <c r="B650" s="5" t="s">
        <v>212</v>
      </c>
      <c r="C650" s="5" t="s">
        <v>158</v>
      </c>
      <c r="D650" s="5" t="s">
        <v>25</v>
      </c>
      <c r="E650" s="5" t="s">
        <v>9</v>
      </c>
      <c r="F650" s="6">
        <v>45657</v>
      </c>
      <c r="G650" s="5">
        <f t="shared" si="99"/>
        <v>2024</v>
      </c>
      <c r="H650" s="5" t="str">
        <f t="shared" si="97"/>
        <v>Diciembre</v>
      </c>
      <c r="I650" s="6" t="str">
        <f t="shared" si="98"/>
        <v>2024-2</v>
      </c>
      <c r="J650" s="5">
        <v>0</v>
      </c>
      <c r="K650" s="5"/>
      <c r="L650" s="15" t="str">
        <f t="shared" si="96"/>
        <v/>
      </c>
      <c r="M650" s="15" t="str">
        <f t="shared" si="95"/>
        <v/>
      </c>
      <c r="N650" s="5" t="s">
        <v>490</v>
      </c>
      <c r="O650" s="5" t="s">
        <v>490</v>
      </c>
      <c r="P650" s="5">
        <v>0</v>
      </c>
      <c r="Q650" s="5">
        <v>0</v>
      </c>
      <c r="R650" s="5" t="str">
        <f>A650&amp;"-"&amp;YEAR(F650)&amp;"-"&amp;IF(LEN(MONTH(F650))=1,"0"&amp;MONTH(F650),MONTH(F650))&amp;"-"&amp;IF(LEN(DAY(F650))=1,"0"&amp;DAY(F650),DAY(F650))</f>
        <v>326-2024-12-31</v>
      </c>
    </row>
    <row r="651" spans="1:18" x14ac:dyDescent="0.3">
      <c r="A651" s="5">
        <v>327</v>
      </c>
      <c r="B651" s="5" t="s">
        <v>213</v>
      </c>
      <c r="C651" s="5" t="s">
        <v>158</v>
      </c>
      <c r="D651" s="5" t="s">
        <v>8</v>
      </c>
      <c r="E651" s="5" t="s">
        <v>9</v>
      </c>
      <c r="F651" s="6">
        <v>45657</v>
      </c>
      <c r="G651" s="5">
        <f t="shared" si="99"/>
        <v>2024</v>
      </c>
      <c r="H651" s="5" t="str">
        <f t="shared" si="97"/>
        <v>Diciembre</v>
      </c>
      <c r="I651" s="6" t="str">
        <f t="shared" si="98"/>
        <v>2024-2</v>
      </c>
      <c r="J651" s="5">
        <v>0</v>
      </c>
      <c r="K651" s="5">
        <v>0</v>
      </c>
      <c r="L651" s="15" t="str">
        <f t="shared" si="96"/>
        <v/>
      </c>
      <c r="M651" s="15" t="str">
        <f t="shared" si="95"/>
        <v/>
      </c>
      <c r="N651" s="5" t="s">
        <v>490</v>
      </c>
      <c r="O651" s="5" t="s">
        <v>490</v>
      </c>
      <c r="P651" s="5">
        <v>0</v>
      </c>
      <c r="Q651" s="5">
        <v>0</v>
      </c>
      <c r="R651" s="5" t="str">
        <f>A651&amp;"-"&amp;YEAR(F651)&amp;"-"&amp;IF(LEN(MONTH(F651))=1,"0"&amp;MONTH(F651),MONTH(F651))&amp;"-"&amp;IF(LEN(DAY(F651))=1,"0"&amp;DAY(F651),DAY(F651))</f>
        <v>327-2024-12-31</v>
      </c>
    </row>
    <row r="652" spans="1:18" x14ac:dyDescent="0.3">
      <c r="A652" s="5">
        <v>328</v>
      </c>
      <c r="B652" s="5" t="s">
        <v>459</v>
      </c>
      <c r="C652" s="5" t="s">
        <v>214</v>
      </c>
      <c r="D652" s="5" t="s">
        <v>25</v>
      </c>
      <c r="E652" s="5" t="s">
        <v>9</v>
      </c>
      <c r="F652" s="6">
        <v>45657</v>
      </c>
      <c r="G652" s="5">
        <f t="shared" si="99"/>
        <v>2024</v>
      </c>
      <c r="H652" s="5" t="str">
        <f t="shared" si="97"/>
        <v>Diciembre</v>
      </c>
      <c r="I652" s="6" t="str">
        <f t="shared" si="98"/>
        <v>2024-2</v>
      </c>
      <c r="J652" s="5">
        <v>100</v>
      </c>
      <c r="K652" s="5">
        <v>157</v>
      </c>
      <c r="L652" s="15">
        <f t="shared" si="96"/>
        <v>1.3</v>
      </c>
      <c r="M652" s="15">
        <f t="shared" si="95"/>
        <v>1.57</v>
      </c>
      <c r="N652" s="5" t="s">
        <v>490</v>
      </c>
      <c r="O652" s="5" t="s">
        <v>490</v>
      </c>
      <c r="P652" s="5">
        <v>0</v>
      </c>
      <c r="Q652" s="5">
        <v>0</v>
      </c>
      <c r="R652" s="5" t="str">
        <f>A652&amp;"-"&amp;YEAR(F652)&amp;"-"&amp;IF(LEN(MONTH(F652))=1,"0"&amp;MONTH(F652),MONTH(F652))&amp;"-"&amp;IF(LEN(DAY(F652))=1,"0"&amp;DAY(F652),DAY(F652))</f>
        <v>328-2024-12-31</v>
      </c>
    </row>
    <row r="653" spans="1:18" x14ac:dyDescent="0.3">
      <c r="A653" s="5">
        <v>329</v>
      </c>
      <c r="B653" s="5" t="s">
        <v>215</v>
      </c>
      <c r="C653" s="5" t="s">
        <v>214</v>
      </c>
      <c r="D653" s="5" t="s">
        <v>25</v>
      </c>
      <c r="E653" s="5" t="s">
        <v>9</v>
      </c>
      <c r="F653" s="6">
        <v>45657</v>
      </c>
      <c r="G653" s="5">
        <f t="shared" si="99"/>
        <v>2024</v>
      </c>
      <c r="H653" s="5" t="str">
        <f t="shared" si="97"/>
        <v>Diciembre</v>
      </c>
      <c r="I653" s="6" t="str">
        <f t="shared" si="98"/>
        <v>2024-2</v>
      </c>
      <c r="J653" s="5">
        <v>100</v>
      </c>
      <c r="K653" s="5">
        <v>106.63</v>
      </c>
      <c r="L653" s="15">
        <f t="shared" si="96"/>
        <v>1.0663</v>
      </c>
      <c r="M653" s="15">
        <f t="shared" si="95"/>
        <v>1.0663</v>
      </c>
      <c r="N653" s="5" t="s">
        <v>490</v>
      </c>
      <c r="O653" s="5" t="s">
        <v>490</v>
      </c>
      <c r="P653" s="5">
        <v>0</v>
      </c>
      <c r="Q653" s="5">
        <v>0</v>
      </c>
      <c r="R653" s="5" t="str">
        <f>A653&amp;"-"&amp;YEAR(F653)&amp;"-"&amp;IF(LEN(MONTH(F653))=1,"0"&amp;MONTH(F653),MONTH(F653))&amp;"-"&amp;IF(LEN(DAY(F653))=1,"0"&amp;DAY(F653),DAY(F653))</f>
        <v>329-2024-12-31</v>
      </c>
    </row>
    <row r="654" spans="1:18" x14ac:dyDescent="0.3">
      <c r="A654" s="5">
        <v>331</v>
      </c>
      <c r="B654" s="5" t="s">
        <v>216</v>
      </c>
      <c r="C654" s="5" t="s">
        <v>214</v>
      </c>
      <c r="D654" s="5" t="s">
        <v>25</v>
      </c>
      <c r="E654" s="5" t="s">
        <v>9</v>
      </c>
      <c r="F654" s="6">
        <v>45657</v>
      </c>
      <c r="G654" s="5">
        <f t="shared" si="99"/>
        <v>2024</v>
      </c>
      <c r="H654" s="5" t="str">
        <f t="shared" si="97"/>
        <v>Diciembre</v>
      </c>
      <c r="I654" s="6" t="str">
        <f t="shared" si="98"/>
        <v>2024-2</v>
      </c>
      <c r="J654" s="5"/>
      <c r="K654" s="5">
        <v>82</v>
      </c>
      <c r="L654" s="15" t="str">
        <f t="shared" si="96"/>
        <v/>
      </c>
      <c r="M654" s="15" t="str">
        <f t="shared" si="95"/>
        <v/>
      </c>
      <c r="N654" s="5" t="s">
        <v>488</v>
      </c>
      <c r="O654" s="5" t="s">
        <v>347</v>
      </c>
      <c r="P654" s="5">
        <v>0</v>
      </c>
      <c r="Q654" s="5">
        <v>0</v>
      </c>
      <c r="R654" s="5" t="str">
        <f>A654&amp;"-"&amp;YEAR(F654)&amp;"-"&amp;IF(LEN(MONTH(F654))=1,"0"&amp;MONTH(F654),MONTH(F654))&amp;"-"&amp;IF(LEN(DAY(F654))=1,"0"&amp;DAY(F654),DAY(F654))</f>
        <v>331-2024-12-31</v>
      </c>
    </row>
    <row r="655" spans="1:18" x14ac:dyDescent="0.3">
      <c r="A655" s="5">
        <v>332</v>
      </c>
      <c r="B655" s="5" t="s">
        <v>217</v>
      </c>
      <c r="C655" s="5" t="s">
        <v>13</v>
      </c>
      <c r="D655" s="5" t="s">
        <v>8</v>
      </c>
      <c r="E655" s="5" t="s">
        <v>14</v>
      </c>
      <c r="F655" s="6">
        <v>45657</v>
      </c>
      <c r="G655" s="5">
        <f t="shared" si="99"/>
        <v>2024</v>
      </c>
      <c r="H655" s="5" t="str">
        <f t="shared" si="97"/>
        <v>Diciembre</v>
      </c>
      <c r="I655" s="6" t="str">
        <f t="shared" si="98"/>
        <v>2024-2</v>
      </c>
      <c r="J655" s="5">
        <v>1.5</v>
      </c>
      <c r="K655" s="10">
        <v>1.1499999999999999</v>
      </c>
      <c r="L655" s="15">
        <f>IFERROR(IF((J655/K655)&gt;1.3,1.3,J655/K655),"")</f>
        <v>1.3</v>
      </c>
      <c r="M655" s="15">
        <f>IFERROR(IF((J655/K655)&gt;J655/K655,1.3,J655/K655),"")</f>
        <v>1.3043478260869565</v>
      </c>
      <c r="N655" s="5" t="s">
        <v>478</v>
      </c>
      <c r="O655" s="5" t="s">
        <v>478</v>
      </c>
      <c r="P655" s="5">
        <v>1</v>
      </c>
      <c r="Q655" s="5">
        <v>2</v>
      </c>
      <c r="R655" s="5" t="str">
        <f>A655&amp;"-"&amp;YEAR(F655)&amp;"-"&amp;IF(LEN(MONTH(F655))=1,"0"&amp;MONTH(F655),MONTH(F655))&amp;"-"&amp;IF(LEN(DAY(F655))=1,"0"&amp;DAY(F655),DAY(F655))</f>
        <v>332-2024-12-31</v>
      </c>
    </row>
    <row r="656" spans="1:18" x14ac:dyDescent="0.3">
      <c r="A656" s="5">
        <v>334</v>
      </c>
      <c r="B656" s="5" t="s">
        <v>218</v>
      </c>
      <c r="C656" s="5" t="s">
        <v>13</v>
      </c>
      <c r="D656" s="5" t="s">
        <v>25</v>
      </c>
      <c r="E656" s="5" t="s">
        <v>9</v>
      </c>
      <c r="F656" s="6">
        <v>45657</v>
      </c>
      <c r="G656" s="5">
        <f t="shared" si="99"/>
        <v>2024</v>
      </c>
      <c r="H656" s="5" t="str">
        <f t="shared" si="97"/>
        <v>Diciembre</v>
      </c>
      <c r="I656" s="6" t="str">
        <f t="shared" si="98"/>
        <v>2024-2</v>
      </c>
      <c r="J656" s="5">
        <v>88</v>
      </c>
      <c r="K656" s="5">
        <v>88.84</v>
      </c>
      <c r="L656" s="15">
        <f>K656/J656</f>
        <v>1.0095454545454545</v>
      </c>
      <c r="M656" s="15">
        <f t="shared" ref="M656:M661" si="100">IFERROR(K656/J656,"")</f>
        <v>1.0095454545454545</v>
      </c>
      <c r="N656" s="5" t="s">
        <v>490</v>
      </c>
      <c r="O656" s="5" t="s">
        <v>478</v>
      </c>
      <c r="P656" s="5">
        <v>0</v>
      </c>
      <c r="Q656" s="5">
        <v>1</v>
      </c>
      <c r="R656" s="5" t="str">
        <f>A656&amp;"-"&amp;YEAR(F656)&amp;"-"&amp;IF(LEN(MONTH(F656))=1,"0"&amp;MONTH(F656),MONTH(F656))&amp;"-"&amp;IF(LEN(DAY(F656))=1,"0"&amp;DAY(F656),DAY(F656))</f>
        <v>334-2024-12-31</v>
      </c>
    </row>
    <row r="657" spans="1:18" x14ac:dyDescent="0.3">
      <c r="A657" s="5">
        <v>335</v>
      </c>
      <c r="B657" s="5" t="s">
        <v>219</v>
      </c>
      <c r="C657" s="5" t="s">
        <v>13</v>
      </c>
      <c r="D657" s="5" t="s">
        <v>25</v>
      </c>
      <c r="E657" s="5" t="s">
        <v>9</v>
      </c>
      <c r="F657" s="6">
        <v>45657</v>
      </c>
      <c r="G657" s="5">
        <f t="shared" si="99"/>
        <v>2024</v>
      </c>
      <c r="H657" s="5" t="str">
        <f t="shared" si="97"/>
        <v>Diciembre</v>
      </c>
      <c r="I657" s="6" t="str">
        <f t="shared" si="98"/>
        <v>2024-2</v>
      </c>
      <c r="J657" s="5">
        <v>82</v>
      </c>
      <c r="K657" s="5">
        <v>80.95</v>
      </c>
      <c r="L657" s="15">
        <f>IFERROR(IF((K657/J657)&gt;1.3,1.3,K657/J657),"")</f>
        <v>0.9871951219512195</v>
      </c>
      <c r="M657" s="15">
        <f t="shared" si="100"/>
        <v>0.9871951219512195</v>
      </c>
      <c r="N657" s="5" t="s">
        <v>347</v>
      </c>
      <c r="O657" s="5" t="s">
        <v>347</v>
      </c>
      <c r="P657" s="5">
        <v>0</v>
      </c>
      <c r="Q657" s="5">
        <v>0</v>
      </c>
      <c r="R657" s="5" t="str">
        <f>A657&amp;"-"&amp;YEAR(F657)&amp;"-"&amp;IF(LEN(MONTH(F657))=1,"0"&amp;MONTH(F657),MONTH(F657))&amp;"-"&amp;IF(LEN(DAY(F657))=1,"0"&amp;DAY(F657),DAY(F657))</f>
        <v>335-2024-12-31</v>
      </c>
    </row>
    <row r="658" spans="1:18" x14ac:dyDescent="0.3">
      <c r="A658" s="5">
        <v>336</v>
      </c>
      <c r="B658" s="5" t="s">
        <v>220</v>
      </c>
      <c r="C658" s="5" t="s">
        <v>55</v>
      </c>
      <c r="D658" s="5" t="s">
        <v>25</v>
      </c>
      <c r="E658" s="5" t="s">
        <v>14</v>
      </c>
      <c r="F658" s="6">
        <v>45657</v>
      </c>
      <c r="G658" s="5">
        <f t="shared" si="99"/>
        <v>2024</v>
      </c>
      <c r="H658" s="5" t="str">
        <f t="shared" si="97"/>
        <v>Diciembre</v>
      </c>
      <c r="I658" s="6" t="str">
        <f t="shared" si="98"/>
        <v>2024-2</v>
      </c>
      <c r="J658" s="5">
        <v>2</v>
      </c>
      <c r="K658" s="5">
        <v>0.79</v>
      </c>
      <c r="L658" s="15">
        <f>IFERROR(IF((K658/J658)&gt;1.3,1.3,K658/J658),"")</f>
        <v>0.39500000000000002</v>
      </c>
      <c r="M658" s="15">
        <f t="shared" si="100"/>
        <v>0.39500000000000002</v>
      </c>
      <c r="N658" s="5" t="s">
        <v>347</v>
      </c>
      <c r="O658" s="5" t="s">
        <v>347</v>
      </c>
      <c r="P658" s="5">
        <v>0</v>
      </c>
      <c r="Q658" s="5">
        <v>0</v>
      </c>
      <c r="R658" s="5" t="str">
        <f>A658&amp;"-"&amp;YEAR(F658)&amp;"-"&amp;IF(LEN(MONTH(F658))=1,"0"&amp;MONTH(F658),MONTH(F658))&amp;"-"&amp;IF(LEN(DAY(F658))=1,"0"&amp;DAY(F658),DAY(F658))</f>
        <v>336-2024-12-31</v>
      </c>
    </row>
    <row r="659" spans="1:18" x14ac:dyDescent="0.3">
      <c r="A659" s="5">
        <v>337</v>
      </c>
      <c r="B659" s="5" t="s">
        <v>221</v>
      </c>
      <c r="C659" s="5" t="s">
        <v>158</v>
      </c>
      <c r="D659" s="5" t="s">
        <v>8</v>
      </c>
      <c r="E659" s="5" t="s">
        <v>9</v>
      </c>
      <c r="F659" s="6">
        <v>45657</v>
      </c>
      <c r="G659" s="5">
        <f t="shared" si="99"/>
        <v>2024</v>
      </c>
      <c r="H659" s="5" t="str">
        <f t="shared" si="97"/>
        <v>Diciembre</v>
      </c>
      <c r="I659" s="6" t="str">
        <f t="shared" si="98"/>
        <v>2024-2</v>
      </c>
      <c r="J659" s="5">
        <v>1</v>
      </c>
      <c r="K659" s="5">
        <v>1</v>
      </c>
      <c r="L659" s="15">
        <f>IFERROR(IF((K659/J659)&gt;1.3,1.3,K659/J659),"")</f>
        <v>1</v>
      </c>
      <c r="M659" s="15">
        <f t="shared" si="100"/>
        <v>1</v>
      </c>
      <c r="N659" s="5" t="s">
        <v>490</v>
      </c>
      <c r="O659" s="5" t="s">
        <v>490</v>
      </c>
      <c r="P659" s="5">
        <v>0</v>
      </c>
      <c r="Q659" s="5">
        <v>0</v>
      </c>
      <c r="R659" s="5" t="str">
        <f>A659&amp;"-"&amp;YEAR(F659)&amp;"-"&amp;IF(LEN(MONTH(F659))=1,"0"&amp;MONTH(F659),MONTH(F659))&amp;"-"&amp;IF(LEN(DAY(F659))=1,"0"&amp;DAY(F659),DAY(F659))</f>
        <v>337-2024-12-31</v>
      </c>
    </row>
    <row r="660" spans="1:18" x14ac:dyDescent="0.3">
      <c r="A660" s="5">
        <v>338</v>
      </c>
      <c r="B660" s="5" t="s">
        <v>707</v>
      </c>
      <c r="C660" s="5" t="s">
        <v>158</v>
      </c>
      <c r="D660" s="5" t="s">
        <v>8</v>
      </c>
      <c r="E660" s="5" t="s">
        <v>9</v>
      </c>
      <c r="F660" s="6">
        <v>45657</v>
      </c>
      <c r="G660" s="5">
        <f t="shared" si="99"/>
        <v>2024</v>
      </c>
      <c r="H660" s="5" t="str">
        <f t="shared" si="97"/>
        <v>Diciembre</v>
      </c>
      <c r="I660" s="6" t="str">
        <f t="shared" si="98"/>
        <v>2024-2</v>
      </c>
      <c r="J660" s="5">
        <v>3</v>
      </c>
      <c r="K660" s="5">
        <v>3</v>
      </c>
      <c r="L660" s="15">
        <f>IFERROR(IF((K660/J660)&gt;1.3,1.3,K660/J660),"")</f>
        <v>1</v>
      </c>
      <c r="M660" s="15">
        <f t="shared" si="100"/>
        <v>1</v>
      </c>
      <c r="N660" s="5" t="s">
        <v>490</v>
      </c>
      <c r="O660" s="5" t="s">
        <v>490</v>
      </c>
      <c r="P660" s="5">
        <v>0</v>
      </c>
      <c r="Q660" s="5">
        <v>0</v>
      </c>
      <c r="R660" s="5" t="str">
        <f>A660&amp;"-"&amp;YEAR(F660)&amp;"-"&amp;IF(LEN(MONTH(F660))=1,"0"&amp;MONTH(F660),MONTH(F660))&amp;"-"&amp;IF(LEN(DAY(F660))=1,"0"&amp;DAY(F660),DAY(F660))</f>
        <v>338-2024-12-31</v>
      </c>
    </row>
    <row r="661" spans="1:18" x14ac:dyDescent="0.3">
      <c r="A661" s="5">
        <v>339</v>
      </c>
      <c r="B661" s="5" t="s">
        <v>843</v>
      </c>
      <c r="C661" s="5" t="s">
        <v>224</v>
      </c>
      <c r="D661" s="5" t="s">
        <v>25</v>
      </c>
      <c r="E661" s="5" t="s">
        <v>9</v>
      </c>
      <c r="F661" s="6">
        <v>45657</v>
      </c>
      <c r="G661" s="5">
        <f t="shared" si="99"/>
        <v>2024</v>
      </c>
      <c r="H661" s="5" t="str">
        <f t="shared" si="97"/>
        <v>Diciembre</v>
      </c>
      <c r="I661" s="6" t="str">
        <f t="shared" si="98"/>
        <v>2024-2</v>
      </c>
      <c r="J661" s="5">
        <v>30</v>
      </c>
      <c r="K661" s="5">
        <v>30.3</v>
      </c>
      <c r="L661" s="15">
        <f>IFERROR(IF((K661/J661)&gt;1.3,1.3,K661/J661),"")</f>
        <v>1.01</v>
      </c>
      <c r="M661" s="15">
        <f t="shared" si="100"/>
        <v>1.01</v>
      </c>
      <c r="N661" s="5" t="s">
        <v>347</v>
      </c>
      <c r="O661" s="5" t="s">
        <v>347</v>
      </c>
      <c r="P661" s="5">
        <v>0</v>
      </c>
      <c r="Q661" s="5">
        <v>1</v>
      </c>
      <c r="R661" s="5" t="str">
        <f>A661&amp;"-"&amp;YEAR(F661)&amp;"-"&amp;IF(LEN(MONTH(F661))=1,"0"&amp;MONTH(F661),MONTH(F661))&amp;"-"&amp;IF(LEN(DAY(F661))=1,"0"&amp;DAY(F661),DAY(F661))</f>
        <v>339-2024-12-31</v>
      </c>
    </row>
    <row r="662" spans="1:18" x14ac:dyDescent="0.3">
      <c r="A662" s="5">
        <v>340</v>
      </c>
      <c r="B662" s="5" t="s">
        <v>225</v>
      </c>
      <c r="C662" s="5" t="s">
        <v>43</v>
      </c>
      <c r="D662" s="5" t="s">
        <v>11</v>
      </c>
      <c r="E662" s="5" t="s">
        <v>9</v>
      </c>
      <c r="F662" s="6">
        <v>45657</v>
      </c>
      <c r="G662" s="5">
        <f t="shared" si="99"/>
        <v>2024</v>
      </c>
      <c r="H662" s="5" t="str">
        <f t="shared" si="97"/>
        <v>Diciembre</v>
      </c>
      <c r="I662" s="6" t="str">
        <f t="shared" si="98"/>
        <v>2024-2</v>
      </c>
      <c r="J662" s="5">
        <v>95</v>
      </c>
      <c r="K662" s="5">
        <v>100</v>
      </c>
      <c r="L662" s="15">
        <f>IFERROR(IF((K662/J662)&gt;1,1,K662/J662),"")</f>
        <v>1</v>
      </c>
      <c r="M662" s="15">
        <f>IFERROR(IF((K662/J662)&gt;1,1,K662/J662),"")</f>
        <v>1</v>
      </c>
      <c r="N662" s="5" t="s">
        <v>347</v>
      </c>
      <c r="O662" s="5" t="s">
        <v>347</v>
      </c>
      <c r="P662" s="5">
        <v>0</v>
      </c>
      <c r="Q662" s="5">
        <v>0</v>
      </c>
      <c r="R662" s="5" t="str">
        <f>A662&amp;"-"&amp;YEAR(F662)&amp;"-"&amp;IF(LEN(MONTH(F662))=1,"0"&amp;MONTH(F662),MONTH(F662))&amp;"-"&amp;IF(LEN(DAY(F662))=1,"0"&amp;DAY(F662),DAY(F662))</f>
        <v>340-2024-12-31</v>
      </c>
    </row>
    <row r="663" spans="1:18" x14ac:dyDescent="0.3">
      <c r="A663" s="5">
        <v>341</v>
      </c>
      <c r="B663" s="5" t="s">
        <v>501</v>
      </c>
      <c r="C663" s="5" t="s">
        <v>7</v>
      </c>
      <c r="D663" s="5" t="s">
        <v>8</v>
      </c>
      <c r="E663" s="5" t="s">
        <v>9</v>
      </c>
      <c r="F663" s="6">
        <v>45657</v>
      </c>
      <c r="G663" s="5">
        <f t="shared" si="99"/>
        <v>2024</v>
      </c>
      <c r="H663" s="5" t="str">
        <f t="shared" si="97"/>
        <v>Diciembre</v>
      </c>
      <c r="I663" s="6" t="str">
        <f t="shared" si="98"/>
        <v>2024-2</v>
      </c>
      <c r="J663" s="9">
        <v>1500000000</v>
      </c>
      <c r="K663" s="9">
        <v>1672000000</v>
      </c>
      <c r="L663" s="15">
        <f>IFERROR(IF((K663/J663)&gt;1.3,1.3,K663/J663),"")</f>
        <v>1.1146666666666667</v>
      </c>
      <c r="M663" s="15">
        <f>IFERROR(K663/J663,"")</f>
        <v>1.1146666666666667</v>
      </c>
      <c r="N663" s="5" t="s">
        <v>474</v>
      </c>
      <c r="O663" s="5" t="s">
        <v>474</v>
      </c>
      <c r="P663" s="5">
        <v>0</v>
      </c>
      <c r="Q663" s="5">
        <v>0</v>
      </c>
      <c r="R663" s="5" t="str">
        <f>A663&amp;"-"&amp;YEAR(F663)&amp;"-"&amp;IF(LEN(MONTH(F663))=1,"0"&amp;MONTH(F663),MONTH(F663))&amp;"-"&amp;IF(LEN(DAY(F663))=1,"0"&amp;DAY(F663),DAY(F663))</f>
        <v>341-2024-12-31</v>
      </c>
    </row>
    <row r="664" spans="1:18" x14ac:dyDescent="0.3">
      <c r="A664" s="5">
        <v>344</v>
      </c>
      <c r="B664" s="5" t="s">
        <v>227</v>
      </c>
      <c r="C664" s="5" t="s">
        <v>13</v>
      </c>
      <c r="D664" s="5" t="s">
        <v>8</v>
      </c>
      <c r="E664" s="5" t="s">
        <v>9</v>
      </c>
      <c r="F664" s="6">
        <v>45657</v>
      </c>
      <c r="G664" s="5">
        <f t="shared" si="99"/>
        <v>2024</v>
      </c>
      <c r="H664" s="5" t="str">
        <f t="shared" si="97"/>
        <v>Diciembre</v>
      </c>
      <c r="I664" s="6" t="str">
        <f t="shared" si="98"/>
        <v>2024-2</v>
      </c>
      <c r="J664" s="5">
        <v>93</v>
      </c>
      <c r="K664" s="5">
        <v>99.19</v>
      </c>
      <c r="L664" s="15">
        <f>IFERROR(IF((K664/J664)&gt;1.3,1.3,K664/J664),"")</f>
        <v>1.0665591397849463</v>
      </c>
      <c r="M664" s="15">
        <f>IFERROR(K664/J664,"")</f>
        <v>1.0665591397849463</v>
      </c>
      <c r="N664" s="5" t="s">
        <v>347</v>
      </c>
      <c r="O664" s="5" t="s">
        <v>347</v>
      </c>
      <c r="P664" s="5">
        <v>0</v>
      </c>
      <c r="Q664" s="5">
        <v>0</v>
      </c>
      <c r="R664" s="5" t="str">
        <f>A664&amp;"-"&amp;YEAR(F664)&amp;"-"&amp;IF(LEN(MONTH(F664))=1,"0"&amp;MONTH(F664),MONTH(F664))&amp;"-"&amp;IF(LEN(DAY(F664))=1,"0"&amp;DAY(F664),DAY(F664))</f>
        <v>344-2024-12-31</v>
      </c>
    </row>
    <row r="665" spans="1:18" x14ac:dyDescent="0.3">
      <c r="A665" s="5">
        <v>346</v>
      </c>
      <c r="B665" s="5" t="s">
        <v>229</v>
      </c>
      <c r="C665" s="5" t="s">
        <v>13</v>
      </c>
      <c r="D665" s="5" t="s">
        <v>25</v>
      </c>
      <c r="E665" s="5" t="s">
        <v>9</v>
      </c>
      <c r="F665" s="6">
        <v>45657</v>
      </c>
      <c r="G665" s="5">
        <f t="shared" si="99"/>
        <v>2024</v>
      </c>
      <c r="H665" s="5" t="str">
        <f t="shared" si="97"/>
        <v>Diciembre</v>
      </c>
      <c r="I665" s="6" t="str">
        <f t="shared" si="98"/>
        <v>2024-2</v>
      </c>
      <c r="J665" s="5">
        <v>85</v>
      </c>
      <c r="K665" s="5">
        <v>91.88</v>
      </c>
      <c r="L665" s="15">
        <f>IFERROR(IF((K665/J665)&gt;1.3,1.3,K665/J665),"")</f>
        <v>1.0809411764705881</v>
      </c>
      <c r="M665" s="15">
        <f>IFERROR(K665/J665,"")</f>
        <v>1.0809411764705881</v>
      </c>
      <c r="N665" s="5" t="s">
        <v>477</v>
      </c>
      <c r="O665" s="5" t="s">
        <v>347</v>
      </c>
      <c r="P665" s="5">
        <v>0</v>
      </c>
      <c r="Q665" s="5">
        <v>0</v>
      </c>
      <c r="R665" s="5" t="str">
        <f>A665&amp;"-"&amp;YEAR(F665)&amp;"-"&amp;IF(LEN(MONTH(F665))=1,"0"&amp;MONTH(F665),MONTH(F665))&amp;"-"&amp;IF(LEN(DAY(F665))=1,"0"&amp;DAY(F665),DAY(F665))</f>
        <v>346-2024-12-31</v>
      </c>
    </row>
    <row r="666" spans="1:18" x14ac:dyDescent="0.3">
      <c r="A666" s="5">
        <v>347</v>
      </c>
      <c r="B666" s="5" t="s">
        <v>230</v>
      </c>
      <c r="C666" s="5" t="s">
        <v>231</v>
      </c>
      <c r="D666" s="5" t="s">
        <v>11</v>
      </c>
      <c r="E666" s="5" t="s">
        <v>14</v>
      </c>
      <c r="F666" s="6">
        <v>45657</v>
      </c>
      <c r="G666" s="5">
        <f t="shared" si="99"/>
        <v>2024</v>
      </c>
      <c r="H666" s="5" t="str">
        <f t="shared" si="97"/>
        <v>Diciembre</v>
      </c>
      <c r="I666" s="6" t="str">
        <f t="shared" si="98"/>
        <v>2024-2</v>
      </c>
      <c r="J666" s="5">
        <v>5</v>
      </c>
      <c r="K666" s="5">
        <v>3</v>
      </c>
      <c r="L666" s="15">
        <f>IFERROR(IF((K666&lt;J666),1,0),"")</f>
        <v>1</v>
      </c>
      <c r="M666" s="15">
        <f>IFERROR(IF((K666&lt;J666),1,0),"")</f>
        <v>1</v>
      </c>
      <c r="N666" s="5" t="s">
        <v>490</v>
      </c>
      <c r="O666" s="5" t="s">
        <v>490</v>
      </c>
      <c r="P666" s="5">
        <v>0</v>
      </c>
      <c r="Q666" s="5">
        <v>0</v>
      </c>
      <c r="R666" s="5" t="str">
        <f>A666&amp;"-"&amp;YEAR(F666)&amp;"-"&amp;IF(LEN(MONTH(F666))=1,"0"&amp;MONTH(F666),MONTH(F666))&amp;"-"&amp;IF(LEN(DAY(F666))=1,"0"&amp;DAY(F666),DAY(F666))</f>
        <v>347-2024-12-31</v>
      </c>
    </row>
    <row r="667" spans="1:18" x14ac:dyDescent="0.3">
      <c r="A667" s="5">
        <v>348</v>
      </c>
      <c r="B667" s="5" t="s">
        <v>232</v>
      </c>
      <c r="C667" s="5" t="s">
        <v>231</v>
      </c>
      <c r="D667" s="5" t="s">
        <v>11</v>
      </c>
      <c r="E667" s="5" t="s">
        <v>9</v>
      </c>
      <c r="F667" s="6">
        <v>45657</v>
      </c>
      <c r="G667" s="5">
        <f t="shared" si="99"/>
        <v>2024</v>
      </c>
      <c r="H667" s="5" t="str">
        <f t="shared" si="97"/>
        <v>Diciembre</v>
      </c>
      <c r="I667" s="6" t="str">
        <f t="shared" si="98"/>
        <v>2024-2</v>
      </c>
      <c r="J667" s="5">
        <v>99</v>
      </c>
      <c r="K667" s="5">
        <v>100</v>
      </c>
      <c r="L667" s="15">
        <f>IFERROR(IF((K667/J667)&gt;1.3,1.3,K667/J667),"")</f>
        <v>1.0101010101010102</v>
      </c>
      <c r="M667" s="15">
        <f>IFERROR(K667/J667,"")</f>
        <v>1.0101010101010102</v>
      </c>
      <c r="N667" s="5" t="s">
        <v>347</v>
      </c>
      <c r="O667" s="5" t="s">
        <v>347</v>
      </c>
      <c r="P667" s="5">
        <v>1</v>
      </c>
      <c r="Q667" s="5">
        <v>0</v>
      </c>
      <c r="R667" s="5" t="str">
        <f>A667&amp;"-"&amp;YEAR(F667)&amp;"-"&amp;IF(LEN(MONTH(F667))=1,"0"&amp;MONTH(F667),MONTH(F667))&amp;"-"&amp;IF(LEN(DAY(F667))=1,"0"&amp;DAY(F667),DAY(F667))</f>
        <v>348-2024-12-31</v>
      </c>
    </row>
    <row r="668" spans="1:18" x14ac:dyDescent="0.3">
      <c r="A668" s="5">
        <v>351</v>
      </c>
      <c r="B668" s="5" t="s">
        <v>235</v>
      </c>
      <c r="C668" s="5" t="s">
        <v>231</v>
      </c>
      <c r="D668" s="5" t="s">
        <v>11</v>
      </c>
      <c r="E668" s="5" t="s">
        <v>14</v>
      </c>
      <c r="F668" s="6">
        <v>45657</v>
      </c>
      <c r="G668" s="5">
        <f t="shared" si="99"/>
        <v>2024</v>
      </c>
      <c r="H668" s="5" t="str">
        <f t="shared" si="97"/>
        <v>Diciembre</v>
      </c>
      <c r="I668" s="6" t="str">
        <f t="shared" si="98"/>
        <v>2024-2</v>
      </c>
      <c r="J668" s="5">
        <v>5</v>
      </c>
      <c r="K668" s="5">
        <v>5.55</v>
      </c>
      <c r="L668" s="8">
        <v>0.98</v>
      </c>
      <c r="M668" s="8">
        <v>0.98</v>
      </c>
      <c r="N668" s="5" t="s">
        <v>490</v>
      </c>
      <c r="O668" s="5" t="s">
        <v>478</v>
      </c>
      <c r="P668" s="5">
        <v>0</v>
      </c>
      <c r="Q668" s="5">
        <v>1</v>
      </c>
      <c r="R668" s="5" t="str">
        <f>A668&amp;"-"&amp;YEAR(F668)&amp;"-"&amp;IF(LEN(MONTH(F668))=1,"0"&amp;MONTH(F668),MONTH(F668))&amp;"-"&amp;IF(LEN(DAY(F668))=1,"0"&amp;DAY(F668),DAY(F668))</f>
        <v>351-2024-12-31</v>
      </c>
    </row>
    <row r="669" spans="1:18" x14ac:dyDescent="0.3">
      <c r="A669" s="5">
        <v>352</v>
      </c>
      <c r="B669" s="5" t="s">
        <v>412</v>
      </c>
      <c r="C669" s="5" t="s">
        <v>231</v>
      </c>
      <c r="D669" s="5" t="s">
        <v>11</v>
      </c>
      <c r="E669" s="5" t="s">
        <v>14</v>
      </c>
      <c r="F669" s="6">
        <v>45657</v>
      </c>
      <c r="G669" s="5">
        <f t="shared" si="99"/>
        <v>2024</v>
      </c>
      <c r="H669" s="5" t="str">
        <f t="shared" si="97"/>
        <v>Diciembre</v>
      </c>
      <c r="I669" s="6" t="str">
        <f t="shared" si="98"/>
        <v>2024-2</v>
      </c>
      <c r="J669" s="5">
        <v>0</v>
      </c>
      <c r="K669" s="5">
        <v>0.02</v>
      </c>
      <c r="L669" s="15">
        <v>0.96</v>
      </c>
      <c r="M669" s="15">
        <f>(100%)-(K669/100)</f>
        <v>0.99980000000000002</v>
      </c>
      <c r="N669" s="5" t="s">
        <v>347</v>
      </c>
      <c r="O669" s="5" t="s">
        <v>347</v>
      </c>
      <c r="P669" s="5">
        <v>0</v>
      </c>
      <c r="Q669" s="5">
        <v>2</v>
      </c>
      <c r="R669" s="5" t="str">
        <f>A669&amp;"-"&amp;YEAR(F669)&amp;"-"&amp;IF(LEN(MONTH(F669))=1,"0"&amp;MONTH(F669),MONTH(F669))&amp;"-"&amp;IF(LEN(DAY(F669))=1,"0"&amp;DAY(F669),DAY(F669))</f>
        <v>352-2024-12-31</v>
      </c>
    </row>
    <row r="670" spans="1:18" x14ac:dyDescent="0.3">
      <c r="A670" s="5">
        <v>355</v>
      </c>
      <c r="B670" s="5" t="s">
        <v>239</v>
      </c>
      <c r="C670" s="5" t="s">
        <v>240</v>
      </c>
      <c r="D670" s="5" t="s">
        <v>25</v>
      </c>
      <c r="E670" s="5" t="s">
        <v>9</v>
      </c>
      <c r="F670" s="6">
        <v>45657</v>
      </c>
      <c r="G670" s="5">
        <f t="shared" si="99"/>
        <v>2024</v>
      </c>
      <c r="H670" s="5" t="str">
        <f t="shared" si="97"/>
        <v>Diciembre</v>
      </c>
      <c r="I670" s="6" t="str">
        <f t="shared" si="98"/>
        <v>2024-2</v>
      </c>
      <c r="J670" s="5">
        <v>0</v>
      </c>
      <c r="K670" s="5">
        <v>1.69</v>
      </c>
      <c r="L670" s="15" t="str">
        <f>IFERROR(IF((K670/J670)&gt;1.3,1.3,K670/J670),"")</f>
        <v/>
      </c>
      <c r="M670" s="15" t="str">
        <f>IFERROR(K670/J670,"")</f>
        <v/>
      </c>
      <c r="N670" s="5" t="s">
        <v>490</v>
      </c>
      <c r="O670" s="5" t="s">
        <v>478</v>
      </c>
      <c r="P670" s="5">
        <v>1</v>
      </c>
      <c r="Q670" s="5">
        <v>1</v>
      </c>
      <c r="R670" s="5" t="str">
        <f>A670&amp;"-"&amp;YEAR(F670)&amp;"-"&amp;IF(LEN(MONTH(F670))=1,"0"&amp;MONTH(F670),MONTH(F670))&amp;"-"&amp;IF(LEN(DAY(F670))=1,"0"&amp;DAY(F670),DAY(F670))</f>
        <v>355-2024-12-31</v>
      </c>
    </row>
    <row r="671" spans="1:18" x14ac:dyDescent="0.3">
      <c r="A671" s="5">
        <v>356</v>
      </c>
      <c r="B671" s="5" t="s">
        <v>241</v>
      </c>
      <c r="C671" s="5" t="s">
        <v>240</v>
      </c>
      <c r="D671" s="5" t="s">
        <v>8</v>
      </c>
      <c r="E671" s="5" t="s">
        <v>14</v>
      </c>
      <c r="F671" s="6">
        <v>45657</v>
      </c>
      <c r="G671" s="5">
        <f t="shared" si="99"/>
        <v>2024</v>
      </c>
      <c r="H671" s="5" t="str">
        <f t="shared" si="97"/>
        <v>Diciembre</v>
      </c>
      <c r="I671" s="6" t="str">
        <f t="shared" si="98"/>
        <v>2024-2</v>
      </c>
      <c r="J671" s="5">
        <v>60</v>
      </c>
      <c r="K671" s="5">
        <v>65.55</v>
      </c>
      <c r="L671" s="15">
        <f>J671/K671</f>
        <v>0.91533180778032042</v>
      </c>
      <c r="M671" s="15">
        <f>IFERROR(IF((J671/K671)&gt;J671/K671,1.3,J671/K671),"")</f>
        <v>0.91533180778032042</v>
      </c>
      <c r="N671" s="5" t="s">
        <v>347</v>
      </c>
      <c r="O671" s="5" t="s">
        <v>347</v>
      </c>
      <c r="P671" s="5">
        <v>0</v>
      </c>
      <c r="Q671" s="5">
        <v>1</v>
      </c>
      <c r="R671" s="5" t="str">
        <f>A671&amp;"-"&amp;YEAR(F671)&amp;"-"&amp;IF(LEN(MONTH(F671))=1,"0"&amp;MONTH(F671),MONTH(F671))&amp;"-"&amp;IF(LEN(DAY(F671))=1,"0"&amp;DAY(F671),DAY(F671))</f>
        <v>356-2024-12-31</v>
      </c>
    </row>
    <row r="672" spans="1:18" x14ac:dyDescent="0.3">
      <c r="A672" s="5">
        <v>357</v>
      </c>
      <c r="B672" s="5" t="s">
        <v>242</v>
      </c>
      <c r="C672" s="5" t="s">
        <v>240</v>
      </c>
      <c r="D672" s="5" t="s">
        <v>8</v>
      </c>
      <c r="E672" s="5" t="s">
        <v>9</v>
      </c>
      <c r="F672" s="6">
        <v>45657</v>
      </c>
      <c r="G672" s="5">
        <f t="shared" si="99"/>
        <v>2024</v>
      </c>
      <c r="H672" s="5" t="str">
        <f t="shared" si="97"/>
        <v>Diciembre</v>
      </c>
      <c r="I672" s="6" t="str">
        <f t="shared" si="98"/>
        <v>2024-2</v>
      </c>
      <c r="J672" s="5"/>
      <c r="K672" s="5">
        <v>0.51</v>
      </c>
      <c r="L672" s="15" t="str">
        <f t="shared" ref="L672:L684" si="101">IFERROR(IF((K672/J672)&gt;1.3,1.3,K672/J672),"")</f>
        <v/>
      </c>
      <c r="M672" s="15" t="str">
        <f t="shared" ref="M672:M684" si="102">IFERROR(K672/J672,"")</f>
        <v/>
      </c>
      <c r="N672" s="5" t="s">
        <v>728</v>
      </c>
      <c r="O672" s="5"/>
      <c r="P672" s="5">
        <v>0</v>
      </c>
      <c r="Q672" s="5">
        <v>2</v>
      </c>
      <c r="R672" s="5" t="str">
        <f>A672&amp;"-"&amp;YEAR(F672)&amp;"-"&amp;IF(LEN(MONTH(F672))=1,"0"&amp;MONTH(F672),MONTH(F672))&amp;"-"&amp;IF(LEN(DAY(F672))=1,"0"&amp;DAY(F672),DAY(F672))</f>
        <v>357-2024-12-31</v>
      </c>
    </row>
    <row r="673" spans="1:18" x14ac:dyDescent="0.3">
      <c r="A673" s="5">
        <v>358</v>
      </c>
      <c r="B673" s="5" t="s">
        <v>243</v>
      </c>
      <c r="C673" s="5" t="s">
        <v>244</v>
      </c>
      <c r="D673" s="5" t="s">
        <v>8</v>
      </c>
      <c r="E673" s="5" t="s">
        <v>9</v>
      </c>
      <c r="F673" s="6">
        <v>45657</v>
      </c>
      <c r="G673" s="5">
        <f t="shared" si="99"/>
        <v>2024</v>
      </c>
      <c r="H673" s="5" t="str">
        <f t="shared" si="97"/>
        <v>Diciembre</v>
      </c>
      <c r="I673" s="6" t="str">
        <f t="shared" si="98"/>
        <v>2024-2</v>
      </c>
      <c r="J673" s="5">
        <v>87</v>
      </c>
      <c r="K673" s="5">
        <v>99.995000000000005</v>
      </c>
      <c r="L673" s="15">
        <f t="shared" si="101"/>
        <v>1.149367816091954</v>
      </c>
      <c r="M673" s="15">
        <f t="shared" si="102"/>
        <v>1.149367816091954</v>
      </c>
      <c r="N673" s="5" t="s">
        <v>347</v>
      </c>
      <c r="O673" s="5" t="s">
        <v>347</v>
      </c>
      <c r="P673" s="5">
        <v>0</v>
      </c>
      <c r="Q673" s="5">
        <v>0</v>
      </c>
      <c r="R673" s="5" t="str">
        <f>A673&amp;"-"&amp;YEAR(F673)&amp;"-"&amp;IF(LEN(MONTH(F673))=1,"0"&amp;MONTH(F673),MONTH(F673))&amp;"-"&amp;IF(LEN(DAY(F673))=1,"0"&amp;DAY(F673),DAY(F673))</f>
        <v>358-2024-12-31</v>
      </c>
    </row>
    <row r="674" spans="1:18" x14ac:dyDescent="0.3">
      <c r="A674" s="5">
        <v>359</v>
      </c>
      <c r="B674" s="5" t="s">
        <v>502</v>
      </c>
      <c r="C674" s="5" t="s">
        <v>160</v>
      </c>
      <c r="D674" s="5" t="s">
        <v>8</v>
      </c>
      <c r="E674" s="5" t="s">
        <v>9</v>
      </c>
      <c r="F674" s="6">
        <v>45657</v>
      </c>
      <c r="G674" s="5">
        <f t="shared" si="99"/>
        <v>2024</v>
      </c>
      <c r="H674" s="5" t="str">
        <f t="shared" si="97"/>
        <v>Diciembre</v>
      </c>
      <c r="I674" s="6" t="str">
        <f t="shared" si="98"/>
        <v>2024-2</v>
      </c>
      <c r="J674" s="5">
        <v>80</v>
      </c>
      <c r="K674" s="5">
        <v>86</v>
      </c>
      <c r="L674" s="15">
        <f t="shared" si="101"/>
        <v>1.075</v>
      </c>
      <c r="M674" s="15">
        <f t="shared" si="102"/>
        <v>1.075</v>
      </c>
      <c r="N674" s="5" t="s">
        <v>347</v>
      </c>
      <c r="O674" s="5" t="s">
        <v>347</v>
      </c>
      <c r="P674" s="5">
        <v>0</v>
      </c>
      <c r="Q674" s="5">
        <v>0</v>
      </c>
      <c r="R674" s="5" t="str">
        <f>A674&amp;"-"&amp;YEAR(F674)&amp;"-"&amp;IF(LEN(MONTH(F674))=1,"0"&amp;MONTH(F674),MONTH(F674))&amp;"-"&amp;IF(LEN(DAY(F674))=1,"0"&amp;DAY(F674),DAY(F674))</f>
        <v>359-2024-12-31</v>
      </c>
    </row>
    <row r="675" spans="1:18" x14ac:dyDescent="0.3">
      <c r="A675" s="5">
        <v>361</v>
      </c>
      <c r="B675" s="5" t="s">
        <v>802</v>
      </c>
      <c r="C675" s="5" t="s">
        <v>248</v>
      </c>
      <c r="D675" s="5" t="s">
        <v>25</v>
      </c>
      <c r="E675" s="5" t="s">
        <v>9</v>
      </c>
      <c r="F675" s="6">
        <v>45657</v>
      </c>
      <c r="G675" s="5">
        <f t="shared" si="99"/>
        <v>2024</v>
      </c>
      <c r="H675" s="5" t="str">
        <f t="shared" si="97"/>
        <v>Diciembre</v>
      </c>
      <c r="I675" s="6" t="str">
        <f t="shared" si="98"/>
        <v>2024-2</v>
      </c>
      <c r="J675" s="5"/>
      <c r="K675" s="5"/>
      <c r="L675" s="15" t="str">
        <f t="shared" si="101"/>
        <v/>
      </c>
      <c r="M675" s="15" t="str">
        <f t="shared" si="102"/>
        <v/>
      </c>
      <c r="N675" s="5" t="s">
        <v>488</v>
      </c>
      <c r="O675" s="5" t="s">
        <v>488</v>
      </c>
      <c r="P675" s="5">
        <v>1</v>
      </c>
      <c r="Q675" s="5">
        <v>2</v>
      </c>
      <c r="R675" s="5" t="str">
        <f>A675&amp;"-"&amp;YEAR(F675)&amp;"-"&amp;IF(LEN(MONTH(F675))=1,"0"&amp;MONTH(F675),MONTH(F675))&amp;"-"&amp;IF(LEN(DAY(F675))=1,"0"&amp;DAY(F675),DAY(F675))</f>
        <v>361-2024-12-31</v>
      </c>
    </row>
    <row r="676" spans="1:18" x14ac:dyDescent="0.3">
      <c r="A676" s="5">
        <v>362</v>
      </c>
      <c r="B676" s="5" t="s">
        <v>460</v>
      </c>
      <c r="C676" s="5" t="s">
        <v>762</v>
      </c>
      <c r="D676" s="5" t="s">
        <v>8</v>
      </c>
      <c r="E676" s="5" t="s">
        <v>9</v>
      </c>
      <c r="F676" s="6">
        <v>45657</v>
      </c>
      <c r="G676" s="5">
        <f t="shared" si="99"/>
        <v>2024</v>
      </c>
      <c r="H676" s="5" t="str">
        <f t="shared" si="97"/>
        <v>Diciembre</v>
      </c>
      <c r="I676" s="6" t="str">
        <f t="shared" si="98"/>
        <v>2024-2</v>
      </c>
      <c r="J676" s="5">
        <v>98</v>
      </c>
      <c r="K676" s="5">
        <v>99.49</v>
      </c>
      <c r="L676" s="15">
        <f t="shared" si="101"/>
        <v>1.0152040816326531</v>
      </c>
      <c r="M676" s="15">
        <f t="shared" si="102"/>
        <v>1.0152040816326531</v>
      </c>
      <c r="N676" s="5" t="s">
        <v>347</v>
      </c>
      <c r="O676" s="5" t="s">
        <v>347</v>
      </c>
      <c r="P676" s="5">
        <v>0</v>
      </c>
      <c r="Q676" s="5">
        <v>0</v>
      </c>
      <c r="R676" s="5" t="str">
        <f>A676&amp;"-"&amp;YEAR(F676)&amp;"-"&amp;IF(LEN(MONTH(F676))=1,"0"&amp;MONTH(F676),MONTH(F676))&amp;"-"&amp;IF(LEN(DAY(F676))=1,"0"&amp;DAY(F676),DAY(F676))</f>
        <v>362-2024-12-31</v>
      </c>
    </row>
    <row r="677" spans="1:18" x14ac:dyDescent="0.3">
      <c r="A677" s="5">
        <v>363</v>
      </c>
      <c r="B677" s="5" t="s">
        <v>250</v>
      </c>
      <c r="C677" s="5" t="s">
        <v>762</v>
      </c>
      <c r="D677" s="5" t="s">
        <v>8</v>
      </c>
      <c r="E677" s="5" t="s">
        <v>9</v>
      </c>
      <c r="F677" s="6">
        <v>45657</v>
      </c>
      <c r="G677" s="5">
        <f t="shared" si="99"/>
        <v>2024</v>
      </c>
      <c r="H677" s="5" t="str">
        <f t="shared" si="97"/>
        <v>Diciembre</v>
      </c>
      <c r="I677" s="6" t="str">
        <f t="shared" si="98"/>
        <v>2024-2</v>
      </c>
      <c r="J677" s="5">
        <v>100</v>
      </c>
      <c r="K677" s="5">
        <v>100</v>
      </c>
      <c r="L677" s="15">
        <f t="shared" si="101"/>
        <v>1</v>
      </c>
      <c r="M677" s="15">
        <f t="shared" si="102"/>
        <v>1</v>
      </c>
      <c r="N677" s="5" t="s">
        <v>347</v>
      </c>
      <c r="O677" s="5" t="s">
        <v>347</v>
      </c>
      <c r="P677" s="5">
        <v>0</v>
      </c>
      <c r="Q677" s="5">
        <v>0</v>
      </c>
      <c r="R677" s="5" t="str">
        <f>A677&amp;"-"&amp;YEAR(F677)&amp;"-"&amp;IF(LEN(MONTH(F677))=1,"0"&amp;MONTH(F677),MONTH(F677))&amp;"-"&amp;IF(LEN(DAY(F677))=1,"0"&amp;DAY(F677),DAY(F677))</f>
        <v>363-2024-12-31</v>
      </c>
    </row>
    <row r="678" spans="1:18" x14ac:dyDescent="0.3">
      <c r="A678" s="5">
        <v>364</v>
      </c>
      <c r="B678" s="5" t="s">
        <v>252</v>
      </c>
      <c r="C678" s="5" t="s">
        <v>248</v>
      </c>
      <c r="D678" s="5" t="s">
        <v>8</v>
      </c>
      <c r="E678" s="5" t="s">
        <v>9</v>
      </c>
      <c r="F678" s="6">
        <v>45657</v>
      </c>
      <c r="G678" s="5">
        <f t="shared" si="99"/>
        <v>2024</v>
      </c>
      <c r="H678" s="5" t="str">
        <f t="shared" si="97"/>
        <v>Diciembre</v>
      </c>
      <c r="I678" s="6" t="str">
        <f t="shared" si="98"/>
        <v>2024-2</v>
      </c>
      <c r="J678" s="10">
        <v>79235</v>
      </c>
      <c r="K678" s="10">
        <v>88704</v>
      </c>
      <c r="L678" s="15">
        <f t="shared" si="101"/>
        <v>1.119505269136114</v>
      </c>
      <c r="M678" s="15">
        <f t="shared" si="102"/>
        <v>1.119505269136114</v>
      </c>
      <c r="N678" s="5" t="s">
        <v>490</v>
      </c>
      <c r="O678" s="5" t="s">
        <v>490</v>
      </c>
      <c r="P678" s="5">
        <v>0</v>
      </c>
      <c r="Q678" s="5">
        <v>0</v>
      </c>
      <c r="R678" s="5" t="str">
        <f>A678&amp;"-"&amp;YEAR(F678)&amp;"-"&amp;IF(LEN(MONTH(F678))=1,"0"&amp;MONTH(F678),MONTH(F678))&amp;"-"&amp;IF(LEN(DAY(F678))=1,"0"&amp;DAY(F678),DAY(F678))</f>
        <v>364-2024-12-31</v>
      </c>
    </row>
    <row r="679" spans="1:18" x14ac:dyDescent="0.3">
      <c r="A679" s="5">
        <v>366</v>
      </c>
      <c r="B679" s="5" t="s">
        <v>253</v>
      </c>
      <c r="C679" s="5" t="s">
        <v>762</v>
      </c>
      <c r="D679" s="5" t="s">
        <v>25</v>
      </c>
      <c r="E679" s="5" t="s">
        <v>9</v>
      </c>
      <c r="F679" s="6">
        <v>45657</v>
      </c>
      <c r="G679" s="5">
        <f t="shared" si="99"/>
        <v>2024</v>
      </c>
      <c r="H679" s="5" t="str">
        <f t="shared" si="97"/>
        <v>Diciembre</v>
      </c>
      <c r="I679" s="6" t="str">
        <f t="shared" si="98"/>
        <v>2024-2</v>
      </c>
      <c r="J679" s="5">
        <v>100</v>
      </c>
      <c r="K679" s="5">
        <v>100</v>
      </c>
      <c r="L679" s="15">
        <f t="shared" si="101"/>
        <v>1</v>
      </c>
      <c r="M679" s="15">
        <f t="shared" si="102"/>
        <v>1</v>
      </c>
      <c r="N679" s="5" t="s">
        <v>490</v>
      </c>
      <c r="O679" s="5" t="s">
        <v>490</v>
      </c>
      <c r="P679" s="5">
        <v>0</v>
      </c>
      <c r="Q679" s="5">
        <v>0</v>
      </c>
      <c r="R679" s="5" t="str">
        <f>A679&amp;"-"&amp;YEAR(F679)&amp;"-"&amp;IF(LEN(MONTH(F679))=1,"0"&amp;MONTH(F679),MONTH(F679))&amp;"-"&amp;IF(LEN(DAY(F679))=1,"0"&amp;DAY(F679),DAY(F679))</f>
        <v>366-2024-12-31</v>
      </c>
    </row>
    <row r="680" spans="1:18" x14ac:dyDescent="0.3">
      <c r="A680" s="5">
        <v>367</v>
      </c>
      <c r="B680" s="5" t="s">
        <v>470</v>
      </c>
      <c r="C680" s="5" t="s">
        <v>248</v>
      </c>
      <c r="D680" s="5" t="s">
        <v>25</v>
      </c>
      <c r="E680" s="5" t="s">
        <v>9</v>
      </c>
      <c r="F680" s="6">
        <v>45657</v>
      </c>
      <c r="G680" s="5">
        <f t="shared" si="99"/>
        <v>2024</v>
      </c>
      <c r="H680" s="5" t="str">
        <f t="shared" si="97"/>
        <v>Diciembre</v>
      </c>
      <c r="I680" s="6" t="str">
        <f t="shared" si="98"/>
        <v>2024-2</v>
      </c>
      <c r="J680" s="5">
        <v>5</v>
      </c>
      <c r="K680" s="5">
        <v>4.96</v>
      </c>
      <c r="L680" s="15">
        <f t="shared" si="101"/>
        <v>0.99199999999999999</v>
      </c>
      <c r="M680" s="15">
        <f t="shared" si="102"/>
        <v>0.99199999999999999</v>
      </c>
      <c r="N680" s="5" t="s">
        <v>347</v>
      </c>
      <c r="O680" s="5" t="s">
        <v>347</v>
      </c>
      <c r="P680" s="5">
        <v>0</v>
      </c>
      <c r="Q680" s="5">
        <v>2</v>
      </c>
      <c r="R680" s="5" t="str">
        <f>A680&amp;"-"&amp;YEAR(F680)&amp;"-"&amp;IF(LEN(MONTH(F680))=1,"0"&amp;MONTH(F680),MONTH(F680))&amp;"-"&amp;IF(LEN(DAY(F680))=1,"0"&amp;DAY(F680),DAY(F680))</f>
        <v>367-2024-12-31</v>
      </c>
    </row>
    <row r="681" spans="1:18" x14ac:dyDescent="0.3">
      <c r="A681" s="5">
        <v>368</v>
      </c>
      <c r="B681" s="5" t="s">
        <v>255</v>
      </c>
      <c r="C681" s="5" t="s">
        <v>256</v>
      </c>
      <c r="D681" s="5" t="s">
        <v>11</v>
      </c>
      <c r="E681" s="5" t="s">
        <v>9</v>
      </c>
      <c r="F681" s="6">
        <v>45657</v>
      </c>
      <c r="G681" s="5">
        <f t="shared" si="99"/>
        <v>2024</v>
      </c>
      <c r="H681" s="5" t="str">
        <f t="shared" si="97"/>
        <v>Diciembre</v>
      </c>
      <c r="I681" s="6" t="str">
        <f t="shared" si="98"/>
        <v>2024-2</v>
      </c>
      <c r="J681" s="5">
        <v>90</v>
      </c>
      <c r="K681" s="5">
        <v>94</v>
      </c>
      <c r="L681" s="15">
        <f t="shared" si="101"/>
        <v>1.0444444444444445</v>
      </c>
      <c r="M681" s="15">
        <f t="shared" si="102"/>
        <v>1.0444444444444445</v>
      </c>
      <c r="N681" s="5" t="s">
        <v>347</v>
      </c>
      <c r="O681" s="5" t="s">
        <v>347</v>
      </c>
      <c r="P681" s="5">
        <v>0</v>
      </c>
      <c r="Q681" s="5">
        <v>0</v>
      </c>
      <c r="R681" s="5" t="str">
        <f>A681&amp;"-"&amp;YEAR(F681)&amp;"-"&amp;IF(LEN(MONTH(F681))=1,"0"&amp;MONTH(F681),MONTH(F681))&amp;"-"&amp;IF(LEN(DAY(F681))=1,"0"&amp;DAY(F681),DAY(F681))</f>
        <v>368-2024-12-31</v>
      </c>
    </row>
    <row r="682" spans="1:18" x14ac:dyDescent="0.3">
      <c r="A682" s="5">
        <v>369</v>
      </c>
      <c r="B682" s="5" t="s">
        <v>257</v>
      </c>
      <c r="C682" s="5" t="s">
        <v>248</v>
      </c>
      <c r="D682" s="5" t="s">
        <v>8</v>
      </c>
      <c r="E682" s="5" t="s">
        <v>9</v>
      </c>
      <c r="F682" s="6">
        <v>45657</v>
      </c>
      <c r="G682" s="5">
        <f t="shared" si="99"/>
        <v>2024</v>
      </c>
      <c r="H682" s="5" t="str">
        <f t="shared" si="97"/>
        <v>Diciembre</v>
      </c>
      <c r="I682" s="6" t="str">
        <f t="shared" si="98"/>
        <v>2024-2</v>
      </c>
      <c r="J682" s="5">
        <v>188</v>
      </c>
      <c r="K682" s="5">
        <v>138</v>
      </c>
      <c r="L682" s="15">
        <f t="shared" si="101"/>
        <v>0.73404255319148937</v>
      </c>
      <c r="M682" s="15">
        <f t="shared" si="102"/>
        <v>0.73404255319148937</v>
      </c>
      <c r="N682" s="5" t="s">
        <v>490</v>
      </c>
      <c r="O682" s="5" t="s">
        <v>490</v>
      </c>
      <c r="P682" s="5">
        <v>0</v>
      </c>
      <c r="Q682" s="5">
        <v>0</v>
      </c>
      <c r="R682" s="5" t="str">
        <f>A682&amp;"-"&amp;YEAR(F682)&amp;"-"&amp;IF(LEN(MONTH(F682))=1,"0"&amp;MONTH(F682),MONTH(F682))&amp;"-"&amp;IF(LEN(DAY(F682))=1,"0"&amp;DAY(F682),DAY(F682))</f>
        <v>369-2024-12-31</v>
      </c>
    </row>
    <row r="683" spans="1:18" x14ac:dyDescent="0.3">
      <c r="A683" s="5">
        <v>371</v>
      </c>
      <c r="B683" s="5" t="s">
        <v>259</v>
      </c>
      <c r="C683" s="5" t="s">
        <v>248</v>
      </c>
      <c r="D683" s="5" t="s">
        <v>8</v>
      </c>
      <c r="E683" s="5" t="s">
        <v>9</v>
      </c>
      <c r="F683" s="6">
        <v>45657</v>
      </c>
      <c r="G683" s="5">
        <f t="shared" si="99"/>
        <v>2024</v>
      </c>
      <c r="H683" s="5" t="str">
        <f t="shared" si="97"/>
        <v>Diciembre</v>
      </c>
      <c r="I683" s="6" t="str">
        <f t="shared" si="98"/>
        <v>2024-2</v>
      </c>
      <c r="J683" s="9">
        <v>974321985.06500006</v>
      </c>
      <c r="K683" s="9">
        <v>2045128020</v>
      </c>
      <c r="L683" s="15">
        <f t="shared" si="101"/>
        <v>1.3</v>
      </c>
      <c r="M683" s="15">
        <f t="shared" si="102"/>
        <v>2.099026863140693</v>
      </c>
      <c r="N683" s="5" t="s">
        <v>474</v>
      </c>
      <c r="O683" s="5" t="s">
        <v>474</v>
      </c>
      <c r="P683" s="5">
        <v>0</v>
      </c>
      <c r="Q683" s="5">
        <v>0</v>
      </c>
      <c r="R683" s="5" t="str">
        <f>A683&amp;"-"&amp;YEAR(F683)&amp;"-"&amp;IF(LEN(MONTH(F683))=1,"0"&amp;MONTH(F683),MONTH(F683))&amp;"-"&amp;IF(LEN(DAY(F683))=1,"0"&amp;DAY(F683),DAY(F683))</f>
        <v>371-2024-12-31</v>
      </c>
    </row>
    <row r="684" spans="1:18" x14ac:dyDescent="0.3">
      <c r="A684" s="5">
        <v>372</v>
      </c>
      <c r="B684" s="5" t="s">
        <v>260</v>
      </c>
      <c r="C684" s="5" t="s">
        <v>256</v>
      </c>
      <c r="D684" s="5" t="s">
        <v>11</v>
      </c>
      <c r="E684" s="5" t="s">
        <v>9</v>
      </c>
      <c r="F684" s="6">
        <v>45657</v>
      </c>
      <c r="G684" s="5">
        <f t="shared" si="99"/>
        <v>2024</v>
      </c>
      <c r="H684" s="5" t="str">
        <f t="shared" si="97"/>
        <v>Diciembre</v>
      </c>
      <c r="I684" s="6" t="str">
        <f t="shared" si="98"/>
        <v>2024-2</v>
      </c>
      <c r="J684" s="5">
        <v>87</v>
      </c>
      <c r="K684" s="5">
        <v>93</v>
      </c>
      <c r="L684" s="15">
        <f t="shared" si="101"/>
        <v>1.0689655172413792</v>
      </c>
      <c r="M684" s="15">
        <f t="shared" si="102"/>
        <v>1.0689655172413792</v>
      </c>
      <c r="N684" s="5" t="s">
        <v>347</v>
      </c>
      <c r="O684" s="5" t="s">
        <v>347</v>
      </c>
      <c r="P684" s="5">
        <v>0</v>
      </c>
      <c r="Q684" s="5">
        <v>0</v>
      </c>
      <c r="R684" s="5" t="str">
        <f>A684&amp;"-"&amp;YEAR(F684)&amp;"-"&amp;IF(LEN(MONTH(F684))=1,"0"&amp;MONTH(F684),MONTH(F684))&amp;"-"&amp;IF(LEN(DAY(F684))=1,"0"&amp;DAY(F684),DAY(F684))</f>
        <v>372-2024-12-31</v>
      </c>
    </row>
    <row r="685" spans="1:18" x14ac:dyDescent="0.3">
      <c r="A685" s="5">
        <v>373</v>
      </c>
      <c r="B685" s="5" t="s">
        <v>261</v>
      </c>
      <c r="C685" s="5" t="s">
        <v>131</v>
      </c>
      <c r="D685" s="5" t="s">
        <v>11</v>
      </c>
      <c r="E685" s="5" t="s">
        <v>9</v>
      </c>
      <c r="F685" s="6">
        <v>45657</v>
      </c>
      <c r="G685" s="5">
        <f t="shared" si="99"/>
        <v>2024</v>
      </c>
      <c r="H685" s="5" t="str">
        <f t="shared" si="97"/>
        <v>Diciembre</v>
      </c>
      <c r="I685" s="6" t="str">
        <f t="shared" si="98"/>
        <v>2024-2</v>
      </c>
      <c r="J685" s="5">
        <v>100</v>
      </c>
      <c r="K685" s="5">
        <v>98</v>
      </c>
      <c r="L685" s="15">
        <f>IFERROR(IF((K685/J685)&gt;1,1,K685/J685),"")</f>
        <v>0.98</v>
      </c>
      <c r="M685" s="15">
        <f>IFERROR(IF((K685/J685)&gt;1,1,K685/J685),"")</f>
        <v>0.98</v>
      </c>
      <c r="N685" s="5" t="s">
        <v>347</v>
      </c>
      <c r="O685" s="5" t="s">
        <v>347</v>
      </c>
      <c r="P685" s="5">
        <v>0</v>
      </c>
      <c r="Q685" s="5">
        <v>0</v>
      </c>
      <c r="R685" s="5" t="str">
        <f>A685&amp;"-"&amp;YEAR(F685)&amp;"-"&amp;IF(LEN(MONTH(F685))=1,"0"&amp;MONTH(F685),MONTH(F685))&amp;"-"&amp;IF(LEN(DAY(F685))=1,"0"&amp;DAY(F685),DAY(F685))</f>
        <v>373-2024-12-31</v>
      </c>
    </row>
    <row r="686" spans="1:18" x14ac:dyDescent="0.3">
      <c r="A686" s="5">
        <v>375</v>
      </c>
      <c r="B686" s="5" t="s">
        <v>462</v>
      </c>
      <c r="C686" s="5" t="s">
        <v>762</v>
      </c>
      <c r="D686" s="5" t="s">
        <v>8</v>
      </c>
      <c r="E686" s="5" t="s">
        <v>9</v>
      </c>
      <c r="F686" s="6">
        <v>45657</v>
      </c>
      <c r="G686" s="5">
        <f t="shared" si="99"/>
        <v>2024</v>
      </c>
      <c r="H686" s="5" t="str">
        <f t="shared" si="97"/>
        <v>Diciembre</v>
      </c>
      <c r="I686" s="6" t="str">
        <f t="shared" si="98"/>
        <v>2024-2</v>
      </c>
      <c r="J686" s="5">
        <v>100</v>
      </c>
      <c r="K686" s="5">
        <v>100</v>
      </c>
      <c r="L686" s="15">
        <f>IFERROR(IF((K686/J686)&gt;1.3,1.3,K686/J686),"")</f>
        <v>1</v>
      </c>
      <c r="M686" s="15">
        <f t="shared" ref="M686:M731" si="103">IFERROR(K686/J686,"")</f>
        <v>1</v>
      </c>
      <c r="N686" s="5" t="s">
        <v>347</v>
      </c>
      <c r="O686" s="5" t="s">
        <v>347</v>
      </c>
      <c r="P686" s="5">
        <v>0</v>
      </c>
      <c r="Q686" s="5">
        <v>0</v>
      </c>
      <c r="R686" s="5" t="str">
        <f>A686&amp;"-"&amp;YEAR(F686)&amp;"-"&amp;IF(LEN(MONTH(F686))=1,"0"&amp;MONTH(F686),MONTH(F686))&amp;"-"&amp;IF(LEN(DAY(F686))=1,"0"&amp;DAY(F686),DAY(F686))</f>
        <v>375-2024-12-31</v>
      </c>
    </row>
    <row r="687" spans="1:18" x14ac:dyDescent="0.3">
      <c r="A687" s="5">
        <v>376</v>
      </c>
      <c r="B687" s="5" t="s">
        <v>732</v>
      </c>
      <c r="C687" s="5" t="s">
        <v>84</v>
      </c>
      <c r="D687" s="5" t="s">
        <v>8</v>
      </c>
      <c r="E687" s="5" t="s">
        <v>9</v>
      </c>
      <c r="F687" s="6">
        <v>45657</v>
      </c>
      <c r="G687" s="5">
        <f t="shared" si="99"/>
        <v>2024</v>
      </c>
      <c r="H687" s="5" t="str">
        <f t="shared" si="97"/>
        <v>Diciembre</v>
      </c>
      <c r="I687" s="6" t="str">
        <f t="shared" si="98"/>
        <v>2024-2</v>
      </c>
      <c r="J687" s="11">
        <v>27010.108280834509</v>
      </c>
      <c r="K687" s="11">
        <f>29467922112/1000000</f>
        <v>29467.922112</v>
      </c>
      <c r="L687" s="15">
        <f>IFERROR(IF((K687/J687)&gt;1.3,1.3,K687/J687),"")</f>
        <v>1.0909960747143497</v>
      </c>
      <c r="M687" s="15">
        <f t="shared" si="103"/>
        <v>1.0909960747143497</v>
      </c>
      <c r="N687" s="5" t="s">
        <v>474</v>
      </c>
      <c r="O687" s="5" t="s">
        <v>474</v>
      </c>
      <c r="P687" s="5">
        <v>0</v>
      </c>
      <c r="Q687" s="5">
        <v>0</v>
      </c>
      <c r="R687" s="5" t="str">
        <f>A687&amp;"-"&amp;YEAR(F687)&amp;"-"&amp;IF(LEN(MONTH(F687))=1,"0"&amp;MONTH(F687),MONTH(F687))&amp;"-"&amp;IF(LEN(DAY(F687))=1,"0"&amp;DAY(F687),DAY(F687))</f>
        <v>376-2024-12-31</v>
      </c>
    </row>
    <row r="688" spans="1:18" x14ac:dyDescent="0.3">
      <c r="A688" s="5">
        <v>377</v>
      </c>
      <c r="B688" s="5" t="s">
        <v>264</v>
      </c>
      <c r="C688" s="5" t="s">
        <v>84</v>
      </c>
      <c r="D688" s="5" t="s">
        <v>8</v>
      </c>
      <c r="E688" s="5" t="s">
        <v>14</v>
      </c>
      <c r="F688" s="6">
        <v>45657</v>
      </c>
      <c r="G688" s="5">
        <f t="shared" si="99"/>
        <v>2024</v>
      </c>
      <c r="H688" s="5" t="str">
        <f t="shared" si="97"/>
        <v>Diciembre</v>
      </c>
      <c r="I688" s="6" t="str">
        <f t="shared" si="98"/>
        <v>2024-2</v>
      </c>
      <c r="J688" s="11">
        <v>9557.1950106811255</v>
      </c>
      <c r="K688" s="11">
        <v>11947.626618</v>
      </c>
      <c r="L688" s="15">
        <f>K688/J688</f>
        <v>1.2501185342192271</v>
      </c>
      <c r="M688" s="15">
        <f t="shared" si="103"/>
        <v>1.2501185342192271</v>
      </c>
      <c r="N688" s="5" t="s">
        <v>474</v>
      </c>
      <c r="O688" s="5" t="s">
        <v>474</v>
      </c>
      <c r="P688" s="5">
        <v>0</v>
      </c>
      <c r="Q688" s="5">
        <v>0</v>
      </c>
      <c r="R688" s="5" t="str">
        <f>A688&amp;"-"&amp;YEAR(F688)&amp;"-"&amp;IF(LEN(MONTH(F688))=1,"0"&amp;MONTH(F688),MONTH(F688))&amp;"-"&amp;IF(LEN(DAY(F688))=1,"0"&amp;DAY(F688),DAY(F688))</f>
        <v>377-2024-12-31</v>
      </c>
    </row>
    <row r="689" spans="1:18" x14ac:dyDescent="0.3">
      <c r="A689" s="5">
        <v>378</v>
      </c>
      <c r="B689" s="5" t="s">
        <v>265</v>
      </c>
      <c r="C689" s="5" t="s">
        <v>17</v>
      </c>
      <c r="D689" s="5" t="s">
        <v>18</v>
      </c>
      <c r="E689" s="5" t="s">
        <v>9</v>
      </c>
      <c r="F689" s="6">
        <v>45657</v>
      </c>
      <c r="G689" s="5">
        <f t="shared" si="99"/>
        <v>2024</v>
      </c>
      <c r="H689" s="5" t="str">
        <f t="shared" si="97"/>
        <v>Diciembre</v>
      </c>
      <c r="I689" s="6" t="str">
        <f t="shared" si="98"/>
        <v>2024-2</v>
      </c>
      <c r="J689" s="5">
        <v>0</v>
      </c>
      <c r="K689" s="5">
        <v>0</v>
      </c>
      <c r="L689" s="15" t="str">
        <f t="shared" ref="L689:L731" si="104">IFERROR(IF((K689/J689)&gt;1.3,1.3,K689/J689),"")</f>
        <v/>
      </c>
      <c r="M689" s="15" t="str">
        <f t="shared" si="103"/>
        <v/>
      </c>
      <c r="N689" s="5" t="s">
        <v>347</v>
      </c>
      <c r="O689" s="5" t="s">
        <v>347</v>
      </c>
      <c r="P689" s="5">
        <v>0</v>
      </c>
      <c r="Q689" s="5">
        <v>0</v>
      </c>
      <c r="R689" s="5" t="str">
        <f>A689&amp;"-"&amp;YEAR(F689)&amp;"-"&amp;IF(LEN(MONTH(F689))=1,"0"&amp;MONTH(F689),MONTH(F689))&amp;"-"&amp;IF(LEN(DAY(F689))=1,"0"&amp;DAY(F689),DAY(F689))</f>
        <v>378-2024-12-31</v>
      </c>
    </row>
    <row r="690" spans="1:18" x14ac:dyDescent="0.3">
      <c r="A690" s="5">
        <v>379</v>
      </c>
      <c r="B690" s="5" t="s">
        <v>266</v>
      </c>
      <c r="C690" s="5" t="s">
        <v>267</v>
      </c>
      <c r="D690" s="5" t="s">
        <v>8</v>
      </c>
      <c r="E690" s="5" t="s">
        <v>9</v>
      </c>
      <c r="F690" s="6">
        <v>45657</v>
      </c>
      <c r="G690" s="5">
        <f t="shared" si="99"/>
        <v>2024</v>
      </c>
      <c r="H690" s="5" t="str">
        <f t="shared" si="97"/>
        <v>Diciembre</v>
      </c>
      <c r="I690" s="6" t="str">
        <f t="shared" si="98"/>
        <v>2024-2</v>
      </c>
      <c r="J690" s="5">
        <v>24265</v>
      </c>
      <c r="K690" s="5">
        <v>23556</v>
      </c>
      <c r="L690" s="15">
        <f t="shared" si="104"/>
        <v>0.97078096023078508</v>
      </c>
      <c r="M690" s="15">
        <f t="shared" si="103"/>
        <v>0.97078096023078508</v>
      </c>
      <c r="N690" s="5" t="s">
        <v>490</v>
      </c>
      <c r="O690" s="5" t="s">
        <v>490</v>
      </c>
      <c r="P690" s="5">
        <v>0</v>
      </c>
      <c r="Q690" s="5">
        <v>0</v>
      </c>
      <c r="R690" s="5" t="str">
        <f>A690&amp;"-"&amp;YEAR(F690)&amp;"-"&amp;IF(LEN(MONTH(F690))=1,"0"&amp;MONTH(F690),MONTH(F690))&amp;"-"&amp;IF(LEN(DAY(F690))=1,"0"&amp;DAY(F690),DAY(F690))</f>
        <v>379-2024-12-31</v>
      </c>
    </row>
    <row r="691" spans="1:18" x14ac:dyDescent="0.3">
      <c r="A691" s="5">
        <v>380</v>
      </c>
      <c r="B691" s="5" t="s">
        <v>268</v>
      </c>
      <c r="C691" s="5" t="s">
        <v>267</v>
      </c>
      <c r="D691" s="5" t="s">
        <v>8</v>
      </c>
      <c r="E691" s="5" t="s">
        <v>9</v>
      </c>
      <c r="F691" s="6">
        <v>45657</v>
      </c>
      <c r="G691" s="5">
        <f t="shared" si="99"/>
        <v>2024</v>
      </c>
      <c r="H691" s="5" t="str">
        <f t="shared" si="97"/>
        <v>Diciembre</v>
      </c>
      <c r="I691" s="6" t="str">
        <f t="shared" si="98"/>
        <v>2024-2</v>
      </c>
      <c r="J691" s="5">
        <v>100</v>
      </c>
      <c r="K691" s="5">
        <v>78.92</v>
      </c>
      <c r="L691" s="15">
        <f t="shared" si="104"/>
        <v>0.78920000000000001</v>
      </c>
      <c r="M691" s="15">
        <f t="shared" si="103"/>
        <v>0.78920000000000001</v>
      </c>
      <c r="N691" s="5" t="s">
        <v>347</v>
      </c>
      <c r="O691" s="5" t="s">
        <v>347</v>
      </c>
      <c r="P691" s="5">
        <v>0</v>
      </c>
      <c r="Q691" s="5">
        <v>0</v>
      </c>
      <c r="R691" s="5" t="str">
        <f>A691&amp;"-"&amp;YEAR(F691)&amp;"-"&amp;IF(LEN(MONTH(F691))=1,"0"&amp;MONTH(F691),MONTH(F691))&amp;"-"&amp;IF(LEN(DAY(F691))=1,"0"&amp;DAY(F691),DAY(F691))</f>
        <v>380-2024-12-31</v>
      </c>
    </row>
    <row r="692" spans="1:18" x14ac:dyDescent="0.3">
      <c r="A692" s="5">
        <v>381</v>
      </c>
      <c r="B692" s="5" t="s">
        <v>269</v>
      </c>
      <c r="C692" s="5" t="s">
        <v>267</v>
      </c>
      <c r="D692" s="5" t="s">
        <v>8</v>
      </c>
      <c r="E692" s="5" t="s">
        <v>9</v>
      </c>
      <c r="F692" s="6">
        <v>45657</v>
      </c>
      <c r="G692" s="5">
        <f t="shared" si="99"/>
        <v>2024</v>
      </c>
      <c r="H692" s="5" t="str">
        <f t="shared" si="97"/>
        <v>Diciembre</v>
      </c>
      <c r="I692" s="6" t="str">
        <f t="shared" si="98"/>
        <v>2024-2</v>
      </c>
      <c r="J692" s="9">
        <v>2583</v>
      </c>
      <c r="K692" s="5">
        <v>2542</v>
      </c>
      <c r="L692" s="15">
        <f t="shared" si="104"/>
        <v>0.98412698412698407</v>
      </c>
      <c r="M692" s="15">
        <f t="shared" si="103"/>
        <v>0.98412698412698407</v>
      </c>
      <c r="N692" s="5" t="s">
        <v>490</v>
      </c>
      <c r="O692" s="5" t="s">
        <v>490</v>
      </c>
      <c r="P692" s="5">
        <v>0</v>
      </c>
      <c r="Q692" s="5">
        <v>0</v>
      </c>
      <c r="R692" s="5" t="str">
        <f>A692&amp;"-"&amp;YEAR(F692)&amp;"-"&amp;IF(LEN(MONTH(F692))=1,"0"&amp;MONTH(F692),MONTH(F692))&amp;"-"&amp;IF(LEN(DAY(F692))=1,"0"&amp;DAY(F692),DAY(F692))</f>
        <v>381-2024-12-31</v>
      </c>
    </row>
    <row r="693" spans="1:18" x14ac:dyDescent="0.3">
      <c r="A693" s="5">
        <v>382</v>
      </c>
      <c r="B693" s="5" t="s">
        <v>270</v>
      </c>
      <c r="C693" s="5" t="s">
        <v>267</v>
      </c>
      <c r="D693" s="5" t="s">
        <v>8</v>
      </c>
      <c r="E693" s="5" t="s">
        <v>9</v>
      </c>
      <c r="F693" s="6">
        <v>45657</v>
      </c>
      <c r="G693" s="5">
        <f t="shared" si="99"/>
        <v>2024</v>
      </c>
      <c r="H693" s="5" t="str">
        <f t="shared" si="97"/>
        <v>Diciembre</v>
      </c>
      <c r="I693" s="6" t="str">
        <f t="shared" si="98"/>
        <v>2024-2</v>
      </c>
      <c r="J693" s="5">
        <v>18440</v>
      </c>
      <c r="K693" s="5">
        <v>17642</v>
      </c>
      <c r="L693" s="15">
        <f t="shared" si="104"/>
        <v>0.95672451193058572</v>
      </c>
      <c r="M693" s="15">
        <f t="shared" si="103"/>
        <v>0.95672451193058572</v>
      </c>
      <c r="N693" s="5" t="s">
        <v>490</v>
      </c>
      <c r="O693" s="5" t="s">
        <v>490</v>
      </c>
      <c r="P693" s="5">
        <v>0</v>
      </c>
      <c r="Q693" s="5">
        <v>0</v>
      </c>
      <c r="R693" s="5" t="str">
        <f>A693&amp;"-"&amp;YEAR(F693)&amp;"-"&amp;IF(LEN(MONTH(F693))=1,"0"&amp;MONTH(F693),MONTH(F693))&amp;"-"&amp;IF(LEN(DAY(F693))=1,"0"&amp;DAY(F693),DAY(F693))</f>
        <v>382-2024-12-31</v>
      </c>
    </row>
    <row r="694" spans="1:18" x14ac:dyDescent="0.3">
      <c r="A694" s="5">
        <v>383</v>
      </c>
      <c r="B694" s="5" t="s">
        <v>271</v>
      </c>
      <c r="C694" s="5" t="s">
        <v>267</v>
      </c>
      <c r="D694" s="5" t="s">
        <v>8</v>
      </c>
      <c r="E694" s="5" t="s">
        <v>9</v>
      </c>
      <c r="F694" s="6">
        <v>45657</v>
      </c>
      <c r="G694" s="5">
        <f t="shared" si="99"/>
        <v>2024</v>
      </c>
      <c r="H694" s="5" t="str">
        <f t="shared" si="97"/>
        <v>Diciembre</v>
      </c>
      <c r="I694" s="6" t="str">
        <f t="shared" si="98"/>
        <v>2024-2</v>
      </c>
      <c r="J694" s="9">
        <v>2631</v>
      </c>
      <c r="K694" s="5">
        <v>2823</v>
      </c>
      <c r="L694" s="15">
        <f t="shared" si="104"/>
        <v>1.0729760547320411</v>
      </c>
      <c r="M694" s="15">
        <f t="shared" si="103"/>
        <v>1.0729760547320411</v>
      </c>
      <c r="N694" s="5" t="s">
        <v>490</v>
      </c>
      <c r="O694" s="5" t="s">
        <v>490</v>
      </c>
      <c r="P694" s="5">
        <v>0</v>
      </c>
      <c r="Q694" s="5">
        <v>0</v>
      </c>
      <c r="R694" s="5" t="str">
        <f>A694&amp;"-"&amp;YEAR(F694)&amp;"-"&amp;IF(LEN(MONTH(F694))=1,"0"&amp;MONTH(F694),MONTH(F694))&amp;"-"&amp;IF(LEN(DAY(F694))=1,"0"&amp;DAY(F694),DAY(F694))</f>
        <v>383-2024-12-31</v>
      </c>
    </row>
    <row r="695" spans="1:18" x14ac:dyDescent="0.3">
      <c r="A695" s="5">
        <v>384</v>
      </c>
      <c r="B695" s="5" t="s">
        <v>272</v>
      </c>
      <c r="C695" s="5" t="s">
        <v>267</v>
      </c>
      <c r="D695" s="5" t="s">
        <v>8</v>
      </c>
      <c r="E695" s="5" t="s">
        <v>9</v>
      </c>
      <c r="F695" s="6">
        <v>45657</v>
      </c>
      <c r="G695" s="5">
        <f t="shared" si="99"/>
        <v>2024</v>
      </c>
      <c r="H695" s="5" t="str">
        <f t="shared" si="97"/>
        <v>Diciembre</v>
      </c>
      <c r="I695" s="6" t="str">
        <f t="shared" si="98"/>
        <v>2024-2</v>
      </c>
      <c r="J695" s="9">
        <v>611</v>
      </c>
      <c r="K695" s="5">
        <v>579</v>
      </c>
      <c r="L695" s="15">
        <f t="shared" si="104"/>
        <v>0.94762684124386254</v>
      </c>
      <c r="M695" s="15">
        <f t="shared" si="103"/>
        <v>0.94762684124386254</v>
      </c>
      <c r="N695" s="5" t="s">
        <v>490</v>
      </c>
      <c r="O695" s="5" t="s">
        <v>490</v>
      </c>
      <c r="P695" s="5">
        <v>0</v>
      </c>
      <c r="Q695" s="5">
        <v>0</v>
      </c>
      <c r="R695" s="5" t="str">
        <f>A695&amp;"-"&amp;YEAR(F695)&amp;"-"&amp;IF(LEN(MONTH(F695))=1,"0"&amp;MONTH(F695),MONTH(F695))&amp;"-"&amp;IF(LEN(DAY(F695))=1,"0"&amp;DAY(F695),DAY(F695))</f>
        <v>384-2024-12-31</v>
      </c>
    </row>
    <row r="696" spans="1:18" x14ac:dyDescent="0.3">
      <c r="A696" s="5">
        <v>385</v>
      </c>
      <c r="B696" s="5" t="s">
        <v>273</v>
      </c>
      <c r="C696" s="5" t="s">
        <v>274</v>
      </c>
      <c r="D696" s="5" t="s">
        <v>8</v>
      </c>
      <c r="E696" s="5" t="s">
        <v>9</v>
      </c>
      <c r="F696" s="6">
        <v>45657</v>
      </c>
      <c r="G696" s="5">
        <f t="shared" si="99"/>
        <v>2024</v>
      </c>
      <c r="H696" s="5" t="str">
        <f t="shared" si="97"/>
        <v>Diciembre</v>
      </c>
      <c r="I696" s="6" t="str">
        <f t="shared" si="98"/>
        <v>2024-2</v>
      </c>
      <c r="J696" s="9">
        <v>15507.493100000003</v>
      </c>
      <c r="K696" s="12">
        <v>13243.138849000001</v>
      </c>
      <c r="L696" s="15">
        <f t="shared" si="104"/>
        <v>0.85398321724869886</v>
      </c>
      <c r="M696" s="15">
        <f t="shared" si="103"/>
        <v>0.85398321724869886</v>
      </c>
      <c r="N696" s="5" t="s">
        <v>474</v>
      </c>
      <c r="O696" s="5" t="s">
        <v>474</v>
      </c>
      <c r="P696" s="5">
        <v>0</v>
      </c>
      <c r="Q696" s="5">
        <v>0</v>
      </c>
      <c r="R696" s="5" t="str">
        <f>A696&amp;"-"&amp;YEAR(F696)&amp;"-"&amp;IF(LEN(MONTH(F696))=1,"0"&amp;MONTH(F696),MONTH(F696))&amp;"-"&amp;IF(LEN(DAY(F696))=1,"0"&amp;DAY(F696),DAY(F696))</f>
        <v>385-2024-12-31</v>
      </c>
    </row>
    <row r="697" spans="1:18" x14ac:dyDescent="0.3">
      <c r="A697" s="5">
        <v>386</v>
      </c>
      <c r="B697" s="5" t="s">
        <v>275</v>
      </c>
      <c r="C697" s="5" t="s">
        <v>274</v>
      </c>
      <c r="D697" s="5" t="s">
        <v>8</v>
      </c>
      <c r="E697" s="5" t="s">
        <v>9</v>
      </c>
      <c r="F697" s="6">
        <v>45657</v>
      </c>
      <c r="G697" s="5">
        <f t="shared" si="99"/>
        <v>2024</v>
      </c>
      <c r="H697" s="5" t="str">
        <f t="shared" si="97"/>
        <v>Diciembre</v>
      </c>
      <c r="I697" s="6" t="str">
        <f t="shared" si="98"/>
        <v>2024-2</v>
      </c>
      <c r="J697" s="34">
        <v>15507.4931</v>
      </c>
      <c r="K697" s="86">
        <v>13733.393754000001</v>
      </c>
      <c r="L697" s="15">
        <f t="shared" si="104"/>
        <v>0.88559728290319217</v>
      </c>
      <c r="M697" s="15">
        <f t="shared" si="103"/>
        <v>0.88559728290319217</v>
      </c>
      <c r="N697" s="5" t="s">
        <v>347</v>
      </c>
      <c r="O697" s="5" t="s">
        <v>347</v>
      </c>
      <c r="P697" s="5">
        <v>0</v>
      </c>
      <c r="Q697" s="5">
        <v>0</v>
      </c>
      <c r="R697" s="5" t="str">
        <f>A697&amp;"-"&amp;YEAR(F697)&amp;"-"&amp;IF(LEN(MONTH(F697))=1,"0"&amp;MONTH(F697),MONTH(F697))&amp;"-"&amp;IF(LEN(DAY(F697))=1,"0"&amp;DAY(F697),DAY(F697))</f>
        <v>386-2024-12-31</v>
      </c>
    </row>
    <row r="698" spans="1:18" x14ac:dyDescent="0.3">
      <c r="A698" s="5">
        <v>389</v>
      </c>
      <c r="B698" s="5" t="s">
        <v>278</v>
      </c>
      <c r="C698" s="5" t="s">
        <v>124</v>
      </c>
      <c r="D698" s="5" t="s">
        <v>8</v>
      </c>
      <c r="E698" s="5" t="s">
        <v>9</v>
      </c>
      <c r="F698" s="6">
        <v>45657</v>
      </c>
      <c r="G698" s="5">
        <f t="shared" si="99"/>
        <v>2024</v>
      </c>
      <c r="H698" s="5" t="str">
        <f t="shared" si="97"/>
        <v>Diciembre</v>
      </c>
      <c r="I698" s="6" t="str">
        <f t="shared" si="98"/>
        <v>2024-2</v>
      </c>
      <c r="J698" s="5">
        <v>85</v>
      </c>
      <c r="K698" s="5">
        <v>84.5</v>
      </c>
      <c r="L698" s="15">
        <f t="shared" si="104"/>
        <v>0.99411764705882355</v>
      </c>
      <c r="M698" s="15">
        <f t="shared" si="103"/>
        <v>0.99411764705882355</v>
      </c>
      <c r="N698" s="5" t="s">
        <v>347</v>
      </c>
      <c r="O698" s="5" t="s">
        <v>347</v>
      </c>
      <c r="P698" s="5">
        <v>0</v>
      </c>
      <c r="Q698" s="5">
        <v>0</v>
      </c>
      <c r="R698" s="5" t="str">
        <f>A698&amp;"-"&amp;YEAR(F698)&amp;"-"&amp;IF(LEN(MONTH(F698))=1,"0"&amp;MONTH(F698),MONTH(F698))&amp;"-"&amp;IF(LEN(DAY(F698))=1,"0"&amp;DAY(F698),DAY(F698))</f>
        <v>389-2024-12-31</v>
      </c>
    </row>
    <row r="699" spans="1:18" x14ac:dyDescent="0.3">
      <c r="A699" s="5">
        <v>390</v>
      </c>
      <c r="B699" s="5" t="s">
        <v>279</v>
      </c>
      <c r="C699" s="5" t="s">
        <v>504</v>
      </c>
      <c r="D699" s="5" t="s">
        <v>11</v>
      </c>
      <c r="E699" s="5" t="s">
        <v>9</v>
      </c>
      <c r="F699" s="6">
        <v>45657</v>
      </c>
      <c r="G699" s="5">
        <f t="shared" si="99"/>
        <v>2024</v>
      </c>
      <c r="H699" s="5" t="str">
        <f t="shared" si="97"/>
        <v>Diciembre</v>
      </c>
      <c r="I699" s="6" t="str">
        <f t="shared" si="98"/>
        <v>2024-2</v>
      </c>
      <c r="J699" s="5">
        <v>100</v>
      </c>
      <c r="K699" s="5"/>
      <c r="L699" s="15">
        <f t="shared" si="104"/>
        <v>0</v>
      </c>
      <c r="M699" s="15">
        <f t="shared" si="103"/>
        <v>0</v>
      </c>
      <c r="N699" s="5" t="s">
        <v>347</v>
      </c>
      <c r="O699" s="5" t="s">
        <v>347</v>
      </c>
      <c r="P699" s="5">
        <v>0</v>
      </c>
      <c r="Q699" s="5">
        <v>0</v>
      </c>
      <c r="R699" s="5" t="str">
        <f>A699&amp;"-"&amp;YEAR(F699)&amp;"-"&amp;IF(LEN(MONTH(F699))=1,"0"&amp;MONTH(F699),MONTH(F699))&amp;"-"&amp;IF(LEN(DAY(F699))=1,"0"&amp;DAY(F699),DAY(F699))</f>
        <v>390-2024-12-31</v>
      </c>
    </row>
    <row r="700" spans="1:18" x14ac:dyDescent="0.3">
      <c r="A700" s="5">
        <v>391</v>
      </c>
      <c r="B700" s="5" t="s">
        <v>280</v>
      </c>
      <c r="C700" s="5" t="s">
        <v>281</v>
      </c>
      <c r="D700" s="5" t="s">
        <v>8</v>
      </c>
      <c r="E700" s="5" t="s">
        <v>9</v>
      </c>
      <c r="F700" s="6">
        <v>45657</v>
      </c>
      <c r="G700" s="5">
        <f t="shared" si="99"/>
        <v>2024</v>
      </c>
      <c r="H700" s="5" t="str">
        <f t="shared" ref="H700:H763" si="105">PROPER(TEXT(F700,"mmmm"))</f>
        <v>Diciembre</v>
      </c>
      <c r="I700" s="6" t="str">
        <f t="shared" ref="I700:I763" si="106">IF(OR(H700="Enero",H700="Febrero",H700="Marzo",H700="Abril",H700="Mayo",H700="Junio"),G700&amp;"-1",IF(OR(H700="Julio",H700="Agosto",H700="Septiembre",H700="Octubre",H700="Noviembre",H700="Diciembre"),G700&amp;"-2"))</f>
        <v>2024-2</v>
      </c>
      <c r="J700" s="5">
        <v>96</v>
      </c>
      <c r="K700" s="5">
        <v>100</v>
      </c>
      <c r="L700" s="15">
        <f t="shared" si="104"/>
        <v>1.0416666666666667</v>
      </c>
      <c r="M700" s="15">
        <f t="shared" si="103"/>
        <v>1.0416666666666667</v>
      </c>
      <c r="N700" s="5" t="s">
        <v>347</v>
      </c>
      <c r="O700" s="5" t="s">
        <v>347</v>
      </c>
      <c r="P700" s="5">
        <v>0</v>
      </c>
      <c r="Q700" s="5">
        <v>0</v>
      </c>
      <c r="R700" s="5" t="str">
        <f>A700&amp;"-"&amp;YEAR(F700)&amp;"-"&amp;IF(LEN(MONTH(F700))=1,"0"&amp;MONTH(F700),MONTH(F700))&amp;"-"&amp;IF(LEN(DAY(F700))=1,"0"&amp;DAY(F700),DAY(F700))</f>
        <v>391-2024-12-31</v>
      </c>
    </row>
    <row r="701" spans="1:18" x14ac:dyDescent="0.3">
      <c r="A701" s="5">
        <v>392</v>
      </c>
      <c r="B701" s="5" t="s">
        <v>282</v>
      </c>
      <c r="C701" s="5" t="s">
        <v>281</v>
      </c>
      <c r="D701" s="5" t="s">
        <v>8</v>
      </c>
      <c r="E701" s="5" t="s">
        <v>9</v>
      </c>
      <c r="F701" s="6">
        <v>45657</v>
      </c>
      <c r="G701" s="5">
        <f t="shared" si="99"/>
        <v>2024</v>
      </c>
      <c r="H701" s="5" t="str">
        <f t="shared" si="105"/>
        <v>Diciembre</v>
      </c>
      <c r="I701" s="6" t="str">
        <f t="shared" si="106"/>
        <v>2024-2</v>
      </c>
      <c r="J701" s="5">
        <v>100</v>
      </c>
      <c r="K701" s="5">
        <v>252.39</v>
      </c>
      <c r="L701" s="15">
        <f t="shared" si="104"/>
        <v>1.3</v>
      </c>
      <c r="M701" s="15">
        <f t="shared" si="103"/>
        <v>2.5238999999999998</v>
      </c>
      <c r="N701" s="5" t="s">
        <v>474</v>
      </c>
      <c r="O701" s="5" t="s">
        <v>474</v>
      </c>
      <c r="P701" s="5">
        <v>0</v>
      </c>
      <c r="Q701" s="5">
        <v>0</v>
      </c>
      <c r="R701" s="5" t="str">
        <f>A701&amp;"-"&amp;YEAR(F701)&amp;"-"&amp;IF(LEN(MONTH(F701))=1,"0"&amp;MONTH(F701),MONTH(F701))&amp;"-"&amp;IF(LEN(DAY(F701))=1,"0"&amp;DAY(F701),DAY(F701))</f>
        <v>392-2024-12-31</v>
      </c>
    </row>
    <row r="702" spans="1:18" x14ac:dyDescent="0.3">
      <c r="A702" s="5">
        <v>393</v>
      </c>
      <c r="B702" s="5" t="s">
        <v>283</v>
      </c>
      <c r="C702" s="5" t="s">
        <v>281</v>
      </c>
      <c r="D702" s="5" t="s">
        <v>25</v>
      </c>
      <c r="E702" s="5" t="s">
        <v>14</v>
      </c>
      <c r="F702" s="6">
        <v>45657</v>
      </c>
      <c r="G702" s="5">
        <f t="shared" si="99"/>
        <v>2024</v>
      </c>
      <c r="H702" s="5" t="str">
        <f t="shared" si="105"/>
        <v>Diciembre</v>
      </c>
      <c r="I702" s="6" t="str">
        <f t="shared" si="106"/>
        <v>2024-2</v>
      </c>
      <c r="J702" s="5">
        <v>15</v>
      </c>
      <c r="K702" s="5">
        <v>13</v>
      </c>
      <c r="L702" s="15">
        <f t="shared" si="104"/>
        <v>0.8666666666666667</v>
      </c>
      <c r="M702" s="15">
        <f t="shared" si="103"/>
        <v>0.8666666666666667</v>
      </c>
      <c r="N702" s="5" t="s">
        <v>490</v>
      </c>
      <c r="O702" s="5" t="s">
        <v>478</v>
      </c>
      <c r="P702" s="5">
        <v>1</v>
      </c>
      <c r="Q702" s="5">
        <v>1</v>
      </c>
      <c r="R702" s="5" t="str">
        <f>A702&amp;"-"&amp;YEAR(F702)&amp;"-"&amp;IF(LEN(MONTH(F702))=1,"0"&amp;MONTH(F702),MONTH(F702))&amp;"-"&amp;IF(LEN(DAY(F702))=1,"0"&amp;DAY(F702),DAY(F702))</f>
        <v>393-2024-12-31</v>
      </c>
    </row>
    <row r="703" spans="1:18" x14ac:dyDescent="0.3">
      <c r="A703" s="5">
        <v>394</v>
      </c>
      <c r="B703" s="5" t="s">
        <v>284</v>
      </c>
      <c r="C703" s="5" t="s">
        <v>285</v>
      </c>
      <c r="D703" s="5" t="s">
        <v>8</v>
      </c>
      <c r="E703" s="5" t="s">
        <v>9</v>
      </c>
      <c r="F703" s="6">
        <v>45657</v>
      </c>
      <c r="G703" s="5">
        <f t="shared" si="99"/>
        <v>2024</v>
      </c>
      <c r="H703" s="5" t="str">
        <f t="shared" si="105"/>
        <v>Diciembre</v>
      </c>
      <c r="I703" s="6" t="str">
        <f t="shared" si="106"/>
        <v>2024-2</v>
      </c>
      <c r="J703" s="5">
        <v>1000</v>
      </c>
      <c r="K703" s="5">
        <v>1553</v>
      </c>
      <c r="L703" s="15">
        <f t="shared" si="104"/>
        <v>1.3</v>
      </c>
      <c r="M703" s="15">
        <f t="shared" si="103"/>
        <v>1.5529999999999999</v>
      </c>
      <c r="N703" s="5" t="s">
        <v>490</v>
      </c>
      <c r="O703" s="5" t="s">
        <v>490</v>
      </c>
      <c r="P703" s="5">
        <v>0</v>
      </c>
      <c r="Q703" s="5">
        <v>0</v>
      </c>
      <c r="R703" s="5" t="str">
        <f>A703&amp;"-"&amp;YEAR(F703)&amp;"-"&amp;IF(LEN(MONTH(F703))=1,"0"&amp;MONTH(F703),MONTH(F703))&amp;"-"&amp;IF(LEN(DAY(F703))=1,"0"&amp;DAY(F703),DAY(F703))</f>
        <v>394-2024-12-31</v>
      </c>
    </row>
    <row r="704" spans="1:18" x14ac:dyDescent="0.3">
      <c r="A704" s="5">
        <v>395</v>
      </c>
      <c r="B704" s="5" t="s">
        <v>505</v>
      </c>
      <c r="C704" s="5" t="s">
        <v>285</v>
      </c>
      <c r="D704" s="5" t="s">
        <v>8</v>
      </c>
      <c r="E704" s="5" t="s">
        <v>9</v>
      </c>
      <c r="F704" s="6">
        <v>45657</v>
      </c>
      <c r="G704" s="5">
        <f t="shared" si="99"/>
        <v>2024</v>
      </c>
      <c r="H704" s="5" t="str">
        <f t="shared" si="105"/>
        <v>Diciembre</v>
      </c>
      <c r="I704" s="6" t="str">
        <f t="shared" si="106"/>
        <v>2024-2</v>
      </c>
      <c r="J704" s="5">
        <v>180</v>
      </c>
      <c r="K704" s="5">
        <v>233</v>
      </c>
      <c r="L704" s="15">
        <f t="shared" si="104"/>
        <v>1.2944444444444445</v>
      </c>
      <c r="M704" s="15">
        <f t="shared" si="103"/>
        <v>1.2944444444444445</v>
      </c>
      <c r="N704" s="5" t="s">
        <v>490</v>
      </c>
      <c r="O704" s="5" t="s">
        <v>490</v>
      </c>
      <c r="P704" s="5">
        <v>0</v>
      </c>
      <c r="Q704" s="5">
        <v>0</v>
      </c>
      <c r="R704" s="5" t="str">
        <f>A704&amp;"-"&amp;YEAR(F704)&amp;"-"&amp;IF(LEN(MONTH(F704))=1,"0"&amp;MONTH(F704),MONTH(F704))&amp;"-"&amp;IF(LEN(DAY(F704))=1,"0"&amp;DAY(F704),DAY(F704))</f>
        <v>395-2024-12-31</v>
      </c>
    </row>
    <row r="705" spans="1:18" x14ac:dyDescent="0.3">
      <c r="A705" s="5">
        <v>397</v>
      </c>
      <c r="B705" s="5" t="s">
        <v>288</v>
      </c>
      <c r="C705" s="5" t="s">
        <v>506</v>
      </c>
      <c r="D705" s="5" t="s">
        <v>8</v>
      </c>
      <c r="E705" s="5" t="s">
        <v>9</v>
      </c>
      <c r="F705" s="6">
        <v>45657</v>
      </c>
      <c r="G705" s="5">
        <f t="shared" ref="G705:G768" si="107">YEAR(F705)</f>
        <v>2024</v>
      </c>
      <c r="H705" s="5" t="str">
        <f t="shared" si="105"/>
        <v>Diciembre</v>
      </c>
      <c r="I705" s="6" t="str">
        <f t="shared" si="106"/>
        <v>2024-2</v>
      </c>
      <c r="J705" s="5">
        <v>80</v>
      </c>
      <c r="K705" s="5">
        <v>91.48</v>
      </c>
      <c r="L705" s="15">
        <f t="shared" si="104"/>
        <v>1.1435</v>
      </c>
      <c r="M705" s="15">
        <f t="shared" si="103"/>
        <v>1.1435</v>
      </c>
      <c r="N705" s="5" t="s">
        <v>347</v>
      </c>
      <c r="O705" s="5" t="s">
        <v>347</v>
      </c>
      <c r="P705" s="5">
        <v>0</v>
      </c>
      <c r="Q705" s="5">
        <v>1</v>
      </c>
      <c r="R705" s="5" t="str">
        <f>A705&amp;"-"&amp;YEAR(F705)&amp;"-"&amp;IF(LEN(MONTH(F705))=1,"0"&amp;MONTH(F705),MONTH(F705))&amp;"-"&amp;IF(LEN(DAY(F705))=1,"0"&amp;DAY(F705),DAY(F705))</f>
        <v>397-2024-12-31</v>
      </c>
    </row>
    <row r="706" spans="1:18" x14ac:dyDescent="0.3">
      <c r="A706" s="5">
        <v>398</v>
      </c>
      <c r="B706" s="5" t="s">
        <v>289</v>
      </c>
      <c r="C706" s="5" t="s">
        <v>290</v>
      </c>
      <c r="D706" s="5" t="s">
        <v>8</v>
      </c>
      <c r="E706" s="5" t="s">
        <v>9</v>
      </c>
      <c r="F706" s="6">
        <v>45657</v>
      </c>
      <c r="G706" s="5">
        <f t="shared" si="107"/>
        <v>2024</v>
      </c>
      <c r="H706" s="5" t="str">
        <f t="shared" si="105"/>
        <v>Diciembre</v>
      </c>
      <c r="I706" s="6" t="str">
        <f t="shared" si="106"/>
        <v>2024-2</v>
      </c>
      <c r="J706" s="5">
        <v>2500</v>
      </c>
      <c r="K706" s="5">
        <v>5478</v>
      </c>
      <c r="L706" s="15">
        <f t="shared" si="104"/>
        <v>1.3</v>
      </c>
      <c r="M706" s="15">
        <f t="shared" si="103"/>
        <v>2.1911999999999998</v>
      </c>
      <c r="N706" s="5" t="s">
        <v>490</v>
      </c>
      <c r="O706" s="5" t="s">
        <v>490</v>
      </c>
      <c r="P706" s="5">
        <v>0</v>
      </c>
      <c r="Q706" s="5">
        <v>0</v>
      </c>
      <c r="R706" s="5" t="str">
        <f>A706&amp;"-"&amp;YEAR(F706)&amp;"-"&amp;IF(LEN(MONTH(F706))=1,"0"&amp;MONTH(F706),MONTH(F706))&amp;"-"&amp;IF(LEN(DAY(F706))=1,"0"&amp;DAY(F706),DAY(F706))</f>
        <v>398-2024-12-31</v>
      </c>
    </row>
    <row r="707" spans="1:18" x14ac:dyDescent="0.3">
      <c r="A707" s="5">
        <v>399</v>
      </c>
      <c r="B707" s="5" t="s">
        <v>507</v>
      </c>
      <c r="C707" s="5" t="s">
        <v>290</v>
      </c>
      <c r="D707" s="5" t="s">
        <v>8</v>
      </c>
      <c r="E707" s="5" t="s">
        <v>9</v>
      </c>
      <c r="F707" s="6">
        <v>45657</v>
      </c>
      <c r="G707" s="5">
        <f t="shared" si="107"/>
        <v>2024</v>
      </c>
      <c r="H707" s="5" t="str">
        <f t="shared" si="105"/>
        <v>Diciembre</v>
      </c>
      <c r="I707" s="6" t="str">
        <f t="shared" si="106"/>
        <v>2024-2</v>
      </c>
      <c r="J707" s="5">
        <v>1250</v>
      </c>
      <c r="K707" s="5">
        <v>1392</v>
      </c>
      <c r="L707" s="15">
        <f t="shared" si="104"/>
        <v>1.1135999999999999</v>
      </c>
      <c r="M707" s="15">
        <f t="shared" si="103"/>
        <v>1.1135999999999999</v>
      </c>
      <c r="N707" s="5" t="s">
        <v>490</v>
      </c>
      <c r="O707" s="5" t="s">
        <v>490</v>
      </c>
      <c r="P707" s="5">
        <v>0</v>
      </c>
      <c r="Q707" s="5">
        <v>0</v>
      </c>
      <c r="R707" s="5" t="str">
        <f>A707&amp;"-"&amp;YEAR(F707)&amp;"-"&amp;IF(LEN(MONTH(F707))=1,"0"&amp;MONTH(F707),MONTH(F707))&amp;"-"&amp;IF(LEN(DAY(F707))=1,"0"&amp;DAY(F707),DAY(F707))</f>
        <v>399-2024-12-31</v>
      </c>
    </row>
    <row r="708" spans="1:18" x14ac:dyDescent="0.3">
      <c r="A708" s="5">
        <v>400</v>
      </c>
      <c r="B708" s="5" t="s">
        <v>292</v>
      </c>
      <c r="C708" s="5" t="s">
        <v>290</v>
      </c>
      <c r="D708" s="5" t="s">
        <v>8</v>
      </c>
      <c r="E708" s="5" t="s">
        <v>9</v>
      </c>
      <c r="F708" s="6">
        <v>45657</v>
      </c>
      <c r="G708" s="5">
        <f t="shared" si="107"/>
        <v>2024</v>
      </c>
      <c r="H708" s="5" t="str">
        <f t="shared" si="105"/>
        <v>Diciembre</v>
      </c>
      <c r="I708" s="6" t="str">
        <f t="shared" si="106"/>
        <v>2024-2</v>
      </c>
      <c r="J708" s="5">
        <v>100</v>
      </c>
      <c r="K708" s="10">
        <v>123</v>
      </c>
      <c r="L708" s="15">
        <f t="shared" si="104"/>
        <v>1.23</v>
      </c>
      <c r="M708" s="15">
        <f t="shared" si="103"/>
        <v>1.23</v>
      </c>
      <c r="N708" s="5" t="s">
        <v>490</v>
      </c>
      <c r="O708" s="5" t="s">
        <v>490</v>
      </c>
      <c r="P708" s="5">
        <v>0</v>
      </c>
      <c r="Q708" s="5">
        <v>0</v>
      </c>
      <c r="R708" s="5" t="str">
        <f>A708&amp;"-"&amp;YEAR(F708)&amp;"-"&amp;IF(LEN(MONTH(F708))=1,"0"&amp;MONTH(F708),MONTH(F708))&amp;"-"&amp;IF(LEN(DAY(F708))=1,"0"&amp;DAY(F708),DAY(F708))</f>
        <v>400-2024-12-31</v>
      </c>
    </row>
    <row r="709" spans="1:18" x14ac:dyDescent="0.3">
      <c r="A709" s="5">
        <v>401</v>
      </c>
      <c r="B709" s="5" t="s">
        <v>293</v>
      </c>
      <c r="C709" s="5" t="s">
        <v>294</v>
      </c>
      <c r="D709" s="5" t="s">
        <v>8</v>
      </c>
      <c r="E709" s="5" t="s">
        <v>9</v>
      </c>
      <c r="F709" s="6">
        <v>45657</v>
      </c>
      <c r="G709" s="5">
        <f t="shared" si="107"/>
        <v>2024</v>
      </c>
      <c r="H709" s="5" t="str">
        <f t="shared" si="105"/>
        <v>Diciembre</v>
      </c>
      <c r="I709" s="6" t="str">
        <f t="shared" si="106"/>
        <v>2024-2</v>
      </c>
      <c r="J709" s="5">
        <v>16</v>
      </c>
      <c r="K709" s="5">
        <v>17</v>
      </c>
      <c r="L709" s="15">
        <f t="shared" si="104"/>
        <v>1.0625</v>
      </c>
      <c r="M709" s="15">
        <f t="shared" si="103"/>
        <v>1.0625</v>
      </c>
      <c r="N709" s="5" t="s">
        <v>490</v>
      </c>
      <c r="O709" s="5" t="s">
        <v>490</v>
      </c>
      <c r="P709" s="5">
        <v>0</v>
      </c>
      <c r="Q709" s="5">
        <v>0</v>
      </c>
      <c r="R709" s="5" t="str">
        <f>A709&amp;"-"&amp;YEAR(F709)&amp;"-"&amp;IF(LEN(MONTH(F709))=1,"0"&amp;MONTH(F709),MONTH(F709))&amp;"-"&amp;IF(LEN(DAY(F709))=1,"0"&amp;DAY(F709),DAY(F709))</f>
        <v>401-2024-12-31</v>
      </c>
    </row>
    <row r="710" spans="1:18" x14ac:dyDescent="0.3">
      <c r="A710" s="5">
        <v>402</v>
      </c>
      <c r="B710" s="5" t="s">
        <v>295</v>
      </c>
      <c r="C710" s="5" t="s">
        <v>294</v>
      </c>
      <c r="D710" s="5" t="s">
        <v>25</v>
      </c>
      <c r="E710" s="5" t="s">
        <v>9</v>
      </c>
      <c r="F710" s="6">
        <v>45657</v>
      </c>
      <c r="G710" s="5">
        <f t="shared" si="107"/>
        <v>2024</v>
      </c>
      <c r="H710" s="5" t="str">
        <f t="shared" si="105"/>
        <v>Diciembre</v>
      </c>
      <c r="I710" s="6" t="str">
        <f t="shared" si="106"/>
        <v>2024-2</v>
      </c>
      <c r="J710" s="5">
        <v>3</v>
      </c>
      <c r="K710" s="5">
        <v>4.76</v>
      </c>
      <c r="L710" s="15">
        <f t="shared" si="104"/>
        <v>1.3</v>
      </c>
      <c r="M710" s="15">
        <f t="shared" si="103"/>
        <v>1.5866666666666667</v>
      </c>
      <c r="N710" s="5" t="s">
        <v>490</v>
      </c>
      <c r="O710" s="5" t="s">
        <v>490</v>
      </c>
      <c r="P710" s="5">
        <v>0</v>
      </c>
      <c r="Q710" s="5">
        <v>0</v>
      </c>
      <c r="R710" s="5" t="str">
        <f>A710&amp;"-"&amp;YEAR(F710)&amp;"-"&amp;IF(LEN(MONTH(F710))=1,"0"&amp;MONTH(F710),MONTH(F710))&amp;"-"&amp;IF(LEN(DAY(F710))=1,"0"&amp;DAY(F710),DAY(F710))</f>
        <v>402-2024-12-31</v>
      </c>
    </row>
    <row r="711" spans="1:18" x14ac:dyDescent="0.3">
      <c r="A711" s="5">
        <v>403</v>
      </c>
      <c r="B711" s="5" t="s">
        <v>296</v>
      </c>
      <c r="C711" s="5" t="s">
        <v>294</v>
      </c>
      <c r="D711" s="5" t="s">
        <v>8</v>
      </c>
      <c r="E711" s="5" t="s">
        <v>9</v>
      </c>
      <c r="F711" s="6">
        <v>45657</v>
      </c>
      <c r="G711" s="5">
        <f t="shared" si="107"/>
        <v>2024</v>
      </c>
      <c r="H711" s="5" t="str">
        <f t="shared" si="105"/>
        <v>Diciembre</v>
      </c>
      <c r="I711" s="6" t="str">
        <f t="shared" si="106"/>
        <v>2024-2</v>
      </c>
      <c r="J711" s="5"/>
      <c r="K711" s="5">
        <v>29418</v>
      </c>
      <c r="L711" s="15" t="str">
        <f t="shared" si="104"/>
        <v/>
      </c>
      <c r="M711" s="15" t="str">
        <f t="shared" si="103"/>
        <v/>
      </c>
      <c r="N711" s="5" t="s">
        <v>728</v>
      </c>
      <c r="O711" s="5" t="s">
        <v>490</v>
      </c>
      <c r="P711" s="5">
        <v>0</v>
      </c>
      <c r="Q711" s="5">
        <v>0</v>
      </c>
      <c r="R711" s="5" t="str">
        <f>A711&amp;"-"&amp;YEAR(F711)&amp;"-"&amp;IF(LEN(MONTH(F711))=1,"0"&amp;MONTH(F711),MONTH(F711))&amp;"-"&amp;IF(LEN(DAY(F711))=1,"0"&amp;DAY(F711),DAY(F711))</f>
        <v>403-2024-12-31</v>
      </c>
    </row>
    <row r="712" spans="1:18" x14ac:dyDescent="0.3">
      <c r="A712" s="5">
        <v>404</v>
      </c>
      <c r="B712" s="5" t="s">
        <v>297</v>
      </c>
      <c r="C712" s="5" t="s">
        <v>294</v>
      </c>
      <c r="D712" s="5" t="s">
        <v>8</v>
      </c>
      <c r="E712" s="5" t="s">
        <v>14</v>
      </c>
      <c r="F712" s="6">
        <v>45657</v>
      </c>
      <c r="G712" s="5">
        <f t="shared" si="107"/>
        <v>2024</v>
      </c>
      <c r="H712" s="5" t="str">
        <f t="shared" si="105"/>
        <v>Diciembre</v>
      </c>
      <c r="I712" s="6" t="str">
        <f t="shared" si="106"/>
        <v>2024-2</v>
      </c>
      <c r="J712" s="5">
        <v>10</v>
      </c>
      <c r="K712" s="5">
        <v>6.02</v>
      </c>
      <c r="L712" s="15">
        <f t="shared" si="104"/>
        <v>0.60199999999999998</v>
      </c>
      <c r="M712" s="15">
        <f t="shared" si="103"/>
        <v>0.60199999999999998</v>
      </c>
      <c r="N712" s="5" t="s">
        <v>347</v>
      </c>
      <c r="O712" s="5" t="s">
        <v>347</v>
      </c>
      <c r="P712" s="5">
        <v>0</v>
      </c>
      <c r="Q712" s="5">
        <v>0</v>
      </c>
      <c r="R712" s="5" t="str">
        <f>A712&amp;"-"&amp;YEAR(F712)&amp;"-"&amp;IF(LEN(MONTH(F712))=1,"0"&amp;MONTH(F712),MONTH(F712))&amp;"-"&amp;IF(LEN(DAY(F712))=1,"0"&amp;DAY(F712),DAY(F712))</f>
        <v>404-2024-12-31</v>
      </c>
    </row>
    <row r="713" spans="1:18" x14ac:dyDescent="0.3">
      <c r="A713" s="5">
        <v>405</v>
      </c>
      <c r="B713" s="5" t="s">
        <v>298</v>
      </c>
      <c r="C713" s="5" t="s">
        <v>294</v>
      </c>
      <c r="D713" s="5" t="s">
        <v>8</v>
      </c>
      <c r="E713" s="5" t="s">
        <v>9</v>
      </c>
      <c r="F713" s="6">
        <v>45657</v>
      </c>
      <c r="G713" s="5">
        <f t="shared" si="107"/>
        <v>2024</v>
      </c>
      <c r="H713" s="5" t="str">
        <f t="shared" si="105"/>
        <v>Diciembre</v>
      </c>
      <c r="I713" s="6" t="str">
        <f t="shared" si="106"/>
        <v>2024-2</v>
      </c>
      <c r="J713" s="5">
        <v>100</v>
      </c>
      <c r="K713" s="5">
        <v>98</v>
      </c>
      <c r="L713" s="15">
        <f t="shared" si="104"/>
        <v>0.98</v>
      </c>
      <c r="M713" s="15">
        <f t="shared" si="103"/>
        <v>0.98</v>
      </c>
      <c r="N713" s="5" t="s">
        <v>347</v>
      </c>
      <c r="O713" s="5" t="s">
        <v>347</v>
      </c>
      <c r="P713" s="5">
        <v>0</v>
      </c>
      <c r="Q713" s="5">
        <v>0</v>
      </c>
      <c r="R713" s="5" t="str">
        <f>A713&amp;"-"&amp;YEAR(F713)&amp;"-"&amp;IF(LEN(MONTH(F713))=1,"0"&amp;MONTH(F713),MONTH(F713))&amp;"-"&amp;IF(LEN(DAY(F713))=1,"0"&amp;DAY(F713),DAY(F713))</f>
        <v>405-2024-12-31</v>
      </c>
    </row>
    <row r="714" spans="1:18" x14ac:dyDescent="0.3">
      <c r="A714" s="5">
        <v>406</v>
      </c>
      <c r="B714" s="5" t="s">
        <v>299</v>
      </c>
      <c r="C714" s="5" t="s">
        <v>158</v>
      </c>
      <c r="D714" s="5" t="s">
        <v>8</v>
      </c>
      <c r="E714" s="5" t="s">
        <v>9</v>
      </c>
      <c r="F714" s="6">
        <v>45657</v>
      </c>
      <c r="G714" s="5">
        <f t="shared" si="107"/>
        <v>2024</v>
      </c>
      <c r="H714" s="5" t="str">
        <f t="shared" si="105"/>
        <v>Diciembre</v>
      </c>
      <c r="I714" s="6" t="str">
        <f t="shared" si="106"/>
        <v>2024-2</v>
      </c>
      <c r="J714" s="5">
        <v>3</v>
      </c>
      <c r="K714" s="5">
        <v>3</v>
      </c>
      <c r="L714" s="15">
        <f t="shared" si="104"/>
        <v>1</v>
      </c>
      <c r="M714" s="15">
        <f t="shared" si="103"/>
        <v>1</v>
      </c>
      <c r="N714" s="5" t="s">
        <v>490</v>
      </c>
      <c r="O714" s="5" t="s">
        <v>490</v>
      </c>
      <c r="P714" s="5">
        <v>0</v>
      </c>
      <c r="Q714" s="5">
        <v>0</v>
      </c>
      <c r="R714" s="5" t="str">
        <f>A714&amp;"-"&amp;YEAR(F714)&amp;"-"&amp;IF(LEN(MONTH(F714))=1,"0"&amp;MONTH(F714),MONTH(F714))&amp;"-"&amp;IF(LEN(DAY(F714))=1,"0"&amp;DAY(F714),DAY(F714))</f>
        <v>406-2024-12-31</v>
      </c>
    </row>
    <row r="715" spans="1:18" x14ac:dyDescent="0.3">
      <c r="A715" s="5">
        <v>407</v>
      </c>
      <c r="B715" s="5" t="s">
        <v>300</v>
      </c>
      <c r="C715" s="5" t="s">
        <v>209</v>
      </c>
      <c r="D715" s="5" t="s">
        <v>8</v>
      </c>
      <c r="E715" s="5" t="s">
        <v>9</v>
      </c>
      <c r="F715" s="6">
        <v>45657</v>
      </c>
      <c r="G715" s="5">
        <f t="shared" si="107"/>
        <v>2024</v>
      </c>
      <c r="H715" s="5" t="str">
        <f t="shared" si="105"/>
        <v>Diciembre</v>
      </c>
      <c r="I715" s="6" t="str">
        <f t="shared" si="106"/>
        <v>2024-2</v>
      </c>
      <c r="J715" s="5"/>
      <c r="K715" s="5"/>
      <c r="L715" s="15" t="str">
        <f t="shared" si="104"/>
        <v/>
      </c>
      <c r="M715" s="15" t="str">
        <f t="shared" si="103"/>
        <v/>
      </c>
      <c r="N715" s="5" t="s">
        <v>488</v>
      </c>
      <c r="O715" s="5" t="s">
        <v>488</v>
      </c>
      <c r="P715" s="5">
        <v>0</v>
      </c>
      <c r="Q715" s="5">
        <v>0</v>
      </c>
      <c r="R715" s="5" t="str">
        <f>A715&amp;"-"&amp;YEAR(F715)&amp;"-"&amp;IF(LEN(MONTH(F715))=1,"0"&amp;MONTH(F715),MONTH(F715))&amp;"-"&amp;IF(LEN(DAY(F715))=1,"0"&amp;DAY(F715),DAY(F715))</f>
        <v>407-2024-12-31</v>
      </c>
    </row>
    <row r="716" spans="1:18" x14ac:dyDescent="0.3">
      <c r="A716" s="5">
        <v>408</v>
      </c>
      <c r="B716" s="5" t="s">
        <v>301</v>
      </c>
      <c r="C716" s="5" t="s">
        <v>209</v>
      </c>
      <c r="D716" s="5" t="s">
        <v>8</v>
      </c>
      <c r="E716" s="5" t="s">
        <v>9</v>
      </c>
      <c r="F716" s="6">
        <v>45657</v>
      </c>
      <c r="G716" s="5">
        <f t="shared" si="107"/>
        <v>2024</v>
      </c>
      <c r="H716" s="5" t="str">
        <f t="shared" si="105"/>
        <v>Diciembre</v>
      </c>
      <c r="I716" s="6" t="str">
        <f t="shared" si="106"/>
        <v>2024-2</v>
      </c>
      <c r="J716" s="5">
        <v>6</v>
      </c>
      <c r="K716" s="5">
        <v>6</v>
      </c>
      <c r="L716" s="15">
        <f t="shared" si="104"/>
        <v>1</v>
      </c>
      <c r="M716" s="15">
        <f t="shared" si="103"/>
        <v>1</v>
      </c>
      <c r="N716" s="5" t="s">
        <v>490</v>
      </c>
      <c r="O716" s="5" t="s">
        <v>490</v>
      </c>
      <c r="P716" s="5">
        <v>0</v>
      </c>
      <c r="Q716" s="5">
        <v>0</v>
      </c>
      <c r="R716" s="5" t="str">
        <f>A716&amp;"-"&amp;YEAR(F716)&amp;"-"&amp;IF(LEN(MONTH(F716))=1,"0"&amp;MONTH(F716),MONTH(F716))&amp;"-"&amp;IF(LEN(DAY(F716))=1,"0"&amp;DAY(F716),DAY(F716))</f>
        <v>408-2024-12-31</v>
      </c>
    </row>
    <row r="717" spans="1:18" x14ac:dyDescent="0.3">
      <c r="A717" s="5">
        <v>409</v>
      </c>
      <c r="B717" s="5" t="s">
        <v>302</v>
      </c>
      <c r="C717" s="5" t="s">
        <v>145</v>
      </c>
      <c r="D717" s="5" t="s">
        <v>11</v>
      </c>
      <c r="E717" s="5" t="s">
        <v>9</v>
      </c>
      <c r="F717" s="6">
        <v>45657</v>
      </c>
      <c r="G717" s="5">
        <f t="shared" si="107"/>
        <v>2024</v>
      </c>
      <c r="H717" s="5" t="str">
        <f t="shared" si="105"/>
        <v>Diciembre</v>
      </c>
      <c r="I717" s="6" t="str">
        <f t="shared" si="106"/>
        <v>2024-2</v>
      </c>
      <c r="J717" s="5">
        <v>95</v>
      </c>
      <c r="K717" s="5">
        <v>96.46</v>
      </c>
      <c r="L717" s="15">
        <f t="shared" si="104"/>
        <v>1.0153684210526315</v>
      </c>
      <c r="M717" s="15">
        <f t="shared" si="103"/>
        <v>1.0153684210526315</v>
      </c>
      <c r="N717" s="5" t="s">
        <v>347</v>
      </c>
      <c r="O717" s="5" t="s">
        <v>347</v>
      </c>
      <c r="P717" s="5">
        <v>0</v>
      </c>
      <c r="Q717" s="5">
        <v>0</v>
      </c>
      <c r="R717" s="5" t="str">
        <f>A717&amp;"-"&amp;YEAR(F717)&amp;"-"&amp;IF(LEN(MONTH(F717))=1,"0"&amp;MONTH(F717),MONTH(F717))&amp;"-"&amp;IF(LEN(DAY(F717))=1,"0"&amp;DAY(F717),DAY(F717))</f>
        <v>409-2024-12-31</v>
      </c>
    </row>
    <row r="718" spans="1:18" x14ac:dyDescent="0.3">
      <c r="A718" s="5">
        <v>412</v>
      </c>
      <c r="B718" s="5" t="s">
        <v>733</v>
      </c>
      <c r="C718" s="5" t="s">
        <v>285</v>
      </c>
      <c r="D718" s="5" t="s">
        <v>25</v>
      </c>
      <c r="E718" s="5" t="s">
        <v>9</v>
      </c>
      <c r="F718" s="6">
        <v>45657</v>
      </c>
      <c r="G718" s="5">
        <f t="shared" si="107"/>
        <v>2024</v>
      </c>
      <c r="H718" s="5" t="str">
        <f t="shared" si="105"/>
        <v>Diciembre</v>
      </c>
      <c r="I718" s="6" t="str">
        <f t="shared" si="106"/>
        <v>2024-2</v>
      </c>
      <c r="J718" s="5">
        <v>100</v>
      </c>
      <c r="K718" s="5">
        <v>100</v>
      </c>
      <c r="L718" s="15">
        <f t="shared" si="104"/>
        <v>1</v>
      </c>
      <c r="M718" s="15">
        <f t="shared" si="103"/>
        <v>1</v>
      </c>
      <c r="N718" s="5" t="s">
        <v>347</v>
      </c>
      <c r="O718" s="5" t="s">
        <v>347</v>
      </c>
      <c r="P718" s="5">
        <v>0</v>
      </c>
      <c r="Q718" s="5">
        <v>0</v>
      </c>
      <c r="R718" s="5" t="str">
        <f>A718&amp;"-"&amp;YEAR(F718)&amp;"-"&amp;IF(LEN(MONTH(F718))=1,"0"&amp;MONTH(F718),MONTH(F718))&amp;"-"&amp;IF(LEN(DAY(F718))=1,"0"&amp;DAY(F718),DAY(F718))</f>
        <v>412-2024-12-31</v>
      </c>
    </row>
    <row r="719" spans="1:18" x14ac:dyDescent="0.3">
      <c r="A719" s="5">
        <v>413</v>
      </c>
      <c r="B719" s="5" t="s">
        <v>734</v>
      </c>
      <c r="C719" s="5" t="s">
        <v>285</v>
      </c>
      <c r="D719" s="5" t="s">
        <v>25</v>
      </c>
      <c r="E719" s="5" t="s">
        <v>9</v>
      </c>
      <c r="F719" s="6">
        <v>45657</v>
      </c>
      <c r="G719" s="5">
        <f t="shared" si="107"/>
        <v>2024</v>
      </c>
      <c r="H719" s="5" t="str">
        <f t="shared" si="105"/>
        <v>Diciembre</v>
      </c>
      <c r="I719" s="6" t="str">
        <f t="shared" si="106"/>
        <v>2024-2</v>
      </c>
      <c r="J719" s="5">
        <v>100</v>
      </c>
      <c r="K719" s="5">
        <v>100</v>
      </c>
      <c r="L719" s="15">
        <f t="shared" si="104"/>
        <v>1</v>
      </c>
      <c r="M719" s="15">
        <f t="shared" si="103"/>
        <v>1</v>
      </c>
      <c r="N719" s="5" t="s">
        <v>477</v>
      </c>
      <c r="O719" s="5" t="s">
        <v>490</v>
      </c>
      <c r="P719" s="5">
        <v>0</v>
      </c>
      <c r="Q719" s="5">
        <v>0</v>
      </c>
      <c r="R719" s="5" t="str">
        <f>A719&amp;"-"&amp;YEAR(F719)&amp;"-"&amp;IF(LEN(MONTH(F719))=1,"0"&amp;MONTH(F719),MONTH(F719))&amp;"-"&amp;IF(LEN(DAY(F719))=1,"0"&amp;DAY(F719),DAY(F719))</f>
        <v>413-2024-12-31</v>
      </c>
    </row>
    <row r="720" spans="1:18" x14ac:dyDescent="0.3">
      <c r="A720" s="5">
        <v>414</v>
      </c>
      <c r="B720" s="5" t="s">
        <v>307</v>
      </c>
      <c r="C720" s="5" t="s">
        <v>131</v>
      </c>
      <c r="D720" s="5" t="s">
        <v>11</v>
      </c>
      <c r="E720" s="5" t="s">
        <v>9</v>
      </c>
      <c r="F720" s="6">
        <v>45657</v>
      </c>
      <c r="G720" s="5">
        <f t="shared" si="107"/>
        <v>2024</v>
      </c>
      <c r="H720" s="5" t="str">
        <f t="shared" si="105"/>
        <v>Diciembre</v>
      </c>
      <c r="I720" s="6" t="str">
        <f t="shared" si="106"/>
        <v>2024-2</v>
      </c>
      <c r="J720" s="5">
        <v>100</v>
      </c>
      <c r="K720" s="5"/>
      <c r="L720" s="15">
        <f t="shared" si="104"/>
        <v>0</v>
      </c>
      <c r="M720" s="15">
        <f t="shared" si="103"/>
        <v>0</v>
      </c>
      <c r="N720" s="5" t="s">
        <v>347</v>
      </c>
      <c r="O720" s="5" t="s">
        <v>347</v>
      </c>
      <c r="P720" s="5">
        <v>0</v>
      </c>
      <c r="Q720" s="5">
        <v>0</v>
      </c>
      <c r="R720" s="5" t="str">
        <f>A720&amp;"-"&amp;YEAR(F720)&amp;"-"&amp;IF(LEN(MONTH(F720))=1,"0"&amp;MONTH(F720),MONTH(F720))&amp;"-"&amp;IF(LEN(DAY(F720))=1,"0"&amp;DAY(F720),DAY(F720))</f>
        <v>414-2024-12-31</v>
      </c>
    </row>
    <row r="721" spans="1:18" x14ac:dyDescent="0.3">
      <c r="A721" s="5">
        <v>415</v>
      </c>
      <c r="B721" s="5" t="s">
        <v>308</v>
      </c>
      <c r="C721" s="5" t="s">
        <v>131</v>
      </c>
      <c r="D721" s="5" t="s">
        <v>11</v>
      </c>
      <c r="E721" s="5" t="s">
        <v>9</v>
      </c>
      <c r="F721" s="6">
        <v>45657</v>
      </c>
      <c r="G721" s="5">
        <f t="shared" si="107"/>
        <v>2024</v>
      </c>
      <c r="H721" s="5" t="str">
        <f t="shared" si="105"/>
        <v>Diciembre</v>
      </c>
      <c r="I721" s="6" t="str">
        <f t="shared" si="106"/>
        <v>2024-2</v>
      </c>
      <c r="J721" s="5">
        <v>100</v>
      </c>
      <c r="K721" s="5"/>
      <c r="L721" s="15">
        <f t="shared" si="104"/>
        <v>0</v>
      </c>
      <c r="M721" s="15">
        <f t="shared" si="103"/>
        <v>0</v>
      </c>
      <c r="N721" s="5" t="s">
        <v>347</v>
      </c>
      <c r="O721" s="5" t="s">
        <v>347</v>
      </c>
      <c r="P721" s="5">
        <v>0</v>
      </c>
      <c r="Q721" s="5">
        <v>0</v>
      </c>
      <c r="R721" s="5" t="str">
        <f>A721&amp;"-"&amp;YEAR(F721)&amp;"-"&amp;IF(LEN(MONTH(F721))=1,"0"&amp;MONTH(F721),MONTH(F721))&amp;"-"&amp;IF(LEN(DAY(F721))=1,"0"&amp;DAY(F721),DAY(F721))</f>
        <v>415-2024-12-31</v>
      </c>
    </row>
    <row r="722" spans="1:18" x14ac:dyDescent="0.3">
      <c r="A722" s="5">
        <v>416</v>
      </c>
      <c r="B722" s="5" t="s">
        <v>309</v>
      </c>
      <c r="C722" s="5" t="s">
        <v>131</v>
      </c>
      <c r="D722" s="5" t="s">
        <v>11</v>
      </c>
      <c r="E722" s="5" t="s">
        <v>9</v>
      </c>
      <c r="F722" s="6">
        <v>45657</v>
      </c>
      <c r="G722" s="5">
        <f t="shared" si="107"/>
        <v>2024</v>
      </c>
      <c r="H722" s="5" t="str">
        <f t="shared" si="105"/>
        <v>Diciembre</v>
      </c>
      <c r="I722" s="6" t="str">
        <f t="shared" si="106"/>
        <v>2024-2</v>
      </c>
      <c r="J722" s="5">
        <v>100</v>
      </c>
      <c r="K722" s="5"/>
      <c r="L722" s="15">
        <f t="shared" si="104"/>
        <v>0</v>
      </c>
      <c r="M722" s="15">
        <f t="shared" si="103"/>
        <v>0</v>
      </c>
      <c r="N722" s="5" t="s">
        <v>347</v>
      </c>
      <c r="O722" s="5" t="s">
        <v>347</v>
      </c>
      <c r="P722" s="5">
        <v>0</v>
      </c>
      <c r="Q722" s="5">
        <v>0</v>
      </c>
      <c r="R722" s="5" t="str">
        <f>A722&amp;"-"&amp;YEAR(F722)&amp;"-"&amp;IF(LEN(MONTH(F722))=1,"0"&amp;MONTH(F722),MONTH(F722))&amp;"-"&amp;IF(LEN(DAY(F722))=1,"0"&amp;DAY(F722),DAY(F722))</f>
        <v>416-2024-12-31</v>
      </c>
    </row>
    <row r="723" spans="1:18" x14ac:dyDescent="0.3">
      <c r="A723" s="5">
        <v>417</v>
      </c>
      <c r="B723" s="5" t="s">
        <v>310</v>
      </c>
      <c r="C723" s="5" t="s">
        <v>131</v>
      </c>
      <c r="D723" s="5" t="s">
        <v>11</v>
      </c>
      <c r="E723" s="5" t="s">
        <v>9</v>
      </c>
      <c r="F723" s="6">
        <v>45657</v>
      </c>
      <c r="G723" s="5">
        <f t="shared" si="107"/>
        <v>2024</v>
      </c>
      <c r="H723" s="5" t="str">
        <f t="shared" si="105"/>
        <v>Diciembre</v>
      </c>
      <c r="I723" s="6" t="str">
        <f t="shared" si="106"/>
        <v>2024-2</v>
      </c>
      <c r="J723" s="5">
        <v>100</v>
      </c>
      <c r="K723" s="5"/>
      <c r="L723" s="15">
        <f t="shared" si="104"/>
        <v>0</v>
      </c>
      <c r="M723" s="15">
        <f t="shared" si="103"/>
        <v>0</v>
      </c>
      <c r="N723" s="5" t="s">
        <v>347</v>
      </c>
      <c r="O723" s="5" t="s">
        <v>347</v>
      </c>
      <c r="P723" s="5">
        <v>0</v>
      </c>
      <c r="Q723" s="5">
        <v>0</v>
      </c>
      <c r="R723" s="5" t="str">
        <f>A723&amp;"-"&amp;YEAR(F723)&amp;"-"&amp;IF(LEN(MONTH(F723))=1,"0"&amp;MONTH(F723),MONTH(F723))&amp;"-"&amp;IF(LEN(DAY(F723))=1,"0"&amp;DAY(F723),DAY(F723))</f>
        <v>417-2024-12-31</v>
      </c>
    </row>
    <row r="724" spans="1:18" x14ac:dyDescent="0.3">
      <c r="A724" s="5">
        <v>418</v>
      </c>
      <c r="B724" s="5" t="s">
        <v>311</v>
      </c>
      <c r="C724" s="5" t="s">
        <v>131</v>
      </c>
      <c r="D724" s="5" t="s">
        <v>11</v>
      </c>
      <c r="E724" s="5" t="s">
        <v>9</v>
      </c>
      <c r="F724" s="6">
        <v>45657</v>
      </c>
      <c r="G724" s="5">
        <f t="shared" si="107"/>
        <v>2024</v>
      </c>
      <c r="H724" s="5" t="str">
        <f t="shared" si="105"/>
        <v>Diciembre</v>
      </c>
      <c r="I724" s="6" t="str">
        <f t="shared" si="106"/>
        <v>2024-2</v>
      </c>
      <c r="J724" s="5">
        <v>100</v>
      </c>
      <c r="K724" s="5"/>
      <c r="L724" s="15">
        <f t="shared" si="104"/>
        <v>0</v>
      </c>
      <c r="M724" s="15">
        <f t="shared" si="103"/>
        <v>0</v>
      </c>
      <c r="N724" s="5" t="s">
        <v>347</v>
      </c>
      <c r="O724" s="5" t="s">
        <v>347</v>
      </c>
      <c r="P724" s="5">
        <v>0</v>
      </c>
      <c r="Q724" s="5">
        <v>0</v>
      </c>
      <c r="R724" s="5" t="str">
        <f>A724&amp;"-"&amp;YEAR(F724)&amp;"-"&amp;IF(LEN(MONTH(F724))=1,"0"&amp;MONTH(F724),MONTH(F724))&amp;"-"&amp;IF(LEN(DAY(F724))=1,"0"&amp;DAY(F724),DAY(F724))</f>
        <v>418-2024-12-31</v>
      </c>
    </row>
    <row r="725" spans="1:18" x14ac:dyDescent="0.3">
      <c r="A725" s="5">
        <v>420</v>
      </c>
      <c r="B725" s="5" t="s">
        <v>313</v>
      </c>
      <c r="C725" s="5" t="s">
        <v>131</v>
      </c>
      <c r="D725" s="5" t="s">
        <v>11</v>
      </c>
      <c r="E725" s="5" t="s">
        <v>9</v>
      </c>
      <c r="F725" s="6">
        <v>45657</v>
      </c>
      <c r="G725" s="5">
        <f t="shared" si="107"/>
        <v>2024</v>
      </c>
      <c r="H725" s="5" t="str">
        <f t="shared" si="105"/>
        <v>Diciembre</v>
      </c>
      <c r="I725" s="6" t="str">
        <f t="shared" si="106"/>
        <v>2024-2</v>
      </c>
      <c r="J725" s="5">
        <v>100</v>
      </c>
      <c r="K725" s="5">
        <v>100</v>
      </c>
      <c r="L725" s="15">
        <f t="shared" si="104"/>
        <v>1</v>
      </c>
      <c r="M725" s="15">
        <f t="shared" si="103"/>
        <v>1</v>
      </c>
      <c r="N725" s="5" t="s">
        <v>347</v>
      </c>
      <c r="O725" s="5" t="s">
        <v>347</v>
      </c>
      <c r="P725" s="5">
        <v>0</v>
      </c>
      <c r="Q725" s="5">
        <v>0</v>
      </c>
      <c r="R725" s="5" t="str">
        <f>A725&amp;"-"&amp;YEAR(F725)&amp;"-"&amp;IF(LEN(MONTH(F725))=1,"0"&amp;MONTH(F725),MONTH(F725))&amp;"-"&amp;IF(LEN(DAY(F725))=1,"0"&amp;DAY(F725),DAY(F725))</f>
        <v>420-2024-12-31</v>
      </c>
    </row>
    <row r="726" spans="1:18" x14ac:dyDescent="0.3">
      <c r="A726" s="5">
        <v>421</v>
      </c>
      <c r="B726" s="5" t="s">
        <v>314</v>
      </c>
      <c r="C726" s="5" t="s">
        <v>315</v>
      </c>
      <c r="D726" s="5" t="s">
        <v>8</v>
      </c>
      <c r="E726" s="5" t="s">
        <v>9</v>
      </c>
      <c r="F726" s="6">
        <v>45657</v>
      </c>
      <c r="G726" s="5">
        <f t="shared" si="107"/>
        <v>2024</v>
      </c>
      <c r="H726" s="5" t="str">
        <f t="shared" si="105"/>
        <v>Diciembre</v>
      </c>
      <c r="I726" s="6" t="str">
        <f t="shared" si="106"/>
        <v>2024-2</v>
      </c>
      <c r="J726" s="5">
        <v>100</v>
      </c>
      <c r="K726" s="5">
        <v>121.44</v>
      </c>
      <c r="L726" s="15">
        <f t="shared" si="104"/>
        <v>1.2143999999999999</v>
      </c>
      <c r="M726" s="15">
        <f t="shared" si="103"/>
        <v>1.2143999999999999</v>
      </c>
      <c r="N726" s="5" t="s">
        <v>490</v>
      </c>
      <c r="O726" s="5" t="s">
        <v>490</v>
      </c>
      <c r="P726" s="5">
        <v>0</v>
      </c>
      <c r="Q726" s="5">
        <v>0</v>
      </c>
      <c r="R726" s="5" t="str">
        <f>A726&amp;"-"&amp;YEAR(F726)&amp;"-"&amp;IF(LEN(MONTH(F726))=1,"0"&amp;MONTH(F726),MONTH(F726))&amp;"-"&amp;IF(LEN(DAY(F726))=1,"0"&amp;DAY(F726),DAY(F726))</f>
        <v>421-2024-12-31</v>
      </c>
    </row>
    <row r="727" spans="1:18" x14ac:dyDescent="0.3">
      <c r="A727" s="5">
        <v>422</v>
      </c>
      <c r="B727" s="5" t="s">
        <v>316</v>
      </c>
      <c r="C727" s="5" t="s">
        <v>315</v>
      </c>
      <c r="D727" s="5" t="s">
        <v>8</v>
      </c>
      <c r="E727" s="5" t="s">
        <v>9</v>
      </c>
      <c r="F727" s="6">
        <v>45657</v>
      </c>
      <c r="G727" s="5">
        <f t="shared" si="107"/>
        <v>2024</v>
      </c>
      <c r="H727" s="5" t="str">
        <f t="shared" si="105"/>
        <v>Diciembre</v>
      </c>
      <c r="I727" s="6" t="str">
        <f t="shared" si="106"/>
        <v>2024-2</v>
      </c>
      <c r="J727" s="5">
        <v>8.01</v>
      </c>
      <c r="K727" s="5">
        <v>7.95</v>
      </c>
      <c r="L727" s="15">
        <f t="shared" si="104"/>
        <v>0.99250936329588024</v>
      </c>
      <c r="M727" s="15">
        <f t="shared" si="103"/>
        <v>0.99250936329588024</v>
      </c>
      <c r="N727" s="5" t="s">
        <v>347</v>
      </c>
      <c r="O727" s="5" t="s">
        <v>347</v>
      </c>
      <c r="P727" s="5">
        <v>2</v>
      </c>
      <c r="Q727" s="5">
        <v>2</v>
      </c>
      <c r="R727" s="5" t="str">
        <f>A727&amp;"-"&amp;YEAR(F727)&amp;"-"&amp;IF(LEN(MONTH(F727))=1,"0"&amp;MONTH(F727),MONTH(F727))&amp;"-"&amp;IF(LEN(DAY(F727))=1,"0"&amp;DAY(F727),DAY(F727))</f>
        <v>422-2024-12-31</v>
      </c>
    </row>
    <row r="728" spans="1:18" x14ac:dyDescent="0.3">
      <c r="A728" s="5">
        <v>423</v>
      </c>
      <c r="B728" s="5" t="s">
        <v>317</v>
      </c>
      <c r="C728" s="5" t="s">
        <v>315</v>
      </c>
      <c r="D728" s="5" t="s">
        <v>25</v>
      </c>
      <c r="E728" s="5" t="s">
        <v>9</v>
      </c>
      <c r="F728" s="6">
        <v>45657</v>
      </c>
      <c r="G728" s="5">
        <f t="shared" si="107"/>
        <v>2024</v>
      </c>
      <c r="H728" s="5" t="str">
        <f t="shared" si="105"/>
        <v>Diciembre</v>
      </c>
      <c r="I728" s="6" t="str">
        <f t="shared" si="106"/>
        <v>2024-2</v>
      </c>
      <c r="J728" s="5">
        <v>8.3000000000000007</v>
      </c>
      <c r="K728" s="5">
        <v>12.3</v>
      </c>
      <c r="L728" s="15">
        <f t="shared" si="104"/>
        <v>1.3</v>
      </c>
      <c r="M728" s="15">
        <f t="shared" si="103"/>
        <v>1.4819277108433735</v>
      </c>
      <c r="N728" s="5" t="s">
        <v>478</v>
      </c>
      <c r="O728" s="5" t="s">
        <v>478</v>
      </c>
      <c r="P728" s="5">
        <v>1</v>
      </c>
      <c r="Q728" s="5">
        <v>1</v>
      </c>
      <c r="R728" s="5" t="str">
        <f>A728&amp;"-"&amp;YEAR(F728)&amp;"-"&amp;IF(LEN(MONTH(F728))=1,"0"&amp;MONTH(F728),MONTH(F728))&amp;"-"&amp;IF(LEN(DAY(F728))=1,"0"&amp;DAY(F728),DAY(F728))</f>
        <v>423-2024-12-31</v>
      </c>
    </row>
    <row r="729" spans="1:18" x14ac:dyDescent="0.3">
      <c r="A729" s="5">
        <v>424</v>
      </c>
      <c r="B729" s="5" t="s">
        <v>433</v>
      </c>
      <c r="C729" s="5" t="s">
        <v>315</v>
      </c>
      <c r="D729" s="5" t="s">
        <v>25</v>
      </c>
      <c r="E729" s="5" t="s">
        <v>9</v>
      </c>
      <c r="F729" s="6">
        <v>45657</v>
      </c>
      <c r="G729" s="5">
        <f t="shared" si="107"/>
        <v>2024</v>
      </c>
      <c r="H729" s="5" t="str">
        <f t="shared" si="105"/>
        <v>Diciembre</v>
      </c>
      <c r="I729" s="6" t="str">
        <f t="shared" si="106"/>
        <v>2024-2</v>
      </c>
      <c r="J729" s="5">
        <v>7</v>
      </c>
      <c r="K729" s="5">
        <v>9</v>
      </c>
      <c r="L729" s="15">
        <f t="shared" si="104"/>
        <v>1.2857142857142858</v>
      </c>
      <c r="M729" s="15">
        <f t="shared" si="103"/>
        <v>1.2857142857142858</v>
      </c>
      <c r="N729" s="5" t="s">
        <v>490</v>
      </c>
      <c r="O729" s="5" t="s">
        <v>490</v>
      </c>
      <c r="P729" s="5">
        <v>0</v>
      </c>
      <c r="Q729" s="5">
        <v>0</v>
      </c>
      <c r="R729" s="5" t="str">
        <f>A729&amp;"-"&amp;YEAR(F729)&amp;"-"&amp;IF(LEN(MONTH(F729))=1,"0"&amp;MONTH(F729),MONTH(F729))&amp;"-"&amp;IF(LEN(DAY(F729))=1,"0"&amp;DAY(F729),DAY(F729))</f>
        <v>424-2024-12-31</v>
      </c>
    </row>
    <row r="730" spans="1:18" x14ac:dyDescent="0.3">
      <c r="A730" s="5">
        <v>425</v>
      </c>
      <c r="B730" s="5" t="s">
        <v>318</v>
      </c>
      <c r="C730" s="5" t="s">
        <v>274</v>
      </c>
      <c r="D730" s="5" t="s">
        <v>8</v>
      </c>
      <c r="E730" s="5" t="s">
        <v>9</v>
      </c>
      <c r="F730" s="6">
        <v>45657</v>
      </c>
      <c r="G730" s="5">
        <f t="shared" si="107"/>
        <v>2024</v>
      </c>
      <c r="H730" s="5" t="str">
        <f t="shared" si="105"/>
        <v>Diciembre</v>
      </c>
      <c r="I730" s="6" t="str">
        <f t="shared" si="106"/>
        <v>2024-2</v>
      </c>
      <c r="J730" s="5">
        <v>100</v>
      </c>
      <c r="K730" s="5">
        <v>164.69</v>
      </c>
      <c r="L730" s="15">
        <f t="shared" si="104"/>
        <v>1.3</v>
      </c>
      <c r="M730" s="15">
        <f t="shared" si="103"/>
        <v>1.6469</v>
      </c>
      <c r="N730" s="5" t="s">
        <v>490</v>
      </c>
      <c r="O730" s="5" t="s">
        <v>490</v>
      </c>
      <c r="P730" s="5">
        <v>0</v>
      </c>
      <c r="Q730" s="5">
        <v>0</v>
      </c>
      <c r="R730" s="5" t="str">
        <f>A730&amp;"-"&amp;YEAR(F730)&amp;"-"&amp;IF(LEN(MONTH(F730))=1,"0"&amp;MONTH(F730),MONTH(F730))&amp;"-"&amp;IF(LEN(DAY(F730))=1,"0"&amp;DAY(F730),DAY(F730))</f>
        <v>425-2024-12-31</v>
      </c>
    </row>
    <row r="731" spans="1:18" x14ac:dyDescent="0.3">
      <c r="A731" s="5">
        <v>426</v>
      </c>
      <c r="B731" s="5" t="s">
        <v>319</v>
      </c>
      <c r="C731" s="5" t="s">
        <v>320</v>
      </c>
      <c r="D731" s="5" t="s">
        <v>8</v>
      </c>
      <c r="E731" s="5" t="s">
        <v>9</v>
      </c>
      <c r="F731" s="6">
        <v>45657</v>
      </c>
      <c r="G731" s="5">
        <f t="shared" si="107"/>
        <v>2024</v>
      </c>
      <c r="H731" s="5" t="str">
        <f t="shared" si="105"/>
        <v>Diciembre</v>
      </c>
      <c r="I731" s="6" t="str">
        <f t="shared" si="106"/>
        <v>2024-2</v>
      </c>
      <c r="J731" s="5">
        <v>80</v>
      </c>
      <c r="K731" s="5">
        <v>75.62</v>
      </c>
      <c r="L731" s="15">
        <f t="shared" si="104"/>
        <v>0.94525000000000003</v>
      </c>
      <c r="M731" s="15">
        <f t="shared" si="103"/>
        <v>0.94525000000000003</v>
      </c>
      <c r="N731" s="5" t="s">
        <v>477</v>
      </c>
      <c r="O731" s="5" t="s">
        <v>347</v>
      </c>
      <c r="P731" s="5">
        <v>0</v>
      </c>
      <c r="Q731" s="5">
        <v>1</v>
      </c>
      <c r="R731" s="5" t="str">
        <f>A731&amp;"-"&amp;YEAR(F731)&amp;"-"&amp;IF(LEN(MONTH(F731))=1,"0"&amp;MONTH(F731),MONTH(F731))&amp;"-"&amp;IF(LEN(DAY(F731))=1,"0"&amp;DAY(F731),DAY(F731))</f>
        <v>426-2024-12-31</v>
      </c>
    </row>
    <row r="732" spans="1:18" x14ac:dyDescent="0.3">
      <c r="A732" s="5">
        <v>427</v>
      </c>
      <c r="B732" s="5" t="s">
        <v>321</v>
      </c>
      <c r="C732" s="5" t="s">
        <v>90</v>
      </c>
      <c r="D732" s="5" t="s">
        <v>8</v>
      </c>
      <c r="E732" s="5" t="s">
        <v>14</v>
      </c>
      <c r="F732" s="6">
        <v>45657</v>
      </c>
      <c r="G732" s="5">
        <f t="shared" si="107"/>
        <v>2024</v>
      </c>
      <c r="H732" s="5" t="str">
        <f t="shared" si="105"/>
        <v>Diciembre</v>
      </c>
      <c r="I732" s="6" t="str">
        <f t="shared" si="106"/>
        <v>2024-2</v>
      </c>
      <c r="J732" s="5">
        <v>0.2</v>
      </c>
      <c r="K732" s="5">
        <v>0.2</v>
      </c>
      <c r="L732" s="15">
        <f>IFERROR(IF((J732/K732)&gt;1,1,J732/K732),"")</f>
        <v>1</v>
      </c>
      <c r="M732" s="15">
        <f>IFERROR(IF((J732/K732)&gt;1,1,J732/K732),"")</f>
        <v>1</v>
      </c>
      <c r="N732" s="5" t="s">
        <v>478</v>
      </c>
      <c r="O732" s="5" t="s">
        <v>478</v>
      </c>
      <c r="P732" s="5">
        <v>1</v>
      </c>
      <c r="Q732" s="5">
        <v>2</v>
      </c>
      <c r="R732" s="5" t="str">
        <f>A732&amp;"-"&amp;YEAR(F732)&amp;"-"&amp;IF(LEN(MONTH(F732))=1,"0"&amp;MONTH(F732),MONTH(F732))&amp;"-"&amp;IF(LEN(DAY(F732))=1,"0"&amp;DAY(F732),DAY(F732))</f>
        <v>427-2024-12-31</v>
      </c>
    </row>
    <row r="733" spans="1:18" x14ac:dyDescent="0.3">
      <c r="A733" s="5">
        <v>428</v>
      </c>
      <c r="B733" s="5" t="s">
        <v>322</v>
      </c>
      <c r="C733" s="5" t="s">
        <v>90</v>
      </c>
      <c r="D733" s="5" t="s">
        <v>8</v>
      </c>
      <c r="E733" s="5" t="s">
        <v>14</v>
      </c>
      <c r="F733" s="6">
        <v>45657</v>
      </c>
      <c r="G733" s="5">
        <f t="shared" si="107"/>
        <v>2024</v>
      </c>
      <c r="H733" s="5" t="str">
        <f t="shared" si="105"/>
        <v>Diciembre</v>
      </c>
      <c r="I733" s="6" t="str">
        <f t="shared" si="106"/>
        <v>2024-2</v>
      </c>
      <c r="J733" s="5">
        <v>20</v>
      </c>
      <c r="K733" s="5">
        <v>18.13</v>
      </c>
      <c r="L733" s="15">
        <f>IFERROR(IF((J733/K733)&gt;1,1,J733/K733),"")</f>
        <v>1</v>
      </c>
      <c r="M733" s="15">
        <f>IFERROR(IF((J733/K733)&gt;1,1,J733/K733),"")</f>
        <v>1</v>
      </c>
      <c r="N733" s="5" t="s">
        <v>362</v>
      </c>
      <c r="O733" s="5" t="s">
        <v>362</v>
      </c>
      <c r="P733" s="5">
        <v>0</v>
      </c>
      <c r="Q733" s="5">
        <v>1</v>
      </c>
      <c r="R733" s="5" t="str">
        <f>A733&amp;"-"&amp;YEAR(F733)&amp;"-"&amp;IF(LEN(MONTH(F733))=1,"0"&amp;MONTH(F733),MONTH(F733))&amp;"-"&amp;IF(LEN(DAY(F733))=1,"0"&amp;DAY(F733),DAY(F733))</f>
        <v>428-2024-12-31</v>
      </c>
    </row>
    <row r="734" spans="1:18" x14ac:dyDescent="0.3">
      <c r="A734" s="5">
        <v>429</v>
      </c>
      <c r="B734" s="5" t="s">
        <v>323</v>
      </c>
      <c r="C734" s="5" t="s">
        <v>90</v>
      </c>
      <c r="D734" s="5" t="s">
        <v>8</v>
      </c>
      <c r="E734" s="5" t="s">
        <v>14</v>
      </c>
      <c r="F734" s="6">
        <v>45657</v>
      </c>
      <c r="G734" s="5">
        <f t="shared" si="107"/>
        <v>2024</v>
      </c>
      <c r="H734" s="5" t="str">
        <f t="shared" si="105"/>
        <v>Diciembre</v>
      </c>
      <c r="I734" s="6" t="str">
        <f t="shared" si="106"/>
        <v>2024-2</v>
      </c>
      <c r="J734" s="5">
        <v>0.76</v>
      </c>
      <c r="K734" s="5">
        <v>0.65</v>
      </c>
      <c r="L734" s="15">
        <f>IFERROR(IF((J734/K734)&gt;1,1,J734/K734),"")</f>
        <v>1</v>
      </c>
      <c r="M734" s="15">
        <f>IFERROR(IF((J734/K734)&gt;1,1,J734/K734),"")</f>
        <v>1</v>
      </c>
      <c r="N734" s="5" t="s">
        <v>478</v>
      </c>
      <c r="O734" s="5" t="s">
        <v>478</v>
      </c>
      <c r="P734" s="5">
        <v>2</v>
      </c>
      <c r="Q734" s="5">
        <v>2</v>
      </c>
      <c r="R734" s="5" t="str">
        <f>A734&amp;"-"&amp;YEAR(F734)&amp;"-"&amp;IF(LEN(MONTH(F734))=1,"0"&amp;MONTH(F734),MONTH(F734))&amp;"-"&amp;IF(LEN(DAY(F734))=1,"0"&amp;DAY(F734),DAY(F734))</f>
        <v>429-2024-12-31</v>
      </c>
    </row>
    <row r="735" spans="1:18" x14ac:dyDescent="0.3">
      <c r="A735" s="5">
        <v>430</v>
      </c>
      <c r="B735" s="5" t="s">
        <v>324</v>
      </c>
      <c r="C735" s="5" t="s">
        <v>84</v>
      </c>
      <c r="D735" s="5" t="s">
        <v>8</v>
      </c>
      <c r="E735" s="5" t="s">
        <v>9</v>
      </c>
      <c r="F735" s="6">
        <v>45657</v>
      </c>
      <c r="G735" s="5">
        <f t="shared" si="107"/>
        <v>2024</v>
      </c>
      <c r="H735" s="5" t="str">
        <f t="shared" si="105"/>
        <v>Diciembre</v>
      </c>
      <c r="I735" s="6" t="str">
        <f t="shared" si="106"/>
        <v>2024-2</v>
      </c>
      <c r="J735" s="5">
        <v>95</v>
      </c>
      <c r="K735" s="5">
        <v>102.94</v>
      </c>
      <c r="L735" s="15">
        <f>IFERROR(IF((K735/J735)&gt;1.3,1.3,K735/J735),"")</f>
        <v>1.083578947368421</v>
      </c>
      <c r="M735" s="15">
        <f>IFERROR(K735/J735,"")</f>
        <v>1.083578947368421</v>
      </c>
      <c r="N735" s="5" t="s">
        <v>347</v>
      </c>
      <c r="O735" s="5" t="s">
        <v>347</v>
      </c>
      <c r="P735" s="5">
        <v>0</v>
      </c>
      <c r="Q735" s="5">
        <v>0</v>
      </c>
      <c r="R735" s="5" t="str">
        <f>A735&amp;"-"&amp;YEAR(F735)&amp;"-"&amp;IF(LEN(MONTH(F735))=1,"0"&amp;MONTH(F735),MONTH(F735))&amp;"-"&amp;IF(LEN(DAY(F735))=1,"0"&amp;DAY(F735),DAY(F735))</f>
        <v>430-2024-12-31</v>
      </c>
    </row>
    <row r="736" spans="1:18" x14ac:dyDescent="0.3">
      <c r="A736" s="5">
        <v>431</v>
      </c>
      <c r="B736" s="5" t="s">
        <v>325</v>
      </c>
      <c r="C736" s="5" t="s">
        <v>24</v>
      </c>
      <c r="D736" s="5" t="s">
        <v>11</v>
      </c>
      <c r="E736" s="5" t="s">
        <v>9</v>
      </c>
      <c r="F736" s="6">
        <v>45657</v>
      </c>
      <c r="G736" s="5">
        <f t="shared" si="107"/>
        <v>2024</v>
      </c>
      <c r="H736" s="5" t="str">
        <f t="shared" si="105"/>
        <v>Diciembre</v>
      </c>
      <c r="I736" s="6" t="str">
        <f t="shared" si="106"/>
        <v>2024-2</v>
      </c>
      <c r="J736" s="5">
        <v>100</v>
      </c>
      <c r="K736" s="5">
        <v>100</v>
      </c>
      <c r="L736" s="15">
        <f>IFERROR(IF((K736/J736)&gt;1.3,1.3,K736/J736),"")</f>
        <v>1</v>
      </c>
      <c r="M736" s="15">
        <f>IFERROR(K736/J736,"")</f>
        <v>1</v>
      </c>
      <c r="N736" s="5" t="s">
        <v>347</v>
      </c>
      <c r="O736" s="5" t="s">
        <v>347</v>
      </c>
      <c r="P736" s="5">
        <v>0</v>
      </c>
      <c r="Q736" s="5">
        <v>0</v>
      </c>
      <c r="R736" s="5" t="str">
        <f>A736&amp;"-"&amp;YEAR(F736)&amp;"-"&amp;IF(LEN(MONTH(F736))=1,"0"&amp;MONTH(F736),MONTH(F736))&amp;"-"&amp;IF(LEN(DAY(F736))=1,"0"&amp;DAY(F736),DAY(F736))</f>
        <v>431-2024-12-31</v>
      </c>
    </row>
    <row r="737" spans="1:18" x14ac:dyDescent="0.3">
      <c r="A737" s="5">
        <v>432</v>
      </c>
      <c r="B737" s="5" t="s">
        <v>326</v>
      </c>
      <c r="C737" s="5" t="s">
        <v>24</v>
      </c>
      <c r="D737" s="5" t="s">
        <v>11</v>
      </c>
      <c r="E737" s="5" t="s">
        <v>9</v>
      </c>
      <c r="F737" s="6">
        <v>45657</v>
      </c>
      <c r="G737" s="5">
        <f t="shared" si="107"/>
        <v>2024</v>
      </c>
      <c r="H737" s="5" t="str">
        <f t="shared" si="105"/>
        <v>Diciembre</v>
      </c>
      <c r="I737" s="6" t="str">
        <f t="shared" si="106"/>
        <v>2024-2</v>
      </c>
      <c r="J737" s="5">
        <v>90</v>
      </c>
      <c r="K737" s="5">
        <v>100</v>
      </c>
      <c r="L737" s="15">
        <f>IFERROR(IF((K737/J737)&gt;1.3,1.3,K737/J737),"")</f>
        <v>1.1111111111111112</v>
      </c>
      <c r="M737" s="15">
        <f>IFERROR(K737/J737,"")</f>
        <v>1.1111111111111112</v>
      </c>
      <c r="N737" s="5" t="s">
        <v>347</v>
      </c>
      <c r="O737" s="5" t="s">
        <v>347</v>
      </c>
      <c r="P737" s="5">
        <v>0</v>
      </c>
      <c r="Q737" s="5">
        <v>0</v>
      </c>
      <c r="R737" s="5" t="str">
        <f>A737&amp;"-"&amp;YEAR(F737)&amp;"-"&amp;IF(LEN(MONTH(F737))=1,"0"&amp;MONTH(F737),MONTH(F737))&amp;"-"&amp;IF(LEN(DAY(F737))=1,"0"&amp;DAY(F737),DAY(F737))</f>
        <v>432-2024-12-31</v>
      </c>
    </row>
    <row r="738" spans="1:18" x14ac:dyDescent="0.3">
      <c r="A738" s="5">
        <v>433</v>
      </c>
      <c r="B738" s="5" t="s">
        <v>416</v>
      </c>
      <c r="C738" s="5" t="s">
        <v>90</v>
      </c>
      <c r="D738" s="5" t="s">
        <v>8</v>
      </c>
      <c r="E738" s="5" t="s">
        <v>14</v>
      </c>
      <c r="F738" s="6">
        <v>45657</v>
      </c>
      <c r="G738" s="5">
        <f t="shared" si="107"/>
        <v>2024</v>
      </c>
      <c r="H738" s="5" t="str">
        <f t="shared" si="105"/>
        <v>Diciembre</v>
      </c>
      <c r="I738" s="6" t="str">
        <f t="shared" si="106"/>
        <v>2024-2</v>
      </c>
      <c r="J738" s="5">
        <v>0.05</v>
      </c>
      <c r="K738" s="10">
        <v>0.1</v>
      </c>
      <c r="L738" s="15">
        <f>IF(K738&lt;J738,1,IF(K738&gt;J738,0,K738&lt;J67595))</f>
        <v>0</v>
      </c>
      <c r="M738" s="15">
        <f>IF(K738&lt;J738,1,IF(K738&gt;J738,0,K738&lt;J67595))</f>
        <v>0</v>
      </c>
      <c r="N738" s="5" t="s">
        <v>478</v>
      </c>
      <c r="O738" s="5" t="s">
        <v>478</v>
      </c>
      <c r="P738" s="5">
        <v>2</v>
      </c>
      <c r="Q738" s="5">
        <v>2</v>
      </c>
      <c r="R738" s="5" t="str">
        <f>A738&amp;"-"&amp;YEAR(F738)&amp;"-"&amp;IF(LEN(MONTH(F738))=1,"0"&amp;MONTH(F738),MONTH(F738))&amp;"-"&amp;IF(LEN(DAY(F738))=1,"0"&amp;DAY(F738),DAY(F738))</f>
        <v>433-2024-12-31</v>
      </c>
    </row>
    <row r="739" spans="1:18" x14ac:dyDescent="0.3">
      <c r="A739" s="5">
        <v>434</v>
      </c>
      <c r="B739" s="5" t="s">
        <v>735</v>
      </c>
      <c r="C739" s="5" t="s">
        <v>90</v>
      </c>
      <c r="D739" s="5" t="s">
        <v>18</v>
      </c>
      <c r="E739" s="5" t="s">
        <v>14</v>
      </c>
      <c r="F739" s="6">
        <v>45657</v>
      </c>
      <c r="G739" s="5">
        <f t="shared" si="107"/>
        <v>2024</v>
      </c>
      <c r="H739" s="5" t="str">
        <f t="shared" si="105"/>
        <v>Diciembre</v>
      </c>
      <c r="I739" s="6" t="str">
        <f t="shared" si="106"/>
        <v>2024-2</v>
      </c>
      <c r="J739" s="5">
        <f>200*12</f>
        <v>2400</v>
      </c>
      <c r="K739" s="5">
        <v>9798.09</v>
      </c>
      <c r="L739" s="15">
        <f>IF(K739&lt;J739,1,IF(K739&gt;J225,0,K739&lt;J225))</f>
        <v>0</v>
      </c>
      <c r="M739" s="15">
        <f>IF(K739&lt;J739,1,IF(K739&gt;J225,0,K739&lt;J225))</f>
        <v>0</v>
      </c>
      <c r="N739" s="5" t="s">
        <v>492</v>
      </c>
      <c r="O739" s="5" t="s">
        <v>492</v>
      </c>
      <c r="P739" s="5">
        <v>0</v>
      </c>
      <c r="Q739" s="5">
        <v>0</v>
      </c>
      <c r="R739" s="5" t="str">
        <f>A739&amp;"-"&amp;YEAR(F739)&amp;"-"&amp;IF(LEN(MONTH(F739))=1,"0"&amp;MONTH(F739),MONTH(F739))&amp;"-"&amp;IF(LEN(DAY(F739))=1,"0"&amp;DAY(F739),DAY(F739))</f>
        <v>434-2024-12-31</v>
      </c>
    </row>
    <row r="740" spans="1:18" x14ac:dyDescent="0.3">
      <c r="A740" s="5">
        <v>435</v>
      </c>
      <c r="B740" s="5" t="s">
        <v>464</v>
      </c>
      <c r="C740" s="5" t="s">
        <v>90</v>
      </c>
      <c r="D740" s="5" t="s">
        <v>8</v>
      </c>
      <c r="E740" s="5" t="s">
        <v>9</v>
      </c>
      <c r="F740" s="6">
        <v>45657</v>
      </c>
      <c r="G740" s="5">
        <f t="shared" si="107"/>
        <v>2024</v>
      </c>
      <c r="H740" s="5" t="str">
        <f t="shared" si="105"/>
        <v>Diciembre</v>
      </c>
      <c r="I740" s="6" t="str">
        <f t="shared" si="106"/>
        <v>2024-2</v>
      </c>
      <c r="J740" s="5">
        <v>100</v>
      </c>
      <c r="K740" s="5">
        <v>-15.45</v>
      </c>
      <c r="L740" s="15">
        <v>0</v>
      </c>
      <c r="M740" s="15">
        <v>0</v>
      </c>
      <c r="N740" s="5" t="s">
        <v>347</v>
      </c>
      <c r="O740" s="5" t="s">
        <v>347</v>
      </c>
      <c r="P740" s="5">
        <v>2</v>
      </c>
      <c r="Q740" s="5">
        <v>2</v>
      </c>
      <c r="R740" s="5" t="str">
        <f>A740&amp;"-"&amp;YEAR(F740)&amp;"-"&amp;IF(LEN(MONTH(F740))=1,"0"&amp;MONTH(F740),MONTH(F740))&amp;"-"&amp;IF(LEN(DAY(F740))=1,"0"&amp;DAY(F740),DAY(F740))</f>
        <v>435-2024-12-31</v>
      </c>
    </row>
    <row r="741" spans="1:18" x14ac:dyDescent="0.3">
      <c r="A741" s="5">
        <v>436</v>
      </c>
      <c r="B741" s="5" t="s">
        <v>69</v>
      </c>
      <c r="C741" s="5" t="s">
        <v>45</v>
      </c>
      <c r="D741" s="5" t="s">
        <v>18</v>
      </c>
      <c r="E741" s="5" t="s">
        <v>14</v>
      </c>
      <c r="F741" s="6">
        <v>45657</v>
      </c>
      <c r="G741" s="5">
        <f t="shared" si="107"/>
        <v>2024</v>
      </c>
      <c r="H741" s="5" t="str">
        <f t="shared" si="105"/>
        <v>Diciembre</v>
      </c>
      <c r="I741" s="6" t="str">
        <f t="shared" si="106"/>
        <v>2024-2</v>
      </c>
      <c r="J741" s="5">
        <v>14</v>
      </c>
      <c r="K741" s="5">
        <v>11.06</v>
      </c>
      <c r="L741" s="15">
        <f>IFERROR(IF((J741/K741)&gt;1.3,1.3,J741/K741),"")</f>
        <v>1.2658227848101264</v>
      </c>
      <c r="M741" s="15">
        <f>IFERROR(IF((J741/K741)&gt;J741/K741,1.3,J741/K741),"")</f>
        <v>1.2658227848101264</v>
      </c>
      <c r="N741" s="5" t="s">
        <v>479</v>
      </c>
      <c r="O741" s="5" t="s">
        <v>479</v>
      </c>
      <c r="P741" s="5">
        <v>0</v>
      </c>
      <c r="Q741" s="5">
        <v>1</v>
      </c>
      <c r="R741" s="5" t="str">
        <f>A741&amp;"-"&amp;YEAR(F741)&amp;"-"&amp;IF(LEN(MONTH(F741))=1,"0"&amp;MONTH(F741),MONTH(F741))&amp;"-"&amp;IF(LEN(DAY(F741))=1,"0"&amp;DAY(F741),DAY(F741))</f>
        <v>436-2024-12-31</v>
      </c>
    </row>
    <row r="742" spans="1:18" x14ac:dyDescent="0.3">
      <c r="A742" s="5">
        <v>437</v>
      </c>
      <c r="B742" s="5" t="s">
        <v>465</v>
      </c>
      <c r="C742" s="5" t="s">
        <v>182</v>
      </c>
      <c r="D742" s="5" t="s">
        <v>25</v>
      </c>
      <c r="E742" s="5" t="s">
        <v>9</v>
      </c>
      <c r="F742" s="6">
        <v>45657</v>
      </c>
      <c r="G742" s="5">
        <f t="shared" si="107"/>
        <v>2024</v>
      </c>
      <c r="H742" s="5" t="str">
        <f t="shared" si="105"/>
        <v>Diciembre</v>
      </c>
      <c r="I742" s="6" t="str">
        <f t="shared" si="106"/>
        <v>2024-2</v>
      </c>
      <c r="J742" s="5">
        <v>80</v>
      </c>
      <c r="K742" s="5">
        <v>84</v>
      </c>
      <c r="L742" s="15">
        <f t="shared" ref="L742:L766" si="108">IFERROR(IF((K742/J742)&gt;1.3,1.3,K742/J742),"")</f>
        <v>1.05</v>
      </c>
      <c r="M742" s="15">
        <f t="shared" ref="M742:M766" si="109">IFERROR(K742/J742,"")</f>
        <v>1.05</v>
      </c>
      <c r="N742" s="5" t="s">
        <v>347</v>
      </c>
      <c r="O742" s="5" t="s">
        <v>347</v>
      </c>
      <c r="P742" s="5">
        <v>0</v>
      </c>
      <c r="Q742" s="5">
        <v>0</v>
      </c>
      <c r="R742" s="5" t="str">
        <f>A742&amp;"-"&amp;YEAR(F742)&amp;"-"&amp;IF(LEN(MONTH(F742))=1,"0"&amp;MONTH(F742),MONTH(F742))&amp;"-"&amp;IF(LEN(DAY(F742))=1,"0"&amp;DAY(F742),DAY(F742))</f>
        <v>437-2024-12-31</v>
      </c>
    </row>
    <row r="743" spans="1:18" x14ac:dyDescent="0.3">
      <c r="A743" s="5">
        <v>439</v>
      </c>
      <c r="B743" s="5" t="s">
        <v>467</v>
      </c>
      <c r="C743" s="5" t="s">
        <v>762</v>
      </c>
      <c r="D743" s="5" t="s">
        <v>8</v>
      </c>
      <c r="E743" s="5" t="s">
        <v>9</v>
      </c>
      <c r="F743" s="6">
        <v>45657</v>
      </c>
      <c r="G743" s="5">
        <f t="shared" si="107"/>
        <v>2024</v>
      </c>
      <c r="H743" s="5" t="str">
        <f t="shared" si="105"/>
        <v>Diciembre</v>
      </c>
      <c r="I743" s="6" t="str">
        <f t="shared" si="106"/>
        <v>2024-2</v>
      </c>
      <c r="J743" s="5">
        <v>100</v>
      </c>
      <c r="K743" s="5">
        <v>100</v>
      </c>
      <c r="L743" s="15">
        <f t="shared" si="108"/>
        <v>1</v>
      </c>
      <c r="M743" s="15">
        <f t="shared" si="109"/>
        <v>1</v>
      </c>
      <c r="N743" s="5" t="s">
        <v>347</v>
      </c>
      <c r="O743" s="5" t="s">
        <v>347</v>
      </c>
      <c r="P743" s="5">
        <v>0</v>
      </c>
      <c r="Q743" s="5">
        <v>0</v>
      </c>
      <c r="R743" s="5" t="str">
        <f>A743&amp;"-"&amp;YEAR(F743)&amp;"-"&amp;IF(LEN(MONTH(F743))=1,"0"&amp;MONTH(F743),MONTH(F743))&amp;"-"&amp;IF(LEN(DAY(F743))=1,"0"&amp;DAY(F743),DAY(F743))</f>
        <v>439-2024-12-31</v>
      </c>
    </row>
    <row r="744" spans="1:18" x14ac:dyDescent="0.3">
      <c r="A744" s="5">
        <v>440</v>
      </c>
      <c r="B744" s="5" t="s">
        <v>468</v>
      </c>
      <c r="C744" s="5" t="s">
        <v>762</v>
      </c>
      <c r="D744" s="5" t="s">
        <v>8</v>
      </c>
      <c r="E744" s="5" t="s">
        <v>9</v>
      </c>
      <c r="F744" s="6">
        <v>45657</v>
      </c>
      <c r="G744" s="5">
        <f t="shared" si="107"/>
        <v>2024</v>
      </c>
      <c r="H744" s="5" t="str">
        <f t="shared" si="105"/>
        <v>Diciembre</v>
      </c>
      <c r="I744" s="6" t="str">
        <f t="shared" si="106"/>
        <v>2024-2</v>
      </c>
      <c r="J744" s="5">
        <v>98</v>
      </c>
      <c r="K744" s="5">
        <v>99.49</v>
      </c>
      <c r="L744" s="15">
        <f t="shared" si="108"/>
        <v>1.0152040816326531</v>
      </c>
      <c r="M744" s="15">
        <f t="shared" si="109"/>
        <v>1.0152040816326531</v>
      </c>
      <c r="N744" s="5" t="s">
        <v>347</v>
      </c>
      <c r="O744" s="5" t="s">
        <v>347</v>
      </c>
      <c r="P744" s="5">
        <v>0</v>
      </c>
      <c r="Q744" s="5">
        <v>1</v>
      </c>
      <c r="R744" s="5" t="str">
        <f>A744&amp;"-"&amp;YEAR(F744)&amp;"-"&amp;IF(LEN(MONTH(F744))=1,"0"&amp;MONTH(F744),MONTH(F744))&amp;"-"&amp;IF(LEN(DAY(F744))=1,"0"&amp;DAY(F744),DAY(F744))</f>
        <v>440-2024-12-31</v>
      </c>
    </row>
    <row r="745" spans="1:18" x14ac:dyDescent="0.3">
      <c r="A745" s="5">
        <v>441</v>
      </c>
      <c r="B745" s="5" t="s">
        <v>508</v>
      </c>
      <c r="C745" s="5" t="s">
        <v>117</v>
      </c>
      <c r="D745" s="5" t="s">
        <v>18</v>
      </c>
      <c r="E745" s="5" t="s">
        <v>9</v>
      </c>
      <c r="F745" s="6">
        <v>45657</v>
      </c>
      <c r="G745" s="5">
        <f t="shared" si="107"/>
        <v>2024</v>
      </c>
      <c r="H745" s="5" t="str">
        <f t="shared" si="105"/>
        <v>Diciembre</v>
      </c>
      <c r="I745" s="6" t="str">
        <f t="shared" si="106"/>
        <v>2024-2</v>
      </c>
      <c r="J745" s="5">
        <v>90</v>
      </c>
      <c r="K745" s="5">
        <v>99.919935948759004</v>
      </c>
      <c r="L745" s="15">
        <f t="shared" si="108"/>
        <v>1.1102215105417668</v>
      </c>
      <c r="M745" s="15">
        <f t="shared" si="109"/>
        <v>1.1102215105417668</v>
      </c>
      <c r="N745" s="5" t="s">
        <v>417</v>
      </c>
      <c r="O745" s="5" t="s">
        <v>417</v>
      </c>
      <c r="P745" s="5">
        <v>0</v>
      </c>
      <c r="Q745" s="5">
        <v>0</v>
      </c>
      <c r="R745" s="5" t="str">
        <f>A745&amp;"-"&amp;YEAR(F745)&amp;"-"&amp;IF(LEN(MONTH(F745))=1,"0"&amp;MONTH(F745),MONTH(F745))&amp;"-"&amp;IF(LEN(DAY(F745))=1,"0"&amp;DAY(F745),DAY(F745))</f>
        <v>441-2024-12-31</v>
      </c>
    </row>
    <row r="746" spans="1:18" x14ac:dyDescent="0.3">
      <c r="A746" s="5">
        <v>442</v>
      </c>
      <c r="B746" s="5" t="s">
        <v>509</v>
      </c>
      <c r="C746" s="5" t="s">
        <v>53</v>
      </c>
      <c r="D746" s="5" t="s">
        <v>8</v>
      </c>
      <c r="E746" s="5" t="s">
        <v>9</v>
      </c>
      <c r="F746" s="6">
        <v>45657</v>
      </c>
      <c r="G746" s="5">
        <f t="shared" si="107"/>
        <v>2024</v>
      </c>
      <c r="H746" s="5" t="str">
        <f t="shared" si="105"/>
        <v>Diciembre</v>
      </c>
      <c r="I746" s="6" t="str">
        <f t="shared" si="106"/>
        <v>2024-2</v>
      </c>
      <c r="J746" s="5">
        <v>100</v>
      </c>
      <c r="K746" s="5">
        <v>145</v>
      </c>
      <c r="L746" s="15">
        <f t="shared" si="108"/>
        <v>1.3</v>
      </c>
      <c r="M746" s="15">
        <f t="shared" si="109"/>
        <v>1.45</v>
      </c>
      <c r="N746" s="5" t="s">
        <v>417</v>
      </c>
      <c r="O746" s="5" t="s">
        <v>417</v>
      </c>
      <c r="P746" s="5">
        <v>0</v>
      </c>
      <c r="Q746" s="5">
        <v>0</v>
      </c>
      <c r="R746" s="5" t="str">
        <f>A746&amp;"-"&amp;YEAR(F746)&amp;"-"&amp;IF(LEN(MONTH(F746))=1,"0"&amp;MONTH(F746),MONTH(F746))&amp;"-"&amp;IF(LEN(DAY(F746))=1,"0"&amp;DAY(F746),DAY(F746))</f>
        <v>442-2024-12-31</v>
      </c>
    </row>
    <row r="747" spans="1:18" x14ac:dyDescent="0.3">
      <c r="A747" s="5">
        <v>443</v>
      </c>
      <c r="B747" s="5" t="s">
        <v>510</v>
      </c>
      <c r="C747" s="5" t="s">
        <v>53</v>
      </c>
      <c r="D747" s="5" t="s">
        <v>8</v>
      </c>
      <c r="E747" s="5" t="s">
        <v>9</v>
      </c>
      <c r="F747" s="6">
        <v>45657</v>
      </c>
      <c r="G747" s="5">
        <f t="shared" si="107"/>
        <v>2024</v>
      </c>
      <c r="H747" s="5" t="str">
        <f t="shared" si="105"/>
        <v>Diciembre</v>
      </c>
      <c r="I747" s="6" t="str">
        <f t="shared" si="106"/>
        <v>2024-2</v>
      </c>
      <c r="J747" s="5">
        <v>100</v>
      </c>
      <c r="K747" s="5">
        <v>209</v>
      </c>
      <c r="L747" s="15">
        <f t="shared" si="108"/>
        <v>1.3</v>
      </c>
      <c r="M747" s="15">
        <f t="shared" si="109"/>
        <v>2.09</v>
      </c>
      <c r="N747" s="5" t="s">
        <v>417</v>
      </c>
      <c r="O747" s="5" t="s">
        <v>417</v>
      </c>
      <c r="P747" s="5">
        <v>0</v>
      </c>
      <c r="Q747" s="5">
        <v>0</v>
      </c>
      <c r="R747" s="5" t="str">
        <f>A747&amp;"-"&amp;YEAR(F747)&amp;"-"&amp;IF(LEN(MONTH(F747))=1,"0"&amp;MONTH(F747),MONTH(F747))&amp;"-"&amp;IF(LEN(DAY(F747))=1,"0"&amp;DAY(F747),DAY(F747))</f>
        <v>443-2024-12-31</v>
      </c>
    </row>
    <row r="748" spans="1:18" x14ac:dyDescent="0.3">
      <c r="A748" s="5">
        <v>444</v>
      </c>
      <c r="B748" s="5" t="s">
        <v>511</v>
      </c>
      <c r="C748" s="5" t="s">
        <v>126</v>
      </c>
      <c r="D748" s="5" t="s">
        <v>8</v>
      </c>
      <c r="E748" s="5" t="s">
        <v>9</v>
      </c>
      <c r="F748" s="6">
        <v>45657</v>
      </c>
      <c r="G748" s="5">
        <f t="shared" si="107"/>
        <v>2024</v>
      </c>
      <c r="H748" s="5" t="str">
        <f t="shared" si="105"/>
        <v>Diciembre</v>
      </c>
      <c r="I748" s="6" t="str">
        <f t="shared" si="106"/>
        <v>2024-2</v>
      </c>
      <c r="J748" s="5"/>
      <c r="K748" s="5">
        <v>2.1</v>
      </c>
      <c r="L748" s="15" t="str">
        <f t="shared" si="108"/>
        <v/>
      </c>
      <c r="M748" s="15" t="str">
        <f t="shared" si="109"/>
        <v/>
      </c>
      <c r="N748" s="5" t="s">
        <v>477</v>
      </c>
      <c r="O748" s="5" t="s">
        <v>478</v>
      </c>
      <c r="P748" s="5">
        <v>0</v>
      </c>
      <c r="Q748" s="5">
        <v>1</v>
      </c>
      <c r="R748" s="5" t="str">
        <f>A748&amp;"-"&amp;YEAR(F748)&amp;"-"&amp;IF(LEN(MONTH(F748))=1,"0"&amp;MONTH(F748),MONTH(F748))&amp;"-"&amp;IF(LEN(DAY(F748))=1,"0"&amp;DAY(F748),DAY(F748))</f>
        <v>444-2024-12-31</v>
      </c>
    </row>
    <row r="749" spans="1:18" x14ac:dyDescent="0.3">
      <c r="A749" s="5">
        <v>445</v>
      </c>
      <c r="B749" s="5" t="s">
        <v>722</v>
      </c>
      <c r="C749" s="5" t="s">
        <v>126</v>
      </c>
      <c r="D749" s="5" t="s">
        <v>8</v>
      </c>
      <c r="E749" s="5" t="s">
        <v>9</v>
      </c>
      <c r="F749" s="6">
        <v>45657</v>
      </c>
      <c r="G749" s="5">
        <f t="shared" si="107"/>
        <v>2024</v>
      </c>
      <c r="H749" s="5" t="str">
        <f t="shared" si="105"/>
        <v>Diciembre</v>
      </c>
      <c r="I749" s="6" t="str">
        <f t="shared" si="106"/>
        <v>2024-2</v>
      </c>
      <c r="J749" s="5">
        <v>67.5</v>
      </c>
      <c r="K749" s="5">
        <v>70.849999999999994</v>
      </c>
      <c r="L749" s="15">
        <f t="shared" si="108"/>
        <v>1.0496296296296295</v>
      </c>
      <c r="M749" s="15">
        <f t="shared" si="109"/>
        <v>1.0496296296296295</v>
      </c>
      <c r="N749" s="5" t="s">
        <v>347</v>
      </c>
      <c r="O749" s="5" t="s">
        <v>347</v>
      </c>
      <c r="P749" s="5">
        <v>0</v>
      </c>
      <c r="Q749" s="5">
        <v>0</v>
      </c>
      <c r="R749" s="5" t="str">
        <f>A749&amp;"-"&amp;YEAR(F749)&amp;"-"&amp;IF(LEN(MONTH(F749))=1,"0"&amp;MONTH(F749),MONTH(F749))&amp;"-"&amp;IF(LEN(DAY(F749))=1,"0"&amp;DAY(F749),DAY(F749))</f>
        <v>445-2024-12-31</v>
      </c>
    </row>
    <row r="750" spans="1:18" x14ac:dyDescent="0.3">
      <c r="A750" s="5">
        <v>447</v>
      </c>
      <c r="B750" s="5" t="s">
        <v>512</v>
      </c>
      <c r="C750" s="5" t="s">
        <v>55</v>
      </c>
      <c r="D750" s="5" t="s">
        <v>8</v>
      </c>
      <c r="E750" s="5" t="s">
        <v>9</v>
      </c>
      <c r="F750" s="6">
        <v>45657</v>
      </c>
      <c r="G750" s="5">
        <f t="shared" si="107"/>
        <v>2024</v>
      </c>
      <c r="H750" s="5" t="str">
        <f t="shared" si="105"/>
        <v>Diciembre</v>
      </c>
      <c r="I750" s="6" t="str">
        <f t="shared" si="106"/>
        <v>2024-2</v>
      </c>
      <c r="J750" s="5">
        <v>15</v>
      </c>
      <c r="K750" s="5">
        <v>23.6</v>
      </c>
      <c r="L750" s="15">
        <f t="shared" si="108"/>
        <v>1.3</v>
      </c>
      <c r="M750" s="15">
        <f t="shared" si="109"/>
        <v>1.5733333333333335</v>
      </c>
      <c r="N750" s="5" t="s">
        <v>347</v>
      </c>
      <c r="O750" s="5" t="s">
        <v>347</v>
      </c>
      <c r="P750" s="5">
        <v>0</v>
      </c>
      <c r="Q750" s="5">
        <v>0</v>
      </c>
      <c r="R750" s="5" t="str">
        <f>A750&amp;"-"&amp;YEAR(F750)&amp;"-"&amp;IF(LEN(MONTH(F750))=1,"0"&amp;MONTH(F750),MONTH(F750))&amp;"-"&amp;IF(LEN(DAY(F750))=1,"0"&amp;DAY(F750),DAY(F750))</f>
        <v>447-2024-12-31</v>
      </c>
    </row>
    <row r="751" spans="1:18" x14ac:dyDescent="0.3">
      <c r="A751" s="5">
        <v>448</v>
      </c>
      <c r="B751" s="5" t="s">
        <v>513</v>
      </c>
      <c r="C751" s="5" t="s">
        <v>55</v>
      </c>
      <c r="D751" s="5" t="s">
        <v>8</v>
      </c>
      <c r="E751" s="5" t="s">
        <v>9</v>
      </c>
      <c r="F751" s="6">
        <v>45657</v>
      </c>
      <c r="G751" s="5">
        <f t="shared" si="107"/>
        <v>2024</v>
      </c>
      <c r="H751" s="5" t="str">
        <f t="shared" si="105"/>
        <v>Diciembre</v>
      </c>
      <c r="I751" s="6" t="str">
        <f t="shared" si="106"/>
        <v>2024-2</v>
      </c>
      <c r="J751" s="5">
        <v>9</v>
      </c>
      <c r="K751" s="5">
        <v>14.12</v>
      </c>
      <c r="L751" s="15">
        <f t="shared" si="108"/>
        <v>1.3</v>
      </c>
      <c r="M751" s="15">
        <f t="shared" si="109"/>
        <v>1.5688888888888888</v>
      </c>
      <c r="N751" s="5" t="s">
        <v>347</v>
      </c>
      <c r="O751" s="5" t="s">
        <v>347</v>
      </c>
      <c r="P751" s="5">
        <v>0</v>
      </c>
      <c r="Q751" s="5">
        <v>1</v>
      </c>
      <c r="R751" s="5" t="str">
        <f>A751&amp;"-"&amp;YEAR(F751)&amp;"-"&amp;IF(LEN(MONTH(F751))=1,"0"&amp;MONTH(F751),MONTH(F751))&amp;"-"&amp;IF(LEN(DAY(F751))=1,"0"&amp;DAY(F751),DAY(F751))</f>
        <v>448-2024-12-31</v>
      </c>
    </row>
    <row r="752" spans="1:18" x14ac:dyDescent="0.3">
      <c r="A752" s="5">
        <v>449</v>
      </c>
      <c r="B752" s="5" t="s">
        <v>736</v>
      </c>
      <c r="C752" s="5" t="s">
        <v>182</v>
      </c>
      <c r="D752" s="5" t="s">
        <v>11</v>
      </c>
      <c r="E752" s="5" t="s">
        <v>9</v>
      </c>
      <c r="F752" s="6">
        <v>45657</v>
      </c>
      <c r="G752" s="5">
        <f t="shared" si="107"/>
        <v>2024</v>
      </c>
      <c r="H752" s="5" t="str">
        <f t="shared" si="105"/>
        <v>Diciembre</v>
      </c>
      <c r="I752" s="6" t="str">
        <f t="shared" si="106"/>
        <v>2024-2</v>
      </c>
      <c r="J752" s="5">
        <v>100</v>
      </c>
      <c r="K752" s="5">
        <v>100</v>
      </c>
      <c r="L752" s="15">
        <f t="shared" si="108"/>
        <v>1</v>
      </c>
      <c r="M752" s="15">
        <f t="shared" si="109"/>
        <v>1</v>
      </c>
      <c r="N752" s="5" t="s">
        <v>347</v>
      </c>
      <c r="O752" s="5" t="s">
        <v>347</v>
      </c>
      <c r="P752" s="5">
        <v>0</v>
      </c>
      <c r="Q752" s="5">
        <v>0</v>
      </c>
      <c r="R752" s="5" t="str">
        <f>A752&amp;"-"&amp;YEAR(F752)&amp;"-"&amp;IF(LEN(MONTH(F752))=1,"0"&amp;MONTH(F752),MONTH(F752))&amp;"-"&amp;IF(LEN(DAY(F752))=1,"0"&amp;DAY(F752),DAY(F752))</f>
        <v>449-2024-12-31</v>
      </c>
    </row>
    <row r="753" spans="1:18" x14ac:dyDescent="0.3">
      <c r="A753" s="5">
        <v>451</v>
      </c>
      <c r="B753" s="5" t="s">
        <v>515</v>
      </c>
      <c r="C753" s="5" t="s">
        <v>285</v>
      </c>
      <c r="D753" s="5" t="s">
        <v>8</v>
      </c>
      <c r="E753" s="5" t="s">
        <v>9</v>
      </c>
      <c r="F753" s="6">
        <v>45657</v>
      </c>
      <c r="G753" s="5">
        <f t="shared" si="107"/>
        <v>2024</v>
      </c>
      <c r="H753" s="5" t="str">
        <f t="shared" si="105"/>
        <v>Diciembre</v>
      </c>
      <c r="I753" s="6" t="str">
        <f t="shared" si="106"/>
        <v>2024-2</v>
      </c>
      <c r="J753" s="5"/>
      <c r="K753" s="5">
        <v>38.799999999999997</v>
      </c>
      <c r="L753" s="15" t="str">
        <f t="shared" si="108"/>
        <v/>
      </c>
      <c r="M753" s="15" t="str">
        <f t="shared" si="109"/>
        <v/>
      </c>
      <c r="N753" s="5" t="s">
        <v>477</v>
      </c>
      <c r="O753" s="5" t="s">
        <v>347</v>
      </c>
      <c r="P753" s="5">
        <v>0</v>
      </c>
      <c r="Q753" s="5">
        <v>0</v>
      </c>
      <c r="R753" s="5" t="str">
        <f>A753&amp;"-"&amp;YEAR(F753)&amp;"-"&amp;IF(LEN(MONTH(F753))=1,"0"&amp;MONTH(F753),MONTH(F753))&amp;"-"&amp;IF(LEN(DAY(F753))=1,"0"&amp;DAY(F753),DAY(F753))</f>
        <v>451-2024-12-31</v>
      </c>
    </row>
    <row r="754" spans="1:18" x14ac:dyDescent="0.3">
      <c r="A754" s="5">
        <v>452</v>
      </c>
      <c r="B754" s="5" t="s">
        <v>516</v>
      </c>
      <c r="C754" s="5" t="s">
        <v>285</v>
      </c>
      <c r="D754" s="5" t="s">
        <v>8</v>
      </c>
      <c r="E754" s="5" t="s">
        <v>9</v>
      </c>
      <c r="F754" s="6">
        <v>45657</v>
      </c>
      <c r="G754" s="5">
        <f t="shared" si="107"/>
        <v>2024</v>
      </c>
      <c r="H754" s="5" t="str">
        <f t="shared" si="105"/>
        <v>Diciembre</v>
      </c>
      <c r="I754" s="6" t="str">
        <f t="shared" si="106"/>
        <v>2024-2</v>
      </c>
      <c r="J754" s="5">
        <v>100</v>
      </c>
      <c r="K754" s="5">
        <v>160</v>
      </c>
      <c r="L754" s="15">
        <f t="shared" si="108"/>
        <v>1.3</v>
      </c>
      <c r="M754" s="15">
        <f t="shared" si="109"/>
        <v>1.6</v>
      </c>
      <c r="N754" s="5" t="s">
        <v>347</v>
      </c>
      <c r="O754" s="5" t="s">
        <v>347</v>
      </c>
      <c r="P754" s="5">
        <v>0</v>
      </c>
      <c r="Q754" s="5">
        <v>0</v>
      </c>
      <c r="R754" s="5" t="str">
        <f>A754&amp;"-"&amp;YEAR(F754)&amp;"-"&amp;IF(LEN(MONTH(F754))=1,"0"&amp;MONTH(F754),MONTH(F754))&amp;"-"&amp;IF(LEN(DAY(F754))=1,"0"&amp;DAY(F754),DAY(F754))</f>
        <v>452-2024-12-31</v>
      </c>
    </row>
    <row r="755" spans="1:18" x14ac:dyDescent="0.3">
      <c r="A755" s="5">
        <v>453</v>
      </c>
      <c r="B755" s="5" t="s">
        <v>517</v>
      </c>
      <c r="C755" s="5" t="s">
        <v>506</v>
      </c>
      <c r="D755" s="5" t="s">
        <v>11</v>
      </c>
      <c r="E755" s="5" t="s">
        <v>9</v>
      </c>
      <c r="F755" s="6">
        <v>45657</v>
      </c>
      <c r="G755" s="5">
        <f t="shared" si="107"/>
        <v>2024</v>
      </c>
      <c r="H755" s="5" t="str">
        <f t="shared" si="105"/>
        <v>Diciembre</v>
      </c>
      <c r="I755" s="6" t="str">
        <f t="shared" si="106"/>
        <v>2024-2</v>
      </c>
      <c r="J755" s="5">
        <v>75</v>
      </c>
      <c r="K755" s="5">
        <v>147</v>
      </c>
      <c r="L755" s="15">
        <f t="shared" si="108"/>
        <v>1.3</v>
      </c>
      <c r="M755" s="15">
        <f t="shared" si="109"/>
        <v>1.96</v>
      </c>
      <c r="N755" s="5" t="s">
        <v>347</v>
      </c>
      <c r="O755" s="5" t="s">
        <v>347</v>
      </c>
      <c r="P755" s="5">
        <v>0</v>
      </c>
      <c r="Q755" s="5">
        <v>0</v>
      </c>
      <c r="R755" s="5" t="str">
        <f>A755&amp;"-"&amp;YEAR(F755)&amp;"-"&amp;IF(LEN(MONTH(F755))=1,"0"&amp;MONTH(F755),MONTH(F755))&amp;"-"&amp;IF(LEN(DAY(F755))=1,"0"&amp;DAY(F755),DAY(F755))</f>
        <v>453-2024-12-31</v>
      </c>
    </row>
    <row r="756" spans="1:18" x14ac:dyDescent="0.3">
      <c r="A756" s="5">
        <v>454</v>
      </c>
      <c r="B756" s="5" t="s">
        <v>518</v>
      </c>
      <c r="C756" s="5" t="s">
        <v>506</v>
      </c>
      <c r="D756" s="5" t="s">
        <v>11</v>
      </c>
      <c r="E756" s="5" t="s">
        <v>9</v>
      </c>
      <c r="F756" s="6">
        <v>45657</v>
      </c>
      <c r="G756" s="5">
        <f t="shared" si="107"/>
        <v>2024</v>
      </c>
      <c r="H756" s="5" t="str">
        <f t="shared" si="105"/>
        <v>Diciembre</v>
      </c>
      <c r="I756" s="6" t="str">
        <f t="shared" si="106"/>
        <v>2024-2</v>
      </c>
      <c r="J756" s="5">
        <v>0</v>
      </c>
      <c r="K756" s="5">
        <v>88</v>
      </c>
      <c r="L756" s="15" t="str">
        <f t="shared" si="108"/>
        <v/>
      </c>
      <c r="M756" s="15" t="str">
        <f t="shared" si="109"/>
        <v/>
      </c>
      <c r="N756" s="5" t="s">
        <v>347</v>
      </c>
      <c r="O756" s="5" t="s">
        <v>347</v>
      </c>
      <c r="P756" s="5">
        <v>0</v>
      </c>
      <c r="Q756" s="5">
        <v>0</v>
      </c>
      <c r="R756" s="5" t="str">
        <f>A756&amp;"-"&amp;YEAR(F756)&amp;"-"&amp;IF(LEN(MONTH(F756))=1,"0"&amp;MONTH(F756),MONTH(F756))&amp;"-"&amp;IF(LEN(DAY(F756))=1,"0"&amp;DAY(F756),DAY(F756))</f>
        <v>454-2024-12-31</v>
      </c>
    </row>
    <row r="757" spans="1:18" x14ac:dyDescent="0.3">
      <c r="A757" s="5">
        <v>455</v>
      </c>
      <c r="B757" s="5" t="s">
        <v>519</v>
      </c>
      <c r="C757" s="5" t="s">
        <v>506</v>
      </c>
      <c r="D757" s="5" t="s">
        <v>11</v>
      </c>
      <c r="E757" s="5" t="s">
        <v>9</v>
      </c>
      <c r="F757" s="6">
        <v>45657</v>
      </c>
      <c r="G757" s="5">
        <f t="shared" si="107"/>
        <v>2024</v>
      </c>
      <c r="H757" s="5" t="str">
        <f t="shared" si="105"/>
        <v>Diciembre</v>
      </c>
      <c r="I757" s="6" t="str">
        <f t="shared" si="106"/>
        <v>2024-2</v>
      </c>
      <c r="J757" s="5">
        <v>90</v>
      </c>
      <c r="K757" s="5">
        <v>100</v>
      </c>
      <c r="L757" s="15">
        <f t="shared" si="108"/>
        <v>1.1111111111111112</v>
      </c>
      <c r="M757" s="15">
        <f t="shared" si="109"/>
        <v>1.1111111111111112</v>
      </c>
      <c r="N757" s="5" t="s">
        <v>347</v>
      </c>
      <c r="O757" s="5" t="s">
        <v>347</v>
      </c>
      <c r="P757" s="5">
        <v>0</v>
      </c>
      <c r="Q757" s="5">
        <v>0</v>
      </c>
      <c r="R757" s="5" t="str">
        <f>A757&amp;"-"&amp;YEAR(F757)&amp;"-"&amp;IF(LEN(MONTH(F757))=1,"0"&amp;MONTH(F757),MONTH(F757))&amp;"-"&amp;IF(LEN(DAY(F757))=1,"0"&amp;DAY(F757),DAY(F757))</f>
        <v>455-2024-12-31</v>
      </c>
    </row>
    <row r="758" spans="1:18" x14ac:dyDescent="0.3">
      <c r="A758" s="5">
        <v>456</v>
      </c>
      <c r="B758" s="5" t="s">
        <v>520</v>
      </c>
      <c r="C758" s="5" t="s">
        <v>320</v>
      </c>
      <c r="D758" s="5" t="s">
        <v>8</v>
      </c>
      <c r="E758" s="5" t="s">
        <v>9</v>
      </c>
      <c r="F758" s="6">
        <v>45657</v>
      </c>
      <c r="G758" s="5">
        <f t="shared" si="107"/>
        <v>2024</v>
      </c>
      <c r="H758" s="5" t="str">
        <f t="shared" si="105"/>
        <v>Diciembre</v>
      </c>
      <c r="I758" s="6" t="str">
        <f t="shared" si="106"/>
        <v>2024-2</v>
      </c>
      <c r="J758" s="5">
        <v>100</v>
      </c>
      <c r="K758" s="5">
        <v>97.35</v>
      </c>
      <c r="L758" s="15">
        <f t="shared" si="108"/>
        <v>0.97349999999999992</v>
      </c>
      <c r="M758" s="15">
        <f t="shared" si="109"/>
        <v>0.97349999999999992</v>
      </c>
      <c r="N758" s="5" t="s">
        <v>347</v>
      </c>
      <c r="O758" s="5" t="s">
        <v>347</v>
      </c>
      <c r="P758" s="5">
        <v>0</v>
      </c>
      <c r="Q758" s="5">
        <v>0</v>
      </c>
      <c r="R758" s="5" t="str">
        <f>A758&amp;"-"&amp;YEAR(F758)&amp;"-"&amp;IF(LEN(MONTH(F758))=1,"0"&amp;MONTH(F758),MONTH(F758))&amp;"-"&amp;IF(LEN(DAY(F758))=1,"0"&amp;DAY(F758),DAY(F758))</f>
        <v>456-2024-12-31</v>
      </c>
    </row>
    <row r="759" spans="1:18" x14ac:dyDescent="0.3">
      <c r="A759" s="5">
        <v>457</v>
      </c>
      <c r="B759" s="5" t="s">
        <v>521</v>
      </c>
      <c r="C759" s="5" t="s">
        <v>320</v>
      </c>
      <c r="D759" s="5" t="s">
        <v>8</v>
      </c>
      <c r="E759" s="5" t="s">
        <v>9</v>
      </c>
      <c r="F759" s="6">
        <v>45657</v>
      </c>
      <c r="G759" s="5">
        <f t="shared" si="107"/>
        <v>2024</v>
      </c>
      <c r="H759" s="5" t="str">
        <f t="shared" si="105"/>
        <v>Diciembre</v>
      </c>
      <c r="I759" s="6" t="str">
        <f t="shared" si="106"/>
        <v>2024-2</v>
      </c>
      <c r="J759" s="5">
        <v>100</v>
      </c>
      <c r="K759" s="5">
        <v>80</v>
      </c>
      <c r="L759" s="15">
        <f t="shared" si="108"/>
        <v>0.8</v>
      </c>
      <c r="M759" s="15">
        <f t="shared" si="109"/>
        <v>0.8</v>
      </c>
      <c r="N759" s="5" t="s">
        <v>347</v>
      </c>
      <c r="O759" s="5" t="s">
        <v>347</v>
      </c>
      <c r="P759" s="5">
        <v>0</v>
      </c>
      <c r="Q759" s="5">
        <v>0</v>
      </c>
      <c r="R759" s="5" t="str">
        <f>A759&amp;"-"&amp;YEAR(F759)&amp;"-"&amp;IF(LEN(MONTH(F759))=1,"0"&amp;MONTH(F759),MONTH(F759))&amp;"-"&amp;IF(LEN(DAY(F759))=1,"0"&amp;DAY(F759),DAY(F759))</f>
        <v>457-2024-12-31</v>
      </c>
    </row>
    <row r="760" spans="1:18" x14ac:dyDescent="0.3">
      <c r="A760" s="5">
        <v>459</v>
      </c>
      <c r="B760" s="5" t="s">
        <v>522</v>
      </c>
      <c r="C760" s="5" t="s">
        <v>285</v>
      </c>
      <c r="D760" s="5" t="s">
        <v>11</v>
      </c>
      <c r="E760" s="5" t="s">
        <v>9</v>
      </c>
      <c r="F760" s="6">
        <v>45657</v>
      </c>
      <c r="G760" s="5">
        <f t="shared" si="107"/>
        <v>2024</v>
      </c>
      <c r="H760" s="5" t="str">
        <f t="shared" si="105"/>
        <v>Diciembre</v>
      </c>
      <c r="I760" s="6" t="str">
        <f t="shared" si="106"/>
        <v>2024-2</v>
      </c>
      <c r="J760" s="5">
        <v>100</v>
      </c>
      <c r="K760" s="5"/>
      <c r="L760" s="15">
        <f t="shared" si="108"/>
        <v>0</v>
      </c>
      <c r="M760" s="15">
        <f t="shared" si="109"/>
        <v>0</v>
      </c>
      <c r="N760" s="5" t="s">
        <v>347</v>
      </c>
      <c r="O760" s="5" t="s">
        <v>347</v>
      </c>
      <c r="P760" s="5">
        <v>0</v>
      </c>
      <c r="Q760" s="5">
        <v>0</v>
      </c>
      <c r="R760" s="5" t="str">
        <f>A760&amp;"-"&amp;YEAR(F760)&amp;"-"&amp;IF(LEN(MONTH(F760))=1,"0"&amp;MONTH(F760),MONTH(F760))&amp;"-"&amp;IF(LEN(DAY(F760))=1,"0"&amp;DAY(F760),DAY(F760))</f>
        <v>459-2024-12-31</v>
      </c>
    </row>
    <row r="761" spans="1:18" x14ac:dyDescent="0.3">
      <c r="A761" s="5">
        <v>460</v>
      </c>
      <c r="B761" s="5" t="s">
        <v>727</v>
      </c>
      <c r="C761" s="5" t="s">
        <v>13</v>
      </c>
      <c r="D761" s="5" t="s">
        <v>25</v>
      </c>
      <c r="E761" s="5" t="s">
        <v>9</v>
      </c>
      <c r="F761" s="6">
        <v>45657</v>
      </c>
      <c r="G761" s="5">
        <f t="shared" si="107"/>
        <v>2024</v>
      </c>
      <c r="H761" s="5" t="str">
        <f t="shared" si="105"/>
        <v>Diciembre</v>
      </c>
      <c r="I761" s="6" t="str">
        <f t="shared" si="106"/>
        <v>2024-2</v>
      </c>
      <c r="J761" s="5">
        <v>80</v>
      </c>
      <c r="K761" s="5">
        <v>91.44</v>
      </c>
      <c r="L761" s="15">
        <f t="shared" si="108"/>
        <v>1.143</v>
      </c>
      <c r="M761" s="15">
        <f t="shared" si="109"/>
        <v>1.143</v>
      </c>
      <c r="N761" s="58" t="s">
        <v>347</v>
      </c>
      <c r="O761" s="58" t="s">
        <v>347</v>
      </c>
      <c r="P761" s="5">
        <v>0</v>
      </c>
      <c r="Q761" s="5">
        <v>1</v>
      </c>
      <c r="R761" s="5" t="str">
        <f>A761&amp;"-"&amp;YEAR(F761)&amp;"-"&amp;IF(LEN(MONTH(F761))=1,"0"&amp;MONTH(F761),MONTH(F761))&amp;"-"&amp;IF(LEN(DAY(F761))=1,"0"&amp;DAY(F761),DAY(F761))</f>
        <v>460-2024-12-31</v>
      </c>
    </row>
    <row r="762" spans="1:18" x14ac:dyDescent="0.3">
      <c r="A762" s="5">
        <v>462</v>
      </c>
      <c r="B762" s="5" t="s">
        <v>489</v>
      </c>
      <c r="C762" s="5" t="s">
        <v>67</v>
      </c>
      <c r="D762" s="5" t="s">
        <v>8</v>
      </c>
      <c r="E762" s="5" t="s">
        <v>9</v>
      </c>
      <c r="F762" s="6">
        <v>45657</v>
      </c>
      <c r="G762" s="5">
        <f t="shared" si="107"/>
        <v>2024</v>
      </c>
      <c r="H762" s="5" t="str">
        <f t="shared" si="105"/>
        <v>Diciembre</v>
      </c>
      <c r="I762" s="6" t="str">
        <f t="shared" si="106"/>
        <v>2024-2</v>
      </c>
      <c r="J762" s="5">
        <v>85</v>
      </c>
      <c r="K762" s="5">
        <v>100</v>
      </c>
      <c r="L762" s="15">
        <f t="shared" si="108"/>
        <v>1.1764705882352942</v>
      </c>
      <c r="M762" s="15">
        <f t="shared" si="109"/>
        <v>1.1764705882352942</v>
      </c>
      <c r="N762" s="5" t="s">
        <v>347</v>
      </c>
      <c r="O762" s="5" t="s">
        <v>347</v>
      </c>
      <c r="P762" s="5">
        <v>0</v>
      </c>
      <c r="Q762" s="5">
        <v>0</v>
      </c>
      <c r="R762" s="5" t="str">
        <f>A762&amp;"-"&amp;YEAR(F762)&amp;"-"&amp;IF(LEN(MONTH(F762))=1,"0"&amp;MONTH(F762),MONTH(F762))&amp;"-"&amp;IF(LEN(DAY(F762))=1,"0"&amp;DAY(F762),DAY(F762))</f>
        <v>462-2024-12-31</v>
      </c>
    </row>
    <row r="763" spans="1:18" x14ac:dyDescent="0.3">
      <c r="A763" s="5">
        <v>463</v>
      </c>
      <c r="B763" s="5" t="s">
        <v>523</v>
      </c>
      <c r="C763" s="5" t="s">
        <v>13</v>
      </c>
      <c r="D763" s="5" t="s">
        <v>8</v>
      </c>
      <c r="E763" s="5" t="s">
        <v>9</v>
      </c>
      <c r="F763" s="6">
        <v>45657</v>
      </c>
      <c r="G763" s="5">
        <f t="shared" si="107"/>
        <v>2024</v>
      </c>
      <c r="H763" s="5" t="str">
        <f t="shared" si="105"/>
        <v>Diciembre</v>
      </c>
      <c r="I763" s="6" t="str">
        <f t="shared" si="106"/>
        <v>2024-2</v>
      </c>
      <c r="J763" s="5">
        <v>100</v>
      </c>
      <c r="K763" s="5">
        <v>100</v>
      </c>
      <c r="L763" s="15">
        <f t="shared" si="108"/>
        <v>1</v>
      </c>
      <c r="M763" s="15">
        <f t="shared" si="109"/>
        <v>1</v>
      </c>
      <c r="N763" s="5" t="s">
        <v>347</v>
      </c>
      <c r="O763" s="5" t="s">
        <v>347</v>
      </c>
      <c r="P763" s="5">
        <v>0</v>
      </c>
      <c r="Q763" s="5">
        <v>0</v>
      </c>
      <c r="R763" s="5" t="str">
        <f>A763&amp;"-"&amp;YEAR(F763)&amp;"-"&amp;IF(LEN(MONTH(F763))=1,"0"&amp;MONTH(F763),MONTH(F763))&amp;"-"&amp;IF(LEN(DAY(F763))=1,"0"&amp;DAY(F763),DAY(F763))</f>
        <v>463-2024-12-31</v>
      </c>
    </row>
    <row r="764" spans="1:18" x14ac:dyDescent="0.3">
      <c r="A764" s="5">
        <v>465</v>
      </c>
      <c r="B764" s="5" t="s">
        <v>524</v>
      </c>
      <c r="C764" s="5" t="s">
        <v>237</v>
      </c>
      <c r="D764" s="5" t="s">
        <v>8</v>
      </c>
      <c r="E764" s="5" t="s">
        <v>9</v>
      </c>
      <c r="F764" s="6">
        <v>45657</v>
      </c>
      <c r="G764" s="5">
        <f t="shared" si="107"/>
        <v>2024</v>
      </c>
      <c r="H764" s="5" t="str">
        <f t="shared" ref="H764:H827" si="110">PROPER(TEXT(F764,"mmmm"))</f>
        <v>Diciembre</v>
      </c>
      <c r="I764" s="6" t="str">
        <f t="shared" ref="I764:I827" si="111">IF(OR(H764="Enero",H764="Febrero",H764="Marzo",H764="Abril",H764="Mayo",H764="Junio"),G764&amp;"-1",IF(OR(H764="Julio",H764="Agosto",H764="Septiembre",H764="Octubre",H764="Noviembre",H764="Diciembre"),G764&amp;"-2"))</f>
        <v>2024-2</v>
      </c>
      <c r="J764" s="5">
        <v>100</v>
      </c>
      <c r="K764" s="5">
        <v>56.83</v>
      </c>
      <c r="L764" s="15">
        <f t="shared" si="108"/>
        <v>0.56830000000000003</v>
      </c>
      <c r="M764" s="15">
        <f t="shared" si="109"/>
        <v>0.56830000000000003</v>
      </c>
      <c r="N764" s="5" t="s">
        <v>347</v>
      </c>
      <c r="O764" s="5" t="s">
        <v>347</v>
      </c>
      <c r="P764" s="5">
        <v>0</v>
      </c>
      <c r="Q764" s="5">
        <v>0</v>
      </c>
      <c r="R764" s="5" t="str">
        <f>A764&amp;"-"&amp;YEAR(F764)&amp;"-"&amp;IF(LEN(MONTH(F764))=1,"0"&amp;MONTH(F764),MONTH(F764))&amp;"-"&amp;IF(LEN(DAY(F764))=1,"0"&amp;DAY(F764),DAY(F764))</f>
        <v>465-2024-12-31</v>
      </c>
    </row>
    <row r="765" spans="1:18" x14ac:dyDescent="0.3">
      <c r="A765" s="5">
        <v>466</v>
      </c>
      <c r="B765" s="5" t="s">
        <v>525</v>
      </c>
      <c r="C765" s="5" t="s">
        <v>74</v>
      </c>
      <c r="D765" s="5" t="s">
        <v>8</v>
      </c>
      <c r="E765" s="5" t="s">
        <v>9</v>
      </c>
      <c r="F765" s="6">
        <v>45657</v>
      </c>
      <c r="G765" s="5">
        <f t="shared" si="107"/>
        <v>2024</v>
      </c>
      <c r="H765" s="5" t="str">
        <f t="shared" si="110"/>
        <v>Diciembre</v>
      </c>
      <c r="I765" s="6" t="str">
        <f t="shared" si="111"/>
        <v>2024-2</v>
      </c>
      <c r="J765" s="5">
        <v>50</v>
      </c>
      <c r="K765" s="5">
        <v>53.8</v>
      </c>
      <c r="L765" s="15">
        <f t="shared" si="108"/>
        <v>1.0759999999999998</v>
      </c>
      <c r="M765" s="15">
        <f t="shared" si="109"/>
        <v>1.0759999999999998</v>
      </c>
      <c r="N765" s="5" t="s">
        <v>490</v>
      </c>
      <c r="O765" s="5" t="s">
        <v>478</v>
      </c>
      <c r="P765" s="5">
        <v>1</v>
      </c>
      <c r="Q765" s="5">
        <v>1</v>
      </c>
      <c r="R765" s="5" t="str">
        <f>A765&amp;"-"&amp;YEAR(F765)&amp;"-"&amp;IF(LEN(MONTH(F765))=1,"0"&amp;MONTH(F765),MONTH(F765))&amp;"-"&amp;IF(LEN(DAY(F765))=1,"0"&amp;DAY(F765),DAY(F765))</f>
        <v>466-2024-12-31</v>
      </c>
    </row>
    <row r="766" spans="1:18" x14ac:dyDescent="0.3">
      <c r="A766" s="5">
        <v>467</v>
      </c>
      <c r="B766" s="5" t="s">
        <v>526</v>
      </c>
      <c r="C766" s="5" t="s">
        <v>160</v>
      </c>
      <c r="D766" s="5" t="s">
        <v>8</v>
      </c>
      <c r="E766" s="5" t="s">
        <v>9</v>
      </c>
      <c r="F766" s="6">
        <v>45657</v>
      </c>
      <c r="G766" s="5">
        <f t="shared" si="107"/>
        <v>2024</v>
      </c>
      <c r="H766" s="5" t="str">
        <f t="shared" si="110"/>
        <v>Diciembre</v>
      </c>
      <c r="I766" s="6" t="str">
        <f t="shared" si="111"/>
        <v>2024-2</v>
      </c>
      <c r="J766" s="5">
        <v>60</v>
      </c>
      <c r="K766" s="5">
        <v>73.099999999999994</v>
      </c>
      <c r="L766" s="15">
        <f t="shared" si="108"/>
        <v>1.2183333333333333</v>
      </c>
      <c r="M766" s="15">
        <f t="shared" si="109"/>
        <v>1.2183333333333333</v>
      </c>
      <c r="N766" s="5" t="s">
        <v>490</v>
      </c>
      <c r="O766" s="5" t="s">
        <v>478</v>
      </c>
      <c r="P766" s="5">
        <v>0</v>
      </c>
      <c r="Q766" s="5">
        <v>1</v>
      </c>
      <c r="R766" s="5" t="str">
        <f>A766&amp;"-"&amp;YEAR(F766)&amp;"-"&amp;IF(LEN(MONTH(F766))=1,"0"&amp;MONTH(F766),MONTH(F766))&amp;"-"&amp;IF(LEN(DAY(F766))=1,"0"&amp;DAY(F766),DAY(F766))</f>
        <v>467-2024-12-31</v>
      </c>
    </row>
    <row r="767" spans="1:18" x14ac:dyDescent="0.3">
      <c r="A767" s="5">
        <v>468</v>
      </c>
      <c r="B767" s="5" t="s">
        <v>527</v>
      </c>
      <c r="C767" s="5" t="s">
        <v>160</v>
      </c>
      <c r="D767" s="5" t="s">
        <v>8</v>
      </c>
      <c r="E767" s="5" t="s">
        <v>14</v>
      </c>
      <c r="F767" s="6">
        <v>45657</v>
      </c>
      <c r="G767" s="5">
        <f t="shared" si="107"/>
        <v>2024</v>
      </c>
      <c r="H767" s="5" t="str">
        <f t="shared" si="110"/>
        <v>Diciembre</v>
      </c>
      <c r="I767" s="6" t="str">
        <f t="shared" si="111"/>
        <v>2024-2</v>
      </c>
      <c r="J767" s="5">
        <v>3</v>
      </c>
      <c r="K767" s="5">
        <v>2.6</v>
      </c>
      <c r="L767" s="15">
        <f>J767/K767</f>
        <v>1.1538461538461537</v>
      </c>
      <c r="M767" s="15">
        <f>IFERROR(IF((J767/K767)&gt;J767/K767,1.3,J767/K767),"")</f>
        <v>1.1538461538461537</v>
      </c>
      <c r="N767" s="5" t="s">
        <v>490</v>
      </c>
      <c r="O767" s="5" t="s">
        <v>478</v>
      </c>
      <c r="P767" s="5">
        <v>0</v>
      </c>
      <c r="Q767" s="5">
        <v>1</v>
      </c>
      <c r="R767" s="5" t="str">
        <f>A767&amp;"-"&amp;YEAR(F767)&amp;"-"&amp;IF(LEN(MONTH(F767))=1,"0"&amp;MONTH(F767),MONTH(F767))&amp;"-"&amp;IF(LEN(DAY(F767))=1,"0"&amp;DAY(F767),DAY(F767))</f>
        <v>468-2024-12-31</v>
      </c>
    </row>
    <row r="768" spans="1:18" x14ac:dyDescent="0.3">
      <c r="A768" s="5">
        <v>469</v>
      </c>
      <c r="B768" s="5" t="s">
        <v>312</v>
      </c>
      <c r="C768" s="5" t="s">
        <v>131</v>
      </c>
      <c r="D768" s="5" t="s">
        <v>11</v>
      </c>
      <c r="E768" s="5" t="s">
        <v>9</v>
      </c>
      <c r="F768" s="6">
        <v>45657</v>
      </c>
      <c r="G768" s="5">
        <f t="shared" si="107"/>
        <v>2024</v>
      </c>
      <c r="H768" s="5" t="str">
        <f t="shared" si="110"/>
        <v>Diciembre</v>
      </c>
      <c r="I768" s="6" t="str">
        <f t="shared" si="111"/>
        <v>2024-2</v>
      </c>
      <c r="J768" s="5">
        <v>100</v>
      </c>
      <c r="K768" s="5">
        <v>99.7</v>
      </c>
      <c r="L768" s="15">
        <f>IFERROR(IF((K768/J768)&gt;1,1,K768/J768),"")</f>
        <v>0.997</v>
      </c>
      <c r="M768" s="15">
        <f>IFERROR(IF((K768/J768)&gt;1,1,K768/J768),"")</f>
        <v>0.997</v>
      </c>
      <c r="N768" s="5" t="s">
        <v>347</v>
      </c>
      <c r="O768" s="5" t="s">
        <v>347</v>
      </c>
      <c r="P768" s="5">
        <v>1</v>
      </c>
      <c r="Q768" s="5">
        <v>1</v>
      </c>
      <c r="R768" s="5" t="str">
        <f>A768&amp;"-"&amp;YEAR(F768)&amp;"-"&amp;IF(LEN(MONTH(F768))=1,"0"&amp;MONTH(F768),MONTH(F768))&amp;"-"&amp;IF(LEN(DAY(F768))=1,"0"&amp;DAY(F768),DAY(F768))</f>
        <v>469-2024-12-31</v>
      </c>
    </row>
    <row r="769" spans="1:18" x14ac:dyDescent="0.3">
      <c r="A769" s="5">
        <v>470</v>
      </c>
      <c r="B769" s="5" t="s">
        <v>528</v>
      </c>
      <c r="C769" s="5" t="s">
        <v>131</v>
      </c>
      <c r="D769" s="5" t="s">
        <v>11</v>
      </c>
      <c r="E769" s="5" t="s">
        <v>9</v>
      </c>
      <c r="F769" s="6">
        <v>45657</v>
      </c>
      <c r="G769" s="5">
        <f t="shared" ref="G769:G817" si="112">YEAR(F769)</f>
        <v>2024</v>
      </c>
      <c r="H769" s="5" t="str">
        <f t="shared" si="110"/>
        <v>Diciembre</v>
      </c>
      <c r="I769" s="6" t="str">
        <f t="shared" si="111"/>
        <v>2024-2</v>
      </c>
      <c r="J769" s="5">
        <v>100</v>
      </c>
      <c r="K769" s="5">
        <v>100</v>
      </c>
      <c r="L769" s="15">
        <f>IFERROR(IF((K769/J769)&gt;1,1,K769/J769),"")</f>
        <v>1</v>
      </c>
      <c r="M769" s="15">
        <f>IFERROR(IF((K769/J769)&gt;1,1,K769/J769),"")</f>
        <v>1</v>
      </c>
      <c r="N769" s="5" t="s">
        <v>347</v>
      </c>
      <c r="O769" s="5" t="s">
        <v>347</v>
      </c>
      <c r="P769" s="5">
        <v>0</v>
      </c>
      <c r="Q769" s="5">
        <v>0</v>
      </c>
      <c r="R769" s="5" t="str">
        <f>A769&amp;"-"&amp;YEAR(F769)&amp;"-"&amp;IF(LEN(MONTH(F769))=1,"0"&amp;MONTH(F769),MONTH(F769))&amp;"-"&amp;IF(LEN(DAY(F769))=1,"0"&amp;DAY(F769),DAY(F769))</f>
        <v>470-2024-12-31</v>
      </c>
    </row>
    <row r="770" spans="1:18" x14ac:dyDescent="0.3">
      <c r="A770" s="5">
        <v>471</v>
      </c>
      <c r="B770" s="5" t="s">
        <v>529</v>
      </c>
      <c r="C770" s="5" t="s">
        <v>131</v>
      </c>
      <c r="D770" s="5" t="s">
        <v>11</v>
      </c>
      <c r="E770" s="5" t="s">
        <v>9</v>
      </c>
      <c r="F770" s="6">
        <v>45657</v>
      </c>
      <c r="G770" s="5">
        <f t="shared" si="112"/>
        <v>2024</v>
      </c>
      <c r="H770" s="5" t="str">
        <f t="shared" si="110"/>
        <v>Diciembre</v>
      </c>
      <c r="I770" s="6" t="str">
        <f t="shared" si="111"/>
        <v>2024-2</v>
      </c>
      <c r="J770" s="5">
        <v>100</v>
      </c>
      <c r="K770" s="5">
        <v>99</v>
      </c>
      <c r="L770" s="15">
        <f t="shared" ref="L770:L807" si="113">IFERROR(IF((K770/J770)&gt;1.3,1.3,K770/J770),"")</f>
        <v>0.99</v>
      </c>
      <c r="M770" s="15">
        <f t="shared" ref="M770:M807" si="114">IFERROR(K770/J770,"")</f>
        <v>0.99</v>
      </c>
      <c r="N770" s="5" t="s">
        <v>347</v>
      </c>
      <c r="O770" s="5" t="s">
        <v>347</v>
      </c>
      <c r="P770" s="5">
        <v>0</v>
      </c>
      <c r="Q770" s="5">
        <v>0</v>
      </c>
      <c r="R770" s="5" t="str">
        <f>A770&amp;"-"&amp;YEAR(F770)&amp;"-"&amp;IF(LEN(MONTH(F770))=1,"0"&amp;MONTH(F770),MONTH(F770))&amp;"-"&amp;IF(LEN(DAY(F770))=1,"0"&amp;DAY(F770),DAY(F770))</f>
        <v>471-2024-12-31</v>
      </c>
    </row>
    <row r="771" spans="1:18" x14ac:dyDescent="0.3">
      <c r="A771" s="5">
        <v>472</v>
      </c>
      <c r="B771" s="5" t="s">
        <v>530</v>
      </c>
      <c r="C771" s="5" t="s">
        <v>237</v>
      </c>
      <c r="D771" s="5" t="s">
        <v>8</v>
      </c>
      <c r="E771" s="5" t="s">
        <v>9</v>
      </c>
      <c r="F771" s="6">
        <v>45657</v>
      </c>
      <c r="G771" s="5">
        <f t="shared" si="112"/>
        <v>2024</v>
      </c>
      <c r="H771" s="5" t="str">
        <f t="shared" si="110"/>
        <v>Diciembre</v>
      </c>
      <c r="I771" s="6" t="str">
        <f t="shared" si="111"/>
        <v>2024-2</v>
      </c>
      <c r="J771" s="5">
        <v>100</v>
      </c>
      <c r="K771" s="5">
        <v>100</v>
      </c>
      <c r="L771" s="15">
        <f t="shared" si="113"/>
        <v>1</v>
      </c>
      <c r="M771" s="15">
        <f t="shared" si="114"/>
        <v>1</v>
      </c>
      <c r="N771" s="5" t="s">
        <v>347</v>
      </c>
      <c r="O771" s="5" t="s">
        <v>347</v>
      </c>
      <c r="P771" s="5">
        <v>0</v>
      </c>
      <c r="Q771" s="5">
        <v>0</v>
      </c>
      <c r="R771" s="5" t="str">
        <f>A771&amp;"-"&amp;YEAR(F771)&amp;"-"&amp;IF(LEN(MONTH(F771))=1,"0"&amp;MONTH(F771),MONTH(F771))&amp;"-"&amp;IF(LEN(DAY(F771))=1,"0"&amp;DAY(F771),DAY(F771))</f>
        <v>472-2024-12-31</v>
      </c>
    </row>
    <row r="772" spans="1:18" x14ac:dyDescent="0.3">
      <c r="A772" s="26">
        <v>473</v>
      </c>
      <c r="B772" s="23" t="s">
        <v>724</v>
      </c>
      <c r="C772" s="5" t="s">
        <v>129</v>
      </c>
      <c r="D772" s="5" t="s">
        <v>8</v>
      </c>
      <c r="E772" s="5" t="s">
        <v>9</v>
      </c>
      <c r="F772" s="6">
        <v>45657</v>
      </c>
      <c r="G772" s="5">
        <f t="shared" si="112"/>
        <v>2024</v>
      </c>
      <c r="H772" s="5" t="str">
        <f t="shared" si="110"/>
        <v>Diciembre</v>
      </c>
      <c r="I772" s="6" t="str">
        <f t="shared" si="111"/>
        <v>2024-2</v>
      </c>
      <c r="J772" s="5">
        <v>33</v>
      </c>
      <c r="K772" s="5">
        <v>33</v>
      </c>
      <c r="L772" s="15">
        <f t="shared" si="113"/>
        <v>1</v>
      </c>
      <c r="M772" s="15">
        <f t="shared" si="114"/>
        <v>1</v>
      </c>
      <c r="N772" s="5" t="s">
        <v>490</v>
      </c>
      <c r="O772" s="5" t="s">
        <v>490</v>
      </c>
      <c r="P772" s="5">
        <v>0</v>
      </c>
      <c r="Q772" s="5">
        <v>0</v>
      </c>
      <c r="R772" s="5" t="str">
        <f>A772&amp;"-"&amp;YEAR(F772)&amp;"-"&amp;IF(LEN(MONTH(F772))=1,"0"&amp;MONTH(F772),MONTH(F772))&amp;"-"&amp;IF(LEN(DAY(F772))=1,"0"&amp;DAY(F772),DAY(F772))</f>
        <v>473-2024-12-31</v>
      </c>
    </row>
    <row r="773" spans="1:18" x14ac:dyDescent="0.3">
      <c r="A773" s="5">
        <v>474</v>
      </c>
      <c r="B773" s="5" t="s">
        <v>737</v>
      </c>
      <c r="C773" s="5" t="s">
        <v>504</v>
      </c>
      <c r="D773" s="5" t="s">
        <v>8</v>
      </c>
      <c r="E773" s="5" t="s">
        <v>9</v>
      </c>
      <c r="F773" s="6">
        <v>45657</v>
      </c>
      <c r="G773" s="5">
        <f t="shared" si="112"/>
        <v>2024</v>
      </c>
      <c r="H773" s="5" t="str">
        <f t="shared" si="110"/>
        <v>Diciembre</v>
      </c>
      <c r="I773" s="6" t="str">
        <f t="shared" si="111"/>
        <v>2024-2</v>
      </c>
      <c r="J773" s="5">
        <v>100</v>
      </c>
      <c r="K773" s="5">
        <v>100</v>
      </c>
      <c r="L773" s="15">
        <f t="shared" si="113"/>
        <v>1</v>
      </c>
      <c r="M773" s="15">
        <f t="shared" si="114"/>
        <v>1</v>
      </c>
      <c r="N773" s="5" t="s">
        <v>490</v>
      </c>
      <c r="O773" s="5" t="s">
        <v>490</v>
      </c>
      <c r="P773" s="5">
        <v>0</v>
      </c>
      <c r="Q773" s="5">
        <v>0</v>
      </c>
      <c r="R773" s="5" t="str">
        <f>A773&amp;"-"&amp;YEAR(F773)&amp;"-"&amp;IF(LEN(MONTH(F773))=1,"0"&amp;MONTH(F773),MONTH(F773))&amp;"-"&amp;IF(LEN(DAY(F773))=1,"0"&amp;DAY(F773),DAY(F773))</f>
        <v>474-2024-12-31</v>
      </c>
    </row>
    <row r="774" spans="1:18" x14ac:dyDescent="0.3">
      <c r="A774" s="5">
        <v>475</v>
      </c>
      <c r="B774" s="5" t="s">
        <v>738</v>
      </c>
      <c r="C774" s="5" t="s">
        <v>209</v>
      </c>
      <c r="D774" s="5" t="s">
        <v>8</v>
      </c>
      <c r="E774" s="5" t="s">
        <v>9</v>
      </c>
      <c r="F774" s="6">
        <v>45657</v>
      </c>
      <c r="G774" s="5">
        <f t="shared" si="112"/>
        <v>2024</v>
      </c>
      <c r="H774" s="5" t="str">
        <f t="shared" si="110"/>
        <v>Diciembre</v>
      </c>
      <c r="I774" s="6" t="str">
        <f t="shared" si="111"/>
        <v>2024-2</v>
      </c>
      <c r="J774" s="5">
        <v>10</v>
      </c>
      <c r="K774" s="5">
        <v>10</v>
      </c>
      <c r="L774" s="15">
        <f t="shared" si="113"/>
        <v>1</v>
      </c>
      <c r="M774" s="15">
        <f t="shared" si="114"/>
        <v>1</v>
      </c>
      <c r="N774" s="5" t="s">
        <v>490</v>
      </c>
      <c r="O774" s="5" t="s">
        <v>490</v>
      </c>
      <c r="P774" s="5">
        <v>0</v>
      </c>
      <c r="Q774" s="5">
        <v>0</v>
      </c>
      <c r="R774" s="5" t="str">
        <f>A774&amp;"-"&amp;YEAR(F774)&amp;"-"&amp;IF(LEN(MONTH(F774))=1,"0"&amp;MONTH(F774),MONTH(F774))&amp;"-"&amp;IF(LEN(DAY(F774))=1,"0"&amp;DAY(F774),DAY(F774))</f>
        <v>475-2024-12-31</v>
      </c>
    </row>
    <row r="775" spans="1:18" x14ac:dyDescent="0.3">
      <c r="A775" s="5">
        <v>476</v>
      </c>
      <c r="B775" s="5" t="s">
        <v>725</v>
      </c>
      <c r="C775" s="5" t="s">
        <v>129</v>
      </c>
      <c r="D775" s="5" t="s">
        <v>8</v>
      </c>
      <c r="E775" s="5" t="s">
        <v>9</v>
      </c>
      <c r="F775" s="6">
        <v>45657</v>
      </c>
      <c r="G775" s="5">
        <f t="shared" si="112"/>
        <v>2024</v>
      </c>
      <c r="H775" s="5" t="str">
        <f t="shared" si="110"/>
        <v>Diciembre</v>
      </c>
      <c r="I775" s="6" t="str">
        <f t="shared" si="111"/>
        <v>2024-2</v>
      </c>
      <c r="J775" s="5">
        <v>30</v>
      </c>
      <c r="K775" s="5">
        <v>30</v>
      </c>
      <c r="L775" s="15">
        <f t="shared" si="113"/>
        <v>1</v>
      </c>
      <c r="M775" s="15">
        <f t="shared" si="114"/>
        <v>1</v>
      </c>
      <c r="N775" s="5" t="s">
        <v>490</v>
      </c>
      <c r="O775" s="5" t="s">
        <v>490</v>
      </c>
      <c r="P775" s="5">
        <v>0</v>
      </c>
      <c r="Q775" s="5">
        <v>0</v>
      </c>
      <c r="R775" s="5" t="str">
        <f>A775&amp;"-"&amp;YEAR(F775)&amp;"-"&amp;IF(LEN(MONTH(F775))=1,"0"&amp;MONTH(F775),MONTH(F775))&amp;"-"&amp;IF(LEN(DAY(F775))=1,"0"&amp;DAY(F775),DAY(F775))</f>
        <v>476-2024-12-31</v>
      </c>
    </row>
    <row r="776" spans="1:18" x14ac:dyDescent="0.3">
      <c r="A776" s="5">
        <v>477</v>
      </c>
      <c r="B776" s="5" t="s">
        <v>739</v>
      </c>
      <c r="C776" s="5" t="s">
        <v>504</v>
      </c>
      <c r="D776" s="5" t="s">
        <v>8</v>
      </c>
      <c r="E776" s="5" t="s">
        <v>9</v>
      </c>
      <c r="F776" s="6">
        <v>45657</v>
      </c>
      <c r="G776" s="5">
        <f t="shared" si="112"/>
        <v>2024</v>
      </c>
      <c r="H776" s="5" t="str">
        <f t="shared" si="110"/>
        <v>Diciembre</v>
      </c>
      <c r="I776" s="6" t="str">
        <f t="shared" si="111"/>
        <v>2024-2</v>
      </c>
      <c r="J776" s="5">
        <v>100</v>
      </c>
      <c r="K776" s="5">
        <v>100</v>
      </c>
      <c r="L776" s="15">
        <f t="shared" si="113"/>
        <v>1</v>
      </c>
      <c r="M776" s="15">
        <f t="shared" si="114"/>
        <v>1</v>
      </c>
      <c r="N776" s="5" t="s">
        <v>490</v>
      </c>
      <c r="O776" s="5" t="s">
        <v>490</v>
      </c>
      <c r="P776" s="5">
        <v>0</v>
      </c>
      <c r="Q776" s="5">
        <v>0</v>
      </c>
      <c r="R776" s="5" t="str">
        <f>A776&amp;"-"&amp;YEAR(F776)&amp;"-"&amp;IF(LEN(MONTH(F776))=1,"0"&amp;MONTH(F776),MONTH(F776))&amp;"-"&amp;IF(LEN(DAY(F776))=1,"0"&amp;DAY(F776),DAY(F776))</f>
        <v>477-2024-12-31</v>
      </c>
    </row>
    <row r="777" spans="1:18" x14ac:dyDescent="0.3">
      <c r="A777" s="5">
        <v>478</v>
      </c>
      <c r="B777" s="5" t="s">
        <v>740</v>
      </c>
      <c r="C777" s="5" t="s">
        <v>504</v>
      </c>
      <c r="D777" s="5" t="s">
        <v>8</v>
      </c>
      <c r="E777" s="5" t="s">
        <v>9</v>
      </c>
      <c r="F777" s="6">
        <v>45657</v>
      </c>
      <c r="G777" s="5">
        <f t="shared" si="112"/>
        <v>2024</v>
      </c>
      <c r="H777" s="5" t="str">
        <f t="shared" si="110"/>
        <v>Diciembre</v>
      </c>
      <c r="I777" s="6" t="str">
        <f t="shared" si="111"/>
        <v>2024-2</v>
      </c>
      <c r="J777" s="5">
        <v>100</v>
      </c>
      <c r="K777" s="5">
        <v>100</v>
      </c>
      <c r="L777" s="15">
        <f t="shared" si="113"/>
        <v>1</v>
      </c>
      <c r="M777" s="15">
        <f t="shared" si="114"/>
        <v>1</v>
      </c>
      <c r="N777" s="5" t="s">
        <v>490</v>
      </c>
      <c r="O777" s="5" t="s">
        <v>490</v>
      </c>
      <c r="P777" s="5">
        <v>0</v>
      </c>
      <c r="Q777" s="5">
        <v>0</v>
      </c>
      <c r="R777" s="5" t="str">
        <f>A777&amp;"-"&amp;YEAR(F777)&amp;"-"&amp;IF(LEN(MONTH(F777))=1,"0"&amp;MONTH(F777),MONTH(F777))&amp;"-"&amp;IF(LEN(DAY(F777))=1,"0"&amp;DAY(F777),DAY(F777))</f>
        <v>478-2024-12-31</v>
      </c>
    </row>
    <row r="778" spans="1:18" x14ac:dyDescent="0.3">
      <c r="A778" s="5">
        <v>479</v>
      </c>
      <c r="B778" s="5" t="s">
        <v>741</v>
      </c>
      <c r="C778" s="5" t="s">
        <v>504</v>
      </c>
      <c r="D778" s="5" t="s">
        <v>8</v>
      </c>
      <c r="E778" s="5" t="s">
        <v>9</v>
      </c>
      <c r="F778" s="6">
        <v>45657</v>
      </c>
      <c r="G778" s="5">
        <f t="shared" si="112"/>
        <v>2024</v>
      </c>
      <c r="H778" s="5" t="str">
        <f t="shared" si="110"/>
        <v>Diciembre</v>
      </c>
      <c r="I778" s="6" t="str">
        <f t="shared" si="111"/>
        <v>2024-2</v>
      </c>
      <c r="J778" s="5">
        <v>100</v>
      </c>
      <c r="K778" s="5">
        <v>100</v>
      </c>
      <c r="L778" s="15">
        <f t="shared" si="113"/>
        <v>1</v>
      </c>
      <c r="M778" s="15">
        <f t="shared" si="114"/>
        <v>1</v>
      </c>
      <c r="N778" s="5" t="s">
        <v>490</v>
      </c>
      <c r="O778" s="5" t="s">
        <v>490</v>
      </c>
      <c r="P778" s="5">
        <v>0</v>
      </c>
      <c r="Q778" s="5">
        <v>0</v>
      </c>
      <c r="R778" s="5" t="str">
        <f>A778&amp;"-"&amp;YEAR(F778)&amp;"-"&amp;IF(LEN(MONTH(F778))=1,"0"&amp;MONTH(F778),MONTH(F778))&amp;"-"&amp;IF(LEN(DAY(F778))=1,"0"&amp;DAY(F778),DAY(F778))</f>
        <v>479-2024-12-31</v>
      </c>
    </row>
    <row r="779" spans="1:18" x14ac:dyDescent="0.3">
      <c r="A779" s="5">
        <v>480</v>
      </c>
      <c r="B779" s="5" t="s">
        <v>742</v>
      </c>
      <c r="C779" s="5" t="s">
        <v>504</v>
      </c>
      <c r="D779" s="5" t="s">
        <v>8</v>
      </c>
      <c r="E779" s="5" t="s">
        <v>9</v>
      </c>
      <c r="F779" s="6">
        <v>45657</v>
      </c>
      <c r="G779" s="5">
        <f t="shared" si="112"/>
        <v>2024</v>
      </c>
      <c r="H779" s="5" t="str">
        <f t="shared" si="110"/>
        <v>Diciembre</v>
      </c>
      <c r="I779" s="6" t="str">
        <f t="shared" si="111"/>
        <v>2024-2</v>
      </c>
      <c r="J779" s="5">
        <v>100</v>
      </c>
      <c r="K779" s="5">
        <v>100</v>
      </c>
      <c r="L779" s="15">
        <f t="shared" si="113"/>
        <v>1</v>
      </c>
      <c r="M779" s="15">
        <f t="shared" si="114"/>
        <v>1</v>
      </c>
      <c r="N779" s="5" t="s">
        <v>490</v>
      </c>
      <c r="O779" s="5" t="s">
        <v>490</v>
      </c>
      <c r="P779" s="5">
        <v>0</v>
      </c>
      <c r="Q779" s="5">
        <v>0</v>
      </c>
      <c r="R779" s="5" t="str">
        <f>A779&amp;"-"&amp;YEAR(F779)&amp;"-"&amp;IF(LEN(MONTH(F779))=1,"0"&amp;MONTH(F779),MONTH(F779))&amp;"-"&amp;IF(LEN(DAY(F779))=1,"0"&amp;DAY(F779),DAY(F779))</f>
        <v>480-2024-12-31</v>
      </c>
    </row>
    <row r="780" spans="1:18" x14ac:dyDescent="0.3">
      <c r="A780" s="5">
        <v>481</v>
      </c>
      <c r="B780" s="5" t="s">
        <v>726</v>
      </c>
      <c r="C780" s="5" t="s">
        <v>129</v>
      </c>
      <c r="D780" s="5" t="s">
        <v>8</v>
      </c>
      <c r="E780" s="5" t="s">
        <v>9</v>
      </c>
      <c r="F780" s="6">
        <v>45657</v>
      </c>
      <c r="G780" s="5">
        <f t="shared" si="112"/>
        <v>2024</v>
      </c>
      <c r="H780" s="5" t="str">
        <f t="shared" si="110"/>
        <v>Diciembre</v>
      </c>
      <c r="I780" s="6" t="str">
        <f t="shared" si="111"/>
        <v>2024-2</v>
      </c>
      <c r="J780" s="5">
        <v>100</v>
      </c>
      <c r="K780" s="5">
        <v>100</v>
      </c>
      <c r="L780" s="15">
        <f t="shared" si="113"/>
        <v>1</v>
      </c>
      <c r="M780" s="15">
        <f t="shared" si="114"/>
        <v>1</v>
      </c>
      <c r="N780" s="5" t="s">
        <v>347</v>
      </c>
      <c r="O780" s="5" t="s">
        <v>347</v>
      </c>
      <c r="P780" s="5">
        <v>0</v>
      </c>
      <c r="Q780" s="5">
        <v>0</v>
      </c>
      <c r="R780" s="5" t="str">
        <f>A780&amp;"-"&amp;YEAR(F780)&amp;"-"&amp;IF(LEN(MONTH(F780))=1,"0"&amp;MONTH(F780),MONTH(F780))&amp;"-"&amp;IF(LEN(DAY(F780))=1,"0"&amp;DAY(F780),DAY(F780))</f>
        <v>481-2024-12-31</v>
      </c>
    </row>
    <row r="781" spans="1:18" x14ac:dyDescent="0.3">
      <c r="A781" s="5">
        <v>483</v>
      </c>
      <c r="B781" s="5" t="s">
        <v>743</v>
      </c>
      <c r="C781" s="5" t="s">
        <v>281</v>
      </c>
      <c r="D781" s="5" t="s">
        <v>25</v>
      </c>
      <c r="E781" s="5" t="s">
        <v>9</v>
      </c>
      <c r="F781" s="6">
        <v>45657</v>
      </c>
      <c r="G781" s="5">
        <f t="shared" si="112"/>
        <v>2024</v>
      </c>
      <c r="H781" s="5" t="str">
        <f t="shared" si="110"/>
        <v>Diciembre</v>
      </c>
      <c r="I781" s="6" t="str">
        <f t="shared" si="111"/>
        <v>2024-2</v>
      </c>
      <c r="J781" s="5">
        <v>10</v>
      </c>
      <c r="K781" s="5">
        <v>91.65</v>
      </c>
      <c r="L781" s="15">
        <f t="shared" si="113"/>
        <v>1.3</v>
      </c>
      <c r="M781" s="15">
        <f t="shared" si="114"/>
        <v>9.1650000000000009</v>
      </c>
      <c r="N781" s="5" t="s">
        <v>490</v>
      </c>
      <c r="O781" s="5" t="s">
        <v>490</v>
      </c>
      <c r="P781" s="5">
        <v>0</v>
      </c>
      <c r="Q781" s="5">
        <v>0</v>
      </c>
      <c r="R781" s="5" t="str">
        <f>A781&amp;"-"&amp;YEAR(F781)&amp;"-"&amp;IF(LEN(MONTH(F781))=1,"0"&amp;MONTH(F781),MONTH(F781))&amp;"-"&amp;IF(LEN(DAY(F781))=1,"0"&amp;DAY(F781),DAY(F781))</f>
        <v>483-2024-12-31</v>
      </c>
    </row>
    <row r="782" spans="1:18" x14ac:dyDescent="0.3">
      <c r="A782" s="5">
        <v>484</v>
      </c>
      <c r="B782" s="5" t="s">
        <v>720</v>
      </c>
      <c r="C782" s="5" t="s">
        <v>24</v>
      </c>
      <c r="D782" s="5" t="s">
        <v>11</v>
      </c>
      <c r="E782" s="5" t="s">
        <v>9</v>
      </c>
      <c r="F782" s="6">
        <v>45657</v>
      </c>
      <c r="G782" s="5">
        <f t="shared" si="112"/>
        <v>2024</v>
      </c>
      <c r="H782" s="5" t="str">
        <f t="shared" si="110"/>
        <v>Diciembre</v>
      </c>
      <c r="I782" s="6" t="str">
        <f t="shared" si="111"/>
        <v>2024-2</v>
      </c>
      <c r="J782" s="5">
        <v>90</v>
      </c>
      <c r="K782" s="5">
        <v>100</v>
      </c>
      <c r="L782" s="15">
        <f t="shared" si="113"/>
        <v>1.1111111111111112</v>
      </c>
      <c r="M782" s="15">
        <f t="shared" si="114"/>
        <v>1.1111111111111112</v>
      </c>
      <c r="N782" s="5" t="s">
        <v>347</v>
      </c>
      <c r="O782" s="5" t="s">
        <v>347</v>
      </c>
      <c r="P782" s="5">
        <v>0</v>
      </c>
      <c r="Q782" s="5">
        <v>0</v>
      </c>
      <c r="R782" s="5" t="str">
        <f>A782&amp;"-"&amp;YEAR(F782)&amp;"-"&amp;IF(LEN(MONTH(F782))=1,"0"&amp;MONTH(F782),MONTH(F782))&amp;"-"&amp;IF(LEN(DAY(F782))=1,"0"&amp;DAY(F782),DAY(F782))</f>
        <v>484-2024-12-31</v>
      </c>
    </row>
    <row r="783" spans="1:18" x14ac:dyDescent="0.3">
      <c r="A783" s="5">
        <v>485</v>
      </c>
      <c r="B783" s="5" t="s">
        <v>744</v>
      </c>
      <c r="C783" s="5" t="s">
        <v>45</v>
      </c>
      <c r="D783" s="5" t="s">
        <v>18</v>
      </c>
      <c r="E783" s="5" t="s">
        <v>9</v>
      </c>
      <c r="F783" s="6">
        <v>45657</v>
      </c>
      <c r="G783" s="5">
        <f t="shared" si="112"/>
        <v>2024</v>
      </c>
      <c r="H783" s="5" t="str">
        <f t="shared" si="110"/>
        <v>Diciembre</v>
      </c>
      <c r="I783" s="6" t="str">
        <f t="shared" si="111"/>
        <v>2024-2</v>
      </c>
      <c r="J783" s="5">
        <v>80</v>
      </c>
      <c r="K783" s="5">
        <v>66.67</v>
      </c>
      <c r="L783" s="15">
        <f t="shared" si="113"/>
        <v>0.83337499999999998</v>
      </c>
      <c r="M783" s="15">
        <f t="shared" si="114"/>
        <v>0.83337499999999998</v>
      </c>
      <c r="N783" s="5" t="s">
        <v>347</v>
      </c>
      <c r="O783" s="5" t="s">
        <v>347</v>
      </c>
      <c r="P783" s="5">
        <v>0</v>
      </c>
      <c r="Q783" s="5">
        <v>0</v>
      </c>
      <c r="R783" s="5" t="str">
        <f>A783&amp;"-"&amp;YEAR(F783)&amp;"-"&amp;IF(LEN(MONTH(F783))=1,"0"&amp;MONTH(F783),MONTH(F783))&amp;"-"&amp;IF(LEN(DAY(F783))=1,"0"&amp;DAY(F783),DAY(F783))</f>
        <v>485-2024-12-31</v>
      </c>
    </row>
    <row r="784" spans="1:18" x14ac:dyDescent="0.3">
      <c r="A784" s="5">
        <v>486</v>
      </c>
      <c r="B784" s="5" t="s">
        <v>745</v>
      </c>
      <c r="C784" s="5" t="s">
        <v>320</v>
      </c>
      <c r="D784" s="5" t="s">
        <v>8</v>
      </c>
      <c r="E784" s="5" t="s">
        <v>9</v>
      </c>
      <c r="F784" s="6">
        <v>45657</v>
      </c>
      <c r="G784" s="5">
        <f t="shared" si="112"/>
        <v>2024</v>
      </c>
      <c r="H784" s="5" t="str">
        <f t="shared" si="110"/>
        <v>Diciembre</v>
      </c>
      <c r="I784" s="6" t="str">
        <f t="shared" si="111"/>
        <v>2024-2</v>
      </c>
      <c r="J784" s="5">
        <v>0</v>
      </c>
      <c r="K784" s="5">
        <v>2700000</v>
      </c>
      <c r="L784" s="15" t="str">
        <f t="shared" si="113"/>
        <v/>
      </c>
      <c r="M784" s="15" t="str">
        <f t="shared" si="114"/>
        <v/>
      </c>
      <c r="N784" s="5" t="s">
        <v>347</v>
      </c>
      <c r="O784" s="5" t="s">
        <v>347</v>
      </c>
      <c r="P784" s="5">
        <v>0</v>
      </c>
      <c r="Q784" s="5">
        <v>0</v>
      </c>
      <c r="R784" s="5" t="str">
        <f>A784&amp;"-"&amp;YEAR(F784)&amp;"-"&amp;IF(LEN(MONTH(F784))=1,"0"&amp;MONTH(F784),MONTH(F784))&amp;"-"&amp;IF(LEN(DAY(F784))=1,"0"&amp;DAY(F784),DAY(F784))</f>
        <v>486-2024-12-31</v>
      </c>
    </row>
    <row r="785" spans="1:18" x14ac:dyDescent="0.3">
      <c r="A785" s="5">
        <v>487</v>
      </c>
      <c r="B785" s="5" t="s">
        <v>746</v>
      </c>
      <c r="C785" s="5" t="s">
        <v>152</v>
      </c>
      <c r="D785" s="5" t="s">
        <v>25</v>
      </c>
      <c r="E785" s="5" t="s">
        <v>9</v>
      </c>
      <c r="F785" s="6">
        <v>45657</v>
      </c>
      <c r="G785" s="5">
        <f t="shared" si="112"/>
        <v>2024</v>
      </c>
      <c r="H785" s="5" t="str">
        <f t="shared" si="110"/>
        <v>Diciembre</v>
      </c>
      <c r="I785" s="6" t="str">
        <f t="shared" si="111"/>
        <v>2024-2</v>
      </c>
      <c r="J785" s="5">
        <v>20</v>
      </c>
      <c r="K785" s="5">
        <v>164.17</v>
      </c>
      <c r="L785" s="15">
        <f t="shared" si="113"/>
        <v>1.3</v>
      </c>
      <c r="M785" s="15">
        <f t="shared" si="114"/>
        <v>8.208499999999999</v>
      </c>
      <c r="N785" s="5" t="s">
        <v>347</v>
      </c>
      <c r="O785" s="5" t="s">
        <v>347</v>
      </c>
      <c r="P785" s="5">
        <v>0</v>
      </c>
      <c r="Q785" s="5">
        <v>0</v>
      </c>
      <c r="R785" s="5" t="str">
        <f>A785&amp;"-"&amp;YEAR(F785)&amp;"-"&amp;IF(LEN(MONTH(F785))=1,"0"&amp;MONTH(F785),MONTH(F785))&amp;"-"&amp;IF(LEN(DAY(F785))=1,"0"&amp;DAY(F785),DAY(F785))</f>
        <v>487-2024-12-31</v>
      </c>
    </row>
    <row r="786" spans="1:18" x14ac:dyDescent="0.3">
      <c r="A786" s="5">
        <v>488</v>
      </c>
      <c r="B786" s="5" t="s">
        <v>747</v>
      </c>
      <c r="C786" s="5" t="s">
        <v>45</v>
      </c>
      <c r="D786" s="5" t="s">
        <v>18</v>
      </c>
      <c r="E786" s="5" t="s">
        <v>9</v>
      </c>
      <c r="F786" s="6">
        <v>45657</v>
      </c>
      <c r="G786" s="5">
        <f t="shared" si="112"/>
        <v>2024</v>
      </c>
      <c r="H786" s="5" t="str">
        <f t="shared" si="110"/>
        <v>Diciembre</v>
      </c>
      <c r="I786" s="6" t="str">
        <f t="shared" si="111"/>
        <v>2024-2</v>
      </c>
      <c r="J786" s="5">
        <v>85</v>
      </c>
      <c r="K786" s="5">
        <v>91.32</v>
      </c>
      <c r="L786" s="15">
        <f t="shared" si="113"/>
        <v>1.0743529411764705</v>
      </c>
      <c r="M786" s="15">
        <f t="shared" si="114"/>
        <v>1.0743529411764705</v>
      </c>
      <c r="N786" s="5" t="s">
        <v>347</v>
      </c>
      <c r="O786" s="5" t="s">
        <v>347</v>
      </c>
      <c r="P786" s="5">
        <v>0</v>
      </c>
      <c r="Q786" s="5">
        <v>0</v>
      </c>
      <c r="R786" s="5" t="str">
        <f>A786&amp;"-"&amp;YEAR(F786)&amp;"-"&amp;IF(LEN(MONTH(F786))=1,"0"&amp;MONTH(F786),MONTH(F786))&amp;"-"&amp;IF(LEN(DAY(F786))=1,"0"&amp;DAY(F786),DAY(F786))</f>
        <v>488-2024-12-31</v>
      </c>
    </row>
    <row r="787" spans="1:18" x14ac:dyDescent="0.3">
      <c r="A787" s="5">
        <v>489</v>
      </c>
      <c r="B787" s="5" t="s">
        <v>748</v>
      </c>
      <c r="C787" s="5" t="s">
        <v>45</v>
      </c>
      <c r="D787" s="5" t="s">
        <v>18</v>
      </c>
      <c r="E787" s="5" t="s">
        <v>9</v>
      </c>
      <c r="F787" s="6">
        <v>45657</v>
      </c>
      <c r="G787" s="5">
        <f t="shared" si="112"/>
        <v>2024</v>
      </c>
      <c r="H787" s="5" t="str">
        <f t="shared" si="110"/>
        <v>Diciembre</v>
      </c>
      <c r="I787" s="6" t="str">
        <f t="shared" si="111"/>
        <v>2024-2</v>
      </c>
      <c r="J787" s="5">
        <v>80</v>
      </c>
      <c r="K787" s="5">
        <v>100</v>
      </c>
      <c r="L787" s="15">
        <f t="shared" si="113"/>
        <v>1.25</v>
      </c>
      <c r="M787" s="15">
        <f t="shared" si="114"/>
        <v>1.25</v>
      </c>
      <c r="N787" s="5" t="s">
        <v>347</v>
      </c>
      <c r="O787" s="5" t="s">
        <v>347</v>
      </c>
      <c r="P787" s="5">
        <v>0</v>
      </c>
      <c r="Q787" s="5">
        <v>0</v>
      </c>
      <c r="R787" s="5" t="str">
        <f>A787&amp;"-"&amp;YEAR(F787)&amp;"-"&amp;IF(LEN(MONTH(F787))=1,"0"&amp;MONTH(F787),MONTH(F787))&amp;"-"&amp;IF(LEN(DAY(F787))=1,"0"&amp;DAY(F787),DAY(F787))</f>
        <v>489-2024-12-31</v>
      </c>
    </row>
    <row r="788" spans="1:18" x14ac:dyDescent="0.3">
      <c r="A788" s="5">
        <v>490</v>
      </c>
      <c r="B788" s="5" t="s">
        <v>481</v>
      </c>
      <c r="C788" s="5" t="s">
        <v>131</v>
      </c>
      <c r="D788" s="5" t="s">
        <v>25</v>
      </c>
      <c r="E788" s="5" t="s">
        <v>9</v>
      </c>
      <c r="F788" s="6">
        <v>45657</v>
      </c>
      <c r="G788" s="5">
        <f t="shared" si="112"/>
        <v>2024</v>
      </c>
      <c r="H788" s="5" t="str">
        <f t="shared" si="110"/>
        <v>Diciembre</v>
      </c>
      <c r="I788" s="6" t="str">
        <f t="shared" si="111"/>
        <v>2024-2</v>
      </c>
      <c r="J788" s="5">
        <v>80</v>
      </c>
      <c r="K788" s="5">
        <v>88</v>
      </c>
      <c r="L788" s="15">
        <f t="shared" si="113"/>
        <v>1.1000000000000001</v>
      </c>
      <c r="M788" s="15">
        <f t="shared" si="114"/>
        <v>1.1000000000000001</v>
      </c>
      <c r="N788" s="5" t="s">
        <v>347</v>
      </c>
      <c r="O788" s="5" t="s">
        <v>347</v>
      </c>
      <c r="P788" s="5">
        <v>0</v>
      </c>
      <c r="Q788" s="5">
        <v>0</v>
      </c>
      <c r="R788" s="5" t="str">
        <f>A788&amp;"-"&amp;YEAR(F788)&amp;"-"&amp;IF(LEN(MONTH(F788))=1,"0"&amp;MONTH(F788),MONTH(F788))&amp;"-"&amp;IF(LEN(DAY(F788))=1,"0"&amp;DAY(F788),DAY(F788))</f>
        <v>490-2024-12-31</v>
      </c>
    </row>
    <row r="789" spans="1:18" x14ac:dyDescent="0.3">
      <c r="A789" s="5">
        <v>491</v>
      </c>
      <c r="B789" s="5" t="s">
        <v>749</v>
      </c>
      <c r="C789" s="5" t="s">
        <v>117</v>
      </c>
      <c r="D789" s="5" t="s">
        <v>25</v>
      </c>
      <c r="E789" s="5" t="s">
        <v>9</v>
      </c>
      <c r="F789" s="6">
        <v>45657</v>
      </c>
      <c r="G789" s="5">
        <f t="shared" si="112"/>
        <v>2024</v>
      </c>
      <c r="H789" s="5" t="str">
        <f t="shared" si="110"/>
        <v>Diciembre</v>
      </c>
      <c r="I789" s="6" t="str">
        <f t="shared" si="111"/>
        <v>2024-2</v>
      </c>
      <c r="J789" s="5">
        <v>80</v>
      </c>
      <c r="K789" s="5">
        <v>88</v>
      </c>
      <c r="L789" s="15">
        <f t="shared" si="113"/>
        <v>1.1000000000000001</v>
      </c>
      <c r="M789" s="15">
        <f t="shared" si="114"/>
        <v>1.1000000000000001</v>
      </c>
      <c r="N789" s="5" t="s">
        <v>347</v>
      </c>
      <c r="O789" s="5" t="s">
        <v>347</v>
      </c>
      <c r="P789" s="5">
        <v>0</v>
      </c>
      <c r="Q789" s="5">
        <v>0</v>
      </c>
      <c r="R789" s="5" t="str">
        <f>A789&amp;"-"&amp;YEAR(F789)&amp;"-"&amp;IF(LEN(MONTH(F789))=1,"0"&amp;MONTH(F789),MONTH(F789))&amp;"-"&amp;IF(LEN(DAY(F789))=1,"0"&amp;DAY(F789),DAY(F789))</f>
        <v>491-2024-12-31</v>
      </c>
    </row>
    <row r="790" spans="1:18" x14ac:dyDescent="0.3">
      <c r="A790" s="5">
        <v>492</v>
      </c>
      <c r="B790" s="5" t="s">
        <v>485</v>
      </c>
      <c r="C790" s="5" t="s">
        <v>134</v>
      </c>
      <c r="D790" s="5" t="s">
        <v>25</v>
      </c>
      <c r="E790" s="5" t="s">
        <v>9</v>
      </c>
      <c r="F790" s="6">
        <v>45657</v>
      </c>
      <c r="G790" s="5">
        <f t="shared" si="112"/>
        <v>2024</v>
      </c>
      <c r="H790" s="5" t="str">
        <f t="shared" si="110"/>
        <v>Diciembre</v>
      </c>
      <c r="I790" s="6" t="str">
        <f t="shared" si="111"/>
        <v>2024-2</v>
      </c>
      <c r="J790" s="5">
        <v>80</v>
      </c>
      <c r="K790" s="5">
        <v>83</v>
      </c>
      <c r="L790" s="15">
        <f t="shared" si="113"/>
        <v>1.0375000000000001</v>
      </c>
      <c r="M790" s="15">
        <f t="shared" si="114"/>
        <v>1.0375000000000001</v>
      </c>
      <c r="N790" s="5" t="s">
        <v>347</v>
      </c>
      <c r="O790" s="5" t="s">
        <v>347</v>
      </c>
      <c r="P790" s="5">
        <v>0</v>
      </c>
      <c r="Q790" s="5">
        <v>0</v>
      </c>
      <c r="R790" s="5" t="str">
        <f>A790&amp;"-"&amp;YEAR(F790)&amp;"-"&amp;IF(LEN(MONTH(F790))=1,"0"&amp;MONTH(F790),MONTH(F790))&amp;"-"&amp;IF(LEN(DAY(F790))=1,"0"&amp;DAY(F790),DAY(F790))</f>
        <v>492-2024-12-31</v>
      </c>
    </row>
    <row r="791" spans="1:18" x14ac:dyDescent="0.3">
      <c r="A791" s="5">
        <v>493</v>
      </c>
      <c r="B791" s="5" t="s">
        <v>750</v>
      </c>
      <c r="C791" s="5" t="s">
        <v>145</v>
      </c>
      <c r="D791" s="5" t="s">
        <v>25</v>
      </c>
      <c r="E791" s="5" t="s">
        <v>9</v>
      </c>
      <c r="F791" s="6">
        <v>45657</v>
      </c>
      <c r="G791" s="5">
        <f t="shared" si="112"/>
        <v>2024</v>
      </c>
      <c r="H791" s="5" t="str">
        <f t="shared" si="110"/>
        <v>Diciembre</v>
      </c>
      <c r="I791" s="6" t="str">
        <f t="shared" si="111"/>
        <v>2024-2</v>
      </c>
      <c r="J791" s="5">
        <v>80</v>
      </c>
      <c r="K791" s="5">
        <v>81</v>
      </c>
      <c r="L791" s="15">
        <f t="shared" si="113"/>
        <v>1.0125</v>
      </c>
      <c r="M791" s="15">
        <f t="shared" si="114"/>
        <v>1.0125</v>
      </c>
      <c r="N791" s="5" t="s">
        <v>347</v>
      </c>
      <c r="O791" s="5" t="s">
        <v>347</v>
      </c>
      <c r="P791" s="5">
        <v>0</v>
      </c>
      <c r="Q791" s="5">
        <v>0</v>
      </c>
      <c r="R791" s="5" t="str">
        <f>A791&amp;"-"&amp;YEAR(F791)&amp;"-"&amp;IF(LEN(MONTH(F791))=1,"0"&amp;MONTH(F791),MONTH(F791))&amp;"-"&amp;IF(LEN(DAY(F791))=1,"0"&amp;DAY(F791),DAY(F791))</f>
        <v>493-2024-12-31</v>
      </c>
    </row>
    <row r="792" spans="1:18" x14ac:dyDescent="0.3">
      <c r="A792" s="5">
        <v>494</v>
      </c>
      <c r="B792" s="5" t="s">
        <v>751</v>
      </c>
      <c r="C792" s="5" t="s">
        <v>185</v>
      </c>
      <c r="D792" s="5" t="s">
        <v>25</v>
      </c>
      <c r="E792" s="5" t="s">
        <v>9</v>
      </c>
      <c r="F792" s="6">
        <v>45657</v>
      </c>
      <c r="G792" s="5">
        <f t="shared" si="112"/>
        <v>2024</v>
      </c>
      <c r="H792" s="5" t="str">
        <f t="shared" si="110"/>
        <v>Diciembre</v>
      </c>
      <c r="I792" s="6" t="str">
        <f t="shared" si="111"/>
        <v>2024-2</v>
      </c>
      <c r="J792" s="5">
        <v>80</v>
      </c>
      <c r="K792" s="5">
        <v>89</v>
      </c>
      <c r="L792" s="15">
        <f t="shared" si="113"/>
        <v>1.1125</v>
      </c>
      <c r="M792" s="15">
        <f t="shared" si="114"/>
        <v>1.1125</v>
      </c>
      <c r="N792" s="5" t="s">
        <v>347</v>
      </c>
      <c r="O792" s="5" t="s">
        <v>347</v>
      </c>
      <c r="P792" s="5">
        <v>0</v>
      </c>
      <c r="Q792" s="5">
        <v>0</v>
      </c>
      <c r="R792" s="5" t="str">
        <f>A792&amp;"-"&amp;YEAR(F792)&amp;"-"&amp;IF(LEN(MONTH(F792))=1,"0"&amp;MONTH(F792),MONTH(F792))&amp;"-"&amp;IF(LEN(DAY(F792))=1,"0"&amp;DAY(F792),DAY(F792))</f>
        <v>494-2024-12-31</v>
      </c>
    </row>
    <row r="793" spans="1:18" x14ac:dyDescent="0.3">
      <c r="A793" s="5">
        <v>495</v>
      </c>
      <c r="B793" s="5" t="s">
        <v>482</v>
      </c>
      <c r="C793" s="5" t="s">
        <v>231</v>
      </c>
      <c r="D793" s="5" t="s">
        <v>25</v>
      </c>
      <c r="E793" s="5" t="s">
        <v>9</v>
      </c>
      <c r="F793" s="6">
        <v>45657</v>
      </c>
      <c r="G793" s="5">
        <f t="shared" si="112"/>
        <v>2024</v>
      </c>
      <c r="H793" s="5" t="str">
        <f t="shared" si="110"/>
        <v>Diciembre</v>
      </c>
      <c r="I793" s="6" t="str">
        <f t="shared" si="111"/>
        <v>2024-2</v>
      </c>
      <c r="J793" s="5">
        <v>80</v>
      </c>
      <c r="K793" s="5">
        <v>92</v>
      </c>
      <c r="L793" s="15">
        <f t="shared" si="113"/>
        <v>1.1499999999999999</v>
      </c>
      <c r="M793" s="15">
        <f t="shared" si="114"/>
        <v>1.1499999999999999</v>
      </c>
      <c r="N793" s="5" t="s">
        <v>347</v>
      </c>
      <c r="O793" s="5" t="s">
        <v>347</v>
      </c>
      <c r="P793" s="5">
        <v>0</v>
      </c>
      <c r="Q793" s="5">
        <v>0</v>
      </c>
      <c r="R793" s="5" t="str">
        <f>A793&amp;"-"&amp;YEAR(F793)&amp;"-"&amp;IF(LEN(MONTH(F793))=1,"0"&amp;MONTH(F793),MONTH(F793))&amp;"-"&amp;IF(LEN(DAY(F793))=1,"0"&amp;DAY(F793),DAY(F793))</f>
        <v>495-2024-12-31</v>
      </c>
    </row>
    <row r="794" spans="1:18" x14ac:dyDescent="0.3">
      <c r="A794" s="5">
        <v>496</v>
      </c>
      <c r="B794" s="5" t="s">
        <v>752</v>
      </c>
      <c r="C794" s="5" t="s">
        <v>84</v>
      </c>
      <c r="D794" s="5" t="s">
        <v>25</v>
      </c>
      <c r="E794" s="5" t="s">
        <v>9</v>
      </c>
      <c r="F794" s="6">
        <v>45657</v>
      </c>
      <c r="G794" s="5">
        <f t="shared" si="112"/>
        <v>2024</v>
      </c>
      <c r="H794" s="5" t="str">
        <f t="shared" si="110"/>
        <v>Diciembre</v>
      </c>
      <c r="I794" s="6" t="str">
        <f t="shared" si="111"/>
        <v>2024-2</v>
      </c>
      <c r="J794" s="5">
        <v>80</v>
      </c>
      <c r="K794" s="5">
        <v>88</v>
      </c>
      <c r="L794" s="15">
        <f t="shared" si="113"/>
        <v>1.1000000000000001</v>
      </c>
      <c r="M794" s="15">
        <f t="shared" si="114"/>
        <v>1.1000000000000001</v>
      </c>
      <c r="N794" s="5" t="s">
        <v>347</v>
      </c>
      <c r="O794" s="5" t="s">
        <v>347</v>
      </c>
      <c r="P794" s="5">
        <v>0</v>
      </c>
      <c r="Q794" s="5">
        <v>0</v>
      </c>
      <c r="R794" s="5" t="str">
        <f>A794&amp;"-"&amp;YEAR(F794)&amp;"-"&amp;IF(LEN(MONTH(F794))=1,"0"&amp;MONTH(F794),MONTH(F794))&amp;"-"&amp;IF(LEN(DAY(F794))=1,"0"&amp;DAY(F794),DAY(F794))</f>
        <v>496-2024-12-31</v>
      </c>
    </row>
    <row r="795" spans="1:18" x14ac:dyDescent="0.3">
      <c r="A795" s="5">
        <v>497</v>
      </c>
      <c r="B795" s="5" t="s">
        <v>483</v>
      </c>
      <c r="C795" s="5" t="s">
        <v>240</v>
      </c>
      <c r="D795" s="5" t="s">
        <v>25</v>
      </c>
      <c r="E795" s="5" t="s">
        <v>9</v>
      </c>
      <c r="F795" s="6">
        <v>45657</v>
      </c>
      <c r="G795" s="5">
        <f t="shared" si="112"/>
        <v>2024</v>
      </c>
      <c r="H795" s="5" t="str">
        <f t="shared" si="110"/>
        <v>Diciembre</v>
      </c>
      <c r="I795" s="6" t="str">
        <f t="shared" si="111"/>
        <v>2024-2</v>
      </c>
      <c r="J795" s="5">
        <v>80</v>
      </c>
      <c r="K795" s="5">
        <v>83</v>
      </c>
      <c r="L795" s="15">
        <f t="shared" si="113"/>
        <v>1.0375000000000001</v>
      </c>
      <c r="M795" s="15">
        <f t="shared" si="114"/>
        <v>1.0375000000000001</v>
      </c>
      <c r="N795" s="5" t="s">
        <v>347</v>
      </c>
      <c r="O795" s="5" t="s">
        <v>347</v>
      </c>
      <c r="P795" s="5">
        <v>0</v>
      </c>
      <c r="Q795" s="5">
        <v>0</v>
      </c>
      <c r="R795" s="5" t="str">
        <f>A795&amp;"-"&amp;YEAR(F795)&amp;"-"&amp;IF(LEN(MONTH(F795))=1,"0"&amp;MONTH(F795),MONTH(F795))&amp;"-"&amp;IF(LEN(DAY(F795))=1,"0"&amp;DAY(F795),DAY(F795))</f>
        <v>497-2024-12-31</v>
      </c>
    </row>
    <row r="796" spans="1:18" x14ac:dyDescent="0.3">
      <c r="A796" s="5">
        <v>498</v>
      </c>
      <c r="B796" s="5" t="s">
        <v>484</v>
      </c>
      <c r="C796" s="5" t="s">
        <v>152</v>
      </c>
      <c r="D796" s="5" t="s">
        <v>25</v>
      </c>
      <c r="E796" s="5" t="s">
        <v>9</v>
      </c>
      <c r="F796" s="6">
        <v>45657</v>
      </c>
      <c r="G796" s="5">
        <f t="shared" si="112"/>
        <v>2024</v>
      </c>
      <c r="H796" s="5" t="str">
        <f t="shared" si="110"/>
        <v>Diciembre</v>
      </c>
      <c r="I796" s="6" t="str">
        <f t="shared" si="111"/>
        <v>2024-2</v>
      </c>
      <c r="J796" s="5">
        <v>80</v>
      </c>
      <c r="K796" s="5">
        <v>92</v>
      </c>
      <c r="L796" s="15">
        <f t="shared" si="113"/>
        <v>1.1499999999999999</v>
      </c>
      <c r="M796" s="15">
        <f t="shared" si="114"/>
        <v>1.1499999999999999</v>
      </c>
      <c r="N796" s="5" t="s">
        <v>347</v>
      </c>
      <c r="O796" s="5" t="s">
        <v>347</v>
      </c>
      <c r="P796" s="5">
        <v>0</v>
      </c>
      <c r="Q796" s="5">
        <v>0</v>
      </c>
      <c r="R796" s="5" t="str">
        <f>A796&amp;"-"&amp;YEAR(F796)&amp;"-"&amp;IF(LEN(MONTH(F796))=1,"0"&amp;MONTH(F796),MONTH(F796))&amp;"-"&amp;IF(LEN(DAY(F796))=1,"0"&amp;DAY(F796),DAY(F796))</f>
        <v>498-2024-12-31</v>
      </c>
    </row>
    <row r="797" spans="1:18" x14ac:dyDescent="0.3">
      <c r="A797" s="5">
        <v>499</v>
      </c>
      <c r="B797" s="5" t="s">
        <v>753</v>
      </c>
      <c r="C797" s="5" t="s">
        <v>237</v>
      </c>
      <c r="D797" s="5" t="s">
        <v>25</v>
      </c>
      <c r="E797" s="5" t="s">
        <v>9</v>
      </c>
      <c r="F797" s="6">
        <v>45657</v>
      </c>
      <c r="G797" s="5">
        <f t="shared" si="112"/>
        <v>2024</v>
      </c>
      <c r="H797" s="5" t="str">
        <f t="shared" si="110"/>
        <v>Diciembre</v>
      </c>
      <c r="I797" s="6" t="str">
        <f t="shared" si="111"/>
        <v>2024-2</v>
      </c>
      <c r="J797" s="5">
        <v>80</v>
      </c>
      <c r="K797" s="5">
        <v>87</v>
      </c>
      <c r="L797" s="15">
        <f t="shared" si="113"/>
        <v>1.0874999999999999</v>
      </c>
      <c r="M797" s="15">
        <f t="shared" si="114"/>
        <v>1.0874999999999999</v>
      </c>
      <c r="N797" s="5" t="s">
        <v>347</v>
      </c>
      <c r="O797" s="5" t="s">
        <v>347</v>
      </c>
      <c r="P797" s="5">
        <v>0</v>
      </c>
      <c r="Q797" s="5">
        <v>0</v>
      </c>
      <c r="R797" s="5" t="str">
        <f>A797&amp;"-"&amp;YEAR(F797)&amp;"-"&amp;IF(LEN(MONTH(F797))=1,"0"&amp;MONTH(F797),MONTH(F797))&amp;"-"&amp;IF(LEN(DAY(F797))=1,"0"&amp;DAY(F797),DAY(F797))</f>
        <v>499-2024-12-31</v>
      </c>
    </row>
    <row r="798" spans="1:18" x14ac:dyDescent="0.3">
      <c r="A798" s="5">
        <v>500</v>
      </c>
      <c r="B798" s="5" t="s">
        <v>754</v>
      </c>
      <c r="C798" s="5" t="s">
        <v>189</v>
      </c>
      <c r="D798" s="5" t="s">
        <v>25</v>
      </c>
      <c r="E798" s="5" t="s">
        <v>9</v>
      </c>
      <c r="F798" s="6">
        <v>45657</v>
      </c>
      <c r="G798" s="5">
        <f t="shared" si="112"/>
        <v>2024</v>
      </c>
      <c r="H798" s="5" t="str">
        <f t="shared" si="110"/>
        <v>Diciembre</v>
      </c>
      <c r="I798" s="6" t="str">
        <f t="shared" si="111"/>
        <v>2024-2</v>
      </c>
      <c r="J798" s="5">
        <v>80</v>
      </c>
      <c r="K798" s="5">
        <v>89</v>
      </c>
      <c r="L798" s="15">
        <f t="shared" si="113"/>
        <v>1.1125</v>
      </c>
      <c r="M798" s="15">
        <f t="shared" si="114"/>
        <v>1.1125</v>
      </c>
      <c r="N798" s="5" t="s">
        <v>347</v>
      </c>
      <c r="O798" s="5" t="s">
        <v>347</v>
      </c>
      <c r="P798" s="5">
        <v>0</v>
      </c>
      <c r="Q798" s="5">
        <v>0</v>
      </c>
      <c r="R798" s="5" t="str">
        <f>A798&amp;"-"&amp;YEAR(F798)&amp;"-"&amp;IF(LEN(MONTH(F798))=1,"0"&amp;MONTH(F798),MONTH(F798))&amp;"-"&amp;IF(LEN(DAY(F798))=1,"0"&amp;DAY(F798),DAY(F798))</f>
        <v>500-2024-12-31</v>
      </c>
    </row>
    <row r="799" spans="1:18" x14ac:dyDescent="0.3">
      <c r="A799" s="5">
        <v>501</v>
      </c>
      <c r="B799" s="5" t="s">
        <v>755</v>
      </c>
      <c r="C799" s="5" t="s">
        <v>129</v>
      </c>
      <c r="D799" s="5" t="s">
        <v>25</v>
      </c>
      <c r="E799" s="5" t="s">
        <v>9</v>
      </c>
      <c r="F799" s="6">
        <v>45657</v>
      </c>
      <c r="G799" s="5">
        <f t="shared" si="112"/>
        <v>2024</v>
      </c>
      <c r="H799" s="5" t="str">
        <f t="shared" si="110"/>
        <v>Diciembre</v>
      </c>
      <c r="I799" s="6" t="str">
        <f t="shared" si="111"/>
        <v>2024-2</v>
      </c>
      <c r="J799" s="5">
        <v>80</v>
      </c>
      <c r="K799" s="5">
        <v>88</v>
      </c>
      <c r="L799" s="15">
        <f t="shared" si="113"/>
        <v>1.1000000000000001</v>
      </c>
      <c r="M799" s="15">
        <f t="shared" si="114"/>
        <v>1.1000000000000001</v>
      </c>
      <c r="N799" s="5" t="s">
        <v>347</v>
      </c>
      <c r="O799" s="5" t="s">
        <v>347</v>
      </c>
      <c r="P799" s="5">
        <v>0</v>
      </c>
      <c r="Q799" s="5">
        <v>0</v>
      </c>
      <c r="R799" s="5" t="str">
        <f>A799&amp;"-"&amp;YEAR(F799)&amp;"-"&amp;IF(LEN(MONTH(F799))=1,"0"&amp;MONTH(F799),MONTH(F799))&amp;"-"&amp;IF(LEN(DAY(F799))=1,"0"&amp;DAY(F799),DAY(F799))</f>
        <v>501-2024-12-31</v>
      </c>
    </row>
    <row r="800" spans="1:18" x14ac:dyDescent="0.3">
      <c r="A800" s="5">
        <v>502</v>
      </c>
      <c r="B800" s="5" t="s">
        <v>756</v>
      </c>
      <c r="C800" s="5" t="s">
        <v>62</v>
      </c>
      <c r="D800" s="5" t="s">
        <v>25</v>
      </c>
      <c r="E800" s="5" t="s">
        <v>9</v>
      </c>
      <c r="F800" s="6">
        <v>45657</v>
      </c>
      <c r="G800" s="5">
        <f t="shared" si="112"/>
        <v>2024</v>
      </c>
      <c r="H800" s="5" t="str">
        <f t="shared" si="110"/>
        <v>Diciembre</v>
      </c>
      <c r="I800" s="6" t="str">
        <f t="shared" si="111"/>
        <v>2024-2</v>
      </c>
      <c r="J800" s="5">
        <v>80</v>
      </c>
      <c r="K800" s="5">
        <v>90</v>
      </c>
      <c r="L800" s="15">
        <f t="shared" si="113"/>
        <v>1.125</v>
      </c>
      <c r="M800" s="15">
        <f t="shared" si="114"/>
        <v>1.125</v>
      </c>
      <c r="N800" s="5" t="s">
        <v>347</v>
      </c>
      <c r="O800" s="5" t="s">
        <v>347</v>
      </c>
      <c r="P800" s="5">
        <v>0</v>
      </c>
      <c r="Q800" s="5">
        <v>0</v>
      </c>
      <c r="R800" s="5" t="str">
        <f>A800&amp;"-"&amp;YEAR(F800)&amp;"-"&amp;IF(LEN(MONTH(F800))=1,"0"&amp;MONTH(F800),MONTH(F800))&amp;"-"&amp;IF(LEN(DAY(F800))=1,"0"&amp;DAY(F800),DAY(F800))</f>
        <v>502-2024-12-31</v>
      </c>
    </row>
    <row r="801" spans="1:18" x14ac:dyDescent="0.3">
      <c r="A801" s="5">
        <v>503</v>
      </c>
      <c r="B801" s="5" t="s">
        <v>757</v>
      </c>
      <c r="C801" s="5" t="s">
        <v>504</v>
      </c>
      <c r="D801" s="5" t="s">
        <v>25</v>
      </c>
      <c r="E801" s="5" t="s">
        <v>9</v>
      </c>
      <c r="F801" s="6">
        <v>45657</v>
      </c>
      <c r="G801" s="5">
        <f t="shared" si="112"/>
        <v>2024</v>
      </c>
      <c r="H801" s="5" t="str">
        <f t="shared" si="110"/>
        <v>Diciembre</v>
      </c>
      <c r="I801" s="6" t="str">
        <f t="shared" si="111"/>
        <v>2024-2</v>
      </c>
      <c r="J801" s="5">
        <v>80</v>
      </c>
      <c r="K801" s="5">
        <v>86</v>
      </c>
      <c r="L801" s="15">
        <f t="shared" si="113"/>
        <v>1.075</v>
      </c>
      <c r="M801" s="15">
        <f t="shared" si="114"/>
        <v>1.075</v>
      </c>
      <c r="N801" s="5" t="s">
        <v>347</v>
      </c>
      <c r="O801" s="5" t="s">
        <v>347</v>
      </c>
      <c r="P801" s="5">
        <v>0</v>
      </c>
      <c r="Q801" s="5">
        <v>0</v>
      </c>
      <c r="R801" s="5" t="str">
        <f>A801&amp;"-"&amp;YEAR(F801)&amp;"-"&amp;IF(LEN(MONTH(F801))=1,"0"&amp;MONTH(F801),MONTH(F801))&amp;"-"&amp;IF(LEN(DAY(F801))=1,"0"&amp;DAY(F801),DAY(F801))</f>
        <v>503-2024-12-31</v>
      </c>
    </row>
    <row r="802" spans="1:18" x14ac:dyDescent="0.3">
      <c r="A802" s="5">
        <v>504</v>
      </c>
      <c r="B802" s="5" t="s">
        <v>758</v>
      </c>
      <c r="C802" s="5" t="s">
        <v>294</v>
      </c>
      <c r="D802" s="5" t="s">
        <v>25</v>
      </c>
      <c r="E802" s="5" t="s">
        <v>9</v>
      </c>
      <c r="F802" s="6">
        <v>45657</v>
      </c>
      <c r="G802" s="5">
        <f t="shared" si="112"/>
        <v>2024</v>
      </c>
      <c r="H802" s="5" t="str">
        <f t="shared" si="110"/>
        <v>Diciembre</v>
      </c>
      <c r="I802" s="6" t="str">
        <f t="shared" si="111"/>
        <v>2024-2</v>
      </c>
      <c r="J802" s="5">
        <v>80</v>
      </c>
      <c r="K802" s="5">
        <v>88</v>
      </c>
      <c r="L802" s="15">
        <f t="shared" si="113"/>
        <v>1.1000000000000001</v>
      </c>
      <c r="M802" s="15">
        <f t="shared" si="114"/>
        <v>1.1000000000000001</v>
      </c>
      <c r="N802" s="5" t="s">
        <v>347</v>
      </c>
      <c r="O802" s="5" t="s">
        <v>347</v>
      </c>
      <c r="P802" s="5">
        <v>0</v>
      </c>
      <c r="Q802" s="5">
        <v>0</v>
      </c>
      <c r="R802" s="5" t="str">
        <f>A802&amp;"-"&amp;YEAR(F802)&amp;"-"&amp;IF(LEN(MONTH(F802))=1,"0"&amp;MONTH(F802),MONTH(F802))&amp;"-"&amp;IF(LEN(DAY(F802))=1,"0"&amp;DAY(F802),DAY(F802))</f>
        <v>504-2024-12-31</v>
      </c>
    </row>
    <row r="803" spans="1:18" x14ac:dyDescent="0.3">
      <c r="A803" s="5">
        <v>505</v>
      </c>
      <c r="B803" s="5" t="s">
        <v>759</v>
      </c>
      <c r="C803" s="5" t="s">
        <v>315</v>
      </c>
      <c r="D803" s="5" t="s">
        <v>25</v>
      </c>
      <c r="E803" s="5" t="s">
        <v>9</v>
      </c>
      <c r="F803" s="6">
        <v>45657</v>
      </c>
      <c r="G803" s="5">
        <f t="shared" si="112"/>
        <v>2024</v>
      </c>
      <c r="H803" s="5" t="str">
        <f t="shared" si="110"/>
        <v>Diciembre</v>
      </c>
      <c r="I803" s="6" t="str">
        <f t="shared" si="111"/>
        <v>2024-2</v>
      </c>
      <c r="J803" s="5">
        <v>80</v>
      </c>
      <c r="K803" s="5">
        <v>85</v>
      </c>
      <c r="L803" s="15">
        <f t="shared" si="113"/>
        <v>1.0625</v>
      </c>
      <c r="M803" s="15">
        <f t="shared" si="114"/>
        <v>1.0625</v>
      </c>
      <c r="N803" s="5" t="s">
        <v>347</v>
      </c>
      <c r="O803" s="5" t="s">
        <v>347</v>
      </c>
      <c r="P803" s="5">
        <v>0</v>
      </c>
      <c r="Q803" s="5">
        <v>0</v>
      </c>
      <c r="R803" s="5" t="str">
        <f>A803&amp;"-"&amp;YEAR(F803)&amp;"-"&amp;IF(LEN(MONTH(F803))=1,"0"&amp;MONTH(F803),MONTH(F803))&amp;"-"&amp;IF(LEN(DAY(F803))=1,"0"&amp;DAY(F803),DAY(F803))</f>
        <v>505-2024-12-31</v>
      </c>
    </row>
    <row r="804" spans="1:18" x14ac:dyDescent="0.3">
      <c r="A804" s="5">
        <v>506</v>
      </c>
      <c r="B804" s="5" t="s">
        <v>486</v>
      </c>
      <c r="C804" s="5" t="s">
        <v>244</v>
      </c>
      <c r="D804" s="5" t="s">
        <v>25</v>
      </c>
      <c r="E804" s="5" t="s">
        <v>9</v>
      </c>
      <c r="F804" s="6">
        <v>45657</v>
      </c>
      <c r="G804" s="5">
        <f t="shared" si="112"/>
        <v>2024</v>
      </c>
      <c r="H804" s="5" t="str">
        <f t="shared" si="110"/>
        <v>Diciembre</v>
      </c>
      <c r="I804" s="6" t="str">
        <f t="shared" si="111"/>
        <v>2024-2</v>
      </c>
      <c r="J804" s="5">
        <v>80</v>
      </c>
      <c r="K804" s="5">
        <v>67</v>
      </c>
      <c r="L804" s="15">
        <f t="shared" si="113"/>
        <v>0.83750000000000002</v>
      </c>
      <c r="M804" s="15">
        <f t="shared" si="114"/>
        <v>0.83750000000000002</v>
      </c>
      <c r="N804" s="5" t="s">
        <v>347</v>
      </c>
      <c r="O804" s="5" t="s">
        <v>347</v>
      </c>
      <c r="P804" s="5">
        <v>0</v>
      </c>
      <c r="Q804" s="5">
        <v>0</v>
      </c>
      <c r="R804" s="5" t="str">
        <f>A804&amp;"-"&amp;YEAR(F804)&amp;"-"&amp;IF(LEN(MONTH(F804))=1,"0"&amp;MONTH(F804),MONTH(F804))&amp;"-"&amp;IF(LEN(DAY(F804))=1,"0"&amp;DAY(F804),DAY(F804))</f>
        <v>506-2024-12-31</v>
      </c>
    </row>
    <row r="805" spans="1:18" x14ac:dyDescent="0.3">
      <c r="A805" s="5">
        <v>507</v>
      </c>
      <c r="B805" s="5" t="s">
        <v>760</v>
      </c>
      <c r="C805" s="5" t="s">
        <v>177</v>
      </c>
      <c r="D805" s="5" t="s">
        <v>25</v>
      </c>
      <c r="E805" s="5" t="s">
        <v>9</v>
      </c>
      <c r="F805" s="6">
        <v>45657</v>
      </c>
      <c r="G805" s="5">
        <f t="shared" si="112"/>
        <v>2024</v>
      </c>
      <c r="H805" s="5" t="str">
        <f t="shared" si="110"/>
        <v>Diciembre</v>
      </c>
      <c r="I805" s="6" t="str">
        <f t="shared" si="111"/>
        <v>2024-2</v>
      </c>
      <c r="J805" s="5">
        <v>80</v>
      </c>
      <c r="K805" s="5">
        <v>77</v>
      </c>
      <c r="L805" s="15">
        <f t="shared" si="113"/>
        <v>0.96250000000000002</v>
      </c>
      <c r="M805" s="15">
        <f t="shared" si="114"/>
        <v>0.96250000000000002</v>
      </c>
      <c r="N805" s="5" t="s">
        <v>347</v>
      </c>
      <c r="O805" s="5" t="s">
        <v>347</v>
      </c>
      <c r="P805" s="5">
        <v>0</v>
      </c>
      <c r="Q805" s="5">
        <v>0</v>
      </c>
      <c r="R805" s="5" t="str">
        <f>A805&amp;"-"&amp;YEAR(F805)&amp;"-"&amp;IF(LEN(MONTH(F805))=1,"0"&amp;MONTH(F805),MONTH(F805))&amp;"-"&amp;IF(LEN(DAY(F805))=1,"0"&amp;DAY(F805),DAY(F805))</f>
        <v>507-2024-12-31</v>
      </c>
    </row>
    <row r="806" spans="1:18" x14ac:dyDescent="0.3">
      <c r="A806" s="5">
        <v>508</v>
      </c>
      <c r="B806" s="5" t="s">
        <v>761</v>
      </c>
      <c r="C806" s="5" t="s">
        <v>506</v>
      </c>
      <c r="D806" s="5" t="s">
        <v>25</v>
      </c>
      <c r="E806" s="5" t="s">
        <v>9</v>
      </c>
      <c r="F806" s="6">
        <v>45657</v>
      </c>
      <c r="G806" s="5">
        <f t="shared" si="112"/>
        <v>2024</v>
      </c>
      <c r="H806" s="5" t="str">
        <f t="shared" si="110"/>
        <v>Diciembre</v>
      </c>
      <c r="I806" s="6" t="str">
        <f t="shared" si="111"/>
        <v>2024-2</v>
      </c>
      <c r="J806" s="5">
        <v>80</v>
      </c>
      <c r="K806" s="5">
        <v>88</v>
      </c>
      <c r="L806" s="15">
        <f t="shared" si="113"/>
        <v>1.1000000000000001</v>
      </c>
      <c r="M806" s="15">
        <f t="shared" si="114"/>
        <v>1.1000000000000001</v>
      </c>
      <c r="N806" s="5" t="s">
        <v>347</v>
      </c>
      <c r="O806" s="5" t="s">
        <v>347</v>
      </c>
      <c r="P806" s="5">
        <v>0</v>
      </c>
      <c r="Q806" s="5">
        <v>0</v>
      </c>
      <c r="R806" s="5" t="str">
        <f>A806&amp;"-"&amp;YEAR(F806)&amp;"-"&amp;IF(LEN(MONTH(F806))=1,"0"&amp;MONTH(F806),MONTH(F806))&amp;"-"&amp;IF(LEN(DAY(F806))=1,"0"&amp;DAY(F806),DAY(F806))</f>
        <v>508-2024-12-31</v>
      </c>
    </row>
    <row r="807" spans="1:18" x14ac:dyDescent="0.3">
      <c r="A807" s="5">
        <v>518</v>
      </c>
      <c r="B807" s="5" t="s">
        <v>19</v>
      </c>
      <c r="C807" s="5" t="s">
        <v>20</v>
      </c>
      <c r="D807" s="5" t="s">
        <v>21</v>
      </c>
      <c r="E807" s="5" t="s">
        <v>9</v>
      </c>
      <c r="F807" s="6">
        <v>45657</v>
      </c>
      <c r="G807" s="16">
        <f t="shared" si="112"/>
        <v>2024</v>
      </c>
      <c r="H807" s="6" t="str">
        <f t="shared" si="110"/>
        <v>Diciembre</v>
      </c>
      <c r="I807" s="6" t="str">
        <f t="shared" si="111"/>
        <v>2024-2</v>
      </c>
      <c r="J807" s="5">
        <v>100</v>
      </c>
      <c r="K807" s="10">
        <v>112.5</v>
      </c>
      <c r="L807" s="15">
        <f t="shared" si="113"/>
        <v>1.125</v>
      </c>
      <c r="M807" s="15">
        <f t="shared" si="114"/>
        <v>1.125</v>
      </c>
      <c r="N807" s="5" t="s">
        <v>347</v>
      </c>
      <c r="O807" s="5" t="s">
        <v>347</v>
      </c>
      <c r="P807" s="5">
        <v>0</v>
      </c>
      <c r="Q807" s="5">
        <v>0</v>
      </c>
      <c r="R807" s="5" t="str">
        <f>A807&amp;"-"&amp;YEAR(F807)&amp;"-"&amp;IF(LEN(MONTH(F807))=1,"0"&amp;MONTH(F807),MONTH(F807))&amp;"-"&amp;IF(LEN(DAY(F807))=1,"0"&amp;DAY(F807),DAY(F807))</f>
        <v>518-2024-12-31</v>
      </c>
    </row>
    <row r="808" spans="1:18" x14ac:dyDescent="0.3">
      <c r="A808" s="26">
        <v>900</v>
      </c>
      <c r="B808" s="23" t="s">
        <v>531</v>
      </c>
      <c r="C808" s="5" t="s">
        <v>160</v>
      </c>
      <c r="D808" s="5" t="s">
        <v>18</v>
      </c>
      <c r="E808" s="5" t="s">
        <v>9</v>
      </c>
      <c r="F808" s="6">
        <v>45657</v>
      </c>
      <c r="G808" s="16">
        <f t="shared" si="112"/>
        <v>2024</v>
      </c>
      <c r="H808" s="6" t="str">
        <f t="shared" si="110"/>
        <v>Diciembre</v>
      </c>
      <c r="I808" s="6" t="str">
        <f t="shared" si="111"/>
        <v>2024-2</v>
      </c>
      <c r="J808" s="11">
        <v>100</v>
      </c>
      <c r="K808" s="11">
        <v>100</v>
      </c>
      <c r="L808" s="15">
        <f t="shared" ref="L808:L816" si="115">IFERROR(IF((K808/J808)&gt;1,1,K808/J808),"")</f>
        <v>1</v>
      </c>
      <c r="M808" s="15">
        <f t="shared" ref="M808:M816" si="116">IFERROR(IF((K808/J808)&gt;1,1,K808/J808),"")</f>
        <v>1</v>
      </c>
      <c r="N808" s="5" t="s">
        <v>347</v>
      </c>
      <c r="O808" s="5" t="s">
        <v>347</v>
      </c>
      <c r="P808" s="5">
        <v>0</v>
      </c>
      <c r="Q808" s="5">
        <v>0</v>
      </c>
      <c r="R808" s="5" t="str">
        <f>A808&amp;"-"&amp;YEAR(F808)&amp;"-"&amp;IF(LEN(MONTH(F808))=1,"0"&amp;MONTH(F808),MONTH(F808))&amp;"-"&amp;IF(LEN(DAY(F808))=1,"0"&amp;DAY(F808),DAY(F808))</f>
        <v>900-2024-12-31</v>
      </c>
    </row>
    <row r="809" spans="1:18" x14ac:dyDescent="0.3">
      <c r="A809" s="26">
        <v>901</v>
      </c>
      <c r="B809" s="23" t="s">
        <v>532</v>
      </c>
      <c r="C809" s="5" t="s">
        <v>345</v>
      </c>
      <c r="D809" s="5" t="s">
        <v>18</v>
      </c>
      <c r="E809" s="5" t="s">
        <v>9</v>
      </c>
      <c r="F809" s="6">
        <v>45657</v>
      </c>
      <c r="G809" s="16">
        <f t="shared" si="112"/>
        <v>2024</v>
      </c>
      <c r="H809" s="6" t="str">
        <f t="shared" si="110"/>
        <v>Diciembre</v>
      </c>
      <c r="I809" s="6" t="str">
        <f t="shared" si="111"/>
        <v>2024-2</v>
      </c>
      <c r="J809" s="34">
        <v>82</v>
      </c>
      <c r="K809" s="34">
        <v>72</v>
      </c>
      <c r="L809" s="15">
        <f t="shared" si="115"/>
        <v>0.87804878048780488</v>
      </c>
      <c r="M809" s="15">
        <f t="shared" si="116"/>
        <v>0.87804878048780488</v>
      </c>
      <c r="N809" s="5" t="s">
        <v>347</v>
      </c>
      <c r="O809" s="5" t="s">
        <v>347</v>
      </c>
      <c r="P809" s="5">
        <v>0</v>
      </c>
      <c r="Q809" s="5">
        <v>0</v>
      </c>
      <c r="R809" s="5" t="str">
        <f>A809&amp;"-"&amp;YEAR(F809)&amp;"-"&amp;IF(LEN(MONTH(F809))=1,"0"&amp;MONTH(F809),MONTH(F809))&amp;"-"&amp;IF(LEN(DAY(F809))=1,"0"&amp;DAY(F809),DAY(F809))</f>
        <v>901-2024-12-31</v>
      </c>
    </row>
    <row r="810" spans="1:18" x14ac:dyDescent="0.3">
      <c r="A810" s="26">
        <v>902</v>
      </c>
      <c r="B810" s="23" t="s">
        <v>533</v>
      </c>
      <c r="C810" s="5" t="s">
        <v>55</v>
      </c>
      <c r="D810" s="5" t="s">
        <v>18</v>
      </c>
      <c r="E810" s="5" t="s">
        <v>9</v>
      </c>
      <c r="F810" s="6">
        <v>45657</v>
      </c>
      <c r="G810" s="16">
        <f t="shared" si="112"/>
        <v>2024</v>
      </c>
      <c r="H810" s="6" t="str">
        <f t="shared" si="110"/>
        <v>Diciembre</v>
      </c>
      <c r="I810" s="6" t="str">
        <f t="shared" si="111"/>
        <v>2024-2</v>
      </c>
      <c r="J810" s="11">
        <v>100</v>
      </c>
      <c r="K810" s="11">
        <v>100</v>
      </c>
      <c r="L810" s="15">
        <f t="shared" si="115"/>
        <v>1</v>
      </c>
      <c r="M810" s="15">
        <f t="shared" si="116"/>
        <v>1</v>
      </c>
      <c r="N810" s="5" t="s">
        <v>347</v>
      </c>
      <c r="O810" s="5" t="s">
        <v>347</v>
      </c>
      <c r="P810" s="5">
        <v>0</v>
      </c>
      <c r="Q810" s="5">
        <v>0</v>
      </c>
      <c r="R810" s="5" t="str">
        <f>A810&amp;"-"&amp;YEAR(F810)&amp;"-"&amp;IF(LEN(MONTH(F810))=1,"0"&amp;MONTH(F810),MONTH(F810))&amp;"-"&amp;IF(LEN(DAY(F810))=1,"0"&amp;DAY(F810),DAY(F810))</f>
        <v>902-2024-12-31</v>
      </c>
    </row>
    <row r="811" spans="1:18" x14ac:dyDescent="0.3">
      <c r="A811" s="26">
        <v>903</v>
      </c>
      <c r="B811" s="23" t="s">
        <v>832</v>
      </c>
      <c r="C811" s="5" t="s">
        <v>43</v>
      </c>
      <c r="D811" s="5" t="s">
        <v>18</v>
      </c>
      <c r="E811" s="5" t="s">
        <v>9</v>
      </c>
      <c r="F811" s="6">
        <v>45657</v>
      </c>
      <c r="G811" s="16">
        <f t="shared" si="112"/>
        <v>2024</v>
      </c>
      <c r="H811" s="6" t="str">
        <f t="shared" si="110"/>
        <v>Diciembre</v>
      </c>
      <c r="I811" s="6" t="str">
        <f t="shared" si="111"/>
        <v>2024-2</v>
      </c>
      <c r="J811" s="11">
        <v>49</v>
      </c>
      <c r="K811" s="11">
        <v>49</v>
      </c>
      <c r="L811" s="15">
        <f t="shared" si="115"/>
        <v>1</v>
      </c>
      <c r="M811" s="15">
        <f t="shared" si="116"/>
        <v>1</v>
      </c>
      <c r="N811" s="5" t="s">
        <v>347</v>
      </c>
      <c r="O811" s="5" t="s">
        <v>347</v>
      </c>
      <c r="P811" s="5">
        <v>0</v>
      </c>
      <c r="Q811" s="5">
        <v>0</v>
      </c>
      <c r="R811" s="5" t="str">
        <f>A811&amp;"-"&amp;YEAR(F811)&amp;"-"&amp;IF(LEN(MONTH(F811))=1,"0"&amp;MONTH(F811),MONTH(F811))&amp;"-"&amp;IF(LEN(DAY(F811))=1,"0"&amp;DAY(F811),DAY(F811))</f>
        <v>903-2024-12-31</v>
      </c>
    </row>
    <row r="812" spans="1:18" x14ac:dyDescent="0.3">
      <c r="A812" s="26">
        <v>904</v>
      </c>
      <c r="B812" s="23" t="s">
        <v>535</v>
      </c>
      <c r="C812" s="5" t="s">
        <v>214</v>
      </c>
      <c r="D812" s="5" t="s">
        <v>18</v>
      </c>
      <c r="E812" s="5" t="s">
        <v>9</v>
      </c>
      <c r="F812" s="6">
        <v>45657</v>
      </c>
      <c r="G812" s="16">
        <f t="shared" si="112"/>
        <v>2024</v>
      </c>
      <c r="H812" s="6" t="str">
        <f t="shared" si="110"/>
        <v>Diciembre</v>
      </c>
      <c r="I812" s="6" t="str">
        <f t="shared" si="111"/>
        <v>2024-2</v>
      </c>
      <c r="J812" s="11">
        <v>98</v>
      </c>
      <c r="K812" s="11">
        <v>96</v>
      </c>
      <c r="L812" s="15">
        <f t="shared" si="115"/>
        <v>0.97959183673469385</v>
      </c>
      <c r="M812" s="15">
        <f t="shared" si="116"/>
        <v>0.97959183673469385</v>
      </c>
      <c r="N812" s="5" t="s">
        <v>347</v>
      </c>
      <c r="O812" s="5" t="s">
        <v>347</v>
      </c>
      <c r="P812" s="5">
        <v>0</v>
      </c>
      <c r="Q812" s="5">
        <v>0</v>
      </c>
      <c r="R812" s="5" t="str">
        <f>A812&amp;"-"&amp;YEAR(F812)&amp;"-"&amp;IF(LEN(MONTH(F812))=1,"0"&amp;MONTH(F812),MONTH(F812))&amp;"-"&amp;IF(LEN(DAY(F812))=1,"0"&amp;DAY(F812),DAY(F812))</f>
        <v>904-2024-12-31</v>
      </c>
    </row>
    <row r="813" spans="1:18" x14ac:dyDescent="0.3">
      <c r="A813" s="26">
        <v>905</v>
      </c>
      <c r="B813" s="23" t="s">
        <v>536</v>
      </c>
      <c r="C813" s="5" t="s">
        <v>345</v>
      </c>
      <c r="D813" s="5" t="s">
        <v>18</v>
      </c>
      <c r="E813" s="5" t="s">
        <v>9</v>
      </c>
      <c r="F813" s="6">
        <v>45657</v>
      </c>
      <c r="G813" s="16">
        <f t="shared" si="112"/>
        <v>2024</v>
      </c>
      <c r="H813" s="6" t="str">
        <f t="shared" si="110"/>
        <v>Diciembre</v>
      </c>
      <c r="I813" s="6" t="str">
        <f t="shared" si="111"/>
        <v>2024-2</v>
      </c>
      <c r="J813" s="11">
        <v>100</v>
      </c>
      <c r="K813" s="11">
        <v>100</v>
      </c>
      <c r="L813" s="15">
        <f t="shared" si="115"/>
        <v>1</v>
      </c>
      <c r="M813" s="15">
        <f t="shared" si="116"/>
        <v>1</v>
      </c>
      <c r="N813" s="5" t="s">
        <v>347</v>
      </c>
      <c r="O813" s="5" t="s">
        <v>347</v>
      </c>
      <c r="P813" s="5">
        <v>0</v>
      </c>
      <c r="Q813" s="5">
        <v>0</v>
      </c>
      <c r="R813" s="5" t="str">
        <f>A813&amp;"-"&amp;YEAR(F813)&amp;"-"&amp;IF(LEN(MONTH(F813))=1,"0"&amp;MONTH(F813),MONTH(F813))&amp;"-"&amp;IF(LEN(DAY(F813))=1,"0"&amp;DAY(F813),DAY(F813))</f>
        <v>905-2024-12-31</v>
      </c>
    </row>
    <row r="814" spans="1:18" x14ac:dyDescent="0.3">
      <c r="A814" s="26">
        <v>906</v>
      </c>
      <c r="B814" s="23" t="s">
        <v>766</v>
      </c>
      <c r="C814" s="5" t="s">
        <v>345</v>
      </c>
      <c r="D814" s="5" t="s">
        <v>18</v>
      </c>
      <c r="E814" s="5" t="s">
        <v>9</v>
      </c>
      <c r="F814" s="6">
        <v>45657</v>
      </c>
      <c r="G814" s="16">
        <f t="shared" si="112"/>
        <v>2024</v>
      </c>
      <c r="H814" s="6" t="str">
        <f t="shared" si="110"/>
        <v>Diciembre</v>
      </c>
      <c r="I814" s="6" t="str">
        <f t="shared" si="111"/>
        <v>2024-2</v>
      </c>
      <c r="J814" s="11">
        <v>100</v>
      </c>
      <c r="K814" s="11">
        <v>100</v>
      </c>
      <c r="L814" s="15">
        <f t="shared" si="115"/>
        <v>1</v>
      </c>
      <c r="M814" s="15">
        <f t="shared" si="116"/>
        <v>1</v>
      </c>
      <c r="N814" s="5" t="s">
        <v>347</v>
      </c>
      <c r="O814" s="5" t="s">
        <v>347</v>
      </c>
      <c r="P814" s="5">
        <v>0</v>
      </c>
      <c r="Q814" s="5">
        <v>0</v>
      </c>
      <c r="R814" s="5" t="str">
        <f>A814&amp;"-"&amp;YEAR(F814)&amp;"-"&amp;IF(LEN(MONTH(F814))=1,"0"&amp;MONTH(F814),MONTH(F814))&amp;"-"&amp;IF(LEN(DAY(F814))=1,"0"&amp;DAY(F814),DAY(F814))</f>
        <v>906-2024-12-31</v>
      </c>
    </row>
    <row r="815" spans="1:18" x14ac:dyDescent="0.3">
      <c r="A815" s="26">
        <v>907</v>
      </c>
      <c r="B815" s="23" t="s">
        <v>538</v>
      </c>
      <c r="C815" s="5" t="s">
        <v>345</v>
      </c>
      <c r="D815" s="5" t="s">
        <v>18</v>
      </c>
      <c r="E815" s="5" t="s">
        <v>9</v>
      </c>
      <c r="F815" s="6">
        <v>45657</v>
      </c>
      <c r="G815" s="16">
        <f t="shared" si="112"/>
        <v>2024</v>
      </c>
      <c r="H815" s="6" t="str">
        <f t="shared" si="110"/>
        <v>Diciembre</v>
      </c>
      <c r="I815" s="6" t="str">
        <f t="shared" si="111"/>
        <v>2024-2</v>
      </c>
      <c r="J815" s="11">
        <v>100</v>
      </c>
      <c r="K815" s="11">
        <v>100</v>
      </c>
      <c r="L815" s="15">
        <f t="shared" si="115"/>
        <v>1</v>
      </c>
      <c r="M815" s="15">
        <f t="shared" si="116"/>
        <v>1</v>
      </c>
      <c r="N815" s="5" t="s">
        <v>347</v>
      </c>
      <c r="O815" s="5" t="s">
        <v>347</v>
      </c>
      <c r="P815" s="5">
        <v>0</v>
      </c>
      <c r="Q815" s="5">
        <v>0</v>
      </c>
      <c r="R815" s="5" t="str">
        <f>A815&amp;"-"&amp;YEAR(F815)&amp;"-"&amp;IF(LEN(MONTH(F815))=1,"0"&amp;MONTH(F815),MONTH(F815))&amp;"-"&amp;IF(LEN(DAY(F815))=1,"0"&amp;DAY(F815),DAY(F815))</f>
        <v>907-2024-12-31</v>
      </c>
    </row>
    <row r="816" spans="1:18" x14ac:dyDescent="0.3">
      <c r="A816" s="26">
        <v>908</v>
      </c>
      <c r="B816" s="23" t="s">
        <v>539</v>
      </c>
      <c r="C816" s="5" t="s">
        <v>315</v>
      </c>
      <c r="D816" s="5" t="s">
        <v>18</v>
      </c>
      <c r="E816" s="5" t="s">
        <v>9</v>
      </c>
      <c r="F816" s="6">
        <v>45657</v>
      </c>
      <c r="G816" s="16">
        <f t="shared" si="112"/>
        <v>2024</v>
      </c>
      <c r="H816" s="6" t="str">
        <f t="shared" si="110"/>
        <v>Diciembre</v>
      </c>
      <c r="I816" s="6" t="str">
        <f t="shared" si="111"/>
        <v>2024-2</v>
      </c>
      <c r="J816" s="11">
        <v>100</v>
      </c>
      <c r="K816" s="11">
        <v>100</v>
      </c>
      <c r="L816" s="15">
        <f t="shared" si="115"/>
        <v>1</v>
      </c>
      <c r="M816" s="15">
        <f t="shared" si="116"/>
        <v>1</v>
      </c>
      <c r="N816" s="5" t="s">
        <v>347</v>
      </c>
      <c r="O816" s="5" t="s">
        <v>347</v>
      </c>
      <c r="P816" s="5">
        <v>0</v>
      </c>
      <c r="Q816" s="5">
        <v>0</v>
      </c>
      <c r="R816" s="5" t="str">
        <f>A816&amp;"-"&amp;YEAR(F816)&amp;"-"&amp;IF(LEN(MONTH(F816))=1,"0"&amp;MONTH(F816),MONTH(F816))&amp;"-"&amp;IF(LEN(DAY(F816))=1,"0"&amp;DAY(F816),DAY(F816))</f>
        <v>908-2024-12-31</v>
      </c>
    </row>
    <row r="817" spans="1:18" x14ac:dyDescent="0.3">
      <c r="A817" s="5">
        <v>920</v>
      </c>
      <c r="B817" s="5" t="s">
        <v>830</v>
      </c>
      <c r="C817" s="5" t="s">
        <v>343</v>
      </c>
      <c r="D817" s="5" t="s">
        <v>18</v>
      </c>
      <c r="E817" s="5" t="s">
        <v>9</v>
      </c>
      <c r="F817" s="6">
        <v>45657</v>
      </c>
      <c r="G817" s="16">
        <f t="shared" si="112"/>
        <v>2024</v>
      </c>
      <c r="H817" s="6" t="str">
        <f t="shared" si="110"/>
        <v>Diciembre</v>
      </c>
      <c r="I817" s="6" t="str">
        <f t="shared" si="111"/>
        <v>2024-2</v>
      </c>
      <c r="J817" s="5">
        <v>100</v>
      </c>
      <c r="K817" s="5">
        <v>100</v>
      </c>
      <c r="L817" s="15">
        <f>IFERROR(IF((K817/J817)&gt;1.3,1.3,K817/J817),"")</f>
        <v>1</v>
      </c>
      <c r="M817" s="15">
        <f>IFERROR(K817/J817,"")</f>
        <v>1</v>
      </c>
      <c r="N817" s="5" t="s">
        <v>347</v>
      </c>
      <c r="O817" s="5" t="s">
        <v>347</v>
      </c>
      <c r="P817" s="5">
        <v>0</v>
      </c>
      <c r="Q817" s="5">
        <v>0</v>
      </c>
      <c r="R817" s="5" t="str">
        <f>A817&amp;"-"&amp;YEAR(F817)&amp;"-"&amp;IF(LEN(MONTH(F817))=1,"0"&amp;MONTH(F817),MONTH(F817))&amp;"-"&amp;IF(LEN(DAY(F817))=1,"0"&amp;DAY(F817),DAY(F817))</f>
        <v>920-2024-12-31</v>
      </c>
    </row>
    <row r="818" spans="1:18" x14ac:dyDescent="0.3">
      <c r="A818" s="5" t="s">
        <v>436</v>
      </c>
      <c r="B818" s="5" t="s">
        <v>39</v>
      </c>
      <c r="C818" s="5" t="s">
        <v>24</v>
      </c>
      <c r="D818" s="5" t="s">
        <v>25</v>
      </c>
      <c r="E818" s="5" t="s">
        <v>9</v>
      </c>
      <c r="F818" s="6">
        <v>45657</v>
      </c>
      <c r="G818" s="5">
        <v>2023</v>
      </c>
      <c r="H818" s="5" t="str">
        <f t="shared" si="110"/>
        <v>Diciembre</v>
      </c>
      <c r="I818" s="6" t="str">
        <f t="shared" si="111"/>
        <v>2023-2</v>
      </c>
      <c r="J818" s="5">
        <v>80</v>
      </c>
      <c r="K818" s="5">
        <v>90.789405483854196</v>
      </c>
      <c r="L818" s="15">
        <f>IFERROR(IF((K818/J818)&gt;1.3,1.3,K818/J818),"")</f>
        <v>1.1348675685481775</v>
      </c>
      <c r="M818" s="15">
        <f>IFERROR(K818/J818,"")</f>
        <v>1.1348675685481775</v>
      </c>
      <c r="N818" s="5" t="s">
        <v>490</v>
      </c>
      <c r="O818" s="5" t="s">
        <v>478</v>
      </c>
      <c r="P818" s="5">
        <v>1</v>
      </c>
      <c r="Q818" s="5">
        <v>1</v>
      </c>
      <c r="R818" s="5" t="str">
        <f>A818&amp;"-"&amp;YEAR(F818)&amp;"-"&amp;IF(LEN(MONTH(F818))=1,"0"&amp;MONTH(F818),MONTH(F818))&amp;"-"&amp;IF(LEN(DAY(F818))=1,"0"&amp;DAY(F818),DAY(F818))</f>
        <v>108.2-2024-12-31</v>
      </c>
    </row>
    <row r="819" spans="1:18" x14ac:dyDescent="0.3">
      <c r="A819" s="26" t="s">
        <v>705</v>
      </c>
      <c r="B819" s="23" t="s">
        <v>706</v>
      </c>
      <c r="C819" s="5" t="s">
        <v>145</v>
      </c>
      <c r="D819" s="5" t="s">
        <v>8</v>
      </c>
      <c r="E819" s="5" t="s">
        <v>9</v>
      </c>
      <c r="F819" s="6">
        <v>45657</v>
      </c>
      <c r="G819" s="16">
        <f t="shared" ref="G819:G882" si="117">YEAR(F819)</f>
        <v>2024</v>
      </c>
      <c r="H819" s="6" t="str">
        <f t="shared" si="110"/>
        <v>Diciembre</v>
      </c>
      <c r="I819" s="6" t="str">
        <f t="shared" si="111"/>
        <v>2024-2</v>
      </c>
      <c r="J819" s="5">
        <v>5</v>
      </c>
      <c r="K819" s="5">
        <v>3</v>
      </c>
      <c r="L819" s="15">
        <f>IFERROR(IF((K819/J819)&gt;1,1,K819/J819),"")</f>
        <v>0.6</v>
      </c>
      <c r="M819" s="15">
        <f>IFERROR(IF((K819/J819)&gt;1,1,K819/J819),"")</f>
        <v>0.6</v>
      </c>
      <c r="N819" s="5" t="s">
        <v>490</v>
      </c>
      <c r="O819" s="5" t="s">
        <v>490</v>
      </c>
      <c r="P819" s="5">
        <v>0</v>
      </c>
      <c r="Q819" s="5">
        <v>0</v>
      </c>
      <c r="R819" s="5" t="str">
        <f>A819&amp;"-"&amp;YEAR(F819)&amp;"-"&amp;IF(LEN(MONTH(F819))=1,"0"&amp;MONTH(F819),MONTH(F819))&amp;"-"&amp;IF(LEN(DAY(F819))=1,"0"&amp;DAY(F819),DAY(F819))</f>
        <v>11.1-2024-12-31</v>
      </c>
    </row>
    <row r="820" spans="1:18" x14ac:dyDescent="0.3">
      <c r="A820" s="25" t="s">
        <v>348</v>
      </c>
      <c r="B820" s="23" t="s">
        <v>349</v>
      </c>
      <c r="C820" s="5" t="s">
        <v>124</v>
      </c>
      <c r="D820" s="5" t="s">
        <v>8</v>
      </c>
      <c r="E820" s="5" t="s">
        <v>9</v>
      </c>
      <c r="F820" s="6">
        <v>45657</v>
      </c>
      <c r="G820" s="16">
        <f t="shared" si="117"/>
        <v>2024</v>
      </c>
      <c r="H820" s="6" t="str">
        <f t="shared" si="110"/>
        <v>Diciembre</v>
      </c>
      <c r="I820" s="6" t="str">
        <f t="shared" si="111"/>
        <v>2024-2</v>
      </c>
      <c r="J820" s="82">
        <v>16080</v>
      </c>
      <c r="K820" s="82">
        <v>16589</v>
      </c>
      <c r="L820" s="15">
        <f>IFERROR(IF((K820/J820)&gt;1.3,1.3,K820/J820),"")</f>
        <v>1.0316542288557213</v>
      </c>
      <c r="M820" s="15">
        <f>IFERROR(K820/J820,"")</f>
        <v>1.0316542288557213</v>
      </c>
      <c r="N820" s="5" t="s">
        <v>490</v>
      </c>
      <c r="O820" s="5" t="s">
        <v>490</v>
      </c>
      <c r="P820" s="5">
        <v>0</v>
      </c>
      <c r="Q820" s="5">
        <v>0</v>
      </c>
      <c r="R820" s="5" t="str">
        <f>A820&amp;"-"&amp;YEAR(F820)&amp;"-"&amp;IF(LEN(MONTH(F820))=1,"0"&amp;MONTH(F820),MONTH(F820))&amp;"-"&amp;IF(LEN(DAY(F820))=1,"0"&amp;DAY(F820),DAY(F820))</f>
        <v>14.1-2024-12-31</v>
      </c>
    </row>
    <row r="821" spans="1:18" x14ac:dyDescent="0.3">
      <c r="A821" s="25" t="s">
        <v>350</v>
      </c>
      <c r="B821" s="23" t="s">
        <v>351</v>
      </c>
      <c r="C821" s="5" t="s">
        <v>124</v>
      </c>
      <c r="D821" s="5" t="s">
        <v>8</v>
      </c>
      <c r="E821" s="5" t="s">
        <v>9</v>
      </c>
      <c r="F821" s="6">
        <v>45657</v>
      </c>
      <c r="G821" s="16">
        <f t="shared" si="117"/>
        <v>2024</v>
      </c>
      <c r="H821" s="6" t="str">
        <f t="shared" si="110"/>
        <v>Diciembre</v>
      </c>
      <c r="I821" s="6" t="str">
        <f t="shared" si="111"/>
        <v>2024-2</v>
      </c>
      <c r="J821" s="5">
        <v>87439</v>
      </c>
      <c r="K821" s="5">
        <v>88001</v>
      </c>
      <c r="L821" s="15">
        <f>IFERROR(IF((K821/J821)&gt;1.3,1.3,K821/J821),"")</f>
        <v>1.0064273379155755</v>
      </c>
      <c r="M821" s="15">
        <f>IFERROR(K821/J821,"")</f>
        <v>1.0064273379155755</v>
      </c>
      <c r="N821" s="5" t="s">
        <v>490</v>
      </c>
      <c r="O821" s="5" t="s">
        <v>490</v>
      </c>
      <c r="P821" s="5">
        <v>0</v>
      </c>
      <c r="Q821" s="5">
        <v>0</v>
      </c>
      <c r="R821" s="5" t="str">
        <f>A821&amp;"-"&amp;YEAR(F821)&amp;"-"&amp;IF(LEN(MONTH(F821))=1,"0"&amp;MONTH(F821),MONTH(F821))&amp;"-"&amp;IF(LEN(DAY(F821))=1,"0"&amp;DAY(F821),DAY(F821))</f>
        <v>14.2-2024-12-31</v>
      </c>
    </row>
    <row r="822" spans="1:18" x14ac:dyDescent="0.3">
      <c r="A822" s="25" t="s">
        <v>352</v>
      </c>
      <c r="B822" s="23" t="s">
        <v>353</v>
      </c>
      <c r="C822" s="5" t="s">
        <v>124</v>
      </c>
      <c r="D822" s="5" t="s">
        <v>8</v>
      </c>
      <c r="E822" s="5" t="s">
        <v>9</v>
      </c>
      <c r="F822" s="6">
        <v>45657</v>
      </c>
      <c r="G822" s="16">
        <f t="shared" si="117"/>
        <v>2024</v>
      </c>
      <c r="H822" s="6" t="str">
        <f t="shared" si="110"/>
        <v>Diciembre</v>
      </c>
      <c r="I822" s="6" t="str">
        <f t="shared" si="111"/>
        <v>2024-2</v>
      </c>
      <c r="J822" s="82">
        <v>97371</v>
      </c>
      <c r="K822" s="82">
        <v>97431</v>
      </c>
      <c r="L822" s="15">
        <f>IFERROR(IF((K822/J822)&gt;1.3,1.3,K822/J822),"")</f>
        <v>1.0006161998952461</v>
      </c>
      <c r="M822" s="15">
        <f>IFERROR(K822/J822,"")</f>
        <v>1.0006161998952461</v>
      </c>
      <c r="N822" s="5" t="s">
        <v>490</v>
      </c>
      <c r="O822" s="5" t="s">
        <v>490</v>
      </c>
      <c r="P822" s="5">
        <v>0</v>
      </c>
      <c r="Q822" s="5">
        <v>0</v>
      </c>
      <c r="R822" s="5" t="str">
        <f>A822&amp;"-"&amp;YEAR(F822)&amp;"-"&amp;IF(LEN(MONTH(F822))=1,"0"&amp;MONTH(F822),MONTH(F822))&amp;"-"&amp;IF(LEN(DAY(F822))=1,"0"&amp;DAY(F822),DAY(F822))</f>
        <v>14.3-2024-12-31</v>
      </c>
    </row>
    <row r="823" spans="1:18" x14ac:dyDescent="0.3">
      <c r="A823" s="25" t="s">
        <v>354</v>
      </c>
      <c r="B823" s="23" t="s">
        <v>355</v>
      </c>
      <c r="C823" s="5" t="s">
        <v>124</v>
      </c>
      <c r="D823" s="5" t="s">
        <v>8</v>
      </c>
      <c r="E823" s="5" t="s">
        <v>9</v>
      </c>
      <c r="F823" s="6">
        <v>45657</v>
      </c>
      <c r="G823" s="16">
        <f t="shared" si="117"/>
        <v>2024</v>
      </c>
      <c r="H823" s="6" t="str">
        <f t="shared" si="110"/>
        <v>Diciembre</v>
      </c>
      <c r="I823" s="6" t="str">
        <f t="shared" si="111"/>
        <v>2024-2</v>
      </c>
      <c r="J823" s="82">
        <v>6148</v>
      </c>
      <c r="K823" s="82">
        <v>7151</v>
      </c>
      <c r="L823" s="15">
        <f>IFERROR(IF((K823/J823)&gt;1.3,1.3,K823/J823),"")</f>
        <v>1.163142485361093</v>
      </c>
      <c r="M823" s="15">
        <f>IFERROR(K823/J823,"")</f>
        <v>1.163142485361093</v>
      </c>
      <c r="N823" s="5" t="s">
        <v>490</v>
      </c>
      <c r="O823" s="5" t="s">
        <v>490</v>
      </c>
      <c r="P823" s="5">
        <v>0</v>
      </c>
      <c r="Q823" s="5">
        <v>0</v>
      </c>
      <c r="R823" s="5" t="str">
        <f>A823&amp;"-"&amp;YEAR(F823)&amp;"-"&amp;IF(LEN(MONTH(F823))=1,"0"&amp;MONTH(F823),MONTH(F823))&amp;"-"&amp;IF(LEN(DAY(F823))=1,"0"&amp;DAY(F823),DAY(F823))</f>
        <v>14.4-2024-12-31</v>
      </c>
    </row>
    <row r="824" spans="1:18" x14ac:dyDescent="0.3">
      <c r="A824" s="5" t="s">
        <v>429</v>
      </c>
      <c r="B824" s="5" t="s">
        <v>430</v>
      </c>
      <c r="C824" s="5" t="s">
        <v>209</v>
      </c>
      <c r="D824" s="5" t="s">
        <v>8</v>
      </c>
      <c r="E824" s="5" t="s">
        <v>9</v>
      </c>
      <c r="F824" s="6">
        <v>45657</v>
      </c>
      <c r="G824" s="16">
        <f t="shared" si="117"/>
        <v>2024</v>
      </c>
      <c r="H824" s="6" t="str">
        <f t="shared" si="110"/>
        <v>Diciembre</v>
      </c>
      <c r="I824" s="6" t="str">
        <f t="shared" si="111"/>
        <v>2024-2</v>
      </c>
      <c r="J824" s="5">
        <v>0</v>
      </c>
      <c r="K824" s="5">
        <v>0</v>
      </c>
      <c r="L824" s="15" t="str">
        <f>IFERROR(IF((K824/J824)&gt;1,1,K824/J824),"")</f>
        <v/>
      </c>
      <c r="M824" s="15" t="str">
        <f>IFERROR(IF((K824/J824)&gt;1,1,K824/J824),"")</f>
        <v/>
      </c>
      <c r="N824" s="5" t="s">
        <v>417</v>
      </c>
      <c r="O824" s="5" t="s">
        <v>417</v>
      </c>
      <c r="P824" s="5">
        <v>0</v>
      </c>
      <c r="Q824" s="5">
        <v>0</v>
      </c>
      <c r="R824" s="5" t="str">
        <f>A824&amp;"-"&amp;YEAR(F824)&amp;"-"&amp;IF(LEN(MONTH(F824))=1,"0"&amp;MONTH(F824),MONTH(F824))&amp;"-"&amp;IF(LEN(DAY(F824))=1,"0"&amp;DAY(F824),DAY(F824))</f>
        <v>325.1-2024-12-31</v>
      </c>
    </row>
    <row r="825" spans="1:18" x14ac:dyDescent="0.3">
      <c r="A825" s="5" t="s">
        <v>431</v>
      </c>
      <c r="B825" s="5" t="s">
        <v>432</v>
      </c>
      <c r="C825" s="5" t="s">
        <v>209</v>
      </c>
      <c r="D825" s="5" t="s">
        <v>8</v>
      </c>
      <c r="E825" s="5" t="s">
        <v>9</v>
      </c>
      <c r="F825" s="17">
        <v>45657</v>
      </c>
      <c r="G825" s="16">
        <f t="shared" si="117"/>
        <v>2024</v>
      </c>
      <c r="H825" s="6" t="str">
        <f t="shared" si="110"/>
        <v>Diciembre</v>
      </c>
      <c r="I825" s="6" t="str">
        <f t="shared" si="111"/>
        <v>2024-2</v>
      </c>
      <c r="J825" s="5">
        <v>5</v>
      </c>
      <c r="K825" s="5">
        <v>5</v>
      </c>
      <c r="L825" s="15">
        <f>IFERROR(IF((K825/J825)&gt;1,1,K825/J825),"")</f>
        <v>1</v>
      </c>
      <c r="M825" s="15">
        <f>IFERROR(IF((K825/J825)&gt;1,1,K825/J825),"")</f>
        <v>1</v>
      </c>
      <c r="N825" s="5" t="s">
        <v>490</v>
      </c>
      <c r="O825" s="5" t="s">
        <v>490</v>
      </c>
      <c r="P825" s="5">
        <v>0</v>
      </c>
      <c r="Q825" s="5">
        <v>0</v>
      </c>
      <c r="R825" s="5" t="str">
        <f>A825&amp;"-"&amp;YEAR(F825)&amp;"-"&amp;IF(LEN(MONTH(F825))=1,"0"&amp;MONTH(F825),MONTH(F825))&amp;"-"&amp;IF(LEN(DAY(F825))=1,"0"&amp;DAY(F825),DAY(F825))</f>
        <v>325.2-2024-12-31</v>
      </c>
    </row>
    <row r="826" spans="1:18" x14ac:dyDescent="0.3">
      <c r="A826" s="26" t="s">
        <v>356</v>
      </c>
      <c r="B826" s="23" t="s">
        <v>359</v>
      </c>
      <c r="C826" s="5" t="s">
        <v>274</v>
      </c>
      <c r="D826" s="5" t="s">
        <v>8</v>
      </c>
      <c r="E826" s="5" t="s">
        <v>9</v>
      </c>
      <c r="F826" s="6">
        <v>45657</v>
      </c>
      <c r="G826" s="16">
        <f t="shared" si="117"/>
        <v>2024</v>
      </c>
      <c r="H826" s="6" t="str">
        <f t="shared" si="110"/>
        <v>Diciembre</v>
      </c>
      <c r="I826" s="6" t="str">
        <f t="shared" si="111"/>
        <v>2024-2</v>
      </c>
      <c r="J826" s="81">
        <v>3424.2073961999995</v>
      </c>
      <c r="K826" s="80">
        <v>4694.2130900000002</v>
      </c>
      <c r="L826" s="15">
        <f>IFERROR(IF((K826/J826)&gt;1.3,1.3,K826/J826),"")</f>
        <v>1.3</v>
      </c>
      <c r="M826" s="15">
        <f>IFERROR(IF((K826/J826)&gt;1,K826/J826,K826/J826),"")</f>
        <v>1.3708904125402521</v>
      </c>
      <c r="N826" s="5" t="s">
        <v>474</v>
      </c>
      <c r="O826" s="5" t="s">
        <v>474</v>
      </c>
      <c r="P826" s="5">
        <v>0</v>
      </c>
      <c r="Q826" s="5">
        <v>0</v>
      </c>
      <c r="R826" s="5" t="str">
        <f>A826&amp;"-"&amp;YEAR(F826)&amp;"-"&amp;IF(LEN(MONTH(F826))=1,"0"&amp;MONTH(F826),MONTH(F826))&amp;"-"&amp;IF(LEN(DAY(F826))=1,"0"&amp;DAY(F826),DAY(F826))</f>
        <v>386.1-2024-12-31</v>
      </c>
    </row>
    <row r="827" spans="1:18" x14ac:dyDescent="0.3">
      <c r="A827" s="26" t="s">
        <v>357</v>
      </c>
      <c r="B827" s="5" t="s">
        <v>845</v>
      </c>
      <c r="C827" s="5" t="s">
        <v>274</v>
      </c>
      <c r="D827" s="5" t="s">
        <v>8</v>
      </c>
      <c r="E827" s="5" t="s">
        <v>9</v>
      </c>
      <c r="F827" s="6">
        <v>45657</v>
      </c>
      <c r="G827" s="16">
        <f t="shared" si="117"/>
        <v>2024</v>
      </c>
      <c r="H827" s="6" t="str">
        <f t="shared" si="110"/>
        <v>Diciembre</v>
      </c>
      <c r="I827" s="6" t="str">
        <f t="shared" si="111"/>
        <v>2024-2</v>
      </c>
      <c r="J827" s="9">
        <v>7711.1257611000001</v>
      </c>
      <c r="K827" s="11">
        <v>4170.686009</v>
      </c>
      <c r="L827" s="15">
        <f>IFERROR(IF((K827/J827)&gt;1.3,1.3,K827/J827),"")</f>
        <v>0.54086603411912804</v>
      </c>
      <c r="M827" s="15">
        <f>IFERROR(IF((K827/J827)&gt;1,K827/J827,K827/J827),"")</f>
        <v>0.54086603411912804</v>
      </c>
      <c r="N827" s="5" t="s">
        <v>474</v>
      </c>
      <c r="O827" s="5" t="s">
        <v>474</v>
      </c>
      <c r="P827" s="5">
        <v>0</v>
      </c>
      <c r="Q827" s="5">
        <v>0</v>
      </c>
      <c r="R827" s="5" t="str">
        <f>A827&amp;"-"&amp;YEAR(F827)&amp;"-"&amp;IF(LEN(MONTH(F827))=1,"0"&amp;MONTH(F827),MONTH(F827))&amp;"-"&amp;IF(LEN(DAY(F827))=1,"0"&amp;DAY(F827),DAY(F827))</f>
        <v>386.2-2024-12-31</v>
      </c>
    </row>
    <row r="828" spans="1:18" x14ac:dyDescent="0.3">
      <c r="A828" s="26" t="s">
        <v>358</v>
      </c>
      <c r="B828" s="23" t="s">
        <v>361</v>
      </c>
      <c r="C828" s="5" t="s">
        <v>274</v>
      </c>
      <c r="D828" s="5" t="s">
        <v>8</v>
      </c>
      <c r="E828" s="5" t="s">
        <v>9</v>
      </c>
      <c r="F828" s="6">
        <v>45657</v>
      </c>
      <c r="G828" s="16">
        <f t="shared" si="117"/>
        <v>2024</v>
      </c>
      <c r="H828" s="6" t="str">
        <f t="shared" ref="H828:H891" si="118">PROPER(TEXT(F828,"mmmm"))</f>
        <v>Diciembre</v>
      </c>
      <c r="I828" s="6" t="str">
        <f t="shared" ref="I828:I891" si="119">IF(OR(H828="Enero",H828="Febrero",H828="Marzo",H828="Abril",H828="Mayo",H828="Junio"),G828&amp;"-1",IF(OR(H828="Julio",H828="Agosto",H828="Septiembre",H828="Octubre",H828="Noviembre",H828="Diciembre"),G828&amp;"-2"))</f>
        <v>2024-2</v>
      </c>
      <c r="J828" s="9">
        <v>4372.1599426999992</v>
      </c>
      <c r="K828" s="11">
        <v>4378.2397499999997</v>
      </c>
      <c r="L828" s="15">
        <f>IFERROR(IF((K828/J828)&gt;1.3,1.3,K828/J828),"")</f>
        <v>1.0013905729387031</v>
      </c>
      <c r="M828" s="15">
        <f>IFERROR(IF((K828/J828)&gt;1,K828/J828,K828/J828),"")</f>
        <v>1.0013905729387031</v>
      </c>
      <c r="N828" s="5" t="s">
        <v>474</v>
      </c>
      <c r="O828" s="5" t="s">
        <v>474</v>
      </c>
      <c r="P828" s="5">
        <v>0</v>
      </c>
      <c r="Q828" s="5">
        <v>0</v>
      </c>
      <c r="R828" s="5" t="str">
        <f>A828&amp;"-"&amp;YEAR(F828)&amp;"-"&amp;IF(LEN(MONTH(F828))=1,"0"&amp;MONTH(F828),MONTH(F828))&amp;"-"&amp;IF(LEN(DAY(F828))=1,"0"&amp;DAY(F828),DAY(F828))</f>
        <v>386.3-2024-12-31</v>
      </c>
    </row>
    <row r="829" spans="1:18" x14ac:dyDescent="0.3">
      <c r="A829" s="26" t="s">
        <v>622</v>
      </c>
      <c r="B829" s="23" t="s">
        <v>548</v>
      </c>
      <c r="C829" s="5" t="s">
        <v>345</v>
      </c>
      <c r="D829" s="5" t="s">
        <v>11</v>
      </c>
      <c r="E829" s="5" t="s">
        <v>9</v>
      </c>
      <c r="F829" s="6">
        <v>45657</v>
      </c>
      <c r="G829" s="52">
        <f t="shared" si="117"/>
        <v>2024</v>
      </c>
      <c r="H829" s="51" t="str">
        <f t="shared" si="118"/>
        <v>Diciembre</v>
      </c>
      <c r="I829" s="6" t="str">
        <f t="shared" si="119"/>
        <v>2024-2</v>
      </c>
      <c r="J829" s="50"/>
      <c r="K829" s="50"/>
      <c r="L829" s="15" t="str">
        <f t="shared" ref="L829:L860" si="120">IFERROR(IF((K829/J829)&gt;1,1,K829/J829),"")</f>
        <v/>
      </c>
      <c r="M829" s="15" t="str">
        <f t="shared" ref="M829:M860" si="121">IFERROR(IF((K829/J829)&gt;1,1,K829/J829),"")</f>
        <v/>
      </c>
      <c r="N829" s="5" t="s">
        <v>347</v>
      </c>
      <c r="O829" s="5" t="s">
        <v>347</v>
      </c>
      <c r="P829" s="5">
        <v>0</v>
      </c>
      <c r="Q829" s="5">
        <v>0</v>
      </c>
      <c r="R829" s="5" t="str">
        <f>A829&amp;"-"&amp;YEAR(F829)&amp;"-"&amp;IF(LEN(MONTH(F829))=1,"0"&amp;MONTH(F829),MONTH(F829))&amp;"-"&amp;IF(LEN(DAY(F829))=1,"0"&amp;DAY(F829),DAY(F829))</f>
        <v>390.1-2024-12-31</v>
      </c>
    </row>
    <row r="830" spans="1:18" x14ac:dyDescent="0.3">
      <c r="A830" s="26" t="s">
        <v>631</v>
      </c>
      <c r="B830" s="23" t="s">
        <v>557</v>
      </c>
      <c r="C830" s="5" t="s">
        <v>345</v>
      </c>
      <c r="D830" s="5" t="s">
        <v>11</v>
      </c>
      <c r="E830" s="5" t="s">
        <v>9</v>
      </c>
      <c r="F830" s="6">
        <v>45657</v>
      </c>
      <c r="G830" s="16">
        <f t="shared" si="117"/>
        <v>2024</v>
      </c>
      <c r="H830" s="6" t="str">
        <f t="shared" si="118"/>
        <v>Diciembre</v>
      </c>
      <c r="I830" s="6" t="str">
        <f t="shared" si="119"/>
        <v>2024-2</v>
      </c>
      <c r="J830" s="5"/>
      <c r="K830" s="5"/>
      <c r="L830" s="15" t="str">
        <f t="shared" si="120"/>
        <v/>
      </c>
      <c r="M830" s="15" t="str">
        <f t="shared" si="121"/>
        <v/>
      </c>
      <c r="N830" s="5" t="s">
        <v>347</v>
      </c>
      <c r="O830" s="5" t="s">
        <v>347</v>
      </c>
      <c r="P830" s="5">
        <v>0</v>
      </c>
      <c r="Q830" s="5">
        <v>0</v>
      </c>
      <c r="R830" s="5" t="str">
        <f>A830&amp;"-"&amp;YEAR(F830)&amp;"-"&amp;IF(LEN(MONTH(F830))=1,"0"&amp;MONTH(F830),MONTH(F830))&amp;"-"&amp;IF(LEN(DAY(F830))=1,"0"&amp;DAY(F830),DAY(F830))</f>
        <v>390.10-2024-12-31</v>
      </c>
    </row>
    <row r="831" spans="1:18" x14ac:dyDescent="0.3">
      <c r="A831" s="26" t="s">
        <v>632</v>
      </c>
      <c r="B831" s="23" t="s">
        <v>558</v>
      </c>
      <c r="C831" s="5" t="s">
        <v>345</v>
      </c>
      <c r="D831" s="5" t="s">
        <v>11</v>
      </c>
      <c r="E831" s="5" t="s">
        <v>9</v>
      </c>
      <c r="F831" s="6">
        <v>45657</v>
      </c>
      <c r="G831" s="16">
        <f t="shared" si="117"/>
        <v>2024</v>
      </c>
      <c r="H831" s="6" t="str">
        <f t="shared" si="118"/>
        <v>Diciembre</v>
      </c>
      <c r="I831" s="6" t="str">
        <f t="shared" si="119"/>
        <v>2024-2</v>
      </c>
      <c r="J831" s="5"/>
      <c r="K831" s="5"/>
      <c r="L831" s="15" t="str">
        <f t="shared" si="120"/>
        <v/>
      </c>
      <c r="M831" s="15" t="str">
        <f t="shared" si="121"/>
        <v/>
      </c>
      <c r="N831" s="5" t="s">
        <v>347</v>
      </c>
      <c r="O831" s="5" t="s">
        <v>347</v>
      </c>
      <c r="P831" s="5">
        <v>0</v>
      </c>
      <c r="Q831" s="5">
        <v>0</v>
      </c>
      <c r="R831" s="5" t="str">
        <f>A831&amp;"-"&amp;YEAR(F831)&amp;"-"&amp;IF(LEN(MONTH(F831))=1,"0"&amp;MONTH(F831),MONTH(F831))&amp;"-"&amp;IF(LEN(DAY(F831))=1,"0"&amp;DAY(F831),DAY(F831))</f>
        <v>390.11-2024-12-31</v>
      </c>
    </row>
    <row r="832" spans="1:18" x14ac:dyDescent="0.3">
      <c r="A832" s="26" t="s">
        <v>633</v>
      </c>
      <c r="B832" s="23" t="s">
        <v>559</v>
      </c>
      <c r="C832" s="5" t="s">
        <v>345</v>
      </c>
      <c r="D832" s="5" t="s">
        <v>11</v>
      </c>
      <c r="E832" s="5" t="s">
        <v>9</v>
      </c>
      <c r="F832" s="6">
        <v>45657</v>
      </c>
      <c r="G832" s="16">
        <f t="shared" si="117"/>
        <v>2024</v>
      </c>
      <c r="H832" s="6" t="str">
        <f t="shared" si="118"/>
        <v>Diciembre</v>
      </c>
      <c r="I832" s="6" t="str">
        <f t="shared" si="119"/>
        <v>2024-2</v>
      </c>
      <c r="J832" s="5"/>
      <c r="K832" s="5"/>
      <c r="L832" s="15" t="str">
        <f t="shared" si="120"/>
        <v/>
      </c>
      <c r="M832" s="15" t="str">
        <f t="shared" si="121"/>
        <v/>
      </c>
      <c r="N832" s="5" t="s">
        <v>347</v>
      </c>
      <c r="O832" s="5" t="s">
        <v>347</v>
      </c>
      <c r="P832" s="5">
        <v>0</v>
      </c>
      <c r="Q832" s="5">
        <v>0</v>
      </c>
      <c r="R832" s="5" t="str">
        <f>A832&amp;"-"&amp;YEAR(F832)&amp;"-"&amp;IF(LEN(MONTH(F832))=1,"0"&amp;MONTH(F832),MONTH(F832))&amp;"-"&amp;IF(LEN(DAY(F832))=1,"0"&amp;DAY(F832),DAY(F832))</f>
        <v>390.12-2024-12-31</v>
      </c>
    </row>
    <row r="833" spans="1:18" x14ac:dyDescent="0.3">
      <c r="A833" s="26" t="s">
        <v>623</v>
      </c>
      <c r="B833" s="23" t="s">
        <v>549</v>
      </c>
      <c r="C833" s="5" t="s">
        <v>345</v>
      </c>
      <c r="D833" s="5" t="s">
        <v>11</v>
      </c>
      <c r="E833" s="5" t="s">
        <v>9</v>
      </c>
      <c r="F833" s="6">
        <v>45657</v>
      </c>
      <c r="G833" s="16">
        <f t="shared" si="117"/>
        <v>2024</v>
      </c>
      <c r="H833" s="6" t="str">
        <f t="shared" si="118"/>
        <v>Diciembre</v>
      </c>
      <c r="I833" s="6" t="str">
        <f t="shared" si="119"/>
        <v>2024-2</v>
      </c>
      <c r="J833" s="5"/>
      <c r="K833" s="5"/>
      <c r="L833" s="15" t="str">
        <f t="shared" si="120"/>
        <v/>
      </c>
      <c r="M833" s="15" t="str">
        <f t="shared" si="121"/>
        <v/>
      </c>
      <c r="N833" s="5" t="s">
        <v>347</v>
      </c>
      <c r="O833" s="5" t="s">
        <v>347</v>
      </c>
      <c r="P833" s="5">
        <v>0</v>
      </c>
      <c r="Q833" s="5">
        <v>0</v>
      </c>
      <c r="R833" s="5" t="str">
        <f>A833&amp;"-"&amp;YEAR(F833)&amp;"-"&amp;IF(LEN(MONTH(F833))=1,"0"&amp;MONTH(F833),MONTH(F833))&amp;"-"&amp;IF(LEN(DAY(F833))=1,"0"&amp;DAY(F833),DAY(F833))</f>
        <v>390.2-2024-12-31</v>
      </c>
    </row>
    <row r="834" spans="1:18" x14ac:dyDescent="0.3">
      <c r="A834" s="26" t="s">
        <v>624</v>
      </c>
      <c r="B834" s="23" t="s">
        <v>550</v>
      </c>
      <c r="C834" s="5" t="s">
        <v>345</v>
      </c>
      <c r="D834" s="5" t="s">
        <v>11</v>
      </c>
      <c r="E834" s="5" t="s">
        <v>9</v>
      </c>
      <c r="F834" s="6">
        <v>45657</v>
      </c>
      <c r="G834" s="16">
        <f t="shared" si="117"/>
        <v>2024</v>
      </c>
      <c r="H834" s="6" t="str">
        <f t="shared" si="118"/>
        <v>Diciembre</v>
      </c>
      <c r="I834" s="6" t="str">
        <f t="shared" si="119"/>
        <v>2024-2</v>
      </c>
      <c r="J834" s="5"/>
      <c r="K834" s="5"/>
      <c r="L834" s="15" t="str">
        <f t="shared" si="120"/>
        <v/>
      </c>
      <c r="M834" s="15" t="str">
        <f t="shared" si="121"/>
        <v/>
      </c>
      <c r="N834" s="5" t="s">
        <v>347</v>
      </c>
      <c r="O834" s="5" t="s">
        <v>347</v>
      </c>
      <c r="P834" s="5">
        <v>1</v>
      </c>
      <c r="Q834" s="5">
        <v>1</v>
      </c>
      <c r="R834" s="5" t="str">
        <f>A834&amp;"-"&amp;YEAR(F834)&amp;"-"&amp;IF(LEN(MONTH(F834))=1,"0"&amp;MONTH(F834),MONTH(F834))&amp;"-"&amp;IF(LEN(DAY(F834))=1,"0"&amp;DAY(F834),DAY(F834))</f>
        <v>390.3-2024-12-31</v>
      </c>
    </row>
    <row r="835" spans="1:18" x14ac:dyDescent="0.3">
      <c r="A835" s="26" t="s">
        <v>625</v>
      </c>
      <c r="B835" s="23" t="s">
        <v>551</v>
      </c>
      <c r="C835" s="5" t="s">
        <v>345</v>
      </c>
      <c r="D835" s="5" t="s">
        <v>11</v>
      </c>
      <c r="E835" s="5" t="s">
        <v>9</v>
      </c>
      <c r="F835" s="6">
        <v>45657</v>
      </c>
      <c r="G835" s="16">
        <f t="shared" si="117"/>
        <v>2024</v>
      </c>
      <c r="H835" s="6" t="str">
        <f t="shared" si="118"/>
        <v>Diciembre</v>
      </c>
      <c r="I835" s="6" t="str">
        <f t="shared" si="119"/>
        <v>2024-2</v>
      </c>
      <c r="J835" s="5"/>
      <c r="K835" s="5"/>
      <c r="L835" s="15" t="str">
        <f t="shared" si="120"/>
        <v/>
      </c>
      <c r="M835" s="15" t="str">
        <f t="shared" si="121"/>
        <v/>
      </c>
      <c r="N835" s="5" t="s">
        <v>347</v>
      </c>
      <c r="O835" s="5" t="s">
        <v>347</v>
      </c>
      <c r="P835" s="5">
        <v>0</v>
      </c>
      <c r="Q835" s="5">
        <v>0</v>
      </c>
      <c r="R835" s="5" t="str">
        <f>A835&amp;"-"&amp;YEAR(F835)&amp;"-"&amp;IF(LEN(MONTH(F835))=1,"0"&amp;MONTH(F835),MONTH(F835))&amp;"-"&amp;IF(LEN(DAY(F835))=1,"0"&amp;DAY(F835),DAY(F835))</f>
        <v>390.4-2024-12-31</v>
      </c>
    </row>
    <row r="836" spans="1:18" x14ac:dyDescent="0.3">
      <c r="A836" s="26" t="s">
        <v>626</v>
      </c>
      <c r="B836" s="23" t="s">
        <v>552</v>
      </c>
      <c r="C836" s="5" t="s">
        <v>345</v>
      </c>
      <c r="D836" s="5" t="s">
        <v>11</v>
      </c>
      <c r="E836" s="5" t="s">
        <v>9</v>
      </c>
      <c r="F836" s="6">
        <v>45657</v>
      </c>
      <c r="G836" s="16">
        <f t="shared" si="117"/>
        <v>2024</v>
      </c>
      <c r="H836" s="6" t="str">
        <f t="shared" si="118"/>
        <v>Diciembre</v>
      </c>
      <c r="I836" s="6" t="str">
        <f t="shared" si="119"/>
        <v>2024-2</v>
      </c>
      <c r="J836" s="5"/>
      <c r="K836" s="5"/>
      <c r="L836" s="15" t="str">
        <f t="shared" si="120"/>
        <v/>
      </c>
      <c r="M836" s="15" t="str">
        <f t="shared" si="121"/>
        <v/>
      </c>
      <c r="N836" s="5" t="s">
        <v>347</v>
      </c>
      <c r="O836" s="5" t="s">
        <v>347</v>
      </c>
      <c r="P836" s="5">
        <v>0</v>
      </c>
      <c r="Q836" s="5">
        <v>0</v>
      </c>
      <c r="R836" s="5" t="str">
        <f>A836&amp;"-"&amp;YEAR(F836)&amp;"-"&amp;IF(LEN(MONTH(F836))=1,"0"&amp;MONTH(F836),MONTH(F836))&amp;"-"&amp;IF(LEN(DAY(F836))=1,"0"&amp;DAY(F836),DAY(F836))</f>
        <v>390.5-2024-12-31</v>
      </c>
    </row>
    <row r="837" spans="1:18" x14ac:dyDescent="0.3">
      <c r="A837" s="26" t="s">
        <v>627</v>
      </c>
      <c r="B837" s="23" t="s">
        <v>553</v>
      </c>
      <c r="C837" s="5" t="s">
        <v>345</v>
      </c>
      <c r="D837" s="5" t="s">
        <v>11</v>
      </c>
      <c r="E837" s="5" t="s">
        <v>9</v>
      </c>
      <c r="F837" s="6">
        <v>45657</v>
      </c>
      <c r="G837" s="16">
        <f t="shared" si="117"/>
        <v>2024</v>
      </c>
      <c r="H837" s="6" t="str">
        <f t="shared" si="118"/>
        <v>Diciembre</v>
      </c>
      <c r="I837" s="6" t="str">
        <f t="shared" si="119"/>
        <v>2024-2</v>
      </c>
      <c r="J837" s="5"/>
      <c r="K837" s="5"/>
      <c r="L837" s="15" t="str">
        <f t="shared" si="120"/>
        <v/>
      </c>
      <c r="M837" s="15" t="str">
        <f t="shared" si="121"/>
        <v/>
      </c>
      <c r="N837" s="5" t="s">
        <v>347</v>
      </c>
      <c r="O837" s="5" t="s">
        <v>347</v>
      </c>
      <c r="P837" s="5">
        <v>0</v>
      </c>
      <c r="Q837" s="5">
        <v>0</v>
      </c>
      <c r="R837" s="5" t="str">
        <f>A837&amp;"-"&amp;YEAR(F837)&amp;"-"&amp;IF(LEN(MONTH(F837))=1,"0"&amp;MONTH(F837),MONTH(F837))&amp;"-"&amp;IF(LEN(DAY(F837))=1,"0"&amp;DAY(F837),DAY(F837))</f>
        <v>390.6-2024-12-31</v>
      </c>
    </row>
    <row r="838" spans="1:18" x14ac:dyDescent="0.3">
      <c r="A838" s="26" t="s">
        <v>628</v>
      </c>
      <c r="B838" s="23" t="s">
        <v>554</v>
      </c>
      <c r="C838" s="5" t="s">
        <v>345</v>
      </c>
      <c r="D838" s="5" t="s">
        <v>11</v>
      </c>
      <c r="E838" s="5" t="s">
        <v>9</v>
      </c>
      <c r="F838" s="6">
        <v>45657</v>
      </c>
      <c r="G838" s="16">
        <f t="shared" si="117"/>
        <v>2024</v>
      </c>
      <c r="H838" s="6" t="str">
        <f t="shared" si="118"/>
        <v>Diciembre</v>
      </c>
      <c r="I838" s="6" t="str">
        <f t="shared" si="119"/>
        <v>2024-2</v>
      </c>
      <c r="J838" s="5"/>
      <c r="K838" s="5"/>
      <c r="L838" s="15" t="str">
        <f t="shared" si="120"/>
        <v/>
      </c>
      <c r="M838" s="15" t="str">
        <f t="shared" si="121"/>
        <v/>
      </c>
      <c r="N838" s="5" t="s">
        <v>347</v>
      </c>
      <c r="O838" s="5" t="s">
        <v>347</v>
      </c>
      <c r="P838" s="5">
        <v>0</v>
      </c>
      <c r="Q838" s="5">
        <v>0</v>
      </c>
      <c r="R838" s="5" t="str">
        <f>A838&amp;"-"&amp;YEAR(F838)&amp;"-"&amp;IF(LEN(MONTH(F838))=1,"0"&amp;MONTH(F838),MONTH(F838))&amp;"-"&amp;IF(LEN(DAY(F838))=1,"0"&amp;DAY(F838),DAY(F838))</f>
        <v>390.7-2024-12-31</v>
      </c>
    </row>
    <row r="839" spans="1:18" x14ac:dyDescent="0.3">
      <c r="A839" s="26" t="s">
        <v>629</v>
      </c>
      <c r="B839" s="23" t="s">
        <v>555</v>
      </c>
      <c r="C839" s="5" t="s">
        <v>345</v>
      </c>
      <c r="D839" s="5" t="s">
        <v>11</v>
      </c>
      <c r="E839" s="5" t="s">
        <v>9</v>
      </c>
      <c r="F839" s="6">
        <v>45657</v>
      </c>
      <c r="G839" s="16">
        <f t="shared" si="117"/>
        <v>2024</v>
      </c>
      <c r="H839" s="6" t="str">
        <f t="shared" si="118"/>
        <v>Diciembre</v>
      </c>
      <c r="I839" s="6" t="str">
        <f t="shared" si="119"/>
        <v>2024-2</v>
      </c>
      <c r="J839" s="5"/>
      <c r="K839" s="5"/>
      <c r="L839" s="15" t="str">
        <f t="shared" si="120"/>
        <v/>
      </c>
      <c r="M839" s="15" t="str">
        <f t="shared" si="121"/>
        <v/>
      </c>
      <c r="N839" s="5" t="s">
        <v>347</v>
      </c>
      <c r="O839" s="5" t="s">
        <v>347</v>
      </c>
      <c r="P839" s="5">
        <v>0</v>
      </c>
      <c r="Q839" s="5">
        <v>0</v>
      </c>
      <c r="R839" s="5" t="str">
        <f>A839&amp;"-"&amp;YEAR(F839)&amp;"-"&amp;IF(LEN(MONTH(F839))=1,"0"&amp;MONTH(F839),MONTH(F839))&amp;"-"&amp;IF(LEN(DAY(F839))=1,"0"&amp;DAY(F839),DAY(F839))</f>
        <v>390.8-2024-12-31</v>
      </c>
    </row>
    <row r="840" spans="1:18" x14ac:dyDescent="0.3">
      <c r="A840" s="26" t="s">
        <v>630</v>
      </c>
      <c r="B840" s="23" t="s">
        <v>556</v>
      </c>
      <c r="C840" s="5" t="s">
        <v>345</v>
      </c>
      <c r="D840" s="5" t="s">
        <v>11</v>
      </c>
      <c r="E840" s="5" t="s">
        <v>9</v>
      </c>
      <c r="F840" s="6">
        <v>45657</v>
      </c>
      <c r="G840" s="16">
        <f t="shared" si="117"/>
        <v>2024</v>
      </c>
      <c r="H840" s="6" t="str">
        <f t="shared" si="118"/>
        <v>Diciembre</v>
      </c>
      <c r="I840" s="6" t="str">
        <f t="shared" si="119"/>
        <v>2024-2</v>
      </c>
      <c r="J840" s="5"/>
      <c r="K840" s="5"/>
      <c r="L840" s="15" t="str">
        <f t="shared" si="120"/>
        <v/>
      </c>
      <c r="M840" s="15" t="str">
        <f t="shared" si="121"/>
        <v/>
      </c>
      <c r="N840" s="5" t="s">
        <v>347</v>
      </c>
      <c r="O840" s="5" t="s">
        <v>347</v>
      </c>
      <c r="P840" s="5">
        <v>0</v>
      </c>
      <c r="Q840" s="5">
        <v>0</v>
      </c>
      <c r="R840" s="5" t="str">
        <f>A840&amp;"-"&amp;YEAR(F840)&amp;"-"&amp;IF(LEN(MONTH(F840))=1,"0"&amp;MONTH(F840),MONTH(F840))&amp;"-"&amp;IF(LEN(DAY(F840))=1,"0"&amp;DAY(F840),DAY(F840))</f>
        <v>390.9-2024-12-31</v>
      </c>
    </row>
    <row r="841" spans="1:18" x14ac:dyDescent="0.3">
      <c r="A841" s="26" t="s">
        <v>634</v>
      </c>
      <c r="B841" s="23" t="s">
        <v>560</v>
      </c>
      <c r="C841" s="5" t="s">
        <v>345</v>
      </c>
      <c r="D841" s="5" t="s">
        <v>11</v>
      </c>
      <c r="E841" s="5" t="s">
        <v>9</v>
      </c>
      <c r="F841" s="6">
        <v>45657</v>
      </c>
      <c r="G841" s="16">
        <f t="shared" si="117"/>
        <v>2024</v>
      </c>
      <c r="H841" s="6" t="str">
        <f t="shared" si="118"/>
        <v>Diciembre</v>
      </c>
      <c r="I841" s="6" t="str">
        <f t="shared" si="119"/>
        <v>2024-2</v>
      </c>
      <c r="J841" s="5"/>
      <c r="K841" s="5"/>
      <c r="L841" s="15" t="str">
        <f t="shared" si="120"/>
        <v/>
      </c>
      <c r="M841" s="15" t="str">
        <f t="shared" si="121"/>
        <v/>
      </c>
      <c r="N841" s="5" t="s">
        <v>347</v>
      </c>
      <c r="O841" s="5" t="s">
        <v>347</v>
      </c>
      <c r="P841" s="5">
        <v>0</v>
      </c>
      <c r="Q841" s="5">
        <v>0</v>
      </c>
      <c r="R841" s="5" t="str">
        <f>A841&amp;"-"&amp;YEAR(F841)&amp;"-"&amp;IF(LEN(MONTH(F841))=1,"0"&amp;MONTH(F841),MONTH(F841))&amp;"-"&amp;IF(LEN(DAY(F841))=1,"0"&amp;DAY(F841),DAY(F841))</f>
        <v>414.1-2024-12-31</v>
      </c>
    </row>
    <row r="842" spans="1:18" x14ac:dyDescent="0.3">
      <c r="A842" s="26" t="s">
        <v>635</v>
      </c>
      <c r="B842" s="23" t="s">
        <v>561</v>
      </c>
      <c r="C842" s="5" t="s">
        <v>345</v>
      </c>
      <c r="D842" s="5" t="s">
        <v>11</v>
      </c>
      <c r="E842" s="5" t="s">
        <v>9</v>
      </c>
      <c r="F842" s="6">
        <v>45657</v>
      </c>
      <c r="G842" s="16">
        <f t="shared" si="117"/>
        <v>2024</v>
      </c>
      <c r="H842" s="6" t="str">
        <f t="shared" si="118"/>
        <v>Diciembre</v>
      </c>
      <c r="I842" s="6" t="str">
        <f t="shared" si="119"/>
        <v>2024-2</v>
      </c>
      <c r="J842" s="5"/>
      <c r="K842" s="5"/>
      <c r="L842" s="15" t="str">
        <f t="shared" si="120"/>
        <v/>
      </c>
      <c r="M842" s="15" t="str">
        <f t="shared" si="121"/>
        <v/>
      </c>
      <c r="N842" s="5" t="s">
        <v>347</v>
      </c>
      <c r="O842" s="5" t="s">
        <v>347</v>
      </c>
      <c r="P842" s="5">
        <v>0</v>
      </c>
      <c r="Q842" s="5">
        <v>0</v>
      </c>
      <c r="R842" s="5" t="str">
        <f>A842&amp;"-"&amp;YEAR(F842)&amp;"-"&amp;IF(LEN(MONTH(F842))=1,"0"&amp;MONTH(F842),MONTH(F842))&amp;"-"&amp;IF(LEN(DAY(F842))=1,"0"&amp;DAY(F842),DAY(F842))</f>
        <v>414.2-2024-12-31</v>
      </c>
    </row>
    <row r="843" spans="1:18" x14ac:dyDescent="0.3">
      <c r="A843" s="26" t="s">
        <v>636</v>
      </c>
      <c r="B843" s="23" t="s">
        <v>562</v>
      </c>
      <c r="C843" s="5" t="s">
        <v>345</v>
      </c>
      <c r="D843" s="5" t="s">
        <v>11</v>
      </c>
      <c r="E843" s="5" t="s">
        <v>9</v>
      </c>
      <c r="F843" s="6">
        <v>45657</v>
      </c>
      <c r="G843" s="16">
        <f t="shared" si="117"/>
        <v>2024</v>
      </c>
      <c r="H843" s="6" t="str">
        <f t="shared" si="118"/>
        <v>Diciembre</v>
      </c>
      <c r="I843" s="6" t="str">
        <f t="shared" si="119"/>
        <v>2024-2</v>
      </c>
      <c r="J843" s="5"/>
      <c r="K843" s="5"/>
      <c r="L843" s="15" t="str">
        <f t="shared" si="120"/>
        <v/>
      </c>
      <c r="M843" s="15" t="str">
        <f t="shared" si="121"/>
        <v/>
      </c>
      <c r="N843" s="5" t="s">
        <v>347</v>
      </c>
      <c r="O843" s="5" t="s">
        <v>347</v>
      </c>
      <c r="P843" s="5">
        <v>0</v>
      </c>
      <c r="Q843" s="5">
        <v>0</v>
      </c>
      <c r="R843" s="5" t="str">
        <f>A843&amp;"-"&amp;YEAR(F843)&amp;"-"&amp;IF(LEN(MONTH(F843))=1,"0"&amp;MONTH(F843),MONTH(F843))&amp;"-"&amp;IF(LEN(DAY(F843))=1,"0"&amp;DAY(F843),DAY(F843))</f>
        <v>414.3-2024-12-31</v>
      </c>
    </row>
    <row r="844" spans="1:18" x14ac:dyDescent="0.3">
      <c r="A844" s="26" t="s">
        <v>637</v>
      </c>
      <c r="B844" s="23" t="s">
        <v>563</v>
      </c>
      <c r="C844" s="5" t="s">
        <v>345</v>
      </c>
      <c r="D844" s="5" t="s">
        <v>11</v>
      </c>
      <c r="E844" s="5" t="s">
        <v>9</v>
      </c>
      <c r="F844" s="6">
        <v>45657</v>
      </c>
      <c r="G844" s="16">
        <f t="shared" si="117"/>
        <v>2024</v>
      </c>
      <c r="H844" s="6" t="str">
        <f t="shared" si="118"/>
        <v>Diciembre</v>
      </c>
      <c r="I844" s="6" t="str">
        <f t="shared" si="119"/>
        <v>2024-2</v>
      </c>
      <c r="J844" s="5"/>
      <c r="K844" s="5"/>
      <c r="L844" s="15" t="str">
        <f t="shared" si="120"/>
        <v/>
      </c>
      <c r="M844" s="15" t="str">
        <f t="shared" si="121"/>
        <v/>
      </c>
      <c r="N844" s="5" t="s">
        <v>347</v>
      </c>
      <c r="O844" s="5" t="s">
        <v>347</v>
      </c>
      <c r="P844" s="5">
        <v>0</v>
      </c>
      <c r="Q844" s="5">
        <v>0</v>
      </c>
      <c r="R844" s="5" t="str">
        <f>A844&amp;"-"&amp;YEAR(F844)&amp;"-"&amp;IF(LEN(MONTH(F844))=1,"0"&amp;MONTH(F844),MONTH(F844))&amp;"-"&amp;IF(LEN(DAY(F844))=1,"0"&amp;DAY(F844),DAY(F844))</f>
        <v>414.4-2024-12-31</v>
      </c>
    </row>
    <row r="845" spans="1:18" x14ac:dyDescent="0.3">
      <c r="A845" s="26" t="s">
        <v>638</v>
      </c>
      <c r="B845" s="23" t="s">
        <v>564</v>
      </c>
      <c r="C845" s="5"/>
      <c r="D845" s="5" t="s">
        <v>11</v>
      </c>
      <c r="E845" s="5" t="s">
        <v>9</v>
      </c>
      <c r="F845" s="6">
        <v>45657</v>
      </c>
      <c r="G845" s="16">
        <f t="shared" si="117"/>
        <v>2024</v>
      </c>
      <c r="H845" s="6" t="str">
        <f t="shared" si="118"/>
        <v>Diciembre</v>
      </c>
      <c r="I845" s="6" t="str">
        <f t="shared" si="119"/>
        <v>2024-2</v>
      </c>
      <c r="J845" s="5"/>
      <c r="K845" s="5"/>
      <c r="L845" s="15" t="str">
        <f t="shared" si="120"/>
        <v/>
      </c>
      <c r="M845" s="15" t="str">
        <f t="shared" si="121"/>
        <v/>
      </c>
      <c r="N845" s="5" t="s">
        <v>347</v>
      </c>
      <c r="O845" s="5" t="s">
        <v>347</v>
      </c>
      <c r="P845" s="5">
        <v>0</v>
      </c>
      <c r="Q845" s="5">
        <v>0</v>
      </c>
      <c r="R845" s="5" t="str">
        <f>A845&amp;"-"&amp;YEAR(F845)&amp;"-"&amp;IF(LEN(MONTH(F845))=1,"0"&amp;MONTH(F845),MONTH(F845))&amp;"-"&amp;IF(LEN(DAY(F845))=1,"0"&amp;DAY(F845),DAY(F845))</f>
        <v>414.5-2024-12-31</v>
      </c>
    </row>
    <row r="846" spans="1:18" x14ac:dyDescent="0.3">
      <c r="A846" s="26" t="s">
        <v>639</v>
      </c>
      <c r="B846" s="23" t="s">
        <v>565</v>
      </c>
      <c r="C846" s="5" t="s">
        <v>13</v>
      </c>
      <c r="D846" s="5" t="s">
        <v>11</v>
      </c>
      <c r="E846" s="5" t="s">
        <v>9</v>
      </c>
      <c r="F846" s="6">
        <v>45657</v>
      </c>
      <c r="G846" s="16">
        <f t="shared" si="117"/>
        <v>2024</v>
      </c>
      <c r="H846" s="6" t="str">
        <f t="shared" si="118"/>
        <v>Diciembre</v>
      </c>
      <c r="I846" s="6" t="str">
        <f t="shared" si="119"/>
        <v>2024-2</v>
      </c>
      <c r="J846" s="5"/>
      <c r="K846" s="5"/>
      <c r="L846" s="15" t="str">
        <f t="shared" si="120"/>
        <v/>
      </c>
      <c r="M846" s="15" t="str">
        <f t="shared" si="121"/>
        <v/>
      </c>
      <c r="N846" s="5" t="s">
        <v>347</v>
      </c>
      <c r="O846" s="5" t="s">
        <v>347</v>
      </c>
      <c r="P846" s="5">
        <v>0</v>
      </c>
      <c r="Q846" s="5">
        <v>0</v>
      </c>
      <c r="R846" s="5" t="str">
        <f>A846&amp;"-"&amp;YEAR(F846)&amp;"-"&amp;IF(LEN(MONTH(F846))=1,"0"&amp;MONTH(F846),MONTH(F846))&amp;"-"&amp;IF(LEN(DAY(F846))=1,"0"&amp;DAY(F846),DAY(F846))</f>
        <v>414.6-2024-12-31</v>
      </c>
    </row>
    <row r="847" spans="1:18" x14ac:dyDescent="0.3">
      <c r="A847" s="26" t="s">
        <v>640</v>
      </c>
      <c r="B847" s="23" t="s">
        <v>566</v>
      </c>
      <c r="C847" s="5" t="s">
        <v>410</v>
      </c>
      <c r="D847" s="5" t="s">
        <v>11</v>
      </c>
      <c r="E847" s="5" t="s">
        <v>9</v>
      </c>
      <c r="F847" s="6">
        <v>45657</v>
      </c>
      <c r="G847" s="16">
        <f t="shared" si="117"/>
        <v>2024</v>
      </c>
      <c r="H847" s="6" t="str">
        <f t="shared" si="118"/>
        <v>Diciembre</v>
      </c>
      <c r="I847" s="6" t="str">
        <f t="shared" si="119"/>
        <v>2024-2</v>
      </c>
      <c r="J847" s="5"/>
      <c r="K847" s="5"/>
      <c r="L847" s="15" t="str">
        <f t="shared" si="120"/>
        <v/>
      </c>
      <c r="M847" s="15" t="str">
        <f t="shared" si="121"/>
        <v/>
      </c>
      <c r="N847" s="5" t="s">
        <v>347</v>
      </c>
      <c r="O847" s="5" t="s">
        <v>347</v>
      </c>
      <c r="P847" s="5">
        <v>0</v>
      </c>
      <c r="Q847" s="5">
        <v>0</v>
      </c>
      <c r="R847" s="5" t="str">
        <f>A847&amp;"-"&amp;YEAR(F847)&amp;"-"&amp;IF(LEN(MONTH(F847))=1,"0"&amp;MONTH(F847),MONTH(F847))&amp;"-"&amp;IF(LEN(DAY(F847))=1,"0"&amp;DAY(F847),DAY(F847))</f>
        <v>414.7-2024-12-31</v>
      </c>
    </row>
    <row r="848" spans="1:18" x14ac:dyDescent="0.3">
      <c r="A848" s="26" t="s">
        <v>641</v>
      </c>
      <c r="B848" s="23" t="s">
        <v>567</v>
      </c>
      <c r="C848" s="3" t="s">
        <v>145</v>
      </c>
      <c r="D848" s="5" t="s">
        <v>11</v>
      </c>
      <c r="E848" s="5" t="s">
        <v>9</v>
      </c>
      <c r="F848" s="6">
        <v>45657</v>
      </c>
      <c r="G848" s="16">
        <f t="shared" si="117"/>
        <v>2024</v>
      </c>
      <c r="H848" s="6" t="str">
        <f t="shared" si="118"/>
        <v>Diciembre</v>
      </c>
      <c r="I848" s="6" t="str">
        <f t="shared" si="119"/>
        <v>2024-2</v>
      </c>
      <c r="J848" s="5"/>
      <c r="K848" s="5"/>
      <c r="L848" s="15" t="str">
        <f t="shared" si="120"/>
        <v/>
      </c>
      <c r="M848" s="15" t="str">
        <f t="shared" si="121"/>
        <v/>
      </c>
      <c r="N848" s="5" t="s">
        <v>347</v>
      </c>
      <c r="O848" s="5" t="s">
        <v>347</v>
      </c>
      <c r="P848" s="5">
        <v>0</v>
      </c>
      <c r="Q848" s="5">
        <v>0</v>
      </c>
      <c r="R848" s="5" t="str">
        <f>A848&amp;"-"&amp;YEAR(F848)&amp;"-"&amp;IF(LEN(MONTH(F848))=1,"0"&amp;MONTH(F848),MONTH(F848))&amp;"-"&amp;IF(LEN(DAY(F848))=1,"0"&amp;DAY(F848),DAY(F848))</f>
        <v>414.8-2024-12-31</v>
      </c>
    </row>
    <row r="849" spans="1:18" x14ac:dyDescent="0.3">
      <c r="A849" s="26" t="s">
        <v>642</v>
      </c>
      <c r="B849" s="23" t="s">
        <v>608</v>
      </c>
      <c r="C849" s="5" t="s">
        <v>506</v>
      </c>
      <c r="D849" s="5" t="s">
        <v>11</v>
      </c>
      <c r="E849" s="5" t="s">
        <v>9</v>
      </c>
      <c r="F849" s="6">
        <v>45657</v>
      </c>
      <c r="G849" s="16">
        <f t="shared" si="117"/>
        <v>2024</v>
      </c>
      <c r="H849" s="6" t="str">
        <f t="shared" si="118"/>
        <v>Diciembre</v>
      </c>
      <c r="I849" s="6" t="str">
        <f t="shared" si="119"/>
        <v>2024-2</v>
      </c>
      <c r="J849" s="5"/>
      <c r="K849" s="5"/>
      <c r="L849" s="15" t="str">
        <f t="shared" si="120"/>
        <v/>
      </c>
      <c r="M849" s="15" t="str">
        <f t="shared" si="121"/>
        <v/>
      </c>
      <c r="N849" s="5" t="s">
        <v>347</v>
      </c>
      <c r="O849" s="5" t="s">
        <v>347</v>
      </c>
      <c r="P849" s="5">
        <v>0</v>
      </c>
      <c r="Q849" s="5">
        <v>0</v>
      </c>
      <c r="R849" s="5" t="str">
        <f>A849&amp;"-"&amp;YEAR(F849)&amp;"-"&amp;IF(LEN(MONTH(F849))=1,"0"&amp;MONTH(F849),MONTH(F849))&amp;"-"&amp;IF(LEN(DAY(F849))=1,"0"&amp;DAY(F849),DAY(F849))</f>
        <v>414.9-2024-12-31</v>
      </c>
    </row>
    <row r="850" spans="1:18" x14ac:dyDescent="0.3">
      <c r="A850" s="26" t="s">
        <v>609</v>
      </c>
      <c r="B850" s="23" t="s">
        <v>568</v>
      </c>
      <c r="C850" s="5" t="s">
        <v>762</v>
      </c>
      <c r="D850" s="5" t="s">
        <v>11</v>
      </c>
      <c r="E850" s="5" t="s">
        <v>9</v>
      </c>
      <c r="F850" s="6">
        <v>45657</v>
      </c>
      <c r="G850" s="16">
        <f t="shared" si="117"/>
        <v>2024</v>
      </c>
      <c r="H850" s="6" t="str">
        <f t="shared" si="118"/>
        <v>Diciembre</v>
      </c>
      <c r="I850" s="6" t="str">
        <f t="shared" si="119"/>
        <v>2024-2</v>
      </c>
      <c r="J850" s="5"/>
      <c r="K850" s="5"/>
      <c r="L850" s="15" t="str">
        <f t="shared" si="120"/>
        <v/>
      </c>
      <c r="M850" s="15" t="str">
        <f t="shared" si="121"/>
        <v/>
      </c>
      <c r="N850" s="5" t="s">
        <v>347</v>
      </c>
      <c r="O850" s="5" t="s">
        <v>347</v>
      </c>
      <c r="P850" s="5">
        <v>0</v>
      </c>
      <c r="Q850" s="5">
        <v>0</v>
      </c>
      <c r="R850" s="5" t="str">
        <f>A850&amp;"-"&amp;YEAR(F850)&amp;"-"&amp;IF(LEN(MONTH(F850))=1,"0"&amp;MONTH(F850),MONTH(F850))&amp;"-"&amp;IF(LEN(DAY(F850))=1,"0"&amp;DAY(F850),DAY(F850))</f>
        <v>415.1-2024-12-31</v>
      </c>
    </row>
    <row r="851" spans="1:18" x14ac:dyDescent="0.3">
      <c r="A851" s="26" t="s">
        <v>618</v>
      </c>
      <c r="B851" s="23" t="s">
        <v>570</v>
      </c>
      <c r="C851" s="5" t="s">
        <v>343</v>
      </c>
      <c r="D851" s="5" t="s">
        <v>11</v>
      </c>
      <c r="E851" s="5" t="s">
        <v>9</v>
      </c>
      <c r="F851" s="6">
        <v>45657</v>
      </c>
      <c r="G851" s="16">
        <f t="shared" si="117"/>
        <v>2024</v>
      </c>
      <c r="H851" s="6" t="str">
        <f t="shared" si="118"/>
        <v>Diciembre</v>
      </c>
      <c r="I851" s="6" t="str">
        <f t="shared" si="119"/>
        <v>2024-2</v>
      </c>
      <c r="J851" s="5"/>
      <c r="K851" s="5"/>
      <c r="L851" s="15" t="str">
        <f t="shared" si="120"/>
        <v/>
      </c>
      <c r="M851" s="15" t="str">
        <f t="shared" si="121"/>
        <v/>
      </c>
      <c r="N851" s="5" t="s">
        <v>488</v>
      </c>
      <c r="O851" s="5" t="s">
        <v>488</v>
      </c>
      <c r="P851" s="5">
        <v>0</v>
      </c>
      <c r="Q851" s="5">
        <v>0</v>
      </c>
      <c r="R851" s="5" t="str">
        <f>A851&amp;"-"&amp;YEAR(F851)&amp;"-"&amp;IF(LEN(MONTH(F851))=1,"0"&amp;MONTH(F851),MONTH(F851))&amp;"-"&amp;IF(LEN(DAY(F851))=1,"0"&amp;DAY(F851),DAY(F851))</f>
        <v>415.10-2024-12-31</v>
      </c>
    </row>
    <row r="852" spans="1:18" x14ac:dyDescent="0.3">
      <c r="A852" s="26" t="s">
        <v>619</v>
      </c>
      <c r="B852" s="23" t="s">
        <v>712</v>
      </c>
      <c r="C852" s="5" t="s">
        <v>762</v>
      </c>
      <c r="D852" s="5" t="s">
        <v>11</v>
      </c>
      <c r="E852" s="5" t="s">
        <v>9</v>
      </c>
      <c r="F852" s="6">
        <v>45657</v>
      </c>
      <c r="G852" s="16">
        <f t="shared" si="117"/>
        <v>2024</v>
      </c>
      <c r="H852" s="6" t="str">
        <f t="shared" si="118"/>
        <v>Diciembre</v>
      </c>
      <c r="I852" s="6" t="str">
        <f t="shared" si="119"/>
        <v>2024-2</v>
      </c>
      <c r="J852" s="5"/>
      <c r="K852" s="5"/>
      <c r="L852" s="15" t="str">
        <f t="shared" si="120"/>
        <v/>
      </c>
      <c r="M852" s="15" t="str">
        <f t="shared" si="121"/>
        <v/>
      </c>
      <c r="N852" s="5" t="s">
        <v>347</v>
      </c>
      <c r="O852" s="5" t="s">
        <v>347</v>
      </c>
      <c r="P852" s="5">
        <v>0</v>
      </c>
      <c r="Q852" s="5">
        <v>0</v>
      </c>
      <c r="R852" s="5" t="str">
        <f>A852&amp;"-"&amp;YEAR(F852)&amp;"-"&amp;IF(LEN(MONTH(F852))=1,"0"&amp;MONTH(F852),MONTH(F852))&amp;"-"&amp;IF(LEN(DAY(F852))=1,"0"&amp;DAY(F852),DAY(F852))</f>
        <v>415.11-2024-12-31</v>
      </c>
    </row>
    <row r="853" spans="1:18" x14ac:dyDescent="0.3">
      <c r="A853" s="26" t="s">
        <v>620</v>
      </c>
      <c r="B853" s="23" t="s">
        <v>713</v>
      </c>
      <c r="C853" s="5" t="s">
        <v>124</v>
      </c>
      <c r="D853" s="5" t="s">
        <v>11</v>
      </c>
      <c r="E853" s="5" t="s">
        <v>9</v>
      </c>
      <c r="F853" s="6">
        <v>45657</v>
      </c>
      <c r="G853" s="16">
        <f t="shared" si="117"/>
        <v>2024</v>
      </c>
      <c r="H853" s="6" t="str">
        <f t="shared" si="118"/>
        <v>Diciembre</v>
      </c>
      <c r="I853" s="6" t="str">
        <f t="shared" si="119"/>
        <v>2024-2</v>
      </c>
      <c r="J853" s="5">
        <v>100</v>
      </c>
      <c r="K853" s="5">
        <v>100</v>
      </c>
      <c r="L853" s="15">
        <f t="shared" si="120"/>
        <v>1</v>
      </c>
      <c r="M853" s="15">
        <f t="shared" si="121"/>
        <v>1</v>
      </c>
      <c r="N853" s="5" t="s">
        <v>347</v>
      </c>
      <c r="O853" s="5" t="s">
        <v>347</v>
      </c>
      <c r="P853" s="5">
        <v>0</v>
      </c>
      <c r="Q853" s="5">
        <v>0</v>
      </c>
      <c r="R853" s="5" t="str">
        <f>A853&amp;"-"&amp;YEAR(F853)&amp;"-"&amp;IF(LEN(MONTH(F853))=1,"0"&amp;MONTH(F853),MONTH(F853))&amp;"-"&amp;IF(LEN(DAY(F853))=1,"0"&amp;DAY(F853),DAY(F853))</f>
        <v>415.12-2024-12-31</v>
      </c>
    </row>
    <row r="854" spans="1:18" x14ac:dyDescent="0.3">
      <c r="A854" s="26" t="s">
        <v>621</v>
      </c>
      <c r="B854" s="23" t="s">
        <v>714</v>
      </c>
      <c r="C854" s="5" t="s">
        <v>74</v>
      </c>
      <c r="D854" s="5" t="s">
        <v>11</v>
      </c>
      <c r="E854" s="5" t="s">
        <v>9</v>
      </c>
      <c r="F854" s="6">
        <v>45657</v>
      </c>
      <c r="G854" s="16">
        <f t="shared" si="117"/>
        <v>2024</v>
      </c>
      <c r="H854" s="6" t="str">
        <f t="shared" si="118"/>
        <v>Diciembre</v>
      </c>
      <c r="I854" s="6" t="str">
        <f t="shared" si="119"/>
        <v>2024-2</v>
      </c>
      <c r="J854" s="5"/>
      <c r="K854" s="5"/>
      <c r="L854" s="15" t="str">
        <f t="shared" si="120"/>
        <v/>
      </c>
      <c r="M854" s="15" t="str">
        <f t="shared" si="121"/>
        <v/>
      </c>
      <c r="N854" s="5" t="s">
        <v>347</v>
      </c>
      <c r="O854" s="5" t="s">
        <v>347</v>
      </c>
      <c r="P854" s="5">
        <v>0</v>
      </c>
      <c r="Q854" s="5">
        <v>0</v>
      </c>
      <c r="R854" s="5" t="str">
        <f>A854&amp;"-"&amp;YEAR(F854)&amp;"-"&amp;IF(LEN(MONTH(F854))=1,"0"&amp;MONTH(F854),MONTH(F854))&amp;"-"&amp;IF(LEN(DAY(F854))=1,"0"&amp;DAY(F854),DAY(F854))</f>
        <v>415.13-2024-12-31</v>
      </c>
    </row>
    <row r="855" spans="1:18" x14ac:dyDescent="0.3">
      <c r="A855" s="26" t="s">
        <v>719</v>
      </c>
      <c r="B855" s="23" t="s">
        <v>711</v>
      </c>
      <c r="C855" s="5" t="s">
        <v>343</v>
      </c>
      <c r="D855" s="5" t="s">
        <v>11</v>
      </c>
      <c r="E855" s="5" t="s">
        <v>9</v>
      </c>
      <c r="F855" s="6">
        <v>45657</v>
      </c>
      <c r="G855" s="16">
        <f t="shared" si="117"/>
        <v>2024</v>
      </c>
      <c r="H855" s="6" t="str">
        <f t="shared" si="118"/>
        <v>Diciembre</v>
      </c>
      <c r="I855" s="6" t="str">
        <f t="shared" si="119"/>
        <v>2024-2</v>
      </c>
      <c r="J855" s="5"/>
      <c r="K855" s="5"/>
      <c r="L855" s="15" t="str">
        <f t="shared" si="120"/>
        <v/>
      </c>
      <c r="M855" s="15" t="str">
        <f t="shared" si="121"/>
        <v/>
      </c>
      <c r="N855" s="5" t="s">
        <v>347</v>
      </c>
      <c r="O855" s="5" t="s">
        <v>347</v>
      </c>
      <c r="P855" s="5">
        <v>0</v>
      </c>
      <c r="Q855" s="5">
        <v>0</v>
      </c>
      <c r="R855" s="5" t="str">
        <f>A855&amp;"-"&amp;YEAR(F855)&amp;"-"&amp;IF(LEN(MONTH(F855))=1,"0"&amp;MONTH(F855),MONTH(F855))&amp;"-"&amp;IF(LEN(DAY(F855))=1,"0"&amp;DAY(F855),DAY(F855))</f>
        <v>415.14-2024-12-31</v>
      </c>
    </row>
    <row r="856" spans="1:18" x14ac:dyDescent="0.3">
      <c r="A856" s="26" t="s">
        <v>610</v>
      </c>
      <c r="B856" s="23" t="s">
        <v>569</v>
      </c>
      <c r="C856" s="5" t="s">
        <v>74</v>
      </c>
      <c r="D856" s="5" t="s">
        <v>11</v>
      </c>
      <c r="E856" s="5" t="s">
        <v>9</v>
      </c>
      <c r="F856" s="6">
        <v>45657</v>
      </c>
      <c r="G856" s="16">
        <f t="shared" si="117"/>
        <v>2024</v>
      </c>
      <c r="H856" s="6" t="str">
        <f t="shared" si="118"/>
        <v>Diciembre</v>
      </c>
      <c r="I856" s="6" t="str">
        <f t="shared" si="119"/>
        <v>2024-2</v>
      </c>
      <c r="J856" s="5"/>
      <c r="K856" s="5"/>
      <c r="L856" s="15" t="str">
        <f t="shared" si="120"/>
        <v/>
      </c>
      <c r="M856" s="15" t="str">
        <f t="shared" si="121"/>
        <v/>
      </c>
      <c r="N856" s="5" t="s">
        <v>347</v>
      </c>
      <c r="O856" s="5" t="s">
        <v>347</v>
      </c>
      <c r="P856" s="5">
        <v>0</v>
      </c>
      <c r="Q856" s="5">
        <v>0</v>
      </c>
      <c r="R856" s="5" t="str">
        <f>A856&amp;"-"&amp;YEAR(F856)&amp;"-"&amp;IF(LEN(MONTH(F856))=1,"0"&amp;MONTH(F856),MONTH(F856))&amp;"-"&amp;IF(LEN(DAY(F856))=1,"0"&amp;DAY(F856),DAY(F856))</f>
        <v>415.2-2024-12-31</v>
      </c>
    </row>
    <row r="857" spans="1:18" x14ac:dyDescent="0.3">
      <c r="A857" s="26" t="s">
        <v>611</v>
      </c>
      <c r="B857" s="23" t="s">
        <v>571</v>
      </c>
      <c r="C857" s="5" t="s">
        <v>237</v>
      </c>
      <c r="D857" s="5" t="s">
        <v>11</v>
      </c>
      <c r="E857" s="5" t="s">
        <v>9</v>
      </c>
      <c r="F857" s="6">
        <v>45657</v>
      </c>
      <c r="G857" s="16">
        <f t="shared" si="117"/>
        <v>2024</v>
      </c>
      <c r="H857" s="6" t="str">
        <f t="shared" si="118"/>
        <v>Diciembre</v>
      </c>
      <c r="I857" s="6" t="str">
        <f t="shared" si="119"/>
        <v>2024-2</v>
      </c>
      <c r="J857" s="5">
        <v>100</v>
      </c>
      <c r="K857" s="5">
        <v>95</v>
      </c>
      <c r="L857" s="15">
        <f t="shared" si="120"/>
        <v>0.95</v>
      </c>
      <c r="M857" s="15">
        <f t="shared" si="121"/>
        <v>0.95</v>
      </c>
      <c r="N857" s="5" t="s">
        <v>347</v>
      </c>
      <c r="O857" s="5" t="s">
        <v>347</v>
      </c>
      <c r="P857" s="5">
        <v>0</v>
      </c>
      <c r="Q857" s="5">
        <v>0</v>
      </c>
      <c r="R857" s="5" t="str">
        <f>A857&amp;"-"&amp;YEAR(F857)&amp;"-"&amp;IF(LEN(MONTH(F857))=1,"0"&amp;MONTH(F857),MONTH(F857))&amp;"-"&amp;IF(LEN(DAY(F857))=1,"0"&amp;DAY(F857),DAY(F857))</f>
        <v>415.3-2024-12-31</v>
      </c>
    </row>
    <row r="858" spans="1:18" x14ac:dyDescent="0.3">
      <c r="A858" s="26" t="s">
        <v>612</v>
      </c>
      <c r="B858" s="23" t="s">
        <v>572</v>
      </c>
      <c r="C858" s="5" t="s">
        <v>126</v>
      </c>
      <c r="D858" s="5" t="s">
        <v>11</v>
      </c>
      <c r="E858" s="5" t="s">
        <v>9</v>
      </c>
      <c r="F858" s="6">
        <v>45657</v>
      </c>
      <c r="G858" s="16">
        <f t="shared" si="117"/>
        <v>2024</v>
      </c>
      <c r="H858" s="6" t="str">
        <f t="shared" si="118"/>
        <v>Diciembre</v>
      </c>
      <c r="I858" s="6" t="str">
        <f t="shared" si="119"/>
        <v>2024-2</v>
      </c>
      <c r="J858" s="5"/>
      <c r="K858" s="5"/>
      <c r="L858" s="15" t="str">
        <f t="shared" si="120"/>
        <v/>
      </c>
      <c r="M858" s="15" t="str">
        <f t="shared" si="121"/>
        <v/>
      </c>
      <c r="N858" s="5" t="s">
        <v>347</v>
      </c>
      <c r="O858" s="5" t="s">
        <v>347</v>
      </c>
      <c r="P858" s="5">
        <v>0</v>
      </c>
      <c r="Q858" s="5">
        <v>0</v>
      </c>
      <c r="R858" s="5" t="str">
        <f>A858&amp;"-"&amp;YEAR(F858)&amp;"-"&amp;IF(LEN(MONTH(F858))=1,"0"&amp;MONTH(F858),MONTH(F858))&amp;"-"&amp;IF(LEN(DAY(F858))=1,"0"&amp;DAY(F858),DAY(F858))</f>
        <v>415.4-2024-12-31</v>
      </c>
    </row>
    <row r="859" spans="1:18" x14ac:dyDescent="0.3">
      <c r="A859" s="26" t="s">
        <v>613</v>
      </c>
      <c r="B859" s="23" t="s">
        <v>690</v>
      </c>
      <c r="C859" s="5" t="s">
        <v>344</v>
      </c>
      <c r="D859" s="5" t="s">
        <v>11</v>
      </c>
      <c r="E859" s="5" t="s">
        <v>9</v>
      </c>
      <c r="F859" s="6">
        <v>45657</v>
      </c>
      <c r="G859" s="16">
        <f t="shared" si="117"/>
        <v>2024</v>
      </c>
      <c r="H859" s="6" t="str">
        <f t="shared" si="118"/>
        <v>Diciembre</v>
      </c>
      <c r="I859" s="6" t="str">
        <f t="shared" si="119"/>
        <v>2024-2</v>
      </c>
      <c r="J859" s="5"/>
      <c r="K859" s="5"/>
      <c r="L859" s="15" t="str">
        <f t="shared" si="120"/>
        <v/>
      </c>
      <c r="M859" s="15" t="str">
        <f t="shared" si="121"/>
        <v/>
      </c>
      <c r="N859" s="5" t="s">
        <v>347</v>
      </c>
      <c r="O859" s="5" t="s">
        <v>347</v>
      </c>
      <c r="P859" s="5">
        <v>0</v>
      </c>
      <c r="Q859" s="5">
        <v>0</v>
      </c>
      <c r="R859" s="5" t="str">
        <f>A859&amp;"-"&amp;YEAR(F859)&amp;"-"&amp;IF(LEN(MONTH(F859))=1,"0"&amp;MONTH(F859),MONTH(F859))&amp;"-"&amp;IF(LEN(DAY(F859))=1,"0"&amp;DAY(F859),DAY(F859))</f>
        <v>415.5-2024-12-31</v>
      </c>
    </row>
    <row r="860" spans="1:18" x14ac:dyDescent="0.3">
      <c r="A860" s="26" t="s">
        <v>614</v>
      </c>
      <c r="B860" s="23" t="s">
        <v>574</v>
      </c>
      <c r="C860" s="5" t="s">
        <v>248</v>
      </c>
      <c r="D860" s="5" t="s">
        <v>11</v>
      </c>
      <c r="E860" s="5" t="s">
        <v>9</v>
      </c>
      <c r="F860" s="6">
        <v>45657</v>
      </c>
      <c r="G860" s="16">
        <f t="shared" si="117"/>
        <v>2024</v>
      </c>
      <c r="H860" s="6" t="str">
        <f t="shared" si="118"/>
        <v>Diciembre</v>
      </c>
      <c r="I860" s="6" t="str">
        <f t="shared" si="119"/>
        <v>2024-2</v>
      </c>
      <c r="J860" s="5"/>
      <c r="K860" s="5"/>
      <c r="L860" s="15" t="str">
        <f t="shared" si="120"/>
        <v/>
      </c>
      <c r="M860" s="15" t="str">
        <f t="shared" si="121"/>
        <v/>
      </c>
      <c r="N860" s="5" t="s">
        <v>347</v>
      </c>
      <c r="O860" s="5" t="s">
        <v>347</v>
      </c>
      <c r="P860" s="5">
        <v>0</v>
      </c>
      <c r="Q860" s="5">
        <v>0</v>
      </c>
      <c r="R860" s="5" t="str">
        <f>A860&amp;"-"&amp;YEAR(F860)&amp;"-"&amp;IF(LEN(MONTH(F860))=1,"0"&amp;MONTH(F860),MONTH(F860))&amp;"-"&amp;IF(LEN(DAY(F860))=1,"0"&amp;DAY(F860),DAY(F860))</f>
        <v>415.6-2024-12-31</v>
      </c>
    </row>
    <row r="861" spans="1:18" x14ac:dyDescent="0.3">
      <c r="A861" s="26" t="s">
        <v>615</v>
      </c>
      <c r="B861" s="23" t="s">
        <v>708</v>
      </c>
      <c r="C861" s="5" t="s">
        <v>343</v>
      </c>
      <c r="D861" s="5" t="s">
        <v>11</v>
      </c>
      <c r="E861" s="5" t="s">
        <v>9</v>
      </c>
      <c r="F861" s="6">
        <v>45657</v>
      </c>
      <c r="G861" s="16">
        <f t="shared" si="117"/>
        <v>2024</v>
      </c>
      <c r="H861" s="6" t="str">
        <f t="shared" si="118"/>
        <v>Diciembre</v>
      </c>
      <c r="I861" s="6" t="str">
        <f t="shared" si="119"/>
        <v>2024-2</v>
      </c>
      <c r="J861" s="5"/>
      <c r="K861" s="5"/>
      <c r="L861" s="15" t="str">
        <f t="shared" ref="L861:L892" si="122">IFERROR(IF((K861/J861)&gt;1,1,K861/J861),"")</f>
        <v/>
      </c>
      <c r="M861" s="15" t="str">
        <f t="shared" ref="M861:M892" si="123">IFERROR(IF((K861/J861)&gt;1,1,K861/J861),"")</f>
        <v/>
      </c>
      <c r="N861" s="5" t="s">
        <v>347</v>
      </c>
      <c r="O861" s="5" t="s">
        <v>347</v>
      </c>
      <c r="P861" s="5">
        <v>0</v>
      </c>
      <c r="Q861" s="5">
        <v>0</v>
      </c>
      <c r="R861" s="5" t="str">
        <f>A861&amp;"-"&amp;YEAR(F861)&amp;"-"&amp;IF(LEN(MONTH(F861))=1,"0"&amp;MONTH(F861),MONTH(F861))&amp;"-"&amp;IF(LEN(DAY(F861))=1,"0"&amp;DAY(F861),DAY(F861))</f>
        <v>415.7-2024-12-31</v>
      </c>
    </row>
    <row r="862" spans="1:18" x14ac:dyDescent="0.3">
      <c r="A862" s="26" t="s">
        <v>616</v>
      </c>
      <c r="B862" s="23" t="s">
        <v>709</v>
      </c>
      <c r="C862" s="5"/>
      <c r="D862" s="5" t="s">
        <v>11</v>
      </c>
      <c r="E862" s="5" t="s">
        <v>9</v>
      </c>
      <c r="F862" s="6">
        <v>45657</v>
      </c>
      <c r="G862" s="16">
        <f t="shared" si="117"/>
        <v>2024</v>
      </c>
      <c r="H862" s="6" t="str">
        <f t="shared" si="118"/>
        <v>Diciembre</v>
      </c>
      <c r="I862" s="6" t="str">
        <f t="shared" si="119"/>
        <v>2024-2</v>
      </c>
      <c r="J862" s="5"/>
      <c r="K862" s="5"/>
      <c r="L862" s="15" t="str">
        <f t="shared" si="122"/>
        <v/>
      </c>
      <c r="M862" s="15" t="str">
        <f t="shared" si="123"/>
        <v/>
      </c>
      <c r="N862" s="5" t="s">
        <v>347</v>
      </c>
      <c r="O862" s="5" t="s">
        <v>347</v>
      </c>
      <c r="P862" s="5">
        <v>0</v>
      </c>
      <c r="Q862" s="5">
        <v>0</v>
      </c>
      <c r="R862" s="5" t="str">
        <f>A862&amp;"-"&amp;YEAR(F862)&amp;"-"&amp;IF(LEN(MONTH(F862))=1,"0"&amp;MONTH(F862),MONTH(F862))&amp;"-"&amp;IF(LEN(DAY(F862))=1,"0"&amp;DAY(F862),DAY(F862))</f>
        <v>415.8-2024-12-31</v>
      </c>
    </row>
    <row r="863" spans="1:18" x14ac:dyDescent="0.3">
      <c r="A863" s="26" t="s">
        <v>617</v>
      </c>
      <c r="B863" s="23" t="s">
        <v>710</v>
      </c>
      <c r="C863" s="5" t="s">
        <v>343</v>
      </c>
      <c r="D863" s="5" t="s">
        <v>11</v>
      </c>
      <c r="E863" s="5" t="s">
        <v>9</v>
      </c>
      <c r="F863" s="6">
        <v>45657</v>
      </c>
      <c r="G863" s="16">
        <f t="shared" si="117"/>
        <v>2024</v>
      </c>
      <c r="H863" s="6" t="str">
        <f t="shared" si="118"/>
        <v>Diciembre</v>
      </c>
      <c r="I863" s="6" t="str">
        <f t="shared" si="119"/>
        <v>2024-2</v>
      </c>
      <c r="J863" s="5"/>
      <c r="K863" s="5"/>
      <c r="L863" s="15" t="str">
        <f t="shared" si="122"/>
        <v/>
      </c>
      <c r="M863" s="15" t="str">
        <f t="shared" si="123"/>
        <v/>
      </c>
      <c r="N863" s="5" t="s">
        <v>347</v>
      </c>
      <c r="O863" s="5" t="s">
        <v>347</v>
      </c>
      <c r="P863" s="5">
        <v>0</v>
      </c>
      <c r="Q863" s="5">
        <v>0</v>
      </c>
      <c r="R863" s="5" t="str">
        <f>A863&amp;"-"&amp;YEAR(F863)&amp;"-"&amp;IF(LEN(MONTH(F863))=1,"0"&amp;MONTH(F863),MONTH(F863))&amp;"-"&amp;IF(LEN(DAY(F863))=1,"0"&amp;DAY(F863),DAY(F863))</f>
        <v>415.9-2024-12-31</v>
      </c>
    </row>
    <row r="864" spans="1:18" x14ac:dyDescent="0.3">
      <c r="A864" s="26" t="s">
        <v>647</v>
      </c>
      <c r="B864" s="23" t="s">
        <v>575</v>
      </c>
      <c r="C864" s="5" t="s">
        <v>267</v>
      </c>
      <c r="D864" s="5" t="s">
        <v>11</v>
      </c>
      <c r="E864" s="5" t="s">
        <v>9</v>
      </c>
      <c r="F864" s="6">
        <v>45657</v>
      </c>
      <c r="G864" s="16">
        <f t="shared" si="117"/>
        <v>2024</v>
      </c>
      <c r="H864" s="6" t="str">
        <f t="shared" si="118"/>
        <v>Diciembre</v>
      </c>
      <c r="I864" s="6" t="str">
        <f t="shared" si="119"/>
        <v>2024-2</v>
      </c>
      <c r="J864" s="5">
        <v>100</v>
      </c>
      <c r="K864" s="5">
        <v>100</v>
      </c>
      <c r="L864" s="15">
        <f t="shared" si="122"/>
        <v>1</v>
      </c>
      <c r="M864" s="15">
        <f t="shared" si="123"/>
        <v>1</v>
      </c>
      <c r="N864" s="5" t="s">
        <v>347</v>
      </c>
      <c r="O864" s="5" t="s">
        <v>347</v>
      </c>
      <c r="P864" s="5">
        <v>0</v>
      </c>
      <c r="Q864" s="5">
        <v>0</v>
      </c>
      <c r="R864" s="5" t="str">
        <f>A864&amp;"-"&amp;YEAR(F864)&amp;"-"&amp;IF(LEN(MONTH(F864))=1,"0"&amp;MONTH(F864),MONTH(F864))&amp;"-"&amp;IF(LEN(DAY(F864))=1,"0"&amp;DAY(F864),DAY(F864))</f>
        <v>416.1-2024-12-31</v>
      </c>
    </row>
    <row r="865" spans="1:18" x14ac:dyDescent="0.3">
      <c r="A865" s="26" t="s">
        <v>648</v>
      </c>
      <c r="B865" s="23" t="s">
        <v>576</v>
      </c>
      <c r="C865" s="5" t="s">
        <v>315</v>
      </c>
      <c r="D865" s="5" t="s">
        <v>11</v>
      </c>
      <c r="E865" s="5" t="s">
        <v>9</v>
      </c>
      <c r="F865" s="6">
        <v>45657</v>
      </c>
      <c r="G865" s="16">
        <f t="shared" si="117"/>
        <v>2024</v>
      </c>
      <c r="H865" s="6" t="str">
        <f t="shared" si="118"/>
        <v>Diciembre</v>
      </c>
      <c r="I865" s="6" t="str">
        <f t="shared" si="119"/>
        <v>2024-2</v>
      </c>
      <c r="J865" s="5">
        <v>100</v>
      </c>
      <c r="K865" s="5">
        <v>100</v>
      </c>
      <c r="L865" s="15">
        <f t="shared" si="122"/>
        <v>1</v>
      </c>
      <c r="M865" s="15">
        <f t="shared" si="123"/>
        <v>1</v>
      </c>
      <c r="N865" s="5" t="s">
        <v>347</v>
      </c>
      <c r="O865" s="5" t="s">
        <v>347</v>
      </c>
      <c r="P865" s="5">
        <v>0</v>
      </c>
      <c r="Q865" s="5">
        <v>0</v>
      </c>
      <c r="R865" s="5" t="str">
        <f>A865&amp;"-"&amp;YEAR(F865)&amp;"-"&amp;IF(LEN(MONTH(F865))=1,"0"&amp;MONTH(F865),MONTH(F865))&amp;"-"&amp;IF(LEN(DAY(F865))=1,"0"&amp;DAY(F865),DAY(F865))</f>
        <v>416.2-2024-12-31</v>
      </c>
    </row>
    <row r="866" spans="1:18" x14ac:dyDescent="0.3">
      <c r="A866" s="26" t="s">
        <v>649</v>
      </c>
      <c r="B866" s="23" t="s">
        <v>643</v>
      </c>
      <c r="C866" s="5" t="s">
        <v>315</v>
      </c>
      <c r="D866" s="5" t="s">
        <v>11</v>
      </c>
      <c r="E866" s="5" t="s">
        <v>9</v>
      </c>
      <c r="F866" s="6">
        <v>45657</v>
      </c>
      <c r="G866" s="16">
        <f t="shared" si="117"/>
        <v>2024</v>
      </c>
      <c r="H866" s="6" t="str">
        <f t="shared" si="118"/>
        <v>Diciembre</v>
      </c>
      <c r="I866" s="6" t="str">
        <f t="shared" si="119"/>
        <v>2024-2</v>
      </c>
      <c r="J866" s="5">
        <v>100</v>
      </c>
      <c r="K866" s="5">
        <v>100</v>
      </c>
      <c r="L866" s="15">
        <f t="shared" si="122"/>
        <v>1</v>
      </c>
      <c r="M866" s="15">
        <f t="shared" si="123"/>
        <v>1</v>
      </c>
      <c r="N866" s="5" t="s">
        <v>347</v>
      </c>
      <c r="O866" s="5" t="s">
        <v>347</v>
      </c>
      <c r="P866" s="5">
        <v>0</v>
      </c>
      <c r="Q866" s="5">
        <v>0</v>
      </c>
      <c r="R866" s="5" t="str">
        <f>A866&amp;"-"&amp;YEAR(F866)&amp;"-"&amp;IF(LEN(MONTH(F866))=1,"0"&amp;MONTH(F866),MONTH(F866))&amp;"-"&amp;IF(LEN(DAY(F866))=1,"0"&amp;DAY(F866),DAY(F866))</f>
        <v>416.3-2024-12-31</v>
      </c>
    </row>
    <row r="867" spans="1:18" x14ac:dyDescent="0.3">
      <c r="A867" s="26" t="s">
        <v>650</v>
      </c>
      <c r="B867" s="23" t="s">
        <v>644</v>
      </c>
      <c r="C867" s="5" t="s">
        <v>315</v>
      </c>
      <c r="D867" s="5" t="s">
        <v>11</v>
      </c>
      <c r="E867" s="5" t="s">
        <v>9</v>
      </c>
      <c r="F867" s="6">
        <v>45657</v>
      </c>
      <c r="G867" s="16">
        <f t="shared" si="117"/>
        <v>2024</v>
      </c>
      <c r="H867" s="6" t="str">
        <f t="shared" si="118"/>
        <v>Diciembre</v>
      </c>
      <c r="I867" s="6" t="str">
        <f t="shared" si="119"/>
        <v>2024-2</v>
      </c>
      <c r="J867" s="5">
        <v>100</v>
      </c>
      <c r="K867" s="5">
        <v>100</v>
      </c>
      <c r="L867" s="15">
        <f t="shared" si="122"/>
        <v>1</v>
      </c>
      <c r="M867" s="15">
        <f t="shared" si="123"/>
        <v>1</v>
      </c>
      <c r="N867" s="5" t="s">
        <v>347</v>
      </c>
      <c r="O867" s="5" t="s">
        <v>347</v>
      </c>
      <c r="P867" s="5">
        <v>0</v>
      </c>
      <c r="Q867" s="5">
        <v>0</v>
      </c>
      <c r="R867" s="5" t="str">
        <f>A867&amp;"-"&amp;YEAR(F867)&amp;"-"&amp;IF(LEN(MONTH(F867))=1,"0"&amp;MONTH(F867),MONTH(F867))&amp;"-"&amp;IF(LEN(DAY(F867))=1,"0"&amp;DAY(F867),DAY(F867))</f>
        <v>416.4-2024-12-31</v>
      </c>
    </row>
    <row r="868" spans="1:18" x14ac:dyDescent="0.3">
      <c r="A868" s="26" t="s">
        <v>651</v>
      </c>
      <c r="B868" s="23" t="s">
        <v>645</v>
      </c>
      <c r="C868" s="5" t="s">
        <v>315</v>
      </c>
      <c r="D868" s="5" t="s">
        <v>11</v>
      </c>
      <c r="E868" s="5" t="s">
        <v>9</v>
      </c>
      <c r="F868" s="6">
        <v>45657</v>
      </c>
      <c r="G868" s="16">
        <f t="shared" si="117"/>
        <v>2024</v>
      </c>
      <c r="H868" s="6" t="str">
        <f t="shared" si="118"/>
        <v>Diciembre</v>
      </c>
      <c r="I868" s="6" t="str">
        <f t="shared" si="119"/>
        <v>2024-2</v>
      </c>
      <c r="J868" s="5">
        <v>100</v>
      </c>
      <c r="K868" s="5">
        <v>100</v>
      </c>
      <c r="L868" s="15">
        <f t="shared" si="122"/>
        <v>1</v>
      </c>
      <c r="M868" s="15">
        <f t="shared" si="123"/>
        <v>1</v>
      </c>
      <c r="N868" s="5" t="s">
        <v>347</v>
      </c>
      <c r="O868" s="5" t="s">
        <v>347</v>
      </c>
      <c r="P868" s="5">
        <v>0</v>
      </c>
      <c r="Q868" s="5">
        <v>0</v>
      </c>
      <c r="R868" s="5" t="str">
        <f>A868&amp;"-"&amp;YEAR(F868)&amp;"-"&amp;IF(LEN(MONTH(F868))=1,"0"&amp;MONTH(F868),MONTH(F868))&amp;"-"&amp;IF(LEN(DAY(F868))=1,"0"&amp;DAY(F868),DAY(F868))</f>
        <v>416.5-2024-12-31</v>
      </c>
    </row>
    <row r="869" spans="1:18" x14ac:dyDescent="0.3">
      <c r="A869" s="26" t="s">
        <v>652</v>
      </c>
      <c r="B869" s="23" t="s">
        <v>646</v>
      </c>
      <c r="C869" s="5" t="s">
        <v>315</v>
      </c>
      <c r="D869" s="5" t="s">
        <v>11</v>
      </c>
      <c r="E869" s="5" t="s">
        <v>9</v>
      </c>
      <c r="F869" s="6">
        <v>45657</v>
      </c>
      <c r="G869" s="16">
        <f t="shared" si="117"/>
        <v>2024</v>
      </c>
      <c r="H869" s="6" t="str">
        <f t="shared" si="118"/>
        <v>Diciembre</v>
      </c>
      <c r="I869" s="6" t="str">
        <f t="shared" si="119"/>
        <v>2024-2</v>
      </c>
      <c r="J869" s="5">
        <v>100</v>
      </c>
      <c r="K869" s="5">
        <v>100</v>
      </c>
      <c r="L869" s="15">
        <f t="shared" si="122"/>
        <v>1</v>
      </c>
      <c r="M869" s="15">
        <f t="shared" si="123"/>
        <v>1</v>
      </c>
      <c r="N869" s="5" t="s">
        <v>347</v>
      </c>
      <c r="O869" s="5" t="s">
        <v>347</v>
      </c>
      <c r="P869" s="5">
        <v>0</v>
      </c>
      <c r="Q869" s="5">
        <v>0</v>
      </c>
      <c r="R869" s="5" t="str">
        <f>A869&amp;"-"&amp;YEAR(F869)&amp;"-"&amp;IF(LEN(MONTH(F869))=1,"0"&amp;MONTH(F869),MONTH(F869))&amp;"-"&amp;IF(LEN(DAY(F869))=1,"0"&amp;DAY(F869),DAY(F869))</f>
        <v>416.6-2024-12-31</v>
      </c>
    </row>
    <row r="870" spans="1:18" x14ac:dyDescent="0.3">
      <c r="A870" s="26" t="s">
        <v>653</v>
      </c>
      <c r="B870" s="23" t="s">
        <v>577</v>
      </c>
      <c r="C870" s="5" t="s">
        <v>231</v>
      </c>
      <c r="D870" s="5" t="s">
        <v>11</v>
      </c>
      <c r="E870" s="5" t="s">
        <v>9</v>
      </c>
      <c r="F870" s="6">
        <v>45657</v>
      </c>
      <c r="G870" s="16">
        <f t="shared" si="117"/>
        <v>2024</v>
      </c>
      <c r="H870" s="6" t="str">
        <f t="shared" si="118"/>
        <v>Diciembre</v>
      </c>
      <c r="I870" s="6" t="str">
        <f t="shared" si="119"/>
        <v>2024-2</v>
      </c>
      <c r="J870" s="5">
        <v>100</v>
      </c>
      <c r="K870" s="5">
        <v>100</v>
      </c>
      <c r="L870" s="15">
        <f t="shared" si="122"/>
        <v>1</v>
      </c>
      <c r="M870" s="15">
        <f t="shared" si="123"/>
        <v>1</v>
      </c>
      <c r="N870" s="5" t="s">
        <v>347</v>
      </c>
      <c r="O870" s="5" t="s">
        <v>347</v>
      </c>
      <c r="P870" s="5">
        <v>0</v>
      </c>
      <c r="Q870" s="5">
        <v>0</v>
      </c>
      <c r="R870" s="5" t="str">
        <f>A870&amp;"-"&amp;YEAR(F870)&amp;"-"&amp;IF(LEN(MONTH(F870))=1,"0"&amp;MONTH(F870),MONTH(F870))&amp;"-"&amp;IF(LEN(DAY(F870))=1,"0"&amp;DAY(F870),DAY(F870))</f>
        <v>417.1-2024-12-31</v>
      </c>
    </row>
    <row r="871" spans="1:18" x14ac:dyDescent="0.3">
      <c r="A871" s="26" t="s">
        <v>654</v>
      </c>
      <c r="B871" s="23" t="s">
        <v>578</v>
      </c>
      <c r="C871" s="5" t="s">
        <v>43</v>
      </c>
      <c r="D871" s="5" t="s">
        <v>11</v>
      </c>
      <c r="E871" s="5" t="s">
        <v>9</v>
      </c>
      <c r="F871" s="6">
        <v>45657</v>
      </c>
      <c r="G871" s="16">
        <f t="shared" si="117"/>
        <v>2024</v>
      </c>
      <c r="H871" s="6" t="str">
        <f t="shared" si="118"/>
        <v>Diciembre</v>
      </c>
      <c r="I871" s="6" t="str">
        <f t="shared" si="119"/>
        <v>2024-2</v>
      </c>
      <c r="J871" s="5">
        <v>100</v>
      </c>
      <c r="K871" s="5">
        <v>100</v>
      </c>
      <c r="L871" s="15">
        <f t="shared" si="122"/>
        <v>1</v>
      </c>
      <c r="M871" s="15">
        <f t="shared" si="123"/>
        <v>1</v>
      </c>
      <c r="N871" s="5" t="s">
        <v>347</v>
      </c>
      <c r="O871" s="5" t="s">
        <v>347</v>
      </c>
      <c r="P871" s="5">
        <v>0</v>
      </c>
      <c r="Q871" s="5">
        <v>0</v>
      </c>
      <c r="R871" s="5" t="str">
        <f>A871&amp;"-"&amp;YEAR(F871)&amp;"-"&amp;IF(LEN(MONTH(F871))=1,"0"&amp;MONTH(F871),MONTH(F871))&amp;"-"&amp;IF(LEN(DAY(F871))=1,"0"&amp;DAY(F871),DAY(F871))</f>
        <v>417.2-2024-12-31</v>
      </c>
    </row>
    <row r="872" spans="1:18" x14ac:dyDescent="0.3">
      <c r="A872" s="26" t="s">
        <v>655</v>
      </c>
      <c r="B872" s="23" t="s">
        <v>579</v>
      </c>
      <c r="C872" s="5" t="s">
        <v>84</v>
      </c>
      <c r="D872" s="5" t="s">
        <v>11</v>
      </c>
      <c r="E872" s="5" t="s">
        <v>9</v>
      </c>
      <c r="F872" s="6">
        <v>45657</v>
      </c>
      <c r="G872" s="16">
        <f t="shared" si="117"/>
        <v>2024</v>
      </c>
      <c r="H872" s="6" t="str">
        <f t="shared" si="118"/>
        <v>Diciembre</v>
      </c>
      <c r="I872" s="6" t="str">
        <f t="shared" si="119"/>
        <v>2024-2</v>
      </c>
      <c r="J872" s="11">
        <v>100</v>
      </c>
      <c r="K872" s="5">
        <v>100</v>
      </c>
      <c r="L872" s="15">
        <f t="shared" si="122"/>
        <v>1</v>
      </c>
      <c r="M872" s="15">
        <f t="shared" si="123"/>
        <v>1</v>
      </c>
      <c r="N872" s="5" t="s">
        <v>347</v>
      </c>
      <c r="O872" s="5" t="s">
        <v>347</v>
      </c>
      <c r="P872" s="5">
        <v>0</v>
      </c>
      <c r="Q872" s="5">
        <v>0</v>
      </c>
      <c r="R872" s="5" t="str">
        <f>A872&amp;"-"&amp;YEAR(F872)&amp;"-"&amp;IF(LEN(MONTH(F872))=1,"0"&amp;MONTH(F872),MONTH(F872))&amp;"-"&amp;IF(LEN(DAY(F872))=1,"0"&amp;DAY(F872),DAY(F872))</f>
        <v>417.3-2024-12-31</v>
      </c>
    </row>
    <row r="873" spans="1:18" x14ac:dyDescent="0.3">
      <c r="A873" s="26" t="s">
        <v>656</v>
      </c>
      <c r="B873" s="23" t="s">
        <v>657</v>
      </c>
      <c r="C873" s="5" t="s">
        <v>185</v>
      </c>
      <c r="D873" s="5" t="s">
        <v>11</v>
      </c>
      <c r="E873" s="5" t="s">
        <v>9</v>
      </c>
      <c r="F873" s="6">
        <v>45657</v>
      </c>
      <c r="G873" s="16">
        <f t="shared" si="117"/>
        <v>2024</v>
      </c>
      <c r="H873" s="6" t="str">
        <f t="shared" si="118"/>
        <v>Diciembre</v>
      </c>
      <c r="I873" s="6" t="str">
        <f t="shared" si="119"/>
        <v>2024-2</v>
      </c>
      <c r="J873" s="5">
        <v>100</v>
      </c>
      <c r="K873" s="5">
        <v>97</v>
      </c>
      <c r="L873" s="15">
        <f t="shared" si="122"/>
        <v>0.97</v>
      </c>
      <c r="M873" s="15">
        <f t="shared" si="123"/>
        <v>0.97</v>
      </c>
      <c r="N873" s="5" t="s">
        <v>347</v>
      </c>
      <c r="O873" s="5" t="s">
        <v>347</v>
      </c>
      <c r="P873" s="5">
        <v>0</v>
      </c>
      <c r="Q873" s="5">
        <v>0</v>
      </c>
      <c r="R873" s="5" t="str">
        <f>A873&amp;"-"&amp;YEAR(F873)&amp;"-"&amp;IF(LEN(MONTH(F873))=1,"0"&amp;MONTH(F873),MONTH(F873))&amp;"-"&amp;IF(LEN(DAY(F873))=1,"0"&amp;DAY(F873),DAY(F873))</f>
        <v>417.4-2024-12-31</v>
      </c>
    </row>
    <row r="874" spans="1:18" x14ac:dyDescent="0.3">
      <c r="A874" s="26" t="s">
        <v>659</v>
      </c>
      <c r="B874" s="23" t="s">
        <v>658</v>
      </c>
      <c r="C874" s="5" t="s">
        <v>7</v>
      </c>
      <c r="D874" s="5" t="s">
        <v>11</v>
      </c>
      <c r="E874" s="5" t="s">
        <v>9</v>
      </c>
      <c r="F874" s="6">
        <v>45657</v>
      </c>
      <c r="G874" s="16">
        <f t="shared" si="117"/>
        <v>2024</v>
      </c>
      <c r="H874" s="6" t="str">
        <f t="shared" si="118"/>
        <v>Diciembre</v>
      </c>
      <c r="I874" s="6" t="str">
        <f t="shared" si="119"/>
        <v>2024-2</v>
      </c>
      <c r="J874" s="5">
        <v>100</v>
      </c>
      <c r="K874" s="5">
        <v>99</v>
      </c>
      <c r="L874" s="15">
        <f t="shared" si="122"/>
        <v>0.99</v>
      </c>
      <c r="M874" s="15">
        <f t="shared" si="123"/>
        <v>0.99</v>
      </c>
      <c r="N874" s="5" t="s">
        <v>347</v>
      </c>
      <c r="O874" s="5" t="s">
        <v>347</v>
      </c>
      <c r="P874" s="5">
        <v>0</v>
      </c>
      <c r="Q874" s="5">
        <v>0</v>
      </c>
      <c r="R874" s="5" t="str">
        <f>A874&amp;"-"&amp;YEAR(F874)&amp;"-"&amp;IF(LEN(MONTH(F874))=1,"0"&amp;MONTH(F874),MONTH(F874))&amp;"-"&amp;IF(LEN(DAY(F874))=1,"0"&amp;DAY(F874),DAY(F874))</f>
        <v>417.5-2024-12-31</v>
      </c>
    </row>
    <row r="875" spans="1:18" x14ac:dyDescent="0.3">
      <c r="A875" s="26" t="s">
        <v>704</v>
      </c>
      <c r="B875" s="23" t="s">
        <v>580</v>
      </c>
      <c r="C875" s="5"/>
      <c r="D875" s="5" t="s">
        <v>11</v>
      </c>
      <c r="E875" s="5" t="s">
        <v>9</v>
      </c>
      <c r="F875" s="6">
        <v>45657</v>
      </c>
      <c r="G875" s="16">
        <f t="shared" si="117"/>
        <v>2024</v>
      </c>
      <c r="H875" s="6" t="str">
        <f t="shared" si="118"/>
        <v>Diciembre</v>
      </c>
      <c r="I875" s="6" t="str">
        <f t="shared" si="119"/>
        <v>2024-2</v>
      </c>
      <c r="J875" s="5">
        <v>100</v>
      </c>
      <c r="K875" s="5">
        <v>97</v>
      </c>
      <c r="L875" s="15">
        <f t="shared" si="122"/>
        <v>0.97</v>
      </c>
      <c r="M875" s="15">
        <f t="shared" si="123"/>
        <v>0.97</v>
      </c>
      <c r="N875" s="5" t="s">
        <v>347</v>
      </c>
      <c r="O875" s="5" t="s">
        <v>347</v>
      </c>
      <c r="P875" s="5">
        <v>0</v>
      </c>
      <c r="Q875" s="5">
        <v>0</v>
      </c>
      <c r="R875" s="5" t="str">
        <f>A875&amp;"-"&amp;YEAR(F875)&amp;"-"&amp;IF(LEN(MONTH(F875))=1,"0"&amp;MONTH(F875),MONTH(F875))&amp;"-"&amp;IF(LEN(DAY(F875))=1,"0"&amp;DAY(F875),DAY(F875))</f>
        <v>417.6-2024-12-31</v>
      </c>
    </row>
    <row r="876" spans="1:18" x14ac:dyDescent="0.3">
      <c r="A876" s="26" t="s">
        <v>660</v>
      </c>
      <c r="B876" s="23" t="s">
        <v>583</v>
      </c>
      <c r="C876" s="5" t="s">
        <v>209</v>
      </c>
      <c r="D876" s="5" t="s">
        <v>11</v>
      </c>
      <c r="E876" s="5" t="s">
        <v>9</v>
      </c>
      <c r="F876" s="6">
        <v>45657</v>
      </c>
      <c r="G876" s="16">
        <f t="shared" si="117"/>
        <v>2024</v>
      </c>
      <c r="H876" s="6" t="str">
        <f t="shared" si="118"/>
        <v>Diciembre</v>
      </c>
      <c r="I876" s="6" t="str">
        <f t="shared" si="119"/>
        <v>2024-2</v>
      </c>
      <c r="J876" s="5">
        <v>100</v>
      </c>
      <c r="K876" s="5">
        <v>100</v>
      </c>
      <c r="L876" s="15">
        <f t="shared" si="122"/>
        <v>1</v>
      </c>
      <c r="M876" s="15">
        <f t="shared" si="123"/>
        <v>1</v>
      </c>
      <c r="N876" s="5" t="s">
        <v>347</v>
      </c>
      <c r="O876" s="5" t="s">
        <v>347</v>
      </c>
      <c r="P876" s="5">
        <v>0</v>
      </c>
      <c r="Q876" s="5">
        <v>0</v>
      </c>
      <c r="R876" s="5" t="str">
        <f>A876&amp;"-"&amp;YEAR(F876)&amp;"-"&amp;IF(LEN(MONTH(F876))=1,"0"&amp;MONTH(F876),MONTH(F876))&amp;"-"&amp;IF(LEN(DAY(F876))=1,"0"&amp;DAY(F876),DAY(F876))</f>
        <v>418.1-2024-12-31</v>
      </c>
    </row>
    <row r="877" spans="1:18" x14ac:dyDescent="0.3">
      <c r="A877" s="26" t="s">
        <v>661</v>
      </c>
      <c r="B877" s="23" t="s">
        <v>584</v>
      </c>
      <c r="C877" s="5" t="s">
        <v>59</v>
      </c>
      <c r="D877" s="5" t="s">
        <v>11</v>
      </c>
      <c r="E877" s="5" t="s">
        <v>9</v>
      </c>
      <c r="F877" s="6">
        <v>45657</v>
      </c>
      <c r="G877" s="16">
        <f t="shared" si="117"/>
        <v>2024</v>
      </c>
      <c r="H877" s="6" t="str">
        <f t="shared" si="118"/>
        <v>Diciembre</v>
      </c>
      <c r="I877" s="6" t="str">
        <f t="shared" si="119"/>
        <v>2024-2</v>
      </c>
      <c r="J877" s="5">
        <v>100</v>
      </c>
      <c r="K877" s="5">
        <v>100</v>
      </c>
      <c r="L877" s="15">
        <f t="shared" si="122"/>
        <v>1</v>
      </c>
      <c r="M877" s="15">
        <f t="shared" si="123"/>
        <v>1</v>
      </c>
      <c r="N877" s="5" t="s">
        <v>347</v>
      </c>
      <c r="O877" s="5" t="s">
        <v>347</v>
      </c>
      <c r="P877" s="5">
        <v>0</v>
      </c>
      <c r="Q877" s="5">
        <v>0</v>
      </c>
      <c r="R877" s="5" t="str">
        <f>A877&amp;"-"&amp;YEAR(F877)&amp;"-"&amp;IF(LEN(MONTH(F877))=1,"0"&amp;MONTH(F877),MONTH(F877))&amp;"-"&amp;IF(LEN(DAY(F877))=1,"0"&amp;DAY(F877),DAY(F877))</f>
        <v>418.2-2024-12-31</v>
      </c>
    </row>
    <row r="878" spans="1:18" x14ac:dyDescent="0.3">
      <c r="A878" s="26" t="s">
        <v>662</v>
      </c>
      <c r="B878" s="23" t="s">
        <v>585</v>
      </c>
      <c r="C878" s="5" t="s">
        <v>53</v>
      </c>
      <c r="D878" s="5" t="s">
        <v>11</v>
      </c>
      <c r="E878" s="5" t="s">
        <v>9</v>
      </c>
      <c r="F878" s="6">
        <v>45657</v>
      </c>
      <c r="G878" s="16">
        <f t="shared" si="117"/>
        <v>2024</v>
      </c>
      <c r="H878" s="6" t="str">
        <f t="shared" si="118"/>
        <v>Diciembre</v>
      </c>
      <c r="I878" s="6" t="str">
        <f t="shared" si="119"/>
        <v>2024-2</v>
      </c>
      <c r="J878" s="5">
        <v>100</v>
      </c>
      <c r="K878" s="5">
        <v>80</v>
      </c>
      <c r="L878" s="15">
        <f t="shared" si="122"/>
        <v>0.8</v>
      </c>
      <c r="M878" s="15">
        <f t="shared" si="123"/>
        <v>0.8</v>
      </c>
      <c r="N878" s="5" t="s">
        <v>347</v>
      </c>
      <c r="O878" s="5" t="s">
        <v>347</v>
      </c>
      <c r="P878" s="5">
        <v>0</v>
      </c>
      <c r="Q878" s="5">
        <v>0</v>
      </c>
      <c r="R878" s="5" t="str">
        <f>A878&amp;"-"&amp;YEAR(F878)&amp;"-"&amp;IF(LEN(MONTH(F878))=1,"0"&amp;MONTH(F878),MONTH(F878))&amp;"-"&amp;IF(LEN(DAY(F878))=1,"0"&amp;DAY(F878),DAY(F878))</f>
        <v>418.3-2024-12-31</v>
      </c>
    </row>
    <row r="879" spans="1:18" x14ac:dyDescent="0.3">
      <c r="A879" s="26" t="s">
        <v>663</v>
      </c>
      <c r="B879" s="23" t="s">
        <v>586</v>
      </c>
      <c r="C879" s="5" t="s">
        <v>67</v>
      </c>
      <c r="D879" s="5" t="s">
        <v>11</v>
      </c>
      <c r="E879" s="5" t="s">
        <v>9</v>
      </c>
      <c r="F879" s="6">
        <v>45657</v>
      </c>
      <c r="G879" s="16">
        <f t="shared" si="117"/>
        <v>2024</v>
      </c>
      <c r="H879" s="6" t="str">
        <f t="shared" si="118"/>
        <v>Diciembre</v>
      </c>
      <c r="I879" s="6" t="str">
        <f t="shared" si="119"/>
        <v>2024-2</v>
      </c>
      <c r="J879" s="5">
        <v>100</v>
      </c>
      <c r="K879" s="5">
        <v>100</v>
      </c>
      <c r="L879" s="15">
        <f t="shared" si="122"/>
        <v>1</v>
      </c>
      <c r="M879" s="15">
        <f t="shared" si="123"/>
        <v>1</v>
      </c>
      <c r="N879" s="5" t="s">
        <v>347</v>
      </c>
      <c r="O879" s="5" t="s">
        <v>347</v>
      </c>
      <c r="P879" s="5">
        <v>0</v>
      </c>
      <c r="Q879" s="5">
        <v>0</v>
      </c>
      <c r="R879" s="5" t="str">
        <f>A879&amp;"-"&amp;YEAR(F879)&amp;"-"&amp;IF(LEN(MONTH(F879))=1,"0"&amp;MONTH(F879),MONTH(F879))&amp;"-"&amp;IF(LEN(DAY(F879))=1,"0"&amp;DAY(F879),DAY(F879))</f>
        <v>418.4-2024-12-31</v>
      </c>
    </row>
    <row r="880" spans="1:18" x14ac:dyDescent="0.3">
      <c r="A880" s="26" t="s">
        <v>664</v>
      </c>
      <c r="B880" s="23" t="s">
        <v>587</v>
      </c>
      <c r="C880" s="5" t="s">
        <v>162</v>
      </c>
      <c r="D880" s="5" t="s">
        <v>11</v>
      </c>
      <c r="E880" s="5" t="s">
        <v>9</v>
      </c>
      <c r="F880" s="6">
        <v>45657</v>
      </c>
      <c r="G880" s="16">
        <f t="shared" si="117"/>
        <v>2024</v>
      </c>
      <c r="H880" s="6" t="str">
        <f t="shared" si="118"/>
        <v>Diciembre</v>
      </c>
      <c r="I880" s="6" t="str">
        <f t="shared" si="119"/>
        <v>2024-2</v>
      </c>
      <c r="J880" s="5">
        <v>100</v>
      </c>
      <c r="K880" s="5">
        <v>100</v>
      </c>
      <c r="L880" s="15">
        <f t="shared" si="122"/>
        <v>1</v>
      </c>
      <c r="M880" s="15">
        <f t="shared" si="123"/>
        <v>1</v>
      </c>
      <c r="N880" s="5" t="s">
        <v>347</v>
      </c>
      <c r="O880" s="5" t="s">
        <v>347</v>
      </c>
      <c r="P880" s="5">
        <v>0</v>
      </c>
      <c r="Q880" s="5">
        <v>0</v>
      </c>
      <c r="R880" s="5" t="str">
        <f>A880&amp;"-"&amp;YEAR(F880)&amp;"-"&amp;IF(LEN(MONTH(F880))=1,"0"&amp;MONTH(F880),MONTH(F880))&amp;"-"&amp;IF(LEN(DAY(F880))=1,"0"&amp;DAY(F880),DAY(F880))</f>
        <v>418.5-2024-12-31</v>
      </c>
    </row>
    <row r="881" spans="1:18" x14ac:dyDescent="0.3">
      <c r="A881" s="26" t="s">
        <v>665</v>
      </c>
      <c r="B881" s="23" t="s">
        <v>588</v>
      </c>
      <c r="C881" s="5" t="s">
        <v>129</v>
      </c>
      <c r="D881" s="5" t="s">
        <v>11</v>
      </c>
      <c r="E881" s="5" t="s">
        <v>9</v>
      </c>
      <c r="F881" s="6">
        <v>45657</v>
      </c>
      <c r="G881" s="16">
        <f t="shared" si="117"/>
        <v>2024</v>
      </c>
      <c r="H881" s="6" t="str">
        <f t="shared" si="118"/>
        <v>Diciembre</v>
      </c>
      <c r="I881" s="6" t="str">
        <f t="shared" si="119"/>
        <v>2024-2</v>
      </c>
      <c r="J881" s="5">
        <v>100</v>
      </c>
      <c r="K881" s="5">
        <v>100</v>
      </c>
      <c r="L881" s="15">
        <f t="shared" si="122"/>
        <v>1</v>
      </c>
      <c r="M881" s="15">
        <f t="shared" si="123"/>
        <v>1</v>
      </c>
      <c r="N881" s="5" t="s">
        <v>347</v>
      </c>
      <c r="O881" s="5" t="s">
        <v>347</v>
      </c>
      <c r="P881" s="5">
        <v>0</v>
      </c>
      <c r="Q881" s="5">
        <v>0</v>
      </c>
      <c r="R881" s="5" t="str">
        <f>A881&amp;"-"&amp;YEAR(F881)&amp;"-"&amp;IF(LEN(MONTH(F881))=1,"0"&amp;MONTH(F881),MONTH(F881))&amp;"-"&amp;IF(LEN(DAY(F881))=1,"0"&amp;DAY(F881),DAY(F881))</f>
        <v>418.6-2024-12-31</v>
      </c>
    </row>
    <row r="882" spans="1:18" x14ac:dyDescent="0.3">
      <c r="A882" s="26" t="s">
        <v>666</v>
      </c>
      <c r="B882" s="23" t="s">
        <v>589</v>
      </c>
      <c r="C882" s="5" t="s">
        <v>345</v>
      </c>
      <c r="D882" s="5" t="s">
        <v>11</v>
      </c>
      <c r="E882" s="5" t="s">
        <v>9</v>
      </c>
      <c r="F882" s="6">
        <v>45657</v>
      </c>
      <c r="G882" s="16">
        <f t="shared" si="117"/>
        <v>2024</v>
      </c>
      <c r="H882" s="6" t="str">
        <f t="shared" si="118"/>
        <v>Diciembre</v>
      </c>
      <c r="I882" s="6" t="str">
        <f t="shared" si="119"/>
        <v>2024-2</v>
      </c>
      <c r="J882" s="5">
        <v>100</v>
      </c>
      <c r="K882" s="5">
        <v>100</v>
      </c>
      <c r="L882" s="15">
        <f t="shared" si="122"/>
        <v>1</v>
      </c>
      <c r="M882" s="15">
        <f t="shared" si="123"/>
        <v>1</v>
      </c>
      <c r="N882" s="5" t="s">
        <v>347</v>
      </c>
      <c r="O882" s="5" t="s">
        <v>347</v>
      </c>
      <c r="P882" s="5">
        <v>0</v>
      </c>
      <c r="Q882" s="5">
        <v>0</v>
      </c>
      <c r="R882" s="5" t="str">
        <f>A882&amp;"-"&amp;YEAR(F882)&amp;"-"&amp;IF(LEN(MONTH(F882))=1,"0"&amp;MONTH(F882),MONTH(F882))&amp;"-"&amp;IF(LEN(DAY(F882))=1,"0"&amp;DAY(F882),DAY(F882))</f>
        <v>418.7-2024-12-31</v>
      </c>
    </row>
    <row r="883" spans="1:18" x14ac:dyDescent="0.3">
      <c r="A883" s="26" t="s">
        <v>667</v>
      </c>
      <c r="B883" s="23" t="s">
        <v>590</v>
      </c>
      <c r="C883" s="5" t="s">
        <v>345</v>
      </c>
      <c r="D883" s="5" t="s">
        <v>11</v>
      </c>
      <c r="E883" s="5" t="s">
        <v>9</v>
      </c>
      <c r="F883" s="6">
        <v>45657</v>
      </c>
      <c r="G883" s="16">
        <f t="shared" ref="G883:G934" si="124">YEAR(F883)</f>
        <v>2024</v>
      </c>
      <c r="H883" s="6" t="str">
        <f t="shared" si="118"/>
        <v>Diciembre</v>
      </c>
      <c r="I883" s="6" t="str">
        <f t="shared" si="119"/>
        <v>2024-2</v>
      </c>
      <c r="J883" s="5">
        <v>100</v>
      </c>
      <c r="K883" s="5">
        <v>100</v>
      </c>
      <c r="L883" s="15">
        <f t="shared" si="122"/>
        <v>1</v>
      </c>
      <c r="M883" s="15">
        <f t="shared" si="123"/>
        <v>1</v>
      </c>
      <c r="N883" s="5" t="s">
        <v>347</v>
      </c>
      <c r="O883" s="5" t="s">
        <v>347</v>
      </c>
      <c r="P883" s="5">
        <v>0</v>
      </c>
      <c r="Q883" s="5">
        <v>0</v>
      </c>
      <c r="R883" s="5" t="str">
        <f>A883&amp;"-"&amp;YEAR(F883)&amp;"-"&amp;IF(LEN(MONTH(F883))=1,"0"&amp;MONTH(F883),MONTH(F883))&amp;"-"&amp;IF(LEN(DAY(F883))=1,"0"&amp;DAY(F883),DAY(F883))</f>
        <v>418.8-2024-12-31</v>
      </c>
    </row>
    <row r="884" spans="1:18" x14ac:dyDescent="0.3">
      <c r="A884" s="26" t="s">
        <v>668</v>
      </c>
      <c r="B884" s="23" t="s">
        <v>591</v>
      </c>
      <c r="C884" s="5" t="s">
        <v>345</v>
      </c>
      <c r="D884" s="5" t="s">
        <v>11</v>
      </c>
      <c r="E884" s="5" t="s">
        <v>9</v>
      </c>
      <c r="F884" s="6">
        <v>45657</v>
      </c>
      <c r="G884" s="16">
        <f t="shared" si="124"/>
        <v>2024</v>
      </c>
      <c r="H884" s="6" t="str">
        <f t="shared" si="118"/>
        <v>Diciembre</v>
      </c>
      <c r="I884" s="6" t="str">
        <f t="shared" si="119"/>
        <v>2024-2</v>
      </c>
      <c r="J884" s="5">
        <v>100</v>
      </c>
      <c r="K884" s="5">
        <v>100</v>
      </c>
      <c r="L884" s="15">
        <f t="shared" si="122"/>
        <v>1</v>
      </c>
      <c r="M884" s="15">
        <f t="shared" si="123"/>
        <v>1</v>
      </c>
      <c r="N884" s="5" t="s">
        <v>347</v>
      </c>
      <c r="O884" s="5" t="s">
        <v>347</v>
      </c>
      <c r="P884" s="5">
        <v>0</v>
      </c>
      <c r="Q884" s="5">
        <v>0</v>
      </c>
      <c r="R884" s="5" t="str">
        <f>A884&amp;"-"&amp;YEAR(F884)&amp;"-"&amp;IF(LEN(MONTH(F884))=1,"0"&amp;MONTH(F884),MONTH(F884))&amp;"-"&amp;IF(LEN(DAY(F884))=1,"0"&amp;DAY(F884),DAY(F884))</f>
        <v>418.9-2024-12-31</v>
      </c>
    </row>
    <row r="885" spans="1:18" x14ac:dyDescent="0.3">
      <c r="A885" s="26" t="s">
        <v>683</v>
      </c>
      <c r="B885" s="23" t="s">
        <v>601</v>
      </c>
      <c r="C885" s="5" t="s">
        <v>45</v>
      </c>
      <c r="D885" s="5" t="s">
        <v>11</v>
      </c>
      <c r="E885" s="5" t="s">
        <v>9</v>
      </c>
      <c r="F885" s="6">
        <v>45657</v>
      </c>
      <c r="G885" s="16">
        <f t="shared" si="124"/>
        <v>2024</v>
      </c>
      <c r="H885" s="6" t="str">
        <f t="shared" si="118"/>
        <v>Diciembre</v>
      </c>
      <c r="I885" s="6" t="str">
        <f t="shared" si="119"/>
        <v>2024-2</v>
      </c>
      <c r="J885" s="5">
        <v>100</v>
      </c>
      <c r="K885" s="5">
        <v>100</v>
      </c>
      <c r="L885" s="15">
        <f t="shared" si="122"/>
        <v>1</v>
      </c>
      <c r="M885" s="15">
        <f t="shared" si="123"/>
        <v>1</v>
      </c>
      <c r="N885" s="5" t="s">
        <v>347</v>
      </c>
      <c r="O885" s="5" t="s">
        <v>347</v>
      </c>
      <c r="P885" s="5">
        <v>0</v>
      </c>
      <c r="Q885" s="5">
        <v>0</v>
      </c>
      <c r="R885" s="5" t="str">
        <f>A885&amp;"-"&amp;YEAR(F885)&amp;"-"&amp;IF(LEN(MONTH(F885))=1,"0"&amp;MONTH(F885),MONTH(F885))&amp;"-"&amp;IF(LEN(DAY(F885))=1,"0"&amp;DAY(F885),DAY(F885))</f>
        <v>420.1-2024-12-31</v>
      </c>
    </row>
    <row r="886" spans="1:18" x14ac:dyDescent="0.3">
      <c r="A886" s="26" t="s">
        <v>684</v>
      </c>
      <c r="B886" s="23" t="s">
        <v>602</v>
      </c>
      <c r="C886" s="5" t="s">
        <v>90</v>
      </c>
      <c r="D886" s="5" t="s">
        <v>11</v>
      </c>
      <c r="E886" s="5" t="s">
        <v>9</v>
      </c>
      <c r="F886" s="6">
        <v>45657</v>
      </c>
      <c r="G886" s="16">
        <f t="shared" si="124"/>
        <v>2024</v>
      </c>
      <c r="H886" s="6" t="str">
        <f t="shared" si="118"/>
        <v>Diciembre</v>
      </c>
      <c r="I886" s="6" t="str">
        <f t="shared" si="119"/>
        <v>2024-2</v>
      </c>
      <c r="J886" s="5">
        <v>100</v>
      </c>
      <c r="K886" s="5">
        <v>100</v>
      </c>
      <c r="L886" s="15">
        <f t="shared" si="122"/>
        <v>1</v>
      </c>
      <c r="M886" s="15">
        <f t="shared" si="123"/>
        <v>1</v>
      </c>
      <c r="N886" s="5" t="s">
        <v>347</v>
      </c>
      <c r="O886" s="5" t="s">
        <v>347</v>
      </c>
      <c r="P886" s="5">
        <v>0</v>
      </c>
      <c r="Q886" s="5">
        <v>0</v>
      </c>
      <c r="R886" s="5" t="str">
        <f>A886&amp;"-"&amp;YEAR(F886)&amp;"-"&amp;IF(LEN(MONTH(F886))=1,"0"&amp;MONTH(F886),MONTH(F886))&amp;"-"&amp;IF(LEN(DAY(F886))=1,"0"&amp;DAY(F886),DAY(F886))</f>
        <v>420.2-2024-12-31</v>
      </c>
    </row>
    <row r="887" spans="1:18" x14ac:dyDescent="0.3">
      <c r="A887" s="26" t="s">
        <v>685</v>
      </c>
      <c r="B887" s="23" t="s">
        <v>603</v>
      </c>
      <c r="C887" s="5" t="s">
        <v>182</v>
      </c>
      <c r="D887" s="5" t="s">
        <v>11</v>
      </c>
      <c r="E887" s="5" t="s">
        <v>9</v>
      </c>
      <c r="F887" s="6">
        <v>45657</v>
      </c>
      <c r="G887" s="16">
        <f t="shared" si="124"/>
        <v>2024</v>
      </c>
      <c r="H887" s="6" t="str">
        <f t="shared" si="118"/>
        <v>Diciembre</v>
      </c>
      <c r="I887" s="6" t="str">
        <f t="shared" si="119"/>
        <v>2024-2</v>
      </c>
      <c r="J887" s="5">
        <v>100</v>
      </c>
      <c r="K887" s="5">
        <v>100</v>
      </c>
      <c r="L887" s="15">
        <f t="shared" si="122"/>
        <v>1</v>
      </c>
      <c r="M887" s="15">
        <f t="shared" si="123"/>
        <v>1</v>
      </c>
      <c r="N887" s="5" t="s">
        <v>347</v>
      </c>
      <c r="O887" s="5" t="s">
        <v>347</v>
      </c>
      <c r="P887" s="5">
        <v>0</v>
      </c>
      <c r="Q887" s="5">
        <v>0</v>
      </c>
      <c r="R887" s="5" t="str">
        <f>A887&amp;"-"&amp;YEAR(F887)&amp;"-"&amp;IF(LEN(MONTH(F887))=1,"0"&amp;MONTH(F887),MONTH(F887))&amp;"-"&amp;IF(LEN(DAY(F887))=1,"0"&amp;DAY(F887),DAY(F887))</f>
        <v>420.3-2024-12-31</v>
      </c>
    </row>
    <row r="888" spans="1:18" x14ac:dyDescent="0.3">
      <c r="A888" s="26" t="s">
        <v>686</v>
      </c>
      <c r="B888" s="23" t="s">
        <v>606</v>
      </c>
      <c r="C888" s="5" t="s">
        <v>20</v>
      </c>
      <c r="D888" s="5" t="s">
        <v>11</v>
      </c>
      <c r="E888" s="5" t="s">
        <v>9</v>
      </c>
      <c r="F888" s="6">
        <v>45657</v>
      </c>
      <c r="G888" s="16">
        <f t="shared" si="124"/>
        <v>2024</v>
      </c>
      <c r="H888" s="6" t="str">
        <f t="shared" si="118"/>
        <v>Diciembre</v>
      </c>
      <c r="I888" s="6" t="str">
        <f t="shared" si="119"/>
        <v>2024-2</v>
      </c>
      <c r="J888" s="5">
        <v>100</v>
      </c>
      <c r="K888" s="5">
        <v>80</v>
      </c>
      <c r="L888" s="15">
        <f t="shared" si="122"/>
        <v>0.8</v>
      </c>
      <c r="M888" s="15">
        <f t="shared" si="123"/>
        <v>0.8</v>
      </c>
      <c r="N888" s="5" t="s">
        <v>347</v>
      </c>
      <c r="O888" s="5" t="s">
        <v>347</v>
      </c>
      <c r="P888" s="5">
        <v>0</v>
      </c>
      <c r="Q888" s="5">
        <v>0</v>
      </c>
      <c r="R888" s="5" t="str">
        <f>A888&amp;"-"&amp;YEAR(F888)&amp;"-"&amp;IF(LEN(MONTH(F888))=1,"0"&amp;MONTH(F888),MONTH(F888))&amp;"-"&amp;IF(LEN(DAY(F888))=1,"0"&amp;DAY(F888),DAY(F888))</f>
        <v>420.4-2024-12-31</v>
      </c>
    </row>
    <row r="889" spans="1:18" x14ac:dyDescent="0.3">
      <c r="A889" s="26" t="s">
        <v>687</v>
      </c>
      <c r="B889" s="23" t="s">
        <v>688</v>
      </c>
      <c r="C889" s="5" t="s">
        <v>131</v>
      </c>
      <c r="D889" s="5" t="s">
        <v>11</v>
      </c>
      <c r="E889" s="5" t="s">
        <v>9</v>
      </c>
      <c r="F889" s="6">
        <v>45657</v>
      </c>
      <c r="G889" s="16">
        <f t="shared" si="124"/>
        <v>2024</v>
      </c>
      <c r="H889" s="6" t="str">
        <f t="shared" si="118"/>
        <v>Diciembre</v>
      </c>
      <c r="I889" s="6" t="str">
        <f t="shared" si="119"/>
        <v>2024-2</v>
      </c>
      <c r="J889" s="5">
        <v>100</v>
      </c>
      <c r="K889" s="5">
        <v>100</v>
      </c>
      <c r="L889" s="15">
        <f t="shared" si="122"/>
        <v>1</v>
      </c>
      <c r="M889" s="15">
        <f t="shared" si="123"/>
        <v>1</v>
      </c>
      <c r="N889" s="5" t="s">
        <v>347</v>
      </c>
      <c r="O889" s="5" t="s">
        <v>347</v>
      </c>
      <c r="P889" s="5">
        <v>0</v>
      </c>
      <c r="Q889" s="5">
        <v>0</v>
      </c>
      <c r="R889" s="5" t="str">
        <f>A889&amp;"-"&amp;YEAR(F889)&amp;"-"&amp;IF(LEN(MONTH(F889))=1,"0"&amp;MONTH(F889),MONTH(F889))&amp;"-"&amp;IF(LEN(DAY(F889))=1,"0"&amp;DAY(F889),DAY(F889))</f>
        <v>420.5-2024-12-31</v>
      </c>
    </row>
    <row r="890" spans="1:18" x14ac:dyDescent="0.3">
      <c r="A890" s="26" t="s">
        <v>717</v>
      </c>
      <c r="B890" s="23" t="s">
        <v>689</v>
      </c>
      <c r="C890" s="5" t="s">
        <v>716</v>
      </c>
      <c r="D890" s="5" t="s">
        <v>11</v>
      </c>
      <c r="E890" s="5" t="s">
        <v>9</v>
      </c>
      <c r="F890" s="6">
        <v>45657</v>
      </c>
      <c r="G890" s="16">
        <f t="shared" si="124"/>
        <v>2024</v>
      </c>
      <c r="H890" s="6" t="str">
        <f t="shared" si="118"/>
        <v>Diciembre</v>
      </c>
      <c r="I890" s="6" t="str">
        <f t="shared" si="119"/>
        <v>2024-2</v>
      </c>
      <c r="J890" s="5">
        <v>100</v>
      </c>
      <c r="K890" s="5">
        <v>100</v>
      </c>
      <c r="L890" s="15">
        <f t="shared" si="122"/>
        <v>1</v>
      </c>
      <c r="M890" s="15">
        <f t="shared" si="123"/>
        <v>1</v>
      </c>
      <c r="N890" s="5" t="s">
        <v>347</v>
      </c>
      <c r="O890" s="5" t="s">
        <v>347</v>
      </c>
      <c r="P890" s="5">
        <v>0</v>
      </c>
      <c r="Q890" s="5">
        <v>0</v>
      </c>
      <c r="R890" s="5" t="str">
        <f>A890&amp;"-"&amp;YEAR(F890)&amp;"-"&amp;IF(LEN(MONTH(F890))=1,"0"&amp;MONTH(F890),MONTH(F890))&amp;"-"&amp;IF(LEN(DAY(F890))=1,"0"&amp;DAY(F890),DAY(F890))</f>
        <v>420.6-2024-12-31</v>
      </c>
    </row>
    <row r="891" spans="1:18" x14ac:dyDescent="0.3">
      <c r="A891" s="26" t="s">
        <v>673</v>
      </c>
      <c r="B891" s="23" t="s">
        <v>600</v>
      </c>
      <c r="C891" s="5" t="s">
        <v>345</v>
      </c>
      <c r="D891" s="5" t="s">
        <v>11</v>
      </c>
      <c r="E891" s="5" t="s">
        <v>9</v>
      </c>
      <c r="F891" s="6">
        <v>45657</v>
      </c>
      <c r="G891" s="16">
        <f t="shared" si="124"/>
        <v>2024</v>
      </c>
      <c r="H891" s="6" t="str">
        <f t="shared" si="118"/>
        <v>Diciembre</v>
      </c>
      <c r="I891" s="6" t="str">
        <f t="shared" si="119"/>
        <v>2024-2</v>
      </c>
      <c r="J891" s="5">
        <v>100</v>
      </c>
      <c r="K891" s="5">
        <v>100</v>
      </c>
      <c r="L891" s="15">
        <f t="shared" si="122"/>
        <v>1</v>
      </c>
      <c r="M891" s="15">
        <f t="shared" si="123"/>
        <v>1</v>
      </c>
      <c r="N891" s="5" t="s">
        <v>347</v>
      </c>
      <c r="O891" s="5" t="s">
        <v>347</v>
      </c>
      <c r="P891" s="5">
        <v>0</v>
      </c>
      <c r="Q891" s="5">
        <v>0</v>
      </c>
      <c r="R891" s="5" t="str">
        <f>A891&amp;"-"&amp;YEAR(F891)&amp;"-"&amp;IF(LEN(MONTH(F891))=1,"0"&amp;MONTH(F891),MONTH(F891))&amp;"-"&amp;IF(LEN(DAY(F891))=1,"0"&amp;DAY(F891),DAY(F891))</f>
        <v>469.1-2024-12-31</v>
      </c>
    </row>
    <row r="892" spans="1:18" x14ac:dyDescent="0.3">
      <c r="A892" s="26" t="s">
        <v>682</v>
      </c>
      <c r="B892" s="23" t="s">
        <v>672</v>
      </c>
      <c r="C892" s="5" t="s">
        <v>410</v>
      </c>
      <c r="D892" s="5" t="s">
        <v>11</v>
      </c>
      <c r="E892" s="5" t="s">
        <v>9</v>
      </c>
      <c r="F892" s="6">
        <v>45657</v>
      </c>
      <c r="G892" s="16">
        <f t="shared" si="124"/>
        <v>2024</v>
      </c>
      <c r="H892" s="6" t="str">
        <f t="shared" ref="H892:H934" si="125">PROPER(TEXT(F892,"mmmm"))</f>
        <v>Diciembre</v>
      </c>
      <c r="I892" s="6" t="str">
        <f t="shared" ref="I892:I934" si="126">IF(OR(H892="Enero",H892="Febrero",H892="Marzo",H892="Abril",H892="Mayo",H892="Junio"),G892&amp;"-1",IF(OR(H892="Julio",H892="Agosto",H892="Septiembre",H892="Octubre",H892="Noviembre",H892="Diciembre"),G892&amp;"-2"))</f>
        <v>2024-2</v>
      </c>
      <c r="J892" s="5">
        <v>100</v>
      </c>
      <c r="K892" s="5">
        <v>100</v>
      </c>
      <c r="L892" s="15">
        <f t="shared" si="122"/>
        <v>1</v>
      </c>
      <c r="M892" s="15">
        <f t="shared" si="123"/>
        <v>1</v>
      </c>
      <c r="N892" s="5" t="s">
        <v>347</v>
      </c>
      <c r="O892" s="5" t="s">
        <v>347</v>
      </c>
      <c r="P892" s="5">
        <v>0</v>
      </c>
      <c r="Q892" s="5">
        <v>0</v>
      </c>
      <c r="R892" s="5" t="str">
        <f>A892&amp;"-"&amp;YEAR(F892)&amp;"-"&amp;IF(LEN(MONTH(F892))=1,"0"&amp;MONTH(F892),MONTH(F892))&amp;"-"&amp;IF(LEN(DAY(F892))=1,"0"&amp;DAY(F892),DAY(F892))</f>
        <v>469.10-2024-12-31</v>
      </c>
    </row>
    <row r="893" spans="1:18" x14ac:dyDescent="0.3">
      <c r="A893" s="26" t="s">
        <v>674</v>
      </c>
      <c r="B893" s="23" t="s">
        <v>594</v>
      </c>
      <c r="C893" s="5" t="s">
        <v>345</v>
      </c>
      <c r="D893" s="5" t="s">
        <v>11</v>
      </c>
      <c r="E893" s="5" t="s">
        <v>9</v>
      </c>
      <c r="F893" s="6">
        <v>45657</v>
      </c>
      <c r="G893" s="16">
        <f t="shared" si="124"/>
        <v>2024</v>
      </c>
      <c r="H893" s="6" t="str">
        <f t="shared" si="125"/>
        <v>Diciembre</v>
      </c>
      <c r="I893" s="6" t="str">
        <f t="shared" si="126"/>
        <v>2024-2</v>
      </c>
      <c r="J893" s="5">
        <v>100</v>
      </c>
      <c r="K893" s="5">
        <v>100</v>
      </c>
      <c r="L893" s="15">
        <f t="shared" ref="L893:L912" si="127">IFERROR(IF((K893/J893)&gt;1,1,K893/J893),"")</f>
        <v>1</v>
      </c>
      <c r="M893" s="15">
        <f t="shared" ref="M893:M912" si="128">IFERROR(IF((K893/J893)&gt;1,1,K893/J893),"")</f>
        <v>1</v>
      </c>
      <c r="N893" s="5" t="s">
        <v>347</v>
      </c>
      <c r="O893" s="5" t="s">
        <v>347</v>
      </c>
      <c r="P893" s="5">
        <v>0</v>
      </c>
      <c r="Q893" s="5">
        <v>0</v>
      </c>
      <c r="R893" s="5" t="str">
        <f>A893&amp;"-"&amp;YEAR(F893)&amp;"-"&amp;IF(LEN(MONTH(F893))=1,"0"&amp;MONTH(F893),MONTH(F893))&amp;"-"&amp;IF(LEN(DAY(F893))=1,"0"&amp;DAY(F893),DAY(F893))</f>
        <v>469.2-2024-12-31</v>
      </c>
    </row>
    <row r="894" spans="1:18" x14ac:dyDescent="0.3">
      <c r="A894" s="26" t="s">
        <v>675</v>
      </c>
      <c r="B894" s="23" t="s">
        <v>669</v>
      </c>
      <c r="C894" s="5" t="s">
        <v>345</v>
      </c>
      <c r="D894" s="5" t="s">
        <v>11</v>
      </c>
      <c r="E894" s="5" t="s">
        <v>9</v>
      </c>
      <c r="F894" s="6">
        <v>45657</v>
      </c>
      <c r="G894" s="16">
        <f t="shared" si="124"/>
        <v>2024</v>
      </c>
      <c r="H894" s="6" t="str">
        <f t="shared" si="125"/>
        <v>Diciembre</v>
      </c>
      <c r="I894" s="6" t="str">
        <f t="shared" si="126"/>
        <v>2024-2</v>
      </c>
      <c r="J894" s="5">
        <v>100</v>
      </c>
      <c r="K894" s="5">
        <v>100</v>
      </c>
      <c r="L894" s="15">
        <f t="shared" si="127"/>
        <v>1</v>
      </c>
      <c r="M894" s="15">
        <f t="shared" si="128"/>
        <v>1</v>
      </c>
      <c r="N894" s="5" t="s">
        <v>347</v>
      </c>
      <c r="O894" s="5" t="s">
        <v>347</v>
      </c>
      <c r="P894" s="5">
        <v>0</v>
      </c>
      <c r="Q894" s="5">
        <v>0</v>
      </c>
      <c r="R894" s="5" t="str">
        <f>A894&amp;"-"&amp;YEAR(F894)&amp;"-"&amp;IF(LEN(MONTH(F894))=1,"0"&amp;MONTH(F894),MONTH(F894))&amp;"-"&amp;IF(LEN(DAY(F894))=1,"0"&amp;DAY(F894),DAY(F894))</f>
        <v>469.3-2024-12-31</v>
      </c>
    </row>
    <row r="895" spans="1:18" x14ac:dyDescent="0.3">
      <c r="A895" s="26" t="s">
        <v>676</v>
      </c>
      <c r="B895" s="23" t="s">
        <v>596</v>
      </c>
      <c r="C895" s="5" t="s">
        <v>345</v>
      </c>
      <c r="D895" s="5" t="s">
        <v>11</v>
      </c>
      <c r="E895" s="5" t="s">
        <v>9</v>
      </c>
      <c r="F895" s="6">
        <v>45657</v>
      </c>
      <c r="G895" s="16">
        <f t="shared" si="124"/>
        <v>2024</v>
      </c>
      <c r="H895" s="6" t="str">
        <f t="shared" si="125"/>
        <v>Diciembre</v>
      </c>
      <c r="I895" s="6" t="str">
        <f t="shared" si="126"/>
        <v>2024-2</v>
      </c>
      <c r="J895" s="5">
        <v>100</v>
      </c>
      <c r="K895" s="5">
        <v>100</v>
      </c>
      <c r="L895" s="15">
        <f t="shared" si="127"/>
        <v>1</v>
      </c>
      <c r="M895" s="15">
        <f t="shared" si="128"/>
        <v>1</v>
      </c>
      <c r="N895" s="5" t="s">
        <v>347</v>
      </c>
      <c r="O895" s="5" t="s">
        <v>347</v>
      </c>
      <c r="P895" s="5">
        <v>0</v>
      </c>
      <c r="Q895" s="5">
        <v>0</v>
      </c>
      <c r="R895" s="5" t="str">
        <f>A895&amp;"-"&amp;YEAR(F895)&amp;"-"&amp;IF(LEN(MONTH(F895))=1,"0"&amp;MONTH(F895),MONTH(F895))&amp;"-"&amp;IF(LEN(DAY(F895))=1,"0"&amp;DAY(F895),DAY(F895))</f>
        <v>469.4-2024-12-31</v>
      </c>
    </row>
    <row r="896" spans="1:18" x14ac:dyDescent="0.3">
      <c r="A896" s="26" t="s">
        <v>677</v>
      </c>
      <c r="B896" s="23" t="s">
        <v>597</v>
      </c>
      <c r="C896" s="5" t="s">
        <v>345</v>
      </c>
      <c r="D896" s="5" t="s">
        <v>11</v>
      </c>
      <c r="E896" s="5" t="s">
        <v>9</v>
      </c>
      <c r="F896" s="6">
        <v>45657</v>
      </c>
      <c r="G896" s="16">
        <f t="shared" si="124"/>
        <v>2024</v>
      </c>
      <c r="H896" s="6" t="str">
        <f t="shared" si="125"/>
        <v>Diciembre</v>
      </c>
      <c r="I896" s="6" t="str">
        <f t="shared" si="126"/>
        <v>2024-2</v>
      </c>
      <c r="J896" s="5">
        <v>100</v>
      </c>
      <c r="K896" s="5">
        <v>100</v>
      </c>
      <c r="L896" s="15">
        <f t="shared" si="127"/>
        <v>1</v>
      </c>
      <c r="M896" s="15">
        <f t="shared" si="128"/>
        <v>1</v>
      </c>
      <c r="N896" s="5" t="s">
        <v>347</v>
      </c>
      <c r="O896" s="5" t="s">
        <v>347</v>
      </c>
      <c r="P896" s="5">
        <v>0</v>
      </c>
      <c r="Q896" s="5">
        <v>0</v>
      </c>
      <c r="R896" s="5" t="str">
        <f>A896&amp;"-"&amp;YEAR(F896)&amp;"-"&amp;IF(LEN(MONTH(F896))=1,"0"&amp;MONTH(F896),MONTH(F896))&amp;"-"&amp;IF(LEN(DAY(F896))=1,"0"&amp;DAY(F896),DAY(F896))</f>
        <v>469.5-2024-12-31</v>
      </c>
    </row>
    <row r="897" spans="1:18" x14ac:dyDescent="0.3">
      <c r="A897" s="26" t="s">
        <v>678</v>
      </c>
      <c r="B897" s="23" t="s">
        <v>598</v>
      </c>
      <c r="C897" s="5" t="s">
        <v>345</v>
      </c>
      <c r="D897" s="5" t="s">
        <v>11</v>
      </c>
      <c r="E897" s="5" t="s">
        <v>9</v>
      </c>
      <c r="F897" s="6">
        <v>45657</v>
      </c>
      <c r="G897" s="16">
        <f t="shared" si="124"/>
        <v>2024</v>
      </c>
      <c r="H897" s="6" t="str">
        <f t="shared" si="125"/>
        <v>Diciembre</v>
      </c>
      <c r="I897" s="6" t="str">
        <f t="shared" si="126"/>
        <v>2024-2</v>
      </c>
      <c r="J897" s="5">
        <v>100</v>
      </c>
      <c r="K897" s="5">
        <v>100</v>
      </c>
      <c r="L897" s="15">
        <f t="shared" si="127"/>
        <v>1</v>
      </c>
      <c r="M897" s="15">
        <f t="shared" si="128"/>
        <v>1</v>
      </c>
      <c r="N897" s="5" t="s">
        <v>347</v>
      </c>
      <c r="O897" s="5" t="s">
        <v>347</v>
      </c>
      <c r="P897" s="5">
        <v>0</v>
      </c>
      <c r="Q897" s="5">
        <v>0</v>
      </c>
      <c r="R897" s="5" t="str">
        <f>A897&amp;"-"&amp;YEAR(F897)&amp;"-"&amp;IF(LEN(MONTH(F897))=1,"0"&amp;MONTH(F897),MONTH(F897))&amp;"-"&amp;IF(LEN(DAY(F897))=1,"0"&amp;DAY(F897),DAY(F897))</f>
        <v>469.6-2024-12-31</v>
      </c>
    </row>
    <row r="898" spans="1:18" x14ac:dyDescent="0.3">
      <c r="A898" s="26" t="s">
        <v>679</v>
      </c>
      <c r="B898" s="23" t="s">
        <v>599</v>
      </c>
      <c r="C898" s="5" t="s">
        <v>345</v>
      </c>
      <c r="D898" s="5" t="s">
        <v>11</v>
      </c>
      <c r="E898" s="5" t="s">
        <v>9</v>
      </c>
      <c r="F898" s="6">
        <v>45657</v>
      </c>
      <c r="G898" s="16">
        <f t="shared" si="124"/>
        <v>2024</v>
      </c>
      <c r="H898" s="6" t="str">
        <f t="shared" si="125"/>
        <v>Diciembre</v>
      </c>
      <c r="I898" s="6" t="str">
        <f t="shared" si="126"/>
        <v>2024-2</v>
      </c>
      <c r="J898" s="5">
        <v>100</v>
      </c>
      <c r="K898" s="5">
        <v>100</v>
      </c>
      <c r="L898" s="15">
        <f t="shared" si="127"/>
        <v>1</v>
      </c>
      <c r="M898" s="15">
        <f t="shared" si="128"/>
        <v>1</v>
      </c>
      <c r="N898" s="5" t="s">
        <v>347</v>
      </c>
      <c r="O898" s="5" t="s">
        <v>347</v>
      </c>
      <c r="P898" s="5">
        <v>0</v>
      </c>
      <c r="Q898" s="5">
        <v>0</v>
      </c>
      <c r="R898" s="5" t="str">
        <f>A898&amp;"-"&amp;YEAR(F898)&amp;"-"&amp;IF(LEN(MONTH(F898))=1,"0"&amp;MONTH(F898),MONTH(F898))&amp;"-"&amp;IF(LEN(DAY(F898))=1,"0"&amp;DAY(F898),DAY(F898))</f>
        <v>469.7-2024-12-31</v>
      </c>
    </row>
    <row r="899" spans="1:18" x14ac:dyDescent="0.3">
      <c r="A899" s="26" t="s">
        <v>680</v>
      </c>
      <c r="B899" s="23" t="s">
        <v>670</v>
      </c>
      <c r="C899" s="5" t="s">
        <v>345</v>
      </c>
      <c r="D899" s="5" t="s">
        <v>11</v>
      </c>
      <c r="E899" s="5" t="s">
        <v>9</v>
      </c>
      <c r="F899" s="6">
        <v>45657</v>
      </c>
      <c r="G899" s="16">
        <f t="shared" si="124"/>
        <v>2024</v>
      </c>
      <c r="H899" s="6" t="str">
        <f t="shared" si="125"/>
        <v>Diciembre</v>
      </c>
      <c r="I899" s="6" t="str">
        <f t="shared" si="126"/>
        <v>2024-2</v>
      </c>
      <c r="J899" s="5">
        <v>100</v>
      </c>
      <c r="K899" s="5">
        <v>97</v>
      </c>
      <c r="L899" s="15">
        <f t="shared" si="127"/>
        <v>0.97</v>
      </c>
      <c r="M899" s="15">
        <f t="shared" si="128"/>
        <v>0.97</v>
      </c>
      <c r="N899" s="5" t="s">
        <v>347</v>
      </c>
      <c r="O899" s="5" t="s">
        <v>347</v>
      </c>
      <c r="P899" s="5">
        <v>0</v>
      </c>
      <c r="Q899" s="5">
        <v>0</v>
      </c>
      <c r="R899" s="5" t="str">
        <f>A899&amp;"-"&amp;YEAR(F899)&amp;"-"&amp;IF(LEN(MONTH(F899))=1,"0"&amp;MONTH(F899),MONTH(F899))&amp;"-"&amp;IF(LEN(DAY(F899))=1,"0"&amp;DAY(F899),DAY(F899))</f>
        <v>469.8-2024-12-31</v>
      </c>
    </row>
    <row r="900" spans="1:18" x14ac:dyDescent="0.3">
      <c r="A900" s="26" t="s">
        <v>681</v>
      </c>
      <c r="B900" s="23" t="s">
        <v>671</v>
      </c>
      <c r="C900" s="5" t="s">
        <v>410</v>
      </c>
      <c r="D900" s="5" t="s">
        <v>11</v>
      </c>
      <c r="E900" s="5" t="s">
        <v>9</v>
      </c>
      <c r="F900" s="6">
        <v>45657</v>
      </c>
      <c r="G900" s="16">
        <f t="shared" si="124"/>
        <v>2024</v>
      </c>
      <c r="H900" s="6" t="str">
        <f t="shared" si="125"/>
        <v>Diciembre</v>
      </c>
      <c r="I900" s="6" t="str">
        <f t="shared" si="126"/>
        <v>2024-2</v>
      </c>
      <c r="J900" s="5">
        <v>100</v>
      </c>
      <c r="K900" s="5">
        <v>100</v>
      </c>
      <c r="L900" s="15">
        <f t="shared" si="127"/>
        <v>1</v>
      </c>
      <c r="M900" s="15">
        <f t="shared" si="128"/>
        <v>1</v>
      </c>
      <c r="N900" s="5" t="s">
        <v>347</v>
      </c>
      <c r="O900" s="5" t="s">
        <v>347</v>
      </c>
      <c r="P900" s="5">
        <v>0</v>
      </c>
      <c r="Q900" s="5">
        <v>0</v>
      </c>
      <c r="R900" s="5" t="str">
        <f>A900&amp;"-"&amp;YEAR(F900)&amp;"-"&amp;IF(LEN(MONTH(F900))=1,"0"&amp;MONTH(F900),MONTH(F900))&amp;"-"&amp;IF(LEN(DAY(F900))=1,"0"&amp;DAY(F900),DAY(F900))</f>
        <v>469.9-2024-12-31</v>
      </c>
    </row>
    <row r="901" spans="1:18" x14ac:dyDescent="0.3">
      <c r="A901" s="26" t="s">
        <v>696</v>
      </c>
      <c r="B901" s="23" t="s">
        <v>694</v>
      </c>
      <c r="C901" s="5" t="s">
        <v>55</v>
      </c>
      <c r="D901" s="5" t="s">
        <v>11</v>
      </c>
      <c r="E901" s="5" t="s">
        <v>9</v>
      </c>
      <c r="F901" s="6">
        <v>45657</v>
      </c>
      <c r="G901" s="16">
        <f t="shared" si="124"/>
        <v>2024</v>
      </c>
      <c r="H901" s="6" t="str">
        <f t="shared" si="125"/>
        <v>Diciembre</v>
      </c>
      <c r="I901" s="6" t="str">
        <f t="shared" si="126"/>
        <v>2024-2</v>
      </c>
      <c r="J901" s="5">
        <v>100</v>
      </c>
      <c r="K901" s="5">
        <v>100</v>
      </c>
      <c r="L901" s="15">
        <f t="shared" si="127"/>
        <v>1</v>
      </c>
      <c r="M901" s="15">
        <f t="shared" si="128"/>
        <v>1</v>
      </c>
      <c r="N901" s="5" t="s">
        <v>347</v>
      </c>
      <c r="O901" s="5" t="s">
        <v>347</v>
      </c>
      <c r="P901" s="5">
        <v>0</v>
      </c>
      <c r="Q901" s="5">
        <v>0</v>
      </c>
      <c r="R901" s="5" t="str">
        <f>A901&amp;"-"&amp;YEAR(F901)&amp;"-"&amp;IF(LEN(MONTH(F901))=1,"0"&amp;MONTH(F901),MONTH(F901))&amp;"-"&amp;IF(LEN(DAY(F901))=1,"0"&amp;DAY(F901),DAY(F901))</f>
        <v>470.1-2024-12-31</v>
      </c>
    </row>
    <row r="902" spans="1:18" x14ac:dyDescent="0.3">
      <c r="A902" s="26" t="s">
        <v>697</v>
      </c>
      <c r="B902" s="23" t="s">
        <v>693</v>
      </c>
      <c r="C902" s="5" t="s">
        <v>67</v>
      </c>
      <c r="D902" s="5" t="s">
        <v>11</v>
      </c>
      <c r="E902" s="5" t="s">
        <v>9</v>
      </c>
      <c r="F902" s="6">
        <v>45657</v>
      </c>
      <c r="G902" s="16">
        <f t="shared" si="124"/>
        <v>2024</v>
      </c>
      <c r="H902" s="6" t="str">
        <f t="shared" si="125"/>
        <v>Diciembre</v>
      </c>
      <c r="I902" s="6" t="str">
        <f t="shared" si="126"/>
        <v>2024-2</v>
      </c>
      <c r="J902" s="5">
        <v>100</v>
      </c>
      <c r="K902" s="5">
        <v>100</v>
      </c>
      <c r="L902" s="15">
        <f t="shared" si="127"/>
        <v>1</v>
      </c>
      <c r="M902" s="15">
        <f t="shared" si="128"/>
        <v>1</v>
      </c>
      <c r="N902" s="5" t="s">
        <v>347</v>
      </c>
      <c r="O902" s="5" t="s">
        <v>347</v>
      </c>
      <c r="P902" s="5">
        <v>0</v>
      </c>
      <c r="Q902" s="5">
        <v>0</v>
      </c>
      <c r="R902" s="5" t="str">
        <f>A902&amp;"-"&amp;YEAR(F902)&amp;"-"&amp;IF(LEN(MONTH(F902))=1,"0"&amp;MONTH(F902),MONTH(F902))&amp;"-"&amp;IF(LEN(DAY(F902))=1,"0"&amp;DAY(F902),DAY(F902))</f>
        <v>470.2-2024-12-31</v>
      </c>
    </row>
    <row r="903" spans="1:18" x14ac:dyDescent="0.3">
      <c r="A903" s="26" t="s">
        <v>698</v>
      </c>
      <c r="B903" s="23" t="s">
        <v>692</v>
      </c>
      <c r="C903" s="5" t="s">
        <v>152</v>
      </c>
      <c r="D903" s="5" t="s">
        <v>11</v>
      </c>
      <c r="E903" s="5" t="s">
        <v>9</v>
      </c>
      <c r="F903" s="6">
        <v>45657</v>
      </c>
      <c r="G903" s="16">
        <f t="shared" si="124"/>
        <v>2024</v>
      </c>
      <c r="H903" s="6" t="str">
        <f t="shared" si="125"/>
        <v>Diciembre</v>
      </c>
      <c r="I903" s="6" t="str">
        <f t="shared" si="126"/>
        <v>2024-2</v>
      </c>
      <c r="J903" s="5">
        <v>100</v>
      </c>
      <c r="K903" s="5">
        <v>100</v>
      </c>
      <c r="L903" s="15">
        <f t="shared" si="127"/>
        <v>1</v>
      </c>
      <c r="M903" s="15">
        <f t="shared" si="128"/>
        <v>1</v>
      </c>
      <c r="N903" s="5" t="s">
        <v>347</v>
      </c>
      <c r="O903" s="5" t="s">
        <v>347</v>
      </c>
      <c r="P903" s="5">
        <v>0</v>
      </c>
      <c r="Q903" s="5">
        <v>0</v>
      </c>
      <c r="R903" s="5" t="str">
        <f>A903&amp;"-"&amp;YEAR(F903)&amp;"-"&amp;IF(LEN(MONTH(F903))=1,"0"&amp;MONTH(F903),MONTH(F903))&amp;"-"&amp;IF(LEN(DAY(F903))=1,"0"&amp;DAY(F903),DAY(F903))</f>
        <v>470.3-2024-12-31</v>
      </c>
    </row>
    <row r="904" spans="1:18" x14ac:dyDescent="0.3">
      <c r="A904" s="26" t="s">
        <v>699</v>
      </c>
      <c r="B904" s="23" t="s">
        <v>691</v>
      </c>
      <c r="C904" s="5" t="s">
        <v>281</v>
      </c>
      <c r="D904" s="5" t="s">
        <v>11</v>
      </c>
      <c r="E904" s="5" t="s">
        <v>9</v>
      </c>
      <c r="F904" s="6">
        <v>45657</v>
      </c>
      <c r="G904" s="16">
        <f t="shared" si="124"/>
        <v>2024</v>
      </c>
      <c r="H904" s="6" t="str">
        <f t="shared" si="125"/>
        <v>Diciembre</v>
      </c>
      <c r="I904" s="6" t="str">
        <f t="shared" si="126"/>
        <v>2024-2</v>
      </c>
      <c r="J904" s="5">
        <v>100</v>
      </c>
      <c r="K904" s="5">
        <v>100</v>
      </c>
      <c r="L904" s="15">
        <f t="shared" si="127"/>
        <v>1</v>
      </c>
      <c r="M904" s="15">
        <f t="shared" si="128"/>
        <v>1</v>
      </c>
      <c r="N904" s="5" t="s">
        <v>347</v>
      </c>
      <c r="O904" s="5" t="s">
        <v>347</v>
      </c>
      <c r="P904" s="5">
        <v>0</v>
      </c>
      <c r="Q904" s="5">
        <v>0</v>
      </c>
      <c r="R904" s="5" t="str">
        <f>A904&amp;"-"&amp;YEAR(F904)&amp;"-"&amp;IF(LEN(MONTH(F904))=1,"0"&amp;MONTH(F904),MONTH(F904))&amp;"-"&amp;IF(LEN(DAY(F904))=1,"0"&amp;DAY(F904),DAY(F904))</f>
        <v>470.4-2024-12-31</v>
      </c>
    </row>
    <row r="905" spans="1:18" x14ac:dyDescent="0.3">
      <c r="A905" s="26" t="s">
        <v>700</v>
      </c>
      <c r="B905" s="23" t="s">
        <v>695</v>
      </c>
      <c r="C905" s="5" t="s">
        <v>214</v>
      </c>
      <c r="D905" s="5" t="s">
        <v>11</v>
      </c>
      <c r="E905" s="5" t="s">
        <v>9</v>
      </c>
      <c r="F905" s="6">
        <v>45657</v>
      </c>
      <c r="G905" s="16">
        <f t="shared" si="124"/>
        <v>2024</v>
      </c>
      <c r="H905" s="6" t="str">
        <f t="shared" si="125"/>
        <v>Diciembre</v>
      </c>
      <c r="I905" s="6" t="str">
        <f t="shared" si="126"/>
        <v>2024-2</v>
      </c>
      <c r="J905" s="5">
        <v>100</v>
      </c>
      <c r="K905" s="5">
        <v>100</v>
      </c>
      <c r="L905" s="15">
        <f t="shared" si="127"/>
        <v>1</v>
      </c>
      <c r="M905" s="15">
        <f t="shared" si="128"/>
        <v>1</v>
      </c>
      <c r="N905" s="5" t="s">
        <v>347</v>
      </c>
      <c r="O905" s="5" t="s">
        <v>347</v>
      </c>
      <c r="P905" s="5">
        <v>0</v>
      </c>
      <c r="Q905" s="5">
        <v>0</v>
      </c>
      <c r="R905" s="5" t="str">
        <f>A905&amp;"-"&amp;YEAR(F905)&amp;"-"&amp;IF(LEN(MONTH(F905))=1,"0"&amp;MONTH(F905),MONTH(F905))&amp;"-"&amp;IF(LEN(DAY(F905))=1,"0"&amp;DAY(F905),DAY(F905))</f>
        <v>470.5-2024-12-31</v>
      </c>
    </row>
    <row r="906" spans="1:18" x14ac:dyDescent="0.3">
      <c r="A906" s="101" t="s">
        <v>803</v>
      </c>
      <c r="B906" s="23" t="s">
        <v>804</v>
      </c>
      <c r="C906" s="5" t="s">
        <v>131</v>
      </c>
      <c r="D906" s="5" t="s">
        <v>11</v>
      </c>
      <c r="E906" s="5" t="s">
        <v>9</v>
      </c>
      <c r="F906" s="6">
        <v>45657</v>
      </c>
      <c r="G906" s="5">
        <f t="shared" si="124"/>
        <v>2024</v>
      </c>
      <c r="H906" s="5" t="str">
        <f t="shared" si="125"/>
        <v>Diciembre</v>
      </c>
      <c r="I906" s="6" t="str">
        <f t="shared" si="126"/>
        <v>2024-2</v>
      </c>
      <c r="J906" s="5">
        <v>100</v>
      </c>
      <c r="K906" s="5">
        <v>97</v>
      </c>
      <c r="L906" s="15">
        <f t="shared" si="127"/>
        <v>0.97</v>
      </c>
      <c r="M906" s="15">
        <f t="shared" si="128"/>
        <v>0.97</v>
      </c>
      <c r="N906" s="5" t="s">
        <v>347</v>
      </c>
      <c r="O906" s="5" t="s">
        <v>347</v>
      </c>
      <c r="P906" s="5">
        <v>0</v>
      </c>
      <c r="Q906" s="5">
        <v>0</v>
      </c>
      <c r="R906" s="5" t="str">
        <f>A906&amp;"-"&amp;YEAR(F906)&amp;"-"&amp;IF(LEN(MONTH(F906))=1,"0"&amp;MONTH(F906),MONTH(F906))&amp;"-"&amp;IF(LEN(DAY(F906))=1,"0"&amp;DAY(F906),DAY(F906))</f>
        <v>471.1-2024-12-31</v>
      </c>
    </row>
    <row r="907" spans="1:18" x14ac:dyDescent="0.3">
      <c r="A907" s="101" t="s">
        <v>805</v>
      </c>
      <c r="B907" s="23" t="s">
        <v>806</v>
      </c>
      <c r="C907" s="5" t="s">
        <v>131</v>
      </c>
      <c r="D907" s="5" t="s">
        <v>11</v>
      </c>
      <c r="E907" s="5" t="s">
        <v>9</v>
      </c>
      <c r="F907" s="6">
        <v>45657</v>
      </c>
      <c r="G907" s="5">
        <f t="shared" si="124"/>
        <v>2024</v>
      </c>
      <c r="H907" s="5" t="str">
        <f t="shared" si="125"/>
        <v>Diciembre</v>
      </c>
      <c r="I907" s="6" t="str">
        <f t="shared" si="126"/>
        <v>2024-2</v>
      </c>
      <c r="J907" s="5">
        <v>100</v>
      </c>
      <c r="K907" s="5">
        <v>100</v>
      </c>
      <c r="L907" s="15">
        <f t="shared" si="127"/>
        <v>1</v>
      </c>
      <c r="M907" s="15">
        <f t="shared" si="128"/>
        <v>1</v>
      </c>
      <c r="N907" s="5" t="s">
        <v>347</v>
      </c>
      <c r="O907" s="5" t="s">
        <v>347</v>
      </c>
      <c r="P907" s="5">
        <v>0</v>
      </c>
      <c r="Q907" s="5">
        <v>0</v>
      </c>
      <c r="R907" s="5" t="str">
        <f>A907&amp;"-"&amp;YEAR(F907)&amp;"-"&amp;IF(LEN(MONTH(F907))=1,"0"&amp;MONTH(F907),MONTH(F907))&amp;"-"&amp;IF(LEN(DAY(F907))=1,"0"&amp;DAY(F907),DAY(F907))</f>
        <v>471.2-2024-12-31</v>
      </c>
    </row>
    <row r="908" spans="1:18" x14ac:dyDescent="0.3">
      <c r="A908" s="101" t="s">
        <v>807</v>
      </c>
      <c r="B908" s="23" t="s">
        <v>808</v>
      </c>
      <c r="C908" s="5" t="s">
        <v>131</v>
      </c>
      <c r="D908" s="5" t="s">
        <v>11</v>
      </c>
      <c r="E908" s="5" t="s">
        <v>9</v>
      </c>
      <c r="F908" s="6">
        <v>45657</v>
      </c>
      <c r="G908" s="5">
        <f t="shared" si="124"/>
        <v>2024</v>
      </c>
      <c r="H908" s="5" t="str">
        <f t="shared" si="125"/>
        <v>Diciembre</v>
      </c>
      <c r="I908" s="6" t="str">
        <f t="shared" si="126"/>
        <v>2024-2</v>
      </c>
      <c r="J908" s="5">
        <v>100</v>
      </c>
      <c r="K908" s="5">
        <v>100</v>
      </c>
      <c r="L908" s="15">
        <f t="shared" si="127"/>
        <v>1</v>
      </c>
      <c r="M908" s="15">
        <f t="shared" si="128"/>
        <v>1</v>
      </c>
      <c r="N908" s="5" t="s">
        <v>347</v>
      </c>
      <c r="O908" s="5" t="s">
        <v>347</v>
      </c>
      <c r="P908" s="5">
        <v>0</v>
      </c>
      <c r="Q908" s="5">
        <v>0</v>
      </c>
      <c r="R908" s="5" t="str">
        <f>A908&amp;"-"&amp;YEAR(F908)&amp;"-"&amp;IF(LEN(MONTH(F908))=1,"0"&amp;MONTH(F908),MONTH(F908))&amp;"-"&amp;IF(LEN(DAY(F908))=1,"0"&amp;DAY(F908),DAY(F908))</f>
        <v>471.3-2024-12-31</v>
      </c>
    </row>
    <row r="909" spans="1:18" x14ac:dyDescent="0.3">
      <c r="A909" s="101" t="s">
        <v>810</v>
      </c>
      <c r="B909" s="23" t="s">
        <v>811</v>
      </c>
      <c r="C909" s="5" t="s">
        <v>131</v>
      </c>
      <c r="D909" s="5" t="s">
        <v>11</v>
      </c>
      <c r="E909" s="5" t="s">
        <v>9</v>
      </c>
      <c r="F909" s="6">
        <v>45657</v>
      </c>
      <c r="G909" s="5">
        <f t="shared" si="124"/>
        <v>2024</v>
      </c>
      <c r="H909" s="5" t="str">
        <f t="shared" si="125"/>
        <v>Diciembre</v>
      </c>
      <c r="I909" s="6" t="str">
        <f t="shared" si="126"/>
        <v>2024-2</v>
      </c>
      <c r="J909" s="5">
        <v>100</v>
      </c>
      <c r="K909" s="5">
        <v>100</v>
      </c>
      <c r="L909" s="15">
        <f t="shared" si="127"/>
        <v>1</v>
      </c>
      <c r="M909" s="15">
        <f t="shared" si="128"/>
        <v>1</v>
      </c>
      <c r="N909" s="5" t="s">
        <v>347</v>
      </c>
      <c r="O909" s="5" t="s">
        <v>347</v>
      </c>
      <c r="P909" s="5">
        <v>0</v>
      </c>
      <c r="Q909" s="5">
        <v>0</v>
      </c>
      <c r="R909" s="5" t="str">
        <f>A909&amp;"-"&amp;YEAR(F909)&amp;"-"&amp;IF(LEN(MONTH(F909))=1,"0"&amp;MONTH(F909),MONTH(F909))&amp;"-"&amp;IF(LEN(DAY(F909))=1,"0"&amp;DAY(F909),DAY(F909))</f>
        <v>471.4-2024-12-31</v>
      </c>
    </row>
    <row r="910" spans="1:18" x14ac:dyDescent="0.3">
      <c r="A910" s="101" t="s">
        <v>812</v>
      </c>
      <c r="B910" s="23" t="s">
        <v>813</v>
      </c>
      <c r="C910" s="5" t="s">
        <v>131</v>
      </c>
      <c r="D910" s="5" t="s">
        <v>11</v>
      </c>
      <c r="E910" s="5" t="s">
        <v>9</v>
      </c>
      <c r="F910" s="6">
        <v>45657</v>
      </c>
      <c r="G910" s="5">
        <f t="shared" si="124"/>
        <v>2024</v>
      </c>
      <c r="H910" s="5" t="str">
        <f t="shared" si="125"/>
        <v>Diciembre</v>
      </c>
      <c r="I910" s="6" t="str">
        <f t="shared" si="126"/>
        <v>2024-2</v>
      </c>
      <c r="J910" s="5">
        <v>100</v>
      </c>
      <c r="K910" s="5">
        <v>100</v>
      </c>
      <c r="L910" s="15">
        <f t="shared" si="127"/>
        <v>1</v>
      </c>
      <c r="M910" s="15">
        <f t="shared" si="128"/>
        <v>1</v>
      </c>
      <c r="N910" s="5" t="s">
        <v>347</v>
      </c>
      <c r="O910" s="5" t="s">
        <v>347</v>
      </c>
      <c r="P910" s="5">
        <v>0</v>
      </c>
      <c r="Q910" s="5">
        <v>0</v>
      </c>
      <c r="R910" s="5" t="str">
        <f>A910&amp;"-"&amp;YEAR(F910)&amp;"-"&amp;IF(LEN(MONTH(F910))=1,"0"&amp;MONTH(F910),MONTH(F910))&amp;"-"&amp;IF(LEN(DAY(F910))=1,"0"&amp;DAY(F910),DAY(F910))</f>
        <v>471.5-2024-12-31</v>
      </c>
    </row>
    <row r="911" spans="1:18" x14ac:dyDescent="0.3">
      <c r="A911" s="101" t="s">
        <v>814</v>
      </c>
      <c r="B911" s="23" t="s">
        <v>815</v>
      </c>
      <c r="C911" s="5" t="s">
        <v>131</v>
      </c>
      <c r="D911" s="5" t="s">
        <v>11</v>
      </c>
      <c r="E911" s="5" t="s">
        <v>9</v>
      </c>
      <c r="F911" s="6">
        <v>45657</v>
      </c>
      <c r="G911" s="5">
        <f t="shared" si="124"/>
        <v>2024</v>
      </c>
      <c r="H911" s="5" t="str">
        <f t="shared" si="125"/>
        <v>Diciembre</v>
      </c>
      <c r="I911" s="6" t="str">
        <f t="shared" si="126"/>
        <v>2024-2</v>
      </c>
      <c r="J911" s="5">
        <v>100</v>
      </c>
      <c r="K911" s="5">
        <v>96</v>
      </c>
      <c r="L911" s="15">
        <f t="shared" si="127"/>
        <v>0.96</v>
      </c>
      <c r="M911" s="15">
        <f t="shared" si="128"/>
        <v>0.96</v>
      </c>
      <c r="N911" s="5" t="s">
        <v>347</v>
      </c>
      <c r="O911" s="5" t="s">
        <v>347</v>
      </c>
      <c r="P911" s="5">
        <v>0</v>
      </c>
      <c r="Q911" s="5">
        <v>0</v>
      </c>
      <c r="R911" s="5" t="str">
        <f>A911&amp;"-"&amp;YEAR(F911)&amp;"-"&amp;IF(LEN(MONTH(F911))=1,"0"&amp;MONTH(F911),MONTH(F911))&amp;"-"&amp;IF(LEN(DAY(F911))=1,"0"&amp;DAY(F911),DAY(F911))</f>
        <v>471.6-2024-12-31</v>
      </c>
    </row>
    <row r="912" spans="1:18" x14ac:dyDescent="0.3">
      <c r="A912" s="101" t="s">
        <v>816</v>
      </c>
      <c r="B912" s="23" t="s">
        <v>809</v>
      </c>
      <c r="C912" s="5" t="s">
        <v>131</v>
      </c>
      <c r="D912" s="5" t="s">
        <v>11</v>
      </c>
      <c r="E912" s="5" t="s">
        <v>9</v>
      </c>
      <c r="F912" s="6">
        <v>45657</v>
      </c>
      <c r="G912" s="5">
        <f t="shared" si="124"/>
        <v>2024</v>
      </c>
      <c r="H912" s="5" t="str">
        <f t="shared" si="125"/>
        <v>Diciembre</v>
      </c>
      <c r="I912" s="6" t="str">
        <f t="shared" si="126"/>
        <v>2024-2</v>
      </c>
      <c r="J912" s="5">
        <v>100</v>
      </c>
      <c r="K912" s="5">
        <v>100</v>
      </c>
      <c r="L912" s="15">
        <f t="shared" si="127"/>
        <v>1</v>
      </c>
      <c r="M912" s="15">
        <f t="shared" si="128"/>
        <v>1</v>
      </c>
      <c r="N912" s="5" t="s">
        <v>347</v>
      </c>
      <c r="O912" s="5" t="s">
        <v>347</v>
      </c>
      <c r="P912" s="5">
        <v>0</v>
      </c>
      <c r="Q912" s="5">
        <v>0</v>
      </c>
      <c r="R912" s="5" t="str">
        <f>A912&amp;"-"&amp;YEAR(F912)&amp;"-"&amp;IF(LEN(MONTH(F912))=1,"0"&amp;MONTH(F912),MONTH(F912))&amp;"-"&amp;IF(LEN(DAY(F912))=1,"0"&amp;DAY(F912),DAY(F912))</f>
        <v>471.7-2024-12-31</v>
      </c>
    </row>
    <row r="913" spans="1:18" x14ac:dyDescent="0.3">
      <c r="A913" s="26" t="s">
        <v>411</v>
      </c>
      <c r="B913" s="5" t="s">
        <v>363</v>
      </c>
      <c r="C913" s="5" t="s">
        <v>410</v>
      </c>
      <c r="D913" s="5" t="s">
        <v>8</v>
      </c>
      <c r="E913" s="5" t="s">
        <v>9</v>
      </c>
      <c r="F913" s="6">
        <v>45657</v>
      </c>
      <c r="G913" s="16">
        <f t="shared" si="124"/>
        <v>2024</v>
      </c>
      <c r="H913" s="6" t="str">
        <f t="shared" si="125"/>
        <v>Diciembre</v>
      </c>
      <c r="I913" s="6" t="str">
        <f t="shared" si="126"/>
        <v>2024-2</v>
      </c>
      <c r="J913" s="5">
        <v>2575</v>
      </c>
      <c r="K913" s="5">
        <v>2580</v>
      </c>
      <c r="L913" s="15">
        <f t="shared" ref="L913:L934" si="129">IFERROR(IF((K913/J913)&gt;1.3,1.3,K913/J913),"")</f>
        <v>1.0019417475728156</v>
      </c>
      <c r="M913" s="15">
        <f t="shared" ref="M913:M934" si="130">IFERROR(K913/J913,"")</f>
        <v>1.0019417475728156</v>
      </c>
      <c r="N913" s="5" t="s">
        <v>490</v>
      </c>
      <c r="O913" s="5" t="s">
        <v>490</v>
      </c>
      <c r="P913" s="5">
        <v>0</v>
      </c>
      <c r="Q913" s="5">
        <v>0</v>
      </c>
      <c r="R913" s="5" t="str">
        <f>A913&amp;"-"&amp;YEAR(F913)&amp;"-"&amp;IF(LEN(MONTH(F913))=1,"0"&amp;MONTH(F913),MONTH(F913))&amp;"-"&amp;IF(LEN(DAY(F913))=1,"0"&amp;DAY(F913),DAY(F913))</f>
        <v>Med 1-2024-12-31</v>
      </c>
    </row>
    <row r="914" spans="1:18" x14ac:dyDescent="0.3">
      <c r="A914" s="26" t="s">
        <v>368</v>
      </c>
      <c r="B914" s="5" t="s">
        <v>364</v>
      </c>
      <c r="C914" s="5" t="s">
        <v>410</v>
      </c>
      <c r="D914" s="5" t="s">
        <v>8</v>
      </c>
      <c r="E914" s="5" t="s">
        <v>9</v>
      </c>
      <c r="F914" s="6">
        <v>45657</v>
      </c>
      <c r="G914" s="16">
        <f t="shared" si="124"/>
        <v>2024</v>
      </c>
      <c r="H914" s="6" t="str">
        <f t="shared" si="125"/>
        <v>Diciembre</v>
      </c>
      <c r="I914" s="6" t="str">
        <f t="shared" si="126"/>
        <v>2024-2</v>
      </c>
      <c r="J914" s="5">
        <v>582</v>
      </c>
      <c r="K914" s="5">
        <v>388</v>
      </c>
      <c r="L914" s="15">
        <f t="shared" si="129"/>
        <v>0.66666666666666663</v>
      </c>
      <c r="M914" s="15">
        <f t="shared" si="130"/>
        <v>0.66666666666666663</v>
      </c>
      <c r="N914" s="5" t="s">
        <v>490</v>
      </c>
      <c r="O914" s="5" t="s">
        <v>490</v>
      </c>
      <c r="P914" s="5">
        <v>0</v>
      </c>
      <c r="Q914" s="5">
        <v>0</v>
      </c>
      <c r="R914" s="5" t="str">
        <f>A914&amp;"-"&amp;YEAR(F914)&amp;"-"&amp;IF(LEN(MONTH(F914))=1,"0"&amp;MONTH(F914),MONTH(F914))&amp;"-"&amp;IF(LEN(DAY(F914))=1,"0"&amp;DAY(F914),DAY(F914))</f>
        <v>Med 1.1-2024-12-31</v>
      </c>
    </row>
    <row r="915" spans="1:18" x14ac:dyDescent="0.3">
      <c r="A915" s="26" t="s">
        <v>370</v>
      </c>
      <c r="B915" s="5" t="s">
        <v>366</v>
      </c>
      <c r="C915" s="5" t="s">
        <v>410</v>
      </c>
      <c r="D915" s="5" t="s">
        <v>8</v>
      </c>
      <c r="E915" s="5" t="s">
        <v>9</v>
      </c>
      <c r="F915" s="6">
        <v>45657</v>
      </c>
      <c r="G915" s="16">
        <f t="shared" si="124"/>
        <v>2024</v>
      </c>
      <c r="H915" s="6" t="str">
        <f t="shared" si="125"/>
        <v>Diciembre</v>
      </c>
      <c r="I915" s="6" t="str">
        <f t="shared" si="126"/>
        <v>2024-2</v>
      </c>
      <c r="J915" s="5">
        <v>582</v>
      </c>
      <c r="K915" s="5">
        <v>388</v>
      </c>
      <c r="L915" s="15">
        <f t="shared" si="129"/>
        <v>0.66666666666666663</v>
      </c>
      <c r="M915" s="15">
        <f t="shared" si="130"/>
        <v>0.66666666666666663</v>
      </c>
      <c r="N915" s="5" t="s">
        <v>490</v>
      </c>
      <c r="O915" s="5" t="s">
        <v>490</v>
      </c>
      <c r="P915" s="5">
        <v>0</v>
      </c>
      <c r="Q915" s="5">
        <v>0</v>
      </c>
      <c r="R915" s="5" t="str">
        <f>A915&amp;"-"&amp;YEAR(F915)&amp;"-"&amp;IF(LEN(MONTH(F915))=1,"0"&amp;MONTH(F915),MONTH(F915))&amp;"-"&amp;IF(LEN(DAY(F915))=1,"0"&amp;DAY(F915),DAY(F915))</f>
        <v>Med 1.3-2024-12-31</v>
      </c>
    </row>
    <row r="916" spans="1:18" x14ac:dyDescent="0.3">
      <c r="A916" s="26" t="s">
        <v>371</v>
      </c>
      <c r="B916" s="5" t="s">
        <v>367</v>
      </c>
      <c r="C916" s="5" t="s">
        <v>410</v>
      </c>
      <c r="D916" s="5" t="s">
        <v>8</v>
      </c>
      <c r="E916" s="5" t="s">
        <v>9</v>
      </c>
      <c r="F916" s="6">
        <v>45657</v>
      </c>
      <c r="G916" s="16">
        <f t="shared" si="124"/>
        <v>2024</v>
      </c>
      <c r="H916" s="6" t="str">
        <f t="shared" si="125"/>
        <v>Diciembre</v>
      </c>
      <c r="I916" s="6" t="str">
        <f t="shared" si="126"/>
        <v>2024-2</v>
      </c>
      <c r="J916" s="9">
        <v>1992.7794855002676</v>
      </c>
      <c r="K916" s="9">
        <v>2192</v>
      </c>
      <c r="L916" s="15">
        <f t="shared" si="129"/>
        <v>1.0999711789233519</v>
      </c>
      <c r="M916" s="15">
        <f t="shared" si="130"/>
        <v>1.0999711789233519</v>
      </c>
      <c r="N916" s="5" t="s">
        <v>490</v>
      </c>
      <c r="O916" s="5" t="s">
        <v>490</v>
      </c>
      <c r="P916" s="5">
        <v>0</v>
      </c>
      <c r="Q916" s="5">
        <v>0</v>
      </c>
      <c r="R916" s="5" t="str">
        <f>A916&amp;"-"&amp;YEAR(F916)&amp;"-"&amp;IF(LEN(MONTH(F916))=1,"0"&amp;MONTH(F916),MONTH(F916))&amp;"-"&amp;IF(LEN(DAY(F916))=1,"0"&amp;DAY(F916),DAY(F916))</f>
        <v>Med 1.4-2024-12-31</v>
      </c>
    </row>
    <row r="917" spans="1:18" x14ac:dyDescent="0.3">
      <c r="A917" s="26" t="s">
        <v>403</v>
      </c>
      <c r="B917" s="5" t="s">
        <v>384</v>
      </c>
      <c r="C917" s="5" t="s">
        <v>410</v>
      </c>
      <c r="D917" s="5" t="s">
        <v>8</v>
      </c>
      <c r="E917" s="5" t="s">
        <v>9</v>
      </c>
      <c r="F917" s="6">
        <v>45657</v>
      </c>
      <c r="G917" s="16">
        <f t="shared" si="124"/>
        <v>2024</v>
      </c>
      <c r="H917" s="6" t="str">
        <f t="shared" si="125"/>
        <v>Diciembre</v>
      </c>
      <c r="I917" s="6" t="str">
        <f t="shared" si="126"/>
        <v>2024-2</v>
      </c>
      <c r="J917" s="9">
        <v>19542.4202990917</v>
      </c>
      <c r="K917" s="12">
        <v>20477.933138</v>
      </c>
      <c r="L917" s="15">
        <f t="shared" si="129"/>
        <v>1.0478708790718099</v>
      </c>
      <c r="M917" s="15">
        <f t="shared" si="130"/>
        <v>1.0478708790718099</v>
      </c>
      <c r="N917" s="5" t="s">
        <v>474</v>
      </c>
      <c r="O917" s="5" t="s">
        <v>474</v>
      </c>
      <c r="P917" s="5">
        <v>0</v>
      </c>
      <c r="Q917" s="5">
        <v>0</v>
      </c>
      <c r="R917" s="5" t="str">
        <f>A917&amp;"-"&amp;YEAR(F917)&amp;"-"&amp;IF(LEN(MONTH(F917))=1,"0"&amp;MONTH(F917),MONTH(F917))&amp;"-"&amp;IF(LEN(DAY(F917))=1,"0"&amp;DAY(F917),DAY(F917))</f>
        <v>Med 10-2024-12-31</v>
      </c>
    </row>
    <row r="918" spans="1:18" x14ac:dyDescent="0.3">
      <c r="A918" s="26" t="s">
        <v>404</v>
      </c>
      <c r="B918" s="5" t="s">
        <v>385</v>
      </c>
      <c r="C918" s="5" t="s">
        <v>410</v>
      </c>
      <c r="D918" s="5" t="s">
        <v>8</v>
      </c>
      <c r="E918" s="5" t="s">
        <v>9</v>
      </c>
      <c r="F918" s="6">
        <v>45657</v>
      </c>
      <c r="G918" s="16">
        <f t="shared" si="124"/>
        <v>2024</v>
      </c>
      <c r="H918" s="6" t="str">
        <f t="shared" si="125"/>
        <v>Diciembre</v>
      </c>
      <c r="I918" s="6" t="str">
        <f t="shared" si="126"/>
        <v>2024-2</v>
      </c>
      <c r="J918" s="9">
        <v>2446.5628711211798</v>
      </c>
      <c r="K918" s="12">
        <v>2308.4024650000001</v>
      </c>
      <c r="L918" s="15">
        <f t="shared" si="129"/>
        <v>0.94352877346746244</v>
      </c>
      <c r="M918" s="15">
        <f t="shared" si="130"/>
        <v>0.94352877346746244</v>
      </c>
      <c r="N918" s="5" t="s">
        <v>474</v>
      </c>
      <c r="O918" s="5" t="s">
        <v>474</v>
      </c>
      <c r="P918" s="5">
        <v>0</v>
      </c>
      <c r="Q918" s="5">
        <v>0</v>
      </c>
      <c r="R918" s="5" t="str">
        <f>A918&amp;"-"&amp;YEAR(F918)&amp;"-"&amp;IF(LEN(MONTH(F918))=1,"0"&amp;MONTH(F918),MONTH(F918))&amp;"-"&amp;IF(LEN(DAY(F918))=1,"0"&amp;DAY(F918),DAY(F918))</f>
        <v>Med 11-2024-12-31</v>
      </c>
    </row>
    <row r="919" spans="1:18" x14ac:dyDescent="0.3">
      <c r="A919" s="26" t="s">
        <v>407</v>
      </c>
      <c r="B919" s="5" t="s">
        <v>388</v>
      </c>
      <c r="C919" s="5" t="s">
        <v>410</v>
      </c>
      <c r="D919" s="5" t="s">
        <v>8</v>
      </c>
      <c r="E919" s="5" t="s">
        <v>9</v>
      </c>
      <c r="F919" s="6">
        <v>45657</v>
      </c>
      <c r="G919" s="16">
        <f t="shared" si="124"/>
        <v>2024</v>
      </c>
      <c r="H919" s="6" t="str">
        <f t="shared" si="125"/>
        <v>Diciembre</v>
      </c>
      <c r="I919" s="6" t="str">
        <f t="shared" si="126"/>
        <v>2024-2</v>
      </c>
      <c r="J919" s="5">
        <v>100</v>
      </c>
      <c r="K919" s="5">
        <v>94.44</v>
      </c>
      <c r="L919" s="15">
        <f t="shared" si="129"/>
        <v>0.94440000000000002</v>
      </c>
      <c r="M919" s="15">
        <f t="shared" si="130"/>
        <v>0.94440000000000002</v>
      </c>
      <c r="N919" s="5" t="s">
        <v>347</v>
      </c>
      <c r="O919" s="5" t="s">
        <v>347</v>
      </c>
      <c r="P919" s="5">
        <v>0</v>
      </c>
      <c r="Q919" s="5">
        <v>0</v>
      </c>
      <c r="R919" s="5" t="str">
        <f>A919&amp;"-"&amp;YEAR(F919)&amp;"-"&amp;IF(LEN(MONTH(F919))=1,"0"&amp;MONTH(F919),MONTH(F919))&amp;"-"&amp;IF(LEN(DAY(F919))=1,"0"&amp;DAY(F919),DAY(F919))</f>
        <v>Med 15-2024-12-31</v>
      </c>
    </row>
    <row r="920" spans="1:18" x14ac:dyDescent="0.3">
      <c r="A920" s="26" t="s">
        <v>400</v>
      </c>
      <c r="B920" s="5" t="s">
        <v>381</v>
      </c>
      <c r="C920" s="5" t="s">
        <v>410</v>
      </c>
      <c r="D920" s="5" t="s">
        <v>8</v>
      </c>
      <c r="E920" s="5" t="s">
        <v>9</v>
      </c>
      <c r="F920" s="6">
        <v>45657</v>
      </c>
      <c r="G920" s="16">
        <f t="shared" si="124"/>
        <v>2024</v>
      </c>
      <c r="H920" s="6" t="str">
        <f t="shared" si="125"/>
        <v>Diciembre</v>
      </c>
      <c r="I920" s="6" t="str">
        <f t="shared" si="126"/>
        <v>2024-2</v>
      </c>
      <c r="J920" s="5">
        <v>50</v>
      </c>
      <c r="K920" s="5">
        <v>59.59</v>
      </c>
      <c r="L920" s="15">
        <f t="shared" si="129"/>
        <v>1.1918</v>
      </c>
      <c r="M920" s="15">
        <f t="shared" si="130"/>
        <v>1.1918</v>
      </c>
      <c r="N920" s="5" t="s">
        <v>490</v>
      </c>
      <c r="O920" s="5" t="s">
        <v>478</v>
      </c>
      <c r="P920" s="5">
        <v>0</v>
      </c>
      <c r="Q920" s="5">
        <v>1</v>
      </c>
      <c r="R920" s="5" t="str">
        <f>A920&amp;"-"&amp;YEAR(F920)&amp;"-"&amp;IF(LEN(MONTH(F920))=1,"0"&amp;MONTH(F920),MONTH(F920))&amp;"-"&amp;IF(LEN(DAY(F920))=1,"0"&amp;DAY(F920),DAY(F920))</f>
        <v>Med 7-2024-12-31</v>
      </c>
    </row>
    <row r="921" spans="1:18" x14ac:dyDescent="0.3">
      <c r="A921" s="26" t="s">
        <v>401</v>
      </c>
      <c r="B921" s="5" t="s">
        <v>382</v>
      </c>
      <c r="C921" s="5" t="s">
        <v>410</v>
      </c>
      <c r="D921" s="5" t="s">
        <v>8</v>
      </c>
      <c r="E921" s="5" t="s">
        <v>9</v>
      </c>
      <c r="F921" s="6">
        <v>45657</v>
      </c>
      <c r="G921" s="16">
        <f t="shared" si="124"/>
        <v>2024</v>
      </c>
      <c r="H921" s="6" t="str">
        <f t="shared" si="125"/>
        <v>Diciembre</v>
      </c>
      <c r="I921" s="6" t="str">
        <f t="shared" si="126"/>
        <v>2024-2</v>
      </c>
      <c r="J921" s="5">
        <v>85</v>
      </c>
      <c r="K921" s="5">
        <v>89.6</v>
      </c>
      <c r="L921" s="15">
        <f t="shared" si="129"/>
        <v>1.0541176470588234</v>
      </c>
      <c r="M921" s="15">
        <f t="shared" si="130"/>
        <v>1.0541176470588234</v>
      </c>
      <c r="N921" s="5" t="s">
        <v>347</v>
      </c>
      <c r="O921" s="5" t="s">
        <v>347</v>
      </c>
      <c r="P921" s="5">
        <v>0</v>
      </c>
      <c r="Q921" s="5">
        <v>1</v>
      </c>
      <c r="R921" s="5" t="str">
        <f>A921&amp;"-"&amp;YEAR(F921)&amp;"-"&amp;IF(LEN(MONTH(F921))=1,"0"&amp;MONTH(F921),MONTH(F921))&amp;"-"&amp;IF(LEN(DAY(F921))=1,"0"&amp;DAY(F921),DAY(F921))</f>
        <v>Med 8-2024-12-31</v>
      </c>
    </row>
    <row r="922" spans="1:18" x14ac:dyDescent="0.3">
      <c r="A922" s="26" t="s">
        <v>402</v>
      </c>
      <c r="B922" s="5" t="s">
        <v>383</v>
      </c>
      <c r="C922" s="5" t="s">
        <v>410</v>
      </c>
      <c r="D922" s="5" t="s">
        <v>8</v>
      </c>
      <c r="E922" s="5" t="s">
        <v>9</v>
      </c>
      <c r="F922" s="6">
        <v>45657</v>
      </c>
      <c r="G922" s="16">
        <f t="shared" si="124"/>
        <v>2024</v>
      </c>
      <c r="H922" s="6" t="str">
        <f t="shared" si="125"/>
        <v>Diciembre</v>
      </c>
      <c r="I922" s="6" t="str">
        <f t="shared" si="126"/>
        <v>2024-2</v>
      </c>
      <c r="J922" s="5">
        <v>81</v>
      </c>
      <c r="K922" s="5">
        <v>89</v>
      </c>
      <c r="L922" s="15">
        <f t="shared" si="129"/>
        <v>1.0987654320987654</v>
      </c>
      <c r="M922" s="15">
        <f t="shared" si="130"/>
        <v>1.0987654320987654</v>
      </c>
      <c r="N922" s="5" t="s">
        <v>347</v>
      </c>
      <c r="O922" s="5" t="s">
        <v>347</v>
      </c>
      <c r="P922" s="5">
        <v>0</v>
      </c>
      <c r="Q922" s="5">
        <v>0</v>
      </c>
      <c r="R922" s="5" t="str">
        <f>A922&amp;"-"&amp;YEAR(F922)&amp;"-"&amp;IF(LEN(MONTH(F922))=1,"0"&amp;MONTH(F922),MONTH(F922))&amp;"-"&amp;IF(LEN(DAY(F922))=1,"0"&amp;DAY(F922),DAY(F922))</f>
        <v>Med 9-2024-12-31</v>
      </c>
    </row>
    <row r="923" spans="1:18" x14ac:dyDescent="0.3">
      <c r="A923" s="26" t="s">
        <v>774</v>
      </c>
      <c r="B923" s="5" t="s">
        <v>775</v>
      </c>
      <c r="C923" s="5" t="s">
        <v>145</v>
      </c>
      <c r="D923" s="5" t="s">
        <v>8</v>
      </c>
      <c r="E923" s="5" t="s">
        <v>9</v>
      </c>
      <c r="F923" s="6">
        <v>45657</v>
      </c>
      <c r="G923" s="16">
        <f t="shared" si="124"/>
        <v>2024</v>
      </c>
      <c r="H923" s="6" t="str">
        <f t="shared" si="125"/>
        <v>Diciembre</v>
      </c>
      <c r="I923" s="6" t="str">
        <f t="shared" si="126"/>
        <v>2024-2</v>
      </c>
      <c r="J923" s="5"/>
      <c r="K923" s="5"/>
      <c r="L923" s="15" t="str">
        <f t="shared" si="129"/>
        <v/>
      </c>
      <c r="M923" s="15" t="str">
        <f t="shared" si="130"/>
        <v/>
      </c>
      <c r="N923" s="5" t="s">
        <v>491</v>
      </c>
      <c r="O923" s="5" t="s">
        <v>491</v>
      </c>
      <c r="P923" s="5">
        <v>0</v>
      </c>
      <c r="Q923" s="5">
        <v>0</v>
      </c>
      <c r="R923" s="5" t="str">
        <f>A923&amp;"-"&amp;YEAR(F923)&amp;"-"&amp;IF(LEN(MONTH(F923))=1,"0"&amp;MONTH(F923),MONTH(F923))&amp;"-"&amp;IF(LEN(DAY(F923))=1,"0"&amp;DAY(F923),DAY(F923))</f>
        <v>Prov-10-2024-12-31</v>
      </c>
    </row>
    <row r="924" spans="1:18" x14ac:dyDescent="0.3">
      <c r="A924" s="26" t="s">
        <v>776</v>
      </c>
      <c r="B924" s="5" t="s">
        <v>777</v>
      </c>
      <c r="C924" s="5" t="s">
        <v>343</v>
      </c>
      <c r="D924" s="5" t="s">
        <v>8</v>
      </c>
      <c r="E924" s="5" t="s">
        <v>9</v>
      </c>
      <c r="F924" s="6">
        <v>45657</v>
      </c>
      <c r="G924" s="16">
        <f t="shared" si="124"/>
        <v>2024</v>
      </c>
      <c r="H924" s="6" t="str">
        <f t="shared" si="125"/>
        <v>Diciembre</v>
      </c>
      <c r="I924" s="6" t="str">
        <f t="shared" si="126"/>
        <v>2024-2</v>
      </c>
      <c r="J924" s="5"/>
      <c r="K924" s="5"/>
      <c r="L924" s="15" t="str">
        <f t="shared" si="129"/>
        <v/>
      </c>
      <c r="M924" s="15" t="str">
        <f t="shared" si="130"/>
        <v/>
      </c>
      <c r="N924" s="5" t="s">
        <v>491</v>
      </c>
      <c r="O924" s="5" t="s">
        <v>491</v>
      </c>
      <c r="P924" s="5">
        <v>0</v>
      </c>
      <c r="Q924" s="5">
        <v>0</v>
      </c>
      <c r="R924" s="5" t="str">
        <f>A924&amp;"-"&amp;YEAR(F924)&amp;"-"&amp;IF(LEN(MONTH(F924))=1,"0"&amp;MONTH(F924),MONTH(F924))&amp;"-"&amp;IF(LEN(DAY(F924))=1,"0"&amp;DAY(F924),DAY(F924))</f>
        <v>Prov-11-2024-12-31</v>
      </c>
    </row>
    <row r="925" spans="1:18" x14ac:dyDescent="0.3">
      <c r="A925" s="26" t="s">
        <v>778</v>
      </c>
      <c r="B925" s="5" t="s">
        <v>779</v>
      </c>
      <c r="C925" s="5" t="s">
        <v>343</v>
      </c>
      <c r="D925" s="5" t="s">
        <v>8</v>
      </c>
      <c r="E925" s="5" t="s">
        <v>9</v>
      </c>
      <c r="F925" s="6">
        <v>45657</v>
      </c>
      <c r="G925" s="16">
        <f t="shared" si="124"/>
        <v>2024</v>
      </c>
      <c r="H925" s="6" t="str">
        <f t="shared" si="125"/>
        <v>Diciembre</v>
      </c>
      <c r="I925" s="6" t="str">
        <f t="shared" si="126"/>
        <v>2024-2</v>
      </c>
      <c r="J925" s="5"/>
      <c r="K925" s="5"/>
      <c r="L925" s="15" t="str">
        <f t="shared" si="129"/>
        <v/>
      </c>
      <c r="M925" s="15" t="str">
        <f t="shared" si="130"/>
        <v/>
      </c>
      <c r="N925" s="5" t="s">
        <v>491</v>
      </c>
      <c r="O925" s="5" t="s">
        <v>491</v>
      </c>
      <c r="P925" s="5">
        <v>0</v>
      </c>
      <c r="Q925" s="5">
        <v>0</v>
      </c>
      <c r="R925" s="5" t="str">
        <f>A925&amp;"-"&amp;YEAR(F925)&amp;"-"&amp;IF(LEN(MONTH(F925))=1,"0"&amp;MONTH(F925),MONTH(F925))&amp;"-"&amp;IF(LEN(DAY(F925))=1,"0"&amp;DAY(F925),DAY(F925))</f>
        <v>Prov-12-2024-12-31</v>
      </c>
    </row>
    <row r="926" spans="1:18" x14ac:dyDescent="0.3">
      <c r="A926" s="26" t="s">
        <v>780</v>
      </c>
      <c r="B926" s="5" t="s">
        <v>781</v>
      </c>
      <c r="C926" s="5" t="s">
        <v>74</v>
      </c>
      <c r="D926" s="5" t="s">
        <v>8</v>
      </c>
      <c r="E926" s="5" t="s">
        <v>9</v>
      </c>
      <c r="F926" s="6">
        <v>45657</v>
      </c>
      <c r="G926" s="16">
        <f t="shared" si="124"/>
        <v>2024</v>
      </c>
      <c r="H926" s="6" t="str">
        <f t="shared" si="125"/>
        <v>Diciembre</v>
      </c>
      <c r="I926" s="6" t="str">
        <f t="shared" si="126"/>
        <v>2024-2</v>
      </c>
      <c r="J926" s="5"/>
      <c r="K926" s="5"/>
      <c r="L926" s="15" t="str">
        <f t="shared" si="129"/>
        <v/>
      </c>
      <c r="M926" s="15" t="str">
        <f t="shared" si="130"/>
        <v/>
      </c>
      <c r="N926" s="5" t="s">
        <v>491</v>
      </c>
      <c r="O926" s="5" t="s">
        <v>491</v>
      </c>
      <c r="P926" s="5">
        <v>0</v>
      </c>
      <c r="Q926" s="5">
        <v>0</v>
      </c>
      <c r="R926" s="5" t="str">
        <f>A926&amp;"-"&amp;YEAR(F926)&amp;"-"&amp;IF(LEN(MONTH(F926))=1,"0"&amp;MONTH(F926),MONTH(F926))&amp;"-"&amp;IF(LEN(DAY(F926))=1,"0"&amp;DAY(F926),DAY(F926))</f>
        <v>Prov-13-2024-12-31</v>
      </c>
    </row>
    <row r="927" spans="1:18" x14ac:dyDescent="0.3">
      <c r="A927" s="26" t="s">
        <v>782</v>
      </c>
      <c r="B927" s="5" t="s">
        <v>783</v>
      </c>
      <c r="C927" s="5" t="s">
        <v>237</v>
      </c>
      <c r="D927" s="5" t="s">
        <v>8</v>
      </c>
      <c r="E927" s="5" t="s">
        <v>9</v>
      </c>
      <c r="F927" s="6">
        <v>45657</v>
      </c>
      <c r="G927" s="16">
        <f t="shared" si="124"/>
        <v>2024</v>
      </c>
      <c r="H927" s="6" t="str">
        <f t="shared" si="125"/>
        <v>Diciembre</v>
      </c>
      <c r="I927" s="6" t="str">
        <f t="shared" si="126"/>
        <v>2024-2</v>
      </c>
      <c r="J927" s="5"/>
      <c r="K927" s="5"/>
      <c r="L927" s="15" t="str">
        <f t="shared" si="129"/>
        <v/>
      </c>
      <c r="M927" s="15" t="str">
        <f t="shared" si="130"/>
        <v/>
      </c>
      <c r="N927" s="5" t="s">
        <v>491</v>
      </c>
      <c r="O927" s="5" t="s">
        <v>491</v>
      </c>
      <c r="P927" s="5">
        <v>0</v>
      </c>
      <c r="Q927" s="5">
        <v>0</v>
      </c>
      <c r="R927" s="5" t="str">
        <f>A927&amp;"-"&amp;YEAR(F927)&amp;"-"&amp;IF(LEN(MONTH(F927))=1,"0"&amp;MONTH(F927),MONTH(F927))&amp;"-"&amp;IF(LEN(DAY(F927))=1,"0"&amp;DAY(F927),DAY(F927))</f>
        <v>Prov-14-2024-12-31</v>
      </c>
    </row>
    <row r="928" spans="1:18" x14ac:dyDescent="0.3">
      <c r="A928" s="26" t="s">
        <v>784</v>
      </c>
      <c r="B928" s="5" t="s">
        <v>785</v>
      </c>
      <c r="C928" s="5" t="s">
        <v>237</v>
      </c>
      <c r="D928" s="5" t="s">
        <v>8</v>
      </c>
      <c r="E928" s="5" t="s">
        <v>9</v>
      </c>
      <c r="F928" s="6">
        <v>45657</v>
      </c>
      <c r="G928" s="16">
        <f t="shared" si="124"/>
        <v>2024</v>
      </c>
      <c r="H928" s="6" t="str">
        <f t="shared" si="125"/>
        <v>Diciembre</v>
      </c>
      <c r="I928" s="6" t="str">
        <f t="shared" si="126"/>
        <v>2024-2</v>
      </c>
      <c r="J928" s="5"/>
      <c r="K928" s="5"/>
      <c r="L928" s="15" t="str">
        <f t="shared" si="129"/>
        <v/>
      </c>
      <c r="M928" s="15" t="str">
        <f t="shared" si="130"/>
        <v/>
      </c>
      <c r="N928" s="5" t="s">
        <v>491</v>
      </c>
      <c r="O928" s="5" t="s">
        <v>491</v>
      </c>
      <c r="P928" s="5">
        <v>0</v>
      </c>
      <c r="Q928" s="5">
        <v>0</v>
      </c>
      <c r="R928" s="5" t="str">
        <f>A928&amp;"-"&amp;YEAR(F928)&amp;"-"&amp;IF(LEN(MONTH(F928))=1,"0"&amp;MONTH(F928),MONTH(F928))&amp;"-"&amp;IF(LEN(DAY(F928))=1,"0"&amp;DAY(F928),DAY(F928))</f>
        <v>Prov-15-2024-12-31</v>
      </c>
    </row>
    <row r="929" spans="1:18" x14ac:dyDescent="0.3">
      <c r="A929" s="26" t="s">
        <v>786</v>
      </c>
      <c r="B929" s="5" t="s">
        <v>787</v>
      </c>
      <c r="C929" s="5" t="s">
        <v>237</v>
      </c>
      <c r="D929" s="5" t="s">
        <v>8</v>
      </c>
      <c r="E929" s="5" t="s">
        <v>9</v>
      </c>
      <c r="F929" s="6">
        <v>45657</v>
      </c>
      <c r="G929" s="16">
        <f t="shared" si="124"/>
        <v>2024</v>
      </c>
      <c r="H929" s="6" t="str">
        <f t="shared" si="125"/>
        <v>Diciembre</v>
      </c>
      <c r="I929" s="6" t="str">
        <f t="shared" si="126"/>
        <v>2024-2</v>
      </c>
      <c r="J929" s="5"/>
      <c r="K929" s="5"/>
      <c r="L929" s="15" t="str">
        <f t="shared" si="129"/>
        <v/>
      </c>
      <c r="M929" s="15" t="str">
        <f t="shared" si="130"/>
        <v/>
      </c>
      <c r="N929" s="5" t="s">
        <v>491</v>
      </c>
      <c r="O929" s="5" t="s">
        <v>491</v>
      </c>
      <c r="P929" s="5">
        <v>0</v>
      </c>
      <c r="Q929" s="5">
        <v>0</v>
      </c>
      <c r="R929" s="5" t="str">
        <f>A929&amp;"-"&amp;YEAR(F929)&amp;"-"&amp;IF(LEN(MONTH(F929))=1,"0"&amp;MONTH(F929),MONTH(F929))&amp;"-"&amp;IF(LEN(DAY(F929))=1,"0"&amp;DAY(F929),DAY(F929))</f>
        <v>Prov-16-2024-12-31</v>
      </c>
    </row>
    <row r="930" spans="1:18" x14ac:dyDescent="0.3">
      <c r="A930" s="26" t="s">
        <v>792</v>
      </c>
      <c r="B930" s="5" t="s">
        <v>793</v>
      </c>
      <c r="C930" s="5" t="s">
        <v>506</v>
      </c>
      <c r="D930" s="5" t="s">
        <v>8</v>
      </c>
      <c r="E930" s="5" t="s">
        <v>9</v>
      </c>
      <c r="F930" s="6">
        <v>45657</v>
      </c>
      <c r="G930" s="16">
        <f t="shared" si="124"/>
        <v>2024</v>
      </c>
      <c r="H930" s="6" t="str">
        <f t="shared" si="125"/>
        <v>Diciembre</v>
      </c>
      <c r="I930" s="6" t="str">
        <f t="shared" si="126"/>
        <v>2024-2</v>
      </c>
      <c r="J930" s="5"/>
      <c r="K930" s="5"/>
      <c r="L930" s="15" t="str">
        <f t="shared" si="129"/>
        <v/>
      </c>
      <c r="M930" s="15" t="str">
        <f t="shared" si="130"/>
        <v/>
      </c>
      <c r="N930" s="5" t="s">
        <v>491</v>
      </c>
      <c r="O930" s="5" t="s">
        <v>491</v>
      </c>
      <c r="P930" s="5">
        <v>0</v>
      </c>
      <c r="Q930" s="5">
        <v>0</v>
      </c>
      <c r="R930" s="5" t="str">
        <f>A930&amp;"-"&amp;YEAR(F930)&amp;"-"&amp;IF(LEN(MONTH(F930))=1,"0"&amp;MONTH(F930),MONTH(F930))&amp;"-"&amp;IF(LEN(DAY(F930))=1,"0"&amp;DAY(F930),DAY(F930))</f>
        <v>Prov-3-2024-12-31</v>
      </c>
    </row>
    <row r="931" spans="1:18" x14ac:dyDescent="0.3">
      <c r="A931" s="26" t="s">
        <v>794</v>
      </c>
      <c r="B931" s="5" t="s">
        <v>795</v>
      </c>
      <c r="C931" s="5" t="s">
        <v>315</v>
      </c>
      <c r="D931" s="5" t="s">
        <v>8</v>
      </c>
      <c r="E931" s="5" t="s">
        <v>9</v>
      </c>
      <c r="F931" s="6">
        <v>45657</v>
      </c>
      <c r="G931" s="16">
        <f t="shared" si="124"/>
        <v>2024</v>
      </c>
      <c r="H931" s="6" t="str">
        <f t="shared" si="125"/>
        <v>Diciembre</v>
      </c>
      <c r="I931" s="6" t="str">
        <f t="shared" si="126"/>
        <v>2024-2</v>
      </c>
      <c r="J931" s="5"/>
      <c r="K931" s="5"/>
      <c r="L931" s="15" t="str">
        <f t="shared" si="129"/>
        <v/>
      </c>
      <c r="M931" s="15" t="str">
        <f t="shared" si="130"/>
        <v/>
      </c>
      <c r="N931" s="5" t="s">
        <v>491</v>
      </c>
      <c r="O931" s="5" t="s">
        <v>491</v>
      </c>
      <c r="P931" s="5">
        <v>0</v>
      </c>
      <c r="Q931" s="5">
        <v>0</v>
      </c>
      <c r="R931" s="5" t="str">
        <f>A931&amp;"-"&amp;YEAR(F931)&amp;"-"&amp;IF(LEN(MONTH(F931))=1,"0"&amp;MONTH(F931),MONTH(F931))&amp;"-"&amp;IF(LEN(DAY(F931))=1,"0"&amp;DAY(F931),DAY(F931))</f>
        <v>Prov-5-2024-12-31</v>
      </c>
    </row>
    <row r="932" spans="1:18" x14ac:dyDescent="0.3">
      <c r="A932" s="26" t="s">
        <v>796</v>
      </c>
      <c r="B932" s="5" t="s">
        <v>797</v>
      </c>
      <c r="C932" s="5" t="s">
        <v>145</v>
      </c>
      <c r="D932" s="5" t="s">
        <v>8</v>
      </c>
      <c r="E932" s="5" t="s">
        <v>9</v>
      </c>
      <c r="F932" s="6">
        <v>45657</v>
      </c>
      <c r="G932" s="16">
        <f t="shared" si="124"/>
        <v>2024</v>
      </c>
      <c r="H932" s="6" t="str">
        <f t="shared" si="125"/>
        <v>Diciembre</v>
      </c>
      <c r="I932" s="6" t="str">
        <f t="shared" si="126"/>
        <v>2024-2</v>
      </c>
      <c r="J932" s="5"/>
      <c r="K932" s="5"/>
      <c r="L932" s="15" t="str">
        <f t="shared" si="129"/>
        <v/>
      </c>
      <c r="M932" s="15" t="str">
        <f t="shared" si="130"/>
        <v/>
      </c>
      <c r="N932" s="5" t="s">
        <v>491</v>
      </c>
      <c r="O932" s="5" t="s">
        <v>491</v>
      </c>
      <c r="P932" s="5">
        <v>0</v>
      </c>
      <c r="Q932" s="5">
        <v>0</v>
      </c>
      <c r="R932" s="5" t="str">
        <f>A932&amp;"-"&amp;YEAR(F932)&amp;"-"&amp;IF(LEN(MONTH(F932))=1,"0"&amp;MONTH(F932),MONTH(F932))&amp;"-"&amp;IF(LEN(DAY(F932))=1,"0"&amp;DAY(F932),DAY(F932))</f>
        <v>Prov-7-2024-12-31</v>
      </c>
    </row>
    <row r="933" spans="1:18" x14ac:dyDescent="0.3">
      <c r="A933" s="26" t="s">
        <v>770</v>
      </c>
      <c r="B933" s="5" t="s">
        <v>771</v>
      </c>
      <c r="C933" s="5" t="s">
        <v>344</v>
      </c>
      <c r="D933" s="5" t="s">
        <v>8</v>
      </c>
      <c r="E933" s="5" t="s">
        <v>9</v>
      </c>
      <c r="F933" s="6">
        <v>45657</v>
      </c>
      <c r="G933" s="16">
        <f t="shared" si="124"/>
        <v>2024</v>
      </c>
      <c r="H933" s="6" t="str">
        <f t="shared" si="125"/>
        <v>Diciembre</v>
      </c>
      <c r="I933" s="6" t="str">
        <f t="shared" si="126"/>
        <v>2024-2</v>
      </c>
      <c r="J933" s="5"/>
      <c r="K933" s="5"/>
      <c r="L933" s="15" t="str">
        <f t="shared" si="129"/>
        <v/>
      </c>
      <c r="M933" s="15" t="str">
        <f t="shared" si="130"/>
        <v/>
      </c>
      <c r="N933" s="5" t="s">
        <v>491</v>
      </c>
      <c r="O933" s="5" t="s">
        <v>491</v>
      </c>
      <c r="P933" s="5">
        <v>0</v>
      </c>
      <c r="Q933" s="5">
        <v>0</v>
      </c>
      <c r="R933" s="5" t="str">
        <f>A933&amp;"-"&amp;YEAR(F933)&amp;"-"&amp;IF(LEN(MONTH(F933))=1,"0"&amp;MONTH(F933),MONTH(F933))&amp;"-"&amp;IF(LEN(DAY(F933))=1,"0"&amp;DAY(F933),DAY(F933))</f>
        <v>Prov-8-2024-12-31</v>
      </c>
    </row>
    <row r="934" spans="1:18" x14ac:dyDescent="0.3">
      <c r="A934" s="26" t="s">
        <v>772</v>
      </c>
      <c r="B934" s="5" t="s">
        <v>773</v>
      </c>
      <c r="C934" s="5" t="s">
        <v>344</v>
      </c>
      <c r="D934" s="5" t="s">
        <v>8</v>
      </c>
      <c r="E934" s="5" t="s">
        <v>9</v>
      </c>
      <c r="F934" s="6">
        <v>45657</v>
      </c>
      <c r="G934" s="16">
        <f t="shared" si="124"/>
        <v>2024</v>
      </c>
      <c r="H934" s="6" t="str">
        <f t="shared" si="125"/>
        <v>Diciembre</v>
      </c>
      <c r="I934" s="6" t="str">
        <f t="shared" si="126"/>
        <v>2024-2</v>
      </c>
      <c r="J934" s="5"/>
      <c r="K934" s="5"/>
      <c r="L934" s="15" t="str">
        <f t="shared" si="129"/>
        <v/>
      </c>
      <c r="M934" s="15" t="str">
        <f t="shared" si="130"/>
        <v/>
      </c>
      <c r="N934" s="5" t="s">
        <v>491</v>
      </c>
      <c r="O934" s="5" t="s">
        <v>491</v>
      </c>
      <c r="P934" s="5">
        <v>0</v>
      </c>
      <c r="Q934" s="5">
        <v>0</v>
      </c>
      <c r="R934" s="5" t="str">
        <f>A934&amp;"-"&amp;YEAR(F934)&amp;"-"&amp;IF(LEN(MONTH(F934))=1,"0"&amp;MONTH(F934),MONTH(F934))&amp;"-"&amp;IF(LEN(DAY(F934))=1,"0"&amp;DAY(F934),DAY(F934))</f>
        <v>Prov-9-2024-12-31</v>
      </c>
    </row>
    <row r="935" spans="1:18" x14ac:dyDescent="0.3">
      <c r="A935" s="5">
        <v>274</v>
      </c>
      <c r="B935" s="5" t="s">
        <v>159</v>
      </c>
      <c r="C935" s="5" t="s">
        <v>142</v>
      </c>
      <c r="D935" s="5" t="s">
        <v>8</v>
      </c>
      <c r="E935" s="5" t="s">
        <v>9</v>
      </c>
      <c r="F935" s="6">
        <v>46022</v>
      </c>
      <c r="G935" s="16">
        <f t="shared" ref="G935" si="131">YEAR(F935)</f>
        <v>2025</v>
      </c>
      <c r="H935" s="6" t="str">
        <f t="shared" ref="H935" si="132">PROPER(TEXT(F935,"mmmm"))</f>
        <v>Diciembre</v>
      </c>
      <c r="I935" s="6" t="str">
        <f t="shared" ref="I935" si="133">IF(OR(H935="Enero",H935="Febrero",H935="Marzo",H935="Abril",H935="Mayo",H935="Junio"),G935&amp;"-1",IF(OR(H935="Julio",H935="Agosto",H935="Septiembre",H935="Octubre",H935="Noviembre",H935="Diciembre"),G935&amp;"-2"))</f>
        <v>2025-2</v>
      </c>
      <c r="J935" s="9">
        <v>44737</v>
      </c>
      <c r="K935" s="9">
        <v>45583</v>
      </c>
      <c r="L935" s="15">
        <f>IFERROR(IF((K935/J935)&gt;1.3,1.3,K935/J935),"")</f>
        <v>1.0189105214922771</v>
      </c>
      <c r="M935" s="15">
        <f>IFERROR(K935/J935,"")</f>
        <v>1.0189105214922771</v>
      </c>
      <c r="N935" s="5" t="s">
        <v>490</v>
      </c>
      <c r="O935" s="5" t="s">
        <v>490</v>
      </c>
      <c r="P935" s="5">
        <v>0</v>
      </c>
      <c r="Q935" s="5">
        <v>0</v>
      </c>
      <c r="R935" s="5" t="str">
        <f>A935&amp;"-"&amp;YEAR(F935)&amp;"-"&amp;IF(LEN(MONTH(F935))=1,"0"&amp;MONTH(F935),MONTH(F935))&amp;"-"&amp;IF(LEN(DAY(F935))=1,"0"&amp;DAY(F935),DAY(F935))</f>
        <v>274-2025-12-31</v>
      </c>
    </row>
    <row r="936" spans="1:18" x14ac:dyDescent="0.3">
      <c r="A936" s="5">
        <v>202</v>
      </c>
      <c r="B936" s="5" t="s">
        <v>82</v>
      </c>
      <c r="C936" s="5" t="s">
        <v>13</v>
      </c>
      <c r="D936" s="13" t="s">
        <v>25</v>
      </c>
      <c r="E936" s="5" t="s">
        <v>9</v>
      </c>
      <c r="F936" s="6">
        <v>46022</v>
      </c>
      <c r="G936" s="16">
        <f t="shared" ref="G936:G938" si="134">YEAR(F936)</f>
        <v>2025</v>
      </c>
      <c r="H936" s="6" t="str">
        <f t="shared" ref="H936:H938" si="135">PROPER(TEXT(F936,"mmmm"))</f>
        <v>Diciembre</v>
      </c>
      <c r="I936" s="6" t="str">
        <f t="shared" ref="I936:I938" si="136">IF(OR(H936="Enero",H936="Febrero",H936="Marzo",H936="Abril",H936="Mayo",H936="Junio"),G936&amp;"-1",IF(OR(H936="Julio",H936="Agosto",H936="Septiembre",H936="Octubre",H936="Noviembre",H936="Diciembre"),G936&amp;"-2"))</f>
        <v>2025-2</v>
      </c>
      <c r="J936" s="5">
        <v>68.7</v>
      </c>
      <c r="K936" s="5">
        <v>81</v>
      </c>
      <c r="L936" s="15">
        <f t="shared" ref="L936:L942" si="137">IFERROR(IF((K936/J936)&gt;1.3,1.3,K936/J936),"")</f>
        <v>1.1790393013100435</v>
      </c>
      <c r="M936" s="15">
        <f t="shared" ref="M936:M942" si="138">IFERROR(K936/J936,"")</f>
        <v>1.1790393013100435</v>
      </c>
      <c r="N936" s="5" t="s">
        <v>478</v>
      </c>
      <c r="O936" s="5" t="s">
        <v>478</v>
      </c>
      <c r="P936" s="5">
        <v>1</v>
      </c>
      <c r="Q936" s="5">
        <v>0</v>
      </c>
      <c r="R936" s="5" t="str">
        <f>A936&amp;"-"&amp;YEAR(F936)&amp;"-"&amp;IF(LEN(MONTH(F936))=1,"0"&amp;MONTH(F936),MONTH(F936))&amp;"-"&amp;IF(LEN(DAY(F936))=1,"0"&amp;DAY(F936),DAY(F936))</f>
        <v>202-2025-12-31</v>
      </c>
    </row>
    <row r="937" spans="1:18" x14ac:dyDescent="0.3">
      <c r="A937" s="5">
        <v>361</v>
      </c>
      <c r="B937" s="5" t="s">
        <v>802</v>
      </c>
      <c r="C937" s="5" t="s">
        <v>248</v>
      </c>
      <c r="D937" s="13" t="s">
        <v>25</v>
      </c>
      <c r="E937" s="5" t="s">
        <v>9</v>
      </c>
      <c r="F937" s="6">
        <v>46022</v>
      </c>
      <c r="G937" s="16">
        <f t="shared" si="134"/>
        <v>2025</v>
      </c>
      <c r="H937" s="6" t="str">
        <f t="shared" si="135"/>
        <v>Diciembre</v>
      </c>
      <c r="I937" s="6" t="str">
        <f t="shared" si="136"/>
        <v>2025-2</v>
      </c>
      <c r="J937" s="5">
        <v>4.5999999999999996</v>
      </c>
      <c r="K937" s="5">
        <v>4.78</v>
      </c>
      <c r="L937" s="15">
        <f t="shared" si="137"/>
        <v>1.0391304347826089</v>
      </c>
      <c r="M937" s="15">
        <f t="shared" si="138"/>
        <v>1.0391304347826089</v>
      </c>
      <c r="N937" s="5" t="s">
        <v>478</v>
      </c>
      <c r="O937" s="5" t="s">
        <v>478</v>
      </c>
      <c r="P937" s="5">
        <v>1</v>
      </c>
      <c r="Q937" s="5">
        <v>2</v>
      </c>
      <c r="R937" s="5" t="str">
        <f>A937&amp;"-"&amp;YEAR(F937)&amp;"-"&amp;IF(LEN(MONTH(F937))=1,"0"&amp;MONTH(F937),MONTH(F937))&amp;"-"&amp;IF(LEN(DAY(F937))=1,"0"&amp;DAY(F937),DAY(F937))</f>
        <v>361-2025-12-31</v>
      </c>
    </row>
    <row r="938" spans="1:18" x14ac:dyDescent="0.3">
      <c r="A938" s="5">
        <v>487</v>
      </c>
      <c r="B938" s="5" t="s">
        <v>746</v>
      </c>
      <c r="C938" s="5" t="s">
        <v>152</v>
      </c>
      <c r="D938" s="13" t="s">
        <v>25</v>
      </c>
      <c r="E938" s="5" t="s">
        <v>9</v>
      </c>
      <c r="F938" s="6">
        <v>46022</v>
      </c>
      <c r="G938" s="16">
        <f t="shared" si="134"/>
        <v>2025</v>
      </c>
      <c r="H938" s="6" t="str">
        <f t="shared" si="135"/>
        <v>Diciembre</v>
      </c>
      <c r="I938" s="6" t="str">
        <f t="shared" si="136"/>
        <v>2025-2</v>
      </c>
      <c r="J938" s="5"/>
      <c r="K938" s="5">
        <v>158.86000000000001</v>
      </c>
      <c r="L938" s="15" t="str">
        <f t="shared" si="137"/>
        <v/>
      </c>
      <c r="M938" s="15" t="str">
        <f t="shared" si="138"/>
        <v/>
      </c>
      <c r="N938" s="5" t="s">
        <v>347</v>
      </c>
      <c r="O938" s="5" t="s">
        <v>347</v>
      </c>
      <c r="P938" s="5">
        <v>0</v>
      </c>
      <c r="Q938" s="5">
        <v>0</v>
      </c>
      <c r="R938" s="5" t="str">
        <f>A938&amp;"-"&amp;YEAR(F938)&amp;"-"&amp;IF(LEN(MONTH(F938))=1,"0"&amp;MONTH(F938),MONTH(F938))&amp;"-"&amp;IF(LEN(DAY(F938))=1,"0"&amp;DAY(F938),DAY(F938))</f>
        <v>487-2025-12-31</v>
      </c>
    </row>
    <row r="939" spans="1:18" x14ac:dyDescent="0.3">
      <c r="A939" s="5">
        <v>1</v>
      </c>
      <c r="B939" s="5" t="s">
        <v>330</v>
      </c>
      <c r="C939" s="5" t="s">
        <v>129</v>
      </c>
      <c r="D939" s="5" t="s">
        <v>18</v>
      </c>
      <c r="E939" s="5" t="s">
        <v>9</v>
      </c>
      <c r="F939" s="6">
        <v>46023</v>
      </c>
      <c r="G939" s="16" t="s">
        <v>799</v>
      </c>
      <c r="H939" s="6" t="s">
        <v>799</v>
      </c>
      <c r="I939" s="6" t="s">
        <v>799</v>
      </c>
      <c r="J939" s="13">
        <v>100</v>
      </c>
      <c r="K939" s="13">
        <v>100</v>
      </c>
      <c r="L939" s="15">
        <f t="shared" si="137"/>
        <v>1</v>
      </c>
      <c r="M939" s="15">
        <f t="shared" si="138"/>
        <v>1</v>
      </c>
      <c r="N939" s="5" t="s">
        <v>347</v>
      </c>
      <c r="O939" s="5" t="s">
        <v>347</v>
      </c>
      <c r="P939" s="5">
        <v>0</v>
      </c>
      <c r="Q939" s="5">
        <v>0</v>
      </c>
      <c r="R939" s="5" t="str">
        <f>A939&amp;"-"&amp;YEAR(F939)&amp;"-"&amp;IF(LEN(MONTH(F939))=1,"0"&amp;MONTH(F939),MONTH(F939))&amp;"-"&amp;IF(LEN(DAY(F939))=1,"0"&amp;DAY(F939),DAY(F939))</f>
        <v>1-2026-01-01</v>
      </c>
    </row>
    <row r="940" spans="1:18" x14ac:dyDescent="0.3">
      <c r="A940" s="5">
        <v>2</v>
      </c>
      <c r="B940" s="5" t="s">
        <v>331</v>
      </c>
      <c r="C940" s="5" t="s">
        <v>117</v>
      </c>
      <c r="D940" s="5" t="s">
        <v>18</v>
      </c>
      <c r="E940" s="5" t="s">
        <v>9</v>
      </c>
      <c r="F940" s="6">
        <v>46023</v>
      </c>
      <c r="G940" s="16" t="s">
        <v>799</v>
      </c>
      <c r="H940" s="6" t="s">
        <v>799</v>
      </c>
      <c r="I940" s="6" t="s">
        <v>799</v>
      </c>
      <c r="J940" s="5">
        <v>100</v>
      </c>
      <c r="K940" s="5">
        <v>100</v>
      </c>
      <c r="L940" s="15">
        <f t="shared" si="137"/>
        <v>1</v>
      </c>
      <c r="M940" s="15">
        <f t="shared" si="138"/>
        <v>1</v>
      </c>
      <c r="N940" s="5" t="s">
        <v>347</v>
      </c>
      <c r="O940" s="5" t="s">
        <v>347</v>
      </c>
      <c r="P940" s="5">
        <v>0</v>
      </c>
      <c r="Q940" s="5">
        <v>0</v>
      </c>
      <c r="R940" s="5" t="str">
        <f>A940&amp;"-"&amp;YEAR(F940)&amp;"-"&amp;IF(LEN(MONTH(F940))=1,"0"&amp;MONTH(F940),MONTH(F940))&amp;"-"&amp;IF(LEN(DAY(F940))=1,"0"&amp;DAY(F940),DAY(F940))</f>
        <v>2-2026-01-01</v>
      </c>
    </row>
    <row r="941" spans="1:18" x14ac:dyDescent="0.3">
      <c r="A941" s="5">
        <v>3</v>
      </c>
      <c r="B941" s="5" t="s">
        <v>332</v>
      </c>
      <c r="C941" s="5" t="s">
        <v>45</v>
      </c>
      <c r="D941" s="5" t="s">
        <v>18</v>
      </c>
      <c r="E941" s="5" t="s">
        <v>9</v>
      </c>
      <c r="F941" s="6">
        <v>46023</v>
      </c>
      <c r="G941" s="16" t="s">
        <v>799</v>
      </c>
      <c r="H941" s="6" t="s">
        <v>799</v>
      </c>
      <c r="I941" s="6" t="s">
        <v>799</v>
      </c>
      <c r="J941" s="13">
        <v>100</v>
      </c>
      <c r="K941" s="13">
        <v>100</v>
      </c>
      <c r="L941" s="15">
        <f t="shared" si="137"/>
        <v>1</v>
      </c>
      <c r="M941" s="15">
        <f t="shared" si="138"/>
        <v>1</v>
      </c>
      <c r="N941" s="5" t="s">
        <v>347</v>
      </c>
      <c r="O941" s="5" t="s">
        <v>347</v>
      </c>
      <c r="P941" s="5">
        <v>0</v>
      </c>
      <c r="Q941" s="5">
        <v>0</v>
      </c>
      <c r="R941" s="5" t="str">
        <f>A941&amp;"-"&amp;YEAR(F941)&amp;"-"&amp;IF(LEN(MONTH(F941))=1,"0"&amp;MONTH(F941),MONTH(F941))&amp;"-"&amp;IF(LEN(DAY(F941))=1,"0"&amp;DAY(F941),DAY(F941))</f>
        <v>3-2026-01-01</v>
      </c>
    </row>
    <row r="942" spans="1:18" x14ac:dyDescent="0.3">
      <c r="A942" s="5">
        <v>4</v>
      </c>
      <c r="B942" s="5" t="s">
        <v>333</v>
      </c>
      <c r="C942" s="5" t="s">
        <v>342</v>
      </c>
      <c r="D942" s="5" t="s">
        <v>18</v>
      </c>
      <c r="E942" s="5" t="s">
        <v>9</v>
      </c>
      <c r="F942" s="6">
        <v>46023</v>
      </c>
      <c r="G942" s="16" t="s">
        <v>799</v>
      </c>
      <c r="H942" s="6" t="s">
        <v>799</v>
      </c>
      <c r="I942" s="6" t="s">
        <v>799</v>
      </c>
      <c r="J942" s="13">
        <v>100</v>
      </c>
      <c r="K942" s="13">
        <v>100</v>
      </c>
      <c r="L942" s="15">
        <f t="shared" si="137"/>
        <v>1</v>
      </c>
      <c r="M942" s="15">
        <f t="shared" si="138"/>
        <v>1</v>
      </c>
      <c r="N942" s="5" t="s">
        <v>347</v>
      </c>
      <c r="O942" s="5" t="s">
        <v>347</v>
      </c>
      <c r="P942" s="5">
        <v>0</v>
      </c>
      <c r="Q942" s="5">
        <v>0</v>
      </c>
      <c r="R942" s="5" t="str">
        <f>A942&amp;"-"&amp;YEAR(F942)&amp;"-"&amp;IF(LEN(MONTH(F942))=1,"0"&amp;MONTH(F942),MONTH(F942))&amp;"-"&amp;IF(LEN(DAY(F942))=1,"0"&amp;DAY(F942),DAY(F942))</f>
        <v>4-2026-01-01</v>
      </c>
    </row>
    <row r="943" spans="1:18" x14ac:dyDescent="0.3">
      <c r="A943" s="5">
        <v>5</v>
      </c>
      <c r="B943" s="5" t="s">
        <v>334</v>
      </c>
      <c r="C943" s="5" t="s">
        <v>248</v>
      </c>
      <c r="D943" s="5" t="s">
        <v>18</v>
      </c>
      <c r="E943" s="5" t="s">
        <v>9</v>
      </c>
      <c r="F943" s="6">
        <v>46023</v>
      </c>
      <c r="G943" s="16" t="s">
        <v>799</v>
      </c>
      <c r="H943" s="6" t="s">
        <v>799</v>
      </c>
      <c r="I943" s="6" t="s">
        <v>799</v>
      </c>
      <c r="J943" s="13">
        <v>100</v>
      </c>
      <c r="K943" s="13">
        <v>100</v>
      </c>
      <c r="L943" s="15">
        <f>IFERROR(IF((K943/J943)&gt;1,1,K943/J943),"")</f>
        <v>1</v>
      </c>
      <c r="M943" s="15">
        <f>IFERROR(IF((K943/J943)&gt;1,1,K943/J943),"")</f>
        <v>1</v>
      </c>
      <c r="N943" s="5" t="s">
        <v>347</v>
      </c>
      <c r="O943" s="5" t="s">
        <v>347</v>
      </c>
      <c r="P943" s="5">
        <v>0</v>
      </c>
      <c r="Q943" s="5">
        <v>0</v>
      </c>
      <c r="R943" s="5" t="str">
        <f>A943&amp;"-"&amp;YEAR(F943)&amp;"-"&amp;IF(LEN(MONTH(F943))=1,"0"&amp;MONTH(F943),MONTH(F943))&amp;"-"&amp;IF(LEN(DAY(F943))=1,"0"&amp;DAY(F943),DAY(F943))</f>
        <v>5-2026-01-01</v>
      </c>
    </row>
    <row r="944" spans="1:18" x14ac:dyDescent="0.3">
      <c r="A944" s="5">
        <v>6</v>
      </c>
      <c r="B944" s="5" t="s">
        <v>335</v>
      </c>
      <c r="C944" s="5" t="s">
        <v>343</v>
      </c>
      <c r="D944" s="5" t="s">
        <v>18</v>
      </c>
      <c r="E944" s="5" t="s">
        <v>9</v>
      </c>
      <c r="F944" s="6">
        <v>46023</v>
      </c>
      <c r="G944" s="16" t="s">
        <v>799</v>
      </c>
      <c r="H944" s="6" t="s">
        <v>799</v>
      </c>
      <c r="I944" s="6" t="s">
        <v>799</v>
      </c>
      <c r="J944" s="13">
        <v>100</v>
      </c>
      <c r="K944" s="13">
        <v>100</v>
      </c>
      <c r="L944" s="15">
        <f t="shared" ref="L944:L971" si="139">IFERROR(IF((K944/J944)&gt;1.3,1.3,K944/J944),"")</f>
        <v>1</v>
      </c>
      <c r="M944" s="15">
        <f t="shared" ref="M944:M971" si="140">IFERROR(K944/J944,"")</f>
        <v>1</v>
      </c>
      <c r="N944" s="5" t="s">
        <v>347</v>
      </c>
      <c r="O944" s="5" t="s">
        <v>347</v>
      </c>
      <c r="P944" s="5">
        <v>0</v>
      </c>
      <c r="Q944" s="5">
        <v>0</v>
      </c>
      <c r="R944" s="5" t="str">
        <f>A944&amp;"-"&amp;YEAR(F944)&amp;"-"&amp;IF(LEN(MONTH(F944))=1,"0"&amp;MONTH(F944),MONTH(F944))&amp;"-"&amp;IF(LEN(DAY(F944))=1,"0"&amp;DAY(F944),DAY(F944))</f>
        <v>6-2026-01-01</v>
      </c>
    </row>
    <row r="945" spans="1:18" x14ac:dyDescent="0.3">
      <c r="A945" s="5">
        <v>7</v>
      </c>
      <c r="B945" s="5" t="s">
        <v>336</v>
      </c>
      <c r="C945" s="5" t="s">
        <v>343</v>
      </c>
      <c r="D945" s="5" t="s">
        <v>18</v>
      </c>
      <c r="E945" s="5" t="s">
        <v>9</v>
      </c>
      <c r="F945" s="6">
        <v>46023</v>
      </c>
      <c r="G945" s="16" t="s">
        <v>799</v>
      </c>
      <c r="H945" s="6" t="s">
        <v>799</v>
      </c>
      <c r="I945" s="6" t="s">
        <v>799</v>
      </c>
      <c r="J945" s="13">
        <v>100</v>
      </c>
      <c r="K945" s="13">
        <v>100</v>
      </c>
      <c r="L945" s="15">
        <f t="shared" si="139"/>
        <v>1</v>
      </c>
      <c r="M945" s="15">
        <f t="shared" si="140"/>
        <v>1</v>
      </c>
      <c r="N945" s="5" t="s">
        <v>347</v>
      </c>
      <c r="O945" s="5" t="s">
        <v>347</v>
      </c>
      <c r="P945" s="5">
        <v>0</v>
      </c>
      <c r="Q945" s="5">
        <v>0</v>
      </c>
      <c r="R945" s="5" t="str">
        <f>A945&amp;"-"&amp;YEAR(F945)&amp;"-"&amp;IF(LEN(MONTH(F945))=1,"0"&amp;MONTH(F945),MONTH(F945))&amp;"-"&amp;IF(LEN(DAY(F945))=1,"0"&amp;DAY(F945),DAY(F945))</f>
        <v>7-2026-01-01</v>
      </c>
    </row>
    <row r="946" spans="1:18" x14ac:dyDescent="0.3">
      <c r="A946" s="5">
        <v>9</v>
      </c>
      <c r="B946" s="5" t="s">
        <v>829</v>
      </c>
      <c r="C946" s="5" t="s">
        <v>343</v>
      </c>
      <c r="D946" s="5" t="s">
        <v>18</v>
      </c>
      <c r="E946" s="5" t="s">
        <v>9</v>
      </c>
      <c r="F946" s="6">
        <v>46023</v>
      </c>
      <c r="G946" s="16" t="s">
        <v>799</v>
      </c>
      <c r="H946" s="6" t="s">
        <v>799</v>
      </c>
      <c r="I946" s="6" t="s">
        <v>799</v>
      </c>
      <c r="J946" s="13">
        <v>100</v>
      </c>
      <c r="K946" s="13">
        <v>100</v>
      </c>
      <c r="L946" s="15">
        <f t="shared" si="139"/>
        <v>1</v>
      </c>
      <c r="M946" s="15">
        <f t="shared" si="140"/>
        <v>1</v>
      </c>
      <c r="N946" s="5" t="s">
        <v>347</v>
      </c>
      <c r="O946" s="5" t="s">
        <v>347</v>
      </c>
      <c r="P946" s="5">
        <v>0</v>
      </c>
      <c r="Q946" s="5">
        <v>0</v>
      </c>
      <c r="R946" s="5" t="str">
        <f>A946&amp;"-"&amp;YEAR(F946)&amp;"-"&amp;IF(LEN(MONTH(F946))=1,"0"&amp;MONTH(F946),MONTH(F946))&amp;"-"&amp;IF(LEN(DAY(F946))=1,"0"&amp;DAY(F946),DAY(F946))</f>
        <v>9-2026-01-01</v>
      </c>
    </row>
    <row r="947" spans="1:18" x14ac:dyDescent="0.3">
      <c r="A947" s="5">
        <v>10</v>
      </c>
      <c r="B947" s="5" t="s">
        <v>339</v>
      </c>
      <c r="C947" s="5" t="s">
        <v>209</v>
      </c>
      <c r="D947" s="5" t="s">
        <v>18</v>
      </c>
      <c r="E947" s="5" t="s">
        <v>9</v>
      </c>
      <c r="F947" s="6">
        <v>46023</v>
      </c>
      <c r="G947" s="16" t="s">
        <v>799</v>
      </c>
      <c r="H947" s="6" t="s">
        <v>799</v>
      </c>
      <c r="I947" s="6" t="s">
        <v>799</v>
      </c>
      <c r="J947" s="13">
        <v>100</v>
      </c>
      <c r="K947" s="13">
        <v>100</v>
      </c>
      <c r="L947" s="15">
        <f t="shared" si="139"/>
        <v>1</v>
      </c>
      <c r="M947" s="15">
        <f t="shared" si="140"/>
        <v>1</v>
      </c>
      <c r="N947" s="5" t="s">
        <v>347</v>
      </c>
      <c r="O947" s="5" t="s">
        <v>347</v>
      </c>
      <c r="P947" s="5">
        <v>0</v>
      </c>
      <c r="Q947" s="5">
        <v>0</v>
      </c>
      <c r="R947" s="5" t="str">
        <f>A947&amp;"-"&amp;YEAR(F947)&amp;"-"&amp;IF(LEN(MONTH(F947))=1,"0"&amp;MONTH(F947),MONTH(F947))&amp;"-"&amp;IF(LEN(DAY(F947))=1,"0"&amp;DAY(F947),DAY(F947))</f>
        <v>10-2026-01-01</v>
      </c>
    </row>
    <row r="948" spans="1:18" x14ac:dyDescent="0.3">
      <c r="A948" s="5">
        <v>11</v>
      </c>
      <c r="B948" s="23" t="s">
        <v>838</v>
      </c>
      <c r="C948" s="5" t="s">
        <v>145</v>
      </c>
      <c r="D948" s="5" t="s">
        <v>18</v>
      </c>
      <c r="E948" s="5" t="s">
        <v>9</v>
      </c>
      <c r="F948" s="6">
        <v>46023</v>
      </c>
      <c r="G948" s="16" t="s">
        <v>799</v>
      </c>
      <c r="H948" s="6" t="s">
        <v>799</v>
      </c>
      <c r="I948" s="6" t="s">
        <v>799</v>
      </c>
      <c r="J948" s="13"/>
      <c r="K948" s="13"/>
      <c r="L948" s="15" t="str">
        <f t="shared" si="139"/>
        <v/>
      </c>
      <c r="M948" s="15" t="str">
        <f t="shared" si="140"/>
        <v/>
      </c>
      <c r="N948" s="5" t="s">
        <v>347</v>
      </c>
      <c r="O948" s="5" t="s">
        <v>347</v>
      </c>
      <c r="P948" s="5">
        <v>0</v>
      </c>
      <c r="Q948" s="5">
        <v>0</v>
      </c>
      <c r="R948" s="5" t="str">
        <f>A948&amp;"-"&amp;YEAR(F948)&amp;"-"&amp;IF(LEN(MONTH(F948))=1,"0"&amp;MONTH(F948),MONTH(F948))&amp;"-"&amp;IF(LEN(DAY(F948))=1,"0"&amp;DAY(F948),DAY(F948))</f>
        <v>11-2026-01-01</v>
      </c>
    </row>
    <row r="949" spans="1:18" x14ac:dyDescent="0.3">
      <c r="A949" s="5">
        <v>12</v>
      </c>
      <c r="B949" s="23" t="s">
        <v>837</v>
      </c>
      <c r="C949" s="5" t="s">
        <v>145</v>
      </c>
      <c r="D949" s="5" t="s">
        <v>18</v>
      </c>
      <c r="E949" s="5" t="s">
        <v>9</v>
      </c>
      <c r="F949" s="6">
        <v>46023</v>
      </c>
      <c r="G949" s="16" t="s">
        <v>799</v>
      </c>
      <c r="H949" s="6" t="s">
        <v>799</v>
      </c>
      <c r="I949" s="6" t="s">
        <v>799</v>
      </c>
      <c r="J949" s="13"/>
      <c r="K949" s="13"/>
      <c r="L949" s="15" t="str">
        <f t="shared" si="139"/>
        <v/>
      </c>
      <c r="M949" s="15" t="str">
        <f t="shared" si="140"/>
        <v/>
      </c>
      <c r="N949" s="5" t="s">
        <v>347</v>
      </c>
      <c r="O949" s="5" t="s">
        <v>347</v>
      </c>
      <c r="P949" s="5">
        <v>0</v>
      </c>
      <c r="Q949" s="5">
        <v>0</v>
      </c>
      <c r="R949" s="5" t="str">
        <f>A949&amp;"-"&amp;YEAR(F949)&amp;"-"&amp;IF(LEN(MONTH(F949))=1,"0"&amp;MONTH(F949),MONTH(F949))&amp;"-"&amp;IF(LEN(DAY(F949))=1,"0"&amp;DAY(F949),DAY(F949))</f>
        <v>12-2026-01-01</v>
      </c>
    </row>
    <row r="950" spans="1:18" x14ac:dyDescent="0.3">
      <c r="A950" s="5">
        <v>13</v>
      </c>
      <c r="B950" s="5" t="s">
        <v>340</v>
      </c>
      <c r="C950" s="5" t="s">
        <v>344</v>
      </c>
      <c r="D950" s="5" t="s">
        <v>18</v>
      </c>
      <c r="E950" s="5" t="s">
        <v>9</v>
      </c>
      <c r="F950" s="6">
        <v>46023</v>
      </c>
      <c r="G950" s="16" t="s">
        <v>799</v>
      </c>
      <c r="H950" s="6" t="s">
        <v>799</v>
      </c>
      <c r="I950" s="6" t="s">
        <v>799</v>
      </c>
      <c r="J950" s="5">
        <v>100</v>
      </c>
      <c r="K950" s="5">
        <v>100</v>
      </c>
      <c r="L950" s="15">
        <f t="shared" si="139"/>
        <v>1</v>
      </c>
      <c r="M950" s="15">
        <f t="shared" si="140"/>
        <v>1</v>
      </c>
      <c r="N950" s="5" t="s">
        <v>347</v>
      </c>
      <c r="O950" s="5" t="s">
        <v>347</v>
      </c>
      <c r="P950" s="5">
        <v>0</v>
      </c>
      <c r="Q950" s="5">
        <v>0</v>
      </c>
      <c r="R950" s="5" t="str">
        <f>A950&amp;"-"&amp;YEAR(F950)&amp;"-"&amp;IF(LEN(MONTH(F950))=1,"0"&amp;MONTH(F950),MONTH(F950))&amp;"-"&amp;IF(LEN(DAY(F950))=1,"0"&amp;DAY(F950),DAY(F950))</f>
        <v>13-2026-01-01</v>
      </c>
    </row>
    <row r="951" spans="1:18" x14ac:dyDescent="0.3">
      <c r="A951" s="5">
        <v>14</v>
      </c>
      <c r="B951" s="5" t="s">
        <v>341</v>
      </c>
      <c r="C951" s="5" t="s">
        <v>124</v>
      </c>
      <c r="D951" s="5" t="s">
        <v>8</v>
      </c>
      <c r="E951" s="5" t="s">
        <v>9</v>
      </c>
      <c r="F951" s="6">
        <v>46023</v>
      </c>
      <c r="G951" s="16" t="s">
        <v>799</v>
      </c>
      <c r="H951" s="6" t="s">
        <v>799</v>
      </c>
      <c r="I951" s="6" t="s">
        <v>799</v>
      </c>
      <c r="J951" s="5">
        <v>55756</v>
      </c>
      <c r="K951" s="34">
        <v>56807</v>
      </c>
      <c r="L951" s="15">
        <f t="shared" si="139"/>
        <v>1.0188499892388263</v>
      </c>
      <c r="M951" s="15">
        <f t="shared" si="140"/>
        <v>1.0188499892388263</v>
      </c>
      <c r="N951" s="5" t="s">
        <v>490</v>
      </c>
      <c r="O951" s="5" t="s">
        <v>490</v>
      </c>
      <c r="P951" s="5">
        <v>0</v>
      </c>
      <c r="Q951" s="5">
        <v>0</v>
      </c>
      <c r="R951" s="5" t="str">
        <f>A951&amp;"-"&amp;YEAR(F951)&amp;"-"&amp;IF(LEN(MONTH(F951))=1,"0"&amp;MONTH(F951),MONTH(F951))&amp;"-"&amp;IF(LEN(DAY(F951))=1,"0"&amp;DAY(F951),DAY(F951))</f>
        <v>14-2026-01-01</v>
      </c>
    </row>
    <row r="952" spans="1:18" x14ac:dyDescent="0.3">
      <c r="A952" s="5">
        <v>77</v>
      </c>
      <c r="B952" s="5" t="s">
        <v>16</v>
      </c>
      <c r="C952" s="5" t="s">
        <v>17</v>
      </c>
      <c r="D952" s="5" t="s">
        <v>18</v>
      </c>
      <c r="E952" s="5" t="s">
        <v>9</v>
      </c>
      <c r="F952" s="6">
        <v>46023</v>
      </c>
      <c r="G952" s="16" t="s">
        <v>799</v>
      </c>
      <c r="H952" s="16" t="s">
        <v>799</v>
      </c>
      <c r="I952" s="16" t="s">
        <v>799</v>
      </c>
      <c r="J952" s="5">
        <v>97</v>
      </c>
      <c r="K952" s="5">
        <v>97.66</v>
      </c>
      <c r="L952" s="15">
        <f t="shared" si="139"/>
        <v>1.0068041237113401</v>
      </c>
      <c r="M952" s="15">
        <f t="shared" si="140"/>
        <v>1.0068041237113401</v>
      </c>
      <c r="N952" s="5" t="s">
        <v>347</v>
      </c>
      <c r="O952" s="5" t="s">
        <v>347</v>
      </c>
      <c r="P952" s="5">
        <v>0</v>
      </c>
      <c r="Q952" s="5">
        <v>1</v>
      </c>
      <c r="R952" s="5" t="str">
        <f>A952&amp;"-"&amp;YEAR(F952)&amp;"-"&amp;IF(LEN(MONTH(F952))=1,"0"&amp;MONTH(F952),MONTH(F952))&amp;"-"&amp;IF(LEN(DAY(F952))=1,"0"&amp;DAY(F952),DAY(F952))</f>
        <v>77-2026-01-01</v>
      </c>
    </row>
    <row r="953" spans="1:18" x14ac:dyDescent="0.3">
      <c r="A953" s="5">
        <v>96</v>
      </c>
      <c r="B953" s="23" t="s">
        <v>346</v>
      </c>
      <c r="C953" s="5" t="s">
        <v>59</v>
      </c>
      <c r="D953" s="5" t="s">
        <v>8</v>
      </c>
      <c r="E953" s="5" t="s">
        <v>9</v>
      </c>
      <c r="F953" s="6">
        <v>46023</v>
      </c>
      <c r="G953" s="16" t="s">
        <v>799</v>
      </c>
      <c r="H953" s="6" t="s">
        <v>799</v>
      </c>
      <c r="I953" s="6" t="s">
        <v>799</v>
      </c>
      <c r="J953" s="5">
        <v>2531</v>
      </c>
      <c r="K953" s="5">
        <v>2383</v>
      </c>
      <c r="L953" s="15">
        <f t="shared" si="139"/>
        <v>0.94152508889766895</v>
      </c>
      <c r="M953" s="15">
        <f t="shared" si="140"/>
        <v>0.94152508889766895</v>
      </c>
      <c r="N953" s="5" t="s">
        <v>490</v>
      </c>
      <c r="O953" s="5" t="s">
        <v>490</v>
      </c>
      <c r="P953" s="5">
        <v>0</v>
      </c>
      <c r="Q953" s="5">
        <v>0</v>
      </c>
      <c r="R953" s="5" t="str">
        <f>A953&amp;"-"&amp;YEAR(F953)&amp;"-"&amp;IF(LEN(MONTH(F953))=1,"0"&amp;MONTH(F953),MONTH(F953))&amp;"-"&amp;IF(LEN(DAY(F953))=1,"0"&amp;DAY(F953),DAY(F953))</f>
        <v>96-2026-01-01</v>
      </c>
    </row>
    <row r="954" spans="1:18" x14ac:dyDescent="0.3">
      <c r="A954" s="5">
        <v>97</v>
      </c>
      <c r="B954" s="5" t="s">
        <v>430</v>
      </c>
      <c r="C954" s="5" t="s">
        <v>315</v>
      </c>
      <c r="D954" s="5" t="s">
        <v>8</v>
      </c>
      <c r="E954" s="5" t="s">
        <v>9</v>
      </c>
      <c r="F954" s="6">
        <v>46023</v>
      </c>
      <c r="G954" s="16" t="s">
        <v>799</v>
      </c>
      <c r="H954" s="16" t="s">
        <v>799</v>
      </c>
      <c r="I954" s="16" t="s">
        <v>799</v>
      </c>
      <c r="J954" s="5">
        <v>3</v>
      </c>
      <c r="K954" s="5">
        <v>3</v>
      </c>
      <c r="L954" s="15">
        <f t="shared" si="139"/>
        <v>1</v>
      </c>
      <c r="M954" s="15">
        <f t="shared" si="140"/>
        <v>1</v>
      </c>
      <c r="N954" s="5" t="s">
        <v>490</v>
      </c>
      <c r="O954" s="5" t="s">
        <v>490</v>
      </c>
      <c r="P954" s="5">
        <v>0</v>
      </c>
      <c r="Q954" s="5">
        <v>0</v>
      </c>
      <c r="R954" s="5" t="str">
        <f>A954&amp;"-"&amp;YEAR(F954)&amp;"-"&amp;IF(LEN(MONTH(F954))=1,"0"&amp;MONTH(F954),MONTH(F954))&amp;"-"&amp;IF(LEN(DAY(F954))=1,"0"&amp;DAY(F954),DAY(F954))</f>
        <v>97-2026-01-01</v>
      </c>
    </row>
    <row r="955" spans="1:18" x14ac:dyDescent="0.3">
      <c r="A955" s="5">
        <v>98</v>
      </c>
      <c r="B955" s="5" t="s">
        <v>432</v>
      </c>
      <c r="C955" s="5" t="s">
        <v>315</v>
      </c>
      <c r="D955" s="5" t="s">
        <v>8</v>
      </c>
      <c r="E955" s="5" t="s">
        <v>9</v>
      </c>
      <c r="F955" s="6">
        <v>46023</v>
      </c>
      <c r="G955" s="16" t="s">
        <v>799</v>
      </c>
      <c r="H955" s="16" t="s">
        <v>799</v>
      </c>
      <c r="I955" s="16" t="s">
        <v>799</v>
      </c>
      <c r="J955" s="5">
        <v>23</v>
      </c>
      <c r="K955" s="5">
        <v>23</v>
      </c>
      <c r="L955" s="15">
        <f t="shared" si="139"/>
        <v>1</v>
      </c>
      <c r="M955" s="15">
        <f t="shared" si="140"/>
        <v>1</v>
      </c>
      <c r="N955" s="5" t="s">
        <v>490</v>
      </c>
      <c r="O955" s="5" t="s">
        <v>490</v>
      </c>
      <c r="P955" s="5">
        <v>0</v>
      </c>
      <c r="Q955" s="5">
        <v>0</v>
      </c>
      <c r="R955" s="5" t="str">
        <f>A955&amp;"-"&amp;YEAR(F955)&amp;"-"&amp;IF(LEN(MONTH(F955))=1,"0"&amp;MONTH(F955),MONTH(F955))&amp;"-"&amp;IF(LEN(DAY(F955))=1,"0"&amp;DAY(F955),DAY(F955))</f>
        <v>98-2026-01-01</v>
      </c>
    </row>
    <row r="956" spans="1:18" x14ac:dyDescent="0.3">
      <c r="A956" s="5">
        <v>109</v>
      </c>
      <c r="B956" s="5" t="s">
        <v>840</v>
      </c>
      <c r="C956" s="5" t="s">
        <v>320</v>
      </c>
      <c r="D956" s="5" t="s">
        <v>25</v>
      </c>
      <c r="E956" s="5" t="s">
        <v>9</v>
      </c>
      <c r="F956" s="6">
        <v>46023</v>
      </c>
      <c r="G956" s="16" t="s">
        <v>799</v>
      </c>
      <c r="H956" s="16" t="s">
        <v>799</v>
      </c>
      <c r="I956" s="16" t="s">
        <v>799</v>
      </c>
      <c r="J956" s="5">
        <v>80</v>
      </c>
      <c r="K956" s="5">
        <v>85</v>
      </c>
      <c r="L956" s="15">
        <f t="shared" si="139"/>
        <v>1.0625</v>
      </c>
      <c r="M956" s="15">
        <f t="shared" si="140"/>
        <v>1.0625</v>
      </c>
      <c r="N956" s="5" t="s">
        <v>347</v>
      </c>
      <c r="O956" s="5" t="s">
        <v>347</v>
      </c>
      <c r="P956" s="5">
        <v>0</v>
      </c>
      <c r="Q956" s="5">
        <v>0</v>
      </c>
      <c r="R956" s="5" t="str">
        <f>A956&amp;"-"&amp;YEAR(F956)&amp;"-"&amp;IF(LEN(MONTH(F956))=1,"0"&amp;MONTH(F956),MONTH(F956))&amp;"-"&amp;IF(LEN(DAY(F956))=1,"0"&amp;DAY(F956),DAY(F956))</f>
        <v>109-2026-01-01</v>
      </c>
    </row>
    <row r="957" spans="1:18" x14ac:dyDescent="0.3">
      <c r="A957" s="5">
        <v>148</v>
      </c>
      <c r="B957" s="5" t="s">
        <v>65</v>
      </c>
      <c r="C957" s="5" t="s">
        <v>62</v>
      </c>
      <c r="D957" s="5" t="s">
        <v>8</v>
      </c>
      <c r="E957" s="5" t="s">
        <v>9</v>
      </c>
      <c r="F957" s="6">
        <v>46023</v>
      </c>
      <c r="G957" s="16" t="s">
        <v>799</v>
      </c>
      <c r="H957" s="16" t="s">
        <v>799</v>
      </c>
      <c r="I957" s="16" t="s">
        <v>799</v>
      </c>
      <c r="J957" s="5">
        <v>5</v>
      </c>
      <c r="K957" s="5">
        <v>6.78</v>
      </c>
      <c r="L957" s="15">
        <f t="shared" si="139"/>
        <v>1.3</v>
      </c>
      <c r="M957" s="15">
        <f t="shared" si="140"/>
        <v>1.3560000000000001</v>
      </c>
      <c r="N957" s="5" t="s">
        <v>347</v>
      </c>
      <c r="O957" s="5" t="s">
        <v>347</v>
      </c>
      <c r="P957" s="5">
        <v>0</v>
      </c>
      <c r="Q957" s="5">
        <v>1</v>
      </c>
      <c r="R957" s="5" t="str">
        <f>A957&amp;"-"&amp;YEAR(F957)&amp;"-"&amp;IF(LEN(MONTH(F957))=1,"0"&amp;MONTH(F957),MONTH(F957))&amp;"-"&amp;IF(LEN(DAY(F957))=1,"0"&amp;DAY(F957),DAY(F957))</f>
        <v>148-2026-01-01</v>
      </c>
    </row>
    <row r="958" spans="1:18" x14ac:dyDescent="0.3">
      <c r="A958" s="5">
        <v>193</v>
      </c>
      <c r="B958" s="102" t="s">
        <v>847</v>
      </c>
      <c r="C958" s="5" t="s">
        <v>74</v>
      </c>
      <c r="D958" s="5" t="s">
        <v>8</v>
      </c>
      <c r="E958" s="5" t="s">
        <v>9</v>
      </c>
      <c r="F958" s="6">
        <v>46023</v>
      </c>
      <c r="G958" s="16" t="s">
        <v>799</v>
      </c>
      <c r="H958" s="16" t="s">
        <v>799</v>
      </c>
      <c r="I958" s="16" t="s">
        <v>799</v>
      </c>
      <c r="J958" s="5">
        <v>94</v>
      </c>
      <c r="K958" s="5">
        <v>95</v>
      </c>
      <c r="L958" s="15">
        <f t="shared" si="139"/>
        <v>1.0106382978723405</v>
      </c>
      <c r="M958" s="15">
        <f t="shared" si="140"/>
        <v>1.0106382978723405</v>
      </c>
      <c r="N958" s="5" t="s">
        <v>347</v>
      </c>
      <c r="O958" s="5" t="s">
        <v>347</v>
      </c>
      <c r="P958" s="5">
        <v>1</v>
      </c>
      <c r="Q958" s="5">
        <v>1</v>
      </c>
      <c r="R958" s="5" t="str">
        <f>A958&amp;"-"&amp;YEAR(F958)&amp;"-"&amp;IF(LEN(MONTH(F958))=1,"0"&amp;MONTH(F958),MONTH(F958))&amp;"-"&amp;IF(LEN(DAY(F958))=1,"0"&amp;DAY(F958),DAY(F958))</f>
        <v>193-2026-01-01</v>
      </c>
    </row>
    <row r="959" spans="1:18" x14ac:dyDescent="0.3">
      <c r="A959" s="5">
        <v>194</v>
      </c>
      <c r="B959" s="5" t="s">
        <v>75</v>
      </c>
      <c r="C959" s="5" t="s">
        <v>74</v>
      </c>
      <c r="D959" s="5" t="s">
        <v>8</v>
      </c>
      <c r="E959" s="5" t="s">
        <v>9</v>
      </c>
      <c r="F959" s="6">
        <v>46023</v>
      </c>
      <c r="G959" s="16" t="s">
        <v>799</v>
      </c>
      <c r="H959" s="16" t="s">
        <v>799</v>
      </c>
      <c r="I959" s="16" t="s">
        <v>799</v>
      </c>
      <c r="J959" s="5">
        <v>85</v>
      </c>
      <c r="K959" s="5">
        <v>89.9</v>
      </c>
      <c r="L959" s="15">
        <f t="shared" si="139"/>
        <v>1.0576470588235294</v>
      </c>
      <c r="M959" s="15">
        <f t="shared" si="140"/>
        <v>1.0576470588235294</v>
      </c>
      <c r="N959" s="5" t="s">
        <v>347</v>
      </c>
      <c r="O959" s="5" t="s">
        <v>347</v>
      </c>
      <c r="P959" s="5">
        <v>0</v>
      </c>
      <c r="Q959" s="5">
        <v>0</v>
      </c>
      <c r="R959" s="5" t="str">
        <f>A959&amp;"-"&amp;YEAR(F959)&amp;"-"&amp;IF(LEN(MONTH(F959))=1,"0"&amp;MONTH(F959),MONTH(F959))&amp;"-"&amp;IF(LEN(DAY(F959))=1,"0"&amp;DAY(F959),DAY(F959))</f>
        <v>194-2026-01-01</v>
      </c>
    </row>
    <row r="960" spans="1:18" x14ac:dyDescent="0.3">
      <c r="A960" s="5">
        <v>200</v>
      </c>
      <c r="B960" s="5" t="s">
        <v>80</v>
      </c>
      <c r="C960" s="5" t="s">
        <v>13</v>
      </c>
      <c r="D960" s="5" t="s">
        <v>25</v>
      </c>
      <c r="E960" s="5" t="s">
        <v>9</v>
      </c>
      <c r="F960" s="6">
        <v>46023</v>
      </c>
      <c r="G960" s="16" t="s">
        <v>799</v>
      </c>
      <c r="H960" s="16" t="s">
        <v>799</v>
      </c>
      <c r="I960" s="16" t="s">
        <v>799</v>
      </c>
      <c r="J960" s="5">
        <v>87</v>
      </c>
      <c r="K960" s="5">
        <v>90.85</v>
      </c>
      <c r="L960" s="15">
        <f t="shared" si="139"/>
        <v>1.0442528735632184</v>
      </c>
      <c r="M960" s="15">
        <f t="shared" si="140"/>
        <v>1.0442528735632184</v>
      </c>
      <c r="N960" s="5" t="s">
        <v>347</v>
      </c>
      <c r="O960" s="5" t="s">
        <v>347</v>
      </c>
      <c r="P960" s="5">
        <v>0</v>
      </c>
      <c r="Q960" s="5">
        <v>1</v>
      </c>
      <c r="R960" s="5" t="str">
        <f>A960&amp;"-"&amp;YEAR(F960)&amp;"-"&amp;IF(LEN(MONTH(F960))=1,"0"&amp;MONTH(F960),MONTH(F960))&amp;"-"&amp;IF(LEN(DAY(F960))=1,"0"&amp;DAY(F960),DAY(F960))</f>
        <v>200-2026-01-01</v>
      </c>
    </row>
    <row r="961" spans="1:18" x14ac:dyDescent="0.3">
      <c r="A961" s="5">
        <v>202</v>
      </c>
      <c r="B961" s="5" t="s">
        <v>82</v>
      </c>
      <c r="C961" s="5" t="s">
        <v>13</v>
      </c>
      <c r="D961" s="5" t="s">
        <v>25</v>
      </c>
      <c r="E961" s="5" t="s">
        <v>9</v>
      </c>
      <c r="F961" s="6">
        <v>46023</v>
      </c>
      <c r="G961" s="16" t="s">
        <v>799</v>
      </c>
      <c r="H961" s="16" t="s">
        <v>799</v>
      </c>
      <c r="I961" s="16" t="s">
        <v>799</v>
      </c>
      <c r="J961" s="5">
        <v>68.7</v>
      </c>
      <c r="K961" s="5">
        <v>81</v>
      </c>
      <c r="L961" s="15">
        <f t="shared" si="139"/>
        <v>1.1790393013100435</v>
      </c>
      <c r="M961" s="15">
        <f t="shared" si="140"/>
        <v>1.1790393013100435</v>
      </c>
      <c r="N961" s="5" t="s">
        <v>478</v>
      </c>
      <c r="O961" s="5" t="s">
        <v>478</v>
      </c>
      <c r="P961" s="5">
        <v>1</v>
      </c>
      <c r="Q961" s="5">
        <v>0</v>
      </c>
      <c r="R961" s="5" t="str">
        <f>A961&amp;"-"&amp;YEAR(F961)&amp;"-"&amp;IF(LEN(MONTH(F961))=1,"0"&amp;MONTH(F961),MONTH(F961))&amp;"-"&amp;IF(LEN(DAY(F961))=1,"0"&amp;DAY(F961),DAY(F961))</f>
        <v>202-2026-01-01</v>
      </c>
    </row>
    <row r="962" spans="1:18" x14ac:dyDescent="0.3">
      <c r="A962" s="5">
        <v>203</v>
      </c>
      <c r="B962" s="5" t="s">
        <v>83</v>
      </c>
      <c r="C962" s="5" t="s">
        <v>84</v>
      </c>
      <c r="D962" s="5" t="s">
        <v>8</v>
      </c>
      <c r="E962" s="5" t="s">
        <v>9</v>
      </c>
      <c r="F962" s="6">
        <v>46023</v>
      </c>
      <c r="G962" s="16" t="s">
        <v>799</v>
      </c>
      <c r="H962" s="16" t="s">
        <v>799</v>
      </c>
      <c r="I962" s="16" t="s">
        <v>799</v>
      </c>
      <c r="J962" s="106">
        <f>+J555+J146+J31+J1051</f>
        <v>1088227.5892360001</v>
      </c>
      <c r="K962" s="106">
        <f>+K555+K146+K31+K1051</f>
        <v>1157792.5697010001</v>
      </c>
      <c r="L962" s="15">
        <f t="shared" si="139"/>
        <v>1.0639250292430453</v>
      </c>
      <c r="M962" s="15">
        <f t="shared" si="140"/>
        <v>1.0639250292430453</v>
      </c>
      <c r="N962" s="5" t="s">
        <v>474</v>
      </c>
      <c r="O962" s="5" t="s">
        <v>474</v>
      </c>
      <c r="P962" s="5">
        <v>0</v>
      </c>
      <c r="Q962" s="5">
        <v>0</v>
      </c>
      <c r="R962" s="5" t="str">
        <f>A962&amp;"-"&amp;YEAR(F962)&amp;"-"&amp;IF(LEN(MONTH(F962))=1,"0"&amp;MONTH(F962),MONTH(F962))&amp;"-"&amp;IF(LEN(DAY(F962))=1,"0"&amp;DAY(F962),DAY(F962))</f>
        <v>203-2026-01-01</v>
      </c>
    </row>
    <row r="963" spans="1:18" x14ac:dyDescent="0.3">
      <c r="A963" s="5">
        <v>204</v>
      </c>
      <c r="B963" s="5" t="s">
        <v>85</v>
      </c>
      <c r="C963" s="5" t="s">
        <v>84</v>
      </c>
      <c r="D963" s="5" t="s">
        <v>8</v>
      </c>
      <c r="E963" s="5" t="s">
        <v>9</v>
      </c>
      <c r="F963" s="6">
        <v>46023</v>
      </c>
      <c r="G963" s="16" t="s">
        <v>799</v>
      </c>
      <c r="H963" s="16" t="s">
        <v>799</v>
      </c>
      <c r="I963" s="16" t="s">
        <v>799</v>
      </c>
      <c r="J963" s="5">
        <v>128448.131182</v>
      </c>
      <c r="K963" s="5">
        <f>195548387375/1000000</f>
        <v>195548.38737499999</v>
      </c>
      <c r="L963" s="15">
        <f t="shared" si="139"/>
        <v>1.3</v>
      </c>
      <c r="M963" s="15">
        <f t="shared" si="140"/>
        <v>1.5223918446732765</v>
      </c>
      <c r="N963" s="5" t="s">
        <v>474</v>
      </c>
      <c r="O963" s="5" t="s">
        <v>474</v>
      </c>
      <c r="P963" s="5">
        <v>0</v>
      </c>
      <c r="Q963" s="5">
        <v>0</v>
      </c>
      <c r="R963" s="5" t="str">
        <f>A963&amp;"-"&amp;YEAR(F963)&amp;"-"&amp;IF(LEN(MONTH(F963))=1,"0"&amp;MONTH(F963),MONTH(F963))&amp;"-"&amp;IF(LEN(DAY(F963))=1,"0"&amp;DAY(F963),DAY(F963))</f>
        <v>204-2026-01-01</v>
      </c>
    </row>
    <row r="964" spans="1:18" x14ac:dyDescent="0.3">
      <c r="A964" s="5">
        <v>205</v>
      </c>
      <c r="B964" s="5" t="s">
        <v>86</v>
      </c>
      <c r="C964" s="5" t="s">
        <v>84</v>
      </c>
      <c r="D964" s="5" t="s">
        <v>8</v>
      </c>
      <c r="E964" s="5" t="s">
        <v>9</v>
      </c>
      <c r="F964" s="6">
        <v>46023</v>
      </c>
      <c r="G964" s="16" t="s">
        <v>799</v>
      </c>
      <c r="H964" s="16" t="s">
        <v>799</v>
      </c>
      <c r="I964" s="16" t="s">
        <v>799</v>
      </c>
      <c r="J964" s="11">
        <v>12114.161722000001</v>
      </c>
      <c r="K964" s="11">
        <v>22218.416439000001</v>
      </c>
      <c r="L964" s="15">
        <f t="shared" si="139"/>
        <v>1.3</v>
      </c>
      <c r="M964" s="15">
        <f t="shared" si="140"/>
        <v>1.8340861669900035</v>
      </c>
      <c r="N964" s="5" t="s">
        <v>474</v>
      </c>
      <c r="O964" s="5" t="s">
        <v>474</v>
      </c>
      <c r="P964" s="5">
        <v>0</v>
      </c>
      <c r="Q964" s="5">
        <v>0</v>
      </c>
      <c r="R964" s="5" t="str">
        <f>A964&amp;"-"&amp;YEAR(F964)&amp;"-"&amp;IF(LEN(MONTH(F964))=1,"0"&amp;MONTH(F964),MONTH(F964))&amp;"-"&amp;IF(LEN(DAY(F964))=1,"0"&amp;DAY(F964),DAY(F964))</f>
        <v>205-2026-01-01</v>
      </c>
    </row>
    <row r="965" spans="1:18" x14ac:dyDescent="0.3">
      <c r="A965" s="5">
        <v>206</v>
      </c>
      <c r="B965" s="5" t="s">
        <v>769</v>
      </c>
      <c r="C965" s="5" t="s">
        <v>84</v>
      </c>
      <c r="D965" s="5" t="s">
        <v>8</v>
      </c>
      <c r="E965" s="5" t="s">
        <v>9</v>
      </c>
      <c r="F965" s="6">
        <v>46023</v>
      </c>
      <c r="G965" s="16" t="s">
        <v>799</v>
      </c>
      <c r="H965" s="6" t="s">
        <v>799</v>
      </c>
      <c r="I965" s="6" t="s">
        <v>799</v>
      </c>
      <c r="J965" s="9">
        <v>1</v>
      </c>
      <c r="K965" s="9">
        <v>1.37</v>
      </c>
      <c r="L965" s="15">
        <f t="shared" si="139"/>
        <v>1.3</v>
      </c>
      <c r="M965" s="15">
        <f t="shared" si="140"/>
        <v>1.37</v>
      </c>
      <c r="N965" s="5" t="s">
        <v>347</v>
      </c>
      <c r="O965" s="5" t="s">
        <v>347</v>
      </c>
      <c r="P965" s="5">
        <v>0</v>
      </c>
      <c r="Q965" s="5">
        <v>2</v>
      </c>
      <c r="R965" s="5" t="str">
        <f>A965&amp;"-"&amp;YEAR(F965)&amp;"-"&amp;IF(LEN(MONTH(F965))=1,"0"&amp;MONTH(F965),MONTH(F965))&amp;"-"&amp;IF(LEN(DAY(F965))=1,"0"&amp;DAY(F965),DAY(F965))</f>
        <v>206-2026-01-01</v>
      </c>
    </row>
    <row r="966" spans="1:18" x14ac:dyDescent="0.3">
      <c r="A966" s="5">
        <v>207</v>
      </c>
      <c r="B966" s="5" t="s">
        <v>88</v>
      </c>
      <c r="C966" s="5" t="s">
        <v>84</v>
      </c>
      <c r="D966" s="5" t="s">
        <v>8</v>
      </c>
      <c r="E966" s="5" t="s">
        <v>14</v>
      </c>
      <c r="F966" s="6">
        <v>46023</v>
      </c>
      <c r="G966" s="16" t="s">
        <v>799</v>
      </c>
      <c r="H966" s="16" t="s">
        <v>799</v>
      </c>
      <c r="I966" s="16" t="s">
        <v>799</v>
      </c>
      <c r="J966" s="5">
        <f>277178213544/1000000</f>
        <v>277178.213544</v>
      </c>
      <c r="K966" s="5">
        <f>306600939456/1000000</f>
        <v>306600.93945599999</v>
      </c>
      <c r="L966" s="15">
        <f t="shared" si="139"/>
        <v>1.1061509327728218</v>
      </c>
      <c r="M966" s="15">
        <f t="shared" si="140"/>
        <v>1.1061509327728218</v>
      </c>
      <c r="N966" s="5" t="s">
        <v>474</v>
      </c>
      <c r="O966" s="5" t="s">
        <v>474</v>
      </c>
      <c r="P966" s="5">
        <v>0</v>
      </c>
      <c r="Q966" s="5">
        <v>0</v>
      </c>
      <c r="R966" s="5" t="str">
        <f>A966&amp;"-"&amp;YEAR(F966)&amp;"-"&amp;IF(LEN(MONTH(F966))=1,"0"&amp;MONTH(F966),MONTH(F966))&amp;"-"&amp;IF(LEN(DAY(F966))=1,"0"&amp;DAY(F966),DAY(F966))</f>
        <v>207-2026-01-01</v>
      </c>
    </row>
    <row r="967" spans="1:18" x14ac:dyDescent="0.3">
      <c r="A967" s="5">
        <v>244</v>
      </c>
      <c r="B967" s="5" t="s">
        <v>122</v>
      </c>
      <c r="C967" s="5" t="s">
        <v>90</v>
      </c>
      <c r="D967" s="5" t="s">
        <v>25</v>
      </c>
      <c r="E967" s="5" t="s">
        <v>14</v>
      </c>
      <c r="F967" s="6">
        <v>46023</v>
      </c>
      <c r="G967" s="16" t="s">
        <v>799</v>
      </c>
      <c r="H967" s="16" t="s">
        <v>799</v>
      </c>
      <c r="I967" s="16" t="s">
        <v>799</v>
      </c>
      <c r="J967" s="5">
        <v>25</v>
      </c>
      <c r="K967" s="5">
        <v>13</v>
      </c>
      <c r="L967" s="15">
        <f>IF(J967/K967&gt;1.3,1.3,J967/K967)</f>
        <v>1.3</v>
      </c>
      <c r="M967" s="15">
        <f>J967/K967</f>
        <v>1.9230769230769231</v>
      </c>
      <c r="N967" s="5" t="s">
        <v>490</v>
      </c>
      <c r="O967" s="5" t="s">
        <v>490</v>
      </c>
      <c r="P967" s="5">
        <v>0</v>
      </c>
      <c r="Q967" s="5">
        <v>0</v>
      </c>
      <c r="R967" s="5" t="str">
        <f>A967&amp;"-"&amp;YEAR(F967)&amp;"-"&amp;IF(LEN(MONTH(F967))=1,"0"&amp;MONTH(F967),MONTH(F967))&amp;"-"&amp;IF(LEN(DAY(F967))=1,"0"&amp;DAY(F967),DAY(F967))</f>
        <v>244-2026-01-01</v>
      </c>
    </row>
    <row r="968" spans="1:18" x14ac:dyDescent="0.3">
      <c r="A968" s="5">
        <v>245</v>
      </c>
      <c r="B968" s="5" t="s">
        <v>123</v>
      </c>
      <c r="C968" s="5" t="s">
        <v>124</v>
      </c>
      <c r="D968" s="5" t="s">
        <v>8</v>
      </c>
      <c r="E968" s="5" t="s">
        <v>9</v>
      </c>
      <c r="F968" s="6">
        <v>46023</v>
      </c>
      <c r="G968" s="16" t="s">
        <v>799</v>
      </c>
      <c r="H968" s="16" t="s">
        <v>799</v>
      </c>
      <c r="I968" s="16" t="s">
        <v>799</v>
      </c>
      <c r="J968" s="5">
        <v>86.1</v>
      </c>
      <c r="K968" s="5">
        <v>86.2</v>
      </c>
      <c r="L968" s="15">
        <f t="shared" si="139"/>
        <v>1.0011614401858304</v>
      </c>
      <c r="M968" s="15">
        <f t="shared" si="140"/>
        <v>1.0011614401858304</v>
      </c>
      <c r="N968" s="5" t="s">
        <v>347</v>
      </c>
      <c r="O968" s="5" t="s">
        <v>347</v>
      </c>
      <c r="P968" s="5">
        <v>1</v>
      </c>
      <c r="Q968" s="5">
        <v>1</v>
      </c>
      <c r="R968" s="5" t="str">
        <f>A968&amp;"-"&amp;YEAR(F968)&amp;"-"&amp;IF(LEN(MONTH(F968))=1,"0"&amp;MONTH(F968),MONTH(F968))&amp;"-"&amp;IF(LEN(DAY(F968))=1,"0"&amp;DAY(F968),DAY(F968))</f>
        <v>245-2026-01-01</v>
      </c>
    </row>
    <row r="969" spans="1:18" x14ac:dyDescent="0.3">
      <c r="A969" s="5">
        <v>248</v>
      </c>
      <c r="B969" s="5" t="s">
        <v>128</v>
      </c>
      <c r="C969" s="5" t="s">
        <v>129</v>
      </c>
      <c r="D969" s="5" t="s">
        <v>8</v>
      </c>
      <c r="E969" s="5" t="s">
        <v>9</v>
      </c>
      <c r="F969" s="6">
        <v>46023</v>
      </c>
      <c r="G969" s="16" t="s">
        <v>799</v>
      </c>
      <c r="H969" s="6" t="s">
        <v>799</v>
      </c>
      <c r="I969" s="6" t="s">
        <v>799</v>
      </c>
      <c r="J969" s="5">
        <v>44</v>
      </c>
      <c r="K969" s="5">
        <v>44</v>
      </c>
      <c r="L969" s="15">
        <f t="shared" si="139"/>
        <v>1</v>
      </c>
      <c r="M969" s="15">
        <f t="shared" si="140"/>
        <v>1</v>
      </c>
      <c r="N969" s="5" t="s">
        <v>490</v>
      </c>
      <c r="O969" s="5" t="s">
        <v>490</v>
      </c>
      <c r="P969" s="5">
        <v>0</v>
      </c>
      <c r="Q969" s="5">
        <v>0</v>
      </c>
      <c r="R969" s="5" t="str">
        <f>A969&amp;"-"&amp;YEAR(F969)&amp;"-"&amp;IF(LEN(MONTH(F969))=1,"0"&amp;MONTH(F969),MONTH(F969))&amp;"-"&amp;IF(LEN(DAY(F969))=1,"0"&amp;DAY(F969),DAY(F969))</f>
        <v>248-2026-01-01</v>
      </c>
    </row>
    <row r="970" spans="1:18" x14ac:dyDescent="0.3">
      <c r="A970" s="5">
        <v>249</v>
      </c>
      <c r="B970" s="5" t="s">
        <v>130</v>
      </c>
      <c r="C970" s="5" t="s">
        <v>129</v>
      </c>
      <c r="D970" s="5" t="s">
        <v>8</v>
      </c>
      <c r="E970" s="5" t="s">
        <v>9</v>
      </c>
      <c r="F970" s="6">
        <v>46023</v>
      </c>
      <c r="G970" s="16" t="s">
        <v>799</v>
      </c>
      <c r="H970" s="16" t="s">
        <v>799</v>
      </c>
      <c r="I970" s="16" t="s">
        <v>799</v>
      </c>
      <c r="J970" s="5">
        <v>98</v>
      </c>
      <c r="K970" s="5">
        <v>98</v>
      </c>
      <c r="L970" s="15">
        <f t="shared" si="139"/>
        <v>1</v>
      </c>
      <c r="M970" s="15">
        <f t="shared" si="140"/>
        <v>1</v>
      </c>
      <c r="N970" s="5" t="s">
        <v>490</v>
      </c>
      <c r="O970" s="5" t="s">
        <v>490</v>
      </c>
      <c r="P970" s="5">
        <v>0</v>
      </c>
      <c r="Q970" s="5">
        <v>0</v>
      </c>
      <c r="R970" s="5" t="str">
        <f>A970&amp;"-"&amp;YEAR(F970)&amp;"-"&amp;IF(LEN(MONTH(F970))=1,"0"&amp;MONTH(F970),MONTH(F970))&amp;"-"&amp;IF(LEN(DAY(F970))=1,"0"&amp;DAY(F970),DAY(F970))</f>
        <v>249-2026-01-01</v>
      </c>
    </row>
    <row r="971" spans="1:18" x14ac:dyDescent="0.3">
      <c r="A971" s="5">
        <v>274</v>
      </c>
      <c r="B971" s="5" t="s">
        <v>159</v>
      </c>
      <c r="C971" s="5" t="s">
        <v>142</v>
      </c>
      <c r="D971" s="5" t="s">
        <v>8</v>
      </c>
      <c r="E971" s="5" t="s">
        <v>9</v>
      </c>
      <c r="F971" s="6">
        <v>46023</v>
      </c>
      <c r="G971" s="16" t="s">
        <v>799</v>
      </c>
      <c r="H971" s="6" t="s">
        <v>799</v>
      </c>
      <c r="I971" s="6" t="s">
        <v>799</v>
      </c>
      <c r="J971" s="9">
        <v>44737</v>
      </c>
      <c r="K971" s="9">
        <v>45583</v>
      </c>
      <c r="L971" s="15">
        <f t="shared" si="139"/>
        <v>1.0189105214922771</v>
      </c>
      <c r="M971" s="15">
        <f t="shared" si="140"/>
        <v>1.0189105214922771</v>
      </c>
      <c r="N971" s="5" t="s">
        <v>490</v>
      </c>
      <c r="O971" s="5" t="s">
        <v>490</v>
      </c>
      <c r="P971" s="5">
        <v>0</v>
      </c>
      <c r="Q971" s="5">
        <v>0</v>
      </c>
      <c r="R971" s="5" t="str">
        <f>A971&amp;"-"&amp;YEAR(F971)&amp;"-"&amp;IF(LEN(MONTH(F971))=1,"0"&amp;MONTH(F971),MONTH(F971))&amp;"-"&amp;IF(LEN(DAY(F971))=1,"0"&amp;DAY(F971),DAY(F971))</f>
        <v>274-2026-01-01</v>
      </c>
    </row>
    <row r="972" spans="1:18" x14ac:dyDescent="0.3">
      <c r="A972" s="5">
        <v>276</v>
      </c>
      <c r="B972" s="5" t="s">
        <v>161</v>
      </c>
      <c r="C972" s="5" t="s">
        <v>162</v>
      </c>
      <c r="D972" s="5" t="s">
        <v>8</v>
      </c>
      <c r="E972" s="5" t="s">
        <v>14</v>
      </c>
      <c r="F972" s="6">
        <v>46023</v>
      </c>
      <c r="G972" s="16" t="s">
        <v>799</v>
      </c>
      <c r="H972" s="16" t="s">
        <v>799</v>
      </c>
      <c r="I972" s="16" t="s">
        <v>799</v>
      </c>
      <c r="J972" s="5">
        <v>81</v>
      </c>
      <c r="K972" s="5">
        <v>82.81</v>
      </c>
      <c r="L972" s="15">
        <f>IFERROR(IF((J972/K972)&gt;1,1,J972/K972),"")</f>
        <v>0.97814273638449456</v>
      </c>
      <c r="M972" s="15">
        <f>IFERROR(IF((J972/K972)&gt;J972/K972,1.3,J972/K972),"")</f>
        <v>0.97814273638449456</v>
      </c>
      <c r="N972" s="5" t="s">
        <v>490</v>
      </c>
      <c r="O972" s="5" t="s">
        <v>478</v>
      </c>
      <c r="P972" s="5">
        <v>0</v>
      </c>
      <c r="Q972" s="5">
        <v>1</v>
      </c>
      <c r="R972" s="5" t="str">
        <f>A972&amp;"-"&amp;YEAR(F972)&amp;"-"&amp;IF(LEN(MONTH(F972))=1,"0"&amp;MONTH(F972),MONTH(F972))&amp;"-"&amp;IF(LEN(DAY(F972))=1,"0"&amp;DAY(F972),DAY(F972))</f>
        <v>276-2026-01-01</v>
      </c>
    </row>
    <row r="973" spans="1:18" x14ac:dyDescent="0.3">
      <c r="A973" s="5">
        <v>323</v>
      </c>
      <c r="B973" s="5" t="s">
        <v>208</v>
      </c>
      <c r="C973" s="5" t="s">
        <v>209</v>
      </c>
      <c r="D973" s="5" t="s">
        <v>8</v>
      </c>
      <c r="E973" s="5" t="s">
        <v>9</v>
      </c>
      <c r="F973" s="6">
        <v>46023</v>
      </c>
      <c r="G973" s="16" t="s">
        <v>799</v>
      </c>
      <c r="H973" s="16" t="s">
        <v>799</v>
      </c>
      <c r="I973" s="16" t="s">
        <v>799</v>
      </c>
      <c r="J973" s="5">
        <v>21</v>
      </c>
      <c r="K973" s="5">
        <v>21</v>
      </c>
      <c r="L973" s="15">
        <f>IFERROR(IF((K973/J973)&gt;1.3,1.3,K973/J973),"")</f>
        <v>1</v>
      </c>
      <c r="M973" s="15">
        <f>IFERROR(K973/J973,"")</f>
        <v>1</v>
      </c>
      <c r="N973" s="5" t="s">
        <v>490</v>
      </c>
      <c r="O973" s="5" t="s">
        <v>490</v>
      </c>
      <c r="P973" s="5">
        <v>0</v>
      </c>
      <c r="Q973" s="5">
        <v>0</v>
      </c>
      <c r="R973" s="5" t="str">
        <f>A973&amp;"-"&amp;YEAR(F973)&amp;"-"&amp;IF(LEN(MONTH(F973))=1,"0"&amp;MONTH(F973),MONTH(F973))&amp;"-"&amp;IF(LEN(DAY(F973))=1,"0"&amp;DAY(F973),DAY(F973))</f>
        <v>323-2026-01-01</v>
      </c>
    </row>
    <row r="974" spans="1:18" x14ac:dyDescent="0.3">
      <c r="A974" s="5">
        <v>325</v>
      </c>
      <c r="B974" s="5" t="s">
        <v>211</v>
      </c>
      <c r="C974" s="5" t="s">
        <v>209</v>
      </c>
      <c r="D974" s="5" t="s">
        <v>8</v>
      </c>
      <c r="E974" s="5" t="s">
        <v>9</v>
      </c>
      <c r="F974" s="6">
        <v>46023</v>
      </c>
      <c r="G974" s="16" t="s">
        <v>799</v>
      </c>
      <c r="H974" s="6" t="s">
        <v>799</v>
      </c>
      <c r="I974" s="6" t="s">
        <v>799</v>
      </c>
      <c r="J974" s="5">
        <v>27</v>
      </c>
      <c r="K974" s="5">
        <v>27</v>
      </c>
      <c r="L974" s="15">
        <f>IFERROR(IF((K974/J974)&gt;1.3,1.3,K974/J974),"")</f>
        <v>1</v>
      </c>
      <c r="M974" s="15">
        <f>IFERROR(K974/J974,"")</f>
        <v>1</v>
      </c>
      <c r="N974" s="5" t="s">
        <v>490</v>
      </c>
      <c r="O974" s="5" t="s">
        <v>490</v>
      </c>
      <c r="P974" s="5">
        <v>0</v>
      </c>
      <c r="Q974" s="5">
        <v>0</v>
      </c>
      <c r="R974" s="5" t="str">
        <f>A974&amp;"-"&amp;YEAR(F974)&amp;"-"&amp;IF(LEN(MONTH(F974))=1,"0"&amp;MONTH(F974),MONTH(F974))&amp;"-"&amp;IF(LEN(DAY(F974))=1,"0"&amp;DAY(F974),DAY(F974))</f>
        <v>325-2026-01-01</v>
      </c>
    </row>
    <row r="975" spans="1:18" x14ac:dyDescent="0.3">
      <c r="A975" s="5">
        <v>331</v>
      </c>
      <c r="B975" s="5" t="s">
        <v>216</v>
      </c>
      <c r="C975" s="5" t="s">
        <v>214</v>
      </c>
      <c r="D975" s="5" t="s">
        <v>25</v>
      </c>
      <c r="E975" s="5" t="s">
        <v>9</v>
      </c>
      <c r="F975" s="6">
        <v>46023</v>
      </c>
      <c r="G975" s="16" t="s">
        <v>799</v>
      </c>
      <c r="H975" s="16" t="s">
        <v>799</v>
      </c>
      <c r="I975" s="16" t="s">
        <v>799</v>
      </c>
      <c r="J975" s="5"/>
      <c r="K975" s="5">
        <v>83</v>
      </c>
      <c r="L975" s="15" t="str">
        <f>IFERROR(IF((K975/J975)&gt;1.3,1.3,K975/J975),"")</f>
        <v/>
      </c>
      <c r="M975" s="15" t="str">
        <f>IFERROR(K975/J975,"")</f>
        <v/>
      </c>
      <c r="N975" s="5" t="s">
        <v>488</v>
      </c>
      <c r="O975" s="5" t="s">
        <v>347</v>
      </c>
      <c r="P975" s="5">
        <v>0</v>
      </c>
      <c r="Q975" s="5">
        <v>0</v>
      </c>
      <c r="R975" s="5" t="str">
        <f>A975&amp;"-"&amp;YEAR(F975)&amp;"-"&amp;IF(LEN(MONTH(F975))=1,"0"&amp;MONTH(F975),MONTH(F975))&amp;"-"&amp;IF(LEN(DAY(F975))=1,"0"&amp;DAY(F975),DAY(F975))</f>
        <v>331-2026-01-01</v>
      </c>
    </row>
    <row r="976" spans="1:18" x14ac:dyDescent="0.3">
      <c r="A976" s="5">
        <v>332</v>
      </c>
      <c r="B976" s="5" t="s">
        <v>217</v>
      </c>
      <c r="C976" s="5" t="s">
        <v>13</v>
      </c>
      <c r="D976" s="5" t="s">
        <v>8</v>
      </c>
      <c r="E976" s="5" t="s">
        <v>14</v>
      </c>
      <c r="F976" s="6">
        <v>46023</v>
      </c>
      <c r="G976" s="16" t="s">
        <v>799</v>
      </c>
      <c r="H976" s="16" t="s">
        <v>799</v>
      </c>
      <c r="I976" s="16" t="s">
        <v>799</v>
      </c>
      <c r="J976" s="5">
        <v>1.18</v>
      </c>
      <c r="K976" s="5">
        <v>0.89</v>
      </c>
      <c r="L976" s="15">
        <f>IFERROR(IF((J976/K976)&gt;1.3,1.3,J976/K976),"")</f>
        <v>1.3</v>
      </c>
      <c r="M976" s="15">
        <f>IFERROR(IF((J976/K976)&gt;J976/K976,1.3,J976/K976),"")</f>
        <v>1.3258426966292134</v>
      </c>
      <c r="N976" s="5" t="s">
        <v>478</v>
      </c>
      <c r="O976" s="5" t="s">
        <v>478</v>
      </c>
      <c r="P976" s="5">
        <v>2</v>
      </c>
      <c r="Q976" s="5">
        <v>2</v>
      </c>
      <c r="R976" s="5" t="str">
        <f>A976&amp;"-"&amp;YEAR(F976)&amp;"-"&amp;IF(LEN(MONTH(F976))=1,"0"&amp;MONTH(F976),MONTH(F976))&amp;"-"&amp;IF(LEN(DAY(F976))=1,"0"&amp;DAY(F976),DAY(F976))</f>
        <v>332-2026-01-01</v>
      </c>
    </row>
    <row r="977" spans="1:18" x14ac:dyDescent="0.3">
      <c r="A977" s="5">
        <v>334</v>
      </c>
      <c r="B977" s="5" t="s">
        <v>218</v>
      </c>
      <c r="C977" s="5" t="s">
        <v>13</v>
      </c>
      <c r="D977" s="5" t="s">
        <v>25</v>
      </c>
      <c r="E977" s="5" t="s">
        <v>9</v>
      </c>
      <c r="F977" s="6">
        <v>46023</v>
      </c>
      <c r="G977" s="16" t="s">
        <v>799</v>
      </c>
      <c r="H977" s="16" t="s">
        <v>799</v>
      </c>
      <c r="I977" s="16" t="s">
        <v>799</v>
      </c>
      <c r="J977" s="5">
        <v>89</v>
      </c>
      <c r="K977" s="5">
        <v>90.1</v>
      </c>
      <c r="L977" s="15">
        <f t="shared" ref="L977:L999" si="141">IFERROR(IF((K977/J977)&gt;1.3,1.3,K977/J977),"")</f>
        <v>1.0123595505617977</v>
      </c>
      <c r="M977" s="15">
        <f t="shared" ref="M977:M999" si="142">IFERROR(K977/J977,"")</f>
        <v>1.0123595505617977</v>
      </c>
      <c r="N977" s="5" t="s">
        <v>490</v>
      </c>
      <c r="O977" s="5" t="s">
        <v>478</v>
      </c>
      <c r="P977" s="5">
        <v>0</v>
      </c>
      <c r="Q977" s="5">
        <v>1</v>
      </c>
      <c r="R977" s="5" t="str">
        <f>A977&amp;"-"&amp;YEAR(F977)&amp;"-"&amp;IF(LEN(MONTH(F977))=1,"0"&amp;MONTH(F977),MONTH(F977))&amp;"-"&amp;IF(LEN(DAY(F977))=1,"0"&amp;DAY(F977),DAY(F977))</f>
        <v>334-2026-01-01</v>
      </c>
    </row>
    <row r="978" spans="1:18" x14ac:dyDescent="0.3">
      <c r="A978" s="5">
        <v>335</v>
      </c>
      <c r="B978" s="5" t="s">
        <v>219</v>
      </c>
      <c r="C978" s="5" t="s">
        <v>13</v>
      </c>
      <c r="D978" s="5" t="s">
        <v>25</v>
      </c>
      <c r="E978" s="5" t="s">
        <v>9</v>
      </c>
      <c r="F978" s="6">
        <v>46023</v>
      </c>
      <c r="G978" s="16" t="s">
        <v>799</v>
      </c>
      <c r="H978" s="16" t="s">
        <v>799</v>
      </c>
      <c r="I978" s="16" t="s">
        <v>799</v>
      </c>
      <c r="J978" s="5">
        <v>82</v>
      </c>
      <c r="K978" s="5">
        <v>80.95</v>
      </c>
      <c r="L978" s="15">
        <f t="shared" si="141"/>
        <v>0.9871951219512195</v>
      </c>
      <c r="M978" s="15">
        <f t="shared" si="142"/>
        <v>0.9871951219512195</v>
      </c>
      <c r="N978" s="5" t="s">
        <v>347</v>
      </c>
      <c r="O978" s="5" t="s">
        <v>347</v>
      </c>
      <c r="P978" s="5">
        <v>0</v>
      </c>
      <c r="Q978" s="5">
        <v>0</v>
      </c>
      <c r="R978" s="5" t="str">
        <f>A978&amp;"-"&amp;YEAR(F978)&amp;"-"&amp;IF(LEN(MONTH(F978))=1,"0"&amp;MONTH(F978),MONTH(F978))&amp;"-"&amp;IF(LEN(DAY(F978))=1,"0"&amp;DAY(F978),DAY(F978))</f>
        <v>335-2026-01-01</v>
      </c>
    </row>
    <row r="979" spans="1:18" x14ac:dyDescent="0.3">
      <c r="A979" s="5">
        <v>339</v>
      </c>
      <c r="B979" s="5" t="s">
        <v>843</v>
      </c>
      <c r="C979" s="5" t="s">
        <v>224</v>
      </c>
      <c r="D979" s="5" t="s">
        <v>25</v>
      </c>
      <c r="E979" s="5" t="s">
        <v>9</v>
      </c>
      <c r="F979" s="6">
        <v>46023</v>
      </c>
      <c r="G979" s="16" t="s">
        <v>799</v>
      </c>
      <c r="H979" s="6" t="s">
        <v>799</v>
      </c>
      <c r="I979" s="6" t="s">
        <v>799</v>
      </c>
      <c r="J979" s="5">
        <v>30</v>
      </c>
      <c r="K979" s="5">
        <v>35.294117647058826</v>
      </c>
      <c r="L979" s="15">
        <f>IFERROR(IF((K979/J979)&gt;1.3,1.3,K979/J979),"")</f>
        <v>1.1764705882352942</v>
      </c>
      <c r="M979" s="15">
        <f t="shared" si="142"/>
        <v>1.1764705882352942</v>
      </c>
      <c r="N979" s="5" t="s">
        <v>347</v>
      </c>
      <c r="O979" s="5" t="s">
        <v>347</v>
      </c>
      <c r="P979" s="5">
        <v>0</v>
      </c>
      <c r="Q979" s="5">
        <v>1</v>
      </c>
      <c r="R979" s="5" t="str">
        <f>A979&amp;"-"&amp;YEAR(F979)&amp;"-"&amp;IF(LEN(MONTH(F979))=1,"0"&amp;MONTH(F979),MONTH(F979))&amp;"-"&amp;IF(LEN(DAY(F979))=1,"0"&amp;DAY(F979),DAY(F979))</f>
        <v>339-2026-01-01</v>
      </c>
    </row>
    <row r="980" spans="1:18" x14ac:dyDescent="0.3">
      <c r="A980" s="5">
        <v>361</v>
      </c>
      <c r="B980" s="5" t="s">
        <v>802</v>
      </c>
      <c r="C980" s="5" t="s">
        <v>248</v>
      </c>
      <c r="D980" s="5" t="s">
        <v>25</v>
      </c>
      <c r="E980" s="5" t="s">
        <v>9</v>
      </c>
      <c r="F980" s="6">
        <v>46023</v>
      </c>
      <c r="G980" s="16" t="s">
        <v>799</v>
      </c>
      <c r="H980" s="6" t="s">
        <v>799</v>
      </c>
      <c r="I980" s="6" t="s">
        <v>799</v>
      </c>
      <c r="J980" s="5">
        <v>4.5999999999999996</v>
      </c>
      <c r="K980" s="5">
        <v>4.78</v>
      </c>
      <c r="L980" s="15">
        <f t="shared" si="141"/>
        <v>1.0391304347826089</v>
      </c>
      <c r="M980" s="15">
        <f t="shared" si="142"/>
        <v>1.0391304347826089</v>
      </c>
      <c r="N980" s="5" t="s">
        <v>478</v>
      </c>
      <c r="O980" s="5" t="s">
        <v>478</v>
      </c>
      <c r="P980" s="5">
        <v>1</v>
      </c>
      <c r="Q980" s="5">
        <v>2</v>
      </c>
      <c r="R980" s="5" t="str">
        <f>A980&amp;"-"&amp;YEAR(F980)&amp;"-"&amp;IF(LEN(MONTH(F980))=1,"0"&amp;MONTH(F980),MONTH(F980))&amp;"-"&amp;IF(LEN(DAY(F980))=1,"0"&amp;DAY(F980),DAY(F980))</f>
        <v>361-2026-01-01</v>
      </c>
    </row>
    <row r="981" spans="1:18" x14ac:dyDescent="0.3">
      <c r="A981" s="5">
        <v>364</v>
      </c>
      <c r="B981" s="5" t="s">
        <v>252</v>
      </c>
      <c r="C981" s="5" t="s">
        <v>248</v>
      </c>
      <c r="D981" s="5" t="s">
        <v>8</v>
      </c>
      <c r="E981" s="5" t="s">
        <v>9</v>
      </c>
      <c r="F981" s="6">
        <v>46023</v>
      </c>
      <c r="G981" s="16" t="s">
        <v>799</v>
      </c>
      <c r="H981" s="16" t="s">
        <v>799</v>
      </c>
      <c r="I981" s="16" t="s">
        <v>799</v>
      </c>
      <c r="J981" s="5">
        <v>83197</v>
      </c>
      <c r="K981" s="5">
        <v>70233</v>
      </c>
      <c r="L981" s="15">
        <f t="shared" si="141"/>
        <v>0.84417707369256101</v>
      </c>
      <c r="M981" s="15">
        <f t="shared" si="142"/>
        <v>0.84417707369256101</v>
      </c>
      <c r="N981" s="5" t="s">
        <v>490</v>
      </c>
      <c r="O981" s="5" t="s">
        <v>490</v>
      </c>
      <c r="P981" s="5">
        <v>0</v>
      </c>
      <c r="Q981" s="5">
        <v>0</v>
      </c>
      <c r="R981" s="5" t="str">
        <f>A981&amp;"-"&amp;YEAR(F981)&amp;"-"&amp;IF(LEN(MONTH(F981))=1,"0"&amp;MONTH(F981),MONTH(F981))&amp;"-"&amp;IF(LEN(DAY(F981))=1,"0"&amp;DAY(F981),DAY(F981))</f>
        <v>364-2026-01-01</v>
      </c>
    </row>
    <row r="982" spans="1:18" x14ac:dyDescent="0.3">
      <c r="A982" s="5">
        <v>367</v>
      </c>
      <c r="B982" s="5" t="s">
        <v>470</v>
      </c>
      <c r="C982" s="5" t="s">
        <v>248</v>
      </c>
      <c r="D982" s="5" t="s">
        <v>25</v>
      </c>
      <c r="E982" s="5" t="s">
        <v>9</v>
      </c>
      <c r="F982" s="6">
        <v>46023</v>
      </c>
      <c r="G982" s="16" t="s">
        <v>799</v>
      </c>
      <c r="H982" s="16" t="s">
        <v>799</v>
      </c>
      <c r="I982" s="16" t="s">
        <v>799</v>
      </c>
      <c r="J982" s="5">
        <v>5</v>
      </c>
      <c r="K982" s="5">
        <v>5.4325000000000001</v>
      </c>
      <c r="L982" s="15">
        <f t="shared" si="141"/>
        <v>1.0865</v>
      </c>
      <c r="M982" s="15">
        <f t="shared" si="142"/>
        <v>1.0865</v>
      </c>
      <c r="N982" s="5" t="s">
        <v>347</v>
      </c>
      <c r="O982" s="5" t="s">
        <v>347</v>
      </c>
      <c r="P982" s="5">
        <v>0</v>
      </c>
      <c r="Q982" s="5">
        <v>2</v>
      </c>
      <c r="R982" s="5" t="str">
        <f>A982&amp;"-"&amp;YEAR(F982)&amp;"-"&amp;IF(LEN(MONTH(F982))=1,"0"&amp;MONTH(F982),MONTH(F982))&amp;"-"&amp;IF(LEN(DAY(F982))=1,"0"&amp;DAY(F982),DAY(F982))</f>
        <v>367-2026-01-01</v>
      </c>
    </row>
    <row r="983" spans="1:18" x14ac:dyDescent="0.3">
      <c r="A983" s="5">
        <v>369</v>
      </c>
      <c r="B983" s="5" t="s">
        <v>257</v>
      </c>
      <c r="C983" s="5" t="s">
        <v>248</v>
      </c>
      <c r="D983" s="5" t="s">
        <v>8</v>
      </c>
      <c r="E983" s="5" t="s">
        <v>9</v>
      </c>
      <c r="F983" s="6">
        <v>46023</v>
      </c>
      <c r="G983" s="16" t="s">
        <v>799</v>
      </c>
      <c r="H983" s="16" t="s">
        <v>799</v>
      </c>
      <c r="I983" s="16" t="s">
        <v>799</v>
      </c>
      <c r="J983" s="5">
        <v>378</v>
      </c>
      <c r="K983" s="5">
        <v>328</v>
      </c>
      <c r="L983" s="15">
        <f t="shared" si="141"/>
        <v>0.86772486772486768</v>
      </c>
      <c r="M983" s="15">
        <f t="shared" si="142"/>
        <v>0.86772486772486768</v>
      </c>
      <c r="N983" s="5" t="s">
        <v>490</v>
      </c>
      <c r="O983" s="5" t="s">
        <v>490</v>
      </c>
      <c r="P983" s="5">
        <v>0</v>
      </c>
      <c r="Q983" s="5">
        <v>0</v>
      </c>
      <c r="R983" s="5" t="str">
        <f>A983&amp;"-"&amp;YEAR(F983)&amp;"-"&amp;IF(LEN(MONTH(F983))=1,"0"&amp;MONTH(F983),MONTH(F983))&amp;"-"&amp;IF(LEN(DAY(F983))=1,"0"&amp;DAY(F983),DAY(F983))</f>
        <v>369-2026-01-01</v>
      </c>
    </row>
    <row r="984" spans="1:18" x14ac:dyDescent="0.3">
      <c r="A984" s="5">
        <v>376</v>
      </c>
      <c r="B984" s="5" t="s">
        <v>732</v>
      </c>
      <c r="C984" s="5" t="s">
        <v>84</v>
      </c>
      <c r="D984" s="5" t="s">
        <v>8</v>
      </c>
      <c r="E984" s="5" t="s">
        <v>9</v>
      </c>
      <c r="F984" s="6">
        <v>46023</v>
      </c>
      <c r="G984" s="16" t="s">
        <v>799</v>
      </c>
      <c r="H984" s="16" t="s">
        <v>799</v>
      </c>
      <c r="I984" s="16" t="s">
        <v>799</v>
      </c>
      <c r="J984" s="5">
        <v>32126.483745582696</v>
      </c>
      <c r="K984" s="5">
        <f>37751457388/1000000</f>
        <v>37751.457388000003</v>
      </c>
      <c r="L984" s="15">
        <f t="shared" si="141"/>
        <v>1.1750883690528604</v>
      </c>
      <c r="M984" s="15">
        <f t="shared" si="142"/>
        <v>1.1750883690528604</v>
      </c>
      <c r="N984" s="5" t="s">
        <v>474</v>
      </c>
      <c r="O984" s="5" t="s">
        <v>474</v>
      </c>
      <c r="P984" s="5">
        <v>0</v>
      </c>
      <c r="Q984" s="5">
        <v>0</v>
      </c>
      <c r="R984" s="5" t="str">
        <f>A984&amp;"-"&amp;YEAR(F984)&amp;"-"&amp;IF(LEN(MONTH(F984))=1,"0"&amp;MONTH(F984),MONTH(F984))&amp;"-"&amp;IF(LEN(DAY(F984))=1,"0"&amp;DAY(F984),DAY(F984))</f>
        <v>376-2026-01-01</v>
      </c>
    </row>
    <row r="985" spans="1:18" x14ac:dyDescent="0.3">
      <c r="A985" s="5">
        <v>377</v>
      </c>
      <c r="B985" s="5" t="s">
        <v>264</v>
      </c>
      <c r="C985" s="5" t="s">
        <v>84</v>
      </c>
      <c r="D985" s="5" t="s">
        <v>8</v>
      </c>
      <c r="E985" s="5" t="s">
        <v>14</v>
      </c>
      <c r="F985" s="6">
        <v>46023</v>
      </c>
      <c r="G985" s="16" t="s">
        <v>799</v>
      </c>
      <c r="H985" s="16" t="s">
        <v>799</v>
      </c>
      <c r="I985" s="16" t="s">
        <v>799</v>
      </c>
      <c r="J985" s="5">
        <f>10285243492.81/1000000</f>
        <v>10285.243492809999</v>
      </c>
      <c r="K985" s="5">
        <f>11016899103/1000000</f>
        <v>11016.899103</v>
      </c>
      <c r="L985" s="15">
        <f t="shared" si="141"/>
        <v>1.0711364403479093</v>
      </c>
      <c r="M985" s="15">
        <f t="shared" si="142"/>
        <v>1.0711364403479093</v>
      </c>
      <c r="N985" s="5" t="s">
        <v>474</v>
      </c>
      <c r="O985" s="5" t="s">
        <v>474</v>
      </c>
      <c r="P985" s="5">
        <v>0</v>
      </c>
      <c r="Q985" s="5">
        <v>0</v>
      </c>
      <c r="R985" s="5" t="str">
        <f>A985&amp;"-"&amp;YEAR(F985)&amp;"-"&amp;IF(LEN(MONTH(F985))=1,"0"&amp;MONTH(F985),MONTH(F985))&amp;"-"&amp;IF(LEN(DAY(F985))=1,"0"&amp;DAY(F985),DAY(F985))</f>
        <v>377-2026-01-01</v>
      </c>
    </row>
    <row r="986" spans="1:18" x14ac:dyDescent="0.3">
      <c r="A986" s="5">
        <v>379</v>
      </c>
      <c r="B986" s="5" t="s">
        <v>266</v>
      </c>
      <c r="C986" s="5" t="s">
        <v>267</v>
      </c>
      <c r="D986" s="5" t="s">
        <v>8</v>
      </c>
      <c r="E986" s="5" t="s">
        <v>9</v>
      </c>
      <c r="F986" s="6">
        <v>46023</v>
      </c>
      <c r="G986" s="16" t="s">
        <v>799</v>
      </c>
      <c r="H986" s="6" t="s">
        <v>799</v>
      </c>
      <c r="I986" s="6" t="s">
        <v>799</v>
      </c>
      <c r="J986" s="87">
        <v>90899</v>
      </c>
      <c r="K986" s="87">
        <v>92498</v>
      </c>
      <c r="L986" s="15">
        <f t="shared" si="141"/>
        <v>1.0175909525957381</v>
      </c>
      <c r="M986" s="15">
        <f t="shared" si="142"/>
        <v>1.0175909525957381</v>
      </c>
      <c r="N986" s="5" t="s">
        <v>490</v>
      </c>
      <c r="O986" s="5" t="s">
        <v>490</v>
      </c>
      <c r="P986" s="5">
        <v>0</v>
      </c>
      <c r="Q986" s="5">
        <v>0</v>
      </c>
      <c r="R986" s="5" t="str">
        <f>A986&amp;"-"&amp;YEAR(F986)&amp;"-"&amp;IF(LEN(MONTH(F986))=1,"0"&amp;MONTH(F986),MONTH(F986))&amp;"-"&amp;IF(LEN(DAY(F986))=1,"0"&amp;DAY(F986),DAY(F986))</f>
        <v>379-2026-01-01</v>
      </c>
    </row>
    <row r="987" spans="1:18" x14ac:dyDescent="0.3">
      <c r="A987" s="5">
        <v>385</v>
      </c>
      <c r="B987" s="5" t="s">
        <v>273</v>
      </c>
      <c r="C987" s="5" t="s">
        <v>274</v>
      </c>
      <c r="D987" s="5" t="s">
        <v>8</v>
      </c>
      <c r="E987" s="5" t="s">
        <v>9</v>
      </c>
      <c r="F987" s="6">
        <v>46023</v>
      </c>
      <c r="G987" s="16" t="s">
        <v>799</v>
      </c>
      <c r="H987" s="16" t="s">
        <v>799</v>
      </c>
      <c r="I987" s="16" t="s">
        <v>799</v>
      </c>
      <c r="J987" s="9">
        <f>+J696+J311+J54+J1055</f>
        <v>60024.456511000004</v>
      </c>
      <c r="K987" s="9">
        <f>+K696+K311+K54+K1055</f>
        <v>59545.798287999998</v>
      </c>
      <c r="L987" s="15">
        <f t="shared" si="141"/>
        <v>0.99202561337790229</v>
      </c>
      <c r="M987" s="15">
        <f t="shared" si="142"/>
        <v>0.99202561337790229</v>
      </c>
      <c r="N987" s="5" t="s">
        <v>474</v>
      </c>
      <c r="O987" s="5" t="s">
        <v>474</v>
      </c>
      <c r="P987" s="5">
        <v>0</v>
      </c>
      <c r="Q987" s="5">
        <v>0</v>
      </c>
      <c r="R987" s="5" t="str">
        <f>A987&amp;"-"&amp;YEAR(F987)&amp;"-"&amp;IF(LEN(MONTH(F987))=1,"0"&amp;MONTH(F987),MONTH(F987))&amp;"-"&amp;IF(LEN(DAY(F987))=1,"0"&amp;DAY(F987),DAY(F987))</f>
        <v>385-2026-01-01</v>
      </c>
    </row>
    <row r="988" spans="1:18" x14ac:dyDescent="0.3">
      <c r="A988" s="5">
        <v>423</v>
      </c>
      <c r="B988" s="5" t="s">
        <v>317</v>
      </c>
      <c r="C988" s="5" t="s">
        <v>315</v>
      </c>
      <c r="D988" s="5" t="s">
        <v>25</v>
      </c>
      <c r="E988" s="5" t="s">
        <v>9</v>
      </c>
      <c r="F988" s="6">
        <v>46023</v>
      </c>
      <c r="G988" s="16" t="s">
        <v>799</v>
      </c>
      <c r="H988" s="16" t="s">
        <v>799</v>
      </c>
      <c r="I988" s="16" t="s">
        <v>799</v>
      </c>
      <c r="J988" s="5">
        <v>12</v>
      </c>
      <c r="K988" s="5">
        <v>15.1</v>
      </c>
      <c r="L988" s="15">
        <f t="shared" si="141"/>
        <v>1.2583333333333333</v>
      </c>
      <c r="M988" s="15">
        <f t="shared" si="142"/>
        <v>1.2583333333333333</v>
      </c>
      <c r="N988" s="5" t="s">
        <v>478</v>
      </c>
      <c r="O988" s="5" t="s">
        <v>478</v>
      </c>
      <c r="P988" s="5">
        <v>1</v>
      </c>
      <c r="Q988" s="5">
        <v>1</v>
      </c>
      <c r="R988" s="5" t="str">
        <f>A988&amp;"-"&amp;YEAR(F988)&amp;"-"&amp;IF(LEN(MONTH(F988))=1,"0"&amp;MONTH(F988),MONTH(F988))&amp;"-"&amp;IF(LEN(DAY(F988))=1,"0"&amp;DAY(F988),DAY(F988))</f>
        <v>423-2026-01-01</v>
      </c>
    </row>
    <row r="989" spans="1:18" x14ac:dyDescent="0.3">
      <c r="A989" s="5">
        <v>424</v>
      </c>
      <c r="B989" s="5" t="s">
        <v>433</v>
      </c>
      <c r="C989" s="5" t="s">
        <v>315</v>
      </c>
      <c r="D989" s="5" t="s">
        <v>25</v>
      </c>
      <c r="E989" s="5" t="s">
        <v>9</v>
      </c>
      <c r="F989" s="6">
        <v>46023</v>
      </c>
      <c r="G989" s="16" t="s">
        <v>799</v>
      </c>
      <c r="H989" s="16" t="s">
        <v>799</v>
      </c>
      <c r="I989" s="16" t="s">
        <v>799</v>
      </c>
      <c r="J989" s="5">
        <v>9</v>
      </c>
      <c r="K989" s="5">
        <v>11</v>
      </c>
      <c r="L989" s="15">
        <f t="shared" si="141"/>
        <v>1.2222222222222223</v>
      </c>
      <c r="M989" s="15">
        <f t="shared" si="142"/>
        <v>1.2222222222222223</v>
      </c>
      <c r="N989" s="5" t="s">
        <v>490</v>
      </c>
      <c r="O989" s="5" t="s">
        <v>490</v>
      </c>
      <c r="P989" s="5">
        <v>0</v>
      </c>
      <c r="Q989" s="5">
        <v>0</v>
      </c>
      <c r="R989" s="5" t="str">
        <f>A989&amp;"-"&amp;YEAR(F989)&amp;"-"&amp;IF(LEN(MONTH(F989))=1,"0"&amp;MONTH(F989),MONTH(F989))&amp;"-"&amp;IF(LEN(DAY(F989))=1,"0"&amp;DAY(F989),DAY(F989))</f>
        <v>424-2026-01-01</v>
      </c>
    </row>
    <row r="990" spans="1:18" x14ac:dyDescent="0.3">
      <c r="A990" s="5">
        <v>460</v>
      </c>
      <c r="B990" s="5" t="s">
        <v>727</v>
      </c>
      <c r="C990" s="5" t="s">
        <v>13</v>
      </c>
      <c r="D990" s="5" t="s">
        <v>25</v>
      </c>
      <c r="E990" s="5" t="s">
        <v>9</v>
      </c>
      <c r="F990" s="6">
        <v>46023</v>
      </c>
      <c r="G990" s="16" t="s">
        <v>799</v>
      </c>
      <c r="H990" s="6" t="s">
        <v>799</v>
      </c>
      <c r="I990" s="6" t="s">
        <v>799</v>
      </c>
      <c r="J990" s="5">
        <v>80</v>
      </c>
      <c r="K990" s="5">
        <v>84.18</v>
      </c>
      <c r="L990" s="15">
        <f t="shared" si="141"/>
        <v>1.0522500000000001</v>
      </c>
      <c r="M990" s="15">
        <f t="shared" si="142"/>
        <v>1.0522500000000001</v>
      </c>
      <c r="N990" s="58" t="s">
        <v>347</v>
      </c>
      <c r="O990" s="58" t="s">
        <v>347</v>
      </c>
      <c r="P990" s="5">
        <v>0</v>
      </c>
      <c r="Q990" s="5">
        <v>1</v>
      </c>
      <c r="R990" s="5" t="str">
        <f>A990&amp;"-"&amp;YEAR(F990)&amp;"-"&amp;IF(LEN(MONTH(F990))=1,"0"&amp;MONTH(F990),MONTH(F990))&amp;"-"&amp;IF(LEN(DAY(F990))=1,"0"&amp;DAY(F990),DAY(F990))</f>
        <v>460-2026-01-01</v>
      </c>
    </row>
    <row r="991" spans="1:18" x14ac:dyDescent="0.3">
      <c r="A991" s="5">
        <v>463</v>
      </c>
      <c r="B991" s="5" t="s">
        <v>523</v>
      </c>
      <c r="C991" s="5" t="s">
        <v>13</v>
      </c>
      <c r="D991" s="5" t="s">
        <v>8</v>
      </c>
      <c r="E991" s="5" t="s">
        <v>9</v>
      </c>
      <c r="F991" s="6">
        <v>46023</v>
      </c>
      <c r="G991" s="16" t="s">
        <v>799</v>
      </c>
      <c r="H991" s="6" t="s">
        <v>799</v>
      </c>
      <c r="I991" s="6" t="s">
        <v>799</v>
      </c>
      <c r="J991" s="5">
        <v>100</v>
      </c>
      <c r="K991" s="5">
        <v>100</v>
      </c>
      <c r="L991" s="15">
        <f t="shared" si="141"/>
        <v>1</v>
      </c>
      <c r="M991" s="15">
        <f t="shared" si="142"/>
        <v>1</v>
      </c>
      <c r="N991" s="5" t="s">
        <v>347</v>
      </c>
      <c r="O991" s="5" t="s">
        <v>347</v>
      </c>
      <c r="P991" s="5">
        <v>0</v>
      </c>
      <c r="Q991" s="5">
        <v>0</v>
      </c>
      <c r="R991" s="5" t="str">
        <f>A991&amp;"-"&amp;YEAR(F991)&amp;"-"&amp;IF(LEN(MONTH(F991))=1,"0"&amp;MONTH(F991),MONTH(F991))&amp;"-"&amp;IF(LEN(DAY(F991))=1,"0"&amp;DAY(F991),DAY(F991))</f>
        <v>463-2026-01-01</v>
      </c>
    </row>
    <row r="992" spans="1:18" x14ac:dyDescent="0.3">
      <c r="A992" s="5">
        <v>465</v>
      </c>
      <c r="B992" s="5" t="s">
        <v>524</v>
      </c>
      <c r="C992" s="5" t="s">
        <v>237</v>
      </c>
      <c r="D992" s="5" t="s">
        <v>8</v>
      </c>
      <c r="E992" s="5" t="s">
        <v>9</v>
      </c>
      <c r="F992" s="6">
        <v>46023</v>
      </c>
      <c r="G992" s="16" t="s">
        <v>799</v>
      </c>
      <c r="H992" s="16" t="s">
        <v>799</v>
      </c>
      <c r="I992" s="16" t="s">
        <v>799</v>
      </c>
      <c r="J992" s="5">
        <v>100</v>
      </c>
      <c r="K992" s="5">
        <v>56.83</v>
      </c>
      <c r="L992" s="15">
        <f t="shared" si="141"/>
        <v>0.56830000000000003</v>
      </c>
      <c r="M992" s="15">
        <f t="shared" si="142"/>
        <v>0.56830000000000003</v>
      </c>
      <c r="N992" s="5" t="s">
        <v>347</v>
      </c>
      <c r="O992" s="5" t="s">
        <v>347</v>
      </c>
      <c r="P992" s="5">
        <v>0</v>
      </c>
      <c r="Q992" s="5">
        <v>0</v>
      </c>
      <c r="R992" s="5" t="str">
        <f>A992&amp;"-"&amp;YEAR(F992)&amp;"-"&amp;IF(LEN(MONTH(F992))=1,"0"&amp;MONTH(F992),MONTH(F992))&amp;"-"&amp;IF(LEN(DAY(F992))=1,"0"&amp;DAY(F992),DAY(F992))</f>
        <v>465-2026-01-01</v>
      </c>
    </row>
    <row r="993" spans="1:18" x14ac:dyDescent="0.3">
      <c r="A993" s="5">
        <v>466</v>
      </c>
      <c r="B993" s="5" t="s">
        <v>525</v>
      </c>
      <c r="C993" s="5" t="s">
        <v>74</v>
      </c>
      <c r="D993" s="5" t="s">
        <v>8</v>
      </c>
      <c r="E993" s="5" t="s">
        <v>9</v>
      </c>
      <c r="F993" s="6">
        <v>46023</v>
      </c>
      <c r="G993" s="16" t="s">
        <v>799</v>
      </c>
      <c r="H993" s="16" t="s">
        <v>799</v>
      </c>
      <c r="I993" s="16" t="s">
        <v>799</v>
      </c>
      <c r="J993" s="5">
        <v>55</v>
      </c>
      <c r="K993" s="5">
        <v>58.6</v>
      </c>
      <c r="L993" s="15">
        <f t="shared" si="141"/>
        <v>1.0654545454545454</v>
      </c>
      <c r="M993" s="15">
        <f t="shared" si="142"/>
        <v>1.0654545454545454</v>
      </c>
      <c r="N993" s="5" t="s">
        <v>490</v>
      </c>
      <c r="O993" s="5" t="s">
        <v>478</v>
      </c>
      <c r="P993" s="5">
        <v>1</v>
      </c>
      <c r="Q993" s="5">
        <v>1</v>
      </c>
      <c r="R993" s="5" t="str">
        <f>A993&amp;"-"&amp;YEAR(F993)&amp;"-"&amp;IF(LEN(MONTH(F993))=1,"0"&amp;MONTH(F993),MONTH(F993))&amp;"-"&amp;IF(LEN(DAY(F993))=1,"0"&amp;DAY(F993),DAY(F993))</f>
        <v>466-2026-01-01</v>
      </c>
    </row>
    <row r="994" spans="1:18" x14ac:dyDescent="0.3">
      <c r="A994" s="5">
        <v>472</v>
      </c>
      <c r="B994" s="5" t="s">
        <v>530</v>
      </c>
      <c r="C994" s="5" t="s">
        <v>237</v>
      </c>
      <c r="D994" s="5" t="s">
        <v>8</v>
      </c>
      <c r="E994" s="5" t="s">
        <v>9</v>
      </c>
      <c r="F994" s="6">
        <v>46023</v>
      </c>
      <c r="G994" s="16" t="s">
        <v>799</v>
      </c>
      <c r="H994" s="16" t="s">
        <v>799</v>
      </c>
      <c r="I994" s="16" t="s">
        <v>799</v>
      </c>
      <c r="J994" s="5">
        <v>100</v>
      </c>
      <c r="K994" s="5">
        <v>100</v>
      </c>
      <c r="L994" s="15">
        <f t="shared" si="141"/>
        <v>1</v>
      </c>
      <c r="M994" s="15">
        <f t="shared" si="142"/>
        <v>1</v>
      </c>
      <c r="N994" s="5" t="s">
        <v>347</v>
      </c>
      <c r="O994" s="5" t="s">
        <v>347</v>
      </c>
      <c r="P994" s="5">
        <v>0</v>
      </c>
      <c r="Q994" s="5">
        <v>0</v>
      </c>
      <c r="R994" s="5" t="str">
        <f>A994&amp;"-"&amp;YEAR(F994)&amp;"-"&amp;IF(LEN(MONTH(F994))=1,"0"&amp;MONTH(F994),MONTH(F994))&amp;"-"&amp;IF(LEN(DAY(F994))=1,"0"&amp;DAY(F994),DAY(F994))</f>
        <v>472-2026-01-01</v>
      </c>
    </row>
    <row r="995" spans="1:18" x14ac:dyDescent="0.3">
      <c r="A995" s="26">
        <v>473</v>
      </c>
      <c r="B995" s="23" t="s">
        <v>724</v>
      </c>
      <c r="C995" s="5" t="s">
        <v>129</v>
      </c>
      <c r="D995" s="5" t="s">
        <v>8</v>
      </c>
      <c r="E995" s="5" t="s">
        <v>9</v>
      </c>
      <c r="F995" s="6">
        <v>46023</v>
      </c>
      <c r="G995" s="16" t="s">
        <v>799</v>
      </c>
      <c r="H995" s="6" t="s">
        <v>799</v>
      </c>
      <c r="I995" s="6" t="s">
        <v>799</v>
      </c>
      <c r="J995" s="5">
        <v>33</v>
      </c>
      <c r="K995" s="5">
        <v>33</v>
      </c>
      <c r="L995" s="15">
        <f t="shared" si="141"/>
        <v>1</v>
      </c>
      <c r="M995" s="15">
        <f t="shared" si="142"/>
        <v>1</v>
      </c>
      <c r="N995" s="5" t="s">
        <v>490</v>
      </c>
      <c r="O995" s="5" t="s">
        <v>490</v>
      </c>
      <c r="P995" s="5">
        <v>0</v>
      </c>
      <c r="Q995" s="5">
        <v>0</v>
      </c>
      <c r="R995" s="5" t="str">
        <f>A995&amp;"-"&amp;YEAR(F995)&amp;"-"&amp;IF(LEN(MONTH(F995))=1,"0"&amp;MONTH(F995),MONTH(F995))&amp;"-"&amp;IF(LEN(DAY(F995))=1,"0"&amp;DAY(F995),DAY(F995))</f>
        <v>473-2026-01-01</v>
      </c>
    </row>
    <row r="996" spans="1:18" x14ac:dyDescent="0.3">
      <c r="A996" s="26">
        <v>900</v>
      </c>
      <c r="B996" s="23" t="s">
        <v>531</v>
      </c>
      <c r="C996" s="5" t="s">
        <v>160</v>
      </c>
      <c r="D996" s="5" t="s">
        <v>18</v>
      </c>
      <c r="E996" s="5" t="s">
        <v>9</v>
      </c>
      <c r="F996" s="6">
        <v>46023</v>
      </c>
      <c r="G996" s="16" t="s">
        <v>799</v>
      </c>
      <c r="H996" s="6" t="s">
        <v>799</v>
      </c>
      <c r="I996" s="6" t="s">
        <v>799</v>
      </c>
      <c r="J996" s="11">
        <v>100</v>
      </c>
      <c r="K996" s="11">
        <v>100</v>
      </c>
      <c r="L996" s="15">
        <f t="shared" si="141"/>
        <v>1</v>
      </c>
      <c r="M996" s="15">
        <f t="shared" si="142"/>
        <v>1</v>
      </c>
      <c r="N996" s="5" t="s">
        <v>347</v>
      </c>
      <c r="O996" s="5" t="s">
        <v>347</v>
      </c>
      <c r="P996" s="5">
        <v>0</v>
      </c>
      <c r="Q996" s="5">
        <v>0</v>
      </c>
      <c r="R996" s="5" t="str">
        <f>A996&amp;"-"&amp;YEAR(F996)&amp;"-"&amp;IF(LEN(MONTH(F996))=1,"0"&amp;MONTH(F996),MONTH(F996))&amp;"-"&amp;IF(LEN(DAY(F996))=1,"0"&amp;DAY(F996),DAY(F996))</f>
        <v>900-2026-01-01</v>
      </c>
    </row>
    <row r="997" spans="1:18" x14ac:dyDescent="0.3">
      <c r="A997" s="26">
        <v>901</v>
      </c>
      <c r="B997" s="23" t="s">
        <v>836</v>
      </c>
      <c r="C997" s="5" t="s">
        <v>345</v>
      </c>
      <c r="D997" s="5" t="s">
        <v>18</v>
      </c>
      <c r="E997" s="5" t="s">
        <v>9</v>
      </c>
      <c r="F997" s="6">
        <v>46023</v>
      </c>
      <c r="G997" s="16" t="s">
        <v>799</v>
      </c>
      <c r="H997" s="6" t="s">
        <v>799</v>
      </c>
      <c r="I997" s="6" t="s">
        <v>799</v>
      </c>
      <c r="J997" s="34"/>
      <c r="K997" s="34"/>
      <c r="L997" s="15" t="str">
        <f t="shared" si="141"/>
        <v/>
      </c>
      <c r="M997" s="15" t="str">
        <f t="shared" si="142"/>
        <v/>
      </c>
      <c r="N997" s="5" t="s">
        <v>347</v>
      </c>
      <c r="O997" s="5" t="s">
        <v>347</v>
      </c>
      <c r="P997" s="5">
        <v>0</v>
      </c>
      <c r="Q997" s="5">
        <v>0</v>
      </c>
      <c r="R997" s="5" t="str">
        <f>A997&amp;"-"&amp;YEAR(F997)&amp;"-"&amp;IF(LEN(MONTH(F997))=1,"0"&amp;MONTH(F997),MONTH(F997))&amp;"-"&amp;IF(LEN(DAY(F997))=1,"0"&amp;DAY(F997),DAY(F997))</f>
        <v>901-2026-01-01</v>
      </c>
    </row>
    <row r="998" spans="1:18" x14ac:dyDescent="0.3">
      <c r="A998" s="26">
        <v>902</v>
      </c>
      <c r="B998" s="23" t="s">
        <v>533</v>
      </c>
      <c r="C998" s="5" t="s">
        <v>55</v>
      </c>
      <c r="D998" s="5" t="s">
        <v>18</v>
      </c>
      <c r="E998" s="5" t="s">
        <v>9</v>
      </c>
      <c r="F998" s="6">
        <v>46023</v>
      </c>
      <c r="G998" s="16" t="s">
        <v>799</v>
      </c>
      <c r="H998" s="6" t="s">
        <v>799</v>
      </c>
      <c r="I998" s="6" t="s">
        <v>799</v>
      </c>
      <c r="J998" s="11">
        <v>100</v>
      </c>
      <c r="K998" s="11">
        <v>100</v>
      </c>
      <c r="L998" s="15">
        <f t="shared" si="141"/>
        <v>1</v>
      </c>
      <c r="M998" s="15">
        <f t="shared" si="142"/>
        <v>1</v>
      </c>
      <c r="N998" s="5" t="s">
        <v>347</v>
      </c>
      <c r="O998" s="5" t="s">
        <v>347</v>
      </c>
      <c r="P998" s="5">
        <v>0</v>
      </c>
      <c r="Q998" s="5">
        <v>0</v>
      </c>
      <c r="R998" s="5" t="str">
        <f>A998&amp;"-"&amp;YEAR(F998)&amp;"-"&amp;IF(LEN(MONTH(F998))=1,"0"&amp;MONTH(F998),MONTH(F998))&amp;"-"&amp;IF(LEN(DAY(F998))=1,"0"&amp;DAY(F998),DAY(F998))</f>
        <v>902-2026-01-01</v>
      </c>
    </row>
    <row r="999" spans="1:18" x14ac:dyDescent="0.3">
      <c r="A999" s="26">
        <v>903</v>
      </c>
      <c r="B999" s="23" t="s">
        <v>832</v>
      </c>
      <c r="C999" s="5" t="s">
        <v>43</v>
      </c>
      <c r="D999" s="5" t="s">
        <v>18</v>
      </c>
      <c r="E999" s="5" t="s">
        <v>9</v>
      </c>
      <c r="F999" s="6">
        <v>46023</v>
      </c>
      <c r="G999" s="16" t="s">
        <v>799</v>
      </c>
      <c r="H999" s="6" t="s">
        <v>799</v>
      </c>
      <c r="I999" s="6" t="s">
        <v>799</v>
      </c>
      <c r="J999" s="11">
        <v>100</v>
      </c>
      <c r="K999" s="11">
        <v>99</v>
      </c>
      <c r="L999" s="15">
        <f t="shared" si="141"/>
        <v>0.99</v>
      </c>
      <c r="M999" s="15">
        <f t="shared" si="142"/>
        <v>0.99</v>
      </c>
      <c r="N999" s="5" t="s">
        <v>347</v>
      </c>
      <c r="O999" s="5" t="s">
        <v>347</v>
      </c>
      <c r="P999" s="5">
        <v>0</v>
      </c>
      <c r="Q999" s="5">
        <v>0</v>
      </c>
      <c r="R999" s="5" t="str">
        <f>A999&amp;"-"&amp;YEAR(F999)&amp;"-"&amp;IF(LEN(MONTH(F999))=1,"0"&amp;MONTH(F999),MONTH(F999))&amp;"-"&amp;IF(LEN(DAY(F999))=1,"0"&amp;DAY(F999),DAY(F999))</f>
        <v>903-2026-01-01</v>
      </c>
    </row>
    <row r="1000" spans="1:18" x14ac:dyDescent="0.3">
      <c r="A1000" s="26">
        <v>904</v>
      </c>
      <c r="B1000" s="23" t="s">
        <v>535</v>
      </c>
      <c r="C1000" s="5" t="s">
        <v>214</v>
      </c>
      <c r="D1000" s="5" t="s">
        <v>18</v>
      </c>
      <c r="E1000" s="5" t="s">
        <v>9</v>
      </c>
      <c r="F1000" s="6">
        <v>46023</v>
      </c>
      <c r="G1000" s="16" t="s">
        <v>799</v>
      </c>
      <c r="H1000" s="6" t="s">
        <v>799</v>
      </c>
      <c r="I1000" s="6" t="s">
        <v>799</v>
      </c>
      <c r="J1000" s="11">
        <v>98</v>
      </c>
      <c r="K1000" s="11">
        <v>96</v>
      </c>
      <c r="L1000" s="15">
        <f t="shared" ref="L1000:L1016" si="143">IFERROR(IF((K1000/J1000)&gt;1.3,1.3,K1000/J1000),"")</f>
        <v>0.97959183673469385</v>
      </c>
      <c r="M1000" s="15">
        <f t="shared" ref="M1000:M1016" si="144">IFERROR(K1000/J1000,"")</f>
        <v>0.97959183673469385</v>
      </c>
      <c r="N1000" s="5" t="s">
        <v>347</v>
      </c>
      <c r="O1000" s="5" t="s">
        <v>347</v>
      </c>
      <c r="P1000" s="5">
        <v>0</v>
      </c>
      <c r="Q1000" s="5">
        <v>0</v>
      </c>
      <c r="R1000" s="5" t="str">
        <f>A1000&amp;"-"&amp;YEAR(F1000)&amp;"-"&amp;IF(LEN(MONTH(F1000))=1,"0"&amp;MONTH(F1000),MONTH(F1000))&amp;"-"&amp;IF(LEN(DAY(F1000))=1,"0"&amp;DAY(F1000),DAY(F1000))</f>
        <v>904-2026-01-01</v>
      </c>
    </row>
    <row r="1001" spans="1:18" x14ac:dyDescent="0.3">
      <c r="A1001" s="26">
        <v>905</v>
      </c>
      <c r="B1001" s="23" t="s">
        <v>536</v>
      </c>
      <c r="C1001" s="5" t="s">
        <v>345</v>
      </c>
      <c r="D1001" s="5" t="s">
        <v>18</v>
      </c>
      <c r="E1001" s="5" t="s">
        <v>9</v>
      </c>
      <c r="F1001" s="6">
        <v>46023</v>
      </c>
      <c r="G1001" s="16" t="s">
        <v>799</v>
      </c>
      <c r="H1001" s="6" t="s">
        <v>799</v>
      </c>
      <c r="I1001" s="6" t="s">
        <v>799</v>
      </c>
      <c r="J1001" s="11">
        <v>100</v>
      </c>
      <c r="K1001" s="11">
        <v>100</v>
      </c>
      <c r="L1001" s="15">
        <f t="shared" si="143"/>
        <v>1</v>
      </c>
      <c r="M1001" s="15">
        <f t="shared" si="144"/>
        <v>1</v>
      </c>
      <c r="N1001" s="5" t="s">
        <v>347</v>
      </c>
      <c r="O1001" s="5" t="s">
        <v>347</v>
      </c>
      <c r="P1001" s="5">
        <v>0</v>
      </c>
      <c r="Q1001" s="5">
        <v>0</v>
      </c>
      <c r="R1001" s="5" t="str">
        <f>A1001&amp;"-"&amp;YEAR(F1001)&amp;"-"&amp;IF(LEN(MONTH(F1001))=1,"0"&amp;MONTH(F1001),MONTH(F1001))&amp;"-"&amp;IF(LEN(DAY(F1001))=1,"0"&amp;DAY(F1001),DAY(F1001))</f>
        <v>905-2026-01-01</v>
      </c>
    </row>
    <row r="1002" spans="1:18" x14ac:dyDescent="0.3">
      <c r="A1002" s="26">
        <v>906</v>
      </c>
      <c r="B1002" s="23" t="s">
        <v>766</v>
      </c>
      <c r="C1002" s="5" t="s">
        <v>345</v>
      </c>
      <c r="D1002" s="5" t="s">
        <v>18</v>
      </c>
      <c r="E1002" s="5" t="s">
        <v>9</v>
      </c>
      <c r="F1002" s="6">
        <v>46023</v>
      </c>
      <c r="G1002" s="16" t="s">
        <v>799</v>
      </c>
      <c r="H1002" s="6" t="s">
        <v>799</v>
      </c>
      <c r="I1002" s="6" t="s">
        <v>799</v>
      </c>
      <c r="J1002" s="11">
        <v>100</v>
      </c>
      <c r="K1002" s="11">
        <v>100</v>
      </c>
      <c r="L1002" s="15">
        <f t="shared" si="143"/>
        <v>1</v>
      </c>
      <c r="M1002" s="15">
        <f t="shared" si="144"/>
        <v>1</v>
      </c>
      <c r="N1002" s="5" t="s">
        <v>347</v>
      </c>
      <c r="O1002" s="5" t="s">
        <v>347</v>
      </c>
      <c r="P1002" s="5">
        <v>0</v>
      </c>
      <c r="Q1002" s="5">
        <v>0</v>
      </c>
      <c r="R1002" s="5" t="str">
        <f>A1002&amp;"-"&amp;YEAR(F1002)&amp;"-"&amp;IF(LEN(MONTH(F1002))=1,"0"&amp;MONTH(F1002),MONTH(F1002))&amp;"-"&amp;IF(LEN(DAY(F1002))=1,"0"&amp;DAY(F1002),DAY(F1002))</f>
        <v>906-2026-01-01</v>
      </c>
    </row>
    <row r="1003" spans="1:18" x14ac:dyDescent="0.3">
      <c r="A1003" s="26">
        <v>907</v>
      </c>
      <c r="B1003" s="23" t="s">
        <v>538</v>
      </c>
      <c r="C1003" s="5" t="s">
        <v>345</v>
      </c>
      <c r="D1003" s="5" t="s">
        <v>18</v>
      </c>
      <c r="E1003" s="5" t="s">
        <v>9</v>
      </c>
      <c r="F1003" s="6">
        <v>46023</v>
      </c>
      <c r="G1003" s="16" t="s">
        <v>799</v>
      </c>
      <c r="H1003" s="6" t="s">
        <v>799</v>
      </c>
      <c r="I1003" s="6" t="s">
        <v>799</v>
      </c>
      <c r="J1003" s="11">
        <v>100</v>
      </c>
      <c r="K1003" s="11">
        <v>100</v>
      </c>
      <c r="L1003" s="15">
        <f t="shared" si="143"/>
        <v>1</v>
      </c>
      <c r="M1003" s="15">
        <f t="shared" si="144"/>
        <v>1</v>
      </c>
      <c r="N1003" s="5" t="s">
        <v>347</v>
      </c>
      <c r="O1003" s="5" t="s">
        <v>347</v>
      </c>
      <c r="P1003" s="5">
        <v>0</v>
      </c>
      <c r="Q1003" s="5">
        <v>0</v>
      </c>
      <c r="R1003" s="5" t="str">
        <f>A1003&amp;"-"&amp;YEAR(F1003)&amp;"-"&amp;IF(LEN(MONTH(F1003))=1,"0"&amp;MONTH(F1003),MONTH(F1003))&amp;"-"&amp;IF(LEN(DAY(F1003))=1,"0"&amp;DAY(F1003),DAY(F1003))</f>
        <v>907-2026-01-01</v>
      </c>
    </row>
    <row r="1004" spans="1:18" x14ac:dyDescent="0.3">
      <c r="A1004" s="26">
        <v>908</v>
      </c>
      <c r="B1004" s="23" t="s">
        <v>539</v>
      </c>
      <c r="C1004" s="5" t="s">
        <v>315</v>
      </c>
      <c r="D1004" s="5" t="s">
        <v>18</v>
      </c>
      <c r="E1004" s="5" t="s">
        <v>9</v>
      </c>
      <c r="F1004" s="6">
        <v>46023</v>
      </c>
      <c r="G1004" s="16" t="s">
        <v>799</v>
      </c>
      <c r="H1004" s="6" t="s">
        <v>799</v>
      </c>
      <c r="I1004" s="6" t="s">
        <v>799</v>
      </c>
      <c r="J1004" s="11">
        <v>100</v>
      </c>
      <c r="K1004" s="11">
        <v>100</v>
      </c>
      <c r="L1004" s="15">
        <f t="shared" si="143"/>
        <v>1</v>
      </c>
      <c r="M1004" s="15">
        <f t="shared" si="144"/>
        <v>1</v>
      </c>
      <c r="N1004" s="5" t="s">
        <v>347</v>
      </c>
      <c r="O1004" s="5" t="s">
        <v>347</v>
      </c>
      <c r="P1004" s="5">
        <v>0</v>
      </c>
      <c r="Q1004" s="5">
        <v>0</v>
      </c>
      <c r="R1004" s="5" t="str">
        <f>A1004&amp;"-"&amp;YEAR(F1004)&amp;"-"&amp;IF(LEN(MONTH(F1004))=1,"0"&amp;MONTH(F1004),MONTH(F1004))&amp;"-"&amp;IF(LEN(DAY(F1004))=1,"0"&amp;DAY(F1004),DAY(F1004))</f>
        <v>908-2026-01-01</v>
      </c>
    </row>
    <row r="1005" spans="1:18" x14ac:dyDescent="0.3">
      <c r="A1005" s="5" t="s">
        <v>424</v>
      </c>
      <c r="B1005" s="5" t="s">
        <v>425</v>
      </c>
      <c r="C1005" s="5" t="s">
        <v>158</v>
      </c>
      <c r="D1005" s="5" t="s">
        <v>18</v>
      </c>
      <c r="E1005" s="5" t="s">
        <v>9</v>
      </c>
      <c r="F1005" s="6">
        <v>46023</v>
      </c>
      <c r="G1005" s="16" t="s">
        <v>799</v>
      </c>
      <c r="H1005" s="6" t="s">
        <v>799</v>
      </c>
      <c r="I1005" s="6" t="s">
        <v>799</v>
      </c>
      <c r="J1005" s="5">
        <v>100</v>
      </c>
      <c r="K1005" s="5">
        <v>100</v>
      </c>
      <c r="L1005" s="15">
        <f t="shared" si="143"/>
        <v>1</v>
      </c>
      <c r="M1005" s="15">
        <f t="shared" si="144"/>
        <v>1</v>
      </c>
      <c r="N1005" s="5" t="s">
        <v>347</v>
      </c>
      <c r="O1005" s="5" t="s">
        <v>347</v>
      </c>
      <c r="P1005" s="5">
        <v>0</v>
      </c>
      <c r="Q1005" s="5">
        <v>0</v>
      </c>
      <c r="R1005" s="5" t="str">
        <f>A1005&amp;"-"&amp;YEAR(F1005)&amp;"-"&amp;IF(LEN(MONTH(F1005))=1,"0"&amp;MONTH(F1005),MONTH(F1005))&amp;"-"&amp;IF(LEN(DAY(F1005))=1,"0"&amp;DAY(F1005),DAY(F1005))</f>
        <v>10.1-2026-01-01</v>
      </c>
    </row>
    <row r="1006" spans="1:18" x14ac:dyDescent="0.3">
      <c r="A1006" s="26" t="s">
        <v>705</v>
      </c>
      <c r="B1006" s="23" t="s">
        <v>706</v>
      </c>
      <c r="C1006" s="5" t="s">
        <v>145</v>
      </c>
      <c r="D1006" s="5" t="s">
        <v>8</v>
      </c>
      <c r="E1006" s="5" t="s">
        <v>9</v>
      </c>
      <c r="F1006" s="6">
        <v>46023</v>
      </c>
      <c r="G1006" s="16" t="s">
        <v>799</v>
      </c>
      <c r="H1006" s="6" t="s">
        <v>799</v>
      </c>
      <c r="I1006" s="6" t="s">
        <v>799</v>
      </c>
      <c r="J1006" s="5">
        <v>5</v>
      </c>
      <c r="K1006" s="5">
        <v>3</v>
      </c>
      <c r="L1006" s="15">
        <f t="shared" si="143"/>
        <v>0.6</v>
      </c>
      <c r="M1006" s="15">
        <f t="shared" si="144"/>
        <v>0.6</v>
      </c>
      <c r="N1006" s="5" t="s">
        <v>490</v>
      </c>
      <c r="O1006" s="5" t="s">
        <v>490</v>
      </c>
      <c r="P1006" s="5">
        <v>0</v>
      </c>
      <c r="Q1006" s="5">
        <v>0</v>
      </c>
      <c r="R1006" s="5" t="str">
        <f>A1006&amp;"-"&amp;YEAR(F1006)&amp;"-"&amp;IF(LEN(MONTH(F1006))=1,"0"&amp;MONTH(F1006),MONTH(F1006))&amp;"-"&amp;IF(LEN(DAY(F1006))=1,"0"&amp;DAY(F1006),DAY(F1006))</f>
        <v>11.1-2026-01-01</v>
      </c>
    </row>
    <row r="1007" spans="1:18" x14ac:dyDescent="0.3">
      <c r="A1007" s="5" t="s">
        <v>427</v>
      </c>
      <c r="B1007" s="5" t="s">
        <v>428</v>
      </c>
      <c r="C1007" s="5" t="s">
        <v>117</v>
      </c>
      <c r="D1007" s="5" t="s">
        <v>18</v>
      </c>
      <c r="E1007" s="5" t="s">
        <v>9</v>
      </c>
      <c r="F1007" s="6">
        <v>46023</v>
      </c>
      <c r="G1007" s="16" t="s">
        <v>799</v>
      </c>
      <c r="H1007" s="6" t="s">
        <v>799</v>
      </c>
      <c r="I1007" s="6" t="s">
        <v>799</v>
      </c>
      <c r="J1007" s="5">
        <v>100</v>
      </c>
      <c r="K1007" s="5">
        <v>100</v>
      </c>
      <c r="L1007" s="15">
        <f t="shared" si="143"/>
        <v>1</v>
      </c>
      <c r="M1007" s="15">
        <f t="shared" si="144"/>
        <v>1</v>
      </c>
      <c r="N1007" s="5" t="s">
        <v>347</v>
      </c>
      <c r="O1007" s="5" t="s">
        <v>347</v>
      </c>
      <c r="P1007" s="5">
        <v>0</v>
      </c>
      <c r="Q1007" s="5">
        <v>0</v>
      </c>
      <c r="R1007" s="5" t="str">
        <f>A1007&amp;"-"&amp;YEAR(F1007)&amp;"-"&amp;IF(LEN(MONTH(F1007))=1,"0"&amp;MONTH(F1007),MONTH(F1007))&amp;"-"&amp;IF(LEN(DAY(F1007))=1,"0"&amp;DAY(F1007),DAY(F1007))</f>
        <v>13.1-2026-01-01</v>
      </c>
    </row>
    <row r="1008" spans="1:18" x14ac:dyDescent="0.3">
      <c r="A1008" s="25" t="s">
        <v>348</v>
      </c>
      <c r="B1008" s="23" t="s">
        <v>349</v>
      </c>
      <c r="C1008" s="5" t="s">
        <v>124</v>
      </c>
      <c r="D1008" s="5" t="s">
        <v>8</v>
      </c>
      <c r="E1008" s="5" t="s">
        <v>9</v>
      </c>
      <c r="F1008" s="6">
        <v>46023</v>
      </c>
      <c r="G1008" s="16" t="s">
        <v>799</v>
      </c>
      <c r="H1008" s="16" t="s">
        <v>799</v>
      </c>
      <c r="I1008" s="16" t="s">
        <v>799</v>
      </c>
      <c r="J1008" s="5">
        <v>16671</v>
      </c>
      <c r="K1008" s="5">
        <v>17478</v>
      </c>
      <c r="L1008" s="15">
        <f t="shared" si="143"/>
        <v>1.0484074140723412</v>
      </c>
      <c r="M1008" s="15">
        <f t="shared" si="144"/>
        <v>1.0484074140723412</v>
      </c>
      <c r="N1008" s="5" t="s">
        <v>490</v>
      </c>
      <c r="O1008" s="5" t="s">
        <v>490</v>
      </c>
      <c r="P1008" s="5">
        <v>0</v>
      </c>
      <c r="Q1008" s="5">
        <v>0</v>
      </c>
      <c r="R1008" s="5" t="str">
        <f>A1008&amp;"-"&amp;YEAR(F1008)&amp;"-"&amp;IF(LEN(MONTH(F1008))=1,"0"&amp;MONTH(F1008),MONTH(F1008))&amp;"-"&amp;IF(LEN(DAY(F1008))=1,"0"&amp;DAY(F1008),DAY(F1008))</f>
        <v>14.1-2026-01-01</v>
      </c>
    </row>
    <row r="1009" spans="1:18" x14ac:dyDescent="0.3">
      <c r="A1009" s="25" t="s">
        <v>350</v>
      </c>
      <c r="B1009" s="23" t="s">
        <v>351</v>
      </c>
      <c r="C1009" s="5" t="s">
        <v>124</v>
      </c>
      <c r="D1009" s="5" t="s">
        <v>8</v>
      </c>
      <c r="E1009" s="5" t="s">
        <v>9</v>
      </c>
      <c r="F1009" s="6">
        <v>46023</v>
      </c>
      <c r="G1009" s="16" t="s">
        <v>799</v>
      </c>
      <c r="H1009" s="6" t="s">
        <v>799</v>
      </c>
      <c r="I1009" s="6" t="s">
        <v>799</v>
      </c>
      <c r="J1009" s="5">
        <v>92409</v>
      </c>
      <c r="K1009" s="5">
        <v>95834</v>
      </c>
      <c r="L1009" s="15">
        <f t="shared" si="143"/>
        <v>1.0370634894869548</v>
      </c>
      <c r="M1009" s="15">
        <f t="shared" si="144"/>
        <v>1.0370634894869548</v>
      </c>
      <c r="N1009" s="5" t="s">
        <v>490</v>
      </c>
      <c r="O1009" s="5" t="s">
        <v>490</v>
      </c>
      <c r="P1009" s="5">
        <v>0</v>
      </c>
      <c r="Q1009" s="5">
        <v>0</v>
      </c>
      <c r="R1009" s="5" t="str">
        <f>A1009&amp;"-"&amp;YEAR(F1009)&amp;"-"&amp;IF(LEN(MONTH(F1009))=1,"0"&amp;MONTH(F1009),MONTH(F1009))&amp;"-"&amp;IF(LEN(DAY(F1009))=1,"0"&amp;DAY(F1009),DAY(F1009))</f>
        <v>14.2-2026-01-01</v>
      </c>
    </row>
    <row r="1010" spans="1:18" x14ac:dyDescent="0.3">
      <c r="A1010" s="25" t="s">
        <v>352</v>
      </c>
      <c r="B1010" s="23" t="s">
        <v>353</v>
      </c>
      <c r="C1010" s="5" t="s">
        <v>124</v>
      </c>
      <c r="D1010" s="5" t="s">
        <v>8</v>
      </c>
      <c r="E1010" s="5" t="s">
        <v>9</v>
      </c>
      <c r="F1010" s="6">
        <v>46023</v>
      </c>
      <c r="G1010" s="16" t="s">
        <v>799</v>
      </c>
      <c r="H1010" s="16" t="s">
        <v>799</v>
      </c>
      <c r="I1010" s="16" t="s">
        <v>799</v>
      </c>
      <c r="J1010" s="5">
        <v>98816</v>
      </c>
      <c r="K1010" s="5">
        <v>104271</v>
      </c>
      <c r="L1010" s="15">
        <f t="shared" si="143"/>
        <v>1.0552036107512954</v>
      </c>
      <c r="M1010" s="15">
        <f t="shared" si="144"/>
        <v>1.0552036107512954</v>
      </c>
      <c r="N1010" s="5" t="s">
        <v>490</v>
      </c>
      <c r="O1010" s="5" t="s">
        <v>490</v>
      </c>
      <c r="P1010" s="5">
        <v>0</v>
      </c>
      <c r="Q1010" s="5">
        <v>0</v>
      </c>
      <c r="R1010" s="5" t="str">
        <f>A1010&amp;"-"&amp;YEAR(F1010)&amp;"-"&amp;IF(LEN(MONTH(F1010))=1,"0"&amp;MONTH(F1010),MONTH(F1010))&amp;"-"&amp;IF(LEN(DAY(F1010))=1,"0"&amp;DAY(F1010),DAY(F1010))</f>
        <v>14.3-2026-01-01</v>
      </c>
    </row>
    <row r="1011" spans="1:18" x14ac:dyDescent="0.3">
      <c r="A1011" s="25" t="s">
        <v>354</v>
      </c>
      <c r="B1011" s="23" t="s">
        <v>355</v>
      </c>
      <c r="C1011" s="5" t="s">
        <v>124</v>
      </c>
      <c r="D1011" s="5" t="s">
        <v>8</v>
      </c>
      <c r="E1011" s="5" t="s">
        <v>9</v>
      </c>
      <c r="F1011" s="6">
        <v>46023</v>
      </c>
      <c r="G1011" s="16" t="s">
        <v>799</v>
      </c>
      <c r="H1011" s="16" t="s">
        <v>799</v>
      </c>
      <c r="I1011" s="16" t="s">
        <v>799</v>
      </c>
      <c r="J1011" s="5">
        <v>7856</v>
      </c>
      <c r="K1011" s="5">
        <v>9041</v>
      </c>
      <c r="L1011" s="15">
        <f t="shared" si="143"/>
        <v>1.1508401221995928</v>
      </c>
      <c r="M1011" s="15">
        <f t="shared" si="144"/>
        <v>1.1508401221995928</v>
      </c>
      <c r="N1011" s="5" t="s">
        <v>490</v>
      </c>
      <c r="O1011" s="5" t="s">
        <v>490</v>
      </c>
      <c r="P1011" s="5">
        <v>0</v>
      </c>
      <c r="Q1011" s="5">
        <v>0</v>
      </c>
      <c r="R1011" s="5" t="str">
        <f>A1011&amp;"-"&amp;YEAR(F1011)&amp;"-"&amp;IF(LEN(MONTH(F1011))=1,"0"&amp;MONTH(F1011),MONTH(F1011))&amp;"-"&amp;IF(LEN(DAY(F1011))=1,"0"&amp;DAY(F1011),DAY(F1011))</f>
        <v>14.4-2026-01-01</v>
      </c>
    </row>
    <row r="1012" spans="1:18" x14ac:dyDescent="0.3">
      <c r="A1012" s="26" t="s">
        <v>356</v>
      </c>
      <c r="B1012" s="23" t="s">
        <v>359</v>
      </c>
      <c r="C1012" s="5" t="s">
        <v>274</v>
      </c>
      <c r="D1012" s="5" t="s">
        <v>8</v>
      </c>
      <c r="E1012" s="5" t="s">
        <v>9</v>
      </c>
      <c r="F1012" s="6">
        <v>46023</v>
      </c>
      <c r="G1012" s="16" t="s">
        <v>799</v>
      </c>
      <c r="H1012" s="16" t="s">
        <v>799</v>
      </c>
      <c r="I1012" s="16" t="s">
        <v>799</v>
      </c>
      <c r="J1012" s="81">
        <v>9719.0247152000011</v>
      </c>
      <c r="K1012" s="81">
        <v>15764.228111</v>
      </c>
      <c r="L1012" s="15">
        <f t="shared" si="143"/>
        <v>1.3</v>
      </c>
      <c r="M1012" s="15">
        <f t="shared" si="144"/>
        <v>1.621996915631426</v>
      </c>
      <c r="N1012" s="5" t="s">
        <v>474</v>
      </c>
      <c r="O1012" s="5" t="s">
        <v>474</v>
      </c>
      <c r="P1012" s="5">
        <v>0</v>
      </c>
      <c r="Q1012" s="5">
        <v>0</v>
      </c>
      <c r="R1012" s="5" t="str">
        <f>A1012&amp;"-"&amp;YEAR(F1012)&amp;"-"&amp;IF(LEN(MONTH(F1012))=1,"0"&amp;MONTH(F1012),MONTH(F1012))&amp;"-"&amp;IF(LEN(DAY(F1012))=1,"0"&amp;DAY(F1012),DAY(F1012))</f>
        <v>386.1-2026-01-01</v>
      </c>
    </row>
    <row r="1013" spans="1:18" x14ac:dyDescent="0.3">
      <c r="A1013" s="26" t="s">
        <v>357</v>
      </c>
      <c r="B1013" s="5" t="s">
        <v>845</v>
      </c>
      <c r="C1013" s="5" t="s">
        <v>274</v>
      </c>
      <c r="D1013" s="5" t="s">
        <v>8</v>
      </c>
      <c r="E1013" s="5" t="s">
        <v>9</v>
      </c>
      <c r="F1013" s="6">
        <v>46023</v>
      </c>
      <c r="G1013" s="16" t="s">
        <v>799</v>
      </c>
      <c r="H1013" s="16" t="s">
        <v>799</v>
      </c>
      <c r="I1013" s="16" t="s">
        <v>799</v>
      </c>
      <c r="J1013" s="9">
        <v>27575.2022841</v>
      </c>
      <c r="K1013" s="9">
        <v>26848.239661000003</v>
      </c>
      <c r="L1013" s="15">
        <f t="shared" si="143"/>
        <v>0.97363708829366713</v>
      </c>
      <c r="M1013" s="15">
        <f t="shared" si="144"/>
        <v>0.97363708829366713</v>
      </c>
      <c r="N1013" s="5" t="s">
        <v>474</v>
      </c>
      <c r="O1013" s="5" t="s">
        <v>474</v>
      </c>
      <c r="P1013" s="5">
        <v>0</v>
      </c>
      <c r="Q1013" s="5">
        <v>0</v>
      </c>
      <c r="R1013" s="5" t="str">
        <f>A1013&amp;"-"&amp;YEAR(F1013)&amp;"-"&amp;IF(LEN(MONTH(F1013))=1,"0"&amp;MONTH(F1013),MONTH(F1013))&amp;"-"&amp;IF(LEN(DAY(F1013))=1,"0"&amp;DAY(F1013),DAY(F1013))</f>
        <v>386.2-2026-01-01</v>
      </c>
    </row>
    <row r="1014" spans="1:18" x14ac:dyDescent="0.3">
      <c r="A1014" s="26" t="s">
        <v>358</v>
      </c>
      <c r="B1014" s="23" t="s">
        <v>361</v>
      </c>
      <c r="C1014" s="5" t="s">
        <v>274</v>
      </c>
      <c r="D1014" s="5" t="s">
        <v>8</v>
      </c>
      <c r="E1014" s="5" t="s">
        <v>9</v>
      </c>
      <c r="F1014" s="6">
        <v>46023</v>
      </c>
      <c r="G1014" s="16" t="s">
        <v>799</v>
      </c>
      <c r="H1014" s="16" t="s">
        <v>799</v>
      </c>
      <c r="I1014" s="16" t="s">
        <v>799</v>
      </c>
      <c r="J1014" s="9">
        <v>19404.541402700001</v>
      </c>
      <c r="K1014" s="9">
        <v>18628.315502999998</v>
      </c>
      <c r="L1014" s="15">
        <f t="shared" si="143"/>
        <v>0.95999771993622085</v>
      </c>
      <c r="M1014" s="15">
        <f t="shared" si="144"/>
        <v>0.95999771993622085</v>
      </c>
      <c r="N1014" s="5" t="s">
        <v>474</v>
      </c>
      <c r="O1014" s="5" t="s">
        <v>474</v>
      </c>
      <c r="P1014" s="5">
        <v>0</v>
      </c>
      <c r="Q1014" s="5">
        <v>0</v>
      </c>
      <c r="R1014" s="5" t="str">
        <f>A1014&amp;"-"&amp;YEAR(F1014)&amp;"-"&amp;IF(LEN(MONTH(F1014))=1,"0"&amp;MONTH(F1014),MONTH(F1014))&amp;"-"&amp;IF(LEN(DAY(F1014))=1,"0"&amp;DAY(F1014),DAY(F1014))</f>
        <v>386.3-2026-01-01</v>
      </c>
    </row>
    <row r="1015" spans="1:18" x14ac:dyDescent="0.3">
      <c r="A1015" s="26" t="s">
        <v>788</v>
      </c>
      <c r="B1015" s="5" t="s">
        <v>789</v>
      </c>
      <c r="C1015" s="5" t="s">
        <v>345</v>
      </c>
      <c r="D1015" s="5" t="s">
        <v>8</v>
      </c>
      <c r="E1015" s="5" t="s">
        <v>9</v>
      </c>
      <c r="F1015" s="6">
        <v>46023</v>
      </c>
      <c r="G1015" s="16" t="s">
        <v>799</v>
      </c>
      <c r="H1015" s="6" t="s">
        <v>799</v>
      </c>
      <c r="I1015" s="6" t="s">
        <v>799</v>
      </c>
      <c r="J1015" s="5"/>
      <c r="K1015" s="5"/>
      <c r="L1015" s="15" t="str">
        <f t="shared" si="143"/>
        <v/>
      </c>
      <c r="M1015" s="15" t="str">
        <f t="shared" si="144"/>
        <v/>
      </c>
      <c r="N1015" s="5" t="s">
        <v>491</v>
      </c>
      <c r="O1015" s="5" t="s">
        <v>491</v>
      </c>
      <c r="P1015" s="5">
        <v>0</v>
      </c>
      <c r="Q1015" s="5">
        <v>0</v>
      </c>
      <c r="R1015" s="5" t="str">
        <f>A1015&amp;"-"&amp;YEAR(F1015)&amp;"-"&amp;IF(LEN(MONTH(F1015))=1,"0"&amp;MONTH(F1015),MONTH(F1015))&amp;"-"&amp;IF(LEN(DAY(F1015))=1,"0"&amp;DAY(F1015),DAY(F1015))</f>
        <v>Prov-1-2026-01-01</v>
      </c>
    </row>
    <row r="1016" spans="1:18" x14ac:dyDescent="0.3">
      <c r="A1016" s="26" t="s">
        <v>790</v>
      </c>
      <c r="B1016" s="5" t="s">
        <v>791</v>
      </c>
      <c r="C1016" s="5" t="s">
        <v>345</v>
      </c>
      <c r="D1016" s="5" t="s">
        <v>8</v>
      </c>
      <c r="E1016" s="5" t="s">
        <v>9</v>
      </c>
      <c r="F1016" s="6">
        <v>46023</v>
      </c>
      <c r="G1016" s="16" t="s">
        <v>799</v>
      </c>
      <c r="H1016" s="6" t="s">
        <v>799</v>
      </c>
      <c r="I1016" s="6" t="s">
        <v>799</v>
      </c>
      <c r="J1016" s="5"/>
      <c r="K1016" s="5"/>
      <c r="L1016" s="15" t="str">
        <f t="shared" si="143"/>
        <v/>
      </c>
      <c r="M1016" s="15" t="str">
        <f t="shared" si="144"/>
        <v/>
      </c>
      <c r="N1016" s="5" t="s">
        <v>491</v>
      </c>
      <c r="O1016" s="5" t="s">
        <v>491</v>
      </c>
      <c r="P1016" s="5">
        <v>0</v>
      </c>
      <c r="Q1016" s="5">
        <v>0</v>
      </c>
      <c r="R1016" s="5" t="str">
        <f>A1016&amp;"-"&amp;YEAR(F1016)&amp;"-"&amp;IF(LEN(MONTH(F1016))=1,"0"&amp;MONTH(F1016),MONTH(F1016))&amp;"-"&amp;IF(LEN(DAY(F1016))=1,"0"&amp;DAY(F1016),DAY(F1016))</f>
        <v>Prov-2-2026-01-01</v>
      </c>
    </row>
    <row r="1017" spans="1:18" x14ac:dyDescent="0.3">
      <c r="A1017" s="5">
        <v>8</v>
      </c>
      <c r="B1017" s="5" t="s">
        <v>337</v>
      </c>
      <c r="C1017" s="5" t="s">
        <v>129</v>
      </c>
      <c r="D1017" s="5" t="s">
        <v>18</v>
      </c>
      <c r="E1017" s="5" t="s">
        <v>9</v>
      </c>
      <c r="F1017" s="6">
        <v>46023</v>
      </c>
      <c r="G1017" s="16" t="s">
        <v>799</v>
      </c>
      <c r="H1017" s="16" t="s">
        <v>799</v>
      </c>
      <c r="I1017" s="16" t="s">
        <v>799</v>
      </c>
      <c r="J1017" s="13">
        <v>100</v>
      </c>
      <c r="K1017" s="13">
        <v>100</v>
      </c>
      <c r="L1017" s="15">
        <f>IFERROR(IF((K1017/J1017)&gt;1,1,K1017/J1017),"")</f>
        <v>1</v>
      </c>
      <c r="M1017" s="15">
        <f>IFERROR(IF((K1017/J1017)&gt;1,1,K1017/J1017),"")</f>
        <v>1</v>
      </c>
      <c r="N1017" s="5" t="s">
        <v>347</v>
      </c>
      <c r="O1017" s="5" t="s">
        <v>347</v>
      </c>
      <c r="P1017" s="5">
        <v>0</v>
      </c>
      <c r="Q1017" s="5">
        <v>0</v>
      </c>
      <c r="R1017" s="5" t="str">
        <f>A1017&amp;"-"&amp;YEAR(F1017)&amp;"-"&amp;IF(LEN(MONTH(F1017))=1,"0"&amp;MONTH(F1017),MONTH(F1017))&amp;"-"&amp;IF(LEN(DAY(F1017))=1,"0"&amp;DAY(F1017),DAY(F1017))</f>
        <v>8-2026-01-01</v>
      </c>
    </row>
    <row r="1018" spans="1:18" x14ac:dyDescent="0.3">
      <c r="A1018" s="5">
        <v>909</v>
      </c>
      <c r="B1018" s="5" t="s">
        <v>818</v>
      </c>
      <c r="C1018" s="5" t="s">
        <v>158</v>
      </c>
      <c r="D1018" s="5" t="s">
        <v>18</v>
      </c>
      <c r="E1018" s="5" t="s">
        <v>9</v>
      </c>
      <c r="F1018" s="6">
        <v>46023</v>
      </c>
      <c r="G1018" s="16" t="s">
        <v>799</v>
      </c>
      <c r="H1018" s="16" t="s">
        <v>799</v>
      </c>
      <c r="I1018" s="16" t="s">
        <v>799</v>
      </c>
      <c r="J1018" s="5">
        <v>67</v>
      </c>
      <c r="K1018" s="5">
        <v>66</v>
      </c>
      <c r="L1018" s="15">
        <f t="shared" ref="L1018:L1028" si="145">IFERROR(IF((K1018/J1018)&gt;1.3,1.3,K1018/J1018),"")</f>
        <v>0.9850746268656716</v>
      </c>
      <c r="M1018" s="15">
        <f t="shared" ref="M1018:M1028" si="146">IFERROR(K1018/J1018,"")</f>
        <v>0.9850746268656716</v>
      </c>
      <c r="N1018" s="5" t="s">
        <v>347</v>
      </c>
      <c r="O1018" s="5" t="s">
        <v>347</v>
      </c>
      <c r="P1018" s="5">
        <v>0</v>
      </c>
      <c r="Q1018" s="5">
        <v>0</v>
      </c>
      <c r="R1018" s="5" t="str">
        <f>A1018&amp;"-"&amp;YEAR(F1018)&amp;"-"&amp;IF(LEN(MONTH(F1018))=1,"0"&amp;MONTH(F1018),MONTH(F1018))&amp;"-"&amp;IF(LEN(DAY(F1018))=1,"0"&amp;DAY(F1018),DAY(F1018))</f>
        <v>909-2026-01-01</v>
      </c>
    </row>
    <row r="1019" spans="1:18" x14ac:dyDescent="0.3">
      <c r="A1019" s="5">
        <v>910</v>
      </c>
      <c r="B1019" s="5" t="s">
        <v>819</v>
      </c>
      <c r="C1019" s="5" t="s">
        <v>59</v>
      </c>
      <c r="D1019" s="5" t="s">
        <v>18</v>
      </c>
      <c r="E1019" s="5" t="s">
        <v>9</v>
      </c>
      <c r="F1019" s="6">
        <v>46023</v>
      </c>
      <c r="G1019" s="16" t="s">
        <v>799</v>
      </c>
      <c r="H1019" s="16" t="s">
        <v>799</v>
      </c>
      <c r="I1019" s="16" t="s">
        <v>799</v>
      </c>
      <c r="J1019" s="5">
        <v>48</v>
      </c>
      <c r="K1019" s="5">
        <v>47</v>
      </c>
      <c r="L1019" s="15">
        <f t="shared" si="145"/>
        <v>0.97916666666666663</v>
      </c>
      <c r="M1019" s="15">
        <f t="shared" si="146"/>
        <v>0.97916666666666663</v>
      </c>
      <c r="N1019" s="5" t="s">
        <v>347</v>
      </c>
      <c r="O1019" s="5" t="s">
        <v>347</v>
      </c>
      <c r="P1019" s="5">
        <v>0</v>
      </c>
      <c r="Q1019" s="5">
        <v>0</v>
      </c>
      <c r="R1019" s="5" t="str">
        <f>A1019&amp;"-"&amp;YEAR(F1019)&amp;"-"&amp;IF(LEN(MONTH(F1019))=1,"0"&amp;MONTH(F1019),MONTH(F1019))&amp;"-"&amp;IF(LEN(DAY(F1019))=1,"0"&amp;DAY(F1019),DAY(F1019))</f>
        <v>910-2026-01-01</v>
      </c>
    </row>
    <row r="1020" spans="1:18" x14ac:dyDescent="0.3">
      <c r="A1020" s="5">
        <v>911</v>
      </c>
      <c r="B1020" s="5" t="s">
        <v>820</v>
      </c>
      <c r="C1020" s="5" t="s">
        <v>162</v>
      </c>
      <c r="D1020" s="5" t="s">
        <v>18</v>
      </c>
      <c r="E1020" s="5" t="s">
        <v>9</v>
      </c>
      <c r="F1020" s="6">
        <v>46023</v>
      </c>
      <c r="G1020" s="16" t="s">
        <v>799</v>
      </c>
      <c r="H1020" s="16" t="s">
        <v>799</v>
      </c>
      <c r="I1020" s="16" t="s">
        <v>799</v>
      </c>
      <c r="J1020" s="5">
        <v>76</v>
      </c>
      <c r="K1020" s="5">
        <v>75</v>
      </c>
      <c r="L1020" s="15">
        <f t="shared" si="145"/>
        <v>0.98684210526315785</v>
      </c>
      <c r="M1020" s="15">
        <f t="shared" si="146"/>
        <v>0.98684210526315785</v>
      </c>
      <c r="N1020" s="5" t="s">
        <v>347</v>
      </c>
      <c r="O1020" s="5" t="s">
        <v>347</v>
      </c>
      <c r="P1020" s="5">
        <v>0</v>
      </c>
      <c r="Q1020" s="5">
        <v>0</v>
      </c>
      <c r="R1020" s="5" t="str">
        <f>A1020&amp;"-"&amp;YEAR(F1020)&amp;"-"&amp;IF(LEN(MONTH(F1020))=1,"0"&amp;MONTH(F1020),MONTH(F1020))&amp;"-"&amp;IF(LEN(DAY(F1020))=1,"0"&amp;DAY(F1020),DAY(F1020))</f>
        <v>911-2026-01-01</v>
      </c>
    </row>
    <row r="1021" spans="1:18" x14ac:dyDescent="0.3">
      <c r="A1021" s="5">
        <v>912</v>
      </c>
      <c r="B1021" s="5" t="s">
        <v>821</v>
      </c>
      <c r="C1021" s="5" t="s">
        <v>129</v>
      </c>
      <c r="D1021" s="5" t="s">
        <v>18</v>
      </c>
      <c r="E1021" s="5" t="s">
        <v>9</v>
      </c>
      <c r="F1021" s="6">
        <v>46023</v>
      </c>
      <c r="G1021" s="16" t="s">
        <v>799</v>
      </c>
      <c r="H1021" s="16" t="s">
        <v>799</v>
      </c>
      <c r="I1021" s="16" t="s">
        <v>799</v>
      </c>
      <c r="J1021" s="5">
        <v>46</v>
      </c>
      <c r="K1021" s="5">
        <v>46</v>
      </c>
      <c r="L1021" s="15">
        <f t="shared" si="145"/>
        <v>1</v>
      </c>
      <c r="M1021" s="15">
        <f t="shared" si="146"/>
        <v>1</v>
      </c>
      <c r="N1021" s="5" t="s">
        <v>347</v>
      </c>
      <c r="O1021" s="5" t="s">
        <v>347</v>
      </c>
      <c r="P1021" s="5">
        <v>0</v>
      </c>
      <c r="Q1021" s="5">
        <v>0</v>
      </c>
      <c r="R1021" s="5" t="str">
        <f>A1021&amp;"-"&amp;YEAR(F1021)&amp;"-"&amp;IF(LEN(MONTH(F1021))=1,"0"&amp;MONTH(F1021),MONTH(F1021))&amp;"-"&amp;IF(LEN(DAY(F1021))=1,"0"&amp;DAY(F1021),DAY(F1021))</f>
        <v>912-2026-01-01</v>
      </c>
    </row>
    <row r="1022" spans="1:18" x14ac:dyDescent="0.3">
      <c r="A1022" s="5">
        <v>913</v>
      </c>
      <c r="B1022" s="5" t="s">
        <v>822</v>
      </c>
      <c r="C1022" s="5" t="s">
        <v>145</v>
      </c>
      <c r="D1022" s="5" t="s">
        <v>18</v>
      </c>
      <c r="E1022" s="5" t="s">
        <v>9</v>
      </c>
      <c r="F1022" s="6">
        <v>46023</v>
      </c>
      <c r="G1022" s="16" t="s">
        <v>799</v>
      </c>
      <c r="H1022" s="16" t="s">
        <v>799</v>
      </c>
      <c r="I1022" s="16" t="s">
        <v>799</v>
      </c>
      <c r="J1022" s="5">
        <v>75</v>
      </c>
      <c r="K1022" s="5">
        <v>81</v>
      </c>
      <c r="L1022" s="15">
        <f t="shared" si="145"/>
        <v>1.08</v>
      </c>
      <c r="M1022" s="15">
        <f t="shared" si="146"/>
        <v>1.08</v>
      </c>
      <c r="N1022" s="5" t="s">
        <v>347</v>
      </c>
      <c r="O1022" s="5" t="s">
        <v>347</v>
      </c>
      <c r="P1022" s="5">
        <v>0</v>
      </c>
      <c r="Q1022" s="5">
        <v>0</v>
      </c>
      <c r="R1022" s="5" t="str">
        <f>A1022&amp;"-"&amp;YEAR(F1022)&amp;"-"&amp;IF(LEN(MONTH(F1022))=1,"0"&amp;MONTH(F1022),MONTH(F1022))&amp;"-"&amp;IF(LEN(DAY(F1022))=1,"0"&amp;DAY(F1022),DAY(F1022))</f>
        <v>913-2026-01-01</v>
      </c>
    </row>
    <row r="1023" spans="1:18" x14ac:dyDescent="0.3">
      <c r="A1023" s="5">
        <v>914</v>
      </c>
      <c r="B1023" s="5" t="s">
        <v>823</v>
      </c>
      <c r="C1023" s="5" t="s">
        <v>13</v>
      </c>
      <c r="D1023" s="5" t="s">
        <v>18</v>
      </c>
      <c r="E1023" s="5" t="s">
        <v>9</v>
      </c>
      <c r="F1023" s="6">
        <v>46023</v>
      </c>
      <c r="G1023" s="16" t="s">
        <v>799</v>
      </c>
      <c r="H1023" s="16" t="s">
        <v>799</v>
      </c>
      <c r="I1023" s="16" t="s">
        <v>799</v>
      </c>
      <c r="J1023" s="5">
        <v>41</v>
      </c>
      <c r="K1023" s="5">
        <v>39</v>
      </c>
      <c r="L1023" s="15">
        <f t="shared" si="145"/>
        <v>0.95121951219512191</v>
      </c>
      <c r="M1023" s="15">
        <f t="shared" si="146"/>
        <v>0.95121951219512191</v>
      </c>
      <c r="N1023" s="5" t="s">
        <v>347</v>
      </c>
      <c r="O1023" s="5" t="s">
        <v>347</v>
      </c>
      <c r="P1023" s="5">
        <v>0</v>
      </c>
      <c r="Q1023" s="5">
        <v>0</v>
      </c>
      <c r="R1023" s="5" t="str">
        <f>A1023&amp;"-"&amp;YEAR(F1023)&amp;"-"&amp;IF(LEN(MONTH(F1023))=1,"0"&amp;MONTH(F1023),MONTH(F1023))&amp;"-"&amp;IF(LEN(DAY(F1023))=1,"0"&amp;DAY(F1023),DAY(F1023))</f>
        <v>914-2026-01-01</v>
      </c>
    </row>
    <row r="1024" spans="1:18" x14ac:dyDescent="0.3">
      <c r="A1024" s="5">
        <v>915</v>
      </c>
      <c r="B1024" s="5" t="s">
        <v>824</v>
      </c>
      <c r="C1024" s="5" t="s">
        <v>237</v>
      </c>
      <c r="D1024" s="5" t="s">
        <v>18</v>
      </c>
      <c r="E1024" s="5" t="s">
        <v>9</v>
      </c>
      <c r="F1024" s="6">
        <v>46023</v>
      </c>
      <c r="G1024" s="16" t="s">
        <v>799</v>
      </c>
      <c r="H1024" s="16" t="s">
        <v>799</v>
      </c>
      <c r="I1024" s="16" t="s">
        <v>799</v>
      </c>
      <c r="J1024" s="5">
        <v>12</v>
      </c>
      <c r="K1024" s="5">
        <v>56</v>
      </c>
      <c r="L1024" s="15">
        <f t="shared" si="145"/>
        <v>1.3</v>
      </c>
      <c r="M1024" s="15">
        <f t="shared" si="146"/>
        <v>4.666666666666667</v>
      </c>
      <c r="N1024" s="5" t="s">
        <v>347</v>
      </c>
      <c r="O1024" s="5" t="s">
        <v>347</v>
      </c>
      <c r="P1024" s="5">
        <v>0</v>
      </c>
      <c r="Q1024" s="5">
        <v>0</v>
      </c>
      <c r="R1024" s="5" t="str">
        <f>A1024&amp;"-"&amp;YEAR(F1024)&amp;"-"&amp;IF(LEN(MONTH(F1024))=1,"0"&amp;MONTH(F1024),MONTH(F1024))&amp;"-"&amp;IF(LEN(DAY(F1024))=1,"0"&amp;DAY(F1024),DAY(F1024))</f>
        <v>915-2026-01-01</v>
      </c>
    </row>
    <row r="1025" spans="1:18" x14ac:dyDescent="0.3">
      <c r="A1025" s="5">
        <v>916</v>
      </c>
      <c r="B1025" s="5" t="s">
        <v>825</v>
      </c>
      <c r="C1025" s="5" t="s">
        <v>45</v>
      </c>
      <c r="D1025" s="5" t="s">
        <v>18</v>
      </c>
      <c r="E1025" s="5" t="s">
        <v>9</v>
      </c>
      <c r="F1025" s="6">
        <v>46023</v>
      </c>
      <c r="G1025" s="16" t="s">
        <v>799</v>
      </c>
      <c r="H1025" s="16" t="s">
        <v>799</v>
      </c>
      <c r="I1025" s="16" t="s">
        <v>799</v>
      </c>
      <c r="J1025" s="5">
        <v>26</v>
      </c>
      <c r="K1025" s="5">
        <v>24</v>
      </c>
      <c r="L1025" s="15">
        <f t="shared" si="145"/>
        <v>0.92307692307692313</v>
      </c>
      <c r="M1025" s="15">
        <f t="shared" si="146"/>
        <v>0.92307692307692313</v>
      </c>
      <c r="N1025" s="5" t="s">
        <v>347</v>
      </c>
      <c r="O1025" s="5" t="s">
        <v>347</v>
      </c>
      <c r="P1025" s="5">
        <v>0</v>
      </c>
      <c r="Q1025" s="5">
        <v>0</v>
      </c>
      <c r="R1025" s="5" t="str">
        <f>A1025&amp;"-"&amp;YEAR(F1025)&amp;"-"&amp;IF(LEN(MONTH(F1025))=1,"0"&amp;MONTH(F1025),MONTH(F1025))&amp;"-"&amp;IF(LEN(DAY(F1025))=1,"0"&amp;DAY(F1025),DAY(F1025))</f>
        <v>916-2026-01-01</v>
      </c>
    </row>
    <row r="1026" spans="1:18" x14ac:dyDescent="0.3">
      <c r="A1026" s="5">
        <v>917</v>
      </c>
      <c r="B1026" s="5" t="s">
        <v>826</v>
      </c>
      <c r="C1026" s="5" t="s">
        <v>74</v>
      </c>
      <c r="D1026" s="5" t="s">
        <v>18</v>
      </c>
      <c r="E1026" s="5" t="s">
        <v>9</v>
      </c>
      <c r="F1026" s="6">
        <v>46023</v>
      </c>
      <c r="G1026" s="16" t="s">
        <v>799</v>
      </c>
      <c r="H1026" s="16" t="s">
        <v>799</v>
      </c>
      <c r="I1026" s="16" t="s">
        <v>799</v>
      </c>
      <c r="J1026" s="5">
        <v>90</v>
      </c>
      <c r="K1026" s="5">
        <v>90</v>
      </c>
      <c r="L1026" s="15">
        <f t="shared" si="145"/>
        <v>1</v>
      </c>
      <c r="M1026" s="15">
        <f t="shared" si="146"/>
        <v>1</v>
      </c>
      <c r="N1026" s="5" t="s">
        <v>347</v>
      </c>
      <c r="O1026" s="5" t="s">
        <v>347</v>
      </c>
      <c r="P1026" s="5">
        <v>0</v>
      </c>
      <c r="Q1026" s="5">
        <v>0</v>
      </c>
      <c r="R1026" s="5" t="str">
        <f>A1026&amp;"-"&amp;YEAR(F1026)&amp;"-"&amp;IF(LEN(MONTH(F1026))=1,"0"&amp;MONTH(F1026),MONTH(F1026))&amp;"-"&amp;IF(LEN(DAY(F1026))=1,"0"&amp;DAY(F1026),DAY(F1026))</f>
        <v>917-2026-01-01</v>
      </c>
    </row>
    <row r="1027" spans="1:18" x14ac:dyDescent="0.3">
      <c r="A1027" s="5">
        <v>918</v>
      </c>
      <c r="B1027" s="5" t="s">
        <v>827</v>
      </c>
      <c r="C1027" s="5" t="s">
        <v>343</v>
      </c>
      <c r="D1027" s="5" t="s">
        <v>18</v>
      </c>
      <c r="E1027" s="5" t="s">
        <v>9</v>
      </c>
      <c r="F1027" s="6">
        <v>46023</v>
      </c>
      <c r="G1027" s="16" t="s">
        <v>799</v>
      </c>
      <c r="H1027" s="16" t="s">
        <v>799</v>
      </c>
      <c r="I1027" s="16" t="s">
        <v>799</v>
      </c>
      <c r="J1027" s="5">
        <v>77</v>
      </c>
      <c r="K1027" s="5">
        <v>81</v>
      </c>
      <c r="L1027" s="15">
        <f t="shared" si="145"/>
        <v>1.051948051948052</v>
      </c>
      <c r="M1027" s="15">
        <f t="shared" si="146"/>
        <v>1.051948051948052</v>
      </c>
      <c r="N1027" s="5" t="s">
        <v>347</v>
      </c>
      <c r="O1027" s="5" t="s">
        <v>347</v>
      </c>
      <c r="P1027" s="5">
        <v>0</v>
      </c>
      <c r="Q1027" s="5">
        <v>0</v>
      </c>
      <c r="R1027" s="5" t="str">
        <f>A1027&amp;"-"&amp;YEAR(F1027)&amp;"-"&amp;IF(LEN(MONTH(F1027))=1,"0"&amp;MONTH(F1027),MONTH(F1027))&amp;"-"&amp;IF(LEN(DAY(F1027))=1,"0"&amp;DAY(F1027),DAY(F1027))</f>
        <v>918-2026-01-01</v>
      </c>
    </row>
    <row r="1028" spans="1:18" x14ac:dyDescent="0.3">
      <c r="A1028" s="5">
        <v>919</v>
      </c>
      <c r="B1028" s="5" t="s">
        <v>828</v>
      </c>
      <c r="C1028" s="5" t="s">
        <v>762</v>
      </c>
      <c r="D1028" s="5" t="s">
        <v>18</v>
      </c>
      <c r="E1028" s="5" t="s">
        <v>9</v>
      </c>
      <c r="F1028" s="6">
        <v>46023</v>
      </c>
      <c r="G1028" s="16" t="s">
        <v>799</v>
      </c>
      <c r="H1028" s="16" t="s">
        <v>799</v>
      </c>
      <c r="I1028" s="16" t="s">
        <v>799</v>
      </c>
      <c r="J1028" s="5">
        <v>95</v>
      </c>
      <c r="K1028" s="5">
        <v>92</v>
      </c>
      <c r="L1028" s="15">
        <f t="shared" si="145"/>
        <v>0.96842105263157896</v>
      </c>
      <c r="M1028" s="15">
        <f t="shared" si="146"/>
        <v>0.96842105263157896</v>
      </c>
      <c r="N1028" s="5" t="s">
        <v>347</v>
      </c>
      <c r="O1028" s="5" t="s">
        <v>347</v>
      </c>
      <c r="P1028" s="5">
        <v>0</v>
      </c>
      <c r="Q1028" s="5">
        <v>0</v>
      </c>
      <c r="R1028" s="5" t="str">
        <f>A1028&amp;"-"&amp;YEAR(F1028)&amp;"-"&amp;IF(LEN(MONTH(F1028))=1,"0"&amp;MONTH(F1028),MONTH(F1028))&amp;"-"&amp;IF(LEN(DAY(F1028))=1,"0"&amp;DAY(F1028),DAY(F1028))</f>
        <v>919-2026-01-01</v>
      </c>
    </row>
    <row r="1029" spans="1:18" x14ac:dyDescent="0.3">
      <c r="A1029" s="5">
        <v>921</v>
      </c>
      <c r="B1029" s="5" t="s">
        <v>831</v>
      </c>
      <c r="C1029" s="5" t="s">
        <v>343</v>
      </c>
      <c r="D1029" s="5" t="s">
        <v>18</v>
      </c>
      <c r="E1029" s="5" t="s">
        <v>9</v>
      </c>
      <c r="F1029" s="6">
        <v>46023</v>
      </c>
      <c r="G1029" s="16" t="s">
        <v>799</v>
      </c>
      <c r="H1029" s="16" t="s">
        <v>799</v>
      </c>
      <c r="I1029" s="16" t="s">
        <v>799</v>
      </c>
      <c r="J1029" s="5">
        <v>100</v>
      </c>
      <c r="K1029" s="5">
        <v>100</v>
      </c>
      <c r="L1029" s="15">
        <v>1</v>
      </c>
      <c r="M1029" s="15">
        <v>1</v>
      </c>
      <c r="N1029" s="5" t="s">
        <v>347</v>
      </c>
      <c r="O1029" s="5" t="s">
        <v>347</v>
      </c>
      <c r="P1029" s="5">
        <v>0</v>
      </c>
      <c r="Q1029" s="5">
        <v>0</v>
      </c>
      <c r="R1029" s="5" t="str">
        <f>A1029&amp;"-"&amp;YEAR(F1029)&amp;"-"&amp;IF(LEN(MONTH(F1029))=1,"0"&amp;MONTH(F1029),MONTH(F1029))&amp;"-"&amp;IF(LEN(DAY(F1029))=1,"0"&amp;DAY(F1029),DAY(F1029))</f>
        <v>921-2026-01-01</v>
      </c>
    </row>
    <row r="1030" spans="1:18" x14ac:dyDescent="0.3">
      <c r="A1030" s="5">
        <v>920</v>
      </c>
      <c r="B1030" s="5" t="s">
        <v>830</v>
      </c>
      <c r="C1030" s="5" t="s">
        <v>343</v>
      </c>
      <c r="D1030" s="5" t="s">
        <v>18</v>
      </c>
      <c r="E1030" s="5" t="s">
        <v>9</v>
      </c>
      <c r="F1030" s="6">
        <v>46023</v>
      </c>
      <c r="G1030" s="16" t="s">
        <v>799</v>
      </c>
      <c r="H1030" s="16" t="s">
        <v>799</v>
      </c>
      <c r="I1030" s="16" t="s">
        <v>799</v>
      </c>
      <c r="J1030" s="5">
        <v>100</v>
      </c>
      <c r="K1030" s="5">
        <v>100</v>
      </c>
      <c r="L1030" s="15">
        <v>1</v>
      </c>
      <c r="M1030" s="15">
        <v>1</v>
      </c>
      <c r="N1030" s="5" t="s">
        <v>347</v>
      </c>
      <c r="O1030" s="5" t="s">
        <v>347</v>
      </c>
      <c r="P1030" s="5">
        <v>0</v>
      </c>
      <c r="Q1030" s="5">
        <v>0</v>
      </c>
      <c r="R1030" s="5" t="str">
        <f>A1030&amp;"-"&amp;YEAR(F1030)&amp;"-"&amp;IF(LEN(MONTH(F1030))=1,"0"&amp;MONTH(F1030),MONTH(F1030))&amp;"-"&amp;IF(LEN(DAY(F1030))=1,"0"&amp;DAY(F1030),DAY(F1030))</f>
        <v>920-2026-01-01</v>
      </c>
    </row>
    <row r="1031" spans="1:18" x14ac:dyDescent="0.3">
      <c r="A1031" s="5">
        <v>922</v>
      </c>
      <c r="B1031" s="5" t="s">
        <v>833</v>
      </c>
      <c r="C1031" s="5" t="s">
        <v>124</v>
      </c>
      <c r="D1031" s="5" t="s">
        <v>18</v>
      </c>
      <c r="E1031" s="5" t="s">
        <v>9</v>
      </c>
      <c r="F1031" s="6">
        <v>46023</v>
      </c>
      <c r="G1031" s="16" t="s">
        <v>799</v>
      </c>
      <c r="H1031" s="16" t="s">
        <v>799</v>
      </c>
      <c r="I1031" s="16" t="s">
        <v>799</v>
      </c>
      <c r="J1031" s="5">
        <v>100</v>
      </c>
      <c r="K1031" s="5">
        <v>99</v>
      </c>
      <c r="L1031" s="15">
        <v>0.95604395604395609</v>
      </c>
      <c r="M1031" s="15">
        <v>0.95604395604395609</v>
      </c>
      <c r="N1031" s="5" t="s">
        <v>347</v>
      </c>
      <c r="O1031" s="5" t="s">
        <v>347</v>
      </c>
      <c r="P1031" s="5">
        <v>0</v>
      </c>
      <c r="Q1031" s="5">
        <v>0</v>
      </c>
      <c r="R1031" s="5" t="str">
        <f>A1031&amp;"-"&amp;YEAR(F1031)&amp;"-"&amp;IF(LEN(MONTH(F1031))=1,"0"&amp;MONTH(F1031),MONTH(F1031))&amp;"-"&amp;IF(LEN(DAY(F1031))=1,"0"&amp;DAY(F1031),DAY(F1031))</f>
        <v>922-2026-01-01</v>
      </c>
    </row>
    <row r="1032" spans="1:18" x14ac:dyDescent="0.3">
      <c r="A1032" s="5">
        <v>925</v>
      </c>
      <c r="B1032" s="5" t="s">
        <v>839</v>
      </c>
      <c r="C1032" s="5" t="s">
        <v>84</v>
      </c>
      <c r="D1032" s="5" t="s">
        <v>18</v>
      </c>
      <c r="E1032" s="5" t="s">
        <v>9</v>
      </c>
      <c r="F1032" s="6">
        <v>46023</v>
      </c>
      <c r="G1032" s="16" t="s">
        <v>799</v>
      </c>
      <c r="H1032" s="16" t="s">
        <v>799</v>
      </c>
      <c r="I1032" s="16" t="s">
        <v>799</v>
      </c>
      <c r="J1032" s="34">
        <v>100</v>
      </c>
      <c r="K1032" s="34">
        <v>100</v>
      </c>
      <c r="L1032" s="15">
        <v>1</v>
      </c>
      <c r="M1032" s="15">
        <v>1</v>
      </c>
      <c r="N1032" s="5" t="s">
        <v>347</v>
      </c>
      <c r="O1032" s="5" t="s">
        <v>347</v>
      </c>
      <c r="P1032" s="5">
        <v>0</v>
      </c>
      <c r="Q1032" s="5">
        <v>0</v>
      </c>
      <c r="R1032" s="5" t="str">
        <f>A1032&amp;"-"&amp;YEAR(F1032)&amp;"-"&amp;IF(LEN(MONTH(F1032))=1,"0"&amp;MONTH(F1032),MONTH(F1032))&amp;"-"&amp;IF(LEN(DAY(F1032))=1,"0"&amp;DAY(F1032),DAY(F1032))</f>
        <v>925-2026-01-01</v>
      </c>
    </row>
    <row r="1033" spans="1:18" x14ac:dyDescent="0.3">
      <c r="A1033" s="5">
        <v>923</v>
      </c>
      <c r="B1033" s="5" t="s">
        <v>834</v>
      </c>
      <c r="C1033" s="5" t="s">
        <v>345</v>
      </c>
      <c r="D1033" s="5" t="s">
        <v>18</v>
      </c>
      <c r="E1033" s="5" t="s">
        <v>9</v>
      </c>
      <c r="F1033" s="6">
        <v>46023</v>
      </c>
      <c r="G1033" s="16" t="s">
        <v>799</v>
      </c>
      <c r="H1033" s="16" t="s">
        <v>799</v>
      </c>
      <c r="I1033" s="16" t="s">
        <v>799</v>
      </c>
      <c r="J1033" s="5">
        <v>100</v>
      </c>
      <c r="K1033" s="5">
        <v>98</v>
      </c>
      <c r="L1033" s="15">
        <v>0.98</v>
      </c>
      <c r="M1033" s="15">
        <v>0.98</v>
      </c>
      <c r="N1033" s="5" t="s">
        <v>347</v>
      </c>
      <c r="O1033" s="5" t="s">
        <v>347</v>
      </c>
      <c r="P1033" s="5">
        <v>0</v>
      </c>
      <c r="Q1033" s="5">
        <v>0</v>
      </c>
      <c r="R1033" s="5" t="str">
        <f>A1033&amp;"-"&amp;YEAR(F1033)&amp;"-"&amp;IF(LEN(MONTH(F1033))=1,"0"&amp;MONTH(F1033),MONTH(F1033))&amp;"-"&amp;IF(LEN(DAY(F1033))=1,"0"&amp;DAY(F1033),DAY(F1033))</f>
        <v>923-2026-01-01</v>
      </c>
    </row>
    <row r="1034" spans="1:18" x14ac:dyDescent="0.3">
      <c r="A1034" s="5">
        <v>924</v>
      </c>
      <c r="B1034" s="5" t="s">
        <v>835</v>
      </c>
      <c r="C1034" s="5" t="s">
        <v>214</v>
      </c>
      <c r="D1034" s="5" t="s">
        <v>18</v>
      </c>
      <c r="E1034" s="5" t="s">
        <v>9</v>
      </c>
      <c r="F1034" s="6">
        <v>46023</v>
      </c>
      <c r="G1034" s="16" t="s">
        <v>799</v>
      </c>
      <c r="H1034" s="16" t="s">
        <v>799</v>
      </c>
      <c r="I1034" s="16" t="s">
        <v>799</v>
      </c>
      <c r="J1034" s="5">
        <v>65</v>
      </c>
      <c r="K1034" s="5">
        <v>65</v>
      </c>
      <c r="L1034" s="15">
        <v>1</v>
      </c>
      <c r="M1034" s="15">
        <v>1</v>
      </c>
      <c r="N1034" s="5" t="s">
        <v>347</v>
      </c>
      <c r="O1034" s="5" t="s">
        <v>347</v>
      </c>
      <c r="P1034" s="5">
        <v>0</v>
      </c>
      <c r="Q1034" s="5">
        <v>0</v>
      </c>
      <c r="R1034" s="5" t="str">
        <f>A1034&amp;"-"&amp;YEAR(F1034)&amp;"-"&amp;IF(LEN(MONTH(F1034))=1,"0"&amp;MONTH(F1034),MONTH(F1034))&amp;"-"&amp;IF(LEN(DAY(F1034))=1,"0"&amp;DAY(F1034),DAY(F1034))</f>
        <v>924-2026-01-01</v>
      </c>
    </row>
    <row r="1035" spans="1:18" x14ac:dyDescent="0.3">
      <c r="A1035" s="5">
        <v>14</v>
      </c>
      <c r="B1035" s="5" t="s">
        <v>341</v>
      </c>
      <c r="C1035" s="5" t="s">
        <v>124</v>
      </c>
      <c r="D1035" s="5" t="s">
        <v>8</v>
      </c>
      <c r="E1035" s="5" t="s">
        <v>9</v>
      </c>
      <c r="F1035" s="6">
        <v>46022</v>
      </c>
      <c r="G1035" s="5">
        <v>2025</v>
      </c>
      <c r="H1035" s="5" t="s">
        <v>764</v>
      </c>
      <c r="I1035" s="6" t="s">
        <v>841</v>
      </c>
      <c r="J1035" s="5">
        <v>55756</v>
      </c>
      <c r="K1035" s="34">
        <v>56807</v>
      </c>
      <c r="L1035" s="15">
        <f t="shared" ref="L1035:L1085" si="147">IFERROR(IF((K1035/J1035)&gt;1.3,1.3,K1035/J1035),"")</f>
        <v>1.0188499892388263</v>
      </c>
      <c r="M1035" s="15">
        <f t="shared" ref="M1035:M1085" si="148">IFERROR(K1035/J1035,"")</f>
        <v>1.0188499892388263</v>
      </c>
      <c r="N1035" s="5" t="s">
        <v>490</v>
      </c>
      <c r="O1035" s="5" t="s">
        <v>490</v>
      </c>
      <c r="P1035" s="5">
        <v>0</v>
      </c>
      <c r="Q1035" s="5">
        <v>0</v>
      </c>
      <c r="R1035" s="5" t="str">
        <f>A1035&amp;"-"&amp;YEAR(F1035)&amp;"-"&amp;IF(LEN(MONTH(F1035))=1,"0"&amp;MONTH(F1035),MONTH(F1035))&amp;"-"&amp;IF(LEN(DAY(F1035))=1,"0"&amp;DAY(F1035),DAY(F1035))</f>
        <v>14-2025-12-31</v>
      </c>
    </row>
    <row r="1036" spans="1:18" x14ac:dyDescent="0.3">
      <c r="A1036" s="5" t="s">
        <v>348</v>
      </c>
      <c r="B1036" s="5" t="s">
        <v>349</v>
      </c>
      <c r="C1036" s="5" t="s">
        <v>124</v>
      </c>
      <c r="D1036" s="5" t="s">
        <v>8</v>
      </c>
      <c r="E1036" s="5" t="s">
        <v>9</v>
      </c>
      <c r="F1036" s="6">
        <v>46022</v>
      </c>
      <c r="G1036" s="5">
        <v>2025</v>
      </c>
      <c r="H1036" s="5" t="s">
        <v>764</v>
      </c>
      <c r="I1036" s="6" t="s">
        <v>841</v>
      </c>
      <c r="J1036" s="5">
        <v>16671</v>
      </c>
      <c r="K1036" s="5">
        <v>17478</v>
      </c>
      <c r="L1036" s="15">
        <f t="shared" si="147"/>
        <v>1.0484074140723412</v>
      </c>
      <c r="M1036" s="15">
        <f t="shared" si="148"/>
        <v>1.0484074140723412</v>
      </c>
      <c r="N1036" s="5" t="s">
        <v>490</v>
      </c>
      <c r="O1036" s="5" t="s">
        <v>490</v>
      </c>
      <c r="P1036" s="5">
        <v>0</v>
      </c>
      <c r="Q1036" s="5">
        <v>0</v>
      </c>
      <c r="R1036" s="5" t="str">
        <f>A1036&amp;"-"&amp;YEAR(F1036)&amp;"-"&amp;IF(LEN(MONTH(F1036))=1,"0"&amp;MONTH(F1036),MONTH(F1036))&amp;"-"&amp;IF(LEN(DAY(F1036))=1,"0"&amp;DAY(F1036),DAY(F1036))</f>
        <v>14.1-2025-12-31</v>
      </c>
    </row>
    <row r="1037" spans="1:18" x14ac:dyDescent="0.3">
      <c r="A1037" s="5" t="s">
        <v>350</v>
      </c>
      <c r="B1037" s="5" t="s">
        <v>351</v>
      </c>
      <c r="C1037" s="5" t="s">
        <v>124</v>
      </c>
      <c r="D1037" s="5" t="s">
        <v>8</v>
      </c>
      <c r="E1037" s="5" t="s">
        <v>9</v>
      </c>
      <c r="F1037" s="6">
        <v>46022</v>
      </c>
      <c r="G1037" s="5">
        <v>2025</v>
      </c>
      <c r="H1037" s="5" t="s">
        <v>764</v>
      </c>
      <c r="I1037" s="6" t="s">
        <v>841</v>
      </c>
      <c r="J1037" s="5">
        <v>92409</v>
      </c>
      <c r="K1037" s="5">
        <v>95834</v>
      </c>
      <c r="L1037" s="15">
        <f t="shared" si="147"/>
        <v>1.0370634894869548</v>
      </c>
      <c r="M1037" s="15">
        <f t="shared" si="148"/>
        <v>1.0370634894869548</v>
      </c>
      <c r="N1037" s="5" t="s">
        <v>490</v>
      </c>
      <c r="O1037" s="5" t="s">
        <v>490</v>
      </c>
      <c r="P1037" s="5">
        <v>0</v>
      </c>
      <c r="Q1037" s="5">
        <v>0</v>
      </c>
      <c r="R1037" s="5" t="str">
        <f>A1037&amp;"-"&amp;YEAR(F1037)&amp;"-"&amp;IF(LEN(MONTH(F1037))=1,"0"&amp;MONTH(F1037),MONTH(F1037))&amp;"-"&amp;IF(LEN(DAY(F1037))=1,"0"&amp;DAY(F1037),DAY(F1037))</f>
        <v>14.2-2025-12-31</v>
      </c>
    </row>
    <row r="1038" spans="1:18" x14ac:dyDescent="0.3">
      <c r="A1038" s="5" t="s">
        <v>352</v>
      </c>
      <c r="B1038" s="5" t="s">
        <v>353</v>
      </c>
      <c r="C1038" s="5" t="s">
        <v>124</v>
      </c>
      <c r="D1038" s="5" t="s">
        <v>8</v>
      </c>
      <c r="E1038" s="5" t="s">
        <v>9</v>
      </c>
      <c r="F1038" s="6">
        <v>46022</v>
      </c>
      <c r="G1038" s="5">
        <v>2025</v>
      </c>
      <c r="H1038" s="5" t="s">
        <v>764</v>
      </c>
      <c r="I1038" s="6" t="s">
        <v>841</v>
      </c>
      <c r="J1038" s="5">
        <v>98816</v>
      </c>
      <c r="K1038" s="5">
        <v>104271</v>
      </c>
      <c r="L1038" s="15">
        <f t="shared" si="147"/>
        <v>1.0552036107512954</v>
      </c>
      <c r="M1038" s="15">
        <f t="shared" si="148"/>
        <v>1.0552036107512954</v>
      </c>
      <c r="N1038" s="5" t="s">
        <v>490</v>
      </c>
      <c r="O1038" s="5" t="s">
        <v>490</v>
      </c>
      <c r="P1038" s="5">
        <v>0</v>
      </c>
      <c r="Q1038" s="5">
        <v>0</v>
      </c>
      <c r="R1038" s="5" t="str">
        <f>A1038&amp;"-"&amp;YEAR(F1038)&amp;"-"&amp;IF(LEN(MONTH(F1038))=1,"0"&amp;MONTH(F1038),MONTH(F1038))&amp;"-"&amp;IF(LEN(DAY(F1038))=1,"0"&amp;DAY(F1038),DAY(F1038))</f>
        <v>14.3-2025-12-31</v>
      </c>
    </row>
    <row r="1039" spans="1:18" x14ac:dyDescent="0.3">
      <c r="A1039" s="5" t="s">
        <v>354</v>
      </c>
      <c r="B1039" s="5" t="s">
        <v>355</v>
      </c>
      <c r="C1039" s="5" t="s">
        <v>124</v>
      </c>
      <c r="D1039" s="5" t="s">
        <v>8</v>
      </c>
      <c r="E1039" s="5" t="s">
        <v>9</v>
      </c>
      <c r="F1039" s="6">
        <v>46022</v>
      </c>
      <c r="G1039" s="5">
        <v>2025</v>
      </c>
      <c r="H1039" s="5" t="s">
        <v>764</v>
      </c>
      <c r="I1039" s="6" t="s">
        <v>841</v>
      </c>
      <c r="J1039" s="5">
        <v>7856</v>
      </c>
      <c r="K1039" s="5">
        <v>9041</v>
      </c>
      <c r="L1039" s="15">
        <f t="shared" si="147"/>
        <v>1.1508401221995928</v>
      </c>
      <c r="M1039" s="15">
        <f t="shared" si="148"/>
        <v>1.1508401221995928</v>
      </c>
      <c r="N1039" s="5" t="s">
        <v>490</v>
      </c>
      <c r="O1039" s="5" t="s">
        <v>490</v>
      </c>
      <c r="P1039" s="5">
        <v>0</v>
      </c>
      <c r="Q1039" s="5">
        <v>0</v>
      </c>
      <c r="R1039" s="5" t="str">
        <f>A1039&amp;"-"&amp;YEAR(F1039)&amp;"-"&amp;IF(LEN(MONTH(F1039))=1,"0"&amp;MONTH(F1039),MONTH(F1039))&amp;"-"&amp;IF(LEN(DAY(F1039))=1,"0"&amp;DAY(F1039),DAY(F1039))</f>
        <v>14.4-2025-12-31</v>
      </c>
    </row>
    <row r="1040" spans="1:18" x14ac:dyDescent="0.3">
      <c r="A1040" s="5">
        <v>109</v>
      </c>
      <c r="B1040" s="5" t="s">
        <v>842</v>
      </c>
      <c r="C1040" s="5" t="s">
        <v>320</v>
      </c>
      <c r="D1040" s="5" t="s">
        <v>25</v>
      </c>
      <c r="E1040" s="5" t="s">
        <v>9</v>
      </c>
      <c r="F1040" s="6">
        <v>46022</v>
      </c>
      <c r="G1040" s="5">
        <v>2025</v>
      </c>
      <c r="H1040" s="5" t="s">
        <v>764</v>
      </c>
      <c r="I1040" s="6" t="s">
        <v>841</v>
      </c>
      <c r="J1040" s="5">
        <v>80</v>
      </c>
      <c r="K1040" s="5">
        <v>94</v>
      </c>
      <c r="L1040" s="15">
        <f t="shared" si="147"/>
        <v>1.175</v>
      </c>
      <c r="M1040" s="15">
        <f t="shared" si="148"/>
        <v>1.175</v>
      </c>
      <c r="N1040" s="5" t="s">
        <v>347</v>
      </c>
      <c r="O1040" s="5" t="s">
        <v>347</v>
      </c>
      <c r="P1040" s="5">
        <v>0</v>
      </c>
      <c r="Q1040" s="5">
        <v>0</v>
      </c>
      <c r="R1040" s="5" t="str">
        <f>A1040&amp;"-"&amp;YEAR(F1040)&amp;"-"&amp;IF(LEN(MONTH(F1040))=1,"0"&amp;MONTH(F1040),MONTH(F1040))&amp;"-"&amp;IF(LEN(DAY(F1040))=1,"0"&amp;DAY(F1040),DAY(F1040))</f>
        <v>109-2025-12-31</v>
      </c>
    </row>
    <row r="1041" spans="1:18" x14ac:dyDescent="0.3">
      <c r="A1041" s="5">
        <v>204</v>
      </c>
      <c r="B1041" s="5" t="s">
        <v>85</v>
      </c>
      <c r="C1041" s="5" t="s">
        <v>84</v>
      </c>
      <c r="D1041" s="5" t="s">
        <v>8</v>
      </c>
      <c r="E1041" s="5" t="s">
        <v>9</v>
      </c>
      <c r="F1041" s="6">
        <v>46022</v>
      </c>
      <c r="G1041" s="5">
        <v>2025</v>
      </c>
      <c r="H1041" s="5" t="s">
        <v>764</v>
      </c>
      <c r="I1041" s="6" t="s">
        <v>841</v>
      </c>
      <c r="J1041" s="5">
        <v>128448.131182</v>
      </c>
      <c r="K1041" s="5">
        <f>195548387375/1000000</f>
        <v>195548.38737499999</v>
      </c>
      <c r="L1041" s="15">
        <f t="shared" si="147"/>
        <v>1.3</v>
      </c>
      <c r="M1041" s="15">
        <f t="shared" si="148"/>
        <v>1.5223918446732765</v>
      </c>
      <c r="N1041" s="5" t="s">
        <v>474</v>
      </c>
      <c r="O1041" s="5" t="s">
        <v>474</v>
      </c>
      <c r="P1041" s="5">
        <v>0</v>
      </c>
      <c r="Q1041" s="5">
        <v>0</v>
      </c>
      <c r="R1041" s="5" t="str">
        <f>A1041&amp;"-"&amp;YEAR(F1041)&amp;"-"&amp;IF(LEN(MONTH(F1041))=1,"0"&amp;MONTH(F1041),MONTH(F1041))&amp;"-"&amp;IF(LEN(DAY(F1041))=1,"0"&amp;DAY(F1041),DAY(F1041))</f>
        <v>204-2025-12-31</v>
      </c>
    </row>
    <row r="1042" spans="1:18" x14ac:dyDescent="0.3">
      <c r="A1042" s="5">
        <v>205</v>
      </c>
      <c r="B1042" s="5" t="s">
        <v>86</v>
      </c>
      <c r="C1042" s="5" t="s">
        <v>84</v>
      </c>
      <c r="D1042" s="5" t="s">
        <v>8</v>
      </c>
      <c r="E1042" s="5" t="s">
        <v>9</v>
      </c>
      <c r="F1042" s="6">
        <v>46022</v>
      </c>
      <c r="G1042" s="5">
        <v>2025</v>
      </c>
      <c r="H1042" s="5" t="s">
        <v>764</v>
      </c>
      <c r="I1042" s="6" t="s">
        <v>841</v>
      </c>
      <c r="J1042" s="5">
        <f>4684155397/1000000</f>
        <v>4684.1553970000004</v>
      </c>
      <c r="K1042" s="5">
        <f>5763937304/1000000</f>
        <v>5763.937304</v>
      </c>
      <c r="L1042" s="15">
        <f t="shared" si="147"/>
        <v>1.2305179515802471</v>
      </c>
      <c r="M1042" s="15">
        <f t="shared" si="148"/>
        <v>1.2305179515802471</v>
      </c>
      <c r="N1042" s="5" t="s">
        <v>474</v>
      </c>
      <c r="O1042" s="5" t="s">
        <v>474</v>
      </c>
      <c r="P1042" s="5">
        <v>0</v>
      </c>
      <c r="Q1042" s="5">
        <v>0</v>
      </c>
      <c r="R1042" s="5" t="str">
        <f>A1042&amp;"-"&amp;YEAR(F1042)&amp;"-"&amp;IF(LEN(MONTH(F1042))=1,"0"&amp;MONTH(F1042),MONTH(F1042))&amp;"-"&amp;IF(LEN(DAY(F1042))=1,"0"&amp;DAY(F1042),DAY(F1042))</f>
        <v>205-2025-12-31</v>
      </c>
    </row>
    <row r="1043" spans="1:18" x14ac:dyDescent="0.3">
      <c r="A1043" s="5">
        <v>207</v>
      </c>
      <c r="B1043" s="5" t="s">
        <v>88</v>
      </c>
      <c r="C1043" s="5" t="s">
        <v>84</v>
      </c>
      <c r="D1043" s="5" t="s">
        <v>8</v>
      </c>
      <c r="E1043" s="5" t="s">
        <v>14</v>
      </c>
      <c r="F1043" s="6">
        <v>46022</v>
      </c>
      <c r="G1043" s="5">
        <v>2025</v>
      </c>
      <c r="H1043" s="5" t="s">
        <v>764</v>
      </c>
      <c r="I1043" s="6" t="s">
        <v>841</v>
      </c>
      <c r="J1043" s="5">
        <f>277178213544/1000000</f>
        <v>277178.213544</v>
      </c>
      <c r="K1043" s="5">
        <f>306600939456/1000000</f>
        <v>306600.93945599999</v>
      </c>
      <c r="L1043" s="15">
        <f t="shared" si="147"/>
        <v>1.1061509327728218</v>
      </c>
      <c r="M1043" s="15">
        <f t="shared" si="148"/>
        <v>1.1061509327728218</v>
      </c>
      <c r="N1043" s="5" t="s">
        <v>474</v>
      </c>
      <c r="O1043" s="5" t="s">
        <v>474</v>
      </c>
      <c r="P1043" s="5">
        <v>0</v>
      </c>
      <c r="Q1043" s="5">
        <v>0</v>
      </c>
      <c r="R1043" s="5" t="str">
        <f>A1043&amp;"-"&amp;YEAR(F1043)&amp;"-"&amp;IF(LEN(MONTH(F1043))=1,"0"&amp;MONTH(F1043),MONTH(F1043))&amp;"-"&amp;IF(LEN(DAY(F1043))=1,"0"&amp;DAY(F1043),DAY(F1043))</f>
        <v>207-2025-12-31</v>
      </c>
    </row>
    <row r="1044" spans="1:18" x14ac:dyDescent="0.3">
      <c r="A1044" s="5">
        <v>339</v>
      </c>
      <c r="B1044" s="5" t="s">
        <v>843</v>
      </c>
      <c r="C1044" s="5" t="s">
        <v>224</v>
      </c>
      <c r="D1044" s="5" t="s">
        <v>25</v>
      </c>
      <c r="E1044" s="5" t="s">
        <v>9</v>
      </c>
      <c r="F1044" s="6">
        <v>44926</v>
      </c>
      <c r="G1044" s="5">
        <f t="shared" ref="G1044" si="149">YEAR(F1044)</f>
        <v>2022</v>
      </c>
      <c r="H1044" s="5" t="str">
        <f t="shared" ref="H1044" si="150">PROPER(TEXT(F1044,"mmmm"))</f>
        <v>Diciembre</v>
      </c>
      <c r="I1044" s="6" t="str">
        <f t="shared" ref="I1044" si="151">IF(OR(H1044="Enero",H1044="Febrero",H1044="Marzo",H1044="Abril",H1044="Mayo",H1044="Junio"),G1044&amp;"-1",IF(OR(H1044="Julio",H1044="Agosto",H1044="Septiembre",H1044="Octubre",H1044="Noviembre",H1044="Diciembre"),G1044&amp;"-2"))</f>
        <v>2022-2</v>
      </c>
      <c r="J1044" s="5">
        <v>22</v>
      </c>
      <c r="K1044" s="5">
        <v>21.6</v>
      </c>
      <c r="L1044" s="15">
        <f>IFERROR(IF((K1044/J1044)&gt;1.3,1.3,K1044/J1044),"")</f>
        <v>0.98181818181818192</v>
      </c>
      <c r="M1044" s="15">
        <f t="shared" si="148"/>
        <v>0.98181818181818192</v>
      </c>
      <c r="N1044" s="5" t="s">
        <v>347</v>
      </c>
      <c r="O1044" s="5" t="s">
        <v>347</v>
      </c>
      <c r="P1044" s="5">
        <v>0</v>
      </c>
      <c r="Q1044" s="5">
        <v>1</v>
      </c>
      <c r="R1044" s="5" t="str">
        <f>A1044&amp;"-"&amp;YEAR(F1044)&amp;"-"&amp;IF(LEN(MONTH(F1044))=1,"0"&amp;MONTH(F1044),MONTH(F1044))&amp;"-"&amp;IF(LEN(DAY(F1044))=1,"0"&amp;DAY(F1044),DAY(F1044))</f>
        <v>339-2022-12-31</v>
      </c>
    </row>
    <row r="1045" spans="1:18" x14ac:dyDescent="0.3">
      <c r="A1045" s="5">
        <v>376</v>
      </c>
      <c r="B1045" s="5" t="s">
        <v>732</v>
      </c>
      <c r="C1045" s="5" t="s">
        <v>84</v>
      </c>
      <c r="D1045" s="5" t="s">
        <v>8</v>
      </c>
      <c r="E1045" s="5" t="s">
        <v>9</v>
      </c>
      <c r="F1045" s="6">
        <v>46022</v>
      </c>
      <c r="G1045" s="5">
        <v>2025</v>
      </c>
      <c r="H1045" s="5" t="s">
        <v>764</v>
      </c>
      <c r="I1045" s="6" t="s">
        <v>841</v>
      </c>
      <c r="J1045" s="5">
        <v>32126.483745582696</v>
      </c>
      <c r="K1045" s="5">
        <f>37751457388/1000000</f>
        <v>37751.457388000003</v>
      </c>
      <c r="L1045" s="15">
        <f t="shared" si="147"/>
        <v>1.1750883690528604</v>
      </c>
      <c r="M1045" s="15">
        <f t="shared" si="148"/>
        <v>1.1750883690528604</v>
      </c>
      <c r="N1045" s="5" t="s">
        <v>474</v>
      </c>
      <c r="O1045" s="5" t="s">
        <v>474</v>
      </c>
      <c r="P1045" s="5">
        <v>0</v>
      </c>
      <c r="Q1045" s="5">
        <v>0</v>
      </c>
      <c r="R1045" s="5" t="str">
        <f>A1045&amp;"-"&amp;YEAR(F1045)&amp;"-"&amp;IF(LEN(MONTH(F1045))=1,"0"&amp;MONTH(F1045),MONTH(F1045))&amp;"-"&amp;IF(LEN(DAY(F1045))=1,"0"&amp;DAY(F1045),DAY(F1045))</f>
        <v>376-2025-12-31</v>
      </c>
    </row>
    <row r="1046" spans="1:18" x14ac:dyDescent="0.3">
      <c r="A1046" s="5" t="s">
        <v>356</v>
      </c>
      <c r="B1046" s="5" t="s">
        <v>844</v>
      </c>
      <c r="C1046" s="5" t="s">
        <v>274</v>
      </c>
      <c r="D1046" s="5" t="s">
        <v>8</v>
      </c>
      <c r="E1046" s="5" t="s">
        <v>9</v>
      </c>
      <c r="F1046" s="6">
        <v>44926</v>
      </c>
      <c r="G1046" s="5">
        <v>2022</v>
      </c>
      <c r="H1046" s="5" t="s">
        <v>764</v>
      </c>
      <c r="I1046" s="6" t="s">
        <v>423</v>
      </c>
      <c r="J1046" s="5">
        <v>894.40692300000001</v>
      </c>
      <c r="K1046" s="5">
        <v>894.40692300000001</v>
      </c>
      <c r="L1046" s="15">
        <f t="shared" si="147"/>
        <v>1</v>
      </c>
      <c r="M1046" s="15">
        <f t="shared" si="148"/>
        <v>1</v>
      </c>
      <c r="N1046" s="5" t="s">
        <v>474</v>
      </c>
      <c r="O1046" s="5" t="s">
        <v>474</v>
      </c>
      <c r="P1046" s="5">
        <v>0</v>
      </c>
      <c r="Q1046" s="5">
        <v>0</v>
      </c>
      <c r="R1046" s="5" t="str">
        <f>A1046&amp;"-"&amp;YEAR(F1046)&amp;"-"&amp;IF(LEN(MONTH(F1046))=1,"0"&amp;MONTH(F1046),MONTH(F1046))&amp;"-"&amp;IF(LEN(DAY(F1046))=1,"0"&amp;DAY(F1046),DAY(F1046))</f>
        <v>386.1-2022-12-31</v>
      </c>
    </row>
    <row r="1047" spans="1:18" x14ac:dyDescent="0.3">
      <c r="A1047" s="5" t="s">
        <v>357</v>
      </c>
      <c r="B1047" s="5" t="s">
        <v>845</v>
      </c>
      <c r="C1047" s="5" t="s">
        <v>274</v>
      </c>
      <c r="D1047" s="5" t="s">
        <v>8</v>
      </c>
      <c r="E1047" s="5" t="s">
        <v>9</v>
      </c>
      <c r="F1047" s="6">
        <v>44926</v>
      </c>
      <c r="G1047" s="5">
        <v>2022</v>
      </c>
      <c r="H1047" s="5" t="s">
        <v>764</v>
      </c>
      <c r="I1047" s="6" t="s">
        <v>423</v>
      </c>
      <c r="J1047" s="5">
        <v>5335.242827</v>
      </c>
      <c r="K1047" s="5">
        <v>5335.242827</v>
      </c>
      <c r="L1047" s="15">
        <f t="shared" si="147"/>
        <v>1</v>
      </c>
      <c r="M1047" s="15">
        <f t="shared" si="148"/>
        <v>1</v>
      </c>
      <c r="N1047" s="5" t="s">
        <v>474</v>
      </c>
      <c r="O1047" s="5" t="s">
        <v>474</v>
      </c>
      <c r="P1047" s="5">
        <v>0</v>
      </c>
      <c r="Q1047" s="5">
        <v>0</v>
      </c>
      <c r="R1047" s="5" t="str">
        <f>A1047&amp;"-"&amp;YEAR(F1047)&amp;"-"&amp;IF(LEN(MONTH(F1047))=1,"0"&amp;MONTH(F1047),MONTH(F1047))&amp;"-"&amp;IF(LEN(DAY(F1047))=1,"0"&amp;DAY(F1047),DAY(F1047))</f>
        <v>386.2-2022-12-31</v>
      </c>
    </row>
    <row r="1048" spans="1:18" x14ac:dyDescent="0.3">
      <c r="A1048" s="5" t="s">
        <v>357</v>
      </c>
      <c r="B1048" s="5" t="s">
        <v>845</v>
      </c>
      <c r="C1048" s="5" t="s">
        <v>274</v>
      </c>
      <c r="D1048" s="5" t="s">
        <v>8</v>
      </c>
      <c r="E1048" s="5" t="s">
        <v>9</v>
      </c>
      <c r="F1048" s="6">
        <v>46022</v>
      </c>
      <c r="G1048" s="5">
        <v>2025</v>
      </c>
      <c r="H1048" s="5" t="s">
        <v>764</v>
      </c>
      <c r="I1048" s="6" t="s">
        <v>841</v>
      </c>
      <c r="J1048" s="5">
        <v>7446.830696</v>
      </c>
      <c r="K1048" s="5">
        <f>7473892508/1000000</f>
        <v>7473.8925079999999</v>
      </c>
      <c r="L1048" s="15">
        <f t="shared" si="147"/>
        <v>1.0036340039279443</v>
      </c>
      <c r="M1048" s="15">
        <f t="shared" si="148"/>
        <v>1.0036340039279443</v>
      </c>
      <c r="N1048" s="5" t="s">
        <v>474</v>
      </c>
      <c r="O1048" s="5" t="s">
        <v>474</v>
      </c>
      <c r="P1048" s="5">
        <v>0</v>
      </c>
      <c r="Q1048" s="5">
        <v>0</v>
      </c>
      <c r="R1048" s="5" t="str">
        <f>A1048&amp;"-"&amp;YEAR(F1048)&amp;"-"&amp;IF(LEN(MONTH(F1048))=1,"0"&amp;MONTH(F1048),MONTH(F1048))&amp;"-"&amp;IF(LEN(DAY(F1048))=1,"0"&amp;DAY(F1048),DAY(F1048))</f>
        <v>386.2-2025-12-31</v>
      </c>
    </row>
    <row r="1049" spans="1:18" x14ac:dyDescent="0.3">
      <c r="A1049" s="5" t="s">
        <v>358</v>
      </c>
      <c r="B1049" s="5" t="s">
        <v>361</v>
      </c>
      <c r="C1049" s="5" t="s">
        <v>274</v>
      </c>
      <c r="D1049" s="5" t="s">
        <v>8</v>
      </c>
      <c r="E1049" s="5" t="s">
        <v>9</v>
      </c>
      <c r="F1049" s="6">
        <v>44926</v>
      </c>
      <c r="G1049" s="5">
        <v>2022</v>
      </c>
      <c r="H1049" s="5" t="s">
        <v>764</v>
      </c>
      <c r="I1049" s="6" t="s">
        <v>423</v>
      </c>
      <c r="J1049" s="5">
        <v>3805.6621409999998</v>
      </c>
      <c r="K1049" s="5">
        <v>3805.6621409999998</v>
      </c>
      <c r="L1049" s="15">
        <f t="shared" si="147"/>
        <v>1</v>
      </c>
      <c r="M1049" s="15">
        <f t="shared" si="148"/>
        <v>1</v>
      </c>
      <c r="N1049" s="5" t="s">
        <v>474</v>
      </c>
      <c r="O1049" s="5" t="s">
        <v>474</v>
      </c>
      <c r="P1049" s="5">
        <v>0</v>
      </c>
      <c r="Q1049" s="5">
        <v>0</v>
      </c>
      <c r="R1049" s="5" t="str">
        <f>A1049&amp;"-"&amp;YEAR(F1049)&amp;"-"&amp;IF(LEN(MONTH(F1049))=1,"0"&amp;MONTH(F1049),MONTH(F1049))&amp;"-"&amp;IF(LEN(DAY(F1049))=1,"0"&amp;DAY(F1049),DAY(F1049))</f>
        <v>386.3-2022-12-31</v>
      </c>
    </row>
    <row r="1050" spans="1:18" x14ac:dyDescent="0.3">
      <c r="A1050" s="5" t="s">
        <v>358</v>
      </c>
      <c r="B1050" s="5" t="s">
        <v>361</v>
      </c>
      <c r="C1050" s="5" t="s">
        <v>274</v>
      </c>
      <c r="D1050" s="5" t="s">
        <v>8</v>
      </c>
      <c r="E1050" s="5" t="s">
        <v>9</v>
      </c>
      <c r="F1050" s="6">
        <v>46022</v>
      </c>
      <c r="G1050" s="5">
        <v>2025</v>
      </c>
      <c r="H1050" s="5" t="s">
        <v>764</v>
      </c>
      <c r="I1050" s="6" t="s">
        <v>841</v>
      </c>
      <c r="J1050" s="5">
        <v>5568.7793190000002</v>
      </c>
      <c r="K1050" s="5">
        <f>6395679750/1000000</f>
        <v>6395.6797500000002</v>
      </c>
      <c r="L1050" s="15">
        <f t="shared" si="147"/>
        <v>1.1484886334386992</v>
      </c>
      <c r="M1050" s="15">
        <f t="shared" si="148"/>
        <v>1.1484886334386992</v>
      </c>
      <c r="N1050" s="5" t="s">
        <v>474</v>
      </c>
      <c r="O1050" s="5" t="s">
        <v>474</v>
      </c>
      <c r="P1050" s="5">
        <v>0</v>
      </c>
      <c r="Q1050" s="5">
        <v>0</v>
      </c>
      <c r="R1050" s="5" t="str">
        <f>A1050&amp;"-"&amp;YEAR(F1050)&amp;"-"&amp;IF(LEN(MONTH(F1050))=1,"0"&amp;MONTH(F1050),MONTH(F1050))&amp;"-"&amp;IF(LEN(DAY(F1050))=1,"0"&amp;DAY(F1050),DAY(F1050))</f>
        <v>386.3-2025-12-31</v>
      </c>
    </row>
    <row r="1051" spans="1:18" x14ac:dyDescent="0.3">
      <c r="A1051" s="5">
        <v>203</v>
      </c>
      <c r="B1051" s="5" t="s">
        <v>83</v>
      </c>
      <c r="C1051" s="5" t="s">
        <v>84</v>
      </c>
      <c r="D1051" s="5" t="s">
        <v>8</v>
      </c>
      <c r="E1051" s="5" t="s">
        <v>9</v>
      </c>
      <c r="F1051" s="6">
        <v>46022</v>
      </c>
      <c r="G1051" s="5">
        <v>2025</v>
      </c>
      <c r="H1051" s="5" t="s">
        <v>764</v>
      </c>
      <c r="I1051" s="6" t="s">
        <v>841</v>
      </c>
      <c r="J1051" s="5">
        <v>309304.69728999998</v>
      </c>
      <c r="K1051" s="5">
        <f>344352396844/1000000</f>
        <v>344352.39684399997</v>
      </c>
      <c r="L1051" s="15">
        <f t="shared" si="147"/>
        <v>1.1133112424773159</v>
      </c>
      <c r="M1051" s="15">
        <f t="shared" si="148"/>
        <v>1.1133112424773159</v>
      </c>
      <c r="N1051" s="5" t="s">
        <v>474</v>
      </c>
      <c r="O1051" s="5" t="s">
        <v>474</v>
      </c>
      <c r="P1051" s="5">
        <v>0</v>
      </c>
      <c r="Q1051" s="5">
        <v>0</v>
      </c>
      <c r="R1051" s="5" t="str">
        <f>A1051&amp;"-"&amp;YEAR(F1051)&amp;"-"&amp;IF(LEN(MONTH(F1051))=1,"0"&amp;MONTH(F1051),MONTH(F1051))&amp;"-"&amp;IF(LEN(DAY(F1051))=1,"0"&amp;DAY(F1051),DAY(F1051))</f>
        <v>203-2025-12-31</v>
      </c>
    </row>
    <row r="1052" spans="1:18" x14ac:dyDescent="0.3">
      <c r="A1052" s="5">
        <v>148</v>
      </c>
      <c r="B1052" s="5" t="s">
        <v>65</v>
      </c>
      <c r="C1052" s="5" t="s">
        <v>62</v>
      </c>
      <c r="D1052" s="5" t="s">
        <v>8</v>
      </c>
      <c r="E1052" s="5" t="s">
        <v>9</v>
      </c>
      <c r="F1052" s="6">
        <v>46022</v>
      </c>
      <c r="G1052" s="5">
        <v>2025</v>
      </c>
      <c r="H1052" s="5" t="s">
        <v>764</v>
      </c>
      <c r="I1052" s="6" t="s">
        <v>841</v>
      </c>
      <c r="J1052" s="5">
        <v>5</v>
      </c>
      <c r="K1052" s="5">
        <v>6.78</v>
      </c>
      <c r="L1052" s="15">
        <f t="shared" si="147"/>
        <v>1.3</v>
      </c>
      <c r="M1052" s="15">
        <f t="shared" si="148"/>
        <v>1.3560000000000001</v>
      </c>
      <c r="N1052" s="5" t="s">
        <v>347</v>
      </c>
      <c r="O1052" s="5" t="s">
        <v>347</v>
      </c>
      <c r="P1052" s="5">
        <v>0</v>
      </c>
      <c r="Q1052" s="5">
        <v>1</v>
      </c>
      <c r="R1052" s="5" t="str">
        <f>A1052&amp;"-"&amp;YEAR(F1052)&amp;"-"&amp;IF(LEN(MONTH(F1052))=1,"0"&amp;MONTH(F1052),MONTH(F1052))&amp;"-"&amp;IF(LEN(DAY(F1052))=1,"0"&amp;DAY(F1052),DAY(F1052))</f>
        <v>148-2025-12-31</v>
      </c>
    </row>
    <row r="1053" spans="1:18" x14ac:dyDescent="0.3">
      <c r="A1053" s="5">
        <v>466</v>
      </c>
      <c r="B1053" s="5" t="s">
        <v>525</v>
      </c>
      <c r="C1053" s="5" t="s">
        <v>74</v>
      </c>
      <c r="D1053" s="5" t="s">
        <v>8</v>
      </c>
      <c r="E1053" s="5" t="s">
        <v>9</v>
      </c>
      <c r="F1053" s="6">
        <v>46022</v>
      </c>
      <c r="G1053" s="5">
        <v>2025</v>
      </c>
      <c r="H1053" s="5" t="s">
        <v>764</v>
      </c>
      <c r="I1053" s="6" t="s">
        <v>841</v>
      </c>
      <c r="J1053" s="5">
        <v>55</v>
      </c>
      <c r="K1053" s="5">
        <v>58.6</v>
      </c>
      <c r="L1053" s="15">
        <f t="shared" si="147"/>
        <v>1.0654545454545454</v>
      </c>
      <c r="M1053" s="15">
        <f t="shared" si="148"/>
        <v>1.0654545454545454</v>
      </c>
      <c r="N1053" s="5" t="s">
        <v>490</v>
      </c>
      <c r="O1053" s="5" t="s">
        <v>478</v>
      </c>
      <c r="P1053" s="5">
        <v>1</v>
      </c>
      <c r="Q1053" s="5">
        <v>1</v>
      </c>
      <c r="R1053" s="5" t="str">
        <f>A1053&amp;"-"&amp;YEAR(F1053)&amp;"-"&amp;IF(LEN(MONTH(F1053))=1,"0"&amp;MONTH(F1053),MONTH(F1053))&amp;"-"&amp;IF(LEN(DAY(F1053))=1,"0"&amp;DAY(F1053),DAY(F1053))</f>
        <v>466-2025-12-31</v>
      </c>
    </row>
    <row r="1054" spans="1:18" x14ac:dyDescent="0.3">
      <c r="A1054" s="5" t="s">
        <v>356</v>
      </c>
      <c r="B1054" s="5" t="s">
        <v>844</v>
      </c>
      <c r="C1054" s="5" t="s">
        <v>274</v>
      </c>
      <c r="D1054" s="5" t="s">
        <v>8</v>
      </c>
      <c r="E1054" s="5" t="s">
        <v>9</v>
      </c>
      <c r="F1054" s="6">
        <v>46022</v>
      </c>
      <c r="G1054" s="5">
        <v>2025</v>
      </c>
      <c r="H1054" s="5" t="s">
        <v>764</v>
      </c>
      <c r="I1054" s="6" t="s">
        <v>841</v>
      </c>
      <c r="J1054" s="5">
        <v>4042.632396</v>
      </c>
      <c r="K1054" s="5">
        <f>4700694763/1000000</f>
        <v>4700.6947630000004</v>
      </c>
      <c r="L1054" s="15">
        <f>IFERROR(IF((K1054/J1054)&gt;1.3,1.3,K1054/J1054),"")</f>
        <v>1.1627806593671794</v>
      </c>
      <c r="M1054" s="15">
        <f t="shared" si="148"/>
        <v>1.1627806593671794</v>
      </c>
      <c r="N1054" s="5" t="s">
        <v>474</v>
      </c>
      <c r="O1054" s="5" t="s">
        <v>474</v>
      </c>
      <c r="P1054" s="5">
        <v>0</v>
      </c>
      <c r="Q1054" s="5">
        <v>0</v>
      </c>
      <c r="R1054" s="5" t="str">
        <f>A1054&amp;"-"&amp;YEAR(F1054)&amp;"-"&amp;IF(LEN(MONTH(F1054))=1,"0"&amp;MONTH(F1054),MONTH(F1054))&amp;"-"&amp;IF(LEN(DAY(F1054))=1,"0"&amp;DAY(F1054),DAY(F1054))</f>
        <v>386.1-2025-12-31</v>
      </c>
    </row>
    <row r="1055" spans="1:18" x14ac:dyDescent="0.3">
      <c r="A1055" s="5">
        <v>385</v>
      </c>
      <c r="B1055" s="5" t="s">
        <v>273</v>
      </c>
      <c r="C1055" s="5" t="s">
        <v>274</v>
      </c>
      <c r="D1055" s="5" t="s">
        <v>8</v>
      </c>
      <c r="E1055" s="5" t="s">
        <v>9</v>
      </c>
      <c r="F1055" s="6">
        <v>46022</v>
      </c>
      <c r="G1055" s="5">
        <v>2025</v>
      </c>
      <c r="H1055" s="5" t="s">
        <v>764</v>
      </c>
      <c r="I1055" s="6" t="s">
        <v>841</v>
      </c>
      <c r="J1055" s="5">
        <v>17058.242410999999</v>
      </c>
      <c r="K1055" s="5">
        <f>18570267021/1000000</f>
        <v>18570.267021</v>
      </c>
      <c r="L1055" s="15">
        <f t="shared" si="147"/>
        <v>1.0886389449492739</v>
      </c>
      <c r="M1055" s="15">
        <f t="shared" si="148"/>
        <v>1.0886389449492739</v>
      </c>
      <c r="N1055" s="5" t="s">
        <v>474</v>
      </c>
      <c r="O1055" s="5" t="s">
        <v>474</v>
      </c>
      <c r="P1055" s="5">
        <v>0</v>
      </c>
      <c r="Q1055" s="5">
        <v>0</v>
      </c>
      <c r="R1055" s="5" t="str">
        <f>A1055&amp;"-"&amp;YEAR(F1055)&amp;"-"&amp;IF(LEN(MONTH(F1055))=1,"0"&amp;MONTH(F1055),MONTH(F1055))&amp;"-"&amp;IF(LEN(DAY(F1055))=1,"0"&amp;DAY(F1055),DAY(F1055))</f>
        <v>385-2025-12-31</v>
      </c>
    </row>
    <row r="1056" spans="1:18" x14ac:dyDescent="0.3">
      <c r="A1056" s="5">
        <v>423</v>
      </c>
      <c r="B1056" s="5" t="s">
        <v>317</v>
      </c>
      <c r="C1056" s="5" t="s">
        <v>315</v>
      </c>
      <c r="D1056" s="5" t="s">
        <v>25</v>
      </c>
      <c r="E1056" s="5" t="s">
        <v>9</v>
      </c>
      <c r="F1056" s="6">
        <v>46022</v>
      </c>
      <c r="G1056" s="5">
        <v>2025</v>
      </c>
      <c r="H1056" s="5" t="s">
        <v>764</v>
      </c>
      <c r="I1056" s="6" t="s">
        <v>841</v>
      </c>
      <c r="J1056" s="5">
        <v>12</v>
      </c>
      <c r="K1056" s="5">
        <v>15.1</v>
      </c>
      <c r="L1056" s="15">
        <f t="shared" si="147"/>
        <v>1.2583333333333333</v>
      </c>
      <c r="M1056" s="15">
        <f t="shared" si="148"/>
        <v>1.2583333333333333</v>
      </c>
      <c r="N1056" s="5" t="s">
        <v>478</v>
      </c>
      <c r="O1056" s="5" t="s">
        <v>478</v>
      </c>
      <c r="P1056" s="5">
        <v>1</v>
      </c>
      <c r="Q1056" s="5">
        <v>1</v>
      </c>
      <c r="R1056" s="5" t="str">
        <f>A1056&amp;"-"&amp;YEAR(F1056)&amp;"-"&amp;IF(LEN(MONTH(F1056))=1,"0"&amp;MONTH(F1056),MONTH(F1056))&amp;"-"&amp;IF(LEN(DAY(F1056))=1,"0"&amp;DAY(F1056),DAY(F1056))</f>
        <v>423-2025-12-31</v>
      </c>
    </row>
    <row r="1057" spans="1:18" x14ac:dyDescent="0.3">
      <c r="A1057" s="5">
        <v>424</v>
      </c>
      <c r="B1057" s="5" t="s">
        <v>433</v>
      </c>
      <c r="C1057" s="5" t="s">
        <v>315</v>
      </c>
      <c r="D1057" s="5" t="s">
        <v>25</v>
      </c>
      <c r="E1057" s="5" t="s">
        <v>9</v>
      </c>
      <c r="F1057" s="6">
        <v>46022</v>
      </c>
      <c r="G1057" s="5">
        <v>2025</v>
      </c>
      <c r="H1057" s="5" t="s">
        <v>764</v>
      </c>
      <c r="I1057" s="6" t="s">
        <v>841</v>
      </c>
      <c r="J1057" s="5">
        <v>9</v>
      </c>
      <c r="K1057" s="5">
        <v>11</v>
      </c>
      <c r="L1057" s="15">
        <f t="shared" si="147"/>
        <v>1.2222222222222223</v>
      </c>
      <c r="M1057" s="15">
        <f t="shared" si="148"/>
        <v>1.2222222222222223</v>
      </c>
      <c r="N1057" s="5" t="s">
        <v>490</v>
      </c>
      <c r="O1057" s="5" t="s">
        <v>490</v>
      </c>
      <c r="P1057" s="5">
        <v>0</v>
      </c>
      <c r="Q1057" s="5">
        <v>0</v>
      </c>
      <c r="R1057" s="5" t="str">
        <f>A1057&amp;"-"&amp;YEAR(F1057)&amp;"-"&amp;IF(LEN(MONTH(F1057))=1,"0"&amp;MONTH(F1057),MONTH(F1057))&amp;"-"&amp;IF(LEN(DAY(F1057))=1,"0"&amp;DAY(F1057),DAY(F1057))</f>
        <v>424-2025-12-31</v>
      </c>
    </row>
    <row r="1058" spans="1:18" x14ac:dyDescent="0.3">
      <c r="A1058" s="5">
        <v>377</v>
      </c>
      <c r="B1058" s="5" t="s">
        <v>264</v>
      </c>
      <c r="C1058" s="5" t="s">
        <v>84</v>
      </c>
      <c r="D1058" s="5" t="s">
        <v>8</v>
      </c>
      <c r="E1058" s="5" t="s">
        <v>9</v>
      </c>
      <c r="F1058" s="6">
        <v>46022</v>
      </c>
      <c r="G1058" s="5">
        <v>2025</v>
      </c>
      <c r="H1058" s="5" t="s">
        <v>764</v>
      </c>
      <c r="I1058" s="6" t="s">
        <v>841</v>
      </c>
      <c r="J1058" s="5">
        <f>10285243492.81/1000000</f>
        <v>10285.243492809999</v>
      </c>
      <c r="K1058" s="5">
        <f>11016899103/1000000</f>
        <v>11016.899103</v>
      </c>
      <c r="L1058" s="15">
        <f t="shared" si="147"/>
        <v>1.0711364403479093</v>
      </c>
      <c r="M1058" s="15">
        <f t="shared" si="148"/>
        <v>1.0711364403479093</v>
      </c>
      <c r="N1058" s="5" t="s">
        <v>474</v>
      </c>
      <c r="O1058" s="5" t="s">
        <v>474</v>
      </c>
      <c r="P1058" s="5">
        <v>0</v>
      </c>
      <c r="Q1058" s="5">
        <v>0</v>
      </c>
      <c r="R1058" s="5" t="str">
        <f>A1058&amp;"-"&amp;YEAR(F1058)&amp;"-"&amp;IF(LEN(MONTH(F1058))=1,"0"&amp;MONTH(F1058),MONTH(F1058))&amp;"-"&amp;IF(LEN(DAY(F1058))=1,"0"&amp;DAY(F1058),DAY(F1058))</f>
        <v>377-2025-12-31</v>
      </c>
    </row>
    <row r="1059" spans="1:18" x14ac:dyDescent="0.3">
      <c r="A1059" s="5">
        <v>367</v>
      </c>
      <c r="B1059" s="5" t="s">
        <v>470</v>
      </c>
      <c r="C1059" s="5" t="s">
        <v>248</v>
      </c>
      <c r="D1059" s="5" t="s">
        <v>25</v>
      </c>
      <c r="E1059" s="5" t="s">
        <v>9</v>
      </c>
      <c r="F1059" s="6">
        <v>46022</v>
      </c>
      <c r="G1059" s="5">
        <v>2025</v>
      </c>
      <c r="H1059" s="5" t="s">
        <v>764</v>
      </c>
      <c r="I1059" s="6" t="s">
        <v>841</v>
      </c>
      <c r="J1059" s="5">
        <v>5</v>
      </c>
      <c r="K1059" s="5">
        <v>3.82</v>
      </c>
      <c r="L1059" s="15">
        <f t="shared" si="147"/>
        <v>0.76400000000000001</v>
      </c>
      <c r="M1059" s="15">
        <f t="shared" si="148"/>
        <v>0.76400000000000001</v>
      </c>
      <c r="N1059" s="5" t="s">
        <v>347</v>
      </c>
      <c r="O1059" s="5" t="s">
        <v>347</v>
      </c>
      <c r="P1059" s="5">
        <v>1</v>
      </c>
      <c r="Q1059" s="5">
        <v>2</v>
      </c>
      <c r="R1059" s="5" t="str">
        <f>A1059&amp;"-"&amp;YEAR(F1059)&amp;"-"&amp;IF(LEN(MONTH(F1059))=1,"0"&amp;MONTH(F1059),MONTH(F1059))&amp;"-"&amp;IF(LEN(DAY(F1059))=1,"0"&amp;DAY(F1059),DAY(F1059))</f>
        <v>367-2025-12-31</v>
      </c>
    </row>
    <row r="1060" spans="1:18" x14ac:dyDescent="0.3">
      <c r="A1060" s="5">
        <v>244</v>
      </c>
      <c r="B1060" s="5" t="s">
        <v>122</v>
      </c>
      <c r="C1060" s="5" t="s">
        <v>90</v>
      </c>
      <c r="D1060" s="5" t="s">
        <v>25</v>
      </c>
      <c r="E1060" s="5" t="s">
        <v>14</v>
      </c>
      <c r="F1060" s="6">
        <v>46022</v>
      </c>
      <c r="G1060" s="5">
        <v>2025</v>
      </c>
      <c r="H1060" s="5" t="s">
        <v>764</v>
      </c>
      <c r="I1060" s="6" t="s">
        <v>841</v>
      </c>
      <c r="J1060" s="5">
        <v>25</v>
      </c>
      <c r="K1060" s="5">
        <v>13</v>
      </c>
      <c r="L1060" s="15">
        <f>IF(J1060/K1060&gt;1.3,1.3,J1060/K1060)</f>
        <v>1.3</v>
      </c>
      <c r="M1060" s="15">
        <f>J1060/K1060</f>
        <v>1.9230769230769231</v>
      </c>
      <c r="N1060" s="5" t="s">
        <v>490</v>
      </c>
      <c r="O1060" s="5" t="s">
        <v>490</v>
      </c>
      <c r="P1060" s="5">
        <v>0</v>
      </c>
      <c r="Q1060" s="5">
        <v>0</v>
      </c>
      <c r="R1060" s="5" t="str">
        <f>A1060&amp;"-"&amp;YEAR(F1060)&amp;"-"&amp;IF(LEN(MONTH(F1060))=1,"0"&amp;MONTH(F1060),MONTH(F1060))&amp;"-"&amp;IF(LEN(DAY(F1060))=1,"0"&amp;DAY(F1060),DAY(F1060))</f>
        <v>244-2025-12-31</v>
      </c>
    </row>
    <row r="1061" spans="1:18" x14ac:dyDescent="0.3">
      <c r="A1061" s="5">
        <v>334</v>
      </c>
      <c r="B1061" s="5" t="s">
        <v>218</v>
      </c>
      <c r="C1061" s="5" t="s">
        <v>13</v>
      </c>
      <c r="D1061" s="5" t="s">
        <v>25</v>
      </c>
      <c r="E1061" s="5" t="s">
        <v>9</v>
      </c>
      <c r="F1061" s="6">
        <v>46022</v>
      </c>
      <c r="G1061" s="5">
        <v>2025</v>
      </c>
      <c r="H1061" s="5" t="s">
        <v>764</v>
      </c>
      <c r="I1061" s="6" t="s">
        <v>841</v>
      </c>
      <c r="J1061" s="5">
        <v>89</v>
      </c>
      <c r="K1061" s="5">
        <v>90.1</v>
      </c>
      <c r="L1061" s="15">
        <f t="shared" si="147"/>
        <v>1.0123595505617977</v>
      </c>
      <c r="M1061" s="15">
        <f t="shared" si="148"/>
        <v>1.0123595505617977</v>
      </c>
      <c r="N1061" s="5" t="s">
        <v>490</v>
      </c>
      <c r="O1061" s="5" t="s">
        <v>478</v>
      </c>
      <c r="P1061" s="5">
        <v>0</v>
      </c>
      <c r="Q1061" s="5">
        <v>1</v>
      </c>
      <c r="R1061" s="5" t="str">
        <f>A1061&amp;"-"&amp;YEAR(F1061)&amp;"-"&amp;IF(LEN(MONTH(F1061))=1,"0"&amp;MONTH(F1061),MONTH(F1061))&amp;"-"&amp;IF(LEN(DAY(F1061))=1,"0"&amp;DAY(F1061),DAY(F1061))</f>
        <v>334-2025-12-31</v>
      </c>
    </row>
    <row r="1062" spans="1:18" x14ac:dyDescent="0.3">
      <c r="A1062" s="5">
        <v>77</v>
      </c>
      <c r="B1062" s="5" t="s">
        <v>16</v>
      </c>
      <c r="C1062" s="5" t="s">
        <v>17</v>
      </c>
      <c r="D1062" s="5" t="s">
        <v>18</v>
      </c>
      <c r="E1062" s="5" t="s">
        <v>9</v>
      </c>
      <c r="F1062" s="6">
        <v>46022</v>
      </c>
      <c r="G1062" s="5">
        <v>2025</v>
      </c>
      <c r="H1062" s="5" t="s">
        <v>764</v>
      </c>
      <c r="I1062" s="6" t="s">
        <v>841</v>
      </c>
      <c r="J1062" s="5">
        <v>97</v>
      </c>
      <c r="K1062" s="5">
        <v>95.74545454545455</v>
      </c>
      <c r="L1062" s="15">
        <f t="shared" si="147"/>
        <v>0.98706654170571706</v>
      </c>
      <c r="M1062" s="15">
        <f t="shared" si="148"/>
        <v>0.98706654170571706</v>
      </c>
      <c r="N1062" s="5" t="s">
        <v>347</v>
      </c>
      <c r="O1062" s="5" t="s">
        <v>347</v>
      </c>
      <c r="P1062" s="5">
        <v>0</v>
      </c>
      <c r="Q1062" s="5">
        <v>1</v>
      </c>
      <c r="R1062" s="5" t="str">
        <f>A1062&amp;"-"&amp;YEAR(F1062)&amp;"-"&amp;IF(LEN(MONTH(F1062))=1,"0"&amp;MONTH(F1062),MONTH(F1062))&amp;"-"&amp;IF(LEN(DAY(F1062))=1,"0"&amp;DAY(F1062),DAY(F1062))</f>
        <v>77-2025-12-31</v>
      </c>
    </row>
    <row r="1063" spans="1:18" x14ac:dyDescent="0.3">
      <c r="A1063" s="5">
        <v>96</v>
      </c>
      <c r="B1063" s="5" t="s">
        <v>346</v>
      </c>
      <c r="C1063" s="5" t="s">
        <v>59</v>
      </c>
      <c r="D1063" s="5" t="s">
        <v>25</v>
      </c>
      <c r="E1063" s="5" t="s">
        <v>9</v>
      </c>
      <c r="F1063" s="6">
        <v>46022</v>
      </c>
      <c r="G1063" s="16">
        <f t="shared" ref="G1063" si="152">YEAR(F1063)</f>
        <v>2025</v>
      </c>
      <c r="H1063" s="6" t="str">
        <f t="shared" ref="H1063" si="153">PROPER(TEXT(F1063,"mmmm"))</f>
        <v>Diciembre</v>
      </c>
      <c r="I1063" s="6" t="str">
        <f t="shared" ref="I1063" si="154">IF(OR(H1063="Enero",H1063="Febrero",H1063="Marzo",H1063="Abril",H1063="Mayo",H1063="Junio"),G1063&amp;"-1",IF(OR(H1063="Julio",H1063="Agosto",H1063="Septiembre",H1063="Octubre",H1063="Noviembre",H1063="Diciembre"),G1063&amp;"-2"))</f>
        <v>2025-2</v>
      </c>
      <c r="J1063" s="5">
        <v>739</v>
      </c>
      <c r="K1063" s="5">
        <v>373</v>
      </c>
      <c r="L1063" s="15">
        <f t="shared" si="147"/>
        <v>0.50473612990527739</v>
      </c>
      <c r="M1063" s="15">
        <f t="shared" si="148"/>
        <v>0.50473612990527739</v>
      </c>
      <c r="N1063" s="5" t="s">
        <v>490</v>
      </c>
      <c r="O1063" s="5" t="s">
        <v>490</v>
      </c>
      <c r="P1063" s="5">
        <v>0</v>
      </c>
      <c r="Q1063" s="5">
        <v>0</v>
      </c>
      <c r="R1063" s="5" t="str">
        <f>A1063&amp;"-"&amp;YEAR(F1063)&amp;"-"&amp;IF(LEN(MONTH(F1063))=1,"0"&amp;MONTH(F1063),MONTH(F1063))&amp;"-"&amp;IF(LEN(DAY(F1063))=1,"0"&amp;DAY(F1063),DAY(F1063))</f>
        <v>96-2025-12-31</v>
      </c>
    </row>
    <row r="1064" spans="1:18" x14ac:dyDescent="0.3">
      <c r="A1064" s="5">
        <v>193</v>
      </c>
      <c r="B1064" s="102" t="s">
        <v>847</v>
      </c>
      <c r="C1064" s="5" t="s">
        <v>74</v>
      </c>
      <c r="D1064" s="5" t="s">
        <v>8</v>
      </c>
      <c r="E1064" s="5" t="s">
        <v>9</v>
      </c>
      <c r="F1064" s="6">
        <v>46022</v>
      </c>
      <c r="G1064" s="5">
        <v>2025</v>
      </c>
      <c r="H1064" s="5" t="s">
        <v>764</v>
      </c>
      <c r="I1064" s="6" t="s">
        <v>841</v>
      </c>
      <c r="J1064" s="5">
        <v>94</v>
      </c>
      <c r="K1064" s="5">
        <v>95</v>
      </c>
      <c r="L1064" s="15">
        <f t="shared" si="147"/>
        <v>1.0106382978723405</v>
      </c>
      <c r="M1064" s="15">
        <f t="shared" si="148"/>
        <v>1.0106382978723405</v>
      </c>
      <c r="N1064" s="5" t="s">
        <v>347</v>
      </c>
      <c r="O1064" s="5" t="s">
        <v>347</v>
      </c>
      <c r="P1064" s="5">
        <v>1</v>
      </c>
      <c r="Q1064" s="5">
        <v>1</v>
      </c>
      <c r="R1064" s="5" t="str">
        <f>A1064&amp;"-"&amp;YEAR(F1064)&amp;"-"&amp;IF(LEN(MONTH(F1064))=1,"0"&amp;MONTH(F1064),MONTH(F1064))&amp;"-"&amp;IF(LEN(DAY(F1064))=1,"0"&amp;DAY(F1064),DAY(F1064))</f>
        <v>193-2025-12-31</v>
      </c>
    </row>
    <row r="1065" spans="1:18" x14ac:dyDescent="0.3">
      <c r="A1065" s="5">
        <v>194</v>
      </c>
      <c r="B1065" s="5" t="s">
        <v>75</v>
      </c>
      <c r="C1065" s="5" t="s">
        <v>74</v>
      </c>
      <c r="D1065" s="5" t="s">
        <v>8</v>
      </c>
      <c r="E1065" s="5" t="s">
        <v>9</v>
      </c>
      <c r="F1065" s="6">
        <v>46022</v>
      </c>
      <c r="G1065" s="5">
        <v>2025</v>
      </c>
      <c r="H1065" s="5" t="s">
        <v>764</v>
      </c>
      <c r="I1065" s="6" t="s">
        <v>841</v>
      </c>
      <c r="J1065" s="5">
        <v>85</v>
      </c>
      <c r="K1065" s="5">
        <v>89.9</v>
      </c>
      <c r="L1065" s="15">
        <f t="shared" si="147"/>
        <v>1.0576470588235294</v>
      </c>
      <c r="M1065" s="15">
        <f t="shared" si="148"/>
        <v>1.0576470588235294</v>
      </c>
      <c r="N1065" s="5" t="s">
        <v>347</v>
      </c>
      <c r="O1065" s="5" t="s">
        <v>347</v>
      </c>
      <c r="P1065" s="5">
        <v>0</v>
      </c>
      <c r="Q1065" s="5">
        <v>0</v>
      </c>
      <c r="R1065" s="5" t="str">
        <f>A1065&amp;"-"&amp;YEAR(F1065)&amp;"-"&amp;IF(LEN(MONTH(F1065))=1,"0"&amp;MONTH(F1065),MONTH(F1065))&amp;"-"&amp;IF(LEN(DAY(F1065))=1,"0"&amp;DAY(F1065),DAY(F1065))</f>
        <v>194-2025-12-31</v>
      </c>
    </row>
    <row r="1066" spans="1:18" x14ac:dyDescent="0.3">
      <c r="A1066" s="5">
        <v>200</v>
      </c>
      <c r="B1066" s="5" t="s">
        <v>80</v>
      </c>
      <c r="C1066" s="5" t="s">
        <v>13</v>
      </c>
      <c r="D1066" s="5" t="s">
        <v>25</v>
      </c>
      <c r="E1066" s="5" t="s">
        <v>9</v>
      </c>
      <c r="F1066" s="6">
        <v>46022</v>
      </c>
      <c r="G1066" s="5">
        <v>2025</v>
      </c>
      <c r="H1066" s="5" t="s">
        <v>764</v>
      </c>
      <c r="I1066" s="6" t="s">
        <v>841</v>
      </c>
      <c r="J1066" s="5">
        <v>87</v>
      </c>
      <c r="K1066" s="5">
        <v>90.85</v>
      </c>
      <c r="L1066" s="15">
        <f t="shared" si="147"/>
        <v>1.0442528735632184</v>
      </c>
      <c r="M1066" s="15">
        <f t="shared" si="148"/>
        <v>1.0442528735632184</v>
      </c>
      <c r="N1066" s="5" t="s">
        <v>347</v>
      </c>
      <c r="O1066" s="5" t="s">
        <v>347</v>
      </c>
      <c r="P1066" s="5">
        <v>0</v>
      </c>
      <c r="Q1066" s="5">
        <v>1</v>
      </c>
      <c r="R1066" s="5" t="str">
        <f>A1066&amp;"-"&amp;YEAR(F1066)&amp;"-"&amp;IF(LEN(MONTH(F1066))=1,"0"&amp;MONTH(F1066),MONTH(F1066))&amp;"-"&amp;IF(LEN(DAY(F1066))=1,"0"&amp;DAY(F1066),DAY(F1066))</f>
        <v>200-2025-12-31</v>
      </c>
    </row>
    <row r="1067" spans="1:18" x14ac:dyDescent="0.3">
      <c r="A1067" s="5">
        <v>245</v>
      </c>
      <c r="B1067" s="5" t="s">
        <v>123</v>
      </c>
      <c r="C1067" s="5" t="s">
        <v>124</v>
      </c>
      <c r="D1067" s="5" t="s">
        <v>8</v>
      </c>
      <c r="E1067" s="5" t="s">
        <v>9</v>
      </c>
      <c r="F1067" s="6">
        <v>46022</v>
      </c>
      <c r="G1067" s="5">
        <v>2025</v>
      </c>
      <c r="H1067" s="5" t="s">
        <v>764</v>
      </c>
      <c r="I1067" s="6" t="s">
        <v>841</v>
      </c>
      <c r="J1067" s="5">
        <v>86.1</v>
      </c>
      <c r="K1067" s="5">
        <v>86.2</v>
      </c>
      <c r="L1067" s="15">
        <f t="shared" si="147"/>
        <v>1.0011614401858304</v>
      </c>
      <c r="M1067" s="15">
        <f t="shared" si="148"/>
        <v>1.0011614401858304</v>
      </c>
      <c r="N1067" s="5" t="s">
        <v>347</v>
      </c>
      <c r="O1067" s="5" t="s">
        <v>347</v>
      </c>
      <c r="P1067" s="5">
        <v>1</v>
      </c>
      <c r="Q1067" s="5">
        <v>1</v>
      </c>
      <c r="R1067" s="5" t="str">
        <f>A1067&amp;"-"&amp;YEAR(F1067)&amp;"-"&amp;IF(LEN(MONTH(F1067))=1,"0"&amp;MONTH(F1067),MONTH(F1067))&amp;"-"&amp;IF(LEN(DAY(F1067))=1,"0"&amp;DAY(F1067),DAY(F1067))</f>
        <v>245-2025-12-31</v>
      </c>
    </row>
    <row r="1068" spans="1:18" x14ac:dyDescent="0.3">
      <c r="A1068" s="5">
        <v>276</v>
      </c>
      <c r="B1068" s="5" t="s">
        <v>161</v>
      </c>
      <c r="C1068" s="5" t="s">
        <v>162</v>
      </c>
      <c r="D1068" s="5" t="s">
        <v>8</v>
      </c>
      <c r="E1068" s="5" t="s">
        <v>14</v>
      </c>
      <c r="F1068" s="6">
        <v>46022</v>
      </c>
      <c r="G1068" s="5">
        <v>2025</v>
      </c>
      <c r="H1068" s="5" t="s">
        <v>764</v>
      </c>
      <c r="I1068" s="6" t="s">
        <v>841</v>
      </c>
      <c r="J1068" s="5">
        <v>81</v>
      </c>
      <c r="K1068" s="5">
        <v>82.81</v>
      </c>
      <c r="L1068" s="15">
        <f>IFERROR(IF((J1068/K1068)&gt;1,1,J1068/K1068),"")</f>
        <v>0.97814273638449456</v>
      </c>
      <c r="M1068" s="15">
        <f>IFERROR(IF((J1068/K1068)&gt;J1068/K1068,1.3,J1068/K1068),"")</f>
        <v>0.97814273638449456</v>
      </c>
      <c r="N1068" s="5" t="s">
        <v>490</v>
      </c>
      <c r="O1068" s="5" t="s">
        <v>478</v>
      </c>
      <c r="P1068" s="5">
        <v>0</v>
      </c>
      <c r="Q1068" s="5">
        <v>1</v>
      </c>
      <c r="R1068" s="5" t="str">
        <f>A1068&amp;"-"&amp;YEAR(F1068)&amp;"-"&amp;IF(LEN(MONTH(F1068))=1,"0"&amp;MONTH(F1068),MONTH(F1068))&amp;"-"&amp;IF(LEN(DAY(F1068))=1,"0"&amp;DAY(F1068),DAY(F1068))</f>
        <v>276-2025-12-31</v>
      </c>
    </row>
    <row r="1069" spans="1:18" x14ac:dyDescent="0.3">
      <c r="A1069" s="5">
        <v>277</v>
      </c>
      <c r="B1069" s="5" t="s">
        <v>163</v>
      </c>
      <c r="C1069" s="5" t="s">
        <v>162</v>
      </c>
      <c r="D1069" s="5" t="s">
        <v>8</v>
      </c>
      <c r="E1069" s="5" t="s">
        <v>14</v>
      </c>
      <c r="F1069" s="6">
        <v>46022</v>
      </c>
      <c r="G1069" s="5">
        <v>2025</v>
      </c>
      <c r="H1069" s="5" t="s">
        <v>764</v>
      </c>
      <c r="I1069" s="6" t="s">
        <v>841</v>
      </c>
      <c r="J1069" s="5">
        <v>71</v>
      </c>
      <c r="K1069" s="5">
        <v>68.400000000000006</v>
      </c>
      <c r="L1069" s="15">
        <f t="shared" si="147"/>
        <v>0.96338028169014089</v>
      </c>
      <c r="M1069" s="15">
        <f t="shared" si="148"/>
        <v>0.96338028169014089</v>
      </c>
      <c r="N1069" s="5" t="s">
        <v>490</v>
      </c>
      <c r="O1069" s="5" t="s">
        <v>478</v>
      </c>
      <c r="P1069" s="5">
        <v>1</v>
      </c>
      <c r="Q1069" s="5">
        <v>1</v>
      </c>
      <c r="R1069" s="5" t="str">
        <f>A1069&amp;"-"&amp;YEAR(F1069)&amp;"-"&amp;IF(LEN(MONTH(F1069))=1,"0"&amp;MONTH(F1069),MONTH(F1069))&amp;"-"&amp;IF(LEN(DAY(F1069))=1,"0"&amp;DAY(F1069),DAY(F1069))</f>
        <v>277-2025-12-31</v>
      </c>
    </row>
    <row r="1070" spans="1:18" x14ac:dyDescent="0.3">
      <c r="A1070" s="5">
        <v>364</v>
      </c>
      <c r="B1070" s="5" t="s">
        <v>252</v>
      </c>
      <c r="C1070" s="5" t="s">
        <v>248</v>
      </c>
      <c r="D1070" s="5" t="s">
        <v>8</v>
      </c>
      <c r="E1070" s="5" t="s">
        <v>14</v>
      </c>
      <c r="F1070" s="6">
        <v>46022</v>
      </c>
      <c r="G1070" s="5">
        <v>2025</v>
      </c>
      <c r="H1070" s="5" t="s">
        <v>764</v>
      </c>
      <c r="I1070" s="6" t="s">
        <v>841</v>
      </c>
      <c r="J1070" s="5">
        <v>83197</v>
      </c>
      <c r="K1070" s="5">
        <v>70233</v>
      </c>
      <c r="L1070" s="15">
        <f t="shared" si="147"/>
        <v>0.84417707369256101</v>
      </c>
      <c r="M1070" s="15">
        <f t="shared" si="148"/>
        <v>0.84417707369256101</v>
      </c>
      <c r="N1070" s="5" t="s">
        <v>490</v>
      </c>
      <c r="O1070" s="5" t="s">
        <v>490</v>
      </c>
      <c r="P1070" s="5">
        <v>0</v>
      </c>
      <c r="Q1070" s="5">
        <v>0</v>
      </c>
      <c r="R1070" s="5" t="str">
        <f>A1070&amp;"-"&amp;YEAR(F1070)&amp;"-"&amp;IF(LEN(MONTH(F1070))=1,"0"&amp;MONTH(F1070),MONTH(F1070))&amp;"-"&amp;IF(LEN(DAY(F1070))=1,"0"&amp;DAY(F1070),DAY(F1070))</f>
        <v>364-2025-12-31</v>
      </c>
    </row>
    <row r="1071" spans="1:18" x14ac:dyDescent="0.3">
      <c r="A1071" s="5">
        <v>369</v>
      </c>
      <c r="B1071" s="5" t="s">
        <v>257</v>
      </c>
      <c r="C1071" s="5" t="s">
        <v>248</v>
      </c>
      <c r="D1071" s="5" t="s">
        <v>8</v>
      </c>
      <c r="E1071" s="5" t="s">
        <v>9</v>
      </c>
      <c r="F1071" s="6">
        <v>46022</v>
      </c>
      <c r="G1071" s="5">
        <v>2025</v>
      </c>
      <c r="H1071" s="5" t="s">
        <v>764</v>
      </c>
      <c r="I1071" s="6" t="s">
        <v>841</v>
      </c>
      <c r="J1071" s="5">
        <v>190</v>
      </c>
      <c r="K1071" s="5">
        <v>190</v>
      </c>
      <c r="L1071" s="15">
        <f t="shared" si="147"/>
        <v>1</v>
      </c>
      <c r="M1071" s="15">
        <f t="shared" si="148"/>
        <v>1</v>
      </c>
      <c r="N1071" s="5" t="s">
        <v>490</v>
      </c>
      <c r="O1071" s="5" t="s">
        <v>490</v>
      </c>
      <c r="P1071" s="5">
        <v>0</v>
      </c>
      <c r="Q1071" s="5">
        <v>0</v>
      </c>
      <c r="R1071" s="5" t="str">
        <f>A1071&amp;"-"&amp;YEAR(F1071)&amp;"-"&amp;IF(LEN(MONTH(F1071))=1,"0"&amp;MONTH(F1071),MONTH(F1071))&amp;"-"&amp;IF(LEN(DAY(F1071))=1,"0"&amp;DAY(F1071),DAY(F1071))</f>
        <v>369-2025-12-31</v>
      </c>
    </row>
    <row r="1072" spans="1:18" x14ac:dyDescent="0.3">
      <c r="A1072" s="5">
        <v>379</v>
      </c>
      <c r="B1072" s="5" t="s">
        <v>266</v>
      </c>
      <c r="C1072" s="5" t="s">
        <v>267</v>
      </c>
      <c r="D1072" s="5" t="s">
        <v>8</v>
      </c>
      <c r="E1072" s="5" t="s">
        <v>9</v>
      </c>
      <c r="F1072" s="6">
        <v>46022</v>
      </c>
      <c r="G1072" s="5">
        <v>2025</v>
      </c>
      <c r="H1072" s="5" t="s">
        <v>764</v>
      </c>
      <c r="I1072" s="6" t="s">
        <v>841</v>
      </c>
      <c r="J1072" s="5">
        <v>24628</v>
      </c>
      <c r="K1072" s="5">
        <v>25365</v>
      </c>
      <c r="L1072" s="15">
        <f t="shared" si="147"/>
        <v>1.0299252882897516</v>
      </c>
      <c r="M1072" s="15">
        <f t="shared" si="148"/>
        <v>1.0299252882897516</v>
      </c>
      <c r="N1072" s="5" t="s">
        <v>490</v>
      </c>
      <c r="O1072" s="5" t="s">
        <v>490</v>
      </c>
      <c r="P1072" s="5">
        <v>0</v>
      </c>
      <c r="Q1072" s="5">
        <v>0</v>
      </c>
      <c r="R1072" s="5" t="str">
        <f>A1072&amp;"-"&amp;YEAR(F1072)&amp;"-"&amp;IF(LEN(MONTH(F1072))=1,"0"&amp;MONTH(F1072),MONTH(F1072))&amp;"-"&amp;IF(LEN(DAY(F1072))=1,"0"&amp;DAY(F1072),DAY(F1072))</f>
        <v>379-2025-12-31</v>
      </c>
    </row>
    <row r="1073" spans="1:18" x14ac:dyDescent="0.3">
      <c r="A1073" s="5">
        <v>98</v>
      </c>
      <c r="B1073" s="5" t="s">
        <v>432</v>
      </c>
      <c r="C1073" s="5" t="s">
        <v>315</v>
      </c>
      <c r="D1073" s="5" t="s">
        <v>8</v>
      </c>
      <c r="E1073" s="5" t="s">
        <v>9</v>
      </c>
      <c r="F1073" s="6">
        <v>46022</v>
      </c>
      <c r="G1073" s="5">
        <v>2025</v>
      </c>
      <c r="H1073" s="5" t="s">
        <v>764</v>
      </c>
      <c r="I1073" s="6" t="s">
        <v>841</v>
      </c>
      <c r="J1073" s="5">
        <v>15</v>
      </c>
      <c r="K1073" s="5">
        <v>15</v>
      </c>
      <c r="L1073" s="15">
        <f t="shared" si="147"/>
        <v>1</v>
      </c>
      <c r="M1073" s="15">
        <f t="shared" si="148"/>
        <v>1</v>
      </c>
      <c r="N1073" s="5" t="s">
        <v>490</v>
      </c>
      <c r="O1073" s="5" t="s">
        <v>490</v>
      </c>
      <c r="P1073" s="5">
        <v>0</v>
      </c>
      <c r="Q1073" s="5">
        <v>0</v>
      </c>
      <c r="R1073" s="5" t="str">
        <f>A1073&amp;"-"&amp;YEAR(F1073)&amp;"-"&amp;IF(LEN(MONTH(F1073))=1,"0"&amp;MONTH(F1073),MONTH(F1073))&amp;"-"&amp;IF(LEN(DAY(F1073))=1,"0"&amp;DAY(F1073),DAY(F1073))</f>
        <v>98-2025-12-31</v>
      </c>
    </row>
    <row r="1074" spans="1:18" x14ac:dyDescent="0.3">
      <c r="A1074" s="5">
        <v>9</v>
      </c>
      <c r="B1074" s="5" t="s">
        <v>829</v>
      </c>
      <c r="C1074" s="5" t="s">
        <v>343</v>
      </c>
      <c r="D1074" s="5" t="s">
        <v>18</v>
      </c>
      <c r="E1074" s="5" t="s">
        <v>9</v>
      </c>
      <c r="F1074" s="6">
        <v>45657</v>
      </c>
      <c r="G1074" s="5">
        <v>2024</v>
      </c>
      <c r="H1074" s="5" t="s">
        <v>764</v>
      </c>
      <c r="I1074" s="6" t="s">
        <v>848</v>
      </c>
      <c r="J1074" s="13">
        <v>100</v>
      </c>
      <c r="K1074" s="13">
        <v>100</v>
      </c>
      <c r="L1074" s="15">
        <f t="shared" si="147"/>
        <v>1</v>
      </c>
      <c r="M1074" s="15">
        <f t="shared" si="148"/>
        <v>1</v>
      </c>
      <c r="N1074" s="5" t="s">
        <v>347</v>
      </c>
      <c r="O1074" s="5" t="s">
        <v>347</v>
      </c>
      <c r="P1074" s="5">
        <v>0</v>
      </c>
      <c r="Q1074" s="5">
        <v>0</v>
      </c>
      <c r="R1074" s="5" t="str">
        <f>A1074&amp;"-"&amp;YEAR(F1074)&amp;"-"&amp;IF(LEN(MONTH(F1074))=1,"0"&amp;MONTH(F1074),MONTH(F1074))&amp;"-"&amp;IF(LEN(DAY(F1074))=1,"0"&amp;DAY(F1074),DAY(F1074))</f>
        <v>9-2024-12-31</v>
      </c>
    </row>
    <row r="1075" spans="1:18" x14ac:dyDescent="0.3">
      <c r="A1075" s="5" t="s">
        <v>424</v>
      </c>
      <c r="B1075" s="5" t="s">
        <v>425</v>
      </c>
      <c r="C1075" s="5" t="s">
        <v>158</v>
      </c>
      <c r="D1075" s="5" t="s">
        <v>18</v>
      </c>
      <c r="E1075" s="5" t="s">
        <v>9</v>
      </c>
      <c r="F1075" s="6">
        <v>44926</v>
      </c>
      <c r="G1075" s="5">
        <v>2022</v>
      </c>
      <c r="H1075" s="5" t="s">
        <v>764</v>
      </c>
      <c r="I1075" s="6" t="s">
        <v>423</v>
      </c>
      <c r="J1075" s="5">
        <v>87</v>
      </c>
      <c r="K1075" s="5">
        <v>89</v>
      </c>
      <c r="L1075" s="15">
        <f t="shared" si="147"/>
        <v>1.0229885057471264</v>
      </c>
      <c r="M1075" s="15">
        <f t="shared" si="148"/>
        <v>1.0229885057471264</v>
      </c>
      <c r="N1075" s="5">
        <v>0</v>
      </c>
      <c r="O1075" s="5">
        <v>0</v>
      </c>
      <c r="P1075" s="5">
        <v>0</v>
      </c>
      <c r="Q1075" s="5">
        <v>0</v>
      </c>
      <c r="R1075" s="5" t="str">
        <f>A1075&amp;"-"&amp;YEAR(F1075)&amp;"-"&amp;IF(LEN(MONTH(F1075))=1,"0"&amp;MONTH(F1075),MONTH(F1075))&amp;"-"&amp;IF(LEN(DAY(F1075))=1,"0"&amp;DAY(F1075),DAY(F1075))</f>
        <v>10.1-2022-12-31</v>
      </c>
    </row>
    <row r="1076" spans="1:18" x14ac:dyDescent="0.3">
      <c r="A1076" s="5" t="s">
        <v>427</v>
      </c>
      <c r="B1076" s="5" t="s">
        <v>849</v>
      </c>
      <c r="C1076" s="5" t="s">
        <v>117</v>
      </c>
      <c r="D1076" s="5" t="s">
        <v>18</v>
      </c>
      <c r="E1076" s="5" t="s">
        <v>9</v>
      </c>
      <c r="F1076" s="6">
        <v>45291</v>
      </c>
      <c r="G1076" s="5">
        <v>2023</v>
      </c>
      <c r="H1076" s="5" t="s">
        <v>764</v>
      </c>
      <c r="I1076" s="6" t="s">
        <v>434</v>
      </c>
      <c r="J1076" s="5">
        <v>100</v>
      </c>
      <c r="K1076" s="5">
        <v>100</v>
      </c>
      <c r="L1076" s="15">
        <f t="shared" si="147"/>
        <v>1</v>
      </c>
      <c r="M1076" s="15">
        <f t="shared" si="148"/>
        <v>1</v>
      </c>
      <c r="N1076" s="5" t="s">
        <v>347</v>
      </c>
      <c r="O1076" s="5" t="s">
        <v>347</v>
      </c>
      <c r="P1076" s="5">
        <v>0</v>
      </c>
      <c r="Q1076" s="5">
        <v>0</v>
      </c>
      <c r="R1076" s="5" t="str">
        <f>A1076&amp;"-"&amp;YEAR(F1076)&amp;"-"&amp;IF(LEN(MONTH(F1076))=1,"0"&amp;MONTH(F1076),MONTH(F1076))&amp;"-"&amp;IF(LEN(DAY(F1076))=1,"0"&amp;DAY(F1076),DAY(F1076))</f>
        <v>13.1-2023-12-31</v>
      </c>
    </row>
    <row r="1077" spans="1:18" x14ac:dyDescent="0.3">
      <c r="A1077" s="5">
        <v>12</v>
      </c>
      <c r="B1077" s="5" t="s">
        <v>850</v>
      </c>
      <c r="C1077" s="5" t="s">
        <v>145</v>
      </c>
      <c r="D1077" s="5" t="s">
        <v>18</v>
      </c>
      <c r="E1077" s="5" t="s">
        <v>9</v>
      </c>
      <c r="F1077" s="6">
        <v>46022</v>
      </c>
      <c r="G1077" s="5">
        <v>2025</v>
      </c>
      <c r="H1077" s="5" t="s">
        <v>764</v>
      </c>
      <c r="I1077" s="6" t="s">
        <v>841</v>
      </c>
      <c r="J1077" s="13"/>
      <c r="K1077" s="13"/>
      <c r="L1077" s="15" t="str">
        <f t="shared" si="147"/>
        <v/>
      </c>
      <c r="M1077" s="15" t="str">
        <f t="shared" si="148"/>
        <v/>
      </c>
      <c r="N1077" s="5" t="s">
        <v>851</v>
      </c>
      <c r="O1077" s="5" t="s">
        <v>851</v>
      </c>
      <c r="P1077" s="5">
        <v>0</v>
      </c>
      <c r="Q1077" s="5">
        <v>0</v>
      </c>
      <c r="R1077" s="5" t="str">
        <f>A1077&amp;"-"&amp;YEAR(F1077)&amp;"-"&amp;IF(LEN(MONTH(F1077))=1,"0"&amp;MONTH(F1077),MONTH(F1077))&amp;"-"&amp;IF(LEN(DAY(F1077))=1,"0"&amp;DAY(F1077),DAY(F1077))</f>
        <v>12-2025-12-31</v>
      </c>
    </row>
    <row r="1078" spans="1:18" x14ac:dyDescent="0.3">
      <c r="A1078" s="26">
        <v>903</v>
      </c>
      <c r="B1078" s="23" t="s">
        <v>832</v>
      </c>
      <c r="C1078" s="5" t="s">
        <v>43</v>
      </c>
      <c r="D1078" s="5" t="s">
        <v>18</v>
      </c>
      <c r="E1078" s="5" t="s">
        <v>9</v>
      </c>
      <c r="F1078" s="6">
        <v>46022</v>
      </c>
      <c r="G1078" s="5">
        <v>2025</v>
      </c>
      <c r="H1078" s="5" t="s">
        <v>764</v>
      </c>
      <c r="I1078" s="6" t="s">
        <v>841</v>
      </c>
      <c r="J1078" s="11">
        <v>100</v>
      </c>
      <c r="K1078" s="11">
        <v>99</v>
      </c>
      <c r="L1078" s="15">
        <f t="shared" si="147"/>
        <v>0.99</v>
      </c>
      <c r="M1078" s="15">
        <f t="shared" si="148"/>
        <v>0.99</v>
      </c>
      <c r="N1078" s="5" t="s">
        <v>347</v>
      </c>
      <c r="O1078" s="5" t="s">
        <v>347</v>
      </c>
      <c r="P1078" s="5">
        <v>0</v>
      </c>
      <c r="Q1078" s="5">
        <v>0</v>
      </c>
      <c r="R1078" s="5" t="str">
        <f>A1078&amp;"-"&amp;YEAR(F1078)&amp;"-"&amp;IF(LEN(MONTH(F1078))=1,"0"&amp;MONTH(F1078),MONTH(F1078))&amp;"-"&amp;IF(LEN(DAY(F1078))=1,"0"&amp;DAY(F1078),DAY(F1078))</f>
        <v>903-2025-12-31</v>
      </c>
    </row>
    <row r="1079" spans="1:18" x14ac:dyDescent="0.3">
      <c r="A1079" s="5">
        <v>909</v>
      </c>
      <c r="B1079" s="5" t="s">
        <v>818</v>
      </c>
      <c r="C1079" s="5" t="s">
        <v>158</v>
      </c>
      <c r="D1079" s="5" t="s">
        <v>18</v>
      </c>
      <c r="E1079" s="5" t="s">
        <v>9</v>
      </c>
      <c r="F1079" s="6">
        <v>46022</v>
      </c>
      <c r="G1079" s="5">
        <v>2025</v>
      </c>
      <c r="H1079" s="5" t="s">
        <v>764</v>
      </c>
      <c r="I1079" s="6" t="s">
        <v>841</v>
      </c>
      <c r="J1079" s="5">
        <v>100</v>
      </c>
      <c r="K1079" s="5">
        <v>100</v>
      </c>
      <c r="L1079" s="15">
        <f t="shared" si="147"/>
        <v>1</v>
      </c>
      <c r="M1079" s="15">
        <f t="shared" si="148"/>
        <v>1</v>
      </c>
      <c r="N1079" s="5">
        <v>0</v>
      </c>
      <c r="O1079" s="5">
        <v>0</v>
      </c>
      <c r="P1079" s="5">
        <v>0</v>
      </c>
      <c r="Q1079" s="5">
        <v>0</v>
      </c>
      <c r="R1079" s="5" t="str">
        <f>A1079&amp;"-"&amp;YEAR(F1079)&amp;"-"&amp;IF(LEN(MONTH(F1079))=1,"0"&amp;MONTH(F1079),MONTH(F1079))&amp;"-"&amp;IF(LEN(DAY(F1079))=1,"0"&amp;DAY(F1079),DAY(F1079))</f>
        <v>909-2025-12-31</v>
      </c>
    </row>
    <row r="1080" spans="1:18" x14ac:dyDescent="0.3">
      <c r="A1080" s="5">
        <v>910</v>
      </c>
      <c r="B1080" s="5" t="s">
        <v>819</v>
      </c>
      <c r="C1080" s="5" t="s">
        <v>59</v>
      </c>
      <c r="D1080" s="5" t="s">
        <v>18</v>
      </c>
      <c r="E1080" s="5" t="s">
        <v>9</v>
      </c>
      <c r="F1080" s="6">
        <v>46022</v>
      </c>
      <c r="G1080" s="5">
        <v>2025</v>
      </c>
      <c r="H1080" s="5" t="s">
        <v>764</v>
      </c>
      <c r="I1080" s="6" t="s">
        <v>841</v>
      </c>
      <c r="J1080" s="5">
        <v>76</v>
      </c>
      <c r="K1080" s="5">
        <v>77</v>
      </c>
      <c r="L1080" s="15">
        <f t="shared" si="147"/>
        <v>1.013157894736842</v>
      </c>
      <c r="M1080" s="15">
        <f t="shared" si="148"/>
        <v>1.013157894736842</v>
      </c>
      <c r="N1080" s="5" t="s">
        <v>347</v>
      </c>
      <c r="O1080" s="5" t="s">
        <v>347</v>
      </c>
      <c r="P1080" s="5">
        <v>0</v>
      </c>
      <c r="Q1080" s="5">
        <v>0</v>
      </c>
      <c r="R1080" s="5" t="str">
        <f>A1080&amp;"-"&amp;YEAR(F1080)&amp;"-"&amp;IF(LEN(MONTH(F1080))=1,"0"&amp;MONTH(F1080),MONTH(F1080))&amp;"-"&amp;IF(LEN(DAY(F1080))=1,"0"&amp;DAY(F1080),DAY(F1080))</f>
        <v>910-2025-12-31</v>
      </c>
    </row>
    <row r="1081" spans="1:18" x14ac:dyDescent="0.3">
      <c r="A1081" s="5">
        <v>911</v>
      </c>
      <c r="B1081" s="5" t="s">
        <v>820</v>
      </c>
      <c r="C1081" s="5" t="s">
        <v>162</v>
      </c>
      <c r="D1081" s="5" t="s">
        <v>18</v>
      </c>
      <c r="E1081" s="5" t="s">
        <v>9</v>
      </c>
      <c r="F1081" s="6">
        <v>46022</v>
      </c>
      <c r="G1081" s="5">
        <v>2025</v>
      </c>
      <c r="H1081" s="5" t="s">
        <v>764</v>
      </c>
      <c r="I1081" s="6" t="s">
        <v>841</v>
      </c>
      <c r="J1081" s="5">
        <v>90</v>
      </c>
      <c r="K1081" s="5">
        <v>91</v>
      </c>
      <c r="L1081" s="15">
        <f t="shared" si="147"/>
        <v>1.0111111111111111</v>
      </c>
      <c r="M1081" s="15">
        <f t="shared" si="148"/>
        <v>1.0111111111111111</v>
      </c>
      <c r="N1081" s="5" t="s">
        <v>347</v>
      </c>
      <c r="O1081" s="5" t="s">
        <v>347</v>
      </c>
      <c r="P1081" s="5">
        <v>0</v>
      </c>
      <c r="Q1081" s="5">
        <v>0</v>
      </c>
      <c r="R1081" s="5" t="str">
        <f>A1081&amp;"-"&amp;YEAR(F1081)&amp;"-"&amp;IF(LEN(MONTH(F1081))=1,"0"&amp;MONTH(F1081),MONTH(F1081))&amp;"-"&amp;IF(LEN(DAY(F1081))=1,"0"&amp;DAY(F1081),DAY(F1081))</f>
        <v>911-2025-12-31</v>
      </c>
    </row>
    <row r="1082" spans="1:18" x14ac:dyDescent="0.3">
      <c r="A1082" s="5">
        <v>912</v>
      </c>
      <c r="B1082" s="5" t="s">
        <v>821</v>
      </c>
      <c r="C1082" s="5" t="s">
        <v>129</v>
      </c>
      <c r="D1082" s="5" t="s">
        <v>18</v>
      </c>
      <c r="E1082" s="5" t="s">
        <v>9</v>
      </c>
      <c r="F1082" s="6">
        <v>46022</v>
      </c>
      <c r="G1082" s="5">
        <v>2025</v>
      </c>
      <c r="H1082" s="5" t="s">
        <v>764</v>
      </c>
      <c r="I1082" s="6" t="s">
        <v>841</v>
      </c>
      <c r="J1082" s="5">
        <v>75</v>
      </c>
      <c r="K1082" s="5">
        <v>70</v>
      </c>
      <c r="L1082" s="15">
        <f t="shared" si="147"/>
        <v>0.93333333333333335</v>
      </c>
      <c r="M1082" s="15">
        <f t="shared" si="148"/>
        <v>0.93333333333333335</v>
      </c>
      <c r="N1082" s="5" t="s">
        <v>347</v>
      </c>
      <c r="O1082" s="5" t="s">
        <v>347</v>
      </c>
      <c r="P1082" s="5">
        <v>0</v>
      </c>
      <c r="Q1082" s="5">
        <v>0</v>
      </c>
      <c r="R1082" s="5" t="str">
        <f>A1082&amp;"-"&amp;YEAR(F1082)&amp;"-"&amp;IF(LEN(MONTH(F1082))=1,"0"&amp;MONTH(F1082),MONTH(F1082))&amp;"-"&amp;IF(LEN(DAY(F1082))=1,"0"&amp;DAY(F1082),DAY(F1082))</f>
        <v>912-2025-12-31</v>
      </c>
    </row>
    <row r="1083" spans="1:18" x14ac:dyDescent="0.3">
      <c r="A1083" s="5">
        <v>913</v>
      </c>
      <c r="B1083" s="5" t="s">
        <v>822</v>
      </c>
      <c r="C1083" s="5" t="s">
        <v>145</v>
      </c>
      <c r="D1083" s="5" t="s">
        <v>18</v>
      </c>
      <c r="E1083" s="5" t="s">
        <v>9</v>
      </c>
      <c r="F1083" s="6">
        <v>46022</v>
      </c>
      <c r="G1083" s="5">
        <v>2025</v>
      </c>
      <c r="H1083" s="5" t="s">
        <v>764</v>
      </c>
      <c r="I1083" s="6" t="s">
        <v>841</v>
      </c>
      <c r="J1083" s="5">
        <v>99</v>
      </c>
      <c r="K1083" s="5">
        <v>99</v>
      </c>
      <c r="L1083" s="15">
        <f t="shared" si="147"/>
        <v>1</v>
      </c>
      <c r="M1083" s="15">
        <f t="shared" si="148"/>
        <v>1</v>
      </c>
      <c r="N1083" s="5">
        <v>0</v>
      </c>
      <c r="O1083" s="5">
        <v>0</v>
      </c>
      <c r="P1083" s="5">
        <v>0</v>
      </c>
      <c r="Q1083" s="5">
        <v>0</v>
      </c>
      <c r="R1083" s="5" t="str">
        <f>A1083&amp;"-"&amp;YEAR(F1083)&amp;"-"&amp;IF(LEN(MONTH(F1083))=1,"0"&amp;MONTH(F1083),MONTH(F1083))&amp;"-"&amp;IF(LEN(DAY(F1083))=1,"0"&amp;DAY(F1083),DAY(F1083))</f>
        <v>913-2025-12-31</v>
      </c>
    </row>
    <row r="1084" spans="1:18" x14ac:dyDescent="0.3">
      <c r="A1084" s="5">
        <v>914</v>
      </c>
      <c r="B1084" s="5" t="s">
        <v>823</v>
      </c>
      <c r="C1084" s="5" t="s">
        <v>13</v>
      </c>
      <c r="D1084" s="5" t="s">
        <v>18</v>
      </c>
      <c r="E1084" s="5" t="s">
        <v>9</v>
      </c>
      <c r="F1084" s="6">
        <v>46022</v>
      </c>
      <c r="G1084" s="5">
        <v>2025</v>
      </c>
      <c r="H1084" s="5" t="s">
        <v>764</v>
      </c>
      <c r="I1084" s="6" t="s">
        <v>841</v>
      </c>
      <c r="J1084" s="5">
        <v>67</v>
      </c>
      <c r="K1084" s="5">
        <v>67</v>
      </c>
      <c r="L1084" s="15">
        <f t="shared" si="147"/>
        <v>1</v>
      </c>
      <c r="M1084" s="15">
        <f t="shared" si="148"/>
        <v>1</v>
      </c>
      <c r="N1084" s="5">
        <v>0</v>
      </c>
      <c r="O1084" s="5">
        <v>0</v>
      </c>
      <c r="P1084" s="5">
        <v>0</v>
      </c>
      <c r="Q1084" s="5">
        <v>0</v>
      </c>
      <c r="R1084" s="5" t="str">
        <f>A1084&amp;"-"&amp;YEAR(F1084)&amp;"-"&amp;IF(LEN(MONTH(F1084))=1,"0"&amp;MONTH(F1084),MONTH(F1084))&amp;"-"&amp;IF(LEN(DAY(F1084))=1,"0"&amp;DAY(F1084),DAY(F1084))</f>
        <v>914-2025-12-31</v>
      </c>
    </row>
    <row r="1085" spans="1:18" x14ac:dyDescent="0.3">
      <c r="A1085" s="5">
        <v>915</v>
      </c>
      <c r="B1085" s="5" t="s">
        <v>824</v>
      </c>
      <c r="C1085" s="5" t="s">
        <v>237</v>
      </c>
      <c r="D1085" s="5" t="s">
        <v>18</v>
      </c>
      <c r="E1085" s="5" t="s">
        <v>9</v>
      </c>
      <c r="F1085" s="6">
        <v>46022</v>
      </c>
      <c r="G1085" s="5">
        <v>2025</v>
      </c>
      <c r="H1085" s="5" t="s">
        <v>764</v>
      </c>
      <c r="I1085" s="6" t="s">
        <v>841</v>
      </c>
      <c r="J1085" s="5">
        <v>5</v>
      </c>
      <c r="K1085" s="5">
        <v>5</v>
      </c>
      <c r="L1085" s="15">
        <f t="shared" si="147"/>
        <v>1</v>
      </c>
      <c r="M1085" s="15">
        <f t="shared" si="148"/>
        <v>1</v>
      </c>
      <c r="N1085" s="5" t="s">
        <v>347</v>
      </c>
      <c r="O1085" s="5" t="s">
        <v>347</v>
      </c>
      <c r="P1085" s="5">
        <v>0</v>
      </c>
      <c r="Q1085" s="5">
        <v>0</v>
      </c>
      <c r="R1085" s="5" t="str">
        <f>A1085&amp;"-"&amp;YEAR(F1085)&amp;"-"&amp;IF(LEN(MONTH(F1085))=1,"0"&amp;MONTH(F1085),MONTH(F1085))&amp;"-"&amp;IF(LEN(DAY(F1085))=1,"0"&amp;DAY(F1085),DAY(F1085))</f>
        <v>915-2025-12-31</v>
      </c>
    </row>
    <row r="1086" spans="1:18" x14ac:dyDescent="0.3">
      <c r="A1086" s="5">
        <v>916</v>
      </c>
      <c r="B1086" s="5" t="s">
        <v>825</v>
      </c>
      <c r="C1086" s="5" t="s">
        <v>45</v>
      </c>
      <c r="D1086" s="5" t="s">
        <v>18</v>
      </c>
      <c r="E1086" s="5" t="s">
        <v>9</v>
      </c>
      <c r="F1086" s="6">
        <v>46022</v>
      </c>
      <c r="G1086" s="5">
        <v>2025</v>
      </c>
      <c r="H1086" s="5" t="s">
        <v>764</v>
      </c>
      <c r="I1086" s="6" t="s">
        <v>841</v>
      </c>
      <c r="J1086" s="5">
        <v>60</v>
      </c>
      <c r="K1086" s="5">
        <v>57</v>
      </c>
      <c r="L1086" s="15">
        <f t="shared" ref="L1086:L1094" si="155">IFERROR(IF((K1086/J1086)&gt;1.3,1.3,K1086/J1086),"")</f>
        <v>0.95</v>
      </c>
      <c r="M1086" s="15">
        <f t="shared" ref="M1086:M1094" si="156">IFERROR(K1086/J1086,"")</f>
        <v>0.95</v>
      </c>
      <c r="N1086" s="5" t="s">
        <v>347</v>
      </c>
      <c r="O1086" s="5" t="s">
        <v>347</v>
      </c>
      <c r="P1086" s="5">
        <v>0</v>
      </c>
      <c r="Q1086" s="5">
        <v>0</v>
      </c>
      <c r="R1086" s="5" t="str">
        <f>A1086&amp;"-"&amp;YEAR(F1086)&amp;"-"&amp;IF(LEN(MONTH(F1086))=1,"0"&amp;MONTH(F1086),MONTH(F1086))&amp;"-"&amp;IF(LEN(DAY(F1086))=1,"0"&amp;DAY(F1086),DAY(F1086))</f>
        <v>916-2025-12-31</v>
      </c>
    </row>
    <row r="1087" spans="1:18" x14ac:dyDescent="0.3">
      <c r="A1087" s="5">
        <v>917</v>
      </c>
      <c r="B1087" s="5" t="s">
        <v>826</v>
      </c>
      <c r="C1087" s="5" t="s">
        <v>74</v>
      </c>
      <c r="D1087" s="5" t="s">
        <v>18</v>
      </c>
      <c r="E1087" s="5" t="s">
        <v>9</v>
      </c>
      <c r="F1087" s="6">
        <v>46022</v>
      </c>
      <c r="G1087" s="5">
        <v>2025</v>
      </c>
      <c r="H1087" s="5" t="s">
        <v>764</v>
      </c>
      <c r="I1087" s="6" t="s">
        <v>841</v>
      </c>
      <c r="J1087" s="5">
        <v>100</v>
      </c>
      <c r="K1087" s="5">
        <v>99</v>
      </c>
      <c r="L1087" s="15">
        <f t="shared" si="155"/>
        <v>0.99</v>
      </c>
      <c r="M1087" s="15">
        <f t="shared" si="156"/>
        <v>0.99</v>
      </c>
      <c r="N1087" s="5" t="s">
        <v>347</v>
      </c>
      <c r="O1087" s="5" t="s">
        <v>347</v>
      </c>
      <c r="P1087" s="5">
        <v>0</v>
      </c>
      <c r="Q1087" s="5">
        <v>0</v>
      </c>
      <c r="R1087" s="5" t="str">
        <f>A1087&amp;"-"&amp;YEAR(F1087)&amp;"-"&amp;IF(LEN(MONTH(F1087))=1,"0"&amp;MONTH(F1087),MONTH(F1087))&amp;"-"&amp;IF(LEN(DAY(F1087))=1,"0"&amp;DAY(F1087),DAY(F1087))</f>
        <v>917-2025-12-31</v>
      </c>
    </row>
    <row r="1088" spans="1:18" x14ac:dyDescent="0.3">
      <c r="A1088" s="5">
        <v>918</v>
      </c>
      <c r="B1088" s="5" t="s">
        <v>852</v>
      </c>
      <c r="C1088" s="5" t="s">
        <v>343</v>
      </c>
      <c r="D1088" s="5" t="s">
        <v>18</v>
      </c>
      <c r="E1088" s="5" t="s">
        <v>9</v>
      </c>
      <c r="F1088" s="6">
        <v>46022</v>
      </c>
      <c r="G1088" s="5">
        <v>2025</v>
      </c>
      <c r="H1088" s="5" t="s">
        <v>764</v>
      </c>
      <c r="I1088" s="6" t="s">
        <v>841</v>
      </c>
      <c r="J1088" s="5">
        <v>99</v>
      </c>
      <c r="K1088" s="5">
        <v>99</v>
      </c>
      <c r="L1088" s="15">
        <f t="shared" si="155"/>
        <v>1</v>
      </c>
      <c r="M1088" s="15">
        <f t="shared" si="156"/>
        <v>1</v>
      </c>
      <c r="N1088" s="5" t="s">
        <v>347</v>
      </c>
      <c r="O1088" s="5" t="s">
        <v>347</v>
      </c>
      <c r="P1088" s="5">
        <v>0</v>
      </c>
      <c r="Q1088" s="5">
        <v>0</v>
      </c>
      <c r="R1088" s="5" t="str">
        <f>A1088&amp;"-"&amp;YEAR(F1088)&amp;"-"&amp;IF(LEN(MONTH(F1088))=1,"0"&amp;MONTH(F1088),MONTH(F1088))&amp;"-"&amp;IF(LEN(DAY(F1088))=1,"0"&amp;DAY(F1088),DAY(F1088))</f>
        <v>918-2025-12-31</v>
      </c>
    </row>
    <row r="1089" spans="1:18" x14ac:dyDescent="0.3">
      <c r="A1089" s="5">
        <v>919</v>
      </c>
      <c r="B1089" s="5" t="s">
        <v>828</v>
      </c>
      <c r="C1089" s="5" t="s">
        <v>762</v>
      </c>
      <c r="D1089" s="5" t="s">
        <v>18</v>
      </c>
      <c r="E1089" s="5" t="s">
        <v>9</v>
      </c>
      <c r="F1089" s="6">
        <v>46022</v>
      </c>
      <c r="G1089" s="5">
        <v>2025</v>
      </c>
      <c r="H1089" s="5" t="s">
        <v>764</v>
      </c>
      <c r="I1089" s="6" t="s">
        <v>841</v>
      </c>
      <c r="J1089" s="5">
        <v>90</v>
      </c>
      <c r="K1089" s="5">
        <v>87</v>
      </c>
      <c r="L1089" s="15">
        <f t="shared" si="155"/>
        <v>0.96666666666666667</v>
      </c>
      <c r="M1089" s="15">
        <f t="shared" si="156"/>
        <v>0.96666666666666667</v>
      </c>
      <c r="N1089" s="5" t="s">
        <v>347</v>
      </c>
      <c r="O1089" s="5" t="s">
        <v>347</v>
      </c>
      <c r="P1089" s="5">
        <v>0</v>
      </c>
      <c r="Q1089" s="5">
        <v>0</v>
      </c>
      <c r="R1089" s="5" t="str">
        <f>A1089&amp;"-"&amp;YEAR(F1089)&amp;"-"&amp;IF(LEN(MONTH(F1089))=1,"0"&amp;MONTH(F1089),MONTH(F1089))&amp;"-"&amp;IF(LEN(DAY(F1089))=1,"0"&amp;DAY(F1089),DAY(F1089))</f>
        <v>919-2025-12-31</v>
      </c>
    </row>
    <row r="1090" spans="1:18" x14ac:dyDescent="0.3">
      <c r="A1090" s="5">
        <v>922</v>
      </c>
      <c r="B1090" s="5" t="s">
        <v>833</v>
      </c>
      <c r="C1090" s="5" t="s">
        <v>124</v>
      </c>
      <c r="D1090" s="5" t="s">
        <v>18</v>
      </c>
      <c r="E1090" s="5" t="s">
        <v>9</v>
      </c>
      <c r="F1090" s="6">
        <v>46022</v>
      </c>
      <c r="G1090" s="5">
        <v>2025</v>
      </c>
      <c r="H1090" s="5" t="s">
        <v>764</v>
      </c>
      <c r="I1090" s="6" t="s">
        <v>841</v>
      </c>
      <c r="J1090" s="5">
        <v>100</v>
      </c>
      <c r="K1090" s="5">
        <v>99</v>
      </c>
      <c r="L1090" s="15">
        <f t="shared" si="155"/>
        <v>0.99</v>
      </c>
      <c r="M1090" s="15">
        <f t="shared" si="156"/>
        <v>0.99</v>
      </c>
      <c r="N1090" s="5" t="s">
        <v>347</v>
      </c>
      <c r="O1090" s="5" t="s">
        <v>347</v>
      </c>
      <c r="P1090" s="5">
        <v>0</v>
      </c>
      <c r="Q1090" s="5">
        <v>0</v>
      </c>
      <c r="R1090" s="5" t="str">
        <f>A1090&amp;"-"&amp;YEAR(F1090)&amp;"-"&amp;IF(LEN(MONTH(F1090))=1,"0"&amp;MONTH(F1090),MONTH(F1090))&amp;"-"&amp;IF(LEN(DAY(F1090))=1,"0"&amp;DAY(F1090),DAY(F1090))</f>
        <v>922-2025-12-31</v>
      </c>
    </row>
    <row r="1091" spans="1:18" x14ac:dyDescent="0.3">
      <c r="A1091" s="5">
        <v>923</v>
      </c>
      <c r="B1091" s="5" t="s">
        <v>834</v>
      </c>
      <c r="C1091" s="5" t="s">
        <v>345</v>
      </c>
      <c r="D1091" s="5" t="s">
        <v>18</v>
      </c>
      <c r="E1091" s="5" t="s">
        <v>9</v>
      </c>
      <c r="F1091" s="6">
        <v>46022</v>
      </c>
      <c r="G1091" s="5">
        <v>2025</v>
      </c>
      <c r="H1091" s="5" t="s">
        <v>764</v>
      </c>
      <c r="I1091" s="6" t="s">
        <v>841</v>
      </c>
      <c r="J1091" s="5">
        <v>100</v>
      </c>
      <c r="K1091" s="5">
        <v>100</v>
      </c>
      <c r="L1091" s="15">
        <f t="shared" si="155"/>
        <v>1</v>
      </c>
      <c r="M1091" s="15">
        <f t="shared" si="156"/>
        <v>1</v>
      </c>
      <c r="N1091" s="5" t="s">
        <v>347</v>
      </c>
      <c r="O1091" s="5" t="s">
        <v>347</v>
      </c>
      <c r="P1091" s="5">
        <v>0</v>
      </c>
      <c r="Q1091" s="5">
        <v>0</v>
      </c>
      <c r="R1091" s="5" t="str">
        <f>A1091&amp;"-"&amp;YEAR(F1091)&amp;"-"&amp;IF(LEN(MONTH(F1091))=1,"0"&amp;MONTH(F1091),MONTH(F1091))&amp;"-"&amp;IF(LEN(DAY(F1091))=1,"0"&amp;DAY(F1091),DAY(F1091))</f>
        <v>923-2025-12-31</v>
      </c>
    </row>
    <row r="1092" spans="1:18" x14ac:dyDescent="0.3">
      <c r="A1092" s="5">
        <v>924</v>
      </c>
      <c r="B1092" s="5" t="s">
        <v>853</v>
      </c>
      <c r="C1092" s="5" t="s">
        <v>214</v>
      </c>
      <c r="D1092" s="5" t="s">
        <v>18</v>
      </c>
      <c r="E1092" s="5" t="s">
        <v>9</v>
      </c>
      <c r="F1092" s="6">
        <v>46022</v>
      </c>
      <c r="G1092" s="5">
        <v>2025</v>
      </c>
      <c r="H1092" s="5" t="s">
        <v>764</v>
      </c>
      <c r="I1092" s="6" t="s">
        <v>841</v>
      </c>
      <c r="J1092" s="5">
        <v>90</v>
      </c>
      <c r="K1092" s="5">
        <v>85</v>
      </c>
      <c r="L1092" s="15">
        <f t="shared" si="155"/>
        <v>0.94444444444444442</v>
      </c>
      <c r="M1092" s="15">
        <f t="shared" si="156"/>
        <v>0.94444444444444442</v>
      </c>
      <c r="N1092" s="5" t="s">
        <v>347</v>
      </c>
      <c r="O1092" s="5" t="s">
        <v>347</v>
      </c>
      <c r="P1092" s="5">
        <v>0</v>
      </c>
      <c r="Q1092" s="5">
        <v>0</v>
      </c>
      <c r="R1092" s="5" t="str">
        <f>A1092&amp;"-"&amp;YEAR(F1092)&amp;"-"&amp;IF(LEN(MONTH(F1092))=1,"0"&amp;MONTH(F1092),MONTH(F1092))&amp;"-"&amp;IF(LEN(DAY(F1092))=1,"0"&amp;DAY(F1092),DAY(F1092))</f>
        <v>924-2025-12-31</v>
      </c>
    </row>
    <row r="1093" spans="1:18" x14ac:dyDescent="0.3">
      <c r="A1093" s="26">
        <v>904</v>
      </c>
      <c r="B1093" s="23" t="s">
        <v>535</v>
      </c>
      <c r="C1093" s="5" t="s">
        <v>214</v>
      </c>
      <c r="D1093" s="5" t="s">
        <v>18</v>
      </c>
      <c r="E1093" s="5" t="s">
        <v>9</v>
      </c>
      <c r="F1093" s="6">
        <v>46022</v>
      </c>
      <c r="G1093" s="5">
        <v>2025</v>
      </c>
      <c r="H1093" s="5" t="s">
        <v>764</v>
      </c>
      <c r="I1093" s="6" t="s">
        <v>841</v>
      </c>
      <c r="J1093" s="11">
        <v>100</v>
      </c>
      <c r="K1093" s="11">
        <v>100</v>
      </c>
      <c r="L1093" s="15">
        <f t="shared" si="155"/>
        <v>1</v>
      </c>
      <c r="M1093" s="15">
        <f t="shared" si="156"/>
        <v>1</v>
      </c>
      <c r="N1093" s="5" t="s">
        <v>347</v>
      </c>
      <c r="O1093" s="5" t="s">
        <v>347</v>
      </c>
      <c r="P1093" s="5">
        <v>0</v>
      </c>
      <c r="Q1093" s="5">
        <v>0</v>
      </c>
      <c r="R1093" s="5" t="str">
        <f>A1093&amp;"-"&amp;YEAR(F1093)&amp;"-"&amp;IF(LEN(MONTH(F1093))=1,"0"&amp;MONTH(F1093),MONTH(F1093))&amp;"-"&amp;IF(LEN(DAY(F1093))=1,"0"&amp;DAY(F1093),DAY(F1093))</f>
        <v>904-2025-12-31</v>
      </c>
    </row>
    <row r="1094" spans="1:18" x14ac:dyDescent="0.3">
      <c r="A1094" s="5">
        <v>926</v>
      </c>
      <c r="B1094" s="5" t="s">
        <v>854</v>
      </c>
      <c r="C1094" s="5" t="s">
        <v>762</v>
      </c>
      <c r="D1094" s="5" t="s">
        <v>18</v>
      </c>
      <c r="E1094" s="5" t="s">
        <v>9</v>
      </c>
      <c r="F1094" s="6">
        <v>46022</v>
      </c>
      <c r="G1094" s="5">
        <v>2025</v>
      </c>
      <c r="H1094" s="5" t="s">
        <v>764</v>
      </c>
      <c r="I1094" s="6" t="s">
        <v>841</v>
      </c>
      <c r="J1094" s="5">
        <v>66</v>
      </c>
      <c r="K1094" s="5">
        <v>66</v>
      </c>
      <c r="L1094" s="15">
        <f t="shared" si="155"/>
        <v>1</v>
      </c>
      <c r="M1094" s="15">
        <f t="shared" si="156"/>
        <v>1</v>
      </c>
      <c r="N1094" s="5" t="s">
        <v>347</v>
      </c>
      <c r="O1094" s="5" t="s">
        <v>347</v>
      </c>
      <c r="P1094" s="5">
        <v>0</v>
      </c>
      <c r="Q1094" s="5">
        <v>0</v>
      </c>
      <c r="R1094" s="5" t="str">
        <f>A1094&amp;"-"&amp;YEAR(F1094)&amp;"-"&amp;IF(LEN(MONTH(F1094))=1,"0"&amp;MONTH(F1094),MONTH(F1094))&amp;"-"&amp;IF(LEN(DAY(F1094))=1,"0"&amp;DAY(F1094),DAY(F1094))</f>
        <v>926-2025-12-31</v>
      </c>
    </row>
    <row r="1095" spans="1:18" x14ac:dyDescent="0.3">
      <c r="A1095" s="5">
        <v>9</v>
      </c>
      <c r="B1095" s="5" t="s">
        <v>338</v>
      </c>
      <c r="C1095" s="5" t="s">
        <v>343</v>
      </c>
      <c r="D1095" s="5" t="s">
        <v>18</v>
      </c>
      <c r="E1095" s="5" t="s">
        <v>9</v>
      </c>
      <c r="F1095" s="6">
        <v>45473</v>
      </c>
      <c r="G1095" s="16">
        <v>2024</v>
      </c>
      <c r="H1095" s="6" t="s">
        <v>763</v>
      </c>
      <c r="I1095" s="6" t="s">
        <v>864</v>
      </c>
      <c r="J1095" s="13">
        <v>100</v>
      </c>
      <c r="K1095" s="13">
        <v>100</v>
      </c>
      <c r="L1095" s="15">
        <v>1</v>
      </c>
      <c r="M1095" s="15">
        <v>1</v>
      </c>
      <c r="N1095" s="5" t="s">
        <v>347</v>
      </c>
      <c r="O1095" s="5" t="s">
        <v>347</v>
      </c>
      <c r="P1095" s="5">
        <v>0</v>
      </c>
      <c r="Q1095" s="5">
        <v>0</v>
      </c>
      <c r="R1095" s="5" t="str">
        <f>A1095&amp;"-"&amp;YEAR(F1095)&amp;"-"&amp;IF(LEN(MONTH(F1095))=1,"0"&amp;MONTH(F1095),MONTH(F1095))&amp;"-"&amp;IF(LEN(DAY(F1095))=1,"0"&amp;DAY(F1095),DAY(F1095))</f>
        <v>9-2024-06-30</v>
      </c>
    </row>
    <row r="1096" spans="1:18" x14ac:dyDescent="0.3">
      <c r="A1096" s="5">
        <v>136</v>
      </c>
      <c r="B1096" s="5" t="s">
        <v>54</v>
      </c>
      <c r="C1096" s="5" t="s">
        <v>55</v>
      </c>
      <c r="D1096" s="5" t="s">
        <v>8</v>
      </c>
      <c r="E1096" s="5" t="s">
        <v>9</v>
      </c>
      <c r="F1096" s="6">
        <v>45473</v>
      </c>
      <c r="G1096" s="5">
        <v>2024</v>
      </c>
      <c r="H1096" s="5" t="s">
        <v>763</v>
      </c>
      <c r="I1096" s="6" t="s">
        <v>864</v>
      </c>
      <c r="J1096" s="5">
        <v>90</v>
      </c>
      <c r="K1096" s="5">
        <v>95.24</v>
      </c>
      <c r="L1096" s="15">
        <v>1.0582222222222222</v>
      </c>
      <c r="M1096" s="15">
        <v>1.0582222222222222</v>
      </c>
      <c r="N1096" s="5" t="s">
        <v>347</v>
      </c>
      <c r="O1096" s="5" t="s">
        <v>347</v>
      </c>
      <c r="P1096" s="5">
        <v>0</v>
      </c>
      <c r="Q1096" s="5">
        <v>0</v>
      </c>
      <c r="R1096" s="5" t="str">
        <f>A1096&amp;"-"&amp;YEAR(F1096)&amp;"-"&amp;IF(LEN(MONTH(F1096))=1,"0"&amp;MONTH(F1096),MONTH(F1096))&amp;"-"&amp;IF(LEN(DAY(F1096))=1,"0"&amp;DAY(F1096),DAY(F1096))</f>
        <v>136-2024-06-30</v>
      </c>
    </row>
    <row r="1097" spans="1:18" x14ac:dyDescent="0.3">
      <c r="A1097" s="5">
        <v>137</v>
      </c>
      <c r="B1097" s="5" t="s">
        <v>56</v>
      </c>
      <c r="C1097" s="5" t="s">
        <v>55</v>
      </c>
      <c r="D1097" s="5" t="s">
        <v>11</v>
      </c>
      <c r="E1097" s="5" t="s">
        <v>9</v>
      </c>
      <c r="F1097" s="6">
        <v>45473</v>
      </c>
      <c r="G1097" s="5">
        <v>2024</v>
      </c>
      <c r="H1097" s="5" t="s">
        <v>763</v>
      </c>
      <c r="I1097" s="6" t="s">
        <v>864</v>
      </c>
      <c r="J1097" s="5">
        <v>90</v>
      </c>
      <c r="K1097" s="5">
        <v>100</v>
      </c>
      <c r="L1097" s="15">
        <v>1.1111111111111112</v>
      </c>
      <c r="M1097" s="15">
        <v>1.1111111111111112</v>
      </c>
      <c r="N1097" s="5" t="s">
        <v>490</v>
      </c>
      <c r="O1097" s="5" t="s">
        <v>490</v>
      </c>
      <c r="P1097" s="5">
        <v>0</v>
      </c>
      <c r="Q1097" s="5">
        <v>0</v>
      </c>
      <c r="R1097" s="5" t="str">
        <f>A1097&amp;"-"&amp;YEAR(F1097)&amp;"-"&amp;IF(LEN(MONTH(F1097))=1,"0"&amp;MONTH(F1097),MONTH(F1097))&amp;"-"&amp;IF(LEN(DAY(F1097))=1,"0"&amp;DAY(F1097),DAY(F1097))</f>
        <v>137-2024-06-30</v>
      </c>
    </row>
    <row r="1098" spans="1:18" x14ac:dyDescent="0.3">
      <c r="A1098" s="5">
        <v>145</v>
      </c>
      <c r="B1098" s="5" t="s">
        <v>61</v>
      </c>
      <c r="C1098" s="5" t="s">
        <v>62</v>
      </c>
      <c r="D1098" s="5" t="s">
        <v>8</v>
      </c>
      <c r="E1098" s="5" t="s">
        <v>9</v>
      </c>
      <c r="F1098" s="6">
        <v>45473</v>
      </c>
      <c r="G1098" s="5">
        <v>2024</v>
      </c>
      <c r="H1098" s="5" t="s">
        <v>763</v>
      </c>
      <c r="I1098" s="6" t="s">
        <v>864</v>
      </c>
      <c r="J1098" s="5">
        <v>1</v>
      </c>
      <c r="K1098" s="5">
        <v>1.97</v>
      </c>
      <c r="L1098" s="15">
        <v>1.3</v>
      </c>
      <c r="M1098" s="15">
        <v>1.97</v>
      </c>
      <c r="N1098" s="5" t="s">
        <v>490</v>
      </c>
      <c r="O1098" s="5" t="s">
        <v>478</v>
      </c>
      <c r="P1098" s="5">
        <v>0</v>
      </c>
      <c r="Q1098" s="5">
        <v>2</v>
      </c>
      <c r="R1098" s="5" t="str">
        <f>A1098&amp;"-"&amp;YEAR(F1098)&amp;"-"&amp;IF(LEN(MONTH(F1098))=1,"0"&amp;MONTH(F1098),MONTH(F1098))&amp;"-"&amp;IF(LEN(DAY(F1098))=1,"0"&amp;DAY(F1098),DAY(F1098))</f>
        <v>145-2024-06-30</v>
      </c>
    </row>
    <row r="1099" spans="1:18" x14ac:dyDescent="0.3">
      <c r="A1099" s="5">
        <v>146</v>
      </c>
      <c r="B1099" s="5" t="s">
        <v>63</v>
      </c>
      <c r="C1099" s="5" t="s">
        <v>59</v>
      </c>
      <c r="D1099" s="5" t="s">
        <v>8</v>
      </c>
      <c r="E1099" s="5" t="s">
        <v>9</v>
      </c>
      <c r="F1099" s="6">
        <v>45473</v>
      </c>
      <c r="G1099" s="5">
        <v>2024</v>
      </c>
      <c r="H1099" s="5" t="s">
        <v>763</v>
      </c>
      <c r="I1099" s="6" t="s">
        <v>864</v>
      </c>
      <c r="J1099" s="5">
        <v>294</v>
      </c>
      <c r="K1099" s="5">
        <v>334</v>
      </c>
      <c r="L1099" s="15">
        <v>1.1360544217687074</v>
      </c>
      <c r="M1099" s="15">
        <v>1.1360544217687074</v>
      </c>
      <c r="N1099" s="5" t="s">
        <v>490</v>
      </c>
      <c r="O1099" s="5" t="s">
        <v>490</v>
      </c>
      <c r="P1099" s="5">
        <v>0</v>
      </c>
      <c r="Q1099" s="5">
        <v>0</v>
      </c>
      <c r="R1099" s="5" t="str">
        <f>A1099&amp;"-"&amp;YEAR(F1099)&amp;"-"&amp;IF(LEN(MONTH(F1099))=1,"0"&amp;MONTH(F1099),MONTH(F1099))&amp;"-"&amp;IF(LEN(DAY(F1099))=1,"0"&amp;DAY(F1099),DAY(F1099))</f>
        <v>146-2024-06-30</v>
      </c>
    </row>
    <row r="1100" spans="1:18" x14ac:dyDescent="0.3">
      <c r="A1100" s="26">
        <v>171</v>
      </c>
      <c r="B1100" s="5" t="s">
        <v>69</v>
      </c>
      <c r="C1100" s="5" t="s">
        <v>45</v>
      </c>
      <c r="D1100" s="5" t="s">
        <v>21</v>
      </c>
      <c r="E1100" s="5" t="s">
        <v>14</v>
      </c>
      <c r="F1100" s="6">
        <v>45107</v>
      </c>
      <c r="G1100" s="16">
        <v>2023</v>
      </c>
      <c r="H1100" s="6" t="s">
        <v>763</v>
      </c>
      <c r="I1100" s="6" t="s">
        <v>422</v>
      </c>
      <c r="J1100" s="34">
        <v>15</v>
      </c>
      <c r="K1100" s="11">
        <v>6.21</v>
      </c>
      <c r="L1100" s="27">
        <v>1.3</v>
      </c>
      <c r="M1100" s="28">
        <v>2.4154589371980677</v>
      </c>
      <c r="N1100" s="5" t="s">
        <v>490</v>
      </c>
      <c r="O1100" s="5" t="s">
        <v>478</v>
      </c>
      <c r="P1100" s="5">
        <v>1</v>
      </c>
      <c r="Q1100" s="5">
        <v>1</v>
      </c>
      <c r="R1100" s="5" t="str">
        <f>A1100&amp;"-"&amp;YEAR(F1100)&amp;"-"&amp;IF(LEN(MONTH(F1100))=1,"0"&amp;MONTH(F1100),MONTH(F1100))&amp;"-"&amp;IF(LEN(DAY(F1100))=1,"0"&amp;DAY(F1100),DAY(F1100))</f>
        <v>171-2023-06-30</v>
      </c>
    </row>
    <row r="1101" spans="1:18" x14ac:dyDescent="0.3">
      <c r="A1101" s="5">
        <v>174</v>
      </c>
      <c r="B1101" s="5" t="s">
        <v>71</v>
      </c>
      <c r="C1101" s="5" t="s">
        <v>45</v>
      </c>
      <c r="D1101" s="5" t="s">
        <v>8</v>
      </c>
      <c r="E1101" s="5" t="s">
        <v>9</v>
      </c>
      <c r="F1101" s="6">
        <v>45473</v>
      </c>
      <c r="G1101" s="5">
        <v>2024</v>
      </c>
      <c r="H1101" s="5" t="s">
        <v>763</v>
      </c>
      <c r="I1101" s="6" t="s">
        <v>864</v>
      </c>
      <c r="J1101" s="5" t="s">
        <v>417</v>
      </c>
      <c r="K1101" s="5"/>
      <c r="L1101" s="15" t="s">
        <v>417</v>
      </c>
      <c r="M1101" s="15" t="s">
        <v>417</v>
      </c>
      <c r="N1101" s="5" t="s">
        <v>347</v>
      </c>
      <c r="O1101" s="5" t="s">
        <v>347</v>
      </c>
      <c r="P1101" s="5">
        <v>0</v>
      </c>
      <c r="Q1101" s="5">
        <v>0</v>
      </c>
      <c r="R1101" s="5" t="str">
        <f>A1101&amp;"-"&amp;YEAR(F1101)&amp;"-"&amp;IF(LEN(MONTH(F1101))=1,"0"&amp;MONTH(F1101),MONTH(F1101))&amp;"-"&amp;IF(LEN(DAY(F1101))=1,"0"&amp;DAY(F1101),DAY(F1101))</f>
        <v>174-2024-06-30</v>
      </c>
    </row>
    <row r="1102" spans="1:18" x14ac:dyDescent="0.3">
      <c r="A1102" s="5">
        <v>238</v>
      </c>
      <c r="B1102" s="5" t="s">
        <v>115</v>
      </c>
      <c r="C1102" s="5" t="s">
        <v>90</v>
      </c>
      <c r="D1102" s="5" t="s">
        <v>11</v>
      </c>
      <c r="E1102" s="5" t="s">
        <v>9</v>
      </c>
      <c r="F1102" s="6">
        <v>45473</v>
      </c>
      <c r="G1102" s="5">
        <v>2024</v>
      </c>
      <c r="H1102" s="5" t="s">
        <v>763</v>
      </c>
      <c r="I1102" s="6" t="s">
        <v>864</v>
      </c>
      <c r="J1102" s="5" t="s">
        <v>417</v>
      </c>
      <c r="K1102" s="5"/>
      <c r="L1102" s="15" t="s">
        <v>417</v>
      </c>
      <c r="M1102" s="15" t="s">
        <v>417</v>
      </c>
      <c r="N1102" s="5" t="s">
        <v>491</v>
      </c>
      <c r="O1102" s="5" t="s">
        <v>491</v>
      </c>
      <c r="P1102" s="5">
        <v>0</v>
      </c>
      <c r="Q1102" s="5">
        <v>0</v>
      </c>
      <c r="R1102" s="5" t="str">
        <f>A1102&amp;"-"&amp;YEAR(F1102)&amp;"-"&amp;IF(LEN(MONTH(F1102))=1,"0"&amp;MONTH(F1102),MONTH(F1102))&amp;"-"&amp;IF(LEN(DAY(F1102))=1,"0"&amp;DAY(F1102),DAY(F1102))</f>
        <v>238-2024-06-30</v>
      </c>
    </row>
    <row r="1103" spans="1:18" x14ac:dyDescent="0.3">
      <c r="A1103" s="5">
        <v>246</v>
      </c>
      <c r="B1103" s="5" t="s">
        <v>721</v>
      </c>
      <c r="C1103" s="5" t="s">
        <v>126</v>
      </c>
      <c r="D1103" s="5" t="s">
        <v>8</v>
      </c>
      <c r="E1103" s="5" t="s">
        <v>9</v>
      </c>
      <c r="F1103" s="6">
        <v>45473</v>
      </c>
      <c r="G1103" s="5">
        <v>2024</v>
      </c>
      <c r="H1103" s="5" t="s">
        <v>763</v>
      </c>
      <c r="I1103" s="6" t="s">
        <v>864</v>
      </c>
      <c r="J1103" s="5">
        <v>67.5</v>
      </c>
      <c r="K1103" s="5">
        <v>92.5</v>
      </c>
      <c r="L1103" s="15">
        <v>1.3</v>
      </c>
      <c r="M1103" s="15">
        <v>1.3703703703703705</v>
      </c>
      <c r="N1103" s="5" t="s">
        <v>347</v>
      </c>
      <c r="O1103" s="5" t="s">
        <v>347</v>
      </c>
      <c r="P1103" s="5">
        <v>0</v>
      </c>
      <c r="Q1103" s="5">
        <v>0</v>
      </c>
      <c r="R1103" s="5" t="str">
        <f>A1103&amp;"-"&amp;YEAR(F1103)&amp;"-"&amp;IF(LEN(MONTH(F1103))=1,"0"&amp;MONTH(F1103),MONTH(F1103))&amp;"-"&amp;IF(LEN(DAY(F1103))=1,"0"&amp;DAY(F1103),DAY(F1103))</f>
        <v>246-2024-06-30</v>
      </c>
    </row>
    <row r="1104" spans="1:18" x14ac:dyDescent="0.3">
      <c r="A1104" s="5">
        <v>251</v>
      </c>
      <c r="B1104" s="5" t="s">
        <v>133</v>
      </c>
      <c r="C1104" s="5" t="s">
        <v>134</v>
      </c>
      <c r="D1104" s="5" t="s">
        <v>11</v>
      </c>
      <c r="E1104" s="5" t="s">
        <v>9</v>
      </c>
      <c r="F1104" s="6">
        <v>45473</v>
      </c>
      <c r="G1104" s="5">
        <v>2024</v>
      </c>
      <c r="H1104" s="5" t="s">
        <v>763</v>
      </c>
      <c r="I1104" s="6" t="s">
        <v>864</v>
      </c>
      <c r="J1104" s="5">
        <v>100</v>
      </c>
      <c r="K1104" s="5">
        <v>92.45</v>
      </c>
      <c r="L1104" s="15">
        <v>0.92449999999999999</v>
      </c>
      <c r="M1104" s="15">
        <v>0.92449999999999999</v>
      </c>
      <c r="N1104" s="5" t="s">
        <v>347</v>
      </c>
      <c r="O1104" s="5" t="s">
        <v>347</v>
      </c>
      <c r="P1104" s="5">
        <v>0</v>
      </c>
      <c r="Q1104" s="5">
        <v>0</v>
      </c>
      <c r="R1104" s="5" t="str">
        <f>A1104&amp;"-"&amp;YEAR(F1104)&amp;"-"&amp;IF(LEN(MONTH(F1104))=1,"0"&amp;MONTH(F1104),MONTH(F1104))&amp;"-"&amp;IF(LEN(DAY(F1104))=1,"0"&amp;DAY(F1104),DAY(F1104))</f>
        <v>251-2024-06-30</v>
      </c>
    </row>
    <row r="1105" spans="1:18" x14ac:dyDescent="0.3">
      <c r="A1105" s="5">
        <v>259</v>
      </c>
      <c r="B1105" s="5" t="s">
        <v>140</v>
      </c>
      <c r="C1105" s="5" t="s">
        <v>134</v>
      </c>
      <c r="D1105" s="5" t="s">
        <v>11</v>
      </c>
      <c r="E1105" s="5" t="s">
        <v>9</v>
      </c>
      <c r="F1105" s="6">
        <v>45473</v>
      </c>
      <c r="G1105" s="5">
        <v>2024</v>
      </c>
      <c r="H1105" s="5" t="s">
        <v>763</v>
      </c>
      <c r="I1105" s="6" t="s">
        <v>864</v>
      </c>
      <c r="J1105" s="5">
        <v>90</v>
      </c>
      <c r="K1105" s="5">
        <v>34.69</v>
      </c>
      <c r="L1105" s="15">
        <v>0.38544444444444442</v>
      </c>
      <c r="M1105" s="15">
        <v>0.38544444444444442</v>
      </c>
      <c r="N1105" s="5" t="s">
        <v>347</v>
      </c>
      <c r="O1105" s="5" t="s">
        <v>347</v>
      </c>
      <c r="P1105" s="5">
        <v>0</v>
      </c>
      <c r="Q1105" s="5">
        <v>0</v>
      </c>
      <c r="R1105" s="5" t="str">
        <f>A1105&amp;"-"&amp;YEAR(F1105)&amp;"-"&amp;IF(LEN(MONTH(F1105))=1,"0"&amp;MONTH(F1105),MONTH(F1105))&amp;"-"&amp;IF(LEN(DAY(F1105))=1,"0"&amp;DAY(F1105),DAY(F1105))</f>
        <v>259-2024-06-30</v>
      </c>
    </row>
    <row r="1106" spans="1:18" x14ac:dyDescent="0.3">
      <c r="A1106" s="5">
        <v>260</v>
      </c>
      <c r="B1106" s="5" t="s">
        <v>141</v>
      </c>
      <c r="C1106" s="5" t="s">
        <v>142</v>
      </c>
      <c r="D1106" s="5" t="s">
        <v>8</v>
      </c>
      <c r="E1106" s="5" t="s">
        <v>14</v>
      </c>
      <c r="F1106" s="6">
        <v>45473</v>
      </c>
      <c r="G1106" s="5">
        <v>2024</v>
      </c>
      <c r="H1106" s="5" t="s">
        <v>763</v>
      </c>
      <c r="I1106" s="6" t="s">
        <v>864</v>
      </c>
      <c r="J1106" s="5">
        <v>2.8</v>
      </c>
      <c r="K1106" s="5">
        <v>2.5099999999999998</v>
      </c>
      <c r="L1106" s="15">
        <v>1.1155378486055778</v>
      </c>
      <c r="M1106" s="15">
        <v>1.1155378486055778</v>
      </c>
      <c r="N1106" s="5" t="s">
        <v>478</v>
      </c>
      <c r="O1106" s="5" t="s">
        <v>478</v>
      </c>
      <c r="P1106" s="5">
        <v>1</v>
      </c>
      <c r="Q1106" s="5">
        <v>1</v>
      </c>
      <c r="R1106" s="5" t="str">
        <f>A1106&amp;"-"&amp;YEAR(F1106)&amp;"-"&amp;IF(LEN(MONTH(F1106))=1,"0"&amp;MONTH(F1106),MONTH(F1106))&amp;"-"&amp;IF(LEN(DAY(F1106))=1,"0"&amp;DAY(F1106),DAY(F1106))</f>
        <v>260-2024-06-30</v>
      </c>
    </row>
    <row r="1107" spans="1:18" x14ac:dyDescent="0.3">
      <c r="A1107" s="5">
        <v>261</v>
      </c>
      <c r="B1107" s="5" t="s">
        <v>143</v>
      </c>
      <c r="C1107" s="5" t="s">
        <v>74</v>
      </c>
      <c r="D1107" s="5" t="s">
        <v>8</v>
      </c>
      <c r="E1107" s="5" t="s">
        <v>14</v>
      </c>
      <c r="F1107" s="6">
        <v>45473</v>
      </c>
      <c r="G1107" s="5">
        <v>2024</v>
      </c>
      <c r="H1107" s="5" t="s">
        <v>763</v>
      </c>
      <c r="I1107" s="6" t="s">
        <v>864</v>
      </c>
      <c r="J1107" s="5">
        <v>3</v>
      </c>
      <c r="K1107" s="5">
        <v>2.2000000000000002</v>
      </c>
      <c r="L1107" s="15">
        <v>1.3</v>
      </c>
      <c r="M1107" s="15">
        <v>1.3636363636363635</v>
      </c>
      <c r="N1107" s="5" t="s">
        <v>490</v>
      </c>
      <c r="O1107" s="5" t="s">
        <v>478</v>
      </c>
      <c r="P1107" s="5">
        <v>1</v>
      </c>
      <c r="Q1107" s="5">
        <v>1</v>
      </c>
      <c r="R1107" s="5" t="str">
        <f>A1107&amp;"-"&amp;YEAR(F1107)&amp;"-"&amp;IF(LEN(MONTH(F1107))=1,"0"&amp;MONTH(F1107),MONTH(F1107))&amp;"-"&amp;IF(LEN(DAY(F1107))=1,"0"&amp;DAY(F1107),DAY(F1107))</f>
        <v>261-2024-06-30</v>
      </c>
    </row>
    <row r="1108" spans="1:18" x14ac:dyDescent="0.3">
      <c r="A1108" s="5">
        <v>262</v>
      </c>
      <c r="B1108" s="5" t="s">
        <v>494</v>
      </c>
      <c r="C1108" s="5" t="s">
        <v>145</v>
      </c>
      <c r="D1108" s="5" t="s">
        <v>8</v>
      </c>
      <c r="E1108" s="5" t="s">
        <v>14</v>
      </c>
      <c r="F1108" s="6">
        <v>45473</v>
      </c>
      <c r="G1108" s="5">
        <v>2024</v>
      </c>
      <c r="H1108" s="5" t="s">
        <v>763</v>
      </c>
      <c r="I1108" s="6" t="s">
        <v>864</v>
      </c>
      <c r="J1108" s="5">
        <v>20</v>
      </c>
      <c r="K1108" s="5">
        <v>0</v>
      </c>
      <c r="L1108" s="8">
        <v>1</v>
      </c>
      <c r="M1108" s="15">
        <v>1</v>
      </c>
      <c r="N1108" s="5" t="s">
        <v>347</v>
      </c>
      <c r="O1108" s="5" t="s">
        <v>347</v>
      </c>
      <c r="P1108" s="5">
        <v>0</v>
      </c>
      <c r="Q1108" s="5">
        <v>0</v>
      </c>
      <c r="R1108" s="5" t="str">
        <f>A1108&amp;"-"&amp;YEAR(F1108)&amp;"-"&amp;IF(LEN(MONTH(F1108))=1,"0"&amp;MONTH(F1108),MONTH(F1108))&amp;"-"&amp;IF(LEN(DAY(F1108))=1,"0"&amp;DAY(F1108),DAY(F1108))</f>
        <v>262-2024-06-30</v>
      </c>
    </row>
    <row r="1109" spans="1:18" x14ac:dyDescent="0.3">
      <c r="A1109" s="5">
        <v>263</v>
      </c>
      <c r="B1109" s="5" t="s">
        <v>146</v>
      </c>
      <c r="C1109" s="5" t="s">
        <v>145</v>
      </c>
      <c r="D1109" s="5" t="s">
        <v>11</v>
      </c>
      <c r="E1109" s="5" t="s">
        <v>9</v>
      </c>
      <c r="F1109" s="6">
        <v>45473</v>
      </c>
      <c r="G1109" s="5">
        <v>2024</v>
      </c>
      <c r="H1109" s="5" t="s">
        <v>763</v>
      </c>
      <c r="I1109" s="6" t="s">
        <v>864</v>
      </c>
      <c r="J1109" s="5">
        <v>100</v>
      </c>
      <c r="K1109" s="5">
        <v>100</v>
      </c>
      <c r="L1109" s="15">
        <v>1</v>
      </c>
      <c r="M1109" s="15">
        <v>1</v>
      </c>
      <c r="N1109" s="5" t="s">
        <v>347</v>
      </c>
      <c r="O1109" s="5" t="s">
        <v>347</v>
      </c>
      <c r="P1109" s="5">
        <v>0</v>
      </c>
      <c r="Q1109" s="5">
        <v>0</v>
      </c>
      <c r="R1109" s="5" t="str">
        <f>A1109&amp;"-"&amp;YEAR(F1109)&amp;"-"&amp;IF(LEN(MONTH(F1109))=1,"0"&amp;MONTH(F1109),MONTH(F1109))&amp;"-"&amp;IF(LEN(DAY(F1109))=1,"0"&amp;DAY(F1109),DAY(F1109))</f>
        <v>263-2024-06-30</v>
      </c>
    </row>
    <row r="1110" spans="1:18" x14ac:dyDescent="0.3">
      <c r="A1110" s="5">
        <v>264</v>
      </c>
      <c r="B1110" s="5" t="s">
        <v>495</v>
      </c>
      <c r="C1110" s="5" t="s">
        <v>145</v>
      </c>
      <c r="D1110" s="5" t="s">
        <v>8</v>
      </c>
      <c r="E1110" s="5" t="s">
        <v>9</v>
      </c>
      <c r="F1110" s="6">
        <v>45473</v>
      </c>
      <c r="G1110" s="5">
        <v>2024</v>
      </c>
      <c r="H1110" s="5" t="s">
        <v>763</v>
      </c>
      <c r="I1110" s="6" t="s">
        <v>864</v>
      </c>
      <c r="J1110" s="5">
        <v>100</v>
      </c>
      <c r="K1110" s="5">
        <v>100</v>
      </c>
      <c r="L1110" s="15">
        <v>1</v>
      </c>
      <c r="M1110" s="15">
        <v>1</v>
      </c>
      <c r="N1110" s="5" t="s">
        <v>347</v>
      </c>
      <c r="O1110" s="5" t="s">
        <v>347</v>
      </c>
      <c r="P1110" s="5">
        <v>0</v>
      </c>
      <c r="Q1110" s="5">
        <v>0</v>
      </c>
      <c r="R1110" s="5" t="str">
        <f>A1110&amp;"-"&amp;YEAR(F1110)&amp;"-"&amp;IF(LEN(MONTH(F1110))=1,"0"&amp;MONTH(F1110),MONTH(F1110))&amp;"-"&amp;IF(LEN(DAY(F1110))=1,"0"&amp;DAY(F1110),DAY(F1110))</f>
        <v>264-2024-06-30</v>
      </c>
    </row>
    <row r="1111" spans="1:18" x14ac:dyDescent="0.3">
      <c r="A1111" s="5">
        <v>265</v>
      </c>
      <c r="B1111" s="5" t="s">
        <v>496</v>
      </c>
      <c r="C1111" s="5" t="s">
        <v>145</v>
      </c>
      <c r="D1111" s="5" t="s">
        <v>8</v>
      </c>
      <c r="E1111" s="5" t="s">
        <v>9</v>
      </c>
      <c r="F1111" s="6">
        <v>45473</v>
      </c>
      <c r="G1111" s="5">
        <v>2024</v>
      </c>
      <c r="H1111" s="5" t="s">
        <v>763</v>
      </c>
      <c r="I1111" s="6" t="s">
        <v>864</v>
      </c>
      <c r="J1111" s="5">
        <v>95</v>
      </c>
      <c r="K1111" s="5">
        <v>100</v>
      </c>
      <c r="L1111" s="15">
        <v>1.0526315789473684</v>
      </c>
      <c r="M1111" s="15">
        <v>1.0526315789473684</v>
      </c>
      <c r="N1111" s="5" t="s">
        <v>347</v>
      </c>
      <c r="O1111" s="5" t="s">
        <v>347</v>
      </c>
      <c r="P1111" s="5">
        <v>0</v>
      </c>
      <c r="Q1111" s="5">
        <v>0</v>
      </c>
      <c r="R1111" s="5" t="str">
        <f>A1111&amp;"-"&amp;YEAR(F1111)&amp;"-"&amp;IF(LEN(MONTH(F1111))=1,"0"&amp;MONTH(F1111),MONTH(F1111))&amp;"-"&amp;IF(LEN(DAY(F1111))=1,"0"&amp;DAY(F1111),DAY(F1111))</f>
        <v>265-2024-06-30</v>
      </c>
    </row>
    <row r="1112" spans="1:18" x14ac:dyDescent="0.3">
      <c r="A1112" s="5">
        <v>266</v>
      </c>
      <c r="B1112" s="5" t="s">
        <v>149</v>
      </c>
      <c r="C1112" s="5" t="s">
        <v>145</v>
      </c>
      <c r="D1112" s="5" t="s">
        <v>8</v>
      </c>
      <c r="E1112" s="5" t="s">
        <v>9</v>
      </c>
      <c r="F1112" s="6">
        <v>45473</v>
      </c>
      <c r="G1112" s="5">
        <v>2024</v>
      </c>
      <c r="H1112" s="5" t="s">
        <v>763</v>
      </c>
      <c r="I1112" s="6" t="s">
        <v>864</v>
      </c>
      <c r="J1112" s="5">
        <v>95</v>
      </c>
      <c r="K1112" s="5">
        <v>95.02</v>
      </c>
      <c r="L1112" s="15">
        <v>1.0002105263157894</v>
      </c>
      <c r="M1112" s="15">
        <v>1.0002105263157894</v>
      </c>
      <c r="N1112" s="5" t="s">
        <v>347</v>
      </c>
      <c r="O1112" s="5" t="s">
        <v>347</v>
      </c>
      <c r="P1112" s="5">
        <v>0</v>
      </c>
      <c r="Q1112" s="5">
        <v>0</v>
      </c>
      <c r="R1112" s="5" t="str">
        <f>A1112&amp;"-"&amp;YEAR(F1112)&amp;"-"&amp;IF(LEN(MONTH(F1112))=1,"0"&amp;MONTH(F1112),MONTH(F1112))&amp;"-"&amp;IF(LEN(DAY(F1112))=1,"0"&amp;DAY(F1112),DAY(F1112))</f>
        <v>266-2024-06-30</v>
      </c>
    </row>
    <row r="1113" spans="1:18" x14ac:dyDescent="0.3">
      <c r="A1113" s="5">
        <v>268</v>
      </c>
      <c r="B1113" s="5" t="s">
        <v>151</v>
      </c>
      <c r="C1113" s="5" t="s">
        <v>152</v>
      </c>
      <c r="D1113" s="5" t="s">
        <v>8</v>
      </c>
      <c r="E1113" s="5" t="s">
        <v>9</v>
      </c>
      <c r="F1113" s="6">
        <v>45473</v>
      </c>
      <c r="G1113" s="5">
        <v>2024</v>
      </c>
      <c r="H1113" s="5" t="s">
        <v>763</v>
      </c>
      <c r="I1113" s="6" t="s">
        <v>864</v>
      </c>
      <c r="J1113" s="5">
        <v>0</v>
      </c>
      <c r="K1113" s="5">
        <v>760</v>
      </c>
      <c r="L1113" s="15" t="s">
        <v>417</v>
      </c>
      <c r="M1113" s="15" t="s">
        <v>417</v>
      </c>
      <c r="N1113" s="5">
        <v>0</v>
      </c>
      <c r="O1113" s="5" t="s">
        <v>490</v>
      </c>
      <c r="P1113" s="5">
        <v>0</v>
      </c>
      <c r="Q1113" s="5">
        <v>0</v>
      </c>
      <c r="R1113" s="5" t="str">
        <f>A1113&amp;"-"&amp;YEAR(F1113)&amp;"-"&amp;IF(LEN(MONTH(F1113))=1,"0"&amp;MONTH(F1113),MONTH(F1113))&amp;"-"&amp;IF(LEN(DAY(F1113))=1,"0"&amp;DAY(F1113),DAY(F1113))</f>
        <v>268-2024-06-30</v>
      </c>
    </row>
    <row r="1114" spans="1:18" x14ac:dyDescent="0.3">
      <c r="A1114" s="5">
        <v>269</v>
      </c>
      <c r="B1114" s="5" t="s">
        <v>153</v>
      </c>
      <c r="C1114" s="5" t="s">
        <v>152</v>
      </c>
      <c r="D1114" s="5" t="s">
        <v>8</v>
      </c>
      <c r="E1114" s="5" t="s">
        <v>9</v>
      </c>
      <c r="F1114" s="6">
        <v>45473</v>
      </c>
      <c r="G1114" s="5">
        <v>2024</v>
      </c>
      <c r="H1114" s="5" t="s">
        <v>763</v>
      </c>
      <c r="I1114" s="6" t="s">
        <v>864</v>
      </c>
      <c r="J1114" s="5">
        <v>0</v>
      </c>
      <c r="K1114" s="5">
        <v>3</v>
      </c>
      <c r="L1114" s="15" t="s">
        <v>417</v>
      </c>
      <c r="M1114" s="15" t="s">
        <v>417</v>
      </c>
      <c r="N1114" s="5" t="s">
        <v>478</v>
      </c>
      <c r="O1114" s="5" t="s">
        <v>478</v>
      </c>
      <c r="P1114" s="5">
        <v>2</v>
      </c>
      <c r="Q1114" s="5">
        <v>2</v>
      </c>
      <c r="R1114" s="5" t="str">
        <f>A1114&amp;"-"&amp;YEAR(F1114)&amp;"-"&amp;IF(LEN(MONTH(F1114))=1,"0"&amp;MONTH(F1114),MONTH(F1114))&amp;"-"&amp;IF(LEN(DAY(F1114))=1,"0"&amp;DAY(F1114),DAY(F1114))</f>
        <v>269-2024-06-30</v>
      </c>
    </row>
    <row r="1115" spans="1:18" x14ac:dyDescent="0.3">
      <c r="A1115" s="5">
        <v>270</v>
      </c>
      <c r="B1115" s="5" t="s">
        <v>154</v>
      </c>
      <c r="C1115" s="5" t="s">
        <v>152</v>
      </c>
      <c r="D1115" s="5" t="s">
        <v>8</v>
      </c>
      <c r="E1115" s="5" t="s">
        <v>9</v>
      </c>
      <c r="F1115" s="6">
        <v>45473</v>
      </c>
      <c r="G1115" s="5">
        <v>2024</v>
      </c>
      <c r="H1115" s="5" t="s">
        <v>763</v>
      </c>
      <c r="I1115" s="6" t="s">
        <v>864</v>
      </c>
      <c r="J1115" s="5">
        <v>0</v>
      </c>
      <c r="K1115" s="5">
        <v>4.88</v>
      </c>
      <c r="L1115" s="15" t="s">
        <v>417</v>
      </c>
      <c r="M1115" s="15" t="s">
        <v>417</v>
      </c>
      <c r="N1115" s="5">
        <v>0</v>
      </c>
      <c r="O1115" s="5" t="s">
        <v>490</v>
      </c>
      <c r="P1115" s="5">
        <v>1</v>
      </c>
      <c r="Q1115" s="5">
        <v>1</v>
      </c>
      <c r="R1115" s="5" t="str">
        <f>A1115&amp;"-"&amp;YEAR(F1115)&amp;"-"&amp;IF(LEN(MONTH(F1115))=1,"0"&amp;MONTH(F1115),MONTH(F1115))&amp;"-"&amp;IF(LEN(DAY(F1115))=1,"0"&amp;DAY(F1115),DAY(F1115))</f>
        <v>270-2024-06-30</v>
      </c>
    </row>
    <row r="1116" spans="1:18" x14ac:dyDescent="0.3">
      <c r="A1116" s="5">
        <v>271</v>
      </c>
      <c r="B1116" s="5" t="s">
        <v>155</v>
      </c>
      <c r="C1116" s="5" t="s">
        <v>152</v>
      </c>
      <c r="D1116" s="5" t="s">
        <v>8</v>
      </c>
      <c r="E1116" s="5" t="s">
        <v>9</v>
      </c>
      <c r="F1116" s="6">
        <v>45473</v>
      </c>
      <c r="G1116" s="5">
        <v>2024</v>
      </c>
      <c r="H1116" s="5" t="s">
        <v>763</v>
      </c>
      <c r="I1116" s="6" t="s">
        <v>864</v>
      </c>
      <c r="J1116" s="5">
        <v>0</v>
      </c>
      <c r="K1116" s="5">
        <v>19.39</v>
      </c>
      <c r="L1116" s="15" t="s">
        <v>417</v>
      </c>
      <c r="M1116" s="15" t="s">
        <v>417</v>
      </c>
      <c r="N1116" s="5">
        <v>0</v>
      </c>
      <c r="O1116" s="5" t="s">
        <v>490</v>
      </c>
      <c r="P1116" s="5">
        <v>1</v>
      </c>
      <c r="Q1116" s="5">
        <v>1</v>
      </c>
      <c r="R1116" s="5" t="str">
        <f>A1116&amp;"-"&amp;YEAR(F1116)&amp;"-"&amp;IF(LEN(MONTH(F1116))=1,"0"&amp;MONTH(F1116),MONTH(F1116))&amp;"-"&amp;IF(LEN(DAY(F1116))=1,"0"&amp;DAY(F1116),DAY(F1116))</f>
        <v>271-2024-06-30</v>
      </c>
    </row>
    <row r="1117" spans="1:18" x14ac:dyDescent="0.3">
      <c r="A1117" s="5">
        <v>275</v>
      </c>
      <c r="B1117" s="5" t="s">
        <v>497</v>
      </c>
      <c r="C1117" s="5" t="s">
        <v>160</v>
      </c>
      <c r="D1117" s="5" t="s">
        <v>8</v>
      </c>
      <c r="E1117" s="5" t="s">
        <v>9</v>
      </c>
      <c r="F1117" s="6">
        <v>45473</v>
      </c>
      <c r="G1117" s="5">
        <v>2024</v>
      </c>
      <c r="H1117" s="5" t="s">
        <v>763</v>
      </c>
      <c r="I1117" s="6" t="s">
        <v>864</v>
      </c>
      <c r="J1117" s="5">
        <v>80</v>
      </c>
      <c r="K1117" s="5">
        <v>83</v>
      </c>
      <c r="L1117" s="15">
        <v>1.0375000000000001</v>
      </c>
      <c r="M1117" s="15">
        <v>1.0375000000000001</v>
      </c>
      <c r="N1117" s="5" t="s">
        <v>347</v>
      </c>
      <c r="O1117" s="5" t="s">
        <v>347</v>
      </c>
      <c r="P1117" s="5">
        <v>0</v>
      </c>
      <c r="Q1117" s="5">
        <v>0</v>
      </c>
      <c r="R1117" s="5" t="str">
        <f>A1117&amp;"-"&amp;YEAR(F1117)&amp;"-"&amp;IF(LEN(MONTH(F1117))=1,"0"&amp;MONTH(F1117),MONTH(F1117))&amp;"-"&amp;IF(LEN(DAY(F1117))=1,"0"&amp;DAY(F1117),DAY(F1117))</f>
        <v>275-2024-06-30</v>
      </c>
    </row>
    <row r="1118" spans="1:18" x14ac:dyDescent="0.3">
      <c r="A1118" s="5">
        <v>289</v>
      </c>
      <c r="B1118" s="5" t="s">
        <v>174</v>
      </c>
      <c r="C1118" s="5" t="s">
        <v>45</v>
      </c>
      <c r="D1118" s="5" t="s">
        <v>11</v>
      </c>
      <c r="E1118" s="5" t="s">
        <v>9</v>
      </c>
      <c r="F1118" s="6">
        <v>45473</v>
      </c>
      <c r="G1118" s="5">
        <v>2024</v>
      </c>
      <c r="H1118" s="5" t="s">
        <v>763</v>
      </c>
      <c r="I1118" s="6" t="s">
        <v>864</v>
      </c>
      <c r="J1118" s="5">
        <v>95</v>
      </c>
      <c r="K1118" s="5">
        <v>100</v>
      </c>
      <c r="L1118" s="15">
        <v>1.0526315789473684</v>
      </c>
      <c r="M1118" s="15">
        <v>1.0526315789473684</v>
      </c>
      <c r="N1118" s="5" t="s">
        <v>347</v>
      </c>
      <c r="O1118" s="5" t="s">
        <v>347</v>
      </c>
      <c r="P1118" s="5">
        <v>0</v>
      </c>
      <c r="Q1118" s="5">
        <v>0</v>
      </c>
      <c r="R1118" s="5" t="str">
        <f>A1118&amp;"-"&amp;YEAR(F1118)&amp;"-"&amp;IF(LEN(MONTH(F1118))=1,"0"&amp;MONTH(F1118),MONTH(F1118))&amp;"-"&amp;IF(LEN(DAY(F1118))=1,"0"&amp;DAY(F1118),DAY(F1118))</f>
        <v>289-2024-06-30</v>
      </c>
    </row>
    <row r="1119" spans="1:18" x14ac:dyDescent="0.3">
      <c r="A1119" s="5">
        <v>295</v>
      </c>
      <c r="B1119" s="5" t="s">
        <v>181</v>
      </c>
      <c r="C1119" s="5" t="s">
        <v>20</v>
      </c>
      <c r="D1119" s="5" t="s">
        <v>8</v>
      </c>
      <c r="E1119" s="5" t="s">
        <v>9</v>
      </c>
      <c r="F1119" s="6">
        <v>45473</v>
      </c>
      <c r="G1119" s="5">
        <v>2024</v>
      </c>
      <c r="H1119" s="5" t="s">
        <v>763</v>
      </c>
      <c r="I1119" s="6" t="s">
        <v>864</v>
      </c>
      <c r="J1119" s="5">
        <v>60</v>
      </c>
      <c r="K1119" s="5">
        <v>52.38</v>
      </c>
      <c r="L1119" s="15">
        <v>0.873</v>
      </c>
      <c r="M1119" s="15">
        <v>0.873</v>
      </c>
      <c r="N1119" s="5" t="s">
        <v>490</v>
      </c>
      <c r="O1119" s="5" t="s">
        <v>490</v>
      </c>
      <c r="P1119" s="5">
        <v>0</v>
      </c>
      <c r="Q1119" s="5">
        <v>0</v>
      </c>
      <c r="R1119" s="5" t="str">
        <f>A1119&amp;"-"&amp;YEAR(F1119)&amp;"-"&amp;IF(LEN(MONTH(F1119))=1,"0"&amp;MONTH(F1119),MONTH(F1119))&amp;"-"&amp;IF(LEN(DAY(F1119))=1,"0"&amp;DAY(F1119),DAY(F1119))</f>
        <v>295-2024-06-30</v>
      </c>
    </row>
    <row r="1120" spans="1:18" x14ac:dyDescent="0.3">
      <c r="A1120" s="5">
        <v>300</v>
      </c>
      <c r="B1120" s="5" t="s">
        <v>184</v>
      </c>
      <c r="C1120" s="5" t="s">
        <v>185</v>
      </c>
      <c r="D1120" s="5" t="s">
        <v>11</v>
      </c>
      <c r="E1120" s="5" t="s">
        <v>9</v>
      </c>
      <c r="F1120" s="6">
        <v>45473</v>
      </c>
      <c r="G1120" s="5">
        <v>2024</v>
      </c>
      <c r="H1120" s="5" t="s">
        <v>763</v>
      </c>
      <c r="I1120" s="6" t="s">
        <v>864</v>
      </c>
      <c r="J1120" s="5">
        <v>100</v>
      </c>
      <c r="K1120" s="5">
        <v>100</v>
      </c>
      <c r="L1120" s="15">
        <v>1</v>
      </c>
      <c r="M1120" s="15">
        <v>1</v>
      </c>
      <c r="N1120" s="5" t="s">
        <v>347</v>
      </c>
      <c r="O1120" s="5" t="s">
        <v>347</v>
      </c>
      <c r="P1120" s="5">
        <v>0</v>
      </c>
      <c r="Q1120" s="5">
        <v>0</v>
      </c>
      <c r="R1120" s="5" t="str">
        <f>A1120&amp;"-"&amp;YEAR(F1120)&amp;"-"&amp;IF(LEN(MONTH(F1120))=1,"0"&amp;MONTH(F1120),MONTH(F1120))&amp;"-"&amp;IF(LEN(DAY(F1120))=1,"0"&amp;DAY(F1120),DAY(F1120))</f>
        <v>300-2024-06-30</v>
      </c>
    </row>
    <row r="1121" spans="1:18" x14ac:dyDescent="0.3">
      <c r="A1121" s="5">
        <v>301</v>
      </c>
      <c r="B1121" s="5" t="s">
        <v>186</v>
      </c>
      <c r="C1121" s="5" t="s">
        <v>185</v>
      </c>
      <c r="D1121" s="5" t="s">
        <v>11</v>
      </c>
      <c r="E1121" s="5" t="s">
        <v>9</v>
      </c>
      <c r="F1121" s="6">
        <v>45473</v>
      </c>
      <c r="G1121" s="5">
        <v>2024</v>
      </c>
      <c r="H1121" s="5" t="s">
        <v>763</v>
      </c>
      <c r="I1121" s="6" t="s">
        <v>864</v>
      </c>
      <c r="J1121" s="5">
        <v>100</v>
      </c>
      <c r="K1121" s="5">
        <v>100</v>
      </c>
      <c r="L1121" s="15">
        <v>1</v>
      </c>
      <c r="M1121" s="15">
        <v>1</v>
      </c>
      <c r="N1121" s="5" t="s">
        <v>347</v>
      </c>
      <c r="O1121" s="5" t="s">
        <v>347</v>
      </c>
      <c r="P1121" s="5">
        <v>0</v>
      </c>
      <c r="Q1121" s="5">
        <v>0</v>
      </c>
      <c r="R1121" s="5" t="str">
        <f>A1121&amp;"-"&amp;YEAR(F1121)&amp;"-"&amp;IF(LEN(MONTH(F1121))=1,"0"&amp;MONTH(F1121),MONTH(F1121))&amp;"-"&amp;IF(LEN(DAY(F1121))=1,"0"&amp;DAY(F1121),DAY(F1121))</f>
        <v>301-2024-06-30</v>
      </c>
    </row>
    <row r="1122" spans="1:18" x14ac:dyDescent="0.3">
      <c r="A1122" s="5">
        <v>302</v>
      </c>
      <c r="B1122" s="5" t="s">
        <v>187</v>
      </c>
      <c r="C1122" s="5" t="s">
        <v>152</v>
      </c>
      <c r="D1122" s="5" t="s">
        <v>8</v>
      </c>
      <c r="E1122" s="5" t="s">
        <v>9</v>
      </c>
      <c r="F1122" s="6">
        <v>45473</v>
      </c>
      <c r="G1122" s="5">
        <v>2024</v>
      </c>
      <c r="H1122" s="5" t="s">
        <v>763</v>
      </c>
      <c r="I1122" s="6" t="s">
        <v>864</v>
      </c>
      <c r="J1122" s="5">
        <v>0</v>
      </c>
      <c r="K1122" s="5">
        <v>18355</v>
      </c>
      <c r="L1122" s="15" t="s">
        <v>417</v>
      </c>
      <c r="M1122" s="15" t="s">
        <v>417</v>
      </c>
      <c r="N1122" s="5">
        <v>0</v>
      </c>
      <c r="O1122" s="5" t="s">
        <v>490</v>
      </c>
      <c r="P1122" s="5">
        <v>0</v>
      </c>
      <c r="Q1122" s="5">
        <v>0</v>
      </c>
      <c r="R1122" s="5" t="str">
        <f>A1122&amp;"-"&amp;YEAR(F1122)&amp;"-"&amp;IF(LEN(MONTH(F1122))=1,"0"&amp;MONTH(F1122),MONTH(F1122))&amp;"-"&amp;IF(LEN(DAY(F1122))=1,"0"&amp;DAY(F1122),DAY(F1122))</f>
        <v>302-2024-06-30</v>
      </c>
    </row>
    <row r="1123" spans="1:18" x14ac:dyDescent="0.3">
      <c r="A1123" s="5">
        <v>306</v>
      </c>
      <c r="B1123" s="5" t="s">
        <v>192</v>
      </c>
      <c r="C1123" s="5" t="s">
        <v>134</v>
      </c>
      <c r="D1123" s="5" t="s">
        <v>11</v>
      </c>
      <c r="E1123" s="5" t="s">
        <v>9</v>
      </c>
      <c r="F1123" s="6">
        <v>45473</v>
      </c>
      <c r="G1123" s="5">
        <v>2024</v>
      </c>
      <c r="H1123" s="5" t="s">
        <v>763</v>
      </c>
      <c r="I1123" s="6" t="s">
        <v>864</v>
      </c>
      <c r="J1123" s="5">
        <v>100</v>
      </c>
      <c r="K1123" s="5">
        <v>100.17</v>
      </c>
      <c r="L1123" s="15">
        <v>1.0017</v>
      </c>
      <c r="M1123" s="15">
        <v>1.0017</v>
      </c>
      <c r="N1123" s="5" t="s">
        <v>347</v>
      </c>
      <c r="O1123" s="5" t="s">
        <v>347</v>
      </c>
      <c r="P1123" s="5">
        <v>0</v>
      </c>
      <c r="Q1123" s="5">
        <v>0</v>
      </c>
      <c r="R1123" s="5" t="str">
        <f>A1123&amp;"-"&amp;YEAR(F1123)&amp;"-"&amp;IF(LEN(MONTH(F1123))=1,"0"&amp;MONTH(F1123),MONTH(F1123))&amp;"-"&amp;IF(LEN(DAY(F1123))=1,"0"&amp;DAY(F1123),DAY(F1123))</f>
        <v>306-2024-06-30</v>
      </c>
    </row>
    <row r="1124" spans="1:18" x14ac:dyDescent="0.3">
      <c r="A1124" s="5">
        <v>315</v>
      </c>
      <c r="B1124" s="5" t="s">
        <v>498</v>
      </c>
      <c r="C1124" s="5" t="s">
        <v>53</v>
      </c>
      <c r="D1124" s="5" t="s">
        <v>8</v>
      </c>
      <c r="E1124" s="5" t="s">
        <v>9</v>
      </c>
      <c r="F1124" s="6">
        <v>45473</v>
      </c>
      <c r="G1124" s="5">
        <v>2024</v>
      </c>
      <c r="H1124" s="5" t="s">
        <v>763</v>
      </c>
      <c r="I1124" s="6" t="s">
        <v>864</v>
      </c>
      <c r="J1124" s="5" t="s">
        <v>417</v>
      </c>
      <c r="K1124" s="5"/>
      <c r="L1124" s="15" t="s">
        <v>417</v>
      </c>
      <c r="M1124" s="15" t="s">
        <v>417</v>
      </c>
      <c r="N1124" s="5" t="s">
        <v>490</v>
      </c>
      <c r="O1124" s="5" t="s">
        <v>490</v>
      </c>
      <c r="P1124" s="5">
        <v>0</v>
      </c>
      <c r="Q1124" s="5">
        <v>0</v>
      </c>
      <c r="R1124" s="5" t="str">
        <f>A1124&amp;"-"&amp;YEAR(F1124)&amp;"-"&amp;IF(LEN(MONTH(F1124))=1,"0"&amp;MONTH(F1124),MONTH(F1124))&amp;"-"&amp;IF(LEN(DAY(F1124))=1,"0"&amp;DAY(F1124),DAY(F1124))</f>
        <v>315-2024-06-30</v>
      </c>
    </row>
    <row r="1125" spans="1:18" x14ac:dyDescent="0.3">
      <c r="A1125" s="5">
        <v>316</v>
      </c>
      <c r="B1125" s="5" t="s">
        <v>202</v>
      </c>
      <c r="C1125" s="5" t="s">
        <v>53</v>
      </c>
      <c r="D1125" s="5" t="s">
        <v>8</v>
      </c>
      <c r="E1125" s="5" t="s">
        <v>9</v>
      </c>
      <c r="F1125" s="6">
        <v>45473</v>
      </c>
      <c r="G1125" s="5">
        <v>2024</v>
      </c>
      <c r="H1125" s="5" t="s">
        <v>763</v>
      </c>
      <c r="I1125" s="6" t="s">
        <v>864</v>
      </c>
      <c r="J1125" s="5" t="s">
        <v>417</v>
      </c>
      <c r="K1125" s="5"/>
      <c r="L1125" s="15" t="s">
        <v>417</v>
      </c>
      <c r="M1125" s="15" t="s">
        <v>417</v>
      </c>
      <c r="N1125" s="5" t="s">
        <v>490</v>
      </c>
      <c r="O1125" s="5" t="s">
        <v>490</v>
      </c>
      <c r="P1125" s="5">
        <v>0</v>
      </c>
      <c r="Q1125" s="5">
        <v>0</v>
      </c>
      <c r="R1125" s="5" t="str">
        <f>A1125&amp;"-"&amp;YEAR(F1125)&amp;"-"&amp;IF(LEN(MONTH(F1125))=1,"0"&amp;MONTH(F1125),MONTH(F1125))&amp;"-"&amp;IF(LEN(DAY(F1125))=1,"0"&amp;DAY(F1125),DAY(F1125))</f>
        <v>316-2024-06-30</v>
      </c>
    </row>
    <row r="1126" spans="1:18" x14ac:dyDescent="0.3">
      <c r="A1126" s="5">
        <v>344</v>
      </c>
      <c r="B1126" s="5" t="s">
        <v>227</v>
      </c>
      <c r="C1126" s="5" t="s">
        <v>13</v>
      </c>
      <c r="D1126" s="5" t="s">
        <v>8</v>
      </c>
      <c r="E1126" s="5" t="s">
        <v>9</v>
      </c>
      <c r="F1126" s="6">
        <v>45473</v>
      </c>
      <c r="G1126" s="5">
        <v>2024</v>
      </c>
      <c r="H1126" s="5" t="s">
        <v>763</v>
      </c>
      <c r="I1126" s="6" t="s">
        <v>864</v>
      </c>
      <c r="J1126" s="5">
        <v>93</v>
      </c>
      <c r="K1126" s="5">
        <v>97.34</v>
      </c>
      <c r="L1126" s="15">
        <v>1.0466666666666666</v>
      </c>
      <c r="M1126" s="15">
        <v>1.0466666666666666</v>
      </c>
      <c r="N1126" s="5" t="s">
        <v>347</v>
      </c>
      <c r="O1126" s="5" t="s">
        <v>347</v>
      </c>
      <c r="P1126" s="5">
        <v>0</v>
      </c>
      <c r="Q1126" s="5">
        <v>0</v>
      </c>
      <c r="R1126" s="5" t="str">
        <f>A1126&amp;"-"&amp;YEAR(F1126)&amp;"-"&amp;IF(LEN(MONTH(F1126))=1,"0"&amp;MONTH(F1126),MONTH(F1126))&amp;"-"&amp;IF(LEN(DAY(F1126))=1,"0"&amp;DAY(F1126),DAY(F1126))</f>
        <v>344-2024-06-30</v>
      </c>
    </row>
    <row r="1127" spans="1:18" x14ac:dyDescent="0.3">
      <c r="A1127" s="5">
        <v>359</v>
      </c>
      <c r="B1127" s="5" t="s">
        <v>502</v>
      </c>
      <c r="C1127" s="5" t="s">
        <v>160</v>
      </c>
      <c r="D1127" s="5" t="s">
        <v>8</v>
      </c>
      <c r="E1127" s="5" t="s">
        <v>9</v>
      </c>
      <c r="F1127" s="6">
        <v>45473</v>
      </c>
      <c r="G1127" s="5">
        <v>2024</v>
      </c>
      <c r="H1127" s="5" t="s">
        <v>763</v>
      </c>
      <c r="I1127" s="6" t="s">
        <v>864</v>
      </c>
      <c r="J1127" s="5"/>
      <c r="K1127" s="5"/>
      <c r="L1127" s="15" t="s">
        <v>417</v>
      </c>
      <c r="M1127" s="15" t="s">
        <v>417</v>
      </c>
      <c r="N1127" s="5"/>
      <c r="O1127" s="5"/>
      <c r="P1127" s="5">
        <v>0</v>
      </c>
      <c r="Q1127" s="5">
        <v>0</v>
      </c>
      <c r="R1127" s="5" t="str">
        <f>A1127&amp;"-"&amp;YEAR(F1127)&amp;"-"&amp;IF(LEN(MONTH(F1127))=1,"0"&amp;MONTH(F1127),MONTH(F1127))&amp;"-"&amp;IF(LEN(DAY(F1127))=1,"0"&amp;DAY(F1127),DAY(F1127))</f>
        <v>359-2024-06-30</v>
      </c>
    </row>
    <row r="1128" spans="1:18" x14ac:dyDescent="0.3">
      <c r="A1128" s="5">
        <v>362</v>
      </c>
      <c r="B1128" s="5" t="s">
        <v>460</v>
      </c>
      <c r="C1128" s="5" t="s">
        <v>249</v>
      </c>
      <c r="D1128" s="5" t="s">
        <v>8</v>
      </c>
      <c r="E1128" s="5" t="s">
        <v>9</v>
      </c>
      <c r="F1128" s="6">
        <v>45473</v>
      </c>
      <c r="G1128" s="5">
        <v>2024</v>
      </c>
      <c r="H1128" s="5" t="s">
        <v>763</v>
      </c>
      <c r="I1128" s="6" t="s">
        <v>864</v>
      </c>
      <c r="J1128" s="5">
        <v>98</v>
      </c>
      <c r="K1128" s="5">
        <v>99.584323040379999</v>
      </c>
      <c r="L1128" s="15">
        <v>1.0161665616365305</v>
      </c>
      <c r="M1128" s="15">
        <v>1.0161665616365305</v>
      </c>
      <c r="N1128" s="5" t="s">
        <v>347</v>
      </c>
      <c r="O1128" s="5" t="s">
        <v>347</v>
      </c>
      <c r="P1128" s="5">
        <v>0</v>
      </c>
      <c r="Q1128" s="5">
        <v>0</v>
      </c>
      <c r="R1128" s="5" t="str">
        <f>A1128&amp;"-"&amp;YEAR(F1128)&amp;"-"&amp;IF(LEN(MONTH(F1128))=1,"0"&amp;MONTH(F1128),MONTH(F1128))&amp;"-"&amp;IF(LEN(DAY(F1128))=1,"0"&amp;DAY(F1128),DAY(F1128))</f>
        <v>362-2024-06-30</v>
      </c>
    </row>
    <row r="1129" spans="1:18" x14ac:dyDescent="0.3">
      <c r="A1129" s="5">
        <v>363</v>
      </c>
      <c r="B1129" s="5" t="s">
        <v>250</v>
      </c>
      <c r="C1129" s="5" t="s">
        <v>251</v>
      </c>
      <c r="D1129" s="5" t="s">
        <v>8</v>
      </c>
      <c r="E1129" s="5" t="s">
        <v>9</v>
      </c>
      <c r="F1129" s="6">
        <v>45473</v>
      </c>
      <c r="G1129" s="5">
        <v>2024</v>
      </c>
      <c r="H1129" s="5" t="s">
        <v>763</v>
      </c>
      <c r="I1129" s="6" t="s">
        <v>864</v>
      </c>
      <c r="J1129" s="5">
        <v>100</v>
      </c>
      <c r="K1129" s="5">
        <v>100</v>
      </c>
      <c r="L1129" s="15">
        <v>1</v>
      </c>
      <c r="M1129" s="15">
        <v>1</v>
      </c>
      <c r="N1129" s="5" t="s">
        <v>347</v>
      </c>
      <c r="O1129" s="5" t="s">
        <v>347</v>
      </c>
      <c r="P1129" s="5">
        <v>0</v>
      </c>
      <c r="Q1129" s="5">
        <v>0</v>
      </c>
      <c r="R1129" s="5" t="str">
        <f>A1129&amp;"-"&amp;YEAR(F1129)&amp;"-"&amp;IF(LEN(MONTH(F1129))=1,"0"&amp;MONTH(F1129),MONTH(F1129))&amp;"-"&amp;IF(LEN(DAY(F1129))=1,"0"&amp;DAY(F1129),DAY(F1129))</f>
        <v>363-2024-06-30</v>
      </c>
    </row>
    <row r="1130" spans="1:18" x14ac:dyDescent="0.3">
      <c r="A1130" s="5">
        <v>368</v>
      </c>
      <c r="B1130" s="5" t="s">
        <v>255</v>
      </c>
      <c r="C1130" s="5" t="s">
        <v>256</v>
      </c>
      <c r="D1130" s="5" t="s">
        <v>11</v>
      </c>
      <c r="E1130" s="5" t="s">
        <v>9</v>
      </c>
      <c r="F1130" s="6">
        <v>45473</v>
      </c>
      <c r="G1130" s="5">
        <v>2024</v>
      </c>
      <c r="H1130" s="5" t="s">
        <v>763</v>
      </c>
      <c r="I1130" s="6" t="s">
        <v>864</v>
      </c>
      <c r="J1130" s="5">
        <v>90</v>
      </c>
      <c r="K1130" s="5">
        <v>95</v>
      </c>
      <c r="L1130" s="15">
        <v>1.0555555555555556</v>
      </c>
      <c r="M1130" s="15">
        <v>1.0555555555555556</v>
      </c>
      <c r="N1130" s="5" t="s">
        <v>347</v>
      </c>
      <c r="O1130" s="5" t="s">
        <v>347</v>
      </c>
      <c r="P1130" s="5">
        <v>0</v>
      </c>
      <c r="Q1130" s="5">
        <v>0</v>
      </c>
      <c r="R1130" s="5" t="str">
        <f>A1130&amp;"-"&amp;YEAR(F1130)&amp;"-"&amp;IF(LEN(MONTH(F1130))=1,"0"&amp;MONTH(F1130),MONTH(F1130))&amp;"-"&amp;IF(LEN(DAY(F1130))=1,"0"&amp;DAY(F1130),DAY(F1130))</f>
        <v>368-2024-06-30</v>
      </c>
    </row>
    <row r="1131" spans="1:18" x14ac:dyDescent="0.3">
      <c r="A1131" s="5">
        <v>372</v>
      </c>
      <c r="B1131" s="5" t="s">
        <v>260</v>
      </c>
      <c r="C1131" s="5" t="s">
        <v>256</v>
      </c>
      <c r="D1131" s="5" t="s">
        <v>11</v>
      </c>
      <c r="E1131" s="5" t="s">
        <v>9</v>
      </c>
      <c r="F1131" s="6">
        <v>45473</v>
      </c>
      <c r="G1131" s="5">
        <v>2024</v>
      </c>
      <c r="H1131" s="5" t="s">
        <v>763</v>
      </c>
      <c r="I1131" s="6" t="s">
        <v>864</v>
      </c>
      <c r="J1131" s="5">
        <v>87</v>
      </c>
      <c r="K1131" s="5">
        <v>90</v>
      </c>
      <c r="L1131" s="15">
        <v>1.0344827586206897</v>
      </c>
      <c r="M1131" s="15">
        <v>1.0344827586206897</v>
      </c>
      <c r="N1131" s="5" t="s">
        <v>347</v>
      </c>
      <c r="O1131" s="5" t="s">
        <v>347</v>
      </c>
      <c r="P1131" s="5">
        <v>0</v>
      </c>
      <c r="Q1131" s="5">
        <v>0</v>
      </c>
      <c r="R1131" s="5" t="str">
        <f>A1131&amp;"-"&amp;YEAR(F1131)&amp;"-"&amp;IF(LEN(MONTH(F1131))=1,"0"&amp;MONTH(F1131),MONTH(F1131))&amp;"-"&amp;IF(LEN(DAY(F1131))=1,"0"&amp;DAY(F1131),DAY(F1131))</f>
        <v>372-2024-06-30</v>
      </c>
    </row>
    <row r="1132" spans="1:18" x14ac:dyDescent="0.3">
      <c r="A1132" s="5">
        <v>378</v>
      </c>
      <c r="B1132" s="5" t="s">
        <v>265</v>
      </c>
      <c r="C1132" s="5" t="s">
        <v>17</v>
      </c>
      <c r="D1132" s="5" t="s">
        <v>18</v>
      </c>
      <c r="E1132" s="5" t="s">
        <v>9</v>
      </c>
      <c r="F1132" s="6">
        <v>45473</v>
      </c>
      <c r="G1132" s="5">
        <v>2024</v>
      </c>
      <c r="H1132" s="5" t="s">
        <v>763</v>
      </c>
      <c r="I1132" s="6" t="s">
        <v>864</v>
      </c>
      <c r="J1132" s="5">
        <v>92</v>
      </c>
      <c r="K1132" s="5">
        <v>98.5</v>
      </c>
      <c r="L1132" s="15">
        <v>1.0706521739130435</v>
      </c>
      <c r="M1132" s="15">
        <v>1.0706521739130435</v>
      </c>
      <c r="N1132" s="5" t="s">
        <v>347</v>
      </c>
      <c r="O1132" s="5" t="s">
        <v>347</v>
      </c>
      <c r="P1132" s="5">
        <v>0</v>
      </c>
      <c r="Q1132" s="5">
        <v>0</v>
      </c>
      <c r="R1132" s="5" t="str">
        <f>A1132&amp;"-"&amp;YEAR(F1132)&amp;"-"&amp;IF(LEN(MONTH(F1132))=1,"0"&amp;MONTH(F1132),MONTH(F1132))&amp;"-"&amp;IF(LEN(DAY(F1132))=1,"0"&amp;DAY(F1132),DAY(F1132))</f>
        <v>378-2024-06-30</v>
      </c>
    </row>
    <row r="1133" spans="1:18" x14ac:dyDescent="0.3">
      <c r="A1133" s="5">
        <v>380</v>
      </c>
      <c r="B1133" s="5" t="s">
        <v>268</v>
      </c>
      <c r="C1133" s="5" t="s">
        <v>267</v>
      </c>
      <c r="D1133" s="5" t="s">
        <v>8</v>
      </c>
      <c r="E1133" s="5" t="s">
        <v>9</v>
      </c>
      <c r="F1133" s="6">
        <v>45473</v>
      </c>
      <c r="G1133" s="5">
        <v>2024</v>
      </c>
      <c r="H1133" s="5" t="s">
        <v>763</v>
      </c>
      <c r="I1133" s="6" t="s">
        <v>864</v>
      </c>
      <c r="J1133" s="9">
        <v>100</v>
      </c>
      <c r="K1133" s="12">
        <v>96.13</v>
      </c>
      <c r="L1133" s="15">
        <v>0.96129999999999993</v>
      </c>
      <c r="M1133" s="15">
        <v>0.96129999999999993</v>
      </c>
      <c r="N1133" s="5" t="s">
        <v>347</v>
      </c>
      <c r="O1133" s="5" t="s">
        <v>347</v>
      </c>
      <c r="P1133" s="5">
        <v>0</v>
      </c>
      <c r="Q1133" s="5">
        <v>0</v>
      </c>
      <c r="R1133" s="5" t="str">
        <f>A1133&amp;"-"&amp;YEAR(F1133)&amp;"-"&amp;IF(LEN(MONTH(F1133))=1,"0"&amp;MONTH(F1133),MONTH(F1133))&amp;"-"&amp;IF(LEN(DAY(F1133))=1,"0"&amp;DAY(F1133),DAY(F1133))</f>
        <v>380-2024-06-30</v>
      </c>
    </row>
    <row r="1134" spans="1:18" x14ac:dyDescent="0.3">
      <c r="A1134" s="5">
        <v>391</v>
      </c>
      <c r="B1134" s="5" t="s">
        <v>280</v>
      </c>
      <c r="C1134" s="5" t="s">
        <v>281</v>
      </c>
      <c r="D1134" s="5" t="s">
        <v>8</v>
      </c>
      <c r="E1134" s="5" t="s">
        <v>9</v>
      </c>
      <c r="F1134" s="6">
        <v>45473</v>
      </c>
      <c r="G1134" s="5">
        <v>2024</v>
      </c>
      <c r="H1134" s="5" t="s">
        <v>763</v>
      </c>
      <c r="I1134" s="6" t="s">
        <v>864</v>
      </c>
      <c r="J1134" s="5">
        <v>96</v>
      </c>
      <c r="K1134" s="5">
        <v>100</v>
      </c>
      <c r="L1134" s="15">
        <v>1.0416666666666667</v>
      </c>
      <c r="M1134" s="15">
        <v>1.0416666666666667</v>
      </c>
      <c r="N1134" s="5" t="s">
        <v>347</v>
      </c>
      <c r="O1134" s="5" t="s">
        <v>347</v>
      </c>
      <c r="P1134" s="5">
        <v>0</v>
      </c>
      <c r="Q1134" s="5">
        <v>0</v>
      </c>
      <c r="R1134" s="5" t="str">
        <f>A1134&amp;"-"&amp;YEAR(F1134)&amp;"-"&amp;IF(LEN(MONTH(F1134))=1,"0"&amp;MONTH(F1134),MONTH(F1134))&amp;"-"&amp;IF(LEN(DAY(F1134))=1,"0"&amp;DAY(F1134),DAY(F1134))</f>
        <v>391-2024-06-30</v>
      </c>
    </row>
    <row r="1135" spans="1:18" x14ac:dyDescent="0.3">
      <c r="A1135" s="5">
        <v>392</v>
      </c>
      <c r="B1135" s="5" t="s">
        <v>282</v>
      </c>
      <c r="C1135" s="5" t="s">
        <v>281</v>
      </c>
      <c r="D1135" s="5" t="s">
        <v>8</v>
      </c>
      <c r="E1135" s="5" t="s">
        <v>9</v>
      </c>
      <c r="F1135" s="6">
        <v>45473</v>
      </c>
      <c r="G1135" s="5">
        <v>2024</v>
      </c>
      <c r="H1135" s="5" t="s">
        <v>763</v>
      </c>
      <c r="I1135" s="6" t="s">
        <v>864</v>
      </c>
      <c r="J1135" s="34">
        <v>341000000</v>
      </c>
      <c r="K1135" s="34">
        <v>334552287</v>
      </c>
      <c r="L1135" s="15">
        <v>0.98109175073313781</v>
      </c>
      <c r="M1135" s="15">
        <v>0.98109175073313781</v>
      </c>
      <c r="N1135" s="5" t="s">
        <v>474</v>
      </c>
      <c r="O1135" s="5" t="s">
        <v>474</v>
      </c>
      <c r="P1135" s="5">
        <v>0</v>
      </c>
      <c r="Q1135" s="5">
        <v>0</v>
      </c>
      <c r="R1135" s="5" t="str">
        <f>A1135&amp;"-"&amp;YEAR(F1135)&amp;"-"&amp;IF(LEN(MONTH(F1135))=1,"0"&amp;MONTH(F1135),MONTH(F1135))&amp;"-"&amp;IF(LEN(DAY(F1135))=1,"0"&amp;DAY(F1135),DAY(F1135))</f>
        <v>392-2024-06-30</v>
      </c>
    </row>
    <row r="1136" spans="1:18" x14ac:dyDescent="0.3">
      <c r="A1136" s="5">
        <v>396</v>
      </c>
      <c r="B1136" s="5" t="s">
        <v>287</v>
      </c>
      <c r="C1136" s="5" t="s">
        <v>506</v>
      </c>
      <c r="D1136" s="5" t="s">
        <v>8</v>
      </c>
      <c r="E1136" s="5" t="s">
        <v>9</v>
      </c>
      <c r="F1136" s="6">
        <v>45473</v>
      </c>
      <c r="G1136" s="5">
        <v>2024</v>
      </c>
      <c r="H1136" s="5" t="s">
        <v>763</v>
      </c>
      <c r="I1136" s="6" t="s">
        <v>864</v>
      </c>
      <c r="J1136" s="5">
        <v>80</v>
      </c>
      <c r="K1136" s="5">
        <v>88.1</v>
      </c>
      <c r="L1136" s="15">
        <v>1.1012499999999998</v>
      </c>
      <c r="M1136" s="15">
        <v>1.1012499999999998</v>
      </c>
      <c r="N1136" s="5" t="s">
        <v>490</v>
      </c>
      <c r="O1136" s="5" t="s">
        <v>478</v>
      </c>
      <c r="P1136" s="5">
        <v>1</v>
      </c>
      <c r="Q1136" s="5">
        <v>1</v>
      </c>
      <c r="R1136" s="5" t="str">
        <f>A1136&amp;"-"&amp;YEAR(F1136)&amp;"-"&amp;IF(LEN(MONTH(F1136))=1,"0"&amp;MONTH(F1136),MONTH(F1136))&amp;"-"&amp;IF(LEN(DAY(F1136))=1,"0"&amp;DAY(F1136),DAY(F1136))</f>
        <v>396-2024-06-30</v>
      </c>
    </row>
    <row r="1137" spans="1:18" x14ac:dyDescent="0.3">
      <c r="A1137" s="5">
        <v>400</v>
      </c>
      <c r="B1137" s="5" t="s">
        <v>292</v>
      </c>
      <c r="C1137" s="5" t="s">
        <v>290</v>
      </c>
      <c r="D1137" s="5" t="s">
        <v>8</v>
      </c>
      <c r="E1137" s="5" t="s">
        <v>9</v>
      </c>
      <c r="F1137" s="6">
        <v>45473</v>
      </c>
      <c r="G1137" s="5">
        <v>2024</v>
      </c>
      <c r="H1137" s="5" t="s">
        <v>763</v>
      </c>
      <c r="I1137" s="6" t="s">
        <v>864</v>
      </c>
      <c r="J1137" s="5">
        <v>88</v>
      </c>
      <c r="K1137" s="5">
        <v>294</v>
      </c>
      <c r="L1137" s="15">
        <v>1.3</v>
      </c>
      <c r="M1137" s="15">
        <v>3.3409090909090908</v>
      </c>
      <c r="N1137" s="5" t="s">
        <v>490</v>
      </c>
      <c r="O1137" s="5" t="s">
        <v>490</v>
      </c>
      <c r="P1137" s="5">
        <v>0</v>
      </c>
      <c r="Q1137" s="5">
        <v>0</v>
      </c>
      <c r="R1137" s="5" t="str">
        <f>A1137&amp;"-"&amp;YEAR(F1137)&amp;"-"&amp;IF(LEN(MONTH(F1137))=1,"0"&amp;MONTH(F1137),MONTH(F1137))&amp;"-"&amp;IF(LEN(DAY(F1137))=1,"0"&amp;DAY(F1137),DAY(F1137))</f>
        <v>400-2024-06-30</v>
      </c>
    </row>
    <row r="1138" spans="1:18" x14ac:dyDescent="0.3">
      <c r="A1138" s="5">
        <v>404</v>
      </c>
      <c r="B1138" s="5" t="s">
        <v>297</v>
      </c>
      <c r="C1138" s="5" t="s">
        <v>294</v>
      </c>
      <c r="D1138" s="5" t="s">
        <v>8</v>
      </c>
      <c r="E1138" s="5" t="s">
        <v>14</v>
      </c>
      <c r="F1138" s="6">
        <v>45473</v>
      </c>
      <c r="G1138" s="5">
        <v>2024</v>
      </c>
      <c r="H1138" s="5" t="s">
        <v>763</v>
      </c>
      <c r="I1138" s="6" t="s">
        <v>864</v>
      </c>
      <c r="J1138" s="5">
        <v>10</v>
      </c>
      <c r="K1138" s="5">
        <v>5.85</v>
      </c>
      <c r="L1138" s="15">
        <v>1</v>
      </c>
      <c r="M1138" s="15">
        <v>1</v>
      </c>
      <c r="N1138" s="5" t="s">
        <v>347</v>
      </c>
      <c r="O1138" s="5" t="s">
        <v>347</v>
      </c>
      <c r="P1138" s="5">
        <v>0</v>
      </c>
      <c r="Q1138" s="5">
        <v>0</v>
      </c>
      <c r="R1138" s="5" t="str">
        <f>A1138&amp;"-"&amp;YEAR(F1138)&amp;"-"&amp;IF(LEN(MONTH(F1138))=1,"0"&amp;MONTH(F1138),MONTH(F1138))&amp;"-"&amp;IF(LEN(DAY(F1138))=1,"0"&amp;DAY(F1138),DAY(F1138))</f>
        <v>404-2024-06-30</v>
      </c>
    </row>
    <row r="1139" spans="1:18" x14ac:dyDescent="0.3">
      <c r="A1139" s="5">
        <v>405</v>
      </c>
      <c r="B1139" s="5" t="s">
        <v>298</v>
      </c>
      <c r="C1139" s="5" t="s">
        <v>294</v>
      </c>
      <c r="D1139" s="5" t="s">
        <v>8</v>
      </c>
      <c r="E1139" s="5" t="s">
        <v>9</v>
      </c>
      <c r="F1139" s="6">
        <v>45473</v>
      </c>
      <c r="G1139" s="5">
        <v>2024</v>
      </c>
      <c r="H1139" s="5" t="s">
        <v>763</v>
      </c>
      <c r="I1139" s="6" t="s">
        <v>864</v>
      </c>
      <c r="J1139" s="5">
        <v>100</v>
      </c>
      <c r="K1139" s="5">
        <v>92</v>
      </c>
      <c r="L1139" s="15">
        <v>0.92</v>
      </c>
      <c r="M1139" s="15">
        <v>0.92</v>
      </c>
      <c r="N1139" s="5" t="s">
        <v>347</v>
      </c>
      <c r="O1139" s="5" t="s">
        <v>347</v>
      </c>
      <c r="P1139" s="5">
        <v>0</v>
      </c>
      <c r="Q1139" s="5">
        <v>0</v>
      </c>
      <c r="R1139" s="5" t="str">
        <f>A1139&amp;"-"&amp;YEAR(F1139)&amp;"-"&amp;IF(LEN(MONTH(F1139))=1,"0"&amp;MONTH(F1139),MONTH(F1139))&amp;"-"&amp;IF(LEN(DAY(F1139))=1,"0"&amp;DAY(F1139),DAY(F1139))</f>
        <v>405-2024-06-30</v>
      </c>
    </row>
    <row r="1140" spans="1:18" x14ac:dyDescent="0.3">
      <c r="A1140" s="5">
        <v>409</v>
      </c>
      <c r="B1140" s="5" t="s">
        <v>302</v>
      </c>
      <c r="C1140" s="5" t="s">
        <v>145</v>
      </c>
      <c r="D1140" s="5" t="s">
        <v>11</v>
      </c>
      <c r="E1140" s="5" t="s">
        <v>9</v>
      </c>
      <c r="F1140" s="6">
        <v>45473</v>
      </c>
      <c r="G1140" s="5">
        <v>2024</v>
      </c>
      <c r="H1140" s="5" t="s">
        <v>763</v>
      </c>
      <c r="I1140" s="6" t="s">
        <v>864</v>
      </c>
      <c r="J1140" s="5">
        <v>95</v>
      </c>
      <c r="K1140" s="5">
        <v>98.4962406015037</v>
      </c>
      <c r="L1140" s="15">
        <v>1.0368025326474073</v>
      </c>
      <c r="M1140" s="15">
        <v>1.0368025326474073</v>
      </c>
      <c r="N1140" s="5" t="s">
        <v>347</v>
      </c>
      <c r="O1140" s="5" t="s">
        <v>347</v>
      </c>
      <c r="P1140" s="5">
        <v>0</v>
      </c>
      <c r="Q1140" s="5">
        <v>0</v>
      </c>
      <c r="R1140" s="5" t="str">
        <f>A1140&amp;"-"&amp;YEAR(F1140)&amp;"-"&amp;IF(LEN(MONTH(F1140))=1,"0"&amp;MONTH(F1140),MONTH(F1140))&amp;"-"&amp;IF(LEN(DAY(F1140))=1,"0"&amp;DAY(F1140),DAY(F1140))</f>
        <v>409-2024-06-30</v>
      </c>
    </row>
    <row r="1141" spans="1:18" x14ac:dyDescent="0.3">
      <c r="A1141" s="5">
        <v>421</v>
      </c>
      <c r="B1141" s="5" t="s">
        <v>314</v>
      </c>
      <c r="C1141" s="5" t="s">
        <v>315</v>
      </c>
      <c r="D1141" s="5" t="s">
        <v>8</v>
      </c>
      <c r="E1141" s="5" t="s">
        <v>9</v>
      </c>
      <c r="F1141" s="6">
        <v>45473</v>
      </c>
      <c r="G1141" s="5">
        <v>2024</v>
      </c>
      <c r="H1141" s="5" t="s">
        <v>763</v>
      </c>
      <c r="I1141" s="6" t="s">
        <v>864</v>
      </c>
      <c r="J1141" s="5">
        <v>147043</v>
      </c>
      <c r="K1141" s="5">
        <v>177740</v>
      </c>
      <c r="L1141" s="15">
        <v>1.2087620627979572</v>
      </c>
      <c r="M1141" s="15">
        <v>1.2087620627979572</v>
      </c>
      <c r="N1141" s="5" t="s">
        <v>490</v>
      </c>
      <c r="O1141" s="5" t="s">
        <v>490</v>
      </c>
      <c r="P1141" s="5">
        <v>0</v>
      </c>
      <c r="Q1141" s="5">
        <v>0</v>
      </c>
      <c r="R1141" s="5" t="str">
        <f>A1141&amp;"-"&amp;YEAR(F1141)&amp;"-"&amp;IF(LEN(MONTH(F1141))=1,"0"&amp;MONTH(F1141),MONTH(F1141))&amp;"-"&amp;IF(LEN(DAY(F1141))=1,"0"&amp;DAY(F1141),DAY(F1141))</f>
        <v>421-2024-06-30</v>
      </c>
    </row>
    <row r="1142" spans="1:18" x14ac:dyDescent="0.3">
      <c r="A1142" s="5">
        <v>425</v>
      </c>
      <c r="B1142" s="5" t="s">
        <v>318</v>
      </c>
      <c r="C1142" s="5" t="s">
        <v>274</v>
      </c>
      <c r="D1142" s="5" t="s">
        <v>8</v>
      </c>
      <c r="E1142" s="5" t="s">
        <v>9</v>
      </c>
      <c r="F1142" s="6">
        <v>45473</v>
      </c>
      <c r="G1142" s="5">
        <v>2024</v>
      </c>
      <c r="H1142" s="5" t="s">
        <v>763</v>
      </c>
      <c r="I1142" s="6" t="s">
        <v>864</v>
      </c>
      <c r="J1142" s="5">
        <v>100</v>
      </c>
      <c r="K1142" s="5">
        <v>60.69</v>
      </c>
      <c r="L1142" s="15">
        <v>0.6069</v>
      </c>
      <c r="M1142" s="15">
        <v>0.6069</v>
      </c>
      <c r="N1142" s="5" t="s">
        <v>490</v>
      </c>
      <c r="O1142" s="5" t="s">
        <v>490</v>
      </c>
      <c r="P1142" s="5">
        <v>0</v>
      </c>
      <c r="Q1142" s="5">
        <v>0</v>
      </c>
      <c r="R1142" s="5" t="str">
        <f>A1142&amp;"-"&amp;YEAR(F1142)&amp;"-"&amp;IF(LEN(MONTH(F1142))=1,"0"&amp;MONTH(F1142),MONTH(F1142))&amp;"-"&amp;IF(LEN(DAY(F1142))=1,"0"&amp;DAY(F1142),DAY(F1142))</f>
        <v>425-2024-06-30</v>
      </c>
    </row>
    <row r="1143" spans="1:18" x14ac:dyDescent="0.3">
      <c r="A1143" s="5">
        <v>435</v>
      </c>
      <c r="B1143" s="5" t="s">
        <v>464</v>
      </c>
      <c r="C1143" s="5" t="s">
        <v>90</v>
      </c>
      <c r="D1143" s="5" t="s">
        <v>8</v>
      </c>
      <c r="E1143" s="5" t="s">
        <v>9</v>
      </c>
      <c r="F1143" s="6">
        <v>45838</v>
      </c>
      <c r="G1143" s="5">
        <v>2025</v>
      </c>
      <c r="H1143" s="5" t="s">
        <v>763</v>
      </c>
      <c r="I1143" s="6" t="s">
        <v>865</v>
      </c>
      <c r="J1143" s="5">
        <v>100</v>
      </c>
      <c r="K1143" s="10">
        <v>96.09</v>
      </c>
      <c r="L1143" s="15">
        <v>0.96090000000000009</v>
      </c>
      <c r="M1143" s="15">
        <v>0.96090000000000009</v>
      </c>
      <c r="N1143" s="5" t="s">
        <v>347</v>
      </c>
      <c r="O1143" s="5" t="s">
        <v>347</v>
      </c>
      <c r="P1143" s="5">
        <v>2</v>
      </c>
      <c r="Q1143" s="5">
        <v>2</v>
      </c>
      <c r="R1143" s="5" t="str">
        <f>A1143&amp;"-"&amp;YEAR(F1143)&amp;"-"&amp;IF(LEN(MONTH(F1143))=1,"0"&amp;MONTH(F1143),MONTH(F1143))&amp;"-"&amp;IF(LEN(DAY(F1143))=1,"0"&amp;DAY(F1143),DAY(F1143))</f>
        <v>435-2025-06-30</v>
      </c>
    </row>
    <row r="1144" spans="1:18" x14ac:dyDescent="0.3">
      <c r="A1144" s="5">
        <v>439</v>
      </c>
      <c r="B1144" s="5" t="s">
        <v>467</v>
      </c>
      <c r="C1144" s="5" t="s">
        <v>251</v>
      </c>
      <c r="D1144" s="5" t="s">
        <v>8</v>
      </c>
      <c r="E1144" s="5" t="s">
        <v>9</v>
      </c>
      <c r="F1144" s="6">
        <v>45473</v>
      </c>
      <c r="G1144" s="5">
        <v>2024</v>
      </c>
      <c r="H1144" s="5" t="s">
        <v>763</v>
      </c>
      <c r="I1144" s="6" t="s">
        <v>864</v>
      </c>
      <c r="J1144" s="5">
        <v>100</v>
      </c>
      <c r="K1144" s="5">
        <v>100</v>
      </c>
      <c r="L1144" s="15">
        <v>1</v>
      </c>
      <c r="M1144" s="15">
        <v>1</v>
      </c>
      <c r="N1144" s="5" t="s">
        <v>347</v>
      </c>
      <c r="O1144" s="5" t="s">
        <v>347</v>
      </c>
      <c r="P1144" s="5">
        <v>0</v>
      </c>
      <c r="Q1144" s="5">
        <v>0</v>
      </c>
      <c r="R1144" s="5" t="str">
        <f>A1144&amp;"-"&amp;YEAR(F1144)&amp;"-"&amp;IF(LEN(MONTH(F1144))=1,"0"&amp;MONTH(F1144),MONTH(F1144))&amp;"-"&amp;IF(LEN(DAY(F1144))=1,"0"&amp;DAY(F1144),DAY(F1144))</f>
        <v>439-2024-06-30</v>
      </c>
    </row>
    <row r="1145" spans="1:18" x14ac:dyDescent="0.3">
      <c r="A1145" s="5">
        <v>449</v>
      </c>
      <c r="B1145" s="5" t="s">
        <v>514</v>
      </c>
      <c r="C1145" s="5" t="s">
        <v>182</v>
      </c>
      <c r="D1145" s="5" t="s">
        <v>132</v>
      </c>
      <c r="E1145" s="5" t="s">
        <v>9</v>
      </c>
      <c r="F1145" s="6">
        <v>45473</v>
      </c>
      <c r="G1145" s="5">
        <v>2024</v>
      </c>
      <c r="H1145" s="5" t="s">
        <v>763</v>
      </c>
      <c r="I1145" s="6" t="s">
        <v>864</v>
      </c>
      <c r="J1145" s="5">
        <v>40</v>
      </c>
      <c r="K1145" s="5">
        <v>53.85</v>
      </c>
      <c r="L1145" s="15">
        <v>1</v>
      </c>
      <c r="M1145" s="15">
        <v>1.3462499999999999</v>
      </c>
      <c r="N1145" s="5" t="s">
        <v>347</v>
      </c>
      <c r="O1145" s="5" t="s">
        <v>347</v>
      </c>
      <c r="P1145" s="5">
        <v>0</v>
      </c>
      <c r="Q1145" s="5">
        <v>0</v>
      </c>
      <c r="R1145" s="5" t="str">
        <f>A1145&amp;"-"&amp;YEAR(F1145)&amp;"-"&amp;IF(LEN(MONTH(F1145))=1,"0"&amp;MONTH(F1145),MONTH(F1145))&amp;"-"&amp;IF(LEN(DAY(F1145))=1,"0"&amp;DAY(F1145),DAY(F1145))</f>
        <v>449-2024-06-30</v>
      </c>
    </row>
    <row r="1146" spans="1:18" x14ac:dyDescent="0.3">
      <c r="A1146" s="5">
        <v>452</v>
      </c>
      <c r="B1146" s="5" t="s">
        <v>516</v>
      </c>
      <c r="C1146" s="5" t="s">
        <v>285</v>
      </c>
      <c r="D1146" s="5" t="s">
        <v>8</v>
      </c>
      <c r="E1146" s="5" t="s">
        <v>9</v>
      </c>
      <c r="F1146" s="6">
        <v>45473</v>
      </c>
      <c r="G1146" s="5">
        <v>2024</v>
      </c>
      <c r="H1146" s="5" t="s">
        <v>763</v>
      </c>
      <c r="I1146" s="6" t="s">
        <v>864</v>
      </c>
      <c r="J1146" s="5" t="s">
        <v>417</v>
      </c>
      <c r="K1146" s="5"/>
      <c r="L1146" s="15" t="s">
        <v>417</v>
      </c>
      <c r="M1146" s="15" t="s">
        <v>417</v>
      </c>
      <c r="N1146" s="5" t="s">
        <v>347</v>
      </c>
      <c r="O1146" s="5" t="s">
        <v>347</v>
      </c>
      <c r="P1146" s="5">
        <v>0</v>
      </c>
      <c r="Q1146" s="5">
        <v>0</v>
      </c>
      <c r="R1146" s="5" t="str">
        <f>A1146&amp;"-"&amp;YEAR(F1146)&amp;"-"&amp;IF(LEN(MONTH(F1146))=1,"0"&amp;MONTH(F1146),MONTH(F1146))&amp;"-"&amp;IF(LEN(DAY(F1146))=1,"0"&amp;DAY(F1146),DAY(F1146))</f>
        <v>452-2024-06-30</v>
      </c>
    </row>
    <row r="1147" spans="1:18" x14ac:dyDescent="0.3">
      <c r="A1147" s="5">
        <v>454</v>
      </c>
      <c r="B1147" s="5" t="s">
        <v>518</v>
      </c>
      <c r="C1147" s="5" t="s">
        <v>506</v>
      </c>
      <c r="D1147" s="5" t="s">
        <v>11</v>
      </c>
      <c r="E1147" s="5" t="s">
        <v>9</v>
      </c>
      <c r="F1147" s="6">
        <v>45473</v>
      </c>
      <c r="G1147" s="5">
        <v>2024</v>
      </c>
      <c r="H1147" s="5" t="s">
        <v>763</v>
      </c>
      <c r="I1147" s="6" t="s">
        <v>864</v>
      </c>
      <c r="J1147" s="5" t="s">
        <v>417</v>
      </c>
      <c r="K1147" s="5"/>
      <c r="L1147" s="15" t="s">
        <v>417</v>
      </c>
      <c r="M1147" s="15" t="s">
        <v>417</v>
      </c>
      <c r="N1147" s="5" t="s">
        <v>347</v>
      </c>
      <c r="O1147" s="5" t="s">
        <v>347</v>
      </c>
      <c r="P1147" s="5">
        <v>0</v>
      </c>
      <c r="Q1147" s="5">
        <v>0</v>
      </c>
      <c r="R1147" s="5" t="str">
        <f>A1147&amp;"-"&amp;YEAR(F1147)&amp;"-"&amp;IF(LEN(MONTH(F1147))=1,"0"&amp;MONTH(F1147),MONTH(F1147))&amp;"-"&amp;IF(LEN(DAY(F1147))=1,"0"&amp;DAY(F1147),DAY(F1147))</f>
        <v>454-2024-06-30</v>
      </c>
    </row>
    <row r="1148" spans="1:18" x14ac:dyDescent="0.3">
      <c r="A1148" s="5">
        <v>458</v>
      </c>
      <c r="B1148" s="5" t="s">
        <v>718</v>
      </c>
      <c r="C1148" s="5" t="s">
        <v>320</v>
      </c>
      <c r="D1148" s="5" t="s">
        <v>8</v>
      </c>
      <c r="E1148" s="5" t="s">
        <v>9</v>
      </c>
      <c r="F1148" s="6">
        <v>45473</v>
      </c>
      <c r="G1148" s="5">
        <v>2024</v>
      </c>
      <c r="H1148" s="5" t="s">
        <v>763</v>
      </c>
      <c r="I1148" s="6" t="s">
        <v>864</v>
      </c>
      <c r="J1148" s="5"/>
      <c r="K1148" s="5">
        <v>4900000</v>
      </c>
      <c r="L1148" s="15" t="s">
        <v>417</v>
      </c>
      <c r="M1148" s="15" t="s">
        <v>417</v>
      </c>
      <c r="N1148" s="5" t="s">
        <v>347</v>
      </c>
      <c r="O1148" s="5" t="s">
        <v>347</v>
      </c>
      <c r="P1148" s="5">
        <v>0</v>
      </c>
      <c r="Q1148" s="5">
        <v>0</v>
      </c>
      <c r="R1148" s="5" t="str">
        <f>A1148&amp;"-"&amp;YEAR(F1148)&amp;"-"&amp;IF(LEN(MONTH(F1148))=1,"0"&amp;MONTH(F1148),MONTH(F1148))&amp;"-"&amp;IF(LEN(DAY(F1148))=1,"0"&amp;DAY(F1148),DAY(F1148))</f>
        <v>458-2024-06-30</v>
      </c>
    </row>
    <row r="1149" spans="1:18" x14ac:dyDescent="0.3">
      <c r="A1149" s="5">
        <v>459</v>
      </c>
      <c r="B1149" s="5" t="s">
        <v>522</v>
      </c>
      <c r="C1149" s="5" t="s">
        <v>285</v>
      </c>
      <c r="D1149" s="5" t="s">
        <v>11</v>
      </c>
      <c r="E1149" s="5" t="s">
        <v>9</v>
      </c>
      <c r="F1149" s="6">
        <v>45473</v>
      </c>
      <c r="G1149" s="5">
        <v>2024</v>
      </c>
      <c r="H1149" s="5" t="s">
        <v>763</v>
      </c>
      <c r="I1149" s="6" t="s">
        <v>864</v>
      </c>
      <c r="J1149" s="5">
        <v>100</v>
      </c>
      <c r="K1149" s="5">
        <v>130.43</v>
      </c>
      <c r="L1149" s="15">
        <v>1.3</v>
      </c>
      <c r="M1149" s="15">
        <v>1.3043</v>
      </c>
      <c r="N1149" s="5" t="s">
        <v>347</v>
      </c>
      <c r="O1149" s="5" t="s">
        <v>347</v>
      </c>
      <c r="P1149" s="5">
        <v>0</v>
      </c>
      <c r="Q1149" s="5">
        <v>0</v>
      </c>
      <c r="R1149" s="5" t="str">
        <f>A1149&amp;"-"&amp;YEAR(F1149)&amp;"-"&amp;IF(LEN(MONTH(F1149))=1,"0"&amp;MONTH(F1149),MONTH(F1149))&amp;"-"&amp;IF(LEN(DAY(F1149))=1,"0"&amp;DAY(F1149),DAY(F1149))</f>
        <v>459-2024-06-30</v>
      </c>
    </row>
    <row r="1150" spans="1:18" x14ac:dyDescent="0.3">
      <c r="A1150" s="5">
        <v>462</v>
      </c>
      <c r="B1150" s="5" t="s">
        <v>489</v>
      </c>
      <c r="C1150" s="5" t="s">
        <v>67</v>
      </c>
      <c r="D1150" s="5" t="s">
        <v>8</v>
      </c>
      <c r="E1150" s="5" t="s">
        <v>9</v>
      </c>
      <c r="F1150" s="6">
        <v>45473</v>
      </c>
      <c r="G1150" s="5">
        <v>2024</v>
      </c>
      <c r="H1150" s="5" t="s">
        <v>763</v>
      </c>
      <c r="I1150" s="6" t="s">
        <v>864</v>
      </c>
      <c r="J1150" s="5">
        <v>85</v>
      </c>
      <c r="K1150" s="5">
        <v>100</v>
      </c>
      <c r="L1150" s="15">
        <v>1.1764705882352942</v>
      </c>
      <c r="M1150" s="15">
        <v>1.1764705882352942</v>
      </c>
      <c r="N1150" s="5" t="s">
        <v>347</v>
      </c>
      <c r="O1150" s="5" t="s">
        <v>347</v>
      </c>
      <c r="P1150" s="5">
        <v>0</v>
      </c>
      <c r="Q1150" s="5">
        <v>0</v>
      </c>
      <c r="R1150" s="5" t="str">
        <f>A1150&amp;"-"&amp;YEAR(F1150)&amp;"-"&amp;IF(LEN(MONTH(F1150))=1,"0"&amp;MONTH(F1150),MONTH(F1150))&amp;"-"&amp;IF(LEN(DAY(F1150))=1,"0"&amp;DAY(F1150),DAY(F1150))</f>
        <v>462-2024-06-30</v>
      </c>
    </row>
    <row r="1151" spans="1:18" x14ac:dyDescent="0.3">
      <c r="A1151" s="5">
        <v>468</v>
      </c>
      <c r="B1151" s="5" t="s">
        <v>527</v>
      </c>
      <c r="C1151" s="5" t="s">
        <v>160</v>
      </c>
      <c r="D1151" s="5" t="s">
        <v>8</v>
      </c>
      <c r="E1151" s="5" t="s">
        <v>14</v>
      </c>
      <c r="F1151" s="6">
        <v>45473</v>
      </c>
      <c r="G1151" s="5">
        <v>2024</v>
      </c>
      <c r="H1151" s="5" t="s">
        <v>763</v>
      </c>
      <c r="I1151" s="6" t="s">
        <v>864</v>
      </c>
      <c r="J1151" s="5">
        <v>3</v>
      </c>
      <c r="K1151" s="5">
        <v>2.85</v>
      </c>
      <c r="L1151" s="15">
        <v>1.0526315789473684</v>
      </c>
      <c r="M1151" s="15">
        <v>1.0526315789473684</v>
      </c>
      <c r="N1151" s="5" t="s">
        <v>490</v>
      </c>
      <c r="O1151" s="5" t="s">
        <v>478</v>
      </c>
      <c r="P1151" s="5">
        <v>0</v>
      </c>
      <c r="Q1151" s="5">
        <v>1</v>
      </c>
      <c r="R1151" s="5" t="str">
        <f>A1151&amp;"-"&amp;YEAR(F1151)&amp;"-"&amp;IF(LEN(MONTH(F1151))=1,"0"&amp;MONTH(F1151),MONTH(F1151))&amp;"-"&amp;IF(LEN(DAY(F1151))=1,"0"&amp;DAY(F1151),DAY(F1151))</f>
        <v>468-2024-06-30</v>
      </c>
    </row>
    <row r="1152" spans="1:18" x14ac:dyDescent="0.3">
      <c r="A1152" s="26">
        <v>474</v>
      </c>
      <c r="B1152" s="23" t="s">
        <v>503</v>
      </c>
      <c r="C1152" s="5" t="s">
        <v>504</v>
      </c>
      <c r="D1152" s="5" t="s">
        <v>8</v>
      </c>
      <c r="E1152" s="5" t="s">
        <v>9</v>
      </c>
      <c r="F1152" s="6">
        <v>45473</v>
      </c>
      <c r="G1152" s="5">
        <v>2024</v>
      </c>
      <c r="H1152" s="5" t="s">
        <v>763</v>
      </c>
      <c r="I1152" s="6" t="s">
        <v>864</v>
      </c>
      <c r="J1152" s="5">
        <v>100</v>
      </c>
      <c r="K1152" s="5">
        <v>100</v>
      </c>
      <c r="L1152" s="15">
        <v>1</v>
      </c>
      <c r="M1152" s="15">
        <v>1</v>
      </c>
      <c r="N1152" s="5" t="s">
        <v>490</v>
      </c>
      <c r="O1152" s="5" t="s">
        <v>490</v>
      </c>
      <c r="P1152" s="5">
        <v>0</v>
      </c>
      <c r="Q1152" s="5">
        <v>0</v>
      </c>
      <c r="R1152" s="5" t="str">
        <f>A1152&amp;"-"&amp;YEAR(F1152)&amp;"-"&amp;IF(LEN(MONTH(F1152))=1,"0"&amp;MONTH(F1152),MONTH(F1152))&amp;"-"&amp;IF(LEN(DAY(F1152))=1,"0"&amp;DAY(F1152),DAY(F1152))</f>
        <v>474-2024-06-30</v>
      </c>
    </row>
    <row r="1153" spans="1:18" x14ac:dyDescent="0.3">
      <c r="A1153" s="5" t="s">
        <v>427</v>
      </c>
      <c r="B1153" s="5" t="s">
        <v>428</v>
      </c>
      <c r="C1153" s="5" t="s">
        <v>117</v>
      </c>
      <c r="D1153" s="5" t="s">
        <v>18</v>
      </c>
      <c r="E1153" s="5" t="s">
        <v>9</v>
      </c>
      <c r="F1153" s="6">
        <v>45107</v>
      </c>
      <c r="G1153" s="16">
        <v>2023</v>
      </c>
      <c r="H1153" s="6" t="s">
        <v>763</v>
      </c>
      <c r="I1153" s="6" t="s">
        <v>422</v>
      </c>
      <c r="J1153" s="5">
        <v>100</v>
      </c>
      <c r="K1153" s="5">
        <v>100</v>
      </c>
      <c r="L1153" s="15">
        <v>1</v>
      </c>
      <c r="M1153" s="15">
        <v>1</v>
      </c>
      <c r="N1153" s="5" t="s">
        <v>347</v>
      </c>
      <c r="O1153" s="5" t="s">
        <v>347</v>
      </c>
      <c r="P1153" s="5">
        <v>0</v>
      </c>
      <c r="Q1153" s="5">
        <v>0</v>
      </c>
      <c r="R1153" s="5" t="str">
        <f>A1153&amp;"-"&amp;YEAR(F1153)&amp;"-"&amp;IF(LEN(MONTH(F1153))=1,"0"&amp;MONTH(F1153),MONTH(F1153))&amp;"-"&amp;IF(LEN(DAY(F1153))=1,"0"&amp;DAY(F1153),DAY(F1153))</f>
        <v>13.1-2023-06-30</v>
      </c>
    </row>
    <row r="1154" spans="1:18" x14ac:dyDescent="0.3">
      <c r="A1154" s="26" t="s">
        <v>411</v>
      </c>
      <c r="B1154" s="5" t="s">
        <v>363</v>
      </c>
      <c r="C1154" s="5" t="s">
        <v>410</v>
      </c>
      <c r="D1154" s="5" t="s">
        <v>8</v>
      </c>
      <c r="E1154" s="5" t="s">
        <v>9</v>
      </c>
      <c r="F1154" s="6">
        <v>45838</v>
      </c>
      <c r="G1154" s="16">
        <v>2025</v>
      </c>
      <c r="H1154" s="6" t="s">
        <v>763</v>
      </c>
      <c r="I1154" s="6" t="s">
        <v>865</v>
      </c>
      <c r="J1154" s="5">
        <v>2677</v>
      </c>
      <c r="K1154" s="5">
        <v>2764</v>
      </c>
      <c r="L1154" s="15">
        <v>1.0324990661187896</v>
      </c>
      <c r="M1154" s="15">
        <v>1.0324990661187896</v>
      </c>
      <c r="N1154" s="5" t="s">
        <v>490</v>
      </c>
      <c r="O1154" s="5" t="s">
        <v>490</v>
      </c>
      <c r="P1154" s="5">
        <v>0</v>
      </c>
      <c r="Q1154" s="5">
        <v>0</v>
      </c>
      <c r="R1154" s="5" t="str">
        <f>A1154&amp;"-"&amp;YEAR(F1154)&amp;"-"&amp;IF(LEN(MONTH(F1154))=1,"0"&amp;MONTH(F1154),MONTH(F1154))&amp;"-"&amp;IF(LEN(DAY(F1154))=1,"0"&amp;DAY(F1154),DAY(F1154))</f>
        <v>Med 1-2025-06-30</v>
      </c>
    </row>
    <row r="1155" spans="1:18" x14ac:dyDescent="0.3">
      <c r="A1155" s="26" t="s">
        <v>368</v>
      </c>
      <c r="B1155" s="5" t="s">
        <v>364</v>
      </c>
      <c r="C1155" s="5" t="s">
        <v>410</v>
      </c>
      <c r="D1155" s="5" t="s">
        <v>8</v>
      </c>
      <c r="E1155" s="5" t="s">
        <v>9</v>
      </c>
      <c r="F1155" s="6">
        <v>45473</v>
      </c>
      <c r="G1155" s="16">
        <v>2024</v>
      </c>
      <c r="H1155" s="6" t="s">
        <v>763</v>
      </c>
      <c r="I1155" s="6" t="s">
        <v>864</v>
      </c>
      <c r="J1155" s="5">
        <v>570</v>
      </c>
      <c r="K1155" s="5">
        <v>545</v>
      </c>
      <c r="L1155" s="15">
        <v>0.95614035087719296</v>
      </c>
      <c r="M1155" s="15">
        <v>0.95614035087719296</v>
      </c>
      <c r="N1155" s="5" t="s">
        <v>490</v>
      </c>
      <c r="O1155" s="5" t="s">
        <v>490</v>
      </c>
      <c r="P1155" s="5">
        <v>0</v>
      </c>
      <c r="Q1155" s="5">
        <v>0</v>
      </c>
      <c r="R1155" s="5" t="str">
        <f>A1155&amp;"-"&amp;YEAR(F1155)&amp;"-"&amp;IF(LEN(MONTH(F1155))=1,"0"&amp;MONTH(F1155),MONTH(F1155))&amp;"-"&amp;IF(LEN(DAY(F1155))=1,"0"&amp;DAY(F1155),DAY(F1155))</f>
        <v>Med 1.1-2024-06-30</v>
      </c>
    </row>
    <row r="1156" spans="1:18" x14ac:dyDescent="0.3">
      <c r="A1156" s="26" t="s">
        <v>370</v>
      </c>
      <c r="B1156" s="5" t="s">
        <v>366</v>
      </c>
      <c r="C1156" s="5" t="s">
        <v>410</v>
      </c>
      <c r="D1156" s="5" t="s">
        <v>8</v>
      </c>
      <c r="E1156" s="5" t="s">
        <v>9</v>
      </c>
      <c r="F1156" s="6">
        <v>45838</v>
      </c>
      <c r="G1156" s="16">
        <v>2025</v>
      </c>
      <c r="H1156" s="6" t="s">
        <v>763</v>
      </c>
      <c r="I1156" s="6" t="s">
        <v>865</v>
      </c>
      <c r="J1156" s="5">
        <v>582</v>
      </c>
      <c r="K1156" s="5">
        <v>562</v>
      </c>
      <c r="L1156" s="15">
        <v>0.96563573883161513</v>
      </c>
      <c r="M1156" s="15">
        <v>0.96563573883161513</v>
      </c>
      <c r="N1156" s="5" t="s">
        <v>490</v>
      </c>
      <c r="O1156" s="5" t="s">
        <v>490</v>
      </c>
      <c r="P1156" s="5">
        <v>0</v>
      </c>
      <c r="Q1156" s="5">
        <v>0</v>
      </c>
      <c r="R1156" s="5" t="str">
        <f>A1156&amp;"-"&amp;YEAR(F1156)&amp;"-"&amp;IF(LEN(MONTH(F1156))=1,"0"&amp;MONTH(F1156),MONTH(F1156))&amp;"-"&amp;IF(LEN(DAY(F1156))=1,"0"&amp;DAY(F1156),DAY(F1156))</f>
        <v>Med 1.3-2025-06-30</v>
      </c>
    </row>
    <row r="1157" spans="1:18" x14ac:dyDescent="0.3">
      <c r="A1157" s="26" t="s">
        <v>371</v>
      </c>
      <c r="B1157" s="5" t="s">
        <v>817</v>
      </c>
      <c r="C1157" s="5" t="s">
        <v>410</v>
      </c>
      <c r="D1157" s="5" t="s">
        <v>8</v>
      </c>
      <c r="E1157" s="5" t="s">
        <v>9</v>
      </c>
      <c r="F1157" s="6">
        <v>45838</v>
      </c>
      <c r="G1157" s="16">
        <v>2025</v>
      </c>
      <c r="H1157" s="6" t="s">
        <v>763</v>
      </c>
      <c r="I1157" s="6" t="s">
        <v>865</v>
      </c>
      <c r="J1157" s="9">
        <v>2107</v>
      </c>
      <c r="K1157" s="9">
        <v>2219</v>
      </c>
      <c r="L1157" s="15">
        <v>1.0531561461794019</v>
      </c>
      <c r="M1157" s="15">
        <v>1.0531561461794019</v>
      </c>
      <c r="N1157" s="5" t="s">
        <v>490</v>
      </c>
      <c r="O1157" s="5" t="s">
        <v>490</v>
      </c>
      <c r="P1157" s="5">
        <v>0</v>
      </c>
      <c r="Q1157" s="5">
        <v>0</v>
      </c>
      <c r="R1157" s="5" t="str">
        <f>A1157&amp;"-"&amp;YEAR(F1157)&amp;"-"&amp;IF(LEN(MONTH(F1157))=1,"0"&amp;MONTH(F1157),MONTH(F1157))&amp;"-"&amp;IF(LEN(DAY(F1157))=1,"0"&amp;DAY(F1157),DAY(F1157))</f>
        <v>Med 1.4-2025-06-30</v>
      </c>
    </row>
    <row r="1158" spans="1:18" x14ac:dyDescent="0.3">
      <c r="A1158" s="26" t="s">
        <v>403</v>
      </c>
      <c r="B1158" s="5" t="s">
        <v>384</v>
      </c>
      <c r="C1158" s="5" t="s">
        <v>410</v>
      </c>
      <c r="D1158" s="5" t="s">
        <v>8</v>
      </c>
      <c r="E1158" s="5" t="s">
        <v>9</v>
      </c>
      <c r="F1158" s="6">
        <v>45838</v>
      </c>
      <c r="G1158" s="16">
        <v>2025</v>
      </c>
      <c r="H1158" s="6" t="s">
        <v>763</v>
      </c>
      <c r="I1158" s="6" t="s">
        <v>865</v>
      </c>
      <c r="J1158" s="9">
        <v>100</v>
      </c>
      <c r="K1158" s="12">
        <v>107.61</v>
      </c>
      <c r="L1158" s="15">
        <v>1.0761000000000001</v>
      </c>
      <c r="M1158" s="15">
        <v>1.0761000000000001</v>
      </c>
      <c r="N1158" s="5" t="s">
        <v>347</v>
      </c>
      <c r="O1158" s="5" t="s">
        <v>347</v>
      </c>
      <c r="P1158" s="5">
        <v>0</v>
      </c>
      <c r="Q1158" s="5">
        <v>0</v>
      </c>
      <c r="R1158" s="5" t="str">
        <f>A1158&amp;"-"&amp;YEAR(F1158)&amp;"-"&amp;IF(LEN(MONTH(F1158))=1,"0"&amp;MONTH(F1158),MONTH(F1158))&amp;"-"&amp;IF(LEN(DAY(F1158))=1,"0"&amp;DAY(F1158),DAY(F1158))</f>
        <v>Med 10-2025-06-30</v>
      </c>
    </row>
    <row r="1159" spans="1:18" x14ac:dyDescent="0.3">
      <c r="A1159" s="26" t="s">
        <v>404</v>
      </c>
      <c r="B1159" s="5" t="s">
        <v>385</v>
      </c>
      <c r="C1159" s="5" t="s">
        <v>410</v>
      </c>
      <c r="D1159" s="5" t="s">
        <v>8</v>
      </c>
      <c r="E1159" s="5" t="s">
        <v>9</v>
      </c>
      <c r="F1159" s="6">
        <v>45838</v>
      </c>
      <c r="G1159" s="16">
        <v>2025</v>
      </c>
      <c r="H1159" s="6" t="s">
        <v>763</v>
      </c>
      <c r="I1159" s="6" t="s">
        <v>865</v>
      </c>
      <c r="J1159" s="9">
        <v>100</v>
      </c>
      <c r="K1159" s="12">
        <v>143.04</v>
      </c>
      <c r="L1159" s="15">
        <v>1.3</v>
      </c>
      <c r="M1159" s="15">
        <v>1.4303999999999999</v>
      </c>
      <c r="N1159" s="5" t="s">
        <v>347</v>
      </c>
      <c r="O1159" s="5" t="s">
        <v>347</v>
      </c>
      <c r="P1159" s="5">
        <v>0</v>
      </c>
      <c r="Q1159" s="5">
        <v>0</v>
      </c>
      <c r="R1159" s="5" t="str">
        <f>A1159&amp;"-"&amp;YEAR(F1159)&amp;"-"&amp;IF(LEN(MONTH(F1159))=1,"0"&amp;MONTH(F1159),MONTH(F1159))&amp;"-"&amp;IF(LEN(DAY(F1159))=1,"0"&amp;DAY(F1159),DAY(F1159))</f>
        <v>Med 11-2025-06-30</v>
      </c>
    </row>
    <row r="1160" spans="1:18" x14ac:dyDescent="0.3">
      <c r="A1160" s="26" t="s">
        <v>399</v>
      </c>
      <c r="B1160" s="5" t="s">
        <v>380</v>
      </c>
      <c r="C1160" s="5" t="s">
        <v>410</v>
      </c>
      <c r="D1160" s="5" t="s">
        <v>8</v>
      </c>
      <c r="E1160" s="5" t="s">
        <v>9</v>
      </c>
      <c r="F1160" s="6">
        <v>45473</v>
      </c>
      <c r="G1160" s="16">
        <v>2024</v>
      </c>
      <c r="H1160" s="6" t="s">
        <v>763</v>
      </c>
      <c r="I1160" s="6" t="s">
        <v>864</v>
      </c>
      <c r="J1160" s="9">
        <v>100</v>
      </c>
      <c r="K1160" s="12">
        <v>171.83</v>
      </c>
      <c r="L1160" s="15">
        <v>1.3</v>
      </c>
      <c r="M1160" s="15">
        <v>1.7183000000000002</v>
      </c>
      <c r="N1160" s="5" t="s">
        <v>347</v>
      </c>
      <c r="O1160" s="5" t="s">
        <v>347</v>
      </c>
      <c r="P1160" s="5">
        <v>0</v>
      </c>
      <c r="Q1160" s="5">
        <v>0</v>
      </c>
      <c r="R1160" s="5" t="str">
        <f>A1160&amp;"-"&amp;YEAR(F1160)&amp;"-"&amp;IF(LEN(MONTH(F1160))=1,"0"&amp;MONTH(F1160),MONTH(F1160))&amp;"-"&amp;IF(LEN(DAY(F1160))=1,"0"&amp;DAY(F1160),DAY(F1160))</f>
        <v>Med 6-2024-06-30</v>
      </c>
    </row>
    <row r="1161" spans="1:18" x14ac:dyDescent="0.3">
      <c r="A1161" s="26" t="s">
        <v>400</v>
      </c>
      <c r="B1161" s="5" t="s">
        <v>381</v>
      </c>
      <c r="C1161" s="5" t="s">
        <v>410</v>
      </c>
      <c r="D1161" s="5" t="s">
        <v>8</v>
      </c>
      <c r="E1161" s="5" t="s">
        <v>9</v>
      </c>
      <c r="F1161" s="6">
        <v>45473</v>
      </c>
      <c r="G1161" s="16">
        <v>2024</v>
      </c>
      <c r="H1161" s="6" t="s">
        <v>763</v>
      </c>
      <c r="I1161" s="6" t="s">
        <v>864</v>
      </c>
      <c r="J1161" s="5">
        <v>50</v>
      </c>
      <c r="K1161" s="5">
        <v>59.59</v>
      </c>
      <c r="L1161" s="15">
        <v>1.1918</v>
      </c>
      <c r="M1161" s="15">
        <v>1.1918</v>
      </c>
      <c r="N1161" s="5" t="s">
        <v>347</v>
      </c>
      <c r="O1161" s="5" t="s">
        <v>347</v>
      </c>
      <c r="P1161" s="5">
        <v>0</v>
      </c>
      <c r="Q1161" s="5">
        <v>0</v>
      </c>
      <c r="R1161" s="5" t="str">
        <f>A1161&amp;"-"&amp;YEAR(F1161)&amp;"-"&amp;IF(LEN(MONTH(F1161))=1,"0"&amp;MONTH(F1161),MONTH(F1161))&amp;"-"&amp;IF(LEN(DAY(F1161))=1,"0"&amp;DAY(F1161),DAY(F1161))</f>
        <v>Med 7-2024-06-30</v>
      </c>
    </row>
    <row r="1162" spans="1:18" x14ac:dyDescent="0.3">
      <c r="A1162" s="26" t="s">
        <v>401</v>
      </c>
      <c r="B1162" s="5" t="s">
        <v>382</v>
      </c>
      <c r="C1162" s="5" t="s">
        <v>410</v>
      </c>
      <c r="D1162" s="5" t="s">
        <v>8</v>
      </c>
      <c r="E1162" s="5" t="s">
        <v>9</v>
      </c>
      <c r="F1162" s="6">
        <v>45473</v>
      </c>
      <c r="G1162" s="16">
        <v>2024</v>
      </c>
      <c r="H1162" s="6" t="s">
        <v>763</v>
      </c>
      <c r="I1162" s="6" t="s">
        <v>864</v>
      </c>
      <c r="J1162" s="5">
        <v>85</v>
      </c>
      <c r="K1162" s="5">
        <v>90.1</v>
      </c>
      <c r="L1162" s="15">
        <v>1.0599999999999998</v>
      </c>
      <c r="M1162" s="15">
        <v>1.0599999999999998</v>
      </c>
      <c r="N1162" s="5" t="s">
        <v>347</v>
      </c>
      <c r="O1162" s="5" t="s">
        <v>347</v>
      </c>
      <c r="P1162" s="5">
        <v>1</v>
      </c>
      <c r="Q1162" s="5">
        <v>1</v>
      </c>
      <c r="R1162" s="5" t="str">
        <f>A1162&amp;"-"&amp;YEAR(F1162)&amp;"-"&amp;IF(LEN(MONTH(F1162))=1,"0"&amp;MONTH(F1162),MONTH(F1162))&amp;"-"&amp;IF(LEN(DAY(F1162))=1,"0"&amp;DAY(F1162),DAY(F1162))</f>
        <v>Med 8-2024-06-30</v>
      </c>
    </row>
    <row r="1163" spans="1:18" x14ac:dyDescent="0.3">
      <c r="A1163" s="26" t="s">
        <v>402</v>
      </c>
      <c r="B1163" s="5" t="s">
        <v>383</v>
      </c>
      <c r="C1163" s="5" t="s">
        <v>410</v>
      </c>
      <c r="D1163" s="5" t="s">
        <v>8</v>
      </c>
      <c r="E1163" s="5" t="s">
        <v>9</v>
      </c>
      <c r="F1163" s="6">
        <v>45473</v>
      </c>
      <c r="G1163" s="16">
        <v>2024</v>
      </c>
      <c r="H1163" s="6" t="s">
        <v>763</v>
      </c>
      <c r="I1163" s="6" t="s">
        <v>864</v>
      </c>
      <c r="J1163" s="5">
        <v>81</v>
      </c>
      <c r="K1163" s="5">
        <v>83.01</v>
      </c>
      <c r="L1163" s="15">
        <v>1.0248148148148148</v>
      </c>
      <c r="M1163" s="15">
        <v>1.0248148148148148</v>
      </c>
      <c r="N1163" s="5" t="s">
        <v>347</v>
      </c>
      <c r="O1163" s="5" t="s">
        <v>347</v>
      </c>
      <c r="P1163" s="5">
        <v>0</v>
      </c>
      <c r="Q1163" s="5">
        <v>0</v>
      </c>
      <c r="R1163" s="5" t="str">
        <f>A1163&amp;"-"&amp;YEAR(F1163)&amp;"-"&amp;IF(LEN(MONTH(F1163))=1,"0"&amp;MONTH(F1163),MONTH(F1163))&amp;"-"&amp;IF(LEN(DAY(F1163))=1,"0"&amp;DAY(F1163),DAY(F1163))</f>
        <v>Med 9-2024-06-30</v>
      </c>
    </row>
    <row r="1164" spans="1:18" x14ac:dyDescent="0.3">
      <c r="A1164" s="5">
        <v>476</v>
      </c>
      <c r="B1164" s="5" t="s">
        <v>725</v>
      </c>
      <c r="C1164" s="5" t="s">
        <v>129</v>
      </c>
      <c r="D1164" s="5" t="s">
        <v>8</v>
      </c>
      <c r="E1164" s="5" t="s">
        <v>9</v>
      </c>
      <c r="F1164" s="6">
        <v>46022</v>
      </c>
      <c r="G1164" s="5">
        <f t="shared" ref="G1164" si="157">YEAR(F1164)</f>
        <v>2025</v>
      </c>
      <c r="H1164" s="5" t="str">
        <f t="shared" ref="H1164" si="158">PROPER(TEXT(F1164,"mmmm"))</f>
        <v>Diciembre</v>
      </c>
      <c r="I1164" s="6" t="str">
        <f t="shared" ref="I1164" si="159">IF(OR(H1164="Enero",H1164="Febrero",H1164="Marzo",H1164="Abril",H1164="Mayo",H1164="Junio"),G1164&amp;"-1",IF(OR(H1164="Julio",H1164="Agosto",H1164="Septiembre",H1164="Octubre",H1164="Noviembre",H1164="Diciembre"),G1164&amp;"-2"))</f>
        <v>2025-2</v>
      </c>
      <c r="J1164" s="5">
        <v>42</v>
      </c>
      <c r="K1164" s="5">
        <v>42</v>
      </c>
      <c r="L1164" s="15">
        <v>1</v>
      </c>
      <c r="M1164" s="15">
        <v>1</v>
      </c>
      <c r="N1164" s="5" t="s">
        <v>490</v>
      </c>
      <c r="O1164" s="5" t="s">
        <v>490</v>
      </c>
      <c r="P1164" s="5">
        <v>0</v>
      </c>
      <c r="Q1164" s="5">
        <v>0</v>
      </c>
      <c r="R1164" s="5" t="str">
        <f>A1164&amp;"-"&amp;YEAR(F1164)&amp;"-"&amp;IF(LEN(MONTH(F1164))=1,"0"&amp;MONTH(F1164),MONTH(F1164))&amp;"-"&amp;IF(LEN(DAY(F1164))=1,"0"&amp;DAY(F1164),DAY(F1164))</f>
        <v>476-2025-12-31</v>
      </c>
    </row>
    <row r="1165" spans="1:18" x14ac:dyDescent="0.3">
      <c r="A1165" s="5">
        <v>460</v>
      </c>
      <c r="B1165" s="5" t="s">
        <v>866</v>
      </c>
      <c r="C1165" s="5" t="s">
        <v>13</v>
      </c>
      <c r="D1165" s="5" t="s">
        <v>25</v>
      </c>
      <c r="E1165" s="5" t="s">
        <v>9</v>
      </c>
      <c r="F1165" s="6">
        <v>46022</v>
      </c>
      <c r="G1165" s="5">
        <f t="shared" ref="G1165" si="160">YEAR(F1165)</f>
        <v>2025</v>
      </c>
      <c r="H1165" s="5" t="str">
        <f t="shared" ref="H1165" si="161">PROPER(TEXT(F1165,"mmmm"))</f>
        <v>Diciembre</v>
      </c>
      <c r="I1165" s="6" t="str">
        <f t="shared" ref="I1165" si="162">IF(OR(H1165="Enero",H1165="Febrero",H1165="Marzo",H1165="Abril",H1165="Mayo",H1165="Junio"),G1165&amp;"-1",IF(OR(H1165="Julio",H1165="Agosto",H1165="Septiembre",H1165="Octubre",H1165="Noviembre",H1165="Diciembre"),G1165&amp;"-2"))</f>
        <v>2025-2</v>
      </c>
      <c r="J1165" s="5">
        <v>80</v>
      </c>
      <c r="K1165" s="5">
        <v>84.18</v>
      </c>
      <c r="L1165" s="15">
        <f t="shared" ref="L1165" si="163">IFERROR(IF((K1165/J1165)&gt;1.3,1.3,K1165/J1165),"")</f>
        <v>1.0522500000000001</v>
      </c>
      <c r="M1165" s="15">
        <f t="shared" ref="M1165" si="164">IFERROR(K1165/J1165,"")</f>
        <v>1.0522500000000001</v>
      </c>
      <c r="N1165" s="58" t="s">
        <v>347</v>
      </c>
      <c r="O1165" s="58" t="s">
        <v>347</v>
      </c>
      <c r="P1165" s="5">
        <v>0</v>
      </c>
      <c r="Q1165" s="5">
        <v>1</v>
      </c>
      <c r="R1165" s="5" t="str">
        <f>A1165&amp;"-"&amp;YEAR(F1165)&amp;"-"&amp;IF(LEN(MONTH(F1165))=1,"0"&amp;MONTH(F1165),MONTH(F1165))&amp;"-"&amp;IF(LEN(DAY(F1165))=1,"0"&amp;DAY(F1165),DAY(F1165))</f>
        <v>460-2025-12-31</v>
      </c>
    </row>
    <row r="1166" spans="1:18" x14ac:dyDescent="0.3">
      <c r="A1166" s="5">
        <v>339</v>
      </c>
      <c r="B1166" s="5" t="s">
        <v>843</v>
      </c>
      <c r="C1166" s="5" t="s">
        <v>224</v>
      </c>
      <c r="D1166" s="5" t="s">
        <v>25</v>
      </c>
      <c r="E1166" s="5" t="s">
        <v>9</v>
      </c>
      <c r="F1166" s="6">
        <v>46022</v>
      </c>
      <c r="G1166" s="5">
        <f t="shared" ref="G1166:G1168" si="165">YEAR(F1166)</f>
        <v>2025</v>
      </c>
      <c r="H1166" s="5" t="str">
        <f t="shared" ref="H1166:H1168" si="166">PROPER(TEXT(F1166,"mmmm"))</f>
        <v>Diciembre</v>
      </c>
      <c r="I1166" s="6" t="str">
        <f t="shared" ref="I1166:I1168" si="167">IF(OR(H1166="Enero",H1166="Febrero",H1166="Marzo",H1166="Abril",H1166="Mayo",H1166="Junio"),G1166&amp;"-1",IF(OR(H1166="Julio",H1166="Agosto",H1166="Septiembre",H1166="Octubre",H1166="Noviembre",H1166="Diciembre"),G1166&amp;"-2"))</f>
        <v>2025-2</v>
      </c>
      <c r="J1166" s="5">
        <v>30</v>
      </c>
      <c r="K1166" s="5">
        <v>35.294117647058826</v>
      </c>
      <c r="L1166" s="15">
        <f>IFERROR(IF((K1166/J1166)&gt;1.3,1.3,K1166/J1166),"")</f>
        <v>1.1764705882352942</v>
      </c>
      <c r="M1166" s="15">
        <f t="shared" ref="M1166" si="168">IFERROR(K1166/J1166,"")</f>
        <v>1.1764705882352942</v>
      </c>
      <c r="N1166" s="5" t="s">
        <v>347</v>
      </c>
      <c r="O1166" s="5" t="s">
        <v>347</v>
      </c>
      <c r="P1166" s="5">
        <v>0</v>
      </c>
      <c r="Q1166" s="5">
        <v>1</v>
      </c>
      <c r="R1166" s="5" t="str">
        <f>A1166&amp;"-"&amp;YEAR(F1166)&amp;"-"&amp;IF(LEN(MONTH(F1166))=1,"0"&amp;MONTH(F1166),MONTH(F1166))&amp;"-"&amp;IF(LEN(DAY(F1166))=1,"0"&amp;DAY(F1166),DAY(F1166))</f>
        <v>339-2025-12-31</v>
      </c>
    </row>
    <row r="1167" spans="1:18" x14ac:dyDescent="0.3">
      <c r="A1167" s="5">
        <v>325</v>
      </c>
      <c r="B1167" s="5" t="s">
        <v>211</v>
      </c>
      <c r="C1167" s="5" t="s">
        <v>209</v>
      </c>
      <c r="D1167" s="5" t="s">
        <v>8</v>
      </c>
      <c r="E1167" s="5" t="s">
        <v>9</v>
      </c>
      <c r="F1167" s="6">
        <v>46022</v>
      </c>
      <c r="G1167" s="5">
        <f t="shared" si="165"/>
        <v>2025</v>
      </c>
      <c r="H1167" s="5" t="str">
        <f t="shared" si="166"/>
        <v>Diciembre</v>
      </c>
      <c r="I1167" s="6" t="str">
        <f t="shared" si="167"/>
        <v>2025-2</v>
      </c>
      <c r="J1167" s="5">
        <v>12</v>
      </c>
      <c r="K1167" s="16">
        <v>12</v>
      </c>
      <c r="L1167" s="15">
        <v>1</v>
      </c>
      <c r="M1167" s="15">
        <v>1</v>
      </c>
      <c r="N1167" s="5" t="s">
        <v>490</v>
      </c>
      <c r="O1167" s="5" t="s">
        <v>490</v>
      </c>
      <c r="P1167" s="5">
        <v>0</v>
      </c>
      <c r="Q1167" s="5">
        <v>0</v>
      </c>
      <c r="R1167" s="5" t="str">
        <f>A1167&amp;"-"&amp;YEAR(F1167)&amp;"-"&amp;IF(LEN(MONTH(F1167))=1,"0"&amp;MONTH(F1167),MONTH(F1167))&amp;"-"&amp;IF(LEN(DAY(F1167))=1,"0"&amp;DAY(F1167),DAY(F1167))</f>
        <v>325-2025-12-31</v>
      </c>
    </row>
    <row r="1168" spans="1:18" x14ac:dyDescent="0.3">
      <c r="A1168" s="5">
        <v>323</v>
      </c>
      <c r="B1168" s="5" t="s">
        <v>208</v>
      </c>
      <c r="C1168" s="5" t="s">
        <v>209</v>
      </c>
      <c r="D1168" s="5" t="s">
        <v>8</v>
      </c>
      <c r="E1168" s="5" t="s">
        <v>9</v>
      </c>
      <c r="F1168" s="6">
        <v>46022</v>
      </c>
      <c r="G1168" s="5">
        <f t="shared" si="165"/>
        <v>2025</v>
      </c>
      <c r="H1168" s="5" t="str">
        <f t="shared" si="166"/>
        <v>Diciembre</v>
      </c>
      <c r="I1168" s="6" t="str">
        <f t="shared" si="167"/>
        <v>2025-2</v>
      </c>
      <c r="J1168" s="5">
        <v>7</v>
      </c>
      <c r="K1168" s="5">
        <v>7</v>
      </c>
      <c r="L1168" s="15">
        <v>1</v>
      </c>
      <c r="M1168" s="15">
        <v>1</v>
      </c>
      <c r="N1168" s="5" t="s">
        <v>490</v>
      </c>
      <c r="O1168" s="5" t="s">
        <v>490</v>
      </c>
      <c r="P1168" s="5">
        <v>0</v>
      </c>
      <c r="Q1168" s="5">
        <v>0</v>
      </c>
      <c r="R1168" s="5" t="str">
        <f>A1168&amp;"-"&amp;YEAR(F1168)&amp;"-"&amp;IF(LEN(MONTH(F1168))=1,"0"&amp;MONTH(F1168),MONTH(F1168))&amp;"-"&amp;IF(LEN(DAY(F1168))=1,"0"&amp;DAY(F1168),DAY(F1168))</f>
        <v>323-2025-12-31</v>
      </c>
    </row>
    <row r="1169" spans="1:18" x14ac:dyDescent="0.3">
      <c r="A1169" s="5">
        <v>96</v>
      </c>
      <c r="B1169" s="23" t="s">
        <v>346</v>
      </c>
      <c r="C1169" s="5" t="s">
        <v>59</v>
      </c>
      <c r="D1169" s="5" t="s">
        <v>8</v>
      </c>
      <c r="E1169" s="5" t="s">
        <v>9</v>
      </c>
      <c r="F1169" s="6">
        <v>45657</v>
      </c>
      <c r="G1169" s="16">
        <f t="shared" ref="G1169" si="169">YEAR(F1169)</f>
        <v>2024</v>
      </c>
      <c r="H1169" s="6" t="str">
        <f t="shared" ref="H1169" si="170">PROPER(TEXT(F1169,"mmmm"))</f>
        <v>Diciembre</v>
      </c>
      <c r="I1169" s="6" t="str">
        <f t="shared" ref="I1169" si="171">IF(OR(H1169="Enero",H1169="Febrero",H1169="Marzo",H1169="Abril",H1169="Mayo",H1169="Junio"),G1169&amp;"-1",IF(OR(H1169="Julio",H1169="Agosto",H1169="Septiembre",H1169="Octubre",H1169="Noviembre",H1169="Diciembre"),G1169&amp;"-2"))</f>
        <v>2024-2</v>
      </c>
      <c r="J1169" s="5">
        <v>672</v>
      </c>
      <c r="K1169" s="5">
        <v>740</v>
      </c>
      <c r="L1169" s="15">
        <v>1.1011904761904763</v>
      </c>
      <c r="M1169" s="15">
        <v>1.1011904761904763</v>
      </c>
      <c r="N1169" s="5" t="s">
        <v>490</v>
      </c>
      <c r="O1169" s="5" t="s">
        <v>490</v>
      </c>
      <c r="P1169" s="5">
        <v>0</v>
      </c>
      <c r="Q1169" s="5">
        <v>0</v>
      </c>
      <c r="R1169" s="5" t="str">
        <f>A1169&amp;"-"&amp;YEAR(F1169)&amp;"-"&amp;IF(LEN(MONTH(F1169))=1,"0"&amp;MONTH(F1169),MONTH(F1169))&amp;"-"&amp;IF(LEN(DAY(F1169))=1,"0"&amp;DAY(F1169),DAY(F1169))</f>
        <v>96-2024-12-31</v>
      </c>
    </row>
    <row r="1170" spans="1:18" x14ac:dyDescent="0.3">
      <c r="A1170" s="5">
        <v>97</v>
      </c>
      <c r="B1170" s="5" t="s">
        <v>430</v>
      </c>
      <c r="C1170" s="5" t="s">
        <v>315</v>
      </c>
      <c r="D1170" s="5" t="s">
        <v>8</v>
      </c>
      <c r="E1170" s="5" t="s">
        <v>9</v>
      </c>
      <c r="F1170" s="17">
        <v>45838</v>
      </c>
      <c r="G1170" s="16">
        <v>2025</v>
      </c>
      <c r="H1170" s="6" t="s">
        <v>763</v>
      </c>
      <c r="I1170" s="6" t="s">
        <v>865</v>
      </c>
      <c r="J1170" s="5">
        <v>0</v>
      </c>
      <c r="K1170" s="5">
        <v>0</v>
      </c>
      <c r="L1170" s="15" t="s">
        <v>417</v>
      </c>
      <c r="M1170" s="15" t="s">
        <v>417</v>
      </c>
      <c r="N1170" s="5" t="s">
        <v>490</v>
      </c>
      <c r="O1170" s="5" t="s">
        <v>490</v>
      </c>
      <c r="P1170" s="5">
        <v>0</v>
      </c>
      <c r="Q1170" s="5">
        <v>0</v>
      </c>
      <c r="R1170" s="5" t="str">
        <f>A1170&amp;"-"&amp;YEAR(F1170)&amp;"-"&amp;IF(LEN(MONTH(F1170))=1,"0"&amp;MONTH(F1170),MONTH(F1170))&amp;"-"&amp;IF(LEN(DAY(F1170))=1,"0"&amp;DAY(F1170),DAY(F1170))</f>
        <v>97-2025-06-30</v>
      </c>
    </row>
    <row r="1171" spans="1:18" x14ac:dyDescent="0.3">
      <c r="A1171" s="5">
        <v>331</v>
      </c>
      <c r="B1171" s="5" t="s">
        <v>216</v>
      </c>
      <c r="C1171" s="5" t="s">
        <v>214</v>
      </c>
      <c r="D1171" s="5" t="s">
        <v>25</v>
      </c>
      <c r="E1171" s="5" t="s">
        <v>9</v>
      </c>
      <c r="F1171" s="6">
        <v>45838</v>
      </c>
      <c r="G1171" s="16">
        <v>2025</v>
      </c>
      <c r="H1171" s="6" t="s">
        <v>763</v>
      </c>
      <c r="I1171" s="6" t="s">
        <v>865</v>
      </c>
      <c r="J1171" s="5"/>
      <c r="K1171" s="5">
        <v>82</v>
      </c>
      <c r="L1171" s="15" t="s">
        <v>417</v>
      </c>
      <c r="M1171" s="15" t="s">
        <v>417</v>
      </c>
      <c r="N1171" s="5" t="s">
        <v>488</v>
      </c>
      <c r="O1171" s="5" t="s">
        <v>347</v>
      </c>
      <c r="P1171" s="5">
        <v>0</v>
      </c>
      <c r="Q1171" s="5">
        <v>0</v>
      </c>
      <c r="R1171" s="5" t="str">
        <f>A1171&amp;"-"&amp;YEAR(F1171)&amp;"-"&amp;IF(LEN(MONTH(F1171))=1,"0"&amp;MONTH(F1171),MONTH(F1171))&amp;"-"&amp;IF(LEN(DAY(F1171))=1,"0"&amp;DAY(F1171),DAY(F1171))</f>
        <v>331-2025-06-30</v>
      </c>
    </row>
    <row r="1172" spans="1:18" x14ac:dyDescent="0.3">
      <c r="A1172" s="5">
        <v>332</v>
      </c>
      <c r="B1172" s="5" t="s">
        <v>217</v>
      </c>
      <c r="C1172" s="5" t="s">
        <v>13</v>
      </c>
      <c r="D1172" s="5" t="s">
        <v>8</v>
      </c>
      <c r="E1172" s="5" t="s">
        <v>14</v>
      </c>
      <c r="F1172" s="6">
        <v>46022</v>
      </c>
      <c r="G1172" s="5">
        <f t="shared" ref="G1172" si="172">YEAR(F1172)</f>
        <v>2025</v>
      </c>
      <c r="H1172" s="5" t="str">
        <f t="shared" ref="H1172" si="173">PROPER(TEXT(F1172,"mmmm"))</f>
        <v>Diciembre</v>
      </c>
      <c r="I1172" s="6" t="str">
        <f t="shared" ref="I1172" si="174">IF(OR(H1172="Enero",H1172="Febrero",H1172="Marzo",H1172="Abril",H1172="Mayo",H1172="Junio"),G1172&amp;"-1",IF(OR(H1172="Julio",H1172="Agosto",H1172="Septiembre",H1172="Octubre",H1172="Noviembre",H1172="Diciembre"),G1172&amp;"-2"))</f>
        <v>2025-2</v>
      </c>
      <c r="J1172" s="5">
        <v>1.18</v>
      </c>
      <c r="K1172" s="5">
        <v>0.89</v>
      </c>
      <c r="L1172" s="15">
        <f>IFERROR(IF((J1172/K1172)&gt;1.3,1.3,J1172/K1172),"")</f>
        <v>1.3</v>
      </c>
      <c r="M1172" s="15">
        <f>IFERROR(IF((J1172/K1172)&gt;J1172/K1172,1.3,J1172/K1172),"")</f>
        <v>1.3258426966292134</v>
      </c>
      <c r="N1172" s="5" t="s">
        <v>478</v>
      </c>
      <c r="O1172" s="5" t="s">
        <v>478</v>
      </c>
      <c r="P1172" s="5">
        <v>2</v>
      </c>
      <c r="Q1172" s="5">
        <v>2</v>
      </c>
      <c r="R1172" s="5" t="str">
        <f>A1172&amp;"-"&amp;YEAR(F1172)&amp;"-"&amp;IF(LEN(MONTH(F1172))=1,"0"&amp;MONTH(F1172),MONTH(F1172))&amp;"-"&amp;IF(LEN(DAY(F1172))=1,"0"&amp;DAY(F1172),DAY(F1172))</f>
        <v>332-2025-12-31</v>
      </c>
    </row>
    <row r="1173" spans="1:18" x14ac:dyDescent="0.3">
      <c r="A1173" s="5" t="s">
        <v>867</v>
      </c>
      <c r="B1173" s="23" t="s">
        <v>868</v>
      </c>
      <c r="C1173" s="5" t="s">
        <v>274</v>
      </c>
      <c r="D1173" s="5" t="s">
        <v>8</v>
      </c>
      <c r="E1173" s="5" t="s">
        <v>9</v>
      </c>
      <c r="F1173" s="6">
        <v>45838</v>
      </c>
      <c r="G1173" s="16">
        <v>2025</v>
      </c>
      <c r="H1173" s="6" t="s">
        <v>763</v>
      </c>
      <c r="I1173" s="6" t="s">
        <v>865</v>
      </c>
      <c r="J1173" s="75">
        <v>100</v>
      </c>
      <c r="K1173" s="75">
        <v>126.48143452446214</v>
      </c>
      <c r="L1173" s="15">
        <v>1.2648143452446214</v>
      </c>
      <c r="M1173" s="15">
        <v>1.2648143452446214</v>
      </c>
      <c r="N1173" s="5" t="s">
        <v>347</v>
      </c>
      <c r="O1173" s="5" t="s">
        <v>347</v>
      </c>
      <c r="P1173" s="5">
        <v>0</v>
      </c>
      <c r="Q1173" s="5">
        <v>0</v>
      </c>
      <c r="R1173" s="5" t="str">
        <f>A1173&amp;"-"&amp;YEAR(F1173)&amp;"-"&amp;IF(LEN(MONTH(F1173))=1,"0"&amp;MONTH(F1173),MONTH(F1173))&amp;"-"&amp;IF(LEN(DAY(F1173))=1,"0"&amp;DAY(F1173),DAY(F1173))</f>
        <v>525.2-2025-06-30</v>
      </c>
    </row>
    <row r="1174" spans="1:18" x14ac:dyDescent="0.3">
      <c r="A1174" s="5">
        <v>124</v>
      </c>
      <c r="B1174" s="5" t="s">
        <v>48</v>
      </c>
      <c r="C1174" s="5" t="s">
        <v>24</v>
      </c>
      <c r="D1174" s="5" t="s">
        <v>18</v>
      </c>
      <c r="E1174" s="5" t="s">
        <v>14</v>
      </c>
      <c r="F1174" s="6">
        <v>45869</v>
      </c>
      <c r="G1174" s="16">
        <v>2025</v>
      </c>
      <c r="H1174" s="6" t="s">
        <v>869</v>
      </c>
      <c r="I1174" s="6" t="s">
        <v>841</v>
      </c>
      <c r="J1174" s="5">
        <v>0.2</v>
      </c>
      <c r="K1174" s="5">
        <v>4.1593957546555531E-2</v>
      </c>
      <c r="L1174" s="8">
        <v>1</v>
      </c>
      <c r="M1174" s="15">
        <v>1</v>
      </c>
      <c r="N1174" s="5" t="s">
        <v>478</v>
      </c>
      <c r="O1174" s="5" t="s">
        <v>478</v>
      </c>
      <c r="P1174" s="5">
        <v>1</v>
      </c>
      <c r="Q1174" s="5">
        <v>2</v>
      </c>
      <c r="R1174" s="5" t="str">
        <f>A1174&amp;"-"&amp;YEAR(F1174)&amp;"-"&amp;IF(LEN(MONTH(F1174))=1,"0"&amp;MONTH(F1174),MONTH(F1174))&amp;"-"&amp;IF(LEN(DAY(F1174))=1,"0"&amp;DAY(F1174),DAY(F1174))</f>
        <v>124-2025-07-31</v>
      </c>
    </row>
    <row r="1175" spans="1:18" x14ac:dyDescent="0.3">
      <c r="A1175" s="5">
        <v>172</v>
      </c>
      <c r="B1175" s="5" t="s">
        <v>70</v>
      </c>
      <c r="C1175" s="5" t="s">
        <v>45</v>
      </c>
      <c r="D1175" s="5" t="s">
        <v>18</v>
      </c>
      <c r="E1175" s="5" t="s">
        <v>9</v>
      </c>
      <c r="F1175" s="6">
        <v>45869</v>
      </c>
      <c r="G1175" s="16">
        <v>2025</v>
      </c>
      <c r="H1175" s="6" t="s">
        <v>869</v>
      </c>
      <c r="I1175" s="6" t="s">
        <v>841</v>
      </c>
      <c r="J1175" s="5">
        <v>95</v>
      </c>
      <c r="K1175" s="5">
        <v>91.43</v>
      </c>
      <c r="L1175" s="15">
        <v>0.96242105263157907</v>
      </c>
      <c r="M1175" s="15">
        <v>0.96242105263157907</v>
      </c>
      <c r="N1175" s="5" t="s">
        <v>347</v>
      </c>
      <c r="O1175" s="5" t="s">
        <v>347</v>
      </c>
      <c r="P1175" s="5">
        <v>0</v>
      </c>
      <c r="Q1175" s="5">
        <v>0</v>
      </c>
      <c r="R1175" s="5" t="str">
        <f>A1175&amp;"-"&amp;YEAR(F1175)&amp;"-"&amp;IF(LEN(MONTH(F1175))=1,"0"&amp;MONTH(F1175),MONTH(F1175))&amp;"-"&amp;IF(LEN(DAY(F1175))=1,"0"&amp;DAY(F1175),DAY(F1175))</f>
        <v>172-2025-07-31</v>
      </c>
    </row>
    <row r="1176" spans="1:18" x14ac:dyDescent="0.3">
      <c r="A1176" s="5">
        <v>208</v>
      </c>
      <c r="B1176" s="5" t="s">
        <v>89</v>
      </c>
      <c r="C1176" s="5" t="s">
        <v>90</v>
      </c>
      <c r="D1176" s="5" t="s">
        <v>18</v>
      </c>
      <c r="E1176" s="5" t="s">
        <v>14</v>
      </c>
      <c r="F1176" s="6">
        <v>45838</v>
      </c>
      <c r="G1176" s="16">
        <v>2025</v>
      </c>
      <c r="H1176" s="6" t="s">
        <v>763</v>
      </c>
      <c r="I1176" s="6" t="s">
        <v>865</v>
      </c>
      <c r="J1176" s="5">
        <v>10200</v>
      </c>
      <c r="K1176" s="5">
        <v>7350.5</v>
      </c>
      <c r="L1176" s="15">
        <v>0.72063725490196073</v>
      </c>
      <c r="M1176" s="15">
        <v>0.72063725490196073</v>
      </c>
      <c r="N1176" s="5" t="s">
        <v>723</v>
      </c>
      <c r="O1176" s="5" t="s">
        <v>723</v>
      </c>
      <c r="P1176" s="5">
        <v>0</v>
      </c>
      <c r="Q1176" s="5">
        <v>0</v>
      </c>
      <c r="R1176" s="5" t="str">
        <f>A1176&amp;"-"&amp;YEAR(F1176)&amp;"-"&amp;IF(LEN(MONTH(F1176))=1,"0"&amp;MONTH(F1176),MONTH(F1176))&amp;"-"&amp;IF(LEN(DAY(F1176))=1,"0"&amp;DAY(F1176),DAY(F1176))</f>
        <v>208-2025-06-30</v>
      </c>
    </row>
    <row r="1177" spans="1:18" x14ac:dyDescent="0.3">
      <c r="A1177" s="5">
        <v>214</v>
      </c>
      <c r="B1177" s="5" t="s">
        <v>93</v>
      </c>
      <c r="C1177" s="5" t="s">
        <v>90</v>
      </c>
      <c r="D1177" s="5" t="s">
        <v>18</v>
      </c>
      <c r="E1177" s="5" t="s">
        <v>14</v>
      </c>
      <c r="F1177" s="6">
        <v>45838</v>
      </c>
      <c r="G1177" s="16">
        <v>2025</v>
      </c>
      <c r="H1177" s="6" t="s">
        <v>763</v>
      </c>
      <c r="I1177" s="6" t="s">
        <v>865</v>
      </c>
      <c r="J1177" s="5">
        <v>45000</v>
      </c>
      <c r="K1177" s="5">
        <v>27789</v>
      </c>
      <c r="L1177" s="15">
        <v>1</v>
      </c>
      <c r="M1177" s="15">
        <v>1</v>
      </c>
      <c r="N1177" s="5" t="s">
        <v>492</v>
      </c>
      <c r="O1177" s="5" t="s">
        <v>492</v>
      </c>
      <c r="P1177" s="5">
        <v>0</v>
      </c>
      <c r="Q1177" s="5">
        <v>0</v>
      </c>
      <c r="R1177" s="5" t="str">
        <f>A1177&amp;"-"&amp;YEAR(F1177)&amp;"-"&amp;IF(LEN(MONTH(F1177))=1,"0"&amp;MONTH(F1177),MONTH(F1177))&amp;"-"&amp;IF(LEN(DAY(F1177))=1,"0"&amp;DAY(F1177),DAY(F1177))</f>
        <v>214-2025-06-30</v>
      </c>
    </row>
    <row r="1178" spans="1:18" x14ac:dyDescent="0.3">
      <c r="A1178" s="5">
        <v>218</v>
      </c>
      <c r="B1178" s="5" t="s">
        <v>97</v>
      </c>
      <c r="C1178" s="5" t="s">
        <v>90</v>
      </c>
      <c r="D1178" s="5" t="s">
        <v>18</v>
      </c>
      <c r="E1178" s="5" t="s">
        <v>14</v>
      </c>
      <c r="F1178" s="6">
        <v>45838</v>
      </c>
      <c r="G1178" s="16">
        <v>2025</v>
      </c>
      <c r="H1178" s="6" t="s">
        <v>763</v>
      </c>
      <c r="I1178" s="6" t="s">
        <v>865</v>
      </c>
      <c r="J1178" s="5">
        <v>1032000</v>
      </c>
      <c r="K1178" s="5">
        <v>811072</v>
      </c>
      <c r="L1178" s="15">
        <v>1</v>
      </c>
      <c r="M1178" s="15">
        <v>1.2723901207291091</v>
      </c>
      <c r="N1178" s="5" t="s">
        <v>362</v>
      </c>
      <c r="O1178" s="5" t="s">
        <v>362</v>
      </c>
      <c r="P1178" s="5">
        <v>0</v>
      </c>
      <c r="Q1178" s="5">
        <v>0</v>
      </c>
      <c r="R1178" s="5" t="str">
        <f>A1178&amp;"-"&amp;YEAR(F1178)&amp;"-"&amp;IF(LEN(MONTH(F1178))=1,"0"&amp;MONTH(F1178),MONTH(F1178))&amp;"-"&amp;IF(LEN(DAY(F1178))=1,"0"&amp;DAY(F1178),DAY(F1178))</f>
        <v>218-2025-06-30</v>
      </c>
    </row>
    <row r="1179" spans="1:18" x14ac:dyDescent="0.3">
      <c r="A1179" s="5">
        <v>431</v>
      </c>
      <c r="B1179" s="5" t="s">
        <v>325</v>
      </c>
      <c r="C1179" s="5" t="s">
        <v>24</v>
      </c>
      <c r="D1179" s="5" t="s">
        <v>11</v>
      </c>
      <c r="E1179" s="5" t="s">
        <v>9</v>
      </c>
      <c r="F1179" s="6">
        <v>45838</v>
      </c>
      <c r="G1179" s="16">
        <v>2025</v>
      </c>
      <c r="H1179" s="6" t="s">
        <v>763</v>
      </c>
      <c r="I1179" s="6" t="s">
        <v>865</v>
      </c>
      <c r="J1179" s="5">
        <v>100</v>
      </c>
      <c r="K1179" s="5">
        <v>100</v>
      </c>
      <c r="L1179" s="15">
        <v>1</v>
      </c>
      <c r="M1179" s="15">
        <v>1</v>
      </c>
      <c r="N1179" s="5" t="s">
        <v>347</v>
      </c>
      <c r="O1179" s="5" t="s">
        <v>347</v>
      </c>
      <c r="P1179" s="5">
        <v>0</v>
      </c>
      <c r="Q1179" s="5">
        <v>0</v>
      </c>
      <c r="R1179" s="5" t="str">
        <f>A1179&amp;"-"&amp;YEAR(F1179)&amp;"-"&amp;IF(LEN(MONTH(F1179))=1,"0"&amp;MONTH(F1179),MONTH(F1179))&amp;"-"&amp;IF(LEN(DAY(F1179))=1,"0"&amp;DAY(F1179),DAY(F1179))</f>
        <v>431-2025-06-30</v>
      </c>
    </row>
    <row r="1180" spans="1:18" x14ac:dyDescent="0.3">
      <c r="A1180" s="5">
        <v>518</v>
      </c>
      <c r="B1180" s="5" t="s">
        <v>19</v>
      </c>
      <c r="C1180" s="5" t="s">
        <v>20</v>
      </c>
      <c r="D1180" s="5" t="s">
        <v>21</v>
      </c>
      <c r="E1180" s="5" t="s">
        <v>9</v>
      </c>
      <c r="F1180" s="6">
        <v>45838</v>
      </c>
      <c r="G1180" s="16">
        <v>2025</v>
      </c>
      <c r="H1180" s="6" t="s">
        <v>763</v>
      </c>
      <c r="I1180" s="6" t="s">
        <v>865</v>
      </c>
      <c r="J1180" s="5">
        <v>100</v>
      </c>
      <c r="K1180" s="10">
        <v>87.5</v>
      </c>
      <c r="L1180" s="15">
        <v>0.875</v>
      </c>
      <c r="M1180" s="15">
        <v>0.875</v>
      </c>
      <c r="N1180" s="5" t="s">
        <v>347</v>
      </c>
      <c r="O1180" s="5" t="s">
        <v>347</v>
      </c>
      <c r="P1180" s="5">
        <v>0</v>
      </c>
      <c r="Q1180" s="5">
        <v>0</v>
      </c>
      <c r="R1180" s="5" t="str">
        <f>A1180&amp;"-"&amp;YEAR(F1180)&amp;"-"&amp;IF(LEN(MONTH(F1180))=1,"0"&amp;MONTH(F1180),MONTH(F1180))&amp;"-"&amp;IF(LEN(DAY(F1180))=1,"0"&amp;DAY(F1180),DAY(F1180))</f>
        <v>518-2025-06-30</v>
      </c>
    </row>
    <row r="1181" spans="1:18" x14ac:dyDescent="0.3">
      <c r="A1181" s="5">
        <v>273</v>
      </c>
      <c r="B1181" s="5" t="s">
        <v>157</v>
      </c>
      <c r="C1181" s="5" t="s">
        <v>158</v>
      </c>
      <c r="D1181" s="5" t="s">
        <v>8</v>
      </c>
      <c r="E1181" s="5" t="s">
        <v>9</v>
      </c>
      <c r="F1181" s="6">
        <v>45838</v>
      </c>
      <c r="G1181" s="16">
        <v>2025</v>
      </c>
      <c r="H1181" s="6" t="s">
        <v>763</v>
      </c>
      <c r="I1181" s="6" t="s">
        <v>865</v>
      </c>
      <c r="J1181" s="5">
        <v>2</v>
      </c>
      <c r="K1181" s="5">
        <v>3</v>
      </c>
      <c r="L1181" s="15">
        <v>1.3</v>
      </c>
      <c r="M1181" s="15">
        <v>1.5</v>
      </c>
      <c r="N1181" s="5" t="s">
        <v>490</v>
      </c>
      <c r="O1181" s="5" t="s">
        <v>490</v>
      </c>
      <c r="P1181" s="5">
        <v>0</v>
      </c>
      <c r="Q1181" s="5">
        <v>0</v>
      </c>
      <c r="R1181" s="5" t="str">
        <f>A1181&amp;"-"&amp;YEAR(F1181)&amp;"-"&amp;IF(LEN(MONTH(F1181))=1,"0"&amp;MONTH(F1181),MONTH(F1181))&amp;"-"&amp;IF(LEN(DAY(F1181))=1,"0"&amp;DAY(F1181),DAY(F1181))</f>
        <v>273-2025-06-30</v>
      </c>
    </row>
    <row r="1182" spans="1:18" x14ac:dyDescent="0.3">
      <c r="A1182" s="5">
        <v>283</v>
      </c>
      <c r="B1182" s="5" t="s">
        <v>169</v>
      </c>
      <c r="C1182" s="5" t="s">
        <v>162</v>
      </c>
      <c r="D1182" s="5" t="s">
        <v>8</v>
      </c>
      <c r="E1182" s="5" t="s">
        <v>9</v>
      </c>
      <c r="F1182" s="6">
        <v>45838</v>
      </c>
      <c r="G1182" s="16">
        <v>2025</v>
      </c>
      <c r="H1182" s="6" t="s">
        <v>763</v>
      </c>
      <c r="I1182" s="6" t="s">
        <v>865</v>
      </c>
      <c r="J1182" s="5">
        <v>4.5999999999999996</v>
      </c>
      <c r="K1182" s="10">
        <v>4.66</v>
      </c>
      <c r="L1182" s="15">
        <v>1.0130434782608697</v>
      </c>
      <c r="M1182" s="15">
        <v>1.0130434782608697</v>
      </c>
      <c r="N1182" s="5" t="s">
        <v>478</v>
      </c>
      <c r="O1182" s="5" t="s">
        <v>478</v>
      </c>
      <c r="P1182" s="5">
        <v>1</v>
      </c>
      <c r="Q1182" s="5">
        <v>2</v>
      </c>
      <c r="R1182" s="5" t="str">
        <f>A1182&amp;"-"&amp;YEAR(F1182)&amp;"-"&amp;IF(LEN(MONTH(F1182))=1,"0"&amp;MONTH(F1182),MONTH(F1182))&amp;"-"&amp;IF(LEN(DAY(F1182))=1,"0"&amp;DAY(F1182),DAY(F1182))</f>
        <v>283-2025-06-30</v>
      </c>
    </row>
    <row r="1183" spans="1:18" x14ac:dyDescent="0.3">
      <c r="A1183" s="5">
        <v>324</v>
      </c>
      <c r="B1183" s="5" t="s">
        <v>210</v>
      </c>
      <c r="C1183" s="5" t="s">
        <v>209</v>
      </c>
      <c r="D1183" s="5" t="s">
        <v>8</v>
      </c>
      <c r="E1183" s="5" t="s">
        <v>9</v>
      </c>
      <c r="F1183" s="6">
        <v>45838</v>
      </c>
      <c r="G1183" s="16">
        <v>2025</v>
      </c>
      <c r="H1183" s="6" t="s">
        <v>763</v>
      </c>
      <c r="I1183" s="6" t="s">
        <v>865</v>
      </c>
      <c r="J1183" s="5">
        <v>2</v>
      </c>
      <c r="K1183" s="5">
        <v>2</v>
      </c>
      <c r="L1183" s="15">
        <v>1</v>
      </c>
      <c r="M1183" s="15">
        <v>1</v>
      </c>
      <c r="N1183" s="5" t="s">
        <v>490</v>
      </c>
      <c r="O1183" s="5" t="s">
        <v>490</v>
      </c>
      <c r="P1183" s="5">
        <v>0</v>
      </c>
      <c r="Q1183" s="5">
        <v>0</v>
      </c>
      <c r="R1183" s="5" t="str">
        <f>A1183&amp;"-"&amp;YEAR(F1183)&amp;"-"&amp;IF(LEN(MONTH(F1183))=1,"0"&amp;MONTH(F1183),MONTH(F1183))&amp;"-"&amp;IF(LEN(DAY(F1183))=1,"0"&amp;DAY(F1183),DAY(F1183))</f>
        <v>324-2025-06-30</v>
      </c>
    </row>
    <row r="1184" spans="1:18" x14ac:dyDescent="0.3">
      <c r="A1184" s="26">
        <v>473</v>
      </c>
      <c r="B1184" s="23" t="s">
        <v>724</v>
      </c>
      <c r="C1184" s="5" t="s">
        <v>129</v>
      </c>
      <c r="D1184" s="5" t="s">
        <v>8</v>
      </c>
      <c r="E1184" s="5" t="s">
        <v>9</v>
      </c>
      <c r="F1184" s="6">
        <v>45838</v>
      </c>
      <c r="G1184" s="16">
        <v>2025</v>
      </c>
      <c r="H1184" s="6" t="s">
        <v>763</v>
      </c>
      <c r="I1184" s="6" t="s">
        <v>865</v>
      </c>
      <c r="J1184" s="5">
        <v>72</v>
      </c>
      <c r="K1184" s="5">
        <v>72</v>
      </c>
      <c r="L1184" s="15">
        <v>1</v>
      </c>
      <c r="M1184" s="15">
        <v>1</v>
      </c>
      <c r="N1184" s="5" t="s">
        <v>490</v>
      </c>
      <c r="O1184" s="5" t="s">
        <v>490</v>
      </c>
      <c r="P1184" s="5">
        <v>0</v>
      </c>
      <c r="Q1184" s="5">
        <v>0</v>
      </c>
      <c r="R1184" s="5" t="str">
        <f>A1184&amp;"-"&amp;YEAR(F1184)&amp;"-"&amp;IF(LEN(MONTH(F1184))=1,"0"&amp;MONTH(F1184),MONTH(F1184))&amp;"-"&amp;IF(LEN(DAY(F1184))=1,"0"&amp;DAY(F1184),DAY(F1184))</f>
        <v>473-2025-06-30</v>
      </c>
    </row>
    <row r="1185" spans="1:18" x14ac:dyDescent="0.3">
      <c r="A1185" s="5">
        <v>290</v>
      </c>
      <c r="B1185" s="5" t="s">
        <v>175</v>
      </c>
      <c r="C1185" s="5" t="s">
        <v>114</v>
      </c>
      <c r="D1185" s="5" t="s">
        <v>21</v>
      </c>
      <c r="E1185" s="5" t="s">
        <v>9</v>
      </c>
      <c r="F1185" s="6">
        <v>45838</v>
      </c>
      <c r="G1185" s="16">
        <v>2025</v>
      </c>
      <c r="H1185" s="6" t="s">
        <v>763</v>
      </c>
      <c r="I1185" s="6" t="s">
        <v>865</v>
      </c>
      <c r="J1185" s="5">
        <v>90</v>
      </c>
      <c r="K1185" s="5">
        <v>93.33</v>
      </c>
      <c r="L1185" s="15">
        <v>1.0369999999999999</v>
      </c>
      <c r="M1185" s="15">
        <v>1.0369999999999999</v>
      </c>
      <c r="N1185" s="5" t="s">
        <v>347</v>
      </c>
      <c r="O1185" s="5" t="s">
        <v>347</v>
      </c>
      <c r="P1185" s="5">
        <v>0</v>
      </c>
      <c r="Q1185" s="5">
        <v>0</v>
      </c>
      <c r="R1185" s="5" t="str">
        <f>A1185&amp;"-"&amp;YEAR(F1185)&amp;"-"&amp;IF(LEN(MONTH(F1185))=1,"0"&amp;MONTH(F1185),MONTH(F1185))&amp;"-"&amp;IF(LEN(DAY(F1185))=1,"0"&amp;DAY(F1185),DAY(F1185))</f>
        <v>290-2025-06-30</v>
      </c>
    </row>
    <row r="1186" spans="1:18" x14ac:dyDescent="0.3">
      <c r="A1186" s="5">
        <v>432</v>
      </c>
      <c r="B1186" s="5" t="s">
        <v>326</v>
      </c>
      <c r="C1186" s="5" t="s">
        <v>24</v>
      </c>
      <c r="D1186" s="5" t="s">
        <v>11</v>
      </c>
      <c r="E1186" s="5" t="s">
        <v>9</v>
      </c>
      <c r="F1186" s="6">
        <v>45838</v>
      </c>
      <c r="G1186" s="16">
        <v>2025</v>
      </c>
      <c r="H1186" s="6" t="s">
        <v>763</v>
      </c>
      <c r="I1186" s="6" t="s">
        <v>865</v>
      </c>
      <c r="J1186" s="5">
        <v>90</v>
      </c>
      <c r="K1186" s="5">
        <v>100</v>
      </c>
      <c r="L1186" s="15">
        <v>1.1111111111111112</v>
      </c>
      <c r="M1186" s="15">
        <v>1.1111111111111112</v>
      </c>
      <c r="N1186" s="5" t="s">
        <v>347</v>
      </c>
      <c r="O1186" s="5" t="s">
        <v>347</v>
      </c>
      <c r="P1186" s="5">
        <v>0</v>
      </c>
      <c r="Q1186" s="5">
        <v>0</v>
      </c>
      <c r="R1186" s="5" t="str">
        <f>A1186&amp;"-"&amp;YEAR(F1186)&amp;"-"&amp;IF(LEN(MONTH(F1186))=1,"0"&amp;MONTH(F1186),MONTH(F1186))&amp;"-"&amp;IF(LEN(DAY(F1186))=1,"0"&amp;DAY(F1186),DAY(F1186))</f>
        <v>432-2025-06-30</v>
      </c>
    </row>
    <row r="1187" spans="1:18" x14ac:dyDescent="0.3">
      <c r="A1187" s="5">
        <v>484</v>
      </c>
      <c r="B1187" s="5" t="s">
        <v>720</v>
      </c>
      <c r="C1187" s="5" t="s">
        <v>24</v>
      </c>
      <c r="D1187" s="5" t="s">
        <v>11</v>
      </c>
      <c r="E1187" s="5" t="s">
        <v>9</v>
      </c>
      <c r="F1187" s="6">
        <v>45838</v>
      </c>
      <c r="G1187" s="16">
        <v>2025</v>
      </c>
      <c r="H1187" s="6" t="s">
        <v>763</v>
      </c>
      <c r="I1187" s="6" t="s">
        <v>865</v>
      </c>
      <c r="J1187" s="5">
        <v>90</v>
      </c>
      <c r="K1187" s="5">
        <v>100</v>
      </c>
      <c r="L1187" s="15">
        <v>1.1111111111111112</v>
      </c>
      <c r="M1187" s="15">
        <v>1.1111111111111112</v>
      </c>
      <c r="N1187" s="5" t="s">
        <v>347</v>
      </c>
      <c r="O1187" s="5" t="s">
        <v>347</v>
      </c>
      <c r="P1187" s="5">
        <v>0</v>
      </c>
      <c r="Q1187" s="5">
        <v>0</v>
      </c>
      <c r="R1187" s="5" t="str">
        <f>A1187&amp;"-"&amp;YEAR(F1187)&amp;"-"&amp;IF(LEN(MONTH(F1187))=1,"0"&amp;MONTH(F1187),MONTH(F1187))&amp;"-"&amp;IF(LEN(DAY(F1187))=1,"0"&amp;DAY(F1187),DAY(F1187))</f>
        <v>484-2025-06-30</v>
      </c>
    </row>
    <row r="1188" spans="1:18" x14ac:dyDescent="0.3">
      <c r="A1188" s="5">
        <v>262</v>
      </c>
      <c r="B1188" s="5" t="s">
        <v>494</v>
      </c>
      <c r="C1188" s="5" t="s">
        <v>145</v>
      </c>
      <c r="D1188" s="5" t="s">
        <v>8</v>
      </c>
      <c r="E1188" s="5" t="s">
        <v>14</v>
      </c>
      <c r="F1188" s="6">
        <v>45838</v>
      </c>
      <c r="G1188" s="16">
        <v>2025</v>
      </c>
      <c r="H1188" s="6" t="s">
        <v>763</v>
      </c>
      <c r="I1188" s="6" t="s">
        <v>865</v>
      </c>
      <c r="J1188" s="5">
        <v>10</v>
      </c>
      <c r="K1188" s="5">
        <v>0</v>
      </c>
      <c r="L1188" s="8">
        <v>1</v>
      </c>
      <c r="M1188" s="15">
        <v>1</v>
      </c>
      <c r="N1188" s="5" t="s">
        <v>347</v>
      </c>
      <c r="O1188" s="5" t="s">
        <v>347</v>
      </c>
      <c r="P1188" s="5">
        <v>0</v>
      </c>
      <c r="Q1188" s="5">
        <v>0</v>
      </c>
      <c r="R1188" s="5" t="str">
        <f>A1188&amp;"-"&amp;YEAR(F1188)&amp;"-"&amp;IF(LEN(MONTH(F1188))=1,"0"&amp;MONTH(F1188),MONTH(F1188))&amp;"-"&amp;IF(LEN(DAY(F1188))=1,"0"&amp;DAY(F1188),DAY(F1188))</f>
        <v>262-2025-06-30</v>
      </c>
    </row>
    <row r="1189" spans="1:18" x14ac:dyDescent="0.3">
      <c r="A1189" s="5">
        <v>139</v>
      </c>
      <c r="B1189" s="5" t="s">
        <v>57</v>
      </c>
      <c r="C1189" s="5" t="s">
        <v>55</v>
      </c>
      <c r="D1189" s="13" t="s">
        <v>18</v>
      </c>
      <c r="E1189" s="5" t="s">
        <v>14</v>
      </c>
      <c r="F1189" s="6">
        <v>45838</v>
      </c>
      <c r="G1189" s="16">
        <v>2025</v>
      </c>
      <c r="H1189" s="6" t="s">
        <v>763</v>
      </c>
      <c r="I1189" s="6" t="s">
        <v>865</v>
      </c>
      <c r="J1189" s="75">
        <v>588.27781200000004</v>
      </c>
      <c r="K1189" s="75">
        <v>423.52072099999998</v>
      </c>
      <c r="L1189" s="15">
        <v>1.3</v>
      </c>
      <c r="M1189" s="15">
        <v>1.3890177807852762</v>
      </c>
      <c r="N1189" s="5" t="s">
        <v>474</v>
      </c>
      <c r="O1189" s="5" t="s">
        <v>474</v>
      </c>
      <c r="P1189" s="5">
        <v>0</v>
      </c>
      <c r="Q1189" s="5">
        <v>0</v>
      </c>
      <c r="R1189" s="5" t="str">
        <f>A1189&amp;"-"&amp;YEAR(F1189)&amp;"-"&amp;IF(LEN(MONTH(F1189))=1,"0"&amp;MONTH(F1189),MONTH(F1189))&amp;"-"&amp;IF(LEN(DAY(F1189))=1,"0"&amp;DAY(F1189),DAY(F1189))</f>
        <v>139-2025-06-30</v>
      </c>
    </row>
    <row r="1190" spans="1:18" x14ac:dyDescent="0.3">
      <c r="A1190" s="5">
        <v>217</v>
      </c>
      <c r="B1190" s="5" t="s">
        <v>96</v>
      </c>
      <c r="C1190" s="5" t="s">
        <v>90</v>
      </c>
      <c r="D1190" s="13" t="s">
        <v>18</v>
      </c>
      <c r="E1190" s="5" t="s">
        <v>9</v>
      </c>
      <c r="F1190" s="6">
        <v>45838</v>
      </c>
      <c r="G1190" s="16">
        <v>2025</v>
      </c>
      <c r="H1190" s="6" t="s">
        <v>763</v>
      </c>
      <c r="I1190" s="6" t="s">
        <v>865</v>
      </c>
      <c r="J1190" s="5">
        <v>20</v>
      </c>
      <c r="K1190" s="5">
        <v>26.11</v>
      </c>
      <c r="L1190" s="15">
        <v>1</v>
      </c>
      <c r="M1190" s="15">
        <v>1.3054999999999999</v>
      </c>
      <c r="N1190" s="5" t="s">
        <v>347</v>
      </c>
      <c r="O1190" s="5" t="s">
        <v>347</v>
      </c>
      <c r="P1190" s="5">
        <v>0</v>
      </c>
      <c r="Q1190" s="5">
        <v>0</v>
      </c>
      <c r="R1190" s="5" t="str">
        <f>A1190&amp;"-"&amp;YEAR(F1190)&amp;"-"&amp;IF(LEN(MONTH(F1190))=1,"0"&amp;MONTH(F1190),MONTH(F1190))&amp;"-"&amp;IF(LEN(DAY(F1190))=1,"0"&amp;DAY(F1190),DAY(F1190))</f>
        <v>217-2025-06-30</v>
      </c>
    </row>
    <row r="1191" spans="1:18" x14ac:dyDescent="0.3">
      <c r="A1191" s="5">
        <v>225</v>
      </c>
      <c r="B1191" s="5" t="s">
        <v>103</v>
      </c>
      <c r="C1191" s="5" t="s">
        <v>90</v>
      </c>
      <c r="D1191" s="13" t="s">
        <v>18</v>
      </c>
      <c r="E1191" s="5" t="s">
        <v>9</v>
      </c>
      <c r="F1191" s="6">
        <v>45900</v>
      </c>
      <c r="G1191" s="16">
        <v>2025</v>
      </c>
      <c r="H1191" s="6" t="s">
        <v>870</v>
      </c>
      <c r="I1191" s="6" t="s">
        <v>841</v>
      </c>
      <c r="J1191" s="5">
        <v>100</v>
      </c>
      <c r="K1191" s="5">
        <v>100</v>
      </c>
      <c r="L1191" s="15">
        <v>1</v>
      </c>
      <c r="M1191" s="15">
        <v>1</v>
      </c>
      <c r="N1191" s="5" t="s">
        <v>347</v>
      </c>
      <c r="O1191" s="5" t="s">
        <v>347</v>
      </c>
      <c r="P1191" s="5">
        <v>0</v>
      </c>
      <c r="Q1191" s="5">
        <v>0</v>
      </c>
      <c r="R1191" s="5" t="str">
        <f>A1191&amp;"-"&amp;YEAR(F1191)&amp;"-"&amp;IF(LEN(MONTH(F1191))=1,"0"&amp;MONTH(F1191),MONTH(F1191))&amp;"-"&amp;IF(LEN(DAY(F1191))=1,"0"&amp;DAY(F1191),DAY(F1191))</f>
        <v>225-2025-08-31</v>
      </c>
    </row>
    <row r="1192" spans="1:18" x14ac:dyDescent="0.3">
      <c r="A1192" s="5">
        <v>239</v>
      </c>
      <c r="B1192" s="5" t="s">
        <v>871</v>
      </c>
      <c r="C1192" s="5" t="s">
        <v>117</v>
      </c>
      <c r="D1192" s="13" t="s">
        <v>18</v>
      </c>
      <c r="E1192" s="5" t="s">
        <v>9</v>
      </c>
      <c r="F1192" s="6">
        <v>45838</v>
      </c>
      <c r="G1192" s="16">
        <v>2025</v>
      </c>
      <c r="H1192" s="6" t="s">
        <v>763</v>
      </c>
      <c r="I1192" s="6" t="s">
        <v>865</v>
      </c>
      <c r="J1192" s="5"/>
      <c r="K1192" s="5">
        <v>41</v>
      </c>
      <c r="L1192" s="15" t="s">
        <v>417</v>
      </c>
      <c r="M1192" s="15" t="s">
        <v>417</v>
      </c>
      <c r="N1192" s="5" t="s">
        <v>728</v>
      </c>
      <c r="O1192" s="5" t="s">
        <v>490</v>
      </c>
      <c r="P1192" s="5">
        <v>0</v>
      </c>
      <c r="Q1192" s="5">
        <v>0</v>
      </c>
      <c r="R1192" s="5" t="str">
        <f>A1192&amp;"-"&amp;YEAR(F1192)&amp;"-"&amp;IF(LEN(MONTH(F1192))=1,"0"&amp;MONTH(F1192),MONTH(F1192))&amp;"-"&amp;IF(LEN(DAY(F1192))=1,"0"&amp;DAY(F1192),DAY(F1192))</f>
        <v>239-2025-06-30</v>
      </c>
    </row>
    <row r="1193" spans="1:18" x14ac:dyDescent="0.3">
      <c r="A1193" s="5">
        <v>434</v>
      </c>
      <c r="B1193" s="5" t="s">
        <v>735</v>
      </c>
      <c r="C1193" s="5" t="s">
        <v>90</v>
      </c>
      <c r="D1193" s="13" t="s">
        <v>18</v>
      </c>
      <c r="E1193" s="5" t="s">
        <v>14</v>
      </c>
      <c r="F1193" s="6">
        <v>45838</v>
      </c>
      <c r="G1193" s="16">
        <v>2025</v>
      </c>
      <c r="H1193" s="6" t="s">
        <v>763</v>
      </c>
      <c r="I1193" s="6" t="s">
        <v>865</v>
      </c>
      <c r="J1193" s="5">
        <v>1200</v>
      </c>
      <c r="K1193" s="5">
        <v>1059.96</v>
      </c>
      <c r="L1193" s="15">
        <v>1</v>
      </c>
      <c r="M1193" s="15">
        <v>1</v>
      </c>
      <c r="N1193" s="5" t="s">
        <v>492</v>
      </c>
      <c r="O1193" s="5" t="s">
        <v>492</v>
      </c>
      <c r="P1193" s="5">
        <v>0</v>
      </c>
      <c r="Q1193" s="5">
        <v>0</v>
      </c>
      <c r="R1193" s="5" t="str">
        <f>A1193&amp;"-"&amp;YEAR(F1193)&amp;"-"&amp;IF(LEN(MONTH(F1193))=1,"0"&amp;MONTH(F1193),MONTH(F1193))&amp;"-"&amp;IF(LEN(DAY(F1193))=1,"0"&amp;DAY(F1193),DAY(F1193))</f>
        <v>434-2025-06-30</v>
      </c>
    </row>
    <row r="1194" spans="1:18" x14ac:dyDescent="0.3">
      <c r="A1194" s="5">
        <v>509</v>
      </c>
      <c r="B1194" s="5" t="s">
        <v>872</v>
      </c>
      <c r="C1194" s="5" t="s">
        <v>117</v>
      </c>
      <c r="D1194" s="13" t="s">
        <v>18</v>
      </c>
      <c r="E1194" s="5" t="s">
        <v>9</v>
      </c>
      <c r="F1194" s="6">
        <v>45838</v>
      </c>
      <c r="G1194" s="16">
        <v>2025</v>
      </c>
      <c r="H1194" s="6" t="s">
        <v>763</v>
      </c>
      <c r="I1194" s="6" t="s">
        <v>865</v>
      </c>
      <c r="J1194" s="5">
        <v>90</v>
      </c>
      <c r="K1194" s="5">
        <v>101.115241635687</v>
      </c>
      <c r="L1194" s="15">
        <v>1.1235026848409666</v>
      </c>
      <c r="M1194" s="15">
        <v>1.1235026848409666</v>
      </c>
      <c r="N1194" s="5" t="s">
        <v>347</v>
      </c>
      <c r="O1194" s="5" t="s">
        <v>347</v>
      </c>
      <c r="P1194" s="5">
        <v>0</v>
      </c>
      <c r="Q1194" s="5">
        <v>0</v>
      </c>
      <c r="R1194" s="5" t="str">
        <f>A1194&amp;"-"&amp;YEAR(F1194)&amp;"-"&amp;IF(LEN(MONTH(F1194))=1,"0"&amp;MONTH(F1194),MONTH(F1194))&amp;"-"&amp;IF(LEN(DAY(F1194))=1,"0"&amp;DAY(F1194),DAY(F1194))</f>
        <v>509-2025-06-30</v>
      </c>
    </row>
    <row r="1195" spans="1:18" x14ac:dyDescent="0.3">
      <c r="A1195" s="5">
        <v>68</v>
      </c>
      <c r="B1195" s="5" t="s">
        <v>6</v>
      </c>
      <c r="C1195" s="5" t="s">
        <v>7</v>
      </c>
      <c r="D1195" s="13" t="s">
        <v>8</v>
      </c>
      <c r="E1195" s="5" t="s">
        <v>9</v>
      </c>
      <c r="F1195" s="6">
        <v>45838</v>
      </c>
      <c r="G1195" s="16">
        <v>2025</v>
      </c>
      <c r="H1195" s="6" t="s">
        <v>763</v>
      </c>
      <c r="I1195" s="6" t="s">
        <v>865</v>
      </c>
      <c r="J1195" s="5">
        <v>85</v>
      </c>
      <c r="K1195" s="5">
        <v>85.3</v>
      </c>
      <c r="L1195" s="15">
        <v>1.0035294117647058</v>
      </c>
      <c r="M1195" s="15">
        <v>1.0035294117647058</v>
      </c>
      <c r="N1195" s="5" t="s">
        <v>347</v>
      </c>
      <c r="O1195" s="5" t="s">
        <v>347</v>
      </c>
      <c r="P1195" s="5">
        <v>0</v>
      </c>
      <c r="Q1195" s="5">
        <v>1</v>
      </c>
      <c r="R1195" s="5" t="str">
        <f>A1195&amp;"-"&amp;YEAR(F1195)&amp;"-"&amp;IF(LEN(MONTH(F1195))=1,"0"&amp;MONTH(F1195),MONTH(F1195))&amp;"-"&amp;IF(LEN(DAY(F1195))=1,"0"&amp;DAY(F1195),DAY(F1195))</f>
        <v>68-2025-06-30</v>
      </c>
    </row>
    <row r="1196" spans="1:18" x14ac:dyDescent="0.3">
      <c r="A1196" s="5">
        <v>73</v>
      </c>
      <c r="B1196" s="5" t="s">
        <v>12</v>
      </c>
      <c r="C1196" s="5" t="s">
        <v>13</v>
      </c>
      <c r="D1196" s="13" t="s">
        <v>8</v>
      </c>
      <c r="E1196" s="5" t="s">
        <v>14</v>
      </c>
      <c r="F1196" s="6">
        <v>45838</v>
      </c>
      <c r="G1196" s="16">
        <v>2025</v>
      </c>
      <c r="H1196" s="6" t="s">
        <v>763</v>
      </c>
      <c r="I1196" s="6" t="s">
        <v>865</v>
      </c>
      <c r="J1196" s="5">
        <v>20</v>
      </c>
      <c r="K1196" s="5">
        <v>19</v>
      </c>
      <c r="L1196" s="15">
        <v>1.0526315789473684</v>
      </c>
      <c r="M1196" s="15">
        <v>1.0526315789473684</v>
      </c>
      <c r="N1196" s="5" t="s">
        <v>479</v>
      </c>
      <c r="O1196" s="5" t="s">
        <v>479</v>
      </c>
      <c r="P1196" s="5">
        <v>0</v>
      </c>
      <c r="Q1196" s="5">
        <v>0</v>
      </c>
      <c r="R1196" s="5" t="str">
        <f>A1196&amp;"-"&amp;YEAR(F1196)&amp;"-"&amp;IF(LEN(MONTH(F1196))=1,"0"&amp;MONTH(F1196),MONTH(F1196))&amp;"-"&amp;IF(LEN(DAY(F1196))=1,"0"&amp;DAY(F1196),DAY(F1196))</f>
        <v>73-2025-06-30</v>
      </c>
    </row>
    <row r="1197" spans="1:18" x14ac:dyDescent="0.3">
      <c r="A1197" s="5">
        <v>74</v>
      </c>
      <c r="B1197" s="5" t="s">
        <v>15</v>
      </c>
      <c r="C1197" s="5" t="s">
        <v>13</v>
      </c>
      <c r="D1197" s="13" t="s">
        <v>8</v>
      </c>
      <c r="E1197" s="5" t="s">
        <v>9</v>
      </c>
      <c r="F1197" s="6">
        <v>45838</v>
      </c>
      <c r="G1197" s="16">
        <v>2025</v>
      </c>
      <c r="H1197" s="6" t="s">
        <v>763</v>
      </c>
      <c r="I1197" s="6" t="s">
        <v>865</v>
      </c>
      <c r="J1197" s="5">
        <v>80</v>
      </c>
      <c r="K1197" s="5">
        <v>91.49</v>
      </c>
      <c r="L1197" s="15">
        <v>1.1436249999999999</v>
      </c>
      <c r="M1197" s="15">
        <v>1.1436249999999999</v>
      </c>
      <c r="N1197" s="5" t="s">
        <v>347</v>
      </c>
      <c r="O1197" s="5" t="s">
        <v>347</v>
      </c>
      <c r="P1197" s="5">
        <v>0</v>
      </c>
      <c r="Q1197" s="5">
        <v>0</v>
      </c>
      <c r="R1197" s="5" t="str">
        <f>A1197&amp;"-"&amp;YEAR(F1197)&amp;"-"&amp;IF(LEN(MONTH(F1197))=1,"0"&amp;MONTH(F1197),MONTH(F1197))&amp;"-"&amp;IF(LEN(DAY(F1197))=1,"0"&amp;DAY(F1197),DAY(F1197))</f>
        <v>74-2025-06-30</v>
      </c>
    </row>
    <row r="1198" spans="1:18" x14ac:dyDescent="0.3">
      <c r="A1198" s="5">
        <v>86</v>
      </c>
      <c r="B1198" s="5" t="s">
        <v>27</v>
      </c>
      <c r="C1198" s="5" t="s">
        <v>24</v>
      </c>
      <c r="D1198" s="13" t="s">
        <v>8</v>
      </c>
      <c r="E1198" s="5" t="s">
        <v>9</v>
      </c>
      <c r="F1198" s="6">
        <v>45838</v>
      </c>
      <c r="G1198" s="16">
        <v>2025</v>
      </c>
      <c r="H1198" s="6" t="s">
        <v>763</v>
      </c>
      <c r="I1198" s="6" t="s">
        <v>865</v>
      </c>
      <c r="J1198" s="5">
        <v>100</v>
      </c>
      <c r="K1198" s="5">
        <v>100</v>
      </c>
      <c r="L1198" s="15">
        <v>1</v>
      </c>
      <c r="M1198" s="15">
        <v>1</v>
      </c>
      <c r="N1198" s="5" t="s">
        <v>347</v>
      </c>
      <c r="O1198" s="5" t="s">
        <v>347</v>
      </c>
      <c r="P1198" s="5">
        <v>0</v>
      </c>
      <c r="Q1198" s="5">
        <v>0</v>
      </c>
      <c r="R1198" s="5" t="str">
        <f>A1198&amp;"-"&amp;YEAR(F1198)&amp;"-"&amp;IF(LEN(MONTH(F1198))=1,"0"&amp;MONTH(F1198),MONTH(F1198))&amp;"-"&amp;IF(LEN(DAY(F1198))=1,"0"&amp;DAY(F1198),DAY(F1198))</f>
        <v>86-2025-06-30</v>
      </c>
    </row>
    <row r="1199" spans="1:18" x14ac:dyDescent="0.3">
      <c r="A1199" s="5">
        <v>95</v>
      </c>
      <c r="B1199" s="5" t="s">
        <v>35</v>
      </c>
      <c r="C1199" s="5" t="s">
        <v>24</v>
      </c>
      <c r="D1199" s="13" t="s">
        <v>8</v>
      </c>
      <c r="E1199" s="5" t="s">
        <v>9</v>
      </c>
      <c r="F1199" s="6">
        <v>45838</v>
      </c>
      <c r="G1199" s="16">
        <v>2025</v>
      </c>
      <c r="H1199" s="6" t="s">
        <v>763</v>
      </c>
      <c r="I1199" s="6" t="s">
        <v>865</v>
      </c>
      <c r="J1199" s="5">
        <v>100</v>
      </c>
      <c r="K1199" s="5">
        <v>100</v>
      </c>
      <c r="L1199" s="15">
        <v>1</v>
      </c>
      <c r="M1199" s="15">
        <v>1</v>
      </c>
      <c r="N1199" s="5" t="s">
        <v>347</v>
      </c>
      <c r="O1199" s="5" t="s">
        <v>347</v>
      </c>
      <c r="P1199" s="5">
        <v>0</v>
      </c>
      <c r="Q1199" s="5">
        <v>0</v>
      </c>
      <c r="R1199" s="5" t="str">
        <f>A1199&amp;"-"&amp;YEAR(F1199)&amp;"-"&amp;IF(LEN(MONTH(F1199))=1,"0"&amp;MONTH(F1199),MONTH(F1199))&amp;"-"&amp;IF(LEN(DAY(F1199))=1,"0"&amp;DAY(F1199),DAY(F1199))</f>
        <v>95-2025-06-30</v>
      </c>
    </row>
    <row r="1200" spans="1:18" x14ac:dyDescent="0.3">
      <c r="A1200" s="5">
        <v>143</v>
      </c>
      <c r="B1200" s="5" t="s">
        <v>800</v>
      </c>
      <c r="C1200" s="5" t="s">
        <v>59</v>
      </c>
      <c r="D1200" s="13" t="s">
        <v>8</v>
      </c>
      <c r="E1200" s="5" t="s">
        <v>9</v>
      </c>
      <c r="F1200" s="6">
        <v>45838</v>
      </c>
      <c r="G1200" s="16">
        <v>2025</v>
      </c>
      <c r="H1200" s="6" t="s">
        <v>763</v>
      </c>
      <c r="I1200" s="6" t="s">
        <v>865</v>
      </c>
      <c r="J1200" s="5"/>
      <c r="K1200" s="5">
        <v>159</v>
      </c>
      <c r="L1200" s="15" t="s">
        <v>417</v>
      </c>
      <c r="M1200" s="15" t="s">
        <v>417</v>
      </c>
      <c r="N1200" s="5" t="s">
        <v>728</v>
      </c>
      <c r="O1200" s="5"/>
      <c r="P1200" s="5">
        <v>0</v>
      </c>
      <c r="Q1200" s="5">
        <v>0</v>
      </c>
      <c r="R1200" s="5" t="str">
        <f>A1200&amp;"-"&amp;YEAR(F1200)&amp;"-"&amp;IF(LEN(MONTH(F1200))=1,"0"&amp;MONTH(F1200),MONTH(F1200))&amp;"-"&amp;IF(LEN(DAY(F1200))=1,"0"&amp;DAY(F1200),DAY(F1200))</f>
        <v>143-2025-06-30</v>
      </c>
    </row>
    <row r="1201" spans="1:18" x14ac:dyDescent="0.3">
      <c r="A1201" s="5">
        <v>145</v>
      </c>
      <c r="B1201" s="5" t="s">
        <v>61</v>
      </c>
      <c r="C1201" s="5" t="s">
        <v>62</v>
      </c>
      <c r="D1201" s="13" t="s">
        <v>8</v>
      </c>
      <c r="E1201" s="5" t="s">
        <v>9</v>
      </c>
      <c r="F1201" s="6">
        <v>45838</v>
      </c>
      <c r="G1201" s="16">
        <v>2025</v>
      </c>
      <c r="H1201" s="6" t="s">
        <v>763</v>
      </c>
      <c r="I1201" s="6" t="s">
        <v>865</v>
      </c>
      <c r="J1201" s="5">
        <v>1</v>
      </c>
      <c r="K1201" s="5">
        <v>1.74</v>
      </c>
      <c r="L1201" s="15">
        <v>1.3</v>
      </c>
      <c r="M1201" s="15">
        <v>1.74</v>
      </c>
      <c r="N1201" s="5" t="s">
        <v>490</v>
      </c>
      <c r="O1201" s="5" t="s">
        <v>478</v>
      </c>
      <c r="P1201" s="5">
        <v>0</v>
      </c>
      <c r="Q1201" s="5">
        <v>2</v>
      </c>
      <c r="R1201" s="5" t="str">
        <f>A1201&amp;"-"&amp;YEAR(F1201)&amp;"-"&amp;IF(LEN(MONTH(F1201))=1,"0"&amp;MONTH(F1201),MONTH(F1201))&amp;"-"&amp;IF(LEN(DAY(F1201))=1,"0"&amp;DAY(F1201),DAY(F1201))</f>
        <v>145-2025-06-30</v>
      </c>
    </row>
    <row r="1202" spans="1:18" x14ac:dyDescent="0.3">
      <c r="A1202" s="5">
        <v>146</v>
      </c>
      <c r="B1202" s="5" t="s">
        <v>63</v>
      </c>
      <c r="C1202" s="5" t="s">
        <v>59</v>
      </c>
      <c r="D1202" s="13" t="s">
        <v>8</v>
      </c>
      <c r="E1202" s="5" t="s">
        <v>9</v>
      </c>
      <c r="F1202" s="6">
        <v>45838</v>
      </c>
      <c r="G1202" s="16">
        <v>2025</v>
      </c>
      <c r="H1202" s="6" t="s">
        <v>763</v>
      </c>
      <c r="I1202" s="6" t="s">
        <v>865</v>
      </c>
      <c r="J1202" s="5">
        <v>300</v>
      </c>
      <c r="K1202" s="5">
        <v>321</v>
      </c>
      <c r="L1202" s="15">
        <v>1.07</v>
      </c>
      <c r="M1202" s="15">
        <v>1.07</v>
      </c>
      <c r="N1202" s="5" t="s">
        <v>490</v>
      </c>
      <c r="O1202" s="5" t="s">
        <v>490</v>
      </c>
      <c r="P1202" s="5">
        <v>0</v>
      </c>
      <c r="Q1202" s="5">
        <v>0</v>
      </c>
      <c r="R1202" s="5" t="str">
        <f>A1202&amp;"-"&amp;YEAR(F1202)&amp;"-"&amp;IF(LEN(MONTH(F1202))=1,"0"&amp;MONTH(F1202),MONTH(F1202))&amp;"-"&amp;IF(LEN(DAY(F1202))=1,"0"&amp;DAY(F1202),DAY(F1202))</f>
        <v>146-2025-06-30</v>
      </c>
    </row>
    <row r="1203" spans="1:18" x14ac:dyDescent="0.3">
      <c r="A1203" s="5">
        <v>159</v>
      </c>
      <c r="B1203" s="5" t="s">
        <v>39</v>
      </c>
      <c r="C1203" s="5" t="s">
        <v>67</v>
      </c>
      <c r="D1203" s="13" t="s">
        <v>8</v>
      </c>
      <c r="E1203" s="5" t="s">
        <v>9</v>
      </c>
      <c r="F1203" s="6">
        <v>45838</v>
      </c>
      <c r="G1203" s="16">
        <v>2025</v>
      </c>
      <c r="H1203" s="6" t="s">
        <v>763</v>
      </c>
      <c r="I1203" s="6" t="s">
        <v>865</v>
      </c>
      <c r="J1203" s="5">
        <v>80</v>
      </c>
      <c r="K1203" s="5">
        <v>100</v>
      </c>
      <c r="L1203" s="15">
        <v>1.25</v>
      </c>
      <c r="M1203" s="15">
        <v>1.25</v>
      </c>
      <c r="N1203" s="5" t="s">
        <v>347</v>
      </c>
      <c r="O1203" s="5" t="s">
        <v>347</v>
      </c>
      <c r="P1203" s="5">
        <v>0</v>
      </c>
      <c r="Q1203" s="5">
        <v>0</v>
      </c>
      <c r="R1203" s="5" t="str">
        <f>A1203&amp;"-"&amp;YEAR(F1203)&amp;"-"&amp;IF(LEN(MONTH(F1203))=1,"0"&amp;MONTH(F1203),MONTH(F1203))&amp;"-"&amp;IF(LEN(DAY(F1203))=1,"0"&amp;DAY(F1203),DAY(F1203))</f>
        <v>159-2025-06-30</v>
      </c>
    </row>
    <row r="1204" spans="1:18" x14ac:dyDescent="0.3">
      <c r="A1204" s="5">
        <v>167</v>
      </c>
      <c r="B1204" s="5" t="s">
        <v>68</v>
      </c>
      <c r="C1204" s="5" t="s">
        <v>13</v>
      </c>
      <c r="D1204" s="13" t="s">
        <v>8</v>
      </c>
      <c r="E1204" s="5" t="s">
        <v>9</v>
      </c>
      <c r="F1204" s="6">
        <v>45838</v>
      </c>
      <c r="G1204" s="16">
        <v>2025</v>
      </c>
      <c r="H1204" s="6" t="s">
        <v>763</v>
      </c>
      <c r="I1204" s="6" t="s">
        <v>865</v>
      </c>
      <c r="J1204" s="5">
        <v>90</v>
      </c>
      <c r="K1204" s="5">
        <v>93.63</v>
      </c>
      <c r="L1204" s="15">
        <v>1.0403333333333333</v>
      </c>
      <c r="M1204" s="15">
        <v>1.0403333333333333</v>
      </c>
      <c r="N1204" s="5" t="s">
        <v>347</v>
      </c>
      <c r="O1204" s="5" t="s">
        <v>347</v>
      </c>
      <c r="P1204" s="5">
        <v>0</v>
      </c>
      <c r="Q1204" s="5">
        <v>1</v>
      </c>
      <c r="R1204" s="5" t="str">
        <f>A1204&amp;"-"&amp;YEAR(F1204)&amp;"-"&amp;IF(LEN(MONTH(F1204))=1,"0"&amp;MONTH(F1204),MONTH(F1204))&amp;"-"&amp;IF(LEN(DAY(F1204))=1,"0"&amp;DAY(F1204),DAY(F1204))</f>
        <v>167-2025-06-30</v>
      </c>
    </row>
    <row r="1205" spans="1:18" x14ac:dyDescent="0.3">
      <c r="A1205" s="5">
        <v>246</v>
      </c>
      <c r="B1205" s="5" t="s">
        <v>721</v>
      </c>
      <c r="C1205" s="5" t="s">
        <v>126</v>
      </c>
      <c r="D1205" s="13" t="s">
        <v>8</v>
      </c>
      <c r="E1205" s="5" t="s">
        <v>9</v>
      </c>
      <c r="F1205" s="6">
        <v>45838</v>
      </c>
      <c r="G1205" s="16">
        <v>2025</v>
      </c>
      <c r="H1205" s="6" t="s">
        <v>763</v>
      </c>
      <c r="I1205" s="6" t="s">
        <v>865</v>
      </c>
      <c r="J1205" s="5">
        <v>90</v>
      </c>
      <c r="K1205" s="5">
        <v>90.1</v>
      </c>
      <c r="L1205" s="15">
        <v>1.0011111111111111</v>
      </c>
      <c r="M1205" s="15">
        <v>1.0011111111111111</v>
      </c>
      <c r="N1205" s="5" t="s">
        <v>347</v>
      </c>
      <c r="O1205" s="5" t="s">
        <v>347</v>
      </c>
      <c r="P1205" s="5">
        <v>0</v>
      </c>
      <c r="Q1205" s="5">
        <v>0</v>
      </c>
      <c r="R1205" s="5" t="str">
        <f>A1205&amp;"-"&amp;YEAR(F1205)&amp;"-"&amp;IF(LEN(MONTH(F1205))=1,"0"&amp;MONTH(F1205),MONTH(F1205))&amp;"-"&amp;IF(LEN(DAY(F1205))=1,"0"&amp;DAY(F1205),DAY(F1205))</f>
        <v>246-2025-06-30</v>
      </c>
    </row>
    <row r="1206" spans="1:18" x14ac:dyDescent="0.3">
      <c r="A1206" s="5">
        <v>252</v>
      </c>
      <c r="B1206" s="5" t="s">
        <v>873</v>
      </c>
      <c r="C1206" s="5" t="s">
        <v>124</v>
      </c>
      <c r="D1206" s="13" t="s">
        <v>8</v>
      </c>
      <c r="E1206" s="5" t="s">
        <v>9</v>
      </c>
      <c r="F1206" s="6">
        <v>45838</v>
      </c>
      <c r="G1206" s="16">
        <v>2025</v>
      </c>
      <c r="H1206" s="6" t="s">
        <v>763</v>
      </c>
      <c r="I1206" s="6" t="s">
        <v>865</v>
      </c>
      <c r="J1206" s="5">
        <v>71.599999999999994</v>
      </c>
      <c r="K1206" s="10">
        <v>71.3</v>
      </c>
      <c r="L1206" s="15">
        <v>0.99581005586592186</v>
      </c>
      <c r="M1206" s="15">
        <v>0.99581005586592186</v>
      </c>
      <c r="N1206" s="5" t="s">
        <v>347</v>
      </c>
      <c r="O1206" s="5" t="s">
        <v>347</v>
      </c>
      <c r="P1206" s="5">
        <v>1</v>
      </c>
      <c r="Q1206" s="5">
        <v>1</v>
      </c>
      <c r="R1206" s="5" t="str">
        <f>A1206&amp;"-"&amp;YEAR(F1206)&amp;"-"&amp;IF(LEN(MONTH(F1206))=1,"0"&amp;MONTH(F1206),MONTH(F1206))&amp;"-"&amp;IF(LEN(DAY(F1206))=1,"0"&amp;DAY(F1206),DAY(F1206))</f>
        <v>252-2025-06-30</v>
      </c>
    </row>
    <row r="1207" spans="1:18" x14ac:dyDescent="0.3">
      <c r="A1207" s="5">
        <v>256</v>
      </c>
      <c r="B1207" s="5" t="s">
        <v>138</v>
      </c>
      <c r="C1207" s="5" t="s">
        <v>67</v>
      </c>
      <c r="D1207" s="13" t="s">
        <v>8</v>
      </c>
      <c r="E1207" s="5" t="s">
        <v>9</v>
      </c>
      <c r="F1207" s="6">
        <v>45838</v>
      </c>
      <c r="G1207" s="16">
        <v>2025</v>
      </c>
      <c r="H1207" s="6" t="s">
        <v>763</v>
      </c>
      <c r="I1207" s="6" t="s">
        <v>865</v>
      </c>
      <c r="J1207" s="5">
        <v>17</v>
      </c>
      <c r="K1207" s="5">
        <v>17</v>
      </c>
      <c r="L1207" s="15">
        <v>1</v>
      </c>
      <c r="M1207" s="15">
        <v>1</v>
      </c>
      <c r="N1207" s="5" t="s">
        <v>490</v>
      </c>
      <c r="O1207" s="5" t="s">
        <v>490</v>
      </c>
      <c r="P1207" s="5">
        <v>0</v>
      </c>
      <c r="Q1207" s="5">
        <v>0</v>
      </c>
      <c r="R1207" s="5" t="str">
        <f>A1207&amp;"-"&amp;YEAR(F1207)&amp;"-"&amp;IF(LEN(MONTH(F1207))=1,"0"&amp;MONTH(F1207),MONTH(F1207))&amp;"-"&amp;IF(LEN(DAY(F1207))=1,"0"&amp;DAY(F1207),DAY(F1207))</f>
        <v>256-2025-06-30</v>
      </c>
    </row>
    <row r="1208" spans="1:18" x14ac:dyDescent="0.3">
      <c r="A1208" s="5">
        <v>260</v>
      </c>
      <c r="B1208" s="5" t="s">
        <v>141</v>
      </c>
      <c r="C1208" s="5" t="s">
        <v>142</v>
      </c>
      <c r="D1208" s="13" t="s">
        <v>8</v>
      </c>
      <c r="E1208" s="5" t="s">
        <v>14</v>
      </c>
      <c r="F1208" s="6">
        <v>45838</v>
      </c>
      <c r="G1208" s="16">
        <v>2025</v>
      </c>
      <c r="H1208" s="6" t="s">
        <v>763</v>
      </c>
      <c r="I1208" s="6" t="s">
        <v>865</v>
      </c>
      <c r="J1208" s="5">
        <v>2.2000000000000002</v>
      </c>
      <c r="K1208" s="5">
        <v>1.9</v>
      </c>
      <c r="L1208" s="15">
        <v>1.1578947368421053</v>
      </c>
      <c r="M1208" s="15">
        <v>1.1578947368421053</v>
      </c>
      <c r="N1208" s="5" t="s">
        <v>478</v>
      </c>
      <c r="O1208" s="5" t="s">
        <v>478</v>
      </c>
      <c r="P1208" s="5">
        <v>1</v>
      </c>
      <c r="Q1208" s="5">
        <v>1</v>
      </c>
      <c r="R1208" s="5" t="str">
        <f>A1208&amp;"-"&amp;YEAR(F1208)&amp;"-"&amp;IF(LEN(MONTH(F1208))=1,"0"&amp;MONTH(F1208),MONTH(F1208))&amp;"-"&amp;IF(LEN(DAY(F1208))=1,"0"&amp;DAY(F1208),DAY(F1208))</f>
        <v>260-2025-06-30</v>
      </c>
    </row>
    <row r="1209" spans="1:18" x14ac:dyDescent="0.3">
      <c r="A1209" s="5">
        <v>261</v>
      </c>
      <c r="B1209" s="5" t="s">
        <v>143</v>
      </c>
      <c r="C1209" s="5" t="s">
        <v>74</v>
      </c>
      <c r="D1209" s="13" t="s">
        <v>8</v>
      </c>
      <c r="E1209" s="5" t="s">
        <v>14</v>
      </c>
      <c r="F1209" s="6">
        <v>45838</v>
      </c>
      <c r="G1209" s="16">
        <v>2025</v>
      </c>
      <c r="H1209" s="6" t="s">
        <v>763</v>
      </c>
      <c r="I1209" s="6" t="s">
        <v>865</v>
      </c>
      <c r="J1209" s="5">
        <v>2.2000000000000002</v>
      </c>
      <c r="K1209" s="5">
        <v>2.2999999999999998</v>
      </c>
      <c r="L1209" s="15">
        <v>0.95652173913043492</v>
      </c>
      <c r="M1209" s="15">
        <v>0.95652173913043492</v>
      </c>
      <c r="N1209" s="5" t="s">
        <v>490</v>
      </c>
      <c r="O1209" s="5" t="s">
        <v>478</v>
      </c>
      <c r="P1209" s="5">
        <v>1</v>
      </c>
      <c r="Q1209" s="5">
        <v>1</v>
      </c>
      <c r="R1209" s="5" t="str">
        <f>A1209&amp;"-"&amp;YEAR(F1209)&amp;"-"&amp;IF(LEN(MONTH(F1209))=1,"0"&amp;MONTH(F1209),MONTH(F1209))&amp;"-"&amp;IF(LEN(DAY(F1209))=1,"0"&amp;DAY(F1209),DAY(F1209))</f>
        <v>261-2025-06-30</v>
      </c>
    </row>
    <row r="1210" spans="1:18" x14ac:dyDescent="0.3">
      <c r="A1210" s="5">
        <v>268</v>
      </c>
      <c r="B1210" s="5" t="s">
        <v>151</v>
      </c>
      <c r="C1210" s="5" t="s">
        <v>152</v>
      </c>
      <c r="D1210" s="13" t="s">
        <v>8</v>
      </c>
      <c r="E1210" s="5" t="s">
        <v>9</v>
      </c>
      <c r="F1210" s="6">
        <v>45838</v>
      </c>
      <c r="G1210" s="16">
        <v>2025</v>
      </c>
      <c r="H1210" s="6" t="s">
        <v>763</v>
      </c>
      <c r="I1210" s="6" t="s">
        <v>865</v>
      </c>
      <c r="J1210" s="5"/>
      <c r="K1210" s="5">
        <v>765</v>
      </c>
      <c r="L1210" s="15" t="s">
        <v>417</v>
      </c>
      <c r="M1210" s="15" t="s">
        <v>417</v>
      </c>
      <c r="N1210" s="5" t="s">
        <v>347</v>
      </c>
      <c r="O1210" s="5" t="s">
        <v>490</v>
      </c>
      <c r="P1210" s="5">
        <v>0</v>
      </c>
      <c r="Q1210" s="5">
        <v>0</v>
      </c>
      <c r="R1210" s="5" t="str">
        <f>A1210&amp;"-"&amp;YEAR(F1210)&amp;"-"&amp;IF(LEN(MONTH(F1210))=1,"0"&amp;MONTH(F1210),MONTH(F1210))&amp;"-"&amp;IF(LEN(DAY(F1210))=1,"0"&amp;DAY(F1210),DAY(F1210))</f>
        <v>268-2025-06-30</v>
      </c>
    </row>
    <row r="1211" spans="1:18" x14ac:dyDescent="0.3">
      <c r="A1211" s="5">
        <v>270</v>
      </c>
      <c r="B1211" s="5" t="s">
        <v>154</v>
      </c>
      <c r="C1211" s="5" t="s">
        <v>152</v>
      </c>
      <c r="D1211" s="13" t="s">
        <v>8</v>
      </c>
      <c r="E1211" s="5" t="s">
        <v>9</v>
      </c>
      <c r="F1211" s="6">
        <v>45838</v>
      </c>
      <c r="G1211" s="16">
        <v>2025</v>
      </c>
      <c r="H1211" s="6" t="s">
        <v>763</v>
      </c>
      <c r="I1211" s="6" t="s">
        <v>865</v>
      </c>
      <c r="J1211" s="5"/>
      <c r="K1211" s="5">
        <v>4.17</v>
      </c>
      <c r="L1211" s="15" t="s">
        <v>417</v>
      </c>
      <c r="M1211" s="15" t="s">
        <v>417</v>
      </c>
      <c r="N1211" s="5" t="s">
        <v>478</v>
      </c>
      <c r="O1211" s="5" t="s">
        <v>490</v>
      </c>
      <c r="P1211" s="5">
        <v>0</v>
      </c>
      <c r="Q1211" s="5">
        <v>0</v>
      </c>
      <c r="R1211" s="5" t="str">
        <f>A1211&amp;"-"&amp;YEAR(F1211)&amp;"-"&amp;IF(LEN(MONTH(F1211))=1,"0"&amp;MONTH(F1211),MONTH(F1211))&amp;"-"&amp;IF(LEN(DAY(F1211))=1,"0"&amp;DAY(F1211),DAY(F1211))</f>
        <v>270-2025-06-30</v>
      </c>
    </row>
    <row r="1212" spans="1:18" x14ac:dyDescent="0.3">
      <c r="A1212" s="5">
        <v>271</v>
      </c>
      <c r="B1212" s="5" t="s">
        <v>155</v>
      </c>
      <c r="C1212" s="5" t="s">
        <v>152</v>
      </c>
      <c r="D1212" s="13" t="s">
        <v>8</v>
      </c>
      <c r="E1212" s="5" t="s">
        <v>9</v>
      </c>
      <c r="F1212" s="6">
        <v>45838</v>
      </c>
      <c r="G1212" s="16">
        <v>2025</v>
      </c>
      <c r="H1212" s="6" t="s">
        <v>763</v>
      </c>
      <c r="I1212" s="6" t="s">
        <v>865</v>
      </c>
      <c r="J1212" s="5"/>
      <c r="K1212" s="5">
        <v>23.85</v>
      </c>
      <c r="L1212" s="15" t="s">
        <v>417</v>
      </c>
      <c r="M1212" s="15" t="s">
        <v>417</v>
      </c>
      <c r="N1212" s="5">
        <v>0</v>
      </c>
      <c r="O1212" s="5" t="s">
        <v>490</v>
      </c>
      <c r="P1212" s="5">
        <v>0</v>
      </c>
      <c r="Q1212" s="5">
        <v>0</v>
      </c>
      <c r="R1212" s="5" t="str">
        <f>A1212&amp;"-"&amp;YEAR(F1212)&amp;"-"&amp;IF(LEN(MONTH(F1212))=1,"0"&amp;MONTH(F1212),MONTH(F1212))&amp;"-"&amp;IF(LEN(DAY(F1212))=1,"0"&amp;DAY(F1212),DAY(F1212))</f>
        <v>271-2025-06-30</v>
      </c>
    </row>
    <row r="1213" spans="1:18" x14ac:dyDescent="0.3">
      <c r="A1213" s="5">
        <v>275</v>
      </c>
      <c r="B1213" s="5" t="s">
        <v>497</v>
      </c>
      <c r="C1213" s="5" t="s">
        <v>160</v>
      </c>
      <c r="D1213" s="13" t="s">
        <v>8</v>
      </c>
      <c r="E1213" s="5" t="s">
        <v>9</v>
      </c>
      <c r="F1213" s="6">
        <v>45838</v>
      </c>
      <c r="G1213" s="16">
        <v>2025</v>
      </c>
      <c r="H1213" s="6" t="s">
        <v>763</v>
      </c>
      <c r="I1213" s="6" t="s">
        <v>865</v>
      </c>
      <c r="J1213" s="5">
        <v>80</v>
      </c>
      <c r="K1213" s="5">
        <v>90</v>
      </c>
      <c r="L1213" s="15">
        <v>1.125</v>
      </c>
      <c r="M1213" s="15">
        <v>1.125</v>
      </c>
      <c r="N1213" s="5" t="s">
        <v>347</v>
      </c>
      <c r="O1213" s="5" t="s">
        <v>347</v>
      </c>
      <c r="P1213" s="5">
        <v>0</v>
      </c>
      <c r="Q1213" s="5">
        <v>0</v>
      </c>
      <c r="R1213" s="5" t="str">
        <f>A1213&amp;"-"&amp;YEAR(F1213)&amp;"-"&amp;IF(LEN(MONTH(F1213))=1,"0"&amp;MONTH(F1213),MONTH(F1213))&amp;"-"&amp;IF(LEN(DAY(F1213))=1,"0"&amp;DAY(F1213),DAY(F1213))</f>
        <v>275-2025-06-30</v>
      </c>
    </row>
    <row r="1214" spans="1:18" x14ac:dyDescent="0.3">
      <c r="A1214" s="5">
        <v>278</v>
      </c>
      <c r="B1214" s="5" t="s">
        <v>874</v>
      </c>
      <c r="C1214" s="5" t="s">
        <v>162</v>
      </c>
      <c r="D1214" s="13" t="s">
        <v>8</v>
      </c>
      <c r="E1214" s="5" t="s">
        <v>9</v>
      </c>
      <c r="F1214" s="6">
        <v>45838</v>
      </c>
      <c r="G1214" s="16">
        <v>2025</v>
      </c>
      <c r="H1214" s="6" t="s">
        <v>763</v>
      </c>
      <c r="I1214" s="6" t="s">
        <v>865</v>
      </c>
      <c r="J1214" s="5"/>
      <c r="K1214" s="5">
        <v>1099</v>
      </c>
      <c r="L1214" s="15" t="s">
        <v>417</v>
      </c>
      <c r="M1214" s="15" t="s">
        <v>417</v>
      </c>
      <c r="N1214" s="5" t="s">
        <v>728</v>
      </c>
      <c r="O1214" s="5" t="s">
        <v>728</v>
      </c>
      <c r="P1214" s="5">
        <v>0</v>
      </c>
      <c r="Q1214" s="5">
        <v>0</v>
      </c>
      <c r="R1214" s="5" t="str">
        <f>A1214&amp;"-"&amp;YEAR(F1214)&amp;"-"&amp;IF(LEN(MONTH(F1214))=1,"0"&amp;MONTH(F1214),MONTH(F1214))&amp;"-"&amp;IF(LEN(DAY(F1214))=1,"0"&amp;DAY(F1214),DAY(F1214))</f>
        <v>278-2025-06-30</v>
      </c>
    </row>
    <row r="1215" spans="1:18" x14ac:dyDescent="0.3">
      <c r="A1215" s="5">
        <v>282</v>
      </c>
      <c r="B1215" s="5" t="s">
        <v>168</v>
      </c>
      <c r="C1215" s="5" t="s">
        <v>162</v>
      </c>
      <c r="D1215" s="13" t="s">
        <v>8</v>
      </c>
      <c r="E1215" s="5" t="s">
        <v>9</v>
      </c>
      <c r="F1215" s="6">
        <v>45838</v>
      </c>
      <c r="G1215" s="16">
        <v>2025</v>
      </c>
      <c r="H1215" s="6" t="s">
        <v>763</v>
      </c>
      <c r="I1215" s="6" t="s">
        <v>865</v>
      </c>
      <c r="J1215" s="5">
        <v>97</v>
      </c>
      <c r="K1215" s="5">
        <v>97.41</v>
      </c>
      <c r="L1215" s="15">
        <v>1.0042268041237112</v>
      </c>
      <c r="M1215" s="15">
        <v>1.0042268041237112</v>
      </c>
      <c r="N1215" s="5" t="s">
        <v>347</v>
      </c>
      <c r="O1215" s="5" t="s">
        <v>347</v>
      </c>
      <c r="P1215" s="5">
        <v>0</v>
      </c>
      <c r="Q1215" s="5">
        <v>0</v>
      </c>
      <c r="R1215" s="5" t="str">
        <f>A1215&amp;"-"&amp;YEAR(F1215)&amp;"-"&amp;IF(LEN(MONTH(F1215))=1,"0"&amp;MONTH(F1215),MONTH(F1215))&amp;"-"&amp;IF(LEN(DAY(F1215))=1,"0"&amp;DAY(F1215),DAY(F1215))</f>
        <v>282-2025-06-30</v>
      </c>
    </row>
    <row r="1216" spans="1:18" x14ac:dyDescent="0.3">
      <c r="A1216" s="5">
        <v>285</v>
      </c>
      <c r="B1216" s="5" t="s">
        <v>171</v>
      </c>
      <c r="C1216" s="5" t="s">
        <v>162</v>
      </c>
      <c r="D1216" s="13" t="s">
        <v>8</v>
      </c>
      <c r="E1216" s="5" t="s">
        <v>9</v>
      </c>
      <c r="F1216" s="6">
        <v>45838</v>
      </c>
      <c r="G1216" s="16">
        <v>2025</v>
      </c>
      <c r="H1216" s="6" t="s">
        <v>763</v>
      </c>
      <c r="I1216" s="6" t="s">
        <v>865</v>
      </c>
      <c r="J1216" s="5">
        <v>100</v>
      </c>
      <c r="K1216" s="5">
        <v>100</v>
      </c>
      <c r="L1216" s="15">
        <v>1</v>
      </c>
      <c r="M1216" s="15">
        <v>1</v>
      </c>
      <c r="N1216" s="5" t="s">
        <v>347</v>
      </c>
      <c r="O1216" s="5" t="s">
        <v>347</v>
      </c>
      <c r="P1216" s="5">
        <v>0</v>
      </c>
      <c r="Q1216" s="5">
        <v>0</v>
      </c>
      <c r="R1216" s="5" t="str">
        <f>A1216&amp;"-"&amp;YEAR(F1216)&amp;"-"&amp;IF(LEN(MONTH(F1216))=1,"0"&amp;MONTH(F1216),MONTH(F1216))&amp;"-"&amp;IF(LEN(DAY(F1216))=1,"0"&amp;DAY(F1216),DAY(F1216))</f>
        <v>285-2025-06-30</v>
      </c>
    </row>
    <row r="1217" spans="1:18" x14ac:dyDescent="0.3">
      <c r="A1217" s="5">
        <v>286</v>
      </c>
      <c r="B1217" s="5" t="s">
        <v>172</v>
      </c>
      <c r="C1217" s="5" t="s">
        <v>162</v>
      </c>
      <c r="D1217" s="13" t="s">
        <v>8</v>
      </c>
      <c r="E1217" s="5" t="s">
        <v>9</v>
      </c>
      <c r="F1217" s="6">
        <v>45838</v>
      </c>
      <c r="G1217" s="16">
        <v>2025</v>
      </c>
      <c r="H1217" s="6" t="s">
        <v>763</v>
      </c>
      <c r="I1217" s="6" t="s">
        <v>865</v>
      </c>
      <c r="J1217" s="5"/>
      <c r="K1217" s="5">
        <v>1099</v>
      </c>
      <c r="L1217" s="15" t="s">
        <v>417</v>
      </c>
      <c r="M1217" s="15" t="s">
        <v>417</v>
      </c>
      <c r="N1217" s="5" t="s">
        <v>728</v>
      </c>
      <c r="O1217" s="5" t="s">
        <v>728</v>
      </c>
      <c r="P1217" s="5">
        <v>0</v>
      </c>
      <c r="Q1217" s="5">
        <v>0</v>
      </c>
      <c r="R1217" s="5" t="str">
        <f>A1217&amp;"-"&amp;YEAR(F1217)&amp;"-"&amp;IF(LEN(MONTH(F1217))=1,"0"&amp;MONTH(F1217),MONTH(F1217))&amp;"-"&amp;IF(LEN(DAY(F1217))=1,"0"&amp;DAY(F1217),DAY(F1217))</f>
        <v>286-2025-06-30</v>
      </c>
    </row>
    <row r="1218" spans="1:18" x14ac:dyDescent="0.3">
      <c r="A1218" s="5">
        <v>292</v>
      </c>
      <c r="B1218" s="5" t="s">
        <v>729</v>
      </c>
      <c r="C1218" s="5" t="s">
        <v>177</v>
      </c>
      <c r="D1218" s="13" t="s">
        <v>8</v>
      </c>
      <c r="E1218" s="5" t="s">
        <v>9</v>
      </c>
      <c r="F1218" s="6">
        <v>45838</v>
      </c>
      <c r="G1218" s="16">
        <v>2025</v>
      </c>
      <c r="H1218" s="6" t="s">
        <v>763</v>
      </c>
      <c r="I1218" s="6" t="s">
        <v>865</v>
      </c>
      <c r="J1218" s="5">
        <v>8</v>
      </c>
      <c r="K1218" s="5">
        <v>9.7899999999999991</v>
      </c>
      <c r="L1218" s="15">
        <v>1.2237499999999999</v>
      </c>
      <c r="M1218" s="15">
        <v>1.2237499999999999</v>
      </c>
      <c r="N1218" s="5" t="s">
        <v>347</v>
      </c>
      <c r="O1218" s="5" t="s">
        <v>347</v>
      </c>
      <c r="P1218" s="5">
        <v>0</v>
      </c>
      <c r="Q1218" s="5">
        <v>0</v>
      </c>
      <c r="R1218" s="5" t="str">
        <f>A1218&amp;"-"&amp;YEAR(F1218)&amp;"-"&amp;IF(LEN(MONTH(F1218))=1,"0"&amp;MONTH(F1218),MONTH(F1218))&amp;"-"&amp;IF(LEN(DAY(F1218))=1,"0"&amp;DAY(F1218),DAY(F1218))</f>
        <v>292-2025-06-30</v>
      </c>
    </row>
    <row r="1219" spans="1:18" x14ac:dyDescent="0.3">
      <c r="A1219" s="5">
        <v>294</v>
      </c>
      <c r="B1219" s="5" t="s">
        <v>512</v>
      </c>
      <c r="C1219" s="5" t="s">
        <v>177</v>
      </c>
      <c r="D1219" s="13" t="s">
        <v>8</v>
      </c>
      <c r="E1219" s="5" t="s">
        <v>9</v>
      </c>
      <c r="F1219" s="6">
        <v>45838</v>
      </c>
      <c r="G1219" s="16">
        <v>2025</v>
      </c>
      <c r="H1219" s="6" t="s">
        <v>763</v>
      </c>
      <c r="I1219" s="6" t="s">
        <v>865</v>
      </c>
      <c r="J1219" s="5">
        <v>8</v>
      </c>
      <c r="K1219" s="5">
        <v>-9.19</v>
      </c>
      <c r="L1219" s="15">
        <v>0</v>
      </c>
      <c r="M1219" s="15">
        <v>0</v>
      </c>
      <c r="N1219" s="5" t="s">
        <v>347</v>
      </c>
      <c r="O1219" s="5" t="s">
        <v>347</v>
      </c>
      <c r="P1219" s="5">
        <v>0</v>
      </c>
      <c r="Q1219" s="5">
        <v>0</v>
      </c>
      <c r="R1219" s="5" t="str">
        <f>A1219&amp;"-"&amp;YEAR(F1219)&amp;"-"&amp;IF(LEN(MONTH(F1219))=1,"0"&amp;MONTH(F1219),MONTH(F1219))&amp;"-"&amp;IF(LEN(DAY(F1219))=1,"0"&amp;DAY(F1219),DAY(F1219))</f>
        <v>294-2025-06-30</v>
      </c>
    </row>
    <row r="1220" spans="1:18" x14ac:dyDescent="0.3">
      <c r="A1220" s="5">
        <v>302</v>
      </c>
      <c r="B1220" s="5" t="s">
        <v>187</v>
      </c>
      <c r="C1220" s="5" t="s">
        <v>152</v>
      </c>
      <c r="D1220" s="13" t="s">
        <v>8</v>
      </c>
      <c r="E1220" s="5" t="s">
        <v>9</v>
      </c>
      <c r="F1220" s="6">
        <v>45838</v>
      </c>
      <c r="G1220" s="16">
        <v>2025</v>
      </c>
      <c r="H1220" s="6" t="s">
        <v>763</v>
      </c>
      <c r="I1220" s="6" t="s">
        <v>865</v>
      </c>
      <c r="J1220" s="5"/>
      <c r="K1220" s="5">
        <v>0</v>
      </c>
      <c r="L1220" s="15" t="s">
        <v>417</v>
      </c>
      <c r="M1220" s="15" t="s">
        <v>417</v>
      </c>
      <c r="N1220" s="5" t="s">
        <v>347</v>
      </c>
      <c r="O1220" s="5" t="s">
        <v>490</v>
      </c>
      <c r="P1220" s="5">
        <v>0</v>
      </c>
      <c r="Q1220" s="5">
        <v>0</v>
      </c>
      <c r="R1220" s="5" t="str">
        <f>A1220&amp;"-"&amp;YEAR(F1220)&amp;"-"&amp;IF(LEN(MONTH(F1220))=1,"0"&amp;MONTH(F1220),MONTH(F1220))&amp;"-"&amp;IF(LEN(DAY(F1220))=1,"0"&amp;DAY(F1220),DAY(F1220))</f>
        <v>302-2025-06-30</v>
      </c>
    </row>
    <row r="1221" spans="1:18" x14ac:dyDescent="0.3">
      <c r="A1221" s="5">
        <v>303</v>
      </c>
      <c r="B1221" s="5" t="s">
        <v>188</v>
      </c>
      <c r="C1221" s="5" t="s">
        <v>189</v>
      </c>
      <c r="D1221" s="13" t="s">
        <v>8</v>
      </c>
      <c r="E1221" s="5" t="s">
        <v>9</v>
      </c>
      <c r="F1221" s="6">
        <v>45838</v>
      </c>
      <c r="G1221" s="16">
        <v>2025</v>
      </c>
      <c r="H1221" s="6" t="s">
        <v>763</v>
      </c>
      <c r="I1221" s="6" t="s">
        <v>865</v>
      </c>
      <c r="J1221" s="5">
        <v>95</v>
      </c>
      <c r="K1221" s="5">
        <v>90.32</v>
      </c>
      <c r="L1221" s="15">
        <v>0.9507368421052631</v>
      </c>
      <c r="M1221" s="15">
        <v>0.9507368421052631</v>
      </c>
      <c r="N1221" s="5" t="s">
        <v>347</v>
      </c>
      <c r="O1221" s="5" t="s">
        <v>347</v>
      </c>
      <c r="P1221" s="5">
        <v>0</v>
      </c>
      <c r="Q1221" s="5">
        <v>0</v>
      </c>
      <c r="R1221" s="5" t="str">
        <f>A1221&amp;"-"&amp;YEAR(F1221)&amp;"-"&amp;IF(LEN(MONTH(F1221))=1,"0"&amp;MONTH(F1221),MONTH(F1221))&amp;"-"&amp;IF(LEN(DAY(F1221))=1,"0"&amp;DAY(F1221),DAY(F1221))</f>
        <v>303-2025-06-30</v>
      </c>
    </row>
    <row r="1222" spans="1:18" x14ac:dyDescent="0.3">
      <c r="A1222" s="5">
        <v>304</v>
      </c>
      <c r="B1222" s="5" t="s">
        <v>190</v>
      </c>
      <c r="C1222" s="5" t="s">
        <v>189</v>
      </c>
      <c r="D1222" s="13" t="s">
        <v>8</v>
      </c>
      <c r="E1222" s="5" t="s">
        <v>9</v>
      </c>
      <c r="F1222" s="6">
        <v>45838</v>
      </c>
      <c r="G1222" s="16">
        <v>2025</v>
      </c>
      <c r="H1222" s="6" t="s">
        <v>763</v>
      </c>
      <c r="I1222" s="6" t="s">
        <v>865</v>
      </c>
      <c r="J1222" s="5">
        <v>3400</v>
      </c>
      <c r="K1222" s="5">
        <v>3348</v>
      </c>
      <c r="L1222" s="15">
        <v>0.98470588235294121</v>
      </c>
      <c r="M1222" s="15">
        <v>0.98470588235294121</v>
      </c>
      <c r="N1222" s="5" t="s">
        <v>490</v>
      </c>
      <c r="O1222" s="5" t="s">
        <v>490</v>
      </c>
      <c r="P1222" s="5">
        <v>0</v>
      </c>
      <c r="Q1222" s="5">
        <v>0</v>
      </c>
      <c r="R1222" s="5" t="str">
        <f>A1222&amp;"-"&amp;YEAR(F1222)&amp;"-"&amp;IF(LEN(MONTH(F1222))=1,"0"&amp;MONTH(F1222),MONTH(F1222))&amp;"-"&amp;IF(LEN(DAY(F1222))=1,"0"&amp;DAY(F1222),DAY(F1222))</f>
        <v>304-2025-06-30</v>
      </c>
    </row>
    <row r="1223" spans="1:18" x14ac:dyDescent="0.3">
      <c r="A1223" s="5">
        <v>327</v>
      </c>
      <c r="B1223" s="5" t="s">
        <v>875</v>
      </c>
      <c r="C1223" s="5" t="s">
        <v>158</v>
      </c>
      <c r="D1223" s="13" t="s">
        <v>8</v>
      </c>
      <c r="E1223" s="5" t="s">
        <v>9</v>
      </c>
      <c r="F1223" s="6">
        <v>45838</v>
      </c>
      <c r="G1223" s="16">
        <v>2025</v>
      </c>
      <c r="H1223" s="6" t="s">
        <v>763</v>
      </c>
      <c r="I1223" s="6" t="s">
        <v>865</v>
      </c>
      <c r="J1223" s="5">
        <v>1</v>
      </c>
      <c r="K1223" s="5">
        <v>1</v>
      </c>
      <c r="L1223" s="15">
        <v>1</v>
      </c>
      <c r="M1223" s="15">
        <v>1</v>
      </c>
      <c r="N1223" s="5" t="s">
        <v>490</v>
      </c>
      <c r="O1223" s="5" t="s">
        <v>490</v>
      </c>
      <c r="P1223" s="5">
        <v>0</v>
      </c>
      <c r="Q1223" s="5">
        <v>0</v>
      </c>
      <c r="R1223" s="5" t="str">
        <f>A1223&amp;"-"&amp;YEAR(F1223)&amp;"-"&amp;IF(LEN(MONTH(F1223))=1,"0"&amp;MONTH(F1223),MONTH(F1223))&amp;"-"&amp;IF(LEN(DAY(F1223))=1,"0"&amp;DAY(F1223),DAY(F1223))</f>
        <v>327-2025-06-30</v>
      </c>
    </row>
    <row r="1224" spans="1:18" x14ac:dyDescent="0.3">
      <c r="A1224" s="5">
        <v>337</v>
      </c>
      <c r="B1224" s="5" t="s">
        <v>876</v>
      </c>
      <c r="C1224" s="5" t="s">
        <v>158</v>
      </c>
      <c r="D1224" s="13" t="s">
        <v>8</v>
      </c>
      <c r="E1224" s="5" t="s">
        <v>9</v>
      </c>
      <c r="F1224" s="6">
        <v>45838</v>
      </c>
      <c r="G1224" s="16">
        <v>2025</v>
      </c>
      <c r="H1224" s="6" t="s">
        <v>763</v>
      </c>
      <c r="I1224" s="6" t="s">
        <v>865</v>
      </c>
      <c r="J1224" s="5"/>
      <c r="K1224" s="5"/>
      <c r="L1224" s="15" t="s">
        <v>417</v>
      </c>
      <c r="M1224" s="15" t="s">
        <v>417</v>
      </c>
      <c r="N1224" s="5"/>
      <c r="O1224" s="5"/>
      <c r="P1224" s="5">
        <v>0</v>
      </c>
      <c r="Q1224" s="5">
        <v>0</v>
      </c>
      <c r="R1224" s="5" t="str">
        <f>A1224&amp;"-"&amp;YEAR(F1224)&amp;"-"&amp;IF(LEN(MONTH(F1224))=1,"0"&amp;MONTH(F1224),MONTH(F1224))&amp;"-"&amp;IF(LEN(DAY(F1224))=1,"0"&amp;DAY(F1224),DAY(F1224))</f>
        <v>337-2025-06-30</v>
      </c>
    </row>
    <row r="1225" spans="1:18" x14ac:dyDescent="0.3">
      <c r="A1225" s="5">
        <v>338</v>
      </c>
      <c r="B1225" s="5" t="s">
        <v>877</v>
      </c>
      <c r="C1225" s="5" t="s">
        <v>158</v>
      </c>
      <c r="D1225" s="13" t="s">
        <v>8</v>
      </c>
      <c r="E1225" s="5" t="s">
        <v>9</v>
      </c>
      <c r="F1225" s="6">
        <v>45838</v>
      </c>
      <c r="G1225" s="16">
        <v>2025</v>
      </c>
      <c r="H1225" s="6" t="s">
        <v>763</v>
      </c>
      <c r="I1225" s="6" t="s">
        <v>865</v>
      </c>
      <c r="J1225" s="5">
        <v>1</v>
      </c>
      <c r="K1225" s="5">
        <v>1</v>
      </c>
      <c r="L1225" s="15">
        <v>1</v>
      </c>
      <c r="M1225" s="15">
        <v>1</v>
      </c>
      <c r="N1225" s="5" t="s">
        <v>490</v>
      </c>
      <c r="O1225" s="5" t="s">
        <v>490</v>
      </c>
      <c r="P1225" s="5">
        <v>0</v>
      </c>
      <c r="Q1225" s="5">
        <v>0</v>
      </c>
      <c r="R1225" s="5" t="str">
        <f>A1225&amp;"-"&amp;YEAR(F1225)&amp;"-"&amp;IF(LEN(MONTH(F1225))=1,"0"&amp;MONTH(F1225),MONTH(F1225))&amp;"-"&amp;IF(LEN(DAY(F1225))=1,"0"&amp;DAY(F1225),DAY(F1225))</f>
        <v>338-2025-06-30</v>
      </c>
    </row>
    <row r="1226" spans="1:18" x14ac:dyDescent="0.3">
      <c r="A1226" s="5">
        <v>341</v>
      </c>
      <c r="B1226" s="5" t="s">
        <v>878</v>
      </c>
      <c r="C1226" s="5" t="s">
        <v>7</v>
      </c>
      <c r="D1226" s="13" t="s">
        <v>8</v>
      </c>
      <c r="E1226" s="5" t="s">
        <v>9</v>
      </c>
      <c r="F1226" s="6">
        <v>45838</v>
      </c>
      <c r="G1226" s="16">
        <v>2025</v>
      </c>
      <c r="H1226" s="6" t="s">
        <v>763</v>
      </c>
      <c r="I1226" s="6" t="s">
        <v>865</v>
      </c>
      <c r="J1226" s="9">
        <v>900000000</v>
      </c>
      <c r="K1226" s="9">
        <v>920265122</v>
      </c>
      <c r="L1226" s="15">
        <v>1.0225168022222222</v>
      </c>
      <c r="M1226" s="15">
        <v>1.0225168022222222</v>
      </c>
      <c r="N1226" s="5" t="s">
        <v>474</v>
      </c>
      <c r="O1226" s="5" t="s">
        <v>474</v>
      </c>
      <c r="P1226" s="5">
        <v>0</v>
      </c>
      <c r="Q1226" s="5">
        <v>0</v>
      </c>
      <c r="R1226" s="5" t="str">
        <f>A1226&amp;"-"&amp;YEAR(F1226)&amp;"-"&amp;IF(LEN(MONTH(F1226))=1,"0"&amp;MONTH(F1226),MONTH(F1226))&amp;"-"&amp;IF(LEN(DAY(F1226))=1,"0"&amp;DAY(F1226),DAY(F1226))</f>
        <v>341-2025-06-30</v>
      </c>
    </row>
    <row r="1227" spans="1:18" x14ac:dyDescent="0.3">
      <c r="A1227" s="5">
        <v>344</v>
      </c>
      <c r="B1227" s="5" t="s">
        <v>227</v>
      </c>
      <c r="C1227" s="5" t="s">
        <v>13</v>
      </c>
      <c r="D1227" s="13" t="s">
        <v>8</v>
      </c>
      <c r="E1227" s="5" t="s">
        <v>9</v>
      </c>
      <c r="F1227" s="6">
        <v>45838</v>
      </c>
      <c r="G1227" s="16">
        <v>2025</v>
      </c>
      <c r="H1227" s="6" t="s">
        <v>763</v>
      </c>
      <c r="I1227" s="6" t="s">
        <v>865</v>
      </c>
      <c r="J1227" s="5">
        <v>93</v>
      </c>
      <c r="K1227" s="5">
        <v>99.43</v>
      </c>
      <c r="L1227" s="15">
        <v>1.0691397849462367</v>
      </c>
      <c r="M1227" s="15">
        <v>1.0691397849462367</v>
      </c>
      <c r="N1227" s="5" t="s">
        <v>347</v>
      </c>
      <c r="O1227" s="5" t="s">
        <v>347</v>
      </c>
      <c r="P1227" s="5">
        <v>0</v>
      </c>
      <c r="Q1227" s="5">
        <v>0</v>
      </c>
      <c r="R1227" s="5" t="str">
        <f>A1227&amp;"-"&amp;YEAR(F1227)&amp;"-"&amp;IF(LEN(MONTH(F1227))=1,"0"&amp;MONTH(F1227),MONTH(F1227))&amp;"-"&amp;IF(LEN(DAY(F1227))=1,"0"&amp;DAY(F1227),DAY(F1227))</f>
        <v>344-2025-06-30</v>
      </c>
    </row>
    <row r="1228" spans="1:18" x14ac:dyDescent="0.3">
      <c r="A1228" s="5">
        <v>356</v>
      </c>
      <c r="B1228" s="5" t="s">
        <v>241</v>
      </c>
      <c r="C1228" s="5" t="s">
        <v>240</v>
      </c>
      <c r="D1228" s="13" t="s">
        <v>8</v>
      </c>
      <c r="E1228" s="5" t="s">
        <v>14</v>
      </c>
      <c r="F1228" s="6">
        <v>45838</v>
      </c>
      <c r="G1228" s="16">
        <v>2025</v>
      </c>
      <c r="H1228" s="6" t="s">
        <v>763</v>
      </c>
      <c r="I1228" s="6" t="s">
        <v>865</v>
      </c>
      <c r="J1228" s="5">
        <v>60</v>
      </c>
      <c r="K1228" s="5">
        <v>49.14</v>
      </c>
      <c r="L1228" s="15">
        <v>1.2210012210012209</v>
      </c>
      <c r="M1228" s="15">
        <v>1.2210012210012209</v>
      </c>
      <c r="N1228" s="5" t="s">
        <v>347</v>
      </c>
      <c r="O1228" s="5" t="s">
        <v>347</v>
      </c>
      <c r="P1228" s="5">
        <v>0</v>
      </c>
      <c r="Q1228" s="5">
        <v>1</v>
      </c>
      <c r="R1228" s="5" t="str">
        <f>A1228&amp;"-"&amp;YEAR(F1228)&amp;"-"&amp;IF(LEN(MONTH(F1228))=1,"0"&amp;MONTH(F1228),MONTH(F1228))&amp;"-"&amp;IF(LEN(DAY(F1228))=1,"0"&amp;DAY(F1228),DAY(F1228))</f>
        <v>356-2025-06-30</v>
      </c>
    </row>
    <row r="1229" spans="1:18" x14ac:dyDescent="0.3">
      <c r="A1229" s="5">
        <v>357</v>
      </c>
      <c r="B1229" s="5" t="s">
        <v>242</v>
      </c>
      <c r="C1229" s="5" t="s">
        <v>240</v>
      </c>
      <c r="D1229" s="13" t="s">
        <v>8</v>
      </c>
      <c r="E1229" s="5" t="s">
        <v>9</v>
      </c>
      <c r="F1229" s="6">
        <v>45838</v>
      </c>
      <c r="G1229" s="16">
        <v>2025</v>
      </c>
      <c r="H1229" s="6" t="s">
        <v>763</v>
      </c>
      <c r="I1229" s="6" t="s">
        <v>865</v>
      </c>
      <c r="J1229" s="5"/>
      <c r="K1229" s="5">
        <v>0.85</v>
      </c>
      <c r="L1229" s="15" t="s">
        <v>417</v>
      </c>
      <c r="M1229" s="15" t="s">
        <v>417</v>
      </c>
      <c r="N1229" s="5" t="s">
        <v>728</v>
      </c>
      <c r="O1229" s="5"/>
      <c r="P1229" s="5">
        <v>0</v>
      </c>
      <c r="Q1229" s="5">
        <v>2</v>
      </c>
      <c r="R1229" s="5" t="str">
        <f>A1229&amp;"-"&amp;YEAR(F1229)&amp;"-"&amp;IF(LEN(MONTH(F1229))=1,"0"&amp;MONTH(F1229),MONTH(F1229))&amp;"-"&amp;IF(LEN(DAY(F1229))=1,"0"&amp;DAY(F1229),DAY(F1229))</f>
        <v>357-2025-06-30</v>
      </c>
    </row>
    <row r="1230" spans="1:18" x14ac:dyDescent="0.3">
      <c r="A1230" s="5">
        <v>358</v>
      </c>
      <c r="B1230" s="5" t="s">
        <v>879</v>
      </c>
      <c r="C1230" s="5" t="s">
        <v>244</v>
      </c>
      <c r="D1230" s="13" t="s">
        <v>8</v>
      </c>
      <c r="E1230" s="5" t="s">
        <v>9</v>
      </c>
      <c r="F1230" s="6">
        <v>45838</v>
      </c>
      <c r="G1230" s="16">
        <v>2025</v>
      </c>
      <c r="H1230" s="6" t="s">
        <v>763</v>
      </c>
      <c r="I1230" s="6" t="s">
        <v>865</v>
      </c>
      <c r="J1230" s="5">
        <v>100</v>
      </c>
      <c r="K1230" s="5">
        <v>100</v>
      </c>
      <c r="L1230" s="15">
        <v>1</v>
      </c>
      <c r="M1230" s="15">
        <v>1</v>
      </c>
      <c r="N1230" s="5" t="s">
        <v>347</v>
      </c>
      <c r="O1230" s="5" t="s">
        <v>347</v>
      </c>
      <c r="P1230" s="5">
        <v>0</v>
      </c>
      <c r="Q1230" s="5">
        <v>0</v>
      </c>
      <c r="R1230" s="5" t="str">
        <f>A1230&amp;"-"&amp;YEAR(F1230)&amp;"-"&amp;IF(LEN(MONTH(F1230))=1,"0"&amp;MONTH(F1230),MONTH(F1230))&amp;"-"&amp;IF(LEN(DAY(F1230))=1,"0"&amp;DAY(F1230),DAY(F1230))</f>
        <v>358-2025-06-30</v>
      </c>
    </row>
    <row r="1231" spans="1:18" x14ac:dyDescent="0.3">
      <c r="A1231" s="5">
        <v>359</v>
      </c>
      <c r="B1231" s="5" t="s">
        <v>880</v>
      </c>
      <c r="C1231" s="5" t="s">
        <v>160</v>
      </c>
      <c r="D1231" s="13" t="s">
        <v>8</v>
      </c>
      <c r="E1231" s="5" t="s">
        <v>9</v>
      </c>
      <c r="F1231" s="6">
        <v>45838</v>
      </c>
      <c r="G1231" s="16">
        <v>2025</v>
      </c>
      <c r="H1231" s="6" t="s">
        <v>763</v>
      </c>
      <c r="I1231" s="6" t="s">
        <v>865</v>
      </c>
      <c r="J1231" s="5">
        <v>80</v>
      </c>
      <c r="K1231" s="5">
        <v>90</v>
      </c>
      <c r="L1231" s="15">
        <v>1.125</v>
      </c>
      <c r="M1231" s="15">
        <v>1.125</v>
      </c>
      <c r="N1231" s="5" t="s">
        <v>347</v>
      </c>
      <c r="O1231" s="5" t="s">
        <v>347</v>
      </c>
      <c r="P1231" s="5">
        <v>0</v>
      </c>
      <c r="Q1231" s="5">
        <v>0</v>
      </c>
      <c r="R1231" s="5" t="str">
        <f>A1231&amp;"-"&amp;YEAR(F1231)&amp;"-"&amp;IF(LEN(MONTH(F1231))=1,"0"&amp;MONTH(F1231),MONTH(F1231))&amp;"-"&amp;IF(LEN(DAY(F1231))=1,"0"&amp;DAY(F1231),DAY(F1231))</f>
        <v>359-2025-06-30</v>
      </c>
    </row>
    <row r="1232" spans="1:18" x14ac:dyDescent="0.3">
      <c r="A1232" s="5">
        <v>362</v>
      </c>
      <c r="B1232" s="5" t="s">
        <v>460</v>
      </c>
      <c r="C1232" s="5" t="s">
        <v>762</v>
      </c>
      <c r="D1232" s="13" t="s">
        <v>8</v>
      </c>
      <c r="E1232" s="5" t="s">
        <v>9</v>
      </c>
      <c r="F1232" s="6">
        <v>45838</v>
      </c>
      <c r="G1232" s="16">
        <v>2025</v>
      </c>
      <c r="H1232" s="6" t="s">
        <v>763</v>
      </c>
      <c r="I1232" s="6" t="s">
        <v>865</v>
      </c>
      <c r="J1232" s="5">
        <v>98</v>
      </c>
      <c r="K1232" s="5">
        <v>99.63</v>
      </c>
      <c r="L1232" s="15">
        <v>1.0166326530612244</v>
      </c>
      <c r="M1232" s="15">
        <v>1.0166326530612244</v>
      </c>
      <c r="N1232" s="5" t="s">
        <v>347</v>
      </c>
      <c r="O1232" s="5" t="s">
        <v>347</v>
      </c>
      <c r="P1232" s="5">
        <v>0</v>
      </c>
      <c r="Q1232" s="5">
        <v>0</v>
      </c>
      <c r="R1232" s="5" t="str">
        <f>A1232&amp;"-"&amp;YEAR(F1232)&amp;"-"&amp;IF(LEN(MONTH(F1232))=1,"0"&amp;MONTH(F1232),MONTH(F1232))&amp;"-"&amp;IF(LEN(DAY(F1232))=1,"0"&amp;DAY(F1232),DAY(F1232))</f>
        <v>362-2025-06-30</v>
      </c>
    </row>
    <row r="1233" spans="1:18" x14ac:dyDescent="0.3">
      <c r="A1233" s="5">
        <v>363</v>
      </c>
      <c r="B1233" s="5" t="s">
        <v>250</v>
      </c>
      <c r="C1233" s="5" t="s">
        <v>762</v>
      </c>
      <c r="D1233" s="13" t="s">
        <v>8</v>
      </c>
      <c r="E1233" s="5" t="s">
        <v>9</v>
      </c>
      <c r="F1233" s="6">
        <v>45838</v>
      </c>
      <c r="G1233" s="16">
        <v>2025</v>
      </c>
      <c r="H1233" s="6" t="s">
        <v>763</v>
      </c>
      <c r="I1233" s="6" t="s">
        <v>865</v>
      </c>
      <c r="J1233" s="5">
        <v>100</v>
      </c>
      <c r="K1233" s="5">
        <v>100</v>
      </c>
      <c r="L1233" s="15">
        <v>1</v>
      </c>
      <c r="M1233" s="15">
        <v>1</v>
      </c>
      <c r="N1233" s="5" t="s">
        <v>347</v>
      </c>
      <c r="O1233" s="5" t="s">
        <v>347</v>
      </c>
      <c r="P1233" s="5">
        <v>0</v>
      </c>
      <c r="Q1233" s="5">
        <v>0</v>
      </c>
      <c r="R1233" s="5" t="str">
        <f>A1233&amp;"-"&amp;YEAR(F1233)&amp;"-"&amp;IF(LEN(MONTH(F1233))=1,"0"&amp;MONTH(F1233),MONTH(F1233))&amp;"-"&amp;IF(LEN(DAY(F1233))=1,"0"&amp;DAY(F1233),DAY(F1233))</f>
        <v>363-2025-06-30</v>
      </c>
    </row>
    <row r="1234" spans="1:18" x14ac:dyDescent="0.3">
      <c r="A1234" s="105">
        <v>371</v>
      </c>
      <c r="B1234" s="105" t="s">
        <v>259</v>
      </c>
      <c r="C1234" s="5" t="s">
        <v>248</v>
      </c>
      <c r="D1234" s="13" t="s">
        <v>8</v>
      </c>
      <c r="E1234" s="5" t="s">
        <v>9</v>
      </c>
      <c r="F1234" s="6">
        <v>45838</v>
      </c>
      <c r="G1234" s="16">
        <v>2025</v>
      </c>
      <c r="H1234" s="6" t="s">
        <v>763</v>
      </c>
      <c r="I1234" s="6" t="s">
        <v>865</v>
      </c>
      <c r="J1234" s="9">
        <v>110800000</v>
      </c>
      <c r="K1234" s="9">
        <v>81647005</v>
      </c>
      <c r="L1234" s="15">
        <v>0.73688632671480148</v>
      </c>
      <c r="M1234" s="15">
        <v>0.73688632671480148</v>
      </c>
      <c r="N1234" s="5" t="s">
        <v>474</v>
      </c>
      <c r="O1234" s="5" t="s">
        <v>474</v>
      </c>
      <c r="P1234" s="5">
        <v>0</v>
      </c>
      <c r="Q1234" s="5">
        <v>0</v>
      </c>
      <c r="R1234" s="5" t="str">
        <f>A1234&amp;"-"&amp;YEAR(F1234)&amp;"-"&amp;IF(LEN(MONTH(F1234))=1,"0"&amp;MONTH(F1234),MONTH(F1234))&amp;"-"&amp;IF(LEN(DAY(F1234))=1,"0"&amp;DAY(F1234),DAY(F1234))</f>
        <v>371-2025-06-30</v>
      </c>
    </row>
    <row r="1235" spans="1:18" x14ac:dyDescent="0.3">
      <c r="A1235" s="5">
        <v>375</v>
      </c>
      <c r="B1235" s="5" t="s">
        <v>462</v>
      </c>
      <c r="C1235" s="5" t="s">
        <v>762</v>
      </c>
      <c r="D1235" s="13" t="s">
        <v>8</v>
      </c>
      <c r="E1235" s="5" t="s">
        <v>9</v>
      </c>
      <c r="F1235" s="6">
        <v>45838</v>
      </c>
      <c r="G1235" s="16">
        <v>2025</v>
      </c>
      <c r="H1235" s="6" t="s">
        <v>763</v>
      </c>
      <c r="I1235" s="6" t="s">
        <v>865</v>
      </c>
      <c r="J1235" s="5">
        <v>100</v>
      </c>
      <c r="K1235" s="5">
        <v>100</v>
      </c>
      <c r="L1235" s="15">
        <v>1</v>
      </c>
      <c r="M1235" s="15">
        <v>1</v>
      </c>
      <c r="N1235" s="5" t="s">
        <v>347</v>
      </c>
      <c r="O1235" s="5" t="s">
        <v>347</v>
      </c>
      <c r="P1235" s="5">
        <v>0</v>
      </c>
      <c r="Q1235" s="5">
        <v>0</v>
      </c>
      <c r="R1235" s="5" t="str">
        <f>A1235&amp;"-"&amp;YEAR(F1235)&amp;"-"&amp;IF(LEN(MONTH(F1235))=1,"0"&amp;MONTH(F1235),MONTH(F1235))&amp;"-"&amp;IF(LEN(DAY(F1235))=1,"0"&amp;DAY(F1235),DAY(F1235))</f>
        <v>375-2025-06-30</v>
      </c>
    </row>
    <row r="1236" spans="1:18" x14ac:dyDescent="0.3">
      <c r="A1236" s="5">
        <v>381</v>
      </c>
      <c r="B1236" s="5" t="s">
        <v>269</v>
      </c>
      <c r="C1236" s="5" t="s">
        <v>267</v>
      </c>
      <c r="D1236" s="13" t="s">
        <v>8</v>
      </c>
      <c r="E1236" s="5" t="s">
        <v>9</v>
      </c>
      <c r="F1236" s="6">
        <v>45838</v>
      </c>
      <c r="G1236" s="16">
        <v>2025</v>
      </c>
      <c r="H1236" s="6" t="s">
        <v>763</v>
      </c>
      <c r="I1236" s="6" t="s">
        <v>865</v>
      </c>
      <c r="J1236" s="5">
        <v>1572</v>
      </c>
      <c r="K1236" s="5">
        <v>1544</v>
      </c>
      <c r="L1236" s="15">
        <v>0.98218829516539441</v>
      </c>
      <c r="M1236" s="15">
        <v>0.98218829516539441</v>
      </c>
      <c r="N1236" s="5" t="s">
        <v>490</v>
      </c>
      <c r="O1236" s="5" t="s">
        <v>490</v>
      </c>
      <c r="P1236" s="5">
        <v>0</v>
      </c>
      <c r="Q1236" s="5">
        <v>0</v>
      </c>
      <c r="R1236" s="5" t="str">
        <f>A1236&amp;"-"&amp;YEAR(F1236)&amp;"-"&amp;IF(LEN(MONTH(F1236))=1,"0"&amp;MONTH(F1236),MONTH(F1236))&amp;"-"&amp;IF(LEN(DAY(F1236))=1,"0"&amp;DAY(F1236),DAY(F1236))</f>
        <v>381-2025-06-30</v>
      </c>
    </row>
    <row r="1237" spans="1:18" x14ac:dyDescent="0.3">
      <c r="A1237" s="5">
        <v>382</v>
      </c>
      <c r="B1237" s="5" t="s">
        <v>270</v>
      </c>
      <c r="C1237" s="5" t="s">
        <v>267</v>
      </c>
      <c r="D1237" s="13" t="s">
        <v>8</v>
      </c>
      <c r="E1237" s="5" t="s">
        <v>9</v>
      </c>
      <c r="F1237" s="6">
        <v>45838</v>
      </c>
      <c r="G1237" s="16">
        <v>2025</v>
      </c>
      <c r="H1237" s="6" t="s">
        <v>763</v>
      </c>
      <c r="I1237" s="6" t="s">
        <v>865</v>
      </c>
      <c r="J1237" s="5">
        <v>10067</v>
      </c>
      <c r="K1237" s="5">
        <v>10021</v>
      </c>
      <c r="L1237" s="15">
        <v>0.99543061488030193</v>
      </c>
      <c r="M1237" s="15">
        <v>0.99543061488030193</v>
      </c>
      <c r="N1237" s="5" t="s">
        <v>490</v>
      </c>
      <c r="O1237" s="5" t="s">
        <v>490</v>
      </c>
      <c r="P1237" s="5">
        <v>0</v>
      </c>
      <c r="Q1237" s="5">
        <v>0</v>
      </c>
      <c r="R1237" s="5" t="str">
        <f>A1237&amp;"-"&amp;YEAR(F1237)&amp;"-"&amp;IF(LEN(MONTH(F1237))=1,"0"&amp;MONTH(F1237),MONTH(F1237))&amp;"-"&amp;IF(LEN(DAY(F1237))=1,"0"&amp;DAY(F1237),DAY(F1237))</f>
        <v>382-2025-06-30</v>
      </c>
    </row>
    <row r="1238" spans="1:18" x14ac:dyDescent="0.3">
      <c r="A1238" s="5">
        <v>383</v>
      </c>
      <c r="B1238" s="5" t="s">
        <v>271</v>
      </c>
      <c r="C1238" s="5" t="s">
        <v>267</v>
      </c>
      <c r="D1238" s="13" t="s">
        <v>8</v>
      </c>
      <c r="E1238" s="5" t="s">
        <v>9</v>
      </c>
      <c r="F1238" s="6">
        <v>45838</v>
      </c>
      <c r="G1238" s="16">
        <v>2025</v>
      </c>
      <c r="H1238" s="6" t="s">
        <v>763</v>
      </c>
      <c r="I1238" s="6" t="s">
        <v>865</v>
      </c>
      <c r="J1238" s="3">
        <v>1599</v>
      </c>
      <c r="K1238" s="9">
        <v>2165</v>
      </c>
      <c r="L1238" s="15">
        <v>1.3</v>
      </c>
      <c r="M1238" s="15">
        <v>1.3539712320200126</v>
      </c>
      <c r="N1238" s="5" t="s">
        <v>490</v>
      </c>
      <c r="O1238" s="5" t="s">
        <v>490</v>
      </c>
      <c r="P1238" s="5">
        <v>0</v>
      </c>
      <c r="Q1238" s="5">
        <v>0</v>
      </c>
      <c r="R1238" s="5" t="str">
        <f>A1238&amp;"-"&amp;YEAR(F1238)&amp;"-"&amp;IF(LEN(MONTH(F1238))=1,"0"&amp;MONTH(F1238),MONTH(F1238))&amp;"-"&amp;IF(LEN(DAY(F1238))=1,"0"&amp;DAY(F1238),DAY(F1238))</f>
        <v>383-2025-06-30</v>
      </c>
    </row>
    <row r="1239" spans="1:18" x14ac:dyDescent="0.3">
      <c r="A1239" s="5">
        <v>384</v>
      </c>
      <c r="B1239" s="5" t="s">
        <v>272</v>
      </c>
      <c r="C1239" s="5" t="s">
        <v>267</v>
      </c>
      <c r="D1239" s="13" t="s">
        <v>8</v>
      </c>
      <c r="E1239" s="5" t="s">
        <v>9</v>
      </c>
      <c r="F1239" s="6">
        <v>45838</v>
      </c>
      <c r="G1239" s="16">
        <v>2025</v>
      </c>
      <c r="H1239" s="6" t="s">
        <v>763</v>
      </c>
      <c r="I1239" s="6" t="s">
        <v>865</v>
      </c>
      <c r="J1239" s="5">
        <v>371</v>
      </c>
      <c r="K1239" s="10">
        <v>380</v>
      </c>
      <c r="L1239" s="15">
        <v>1.0242587601078168</v>
      </c>
      <c r="M1239" s="15">
        <v>1.0242587601078168</v>
      </c>
      <c r="N1239" s="5" t="s">
        <v>490</v>
      </c>
      <c r="O1239" s="5" t="s">
        <v>490</v>
      </c>
      <c r="P1239" s="5">
        <v>0</v>
      </c>
      <c r="Q1239" s="5">
        <v>0</v>
      </c>
      <c r="R1239" s="5" t="str">
        <f>A1239&amp;"-"&amp;YEAR(F1239)&amp;"-"&amp;IF(LEN(MONTH(F1239))=1,"0"&amp;MONTH(F1239),MONTH(F1239))&amp;"-"&amp;IF(LEN(DAY(F1239))=1,"0"&amp;DAY(F1239),DAY(F1239))</f>
        <v>384-2025-06-30</v>
      </c>
    </row>
    <row r="1240" spans="1:18" x14ac:dyDescent="0.3">
      <c r="A1240" s="5">
        <v>386</v>
      </c>
      <c r="B1240" s="5" t="s">
        <v>275</v>
      </c>
      <c r="C1240" s="5" t="s">
        <v>274</v>
      </c>
      <c r="D1240" s="13" t="s">
        <v>8</v>
      </c>
      <c r="E1240" s="5" t="s">
        <v>9</v>
      </c>
      <c r="F1240" s="6">
        <v>45838</v>
      </c>
      <c r="G1240" s="16">
        <v>2025</v>
      </c>
      <c r="H1240" s="6" t="s">
        <v>763</v>
      </c>
      <c r="I1240" s="6" t="s">
        <v>865</v>
      </c>
      <c r="J1240" s="34">
        <v>6845.8773110000002</v>
      </c>
      <c r="K1240" s="86">
        <v>8141.0462020000004</v>
      </c>
      <c r="L1240" s="15">
        <v>1.1891896147362901</v>
      </c>
      <c r="M1240" s="15">
        <v>1.1891896147362901</v>
      </c>
      <c r="N1240" s="5" t="s">
        <v>347</v>
      </c>
      <c r="O1240" s="5" t="s">
        <v>347</v>
      </c>
      <c r="P1240" s="5">
        <v>0</v>
      </c>
      <c r="Q1240" s="5">
        <v>0</v>
      </c>
      <c r="R1240" s="5" t="str">
        <f>A1240&amp;"-"&amp;YEAR(F1240)&amp;"-"&amp;IF(LEN(MONTH(F1240))=1,"0"&amp;MONTH(F1240),MONTH(F1240))&amp;"-"&amp;IF(LEN(DAY(F1240))=1,"0"&amp;DAY(F1240),DAY(F1240))</f>
        <v>386-2025-06-30</v>
      </c>
    </row>
    <row r="1241" spans="1:18" x14ac:dyDescent="0.3">
      <c r="A1241" s="5">
        <v>397</v>
      </c>
      <c r="B1241" s="5" t="s">
        <v>801</v>
      </c>
      <c r="C1241" s="5" t="s">
        <v>506</v>
      </c>
      <c r="D1241" s="13" t="s">
        <v>8</v>
      </c>
      <c r="E1241" s="5" t="s">
        <v>9</v>
      </c>
      <c r="F1241" s="6">
        <v>45838</v>
      </c>
      <c r="G1241" s="16">
        <v>2025</v>
      </c>
      <c r="H1241" s="6" t="s">
        <v>763</v>
      </c>
      <c r="I1241" s="6" t="s">
        <v>865</v>
      </c>
      <c r="J1241" s="5">
        <v>90</v>
      </c>
      <c r="K1241" s="5">
        <v>95.26</v>
      </c>
      <c r="L1241" s="15">
        <v>1.0584444444444445</v>
      </c>
      <c r="M1241" s="15">
        <v>1.0584444444444445</v>
      </c>
      <c r="N1241" s="5" t="s">
        <v>347</v>
      </c>
      <c r="O1241" s="5" t="s">
        <v>347</v>
      </c>
      <c r="P1241" s="5">
        <v>0</v>
      </c>
      <c r="Q1241" s="5">
        <v>1</v>
      </c>
      <c r="R1241" s="5" t="str">
        <f>A1241&amp;"-"&amp;YEAR(F1241)&amp;"-"&amp;IF(LEN(MONTH(F1241))=1,"0"&amp;MONTH(F1241),MONTH(F1241))&amp;"-"&amp;IF(LEN(DAY(F1241))=1,"0"&amp;DAY(F1241),DAY(F1241))</f>
        <v>397-2025-06-30</v>
      </c>
    </row>
    <row r="1242" spans="1:18" x14ac:dyDescent="0.3">
      <c r="A1242" s="5">
        <v>398</v>
      </c>
      <c r="B1242" s="5" t="s">
        <v>289</v>
      </c>
      <c r="C1242" s="5" t="s">
        <v>290</v>
      </c>
      <c r="D1242" s="13" t="s">
        <v>8</v>
      </c>
      <c r="E1242" s="5" t="s">
        <v>9</v>
      </c>
      <c r="F1242" s="6">
        <v>45838</v>
      </c>
      <c r="G1242" s="16">
        <v>2025</v>
      </c>
      <c r="H1242" s="6" t="s">
        <v>763</v>
      </c>
      <c r="I1242" s="6" t="s">
        <v>865</v>
      </c>
      <c r="J1242" s="5">
        <v>1400</v>
      </c>
      <c r="K1242" s="5">
        <v>2233</v>
      </c>
      <c r="L1242" s="15">
        <v>1.3</v>
      </c>
      <c r="M1242" s="15">
        <v>1.595</v>
      </c>
      <c r="N1242" s="5" t="s">
        <v>490</v>
      </c>
      <c r="O1242" s="5" t="s">
        <v>490</v>
      </c>
      <c r="P1242" s="5">
        <v>0</v>
      </c>
      <c r="Q1242" s="5">
        <v>0</v>
      </c>
      <c r="R1242" s="5" t="str">
        <f>A1242&amp;"-"&amp;YEAR(F1242)&amp;"-"&amp;IF(LEN(MONTH(F1242))=1,"0"&amp;MONTH(F1242),MONTH(F1242))&amp;"-"&amp;IF(LEN(DAY(F1242))=1,"0"&amp;DAY(F1242),DAY(F1242))</f>
        <v>398-2025-06-30</v>
      </c>
    </row>
    <row r="1243" spans="1:18" x14ac:dyDescent="0.3">
      <c r="A1243" s="5">
        <v>399</v>
      </c>
      <c r="B1243" s="5" t="s">
        <v>507</v>
      </c>
      <c r="C1243" s="5" t="s">
        <v>290</v>
      </c>
      <c r="D1243" s="13" t="s">
        <v>8</v>
      </c>
      <c r="E1243" s="5" t="s">
        <v>9</v>
      </c>
      <c r="F1243" s="6">
        <v>45838</v>
      </c>
      <c r="G1243" s="16">
        <v>2025</v>
      </c>
      <c r="H1243" s="6" t="s">
        <v>763</v>
      </c>
      <c r="I1243" s="6" t="s">
        <v>865</v>
      </c>
      <c r="J1243" s="5">
        <v>772</v>
      </c>
      <c r="K1243" s="5">
        <v>750</v>
      </c>
      <c r="L1243" s="15">
        <v>0.97150259067357514</v>
      </c>
      <c r="M1243" s="15">
        <v>0.97150259067357514</v>
      </c>
      <c r="N1243" s="5" t="s">
        <v>490</v>
      </c>
      <c r="O1243" s="5" t="s">
        <v>490</v>
      </c>
      <c r="P1243" s="5">
        <v>0</v>
      </c>
      <c r="Q1243" s="5">
        <v>0</v>
      </c>
      <c r="R1243" s="5" t="str">
        <f>A1243&amp;"-"&amp;YEAR(F1243)&amp;"-"&amp;IF(LEN(MONTH(F1243))=1,"0"&amp;MONTH(F1243),MONTH(F1243))&amp;"-"&amp;IF(LEN(DAY(F1243))=1,"0"&amp;DAY(F1243),DAY(F1243))</f>
        <v>399-2025-06-30</v>
      </c>
    </row>
    <row r="1244" spans="1:18" x14ac:dyDescent="0.3">
      <c r="A1244" s="5">
        <v>401</v>
      </c>
      <c r="B1244" s="5" t="s">
        <v>293</v>
      </c>
      <c r="C1244" s="5" t="s">
        <v>294</v>
      </c>
      <c r="D1244" s="13" t="s">
        <v>8</v>
      </c>
      <c r="E1244" s="5" t="s">
        <v>9</v>
      </c>
      <c r="F1244" s="6">
        <v>45838</v>
      </c>
      <c r="G1244" s="16">
        <v>2025</v>
      </c>
      <c r="H1244" s="6" t="s">
        <v>763</v>
      </c>
      <c r="I1244" s="6" t="s">
        <v>865</v>
      </c>
      <c r="J1244" s="5">
        <v>8</v>
      </c>
      <c r="K1244" s="5">
        <v>8</v>
      </c>
      <c r="L1244" s="15">
        <v>1</v>
      </c>
      <c r="M1244" s="15">
        <v>1</v>
      </c>
      <c r="N1244" s="5" t="s">
        <v>490</v>
      </c>
      <c r="O1244" s="5" t="s">
        <v>490</v>
      </c>
      <c r="P1244" s="5">
        <v>0</v>
      </c>
      <c r="Q1244" s="5">
        <v>0</v>
      </c>
      <c r="R1244" s="5" t="str">
        <f>A1244&amp;"-"&amp;YEAR(F1244)&amp;"-"&amp;IF(LEN(MONTH(F1244))=1,"0"&amp;MONTH(F1244),MONTH(F1244))&amp;"-"&amp;IF(LEN(DAY(F1244))=1,"0"&amp;DAY(F1244),DAY(F1244))</f>
        <v>401-2025-06-30</v>
      </c>
    </row>
    <row r="1245" spans="1:18" x14ac:dyDescent="0.3">
      <c r="A1245" s="5">
        <v>403</v>
      </c>
      <c r="B1245" s="5" t="s">
        <v>296</v>
      </c>
      <c r="C1245" s="5" t="s">
        <v>294</v>
      </c>
      <c r="D1245" s="13" t="s">
        <v>8</v>
      </c>
      <c r="E1245" s="5" t="s">
        <v>9</v>
      </c>
      <c r="F1245" s="6">
        <v>45838</v>
      </c>
      <c r="G1245" s="16">
        <v>2025</v>
      </c>
      <c r="H1245" s="6" t="s">
        <v>763</v>
      </c>
      <c r="I1245" s="6" t="s">
        <v>865</v>
      </c>
      <c r="J1245" s="5"/>
      <c r="K1245" s="5">
        <v>14410</v>
      </c>
      <c r="L1245" s="15" t="s">
        <v>417</v>
      </c>
      <c r="M1245" s="15" t="s">
        <v>417</v>
      </c>
      <c r="N1245" s="5" t="s">
        <v>728</v>
      </c>
      <c r="O1245" s="5" t="s">
        <v>490</v>
      </c>
      <c r="P1245" s="5">
        <v>0</v>
      </c>
      <c r="Q1245" s="5">
        <v>0</v>
      </c>
      <c r="R1245" s="5" t="str">
        <f>A1245&amp;"-"&amp;YEAR(F1245)&amp;"-"&amp;IF(LEN(MONTH(F1245))=1,"0"&amp;MONTH(F1245),MONTH(F1245))&amp;"-"&amp;IF(LEN(DAY(F1245))=1,"0"&amp;DAY(F1245),DAY(F1245))</f>
        <v>403-2025-06-30</v>
      </c>
    </row>
    <row r="1246" spans="1:18" x14ac:dyDescent="0.3">
      <c r="A1246" s="5">
        <v>408</v>
      </c>
      <c r="B1246" s="5" t="s">
        <v>301</v>
      </c>
      <c r="C1246" s="5" t="s">
        <v>209</v>
      </c>
      <c r="D1246" s="13" t="s">
        <v>8</v>
      </c>
      <c r="E1246" s="5" t="s">
        <v>9</v>
      </c>
      <c r="F1246" s="6">
        <v>45838</v>
      </c>
      <c r="G1246" s="16">
        <v>2025</v>
      </c>
      <c r="H1246" s="6" t="s">
        <v>763</v>
      </c>
      <c r="I1246" s="6" t="s">
        <v>865</v>
      </c>
      <c r="J1246" s="5">
        <v>2</v>
      </c>
      <c r="K1246" s="5">
        <v>2</v>
      </c>
      <c r="L1246" s="15">
        <v>1</v>
      </c>
      <c r="M1246" s="15">
        <v>1</v>
      </c>
      <c r="N1246" s="5" t="s">
        <v>490</v>
      </c>
      <c r="O1246" s="5" t="s">
        <v>490</v>
      </c>
      <c r="P1246" s="5">
        <v>0</v>
      </c>
      <c r="Q1246" s="5">
        <v>0</v>
      </c>
      <c r="R1246" s="5" t="str">
        <f>A1246&amp;"-"&amp;YEAR(F1246)&amp;"-"&amp;IF(LEN(MONTH(F1246))=1,"0"&amp;MONTH(F1246),MONTH(F1246))&amp;"-"&amp;IF(LEN(DAY(F1246))=1,"0"&amp;DAY(F1246),DAY(F1246))</f>
        <v>408-2025-06-30</v>
      </c>
    </row>
    <row r="1247" spans="1:18" x14ac:dyDescent="0.3">
      <c r="A1247" s="5">
        <v>422</v>
      </c>
      <c r="B1247" s="5" t="s">
        <v>316</v>
      </c>
      <c r="C1247" s="5" t="s">
        <v>315</v>
      </c>
      <c r="D1247" s="13" t="s">
        <v>8</v>
      </c>
      <c r="E1247" s="5" t="s">
        <v>9</v>
      </c>
      <c r="F1247" s="6">
        <v>45838</v>
      </c>
      <c r="G1247" s="16">
        <v>2025</v>
      </c>
      <c r="H1247" s="6" t="s">
        <v>763</v>
      </c>
      <c r="I1247" s="6" t="s">
        <v>865</v>
      </c>
      <c r="J1247" s="5">
        <v>7.83</v>
      </c>
      <c r="K1247" s="5">
        <v>8.1999999999999993</v>
      </c>
      <c r="L1247" s="15">
        <v>1.0472541507024264</v>
      </c>
      <c r="M1247" s="15">
        <v>1.0472541507024264</v>
      </c>
      <c r="N1247" s="5" t="s">
        <v>347</v>
      </c>
      <c r="O1247" s="5" t="s">
        <v>347</v>
      </c>
      <c r="P1247" s="5">
        <v>2</v>
      </c>
      <c r="Q1247" s="5">
        <v>2</v>
      </c>
      <c r="R1247" s="5" t="str">
        <f>A1247&amp;"-"&amp;YEAR(F1247)&amp;"-"&amp;IF(LEN(MONTH(F1247))=1,"0"&amp;MONTH(F1247),MONTH(F1247))&amp;"-"&amp;IF(LEN(DAY(F1247))=1,"0"&amp;DAY(F1247),DAY(F1247))</f>
        <v>422-2025-06-30</v>
      </c>
    </row>
    <row r="1248" spans="1:18" x14ac:dyDescent="0.3">
      <c r="A1248" s="5">
        <v>430</v>
      </c>
      <c r="B1248" s="5" t="s">
        <v>324</v>
      </c>
      <c r="C1248" s="5" t="s">
        <v>84</v>
      </c>
      <c r="D1248" s="13" t="s">
        <v>8</v>
      </c>
      <c r="E1248" s="5" t="s">
        <v>9</v>
      </c>
      <c r="F1248" s="6">
        <v>46022</v>
      </c>
      <c r="G1248" s="5">
        <f t="shared" ref="G1248" si="175">YEAR(F1248)</f>
        <v>2025</v>
      </c>
      <c r="H1248" s="5" t="str">
        <f t="shared" ref="H1248" si="176">PROPER(TEXT(F1248,"mmmm"))</f>
        <v>Diciembre</v>
      </c>
      <c r="I1248" s="6" t="str">
        <f t="shared" ref="I1248" si="177">IF(OR(H1248="Enero",H1248="Febrero",H1248="Marzo",H1248="Abril",H1248="Mayo",H1248="Junio"),G1248&amp;"-1",IF(OR(H1248="Julio",H1248="Agosto",H1248="Septiembre",H1248="Octubre",H1248="Noviembre",H1248="Diciembre"),G1248&amp;"-2"))</f>
        <v>2025-2</v>
      </c>
      <c r="J1248" s="5">
        <v>95</v>
      </c>
      <c r="K1248" s="5">
        <v>111.76</v>
      </c>
      <c r="L1248" s="15">
        <v>1.1662105263157896</v>
      </c>
      <c r="M1248" s="15">
        <v>1.1662105263157896</v>
      </c>
      <c r="N1248" s="5" t="s">
        <v>347</v>
      </c>
      <c r="O1248" s="5" t="s">
        <v>347</v>
      </c>
      <c r="P1248" s="5">
        <v>0</v>
      </c>
      <c r="Q1248" s="5">
        <v>0</v>
      </c>
      <c r="R1248" s="5" t="str">
        <f>A1248&amp;"-"&amp;YEAR(F1248)&amp;"-"&amp;IF(LEN(MONTH(F1248))=1,"0"&amp;MONTH(F1248),MONTH(F1248))&amp;"-"&amp;IF(LEN(DAY(F1248))=1,"0"&amp;DAY(F1248),DAY(F1248))</f>
        <v>430-2025-12-31</v>
      </c>
    </row>
    <row r="1249" spans="1:18" x14ac:dyDescent="0.3">
      <c r="A1249" s="5">
        <v>439</v>
      </c>
      <c r="B1249" s="5" t="s">
        <v>467</v>
      </c>
      <c r="C1249" s="5" t="s">
        <v>762</v>
      </c>
      <c r="D1249" s="13" t="s">
        <v>8</v>
      </c>
      <c r="E1249" s="5" t="s">
        <v>9</v>
      </c>
      <c r="F1249" s="6">
        <v>45838</v>
      </c>
      <c r="G1249" s="16">
        <v>2025</v>
      </c>
      <c r="H1249" s="6" t="s">
        <v>763</v>
      </c>
      <c r="I1249" s="6" t="s">
        <v>865</v>
      </c>
      <c r="J1249" s="5">
        <v>100</v>
      </c>
      <c r="K1249" s="5">
        <v>100</v>
      </c>
      <c r="L1249" s="15">
        <v>1</v>
      </c>
      <c r="M1249" s="15">
        <v>1</v>
      </c>
      <c r="N1249" s="5" t="s">
        <v>347</v>
      </c>
      <c r="O1249" s="5" t="s">
        <v>347</v>
      </c>
      <c r="P1249" s="5">
        <v>0</v>
      </c>
      <c r="Q1249" s="5">
        <v>0</v>
      </c>
      <c r="R1249" s="5" t="str">
        <f>A1249&amp;"-"&amp;YEAR(F1249)&amp;"-"&amp;IF(LEN(MONTH(F1249))=1,"0"&amp;MONTH(F1249),MONTH(F1249))&amp;"-"&amp;IF(LEN(DAY(F1249))=1,"0"&amp;DAY(F1249),DAY(F1249))</f>
        <v>439-2025-06-30</v>
      </c>
    </row>
    <row r="1250" spans="1:18" x14ac:dyDescent="0.3">
      <c r="A1250" s="5">
        <v>440</v>
      </c>
      <c r="B1250" s="5" t="s">
        <v>468</v>
      </c>
      <c r="C1250" s="5" t="s">
        <v>762</v>
      </c>
      <c r="D1250" s="13" t="s">
        <v>8</v>
      </c>
      <c r="E1250" s="5" t="s">
        <v>9</v>
      </c>
      <c r="F1250" s="6">
        <v>45838</v>
      </c>
      <c r="G1250" s="16">
        <v>2025</v>
      </c>
      <c r="H1250" s="6" t="s">
        <v>763</v>
      </c>
      <c r="I1250" s="6" t="s">
        <v>865</v>
      </c>
      <c r="J1250" s="5">
        <v>98</v>
      </c>
      <c r="K1250" s="5">
        <v>99.77</v>
      </c>
      <c r="L1250" s="15">
        <v>1.018061224489796</v>
      </c>
      <c r="M1250" s="15">
        <v>1.018061224489796</v>
      </c>
      <c r="N1250" s="5" t="s">
        <v>347</v>
      </c>
      <c r="O1250" s="5" t="s">
        <v>347</v>
      </c>
      <c r="P1250" s="5">
        <v>0</v>
      </c>
      <c r="Q1250" s="5">
        <v>1</v>
      </c>
      <c r="R1250" s="5" t="str">
        <f>A1250&amp;"-"&amp;YEAR(F1250)&amp;"-"&amp;IF(LEN(MONTH(F1250))=1,"0"&amp;MONTH(F1250),MONTH(F1250))&amp;"-"&amp;IF(LEN(DAY(F1250))=1,"0"&amp;DAY(F1250),DAY(F1250))</f>
        <v>440-2025-06-30</v>
      </c>
    </row>
    <row r="1251" spans="1:18" x14ac:dyDescent="0.3">
      <c r="A1251" s="5">
        <v>444</v>
      </c>
      <c r="B1251" s="5" t="s">
        <v>511</v>
      </c>
      <c r="C1251" s="5" t="s">
        <v>126</v>
      </c>
      <c r="D1251" s="13" t="s">
        <v>8</v>
      </c>
      <c r="E1251" s="5" t="s">
        <v>14</v>
      </c>
      <c r="F1251" s="6">
        <v>45838</v>
      </c>
      <c r="G1251" s="16">
        <v>2025</v>
      </c>
      <c r="H1251" s="6" t="s">
        <v>763</v>
      </c>
      <c r="I1251" s="6" t="s">
        <v>865</v>
      </c>
      <c r="J1251" s="5">
        <v>3</v>
      </c>
      <c r="K1251" s="5">
        <v>1.6</v>
      </c>
      <c r="L1251" s="15">
        <v>0.53333333333333333</v>
      </c>
      <c r="M1251" s="15">
        <v>0.53333333333333333</v>
      </c>
      <c r="N1251" s="5" t="s">
        <v>490</v>
      </c>
      <c r="O1251" s="5" t="s">
        <v>478</v>
      </c>
      <c r="P1251" s="5">
        <v>0</v>
      </c>
      <c r="Q1251" s="5">
        <v>1</v>
      </c>
      <c r="R1251" s="5" t="str">
        <f>A1251&amp;"-"&amp;YEAR(F1251)&amp;"-"&amp;IF(LEN(MONTH(F1251))=1,"0"&amp;MONTH(F1251),MONTH(F1251))&amp;"-"&amp;IF(LEN(DAY(F1251))=1,"0"&amp;DAY(F1251),DAY(F1251))</f>
        <v>444-2025-06-30</v>
      </c>
    </row>
    <row r="1252" spans="1:18" x14ac:dyDescent="0.3">
      <c r="A1252" s="5">
        <v>445</v>
      </c>
      <c r="B1252" s="5" t="s">
        <v>722</v>
      </c>
      <c r="C1252" s="5" t="s">
        <v>126</v>
      </c>
      <c r="D1252" s="13" t="s">
        <v>8</v>
      </c>
      <c r="E1252" s="5" t="s">
        <v>9</v>
      </c>
      <c r="F1252" s="6">
        <v>45838</v>
      </c>
      <c r="G1252" s="16">
        <v>2025</v>
      </c>
      <c r="H1252" s="6" t="s">
        <v>763</v>
      </c>
      <c r="I1252" s="6" t="s">
        <v>865</v>
      </c>
      <c r="J1252" s="5">
        <v>70</v>
      </c>
      <c r="K1252" s="5">
        <v>75.7</v>
      </c>
      <c r="L1252" s="15">
        <v>1.0814285714285714</v>
      </c>
      <c r="M1252" s="15">
        <v>1.0814285714285714</v>
      </c>
      <c r="N1252" s="5" t="s">
        <v>347</v>
      </c>
      <c r="O1252" s="5" t="s">
        <v>347</v>
      </c>
      <c r="P1252" s="5">
        <v>0</v>
      </c>
      <c r="Q1252" s="5">
        <v>0</v>
      </c>
      <c r="R1252" s="5" t="str">
        <f>A1252&amp;"-"&amp;YEAR(F1252)&amp;"-"&amp;IF(LEN(MONTH(F1252))=1,"0"&amp;MONTH(F1252),MONTH(F1252))&amp;"-"&amp;IF(LEN(DAY(F1252))=1,"0"&amp;DAY(F1252),DAY(F1252))</f>
        <v>445-2025-06-30</v>
      </c>
    </row>
    <row r="1253" spans="1:18" x14ac:dyDescent="0.3">
      <c r="A1253" s="5">
        <v>447</v>
      </c>
      <c r="B1253" s="5" t="s">
        <v>512</v>
      </c>
      <c r="C1253" s="5" t="s">
        <v>55</v>
      </c>
      <c r="D1253" s="13" t="s">
        <v>8</v>
      </c>
      <c r="E1253" s="5" t="s">
        <v>9</v>
      </c>
      <c r="F1253" s="6">
        <v>45838</v>
      </c>
      <c r="G1253" s="16">
        <v>2025</v>
      </c>
      <c r="H1253" s="6" t="s">
        <v>763</v>
      </c>
      <c r="I1253" s="6" t="s">
        <v>865</v>
      </c>
      <c r="J1253" s="5">
        <v>15</v>
      </c>
      <c r="K1253" s="5">
        <v>16.54</v>
      </c>
      <c r="L1253" s="15">
        <v>1.1026666666666667</v>
      </c>
      <c r="M1253" s="15">
        <v>1.1026666666666667</v>
      </c>
      <c r="N1253" s="5" t="s">
        <v>347</v>
      </c>
      <c r="O1253" s="5" t="s">
        <v>347</v>
      </c>
      <c r="P1253" s="5">
        <v>0</v>
      </c>
      <c r="Q1253" s="5">
        <v>0</v>
      </c>
      <c r="R1253" s="5" t="str">
        <f>A1253&amp;"-"&amp;YEAR(F1253)&amp;"-"&amp;IF(LEN(MONTH(F1253))=1,"0"&amp;MONTH(F1253),MONTH(F1253))&amp;"-"&amp;IF(LEN(DAY(F1253))=1,"0"&amp;DAY(F1253),DAY(F1253))</f>
        <v>447-2025-06-30</v>
      </c>
    </row>
    <row r="1254" spans="1:18" x14ac:dyDescent="0.3">
      <c r="A1254" s="5">
        <v>448</v>
      </c>
      <c r="B1254" s="5" t="s">
        <v>513</v>
      </c>
      <c r="C1254" s="5" t="s">
        <v>55</v>
      </c>
      <c r="D1254" s="13" t="s">
        <v>8</v>
      </c>
      <c r="E1254" s="5" t="s">
        <v>9</v>
      </c>
      <c r="F1254" s="6">
        <v>45838</v>
      </c>
      <c r="G1254" s="16">
        <v>2025</v>
      </c>
      <c r="H1254" s="6" t="s">
        <v>763</v>
      </c>
      <c r="I1254" s="6" t="s">
        <v>865</v>
      </c>
      <c r="J1254" s="5">
        <v>17</v>
      </c>
      <c r="K1254" s="5">
        <v>18.73</v>
      </c>
      <c r="L1254" s="15">
        <v>1.101764705882353</v>
      </c>
      <c r="M1254" s="15">
        <v>1.101764705882353</v>
      </c>
      <c r="N1254" s="5" t="s">
        <v>347</v>
      </c>
      <c r="O1254" s="5" t="s">
        <v>347</v>
      </c>
      <c r="P1254" s="5">
        <v>0</v>
      </c>
      <c r="Q1254" s="5">
        <v>1</v>
      </c>
      <c r="R1254" s="5" t="str">
        <f>A1254&amp;"-"&amp;YEAR(F1254)&amp;"-"&amp;IF(LEN(MONTH(F1254))=1,"0"&amp;MONTH(F1254),MONTH(F1254))&amp;"-"&amp;IF(LEN(DAY(F1254))=1,"0"&amp;DAY(F1254),DAY(F1254))</f>
        <v>448-2025-06-30</v>
      </c>
    </row>
    <row r="1255" spans="1:18" x14ac:dyDescent="0.3">
      <c r="A1255" s="5">
        <v>451</v>
      </c>
      <c r="B1255" s="5" t="s">
        <v>881</v>
      </c>
      <c r="C1255" s="5" t="s">
        <v>285</v>
      </c>
      <c r="D1255" s="13" t="s">
        <v>8</v>
      </c>
      <c r="E1255" s="5" t="s">
        <v>9</v>
      </c>
      <c r="F1255" s="6">
        <v>45838</v>
      </c>
      <c r="G1255" s="16">
        <v>2025</v>
      </c>
      <c r="H1255" s="6" t="s">
        <v>763</v>
      </c>
      <c r="I1255" s="6" t="s">
        <v>865</v>
      </c>
      <c r="J1255" s="5">
        <v>50</v>
      </c>
      <c r="K1255" s="5">
        <v>59.75</v>
      </c>
      <c r="L1255" s="15">
        <v>1.1950000000000001</v>
      </c>
      <c r="M1255" s="15">
        <v>1.1950000000000001</v>
      </c>
      <c r="N1255" s="5" t="s">
        <v>347</v>
      </c>
      <c r="O1255" s="5" t="s">
        <v>347</v>
      </c>
      <c r="P1255" s="5">
        <v>0</v>
      </c>
      <c r="Q1255" s="5">
        <v>0</v>
      </c>
      <c r="R1255" s="5" t="str">
        <f>A1255&amp;"-"&amp;YEAR(F1255)&amp;"-"&amp;IF(LEN(MONTH(F1255))=1,"0"&amp;MONTH(F1255),MONTH(F1255))&amp;"-"&amp;IF(LEN(DAY(F1255))=1,"0"&amp;DAY(F1255),DAY(F1255))</f>
        <v>451-2025-06-30</v>
      </c>
    </row>
    <row r="1256" spans="1:18" x14ac:dyDescent="0.3">
      <c r="A1256" s="5">
        <v>467</v>
      </c>
      <c r="B1256" s="5" t="s">
        <v>526</v>
      </c>
      <c r="C1256" s="5" t="s">
        <v>160</v>
      </c>
      <c r="D1256" s="13" t="s">
        <v>8</v>
      </c>
      <c r="E1256" s="5" t="s">
        <v>9</v>
      </c>
      <c r="F1256" s="6">
        <v>45838</v>
      </c>
      <c r="G1256" s="16">
        <v>2025</v>
      </c>
      <c r="H1256" s="6" t="s">
        <v>763</v>
      </c>
      <c r="I1256" s="6" t="s">
        <v>865</v>
      </c>
      <c r="J1256" s="5">
        <v>60</v>
      </c>
      <c r="K1256" s="5">
        <v>70.8</v>
      </c>
      <c r="L1256" s="15">
        <v>1.18</v>
      </c>
      <c r="M1256" s="15">
        <v>1.18</v>
      </c>
      <c r="N1256" s="5" t="s">
        <v>490</v>
      </c>
      <c r="O1256" s="5" t="s">
        <v>478</v>
      </c>
      <c r="P1256" s="5">
        <v>0</v>
      </c>
      <c r="Q1256" s="5">
        <v>1</v>
      </c>
      <c r="R1256" s="5" t="str">
        <f>A1256&amp;"-"&amp;YEAR(F1256)&amp;"-"&amp;IF(LEN(MONTH(F1256))=1,"0"&amp;MONTH(F1256),MONTH(F1256))&amp;"-"&amp;IF(LEN(DAY(F1256))=1,"0"&amp;DAY(F1256),DAY(F1256))</f>
        <v>467-2025-06-30</v>
      </c>
    </row>
    <row r="1257" spans="1:18" x14ac:dyDescent="0.3">
      <c r="A1257" s="5">
        <v>468</v>
      </c>
      <c r="B1257" s="5" t="s">
        <v>527</v>
      </c>
      <c r="C1257" s="5" t="s">
        <v>160</v>
      </c>
      <c r="D1257" s="13" t="s">
        <v>8</v>
      </c>
      <c r="E1257" s="5" t="s">
        <v>14</v>
      </c>
      <c r="F1257" s="6">
        <v>45838</v>
      </c>
      <c r="G1257" s="16">
        <v>2025</v>
      </c>
      <c r="H1257" s="6" t="s">
        <v>763</v>
      </c>
      <c r="I1257" s="6" t="s">
        <v>865</v>
      </c>
      <c r="J1257" s="5">
        <v>2.5</v>
      </c>
      <c r="K1257" s="5">
        <v>2.4</v>
      </c>
      <c r="L1257" s="15">
        <v>1.0416666666666667</v>
      </c>
      <c r="M1257" s="15">
        <v>1.0416666666666667</v>
      </c>
      <c r="N1257" s="5" t="s">
        <v>478</v>
      </c>
      <c r="O1257" s="5" t="s">
        <v>478</v>
      </c>
      <c r="P1257" s="5">
        <v>1</v>
      </c>
      <c r="Q1257" s="5">
        <v>1</v>
      </c>
      <c r="R1257" s="5" t="str">
        <f>A1257&amp;"-"&amp;YEAR(F1257)&amp;"-"&amp;IF(LEN(MONTH(F1257))=1,"0"&amp;MONTH(F1257),MONTH(F1257))&amp;"-"&amp;IF(LEN(DAY(F1257))=1,"0"&amp;DAY(F1257),DAY(F1257))</f>
        <v>468-2025-06-30</v>
      </c>
    </row>
    <row r="1258" spans="1:18" x14ac:dyDescent="0.3">
      <c r="A1258" s="5">
        <v>475</v>
      </c>
      <c r="B1258" s="5" t="s">
        <v>738</v>
      </c>
      <c r="C1258" s="5" t="s">
        <v>209</v>
      </c>
      <c r="D1258" s="13" t="s">
        <v>8</v>
      </c>
      <c r="E1258" s="5" t="s">
        <v>9</v>
      </c>
      <c r="F1258" s="6">
        <v>45838</v>
      </c>
      <c r="G1258" s="16">
        <v>2025</v>
      </c>
      <c r="H1258" s="6" t="s">
        <v>763</v>
      </c>
      <c r="I1258" s="6" t="s">
        <v>865</v>
      </c>
      <c r="J1258" s="5">
        <v>7</v>
      </c>
      <c r="K1258" s="5">
        <v>2</v>
      </c>
      <c r="L1258" s="15">
        <v>0.2857142857142857</v>
      </c>
      <c r="M1258" s="15">
        <v>0.2857142857142857</v>
      </c>
      <c r="N1258" s="5" t="s">
        <v>490</v>
      </c>
      <c r="O1258" s="5" t="s">
        <v>490</v>
      </c>
      <c r="P1258" s="5">
        <v>0</v>
      </c>
      <c r="Q1258" s="5">
        <v>0</v>
      </c>
      <c r="R1258" s="5" t="str">
        <f>A1258&amp;"-"&amp;YEAR(F1258)&amp;"-"&amp;IF(LEN(MONTH(F1258))=1,"0"&amp;MONTH(F1258),MONTH(F1258))&amp;"-"&amp;IF(LEN(DAY(F1258))=1,"0"&amp;DAY(F1258),DAY(F1258))</f>
        <v>475-2025-06-30</v>
      </c>
    </row>
    <row r="1259" spans="1:18" x14ac:dyDescent="0.3">
      <c r="A1259" s="5">
        <v>478</v>
      </c>
      <c r="B1259" s="5" t="s">
        <v>740</v>
      </c>
      <c r="C1259" s="5" t="s">
        <v>504</v>
      </c>
      <c r="D1259" s="13" t="s">
        <v>8</v>
      </c>
      <c r="E1259" s="5" t="s">
        <v>9</v>
      </c>
      <c r="F1259" s="6">
        <v>45838</v>
      </c>
      <c r="G1259" s="16">
        <v>2025</v>
      </c>
      <c r="H1259" s="6" t="s">
        <v>763</v>
      </c>
      <c r="I1259" s="6" t="s">
        <v>865</v>
      </c>
      <c r="J1259" s="5"/>
      <c r="K1259" s="5">
        <v>0</v>
      </c>
      <c r="L1259" s="15" t="s">
        <v>417</v>
      </c>
      <c r="M1259" s="15" t="s">
        <v>417</v>
      </c>
      <c r="N1259" s="5" t="s">
        <v>490</v>
      </c>
      <c r="O1259" s="5" t="s">
        <v>490</v>
      </c>
      <c r="P1259" s="5">
        <v>0</v>
      </c>
      <c r="Q1259" s="5">
        <v>0</v>
      </c>
      <c r="R1259" s="5" t="str">
        <f>A1259&amp;"-"&amp;YEAR(F1259)&amp;"-"&amp;IF(LEN(MONTH(F1259))=1,"0"&amp;MONTH(F1259),MONTH(F1259))&amp;"-"&amp;IF(LEN(DAY(F1259))=1,"0"&amp;DAY(F1259),DAY(F1259))</f>
        <v>478-2025-06-30</v>
      </c>
    </row>
    <row r="1260" spans="1:18" x14ac:dyDescent="0.3">
      <c r="A1260" s="5">
        <v>481</v>
      </c>
      <c r="B1260" s="5" t="s">
        <v>726</v>
      </c>
      <c r="C1260" s="5" t="s">
        <v>129</v>
      </c>
      <c r="D1260" s="13" t="s">
        <v>8</v>
      </c>
      <c r="E1260" s="5" t="s">
        <v>9</v>
      </c>
      <c r="F1260" s="6">
        <v>45838</v>
      </c>
      <c r="G1260" s="16">
        <v>2025</v>
      </c>
      <c r="H1260" s="6" t="s">
        <v>763</v>
      </c>
      <c r="I1260" s="6" t="s">
        <v>865</v>
      </c>
      <c r="J1260" s="5">
        <v>100</v>
      </c>
      <c r="K1260" s="5">
        <v>100</v>
      </c>
      <c r="L1260" s="15">
        <v>1</v>
      </c>
      <c r="M1260" s="15">
        <v>1</v>
      </c>
      <c r="N1260" s="5" t="s">
        <v>347</v>
      </c>
      <c r="O1260" s="5" t="s">
        <v>347</v>
      </c>
      <c r="P1260" s="5">
        <v>0</v>
      </c>
      <c r="Q1260" s="5">
        <v>0</v>
      </c>
      <c r="R1260" s="5" t="str">
        <f>A1260&amp;"-"&amp;YEAR(F1260)&amp;"-"&amp;IF(LEN(MONTH(F1260))=1,"0"&amp;MONTH(F1260),MONTH(F1260))&amp;"-"&amp;IF(LEN(DAY(F1260))=1,"0"&amp;DAY(F1260),DAY(F1260))</f>
        <v>481-2025-06-30</v>
      </c>
    </row>
    <row r="1261" spans="1:18" x14ac:dyDescent="0.3">
      <c r="A1261" s="5">
        <v>506</v>
      </c>
      <c r="B1261" s="5" t="s">
        <v>486</v>
      </c>
      <c r="C1261" s="5" t="s">
        <v>244</v>
      </c>
      <c r="D1261" s="13" t="s">
        <v>8</v>
      </c>
      <c r="E1261" s="5" t="s">
        <v>9</v>
      </c>
      <c r="F1261" s="6">
        <v>45838</v>
      </c>
      <c r="G1261" s="16">
        <v>2025</v>
      </c>
      <c r="H1261" s="6" t="s">
        <v>763</v>
      </c>
      <c r="I1261" s="6" t="s">
        <v>865</v>
      </c>
      <c r="J1261" s="5">
        <v>80</v>
      </c>
      <c r="K1261" s="5">
        <v>95</v>
      </c>
      <c r="L1261" s="15">
        <v>1.1875</v>
      </c>
      <c r="M1261" s="15">
        <v>1.1875</v>
      </c>
      <c r="N1261" s="5" t="s">
        <v>347</v>
      </c>
      <c r="O1261" s="5" t="s">
        <v>347</v>
      </c>
      <c r="P1261" s="5">
        <v>0</v>
      </c>
      <c r="Q1261" s="5">
        <v>0</v>
      </c>
      <c r="R1261" s="5" t="str">
        <f>A1261&amp;"-"&amp;YEAR(F1261)&amp;"-"&amp;IF(LEN(MONTH(F1261))=1,"0"&amp;MONTH(F1261),MONTH(F1261))&amp;"-"&amp;IF(LEN(DAY(F1261))=1,"0"&amp;DAY(F1261),DAY(F1261))</f>
        <v>506-2025-06-30</v>
      </c>
    </row>
    <row r="1262" spans="1:18" x14ac:dyDescent="0.3">
      <c r="A1262" s="5">
        <v>507</v>
      </c>
      <c r="B1262" s="5" t="s">
        <v>760</v>
      </c>
      <c r="C1262" s="5" t="s">
        <v>177</v>
      </c>
      <c r="D1262" s="13" t="s">
        <v>8</v>
      </c>
      <c r="E1262" s="5" t="s">
        <v>9</v>
      </c>
      <c r="F1262" s="6">
        <v>45838</v>
      </c>
      <c r="G1262" s="16">
        <v>2025</v>
      </c>
      <c r="H1262" s="6" t="s">
        <v>763</v>
      </c>
      <c r="I1262" s="6" t="s">
        <v>865</v>
      </c>
      <c r="J1262" s="5">
        <v>80</v>
      </c>
      <c r="K1262" s="5">
        <v>98.75</v>
      </c>
      <c r="L1262" s="15">
        <v>1.234375</v>
      </c>
      <c r="M1262" s="15">
        <v>1.234375</v>
      </c>
      <c r="N1262" s="5" t="s">
        <v>347</v>
      </c>
      <c r="O1262" s="5" t="s">
        <v>347</v>
      </c>
      <c r="P1262" s="5">
        <v>0</v>
      </c>
      <c r="Q1262" s="5">
        <v>0</v>
      </c>
      <c r="R1262" s="5" t="str">
        <f>A1262&amp;"-"&amp;YEAR(F1262)&amp;"-"&amp;IF(LEN(MONTH(F1262))=1,"0"&amp;MONTH(F1262),MONTH(F1262))&amp;"-"&amp;IF(LEN(DAY(F1262))=1,"0"&amp;DAY(F1262),DAY(F1262))</f>
        <v>507-2025-06-30</v>
      </c>
    </row>
    <row r="1263" spans="1:18" x14ac:dyDescent="0.3">
      <c r="A1263" s="5">
        <v>514</v>
      </c>
      <c r="B1263" s="5" t="s">
        <v>882</v>
      </c>
      <c r="C1263" s="5" t="s">
        <v>182</v>
      </c>
      <c r="D1263" s="13" t="s">
        <v>8</v>
      </c>
      <c r="E1263" s="5" t="s">
        <v>9</v>
      </c>
      <c r="F1263" s="6">
        <v>45838</v>
      </c>
      <c r="G1263" s="16">
        <v>2025</v>
      </c>
      <c r="H1263" s="6" t="s">
        <v>763</v>
      </c>
      <c r="I1263" s="6" t="s">
        <v>865</v>
      </c>
      <c r="J1263" s="5">
        <v>70</v>
      </c>
      <c r="K1263" s="5">
        <v>91.82</v>
      </c>
      <c r="L1263" s="15">
        <v>1.3</v>
      </c>
      <c r="M1263" s="15">
        <v>1.3117142857142856</v>
      </c>
      <c r="N1263" s="5" t="s">
        <v>347</v>
      </c>
      <c r="O1263" s="5" t="s">
        <v>347</v>
      </c>
      <c r="P1263" s="5">
        <v>0</v>
      </c>
      <c r="Q1263" s="5">
        <v>0</v>
      </c>
      <c r="R1263" s="5" t="str">
        <f>A1263&amp;"-"&amp;YEAR(F1263)&amp;"-"&amp;IF(LEN(MONTH(F1263))=1,"0"&amp;MONTH(F1263),MONTH(F1263))&amp;"-"&amp;IF(LEN(DAY(F1263))=1,"0"&amp;DAY(F1263),DAY(F1263))</f>
        <v>514-2025-06-30</v>
      </c>
    </row>
    <row r="1264" spans="1:18" x14ac:dyDescent="0.3">
      <c r="A1264" s="5">
        <v>519</v>
      </c>
      <c r="B1264" s="5" t="s">
        <v>883</v>
      </c>
      <c r="C1264" s="5" t="s">
        <v>285</v>
      </c>
      <c r="D1264" s="13" t="s">
        <v>8</v>
      </c>
      <c r="E1264" s="5" t="s">
        <v>9</v>
      </c>
      <c r="F1264" s="6">
        <v>45838</v>
      </c>
      <c r="G1264" s="16">
        <v>2025</v>
      </c>
      <c r="H1264" s="6" t="s">
        <v>763</v>
      </c>
      <c r="I1264" s="6" t="s">
        <v>865</v>
      </c>
      <c r="J1264" s="5">
        <v>100</v>
      </c>
      <c r="K1264" s="5">
        <v>431.45</v>
      </c>
      <c r="L1264" s="15">
        <v>1.3</v>
      </c>
      <c r="M1264" s="15">
        <v>4.3144999999999998</v>
      </c>
      <c r="N1264" s="5" t="s">
        <v>347</v>
      </c>
      <c r="O1264" s="5" t="s">
        <v>347</v>
      </c>
      <c r="P1264" s="5">
        <v>0</v>
      </c>
      <c r="Q1264" s="5">
        <v>0</v>
      </c>
      <c r="R1264" s="5" t="str">
        <f>A1264&amp;"-"&amp;YEAR(F1264)&amp;"-"&amp;IF(LEN(MONTH(F1264))=1,"0"&amp;MONTH(F1264),MONTH(F1264))&amp;"-"&amp;IF(LEN(DAY(F1264))=1,"0"&amp;DAY(F1264),DAY(F1264))</f>
        <v>519-2025-06-30</v>
      </c>
    </row>
    <row r="1265" spans="1:18" x14ac:dyDescent="0.3">
      <c r="A1265" s="5">
        <v>524</v>
      </c>
      <c r="B1265" s="5" t="s">
        <v>314</v>
      </c>
      <c r="C1265" s="5" t="s">
        <v>315</v>
      </c>
      <c r="D1265" s="13" t="s">
        <v>8</v>
      </c>
      <c r="E1265" s="5" t="s">
        <v>9</v>
      </c>
      <c r="F1265" s="6">
        <v>45838</v>
      </c>
      <c r="G1265" s="16">
        <v>2025</v>
      </c>
      <c r="H1265" s="6" t="s">
        <v>763</v>
      </c>
      <c r="I1265" s="6" t="s">
        <v>865</v>
      </c>
      <c r="J1265" s="5">
        <v>173731</v>
      </c>
      <c r="K1265" s="5">
        <v>172655</v>
      </c>
      <c r="L1265" s="15">
        <v>0.99380651697164002</v>
      </c>
      <c r="M1265" s="15">
        <v>0.99380651697164002</v>
      </c>
      <c r="N1265" s="5" t="s">
        <v>490</v>
      </c>
      <c r="O1265" s="5" t="s">
        <v>490</v>
      </c>
      <c r="P1265" s="5">
        <v>0</v>
      </c>
      <c r="Q1265" s="5">
        <v>0</v>
      </c>
      <c r="R1265" s="5" t="str">
        <f>A1265&amp;"-"&amp;YEAR(F1265)&amp;"-"&amp;IF(LEN(MONTH(F1265))=1,"0"&amp;MONTH(F1265),MONTH(F1265))&amp;"-"&amp;IF(LEN(DAY(F1265))=1,"0"&amp;DAY(F1265),DAY(F1265))</f>
        <v>524-2025-06-30</v>
      </c>
    </row>
    <row r="1266" spans="1:18" x14ac:dyDescent="0.3">
      <c r="A1266" s="5">
        <v>532</v>
      </c>
      <c r="B1266" s="5" t="s">
        <v>884</v>
      </c>
      <c r="C1266" s="5" t="s">
        <v>53</v>
      </c>
      <c r="D1266" s="13" t="s">
        <v>8</v>
      </c>
      <c r="E1266" s="5" t="s">
        <v>9</v>
      </c>
      <c r="F1266" s="6">
        <v>45838</v>
      </c>
      <c r="G1266" s="16">
        <v>2025</v>
      </c>
      <c r="H1266" s="6" t="s">
        <v>763</v>
      </c>
      <c r="I1266" s="6" t="s">
        <v>865</v>
      </c>
      <c r="J1266" s="5">
        <v>100</v>
      </c>
      <c r="K1266" s="5">
        <v>133.15</v>
      </c>
      <c r="L1266" s="15">
        <v>1.3</v>
      </c>
      <c r="M1266" s="15">
        <v>1.3315000000000001</v>
      </c>
      <c r="N1266" s="5" t="s">
        <v>347</v>
      </c>
      <c r="O1266" s="5" t="s">
        <v>347</v>
      </c>
      <c r="P1266" s="5">
        <v>0</v>
      </c>
      <c r="Q1266" s="5">
        <v>0</v>
      </c>
      <c r="R1266" s="5" t="str">
        <f>A1266&amp;"-"&amp;YEAR(F1266)&amp;"-"&amp;IF(LEN(MONTH(F1266))=1,"0"&amp;MONTH(F1266),MONTH(F1266))&amp;"-"&amp;IF(LEN(DAY(F1266))=1,"0"&amp;DAY(F1266),DAY(F1266))</f>
        <v>532-2025-06-30</v>
      </c>
    </row>
    <row r="1267" spans="1:18" x14ac:dyDescent="0.3">
      <c r="A1267" s="5">
        <v>533</v>
      </c>
      <c r="B1267" s="5" t="s">
        <v>885</v>
      </c>
      <c r="C1267" s="5" t="s">
        <v>53</v>
      </c>
      <c r="D1267" s="13" t="s">
        <v>8</v>
      </c>
      <c r="E1267" s="5" t="s">
        <v>9</v>
      </c>
      <c r="F1267" s="6">
        <v>45838</v>
      </c>
      <c r="G1267" s="16">
        <v>2025</v>
      </c>
      <c r="H1267" s="6" t="s">
        <v>763</v>
      </c>
      <c r="I1267" s="6" t="s">
        <v>865</v>
      </c>
      <c r="J1267" s="5">
        <v>100</v>
      </c>
      <c r="K1267" s="5">
        <v>124.89</v>
      </c>
      <c r="L1267" s="15">
        <v>1.2488999999999999</v>
      </c>
      <c r="M1267" s="15">
        <v>1.2488999999999999</v>
      </c>
      <c r="N1267" s="5" t="s">
        <v>347</v>
      </c>
      <c r="O1267" s="5" t="s">
        <v>347</v>
      </c>
      <c r="P1267" s="5">
        <v>0</v>
      </c>
      <c r="Q1267" s="5">
        <v>0</v>
      </c>
      <c r="R1267" s="5" t="str">
        <f>A1267&amp;"-"&amp;YEAR(F1267)&amp;"-"&amp;IF(LEN(MONTH(F1267))=1,"0"&amp;MONTH(F1267),MONTH(F1267))&amp;"-"&amp;IF(LEN(DAY(F1267))=1,"0"&amp;DAY(F1267),DAY(F1267))</f>
        <v>533-2025-06-30</v>
      </c>
    </row>
    <row r="1268" spans="1:18" x14ac:dyDescent="0.3">
      <c r="A1268" s="5">
        <v>534</v>
      </c>
      <c r="B1268" s="5" t="s">
        <v>886</v>
      </c>
      <c r="C1268" s="5" t="s">
        <v>53</v>
      </c>
      <c r="D1268" s="13" t="s">
        <v>8</v>
      </c>
      <c r="E1268" s="5" t="s">
        <v>9</v>
      </c>
      <c r="F1268" s="6">
        <v>45838</v>
      </c>
      <c r="G1268" s="16">
        <v>2025</v>
      </c>
      <c r="H1268" s="6" t="s">
        <v>763</v>
      </c>
      <c r="I1268" s="6" t="s">
        <v>865</v>
      </c>
      <c r="J1268" s="5">
        <v>100</v>
      </c>
      <c r="K1268" s="5">
        <v>134.09</v>
      </c>
      <c r="L1268" s="15">
        <v>1.3</v>
      </c>
      <c r="M1268" s="15">
        <v>1.3409</v>
      </c>
      <c r="N1268" s="5" t="s">
        <v>347</v>
      </c>
      <c r="O1268" s="5" t="s">
        <v>347</v>
      </c>
      <c r="P1268" s="5">
        <v>0</v>
      </c>
      <c r="Q1268" s="5">
        <v>0</v>
      </c>
      <c r="R1268" s="5" t="str">
        <f>A1268&amp;"-"&amp;YEAR(F1268)&amp;"-"&amp;IF(LEN(MONTH(F1268))=1,"0"&amp;MONTH(F1268),MONTH(F1268))&amp;"-"&amp;IF(LEN(DAY(F1268))=1,"0"&amp;DAY(F1268),DAY(F1268))</f>
        <v>534-2025-06-30</v>
      </c>
    </row>
    <row r="1269" spans="1:18" x14ac:dyDescent="0.3">
      <c r="A1269" s="5">
        <v>535</v>
      </c>
      <c r="B1269" s="5" t="s">
        <v>887</v>
      </c>
      <c r="C1269" s="5" t="s">
        <v>53</v>
      </c>
      <c r="D1269" s="13" t="s">
        <v>8</v>
      </c>
      <c r="E1269" s="5" t="s">
        <v>9</v>
      </c>
      <c r="F1269" s="6">
        <v>45838</v>
      </c>
      <c r="G1269" s="16">
        <v>2025</v>
      </c>
      <c r="H1269" s="6" t="s">
        <v>763</v>
      </c>
      <c r="I1269" s="6" t="s">
        <v>865</v>
      </c>
      <c r="J1269" s="5">
        <v>100</v>
      </c>
      <c r="K1269" s="5">
        <v>132.66999999999999</v>
      </c>
      <c r="L1269" s="15">
        <v>1.3</v>
      </c>
      <c r="M1269" s="15">
        <v>1.3266999999999998</v>
      </c>
      <c r="N1269" s="5" t="s">
        <v>347</v>
      </c>
      <c r="O1269" s="5" t="s">
        <v>347</v>
      </c>
      <c r="P1269" s="5">
        <v>0</v>
      </c>
      <c r="Q1269" s="5">
        <v>0</v>
      </c>
      <c r="R1269" s="5" t="str">
        <f>A1269&amp;"-"&amp;YEAR(F1269)&amp;"-"&amp;IF(LEN(MONTH(F1269))=1,"0"&amp;MONTH(F1269),MONTH(F1269))&amp;"-"&amp;IF(LEN(DAY(F1269))=1,"0"&amp;DAY(F1269),DAY(F1269))</f>
        <v>535-2025-06-30</v>
      </c>
    </row>
    <row r="1270" spans="1:18" x14ac:dyDescent="0.3">
      <c r="A1270" s="5">
        <v>536</v>
      </c>
      <c r="B1270" s="5" t="s">
        <v>888</v>
      </c>
      <c r="C1270" s="5" t="s">
        <v>53</v>
      </c>
      <c r="D1270" s="13" t="s">
        <v>8</v>
      </c>
      <c r="E1270" s="5" t="s">
        <v>9</v>
      </c>
      <c r="F1270" s="6">
        <v>45838</v>
      </c>
      <c r="G1270" s="16">
        <v>2025</v>
      </c>
      <c r="H1270" s="6" t="s">
        <v>763</v>
      </c>
      <c r="I1270" s="6" t="s">
        <v>865</v>
      </c>
      <c r="J1270" s="5">
        <v>100</v>
      </c>
      <c r="K1270" s="5">
        <v>109.33</v>
      </c>
      <c r="L1270" s="15">
        <v>1.0932999999999999</v>
      </c>
      <c r="M1270" s="15">
        <v>1.0932999999999999</v>
      </c>
      <c r="N1270" s="5" t="s">
        <v>347</v>
      </c>
      <c r="O1270" s="5" t="s">
        <v>347</v>
      </c>
      <c r="P1270" s="5">
        <v>0</v>
      </c>
      <c r="Q1270" s="5">
        <v>0</v>
      </c>
      <c r="R1270" s="5" t="str">
        <f>A1270&amp;"-"&amp;YEAR(F1270)&amp;"-"&amp;IF(LEN(MONTH(F1270))=1,"0"&amp;MONTH(F1270),MONTH(F1270))&amp;"-"&amp;IF(LEN(DAY(F1270))=1,"0"&amp;DAY(F1270),DAY(F1270))</f>
        <v>536-2025-06-30</v>
      </c>
    </row>
    <row r="1271" spans="1:18" x14ac:dyDescent="0.3">
      <c r="A1271" s="5">
        <v>537</v>
      </c>
      <c r="B1271" s="5" t="s">
        <v>889</v>
      </c>
      <c r="C1271" s="5" t="s">
        <v>74</v>
      </c>
      <c r="D1271" s="13" t="s">
        <v>8</v>
      </c>
      <c r="E1271" s="5" t="s">
        <v>9</v>
      </c>
      <c r="F1271" s="6">
        <v>45838</v>
      </c>
      <c r="G1271" s="16">
        <v>2025</v>
      </c>
      <c r="H1271" s="6" t="s">
        <v>763</v>
      </c>
      <c r="I1271" s="6" t="s">
        <v>865</v>
      </c>
      <c r="J1271" s="5">
        <v>65</v>
      </c>
      <c r="K1271" s="5">
        <v>58.9</v>
      </c>
      <c r="L1271" s="15">
        <v>0.90615384615384609</v>
      </c>
      <c r="M1271" s="15">
        <v>0.90615384615384609</v>
      </c>
      <c r="N1271" s="5" t="s">
        <v>490</v>
      </c>
      <c r="O1271" s="5" t="s">
        <v>490</v>
      </c>
      <c r="P1271" s="5">
        <v>0</v>
      </c>
      <c r="Q1271" s="5">
        <v>0</v>
      </c>
      <c r="R1271" s="5" t="str">
        <f>A1271&amp;"-"&amp;YEAR(F1271)&amp;"-"&amp;IF(LEN(MONTH(F1271))=1,"0"&amp;MONTH(F1271),MONTH(F1271))&amp;"-"&amp;IF(LEN(DAY(F1271))=1,"0"&amp;DAY(F1271),DAY(F1271))</f>
        <v>537-2025-06-30</v>
      </c>
    </row>
    <row r="1272" spans="1:18" x14ac:dyDescent="0.3">
      <c r="A1272" s="5">
        <v>543</v>
      </c>
      <c r="B1272" s="5" t="s">
        <v>890</v>
      </c>
      <c r="C1272" s="5" t="s">
        <v>67</v>
      </c>
      <c r="D1272" s="13" t="s">
        <v>8</v>
      </c>
      <c r="E1272" s="5" t="s">
        <v>9</v>
      </c>
      <c r="F1272" s="6">
        <v>45838</v>
      </c>
      <c r="G1272" s="16">
        <v>2025</v>
      </c>
      <c r="H1272" s="6" t="s">
        <v>763</v>
      </c>
      <c r="I1272" s="6" t="s">
        <v>865</v>
      </c>
      <c r="J1272" s="5"/>
      <c r="K1272" s="5">
        <v>7.29</v>
      </c>
      <c r="L1272" s="15" t="s">
        <v>417</v>
      </c>
      <c r="M1272" s="15" t="s">
        <v>417</v>
      </c>
      <c r="N1272" s="5" t="s">
        <v>490</v>
      </c>
      <c r="O1272" s="5" t="s">
        <v>490</v>
      </c>
      <c r="P1272" s="5">
        <v>0</v>
      </c>
      <c r="Q1272" s="5">
        <v>0</v>
      </c>
      <c r="R1272" s="5" t="str">
        <f>A1272&amp;"-"&amp;YEAR(F1272)&amp;"-"&amp;IF(LEN(MONTH(F1272))=1,"0"&amp;MONTH(F1272),MONTH(F1272))&amp;"-"&amp;IF(LEN(DAY(F1272))=1,"0"&amp;DAY(F1272),DAY(F1272))</f>
        <v>543-2025-06-30</v>
      </c>
    </row>
    <row r="1273" spans="1:18" x14ac:dyDescent="0.3">
      <c r="A1273" s="5">
        <v>544</v>
      </c>
      <c r="B1273" s="5" t="s">
        <v>891</v>
      </c>
      <c r="C1273" s="5" t="s">
        <v>294</v>
      </c>
      <c r="D1273" s="13" t="s">
        <v>8</v>
      </c>
      <c r="E1273" s="5" t="s">
        <v>9</v>
      </c>
      <c r="F1273" s="6">
        <v>45838</v>
      </c>
      <c r="G1273" s="16">
        <v>2025</v>
      </c>
      <c r="H1273" s="6" t="s">
        <v>763</v>
      </c>
      <c r="I1273" s="6" t="s">
        <v>865</v>
      </c>
      <c r="J1273" s="5">
        <v>4</v>
      </c>
      <c r="K1273" s="5">
        <v>10</v>
      </c>
      <c r="L1273" s="15">
        <v>1.3</v>
      </c>
      <c r="M1273" s="15">
        <v>2.5</v>
      </c>
      <c r="N1273" s="5" t="s">
        <v>490</v>
      </c>
      <c r="O1273" s="5" t="s">
        <v>490</v>
      </c>
      <c r="P1273" s="5">
        <v>0</v>
      </c>
      <c r="Q1273" s="5">
        <v>0</v>
      </c>
      <c r="R1273" s="5" t="str">
        <f>A1273&amp;"-"&amp;YEAR(F1273)&amp;"-"&amp;IF(LEN(MONTH(F1273))=1,"0"&amp;MONTH(F1273),MONTH(F1273))&amp;"-"&amp;IF(LEN(DAY(F1273))=1,"0"&amp;DAY(F1273),DAY(F1273))</f>
        <v>544-2025-06-30</v>
      </c>
    </row>
    <row r="1274" spans="1:18" x14ac:dyDescent="0.3">
      <c r="A1274" s="5">
        <v>69</v>
      </c>
      <c r="B1274" s="5" t="s">
        <v>10</v>
      </c>
      <c r="C1274" s="5" t="s">
        <v>7</v>
      </c>
      <c r="D1274" s="13" t="s">
        <v>11</v>
      </c>
      <c r="E1274" s="5" t="s">
        <v>9</v>
      </c>
      <c r="F1274" s="6">
        <v>45838</v>
      </c>
      <c r="G1274" s="16">
        <v>2025</v>
      </c>
      <c r="H1274" s="6" t="s">
        <v>763</v>
      </c>
      <c r="I1274" s="6" t="s">
        <v>865</v>
      </c>
      <c r="J1274" s="5">
        <v>90</v>
      </c>
      <c r="K1274" s="5">
        <v>90.78</v>
      </c>
      <c r="L1274" s="15">
        <v>1.0086666666666666</v>
      </c>
      <c r="M1274" s="15">
        <v>1.0086666666666666</v>
      </c>
      <c r="N1274" s="5" t="s">
        <v>347</v>
      </c>
      <c r="O1274" s="5" t="s">
        <v>347</v>
      </c>
      <c r="P1274" s="5">
        <v>0</v>
      </c>
      <c r="Q1274" s="5">
        <v>1</v>
      </c>
      <c r="R1274" s="5" t="str">
        <f>A1274&amp;"-"&amp;YEAR(F1274)&amp;"-"&amp;IF(LEN(MONTH(F1274))=1,"0"&amp;MONTH(F1274),MONTH(F1274))&amp;"-"&amp;IF(LEN(DAY(F1274))=1,"0"&amp;DAY(F1274),DAY(F1274))</f>
        <v>69-2025-06-30</v>
      </c>
    </row>
    <row r="1275" spans="1:18" x14ac:dyDescent="0.3">
      <c r="A1275" s="5">
        <v>111</v>
      </c>
      <c r="B1275" s="5" t="s">
        <v>39</v>
      </c>
      <c r="C1275" s="5" t="s">
        <v>7</v>
      </c>
      <c r="D1275" s="13" t="s">
        <v>11</v>
      </c>
      <c r="E1275" s="5" t="s">
        <v>9</v>
      </c>
      <c r="F1275" s="6">
        <v>45838</v>
      </c>
      <c r="G1275" s="16">
        <v>2025</v>
      </c>
      <c r="H1275" s="6" t="s">
        <v>763</v>
      </c>
      <c r="I1275" s="6" t="s">
        <v>865</v>
      </c>
      <c r="J1275" s="5">
        <v>80</v>
      </c>
      <c r="K1275" s="5">
        <v>96.35</v>
      </c>
      <c r="L1275" s="15">
        <v>1.204375</v>
      </c>
      <c r="M1275" s="15">
        <v>1.204375</v>
      </c>
      <c r="N1275" s="5" t="s">
        <v>347</v>
      </c>
      <c r="O1275" s="5" t="s">
        <v>347</v>
      </c>
      <c r="P1275" s="5">
        <v>0</v>
      </c>
      <c r="Q1275" s="5">
        <v>0</v>
      </c>
      <c r="R1275" s="5" t="str">
        <f>A1275&amp;"-"&amp;YEAR(F1275)&amp;"-"&amp;IF(LEN(MONTH(F1275))=1,"0"&amp;MONTH(F1275),MONTH(F1275))&amp;"-"&amp;IF(LEN(DAY(F1275))=1,"0"&amp;DAY(F1275),DAY(F1275))</f>
        <v>111-2025-06-30</v>
      </c>
    </row>
    <row r="1276" spans="1:18" x14ac:dyDescent="0.3">
      <c r="A1276" s="5">
        <v>197</v>
      </c>
      <c r="B1276" s="5" t="s">
        <v>78</v>
      </c>
      <c r="C1276" s="5" t="s">
        <v>43</v>
      </c>
      <c r="D1276" s="13" t="s">
        <v>11</v>
      </c>
      <c r="E1276" s="5" t="s">
        <v>9</v>
      </c>
      <c r="F1276" s="6">
        <v>45838</v>
      </c>
      <c r="G1276" s="16">
        <v>2025</v>
      </c>
      <c r="H1276" s="6" t="s">
        <v>763</v>
      </c>
      <c r="I1276" s="6" t="s">
        <v>865</v>
      </c>
      <c r="J1276" s="5">
        <v>97</v>
      </c>
      <c r="K1276" s="5">
        <v>94.19</v>
      </c>
      <c r="L1276" s="15">
        <v>0.97103092783505152</v>
      </c>
      <c r="M1276" s="15">
        <v>0.97103092783505152</v>
      </c>
      <c r="N1276" s="5" t="s">
        <v>347</v>
      </c>
      <c r="O1276" s="5" t="s">
        <v>347</v>
      </c>
      <c r="P1276" s="5">
        <v>0</v>
      </c>
      <c r="Q1276" s="5">
        <v>0</v>
      </c>
      <c r="R1276" s="5" t="str">
        <f>A1276&amp;"-"&amp;YEAR(F1276)&amp;"-"&amp;IF(LEN(MONTH(F1276))=1,"0"&amp;MONTH(F1276),MONTH(F1276))&amp;"-"&amp;IF(LEN(DAY(F1276))=1,"0"&amp;DAY(F1276),DAY(F1276))</f>
        <v>197-2025-06-30</v>
      </c>
    </row>
    <row r="1277" spans="1:18" x14ac:dyDescent="0.3">
      <c r="A1277" s="5">
        <v>213</v>
      </c>
      <c r="B1277" s="5" t="s">
        <v>92</v>
      </c>
      <c r="C1277" s="5" t="s">
        <v>90</v>
      </c>
      <c r="D1277" s="13" t="s">
        <v>11</v>
      </c>
      <c r="E1277" s="5" t="s">
        <v>9</v>
      </c>
      <c r="F1277" s="6">
        <v>45838</v>
      </c>
      <c r="G1277" s="16">
        <v>2025</v>
      </c>
      <c r="H1277" s="6" t="s">
        <v>763</v>
      </c>
      <c r="I1277" s="6" t="s">
        <v>865</v>
      </c>
      <c r="J1277" s="5">
        <v>90</v>
      </c>
      <c r="K1277" s="5">
        <v>0</v>
      </c>
      <c r="L1277" s="15">
        <v>0</v>
      </c>
      <c r="M1277" s="15">
        <v>0</v>
      </c>
      <c r="N1277" s="5" t="s">
        <v>347</v>
      </c>
      <c r="O1277" s="5" t="s">
        <v>347</v>
      </c>
      <c r="P1277" s="5">
        <v>0</v>
      </c>
      <c r="Q1277" s="5">
        <v>0</v>
      </c>
      <c r="R1277" s="5" t="str">
        <f>A1277&amp;"-"&amp;YEAR(F1277)&amp;"-"&amp;IF(LEN(MONTH(F1277))=1,"0"&amp;MONTH(F1277),MONTH(F1277))&amp;"-"&amp;IF(LEN(DAY(F1277))=1,"0"&amp;DAY(F1277),DAY(F1277))</f>
        <v>213-2025-06-30</v>
      </c>
    </row>
    <row r="1278" spans="1:18" x14ac:dyDescent="0.3">
      <c r="A1278" s="5">
        <v>251</v>
      </c>
      <c r="B1278" s="5" t="s">
        <v>892</v>
      </c>
      <c r="C1278" s="5" t="s">
        <v>134</v>
      </c>
      <c r="D1278" s="13" t="s">
        <v>11</v>
      </c>
      <c r="E1278" s="5" t="s">
        <v>9</v>
      </c>
      <c r="F1278" s="6">
        <v>45838</v>
      </c>
      <c r="G1278" s="16">
        <v>2025</v>
      </c>
      <c r="H1278" s="6" t="s">
        <v>763</v>
      </c>
      <c r="I1278" s="6" t="s">
        <v>865</v>
      </c>
      <c r="J1278" s="5">
        <v>100</v>
      </c>
      <c r="K1278" s="5">
        <v>82.35</v>
      </c>
      <c r="L1278" s="15">
        <v>0.8234999999999999</v>
      </c>
      <c r="M1278" s="15">
        <v>0.8234999999999999</v>
      </c>
      <c r="N1278" s="5" t="s">
        <v>347</v>
      </c>
      <c r="O1278" s="5" t="s">
        <v>347</v>
      </c>
      <c r="P1278" s="5">
        <v>0</v>
      </c>
      <c r="Q1278" s="5">
        <v>0</v>
      </c>
      <c r="R1278" s="5" t="str">
        <f>A1278&amp;"-"&amp;YEAR(F1278)&amp;"-"&amp;IF(LEN(MONTH(F1278))=1,"0"&amp;MONTH(F1278),MONTH(F1278))&amp;"-"&amp;IF(LEN(DAY(F1278))=1,"0"&amp;DAY(F1278),DAY(F1278))</f>
        <v>251-2025-06-30</v>
      </c>
    </row>
    <row r="1279" spans="1:18" x14ac:dyDescent="0.3">
      <c r="A1279" s="5">
        <v>263</v>
      </c>
      <c r="B1279" s="5" t="s">
        <v>146</v>
      </c>
      <c r="C1279" s="5" t="s">
        <v>145</v>
      </c>
      <c r="D1279" s="13" t="s">
        <v>11</v>
      </c>
      <c r="E1279" s="5" t="s">
        <v>9</v>
      </c>
      <c r="F1279" s="6">
        <v>45838</v>
      </c>
      <c r="G1279" s="16">
        <v>2025</v>
      </c>
      <c r="H1279" s="6" t="s">
        <v>763</v>
      </c>
      <c r="I1279" s="6" t="s">
        <v>865</v>
      </c>
      <c r="J1279" s="5">
        <v>100</v>
      </c>
      <c r="K1279" s="5">
        <v>100</v>
      </c>
      <c r="L1279" s="15">
        <v>1</v>
      </c>
      <c r="M1279" s="15">
        <v>1</v>
      </c>
      <c r="N1279" s="5" t="s">
        <v>347</v>
      </c>
      <c r="O1279" s="5" t="s">
        <v>347</v>
      </c>
      <c r="P1279" s="5">
        <v>0</v>
      </c>
      <c r="Q1279" s="5">
        <v>0</v>
      </c>
      <c r="R1279" s="5" t="str">
        <f>A1279&amp;"-"&amp;YEAR(F1279)&amp;"-"&amp;IF(LEN(MONTH(F1279))=1,"0"&amp;MONTH(F1279),MONTH(F1279))&amp;"-"&amp;IF(LEN(DAY(F1279))=1,"0"&amp;DAY(F1279),DAY(F1279))</f>
        <v>263-2025-06-30</v>
      </c>
    </row>
    <row r="1280" spans="1:18" x14ac:dyDescent="0.3">
      <c r="A1280" s="5">
        <v>265</v>
      </c>
      <c r="B1280" s="5" t="s">
        <v>496</v>
      </c>
      <c r="C1280" s="5" t="s">
        <v>145</v>
      </c>
      <c r="D1280" s="13" t="s">
        <v>11</v>
      </c>
      <c r="E1280" s="5" t="s">
        <v>9</v>
      </c>
      <c r="F1280" s="6">
        <v>45838</v>
      </c>
      <c r="G1280" s="16">
        <v>2025</v>
      </c>
      <c r="H1280" s="6" t="s">
        <v>763</v>
      </c>
      <c r="I1280" s="6" t="s">
        <v>865</v>
      </c>
      <c r="J1280" s="5">
        <v>95</v>
      </c>
      <c r="K1280" s="5">
        <v>100</v>
      </c>
      <c r="L1280" s="15">
        <v>1.0526315789473684</v>
      </c>
      <c r="M1280" s="15">
        <v>1.0526315789473684</v>
      </c>
      <c r="N1280" s="5" t="s">
        <v>347</v>
      </c>
      <c r="O1280" s="5" t="s">
        <v>347</v>
      </c>
      <c r="P1280" s="5">
        <v>0</v>
      </c>
      <c r="Q1280" s="5">
        <v>0</v>
      </c>
      <c r="R1280" s="5" t="str">
        <f>A1280&amp;"-"&amp;YEAR(F1280)&amp;"-"&amp;IF(LEN(MONTH(F1280))=1,"0"&amp;MONTH(F1280),MONTH(F1280))&amp;"-"&amp;IF(LEN(DAY(F1280))=1,"0"&amp;DAY(F1280),DAY(F1280))</f>
        <v>265-2025-06-30</v>
      </c>
    </row>
    <row r="1281" spans="1:18" x14ac:dyDescent="0.3">
      <c r="A1281" s="5">
        <v>266</v>
      </c>
      <c r="B1281" s="5" t="s">
        <v>149</v>
      </c>
      <c r="C1281" s="5" t="s">
        <v>145</v>
      </c>
      <c r="D1281" s="13" t="s">
        <v>11</v>
      </c>
      <c r="E1281" s="5" t="s">
        <v>9</v>
      </c>
      <c r="F1281" s="6">
        <v>45838</v>
      </c>
      <c r="G1281" s="16">
        <v>2025</v>
      </c>
      <c r="H1281" s="6" t="s">
        <v>763</v>
      </c>
      <c r="I1281" s="6" t="s">
        <v>865</v>
      </c>
      <c r="J1281" s="5">
        <v>95</v>
      </c>
      <c r="K1281" s="5">
        <v>53.15</v>
      </c>
      <c r="L1281" s="15">
        <v>0.55947368421052635</v>
      </c>
      <c r="M1281" s="15">
        <v>0.55947368421052635</v>
      </c>
      <c r="N1281" s="5" t="s">
        <v>347</v>
      </c>
      <c r="O1281" s="5" t="s">
        <v>347</v>
      </c>
      <c r="P1281" s="5">
        <v>0</v>
      </c>
      <c r="Q1281" s="5">
        <v>0</v>
      </c>
      <c r="R1281" s="5" t="str">
        <f>A1281&amp;"-"&amp;YEAR(F1281)&amp;"-"&amp;IF(LEN(MONTH(F1281))=1,"0"&amp;MONTH(F1281),MONTH(F1281))&amp;"-"&amp;IF(LEN(DAY(F1281))=1,"0"&amp;DAY(F1281),DAY(F1281))</f>
        <v>266-2025-06-30</v>
      </c>
    </row>
    <row r="1282" spans="1:18" x14ac:dyDescent="0.3">
      <c r="A1282" s="5">
        <v>300</v>
      </c>
      <c r="B1282" s="5" t="s">
        <v>184</v>
      </c>
      <c r="C1282" s="5" t="s">
        <v>185</v>
      </c>
      <c r="D1282" s="13" t="s">
        <v>11</v>
      </c>
      <c r="E1282" s="5" t="s">
        <v>9</v>
      </c>
      <c r="F1282" s="6">
        <v>45838</v>
      </c>
      <c r="G1282" s="16">
        <v>2025</v>
      </c>
      <c r="H1282" s="6" t="s">
        <v>763</v>
      </c>
      <c r="I1282" s="6" t="s">
        <v>865</v>
      </c>
      <c r="J1282" s="5">
        <v>100</v>
      </c>
      <c r="K1282" s="5">
        <v>100</v>
      </c>
      <c r="L1282" s="15">
        <v>1</v>
      </c>
      <c r="M1282" s="15">
        <v>1</v>
      </c>
      <c r="N1282" s="5" t="s">
        <v>347</v>
      </c>
      <c r="O1282" s="5" t="s">
        <v>347</v>
      </c>
      <c r="P1282" s="5">
        <v>0</v>
      </c>
      <c r="Q1282" s="5">
        <v>0</v>
      </c>
      <c r="R1282" s="5" t="str">
        <f>A1282&amp;"-"&amp;YEAR(F1282)&amp;"-"&amp;IF(LEN(MONTH(F1282))=1,"0"&amp;MONTH(F1282),MONTH(F1282))&amp;"-"&amp;IF(LEN(DAY(F1282))=1,"0"&amp;DAY(F1282),DAY(F1282))</f>
        <v>300-2025-06-30</v>
      </c>
    </row>
    <row r="1283" spans="1:18" x14ac:dyDescent="0.3">
      <c r="A1283" s="5">
        <v>301</v>
      </c>
      <c r="B1283" s="5" t="s">
        <v>186</v>
      </c>
      <c r="C1283" s="5" t="s">
        <v>185</v>
      </c>
      <c r="D1283" s="13" t="s">
        <v>11</v>
      </c>
      <c r="E1283" s="5" t="s">
        <v>9</v>
      </c>
      <c r="F1283" s="6">
        <v>45838</v>
      </c>
      <c r="G1283" s="16">
        <v>2025</v>
      </c>
      <c r="H1283" s="6" t="s">
        <v>763</v>
      </c>
      <c r="I1283" s="6" t="s">
        <v>865</v>
      </c>
      <c r="J1283" s="5">
        <v>100</v>
      </c>
      <c r="K1283" s="5">
        <v>100</v>
      </c>
      <c r="L1283" s="15">
        <v>1</v>
      </c>
      <c r="M1283" s="15">
        <v>1</v>
      </c>
      <c r="N1283" s="5" t="s">
        <v>347</v>
      </c>
      <c r="O1283" s="5" t="s">
        <v>347</v>
      </c>
      <c r="P1283" s="5">
        <v>0</v>
      </c>
      <c r="Q1283" s="5">
        <v>0</v>
      </c>
      <c r="R1283" s="5" t="str">
        <f>A1283&amp;"-"&amp;YEAR(F1283)&amp;"-"&amp;IF(LEN(MONTH(F1283))=1,"0"&amp;MONTH(F1283),MONTH(F1283))&amp;"-"&amp;IF(LEN(DAY(F1283))=1,"0"&amp;DAY(F1283),DAY(F1283))</f>
        <v>301-2025-06-30</v>
      </c>
    </row>
    <row r="1284" spans="1:18" x14ac:dyDescent="0.3">
      <c r="A1284" s="5">
        <v>306</v>
      </c>
      <c r="B1284" s="5" t="s">
        <v>192</v>
      </c>
      <c r="C1284" s="5" t="s">
        <v>134</v>
      </c>
      <c r="D1284" s="13" t="s">
        <v>11</v>
      </c>
      <c r="E1284" s="5" t="s">
        <v>9</v>
      </c>
      <c r="F1284" s="6">
        <v>45838</v>
      </c>
      <c r="G1284" s="16">
        <v>2025</v>
      </c>
      <c r="H1284" s="6" t="s">
        <v>763</v>
      </c>
      <c r="I1284" s="6" t="s">
        <v>865</v>
      </c>
      <c r="J1284" s="5">
        <v>100</v>
      </c>
      <c r="K1284" s="5">
        <v>109.5</v>
      </c>
      <c r="L1284" s="15">
        <v>1.095</v>
      </c>
      <c r="M1284" s="15">
        <v>1.095</v>
      </c>
      <c r="N1284" s="5" t="s">
        <v>347</v>
      </c>
      <c r="O1284" s="5" t="s">
        <v>347</v>
      </c>
      <c r="P1284" s="5">
        <v>0</v>
      </c>
      <c r="Q1284" s="5">
        <v>0</v>
      </c>
      <c r="R1284" s="5" t="str">
        <f>A1284&amp;"-"&amp;YEAR(F1284)&amp;"-"&amp;IF(LEN(MONTH(F1284))=1,"0"&amp;MONTH(F1284),MONTH(F1284))&amp;"-"&amp;IF(LEN(DAY(F1284))=1,"0"&amp;DAY(F1284),DAY(F1284))</f>
        <v>306-2025-06-30</v>
      </c>
    </row>
    <row r="1285" spans="1:18" x14ac:dyDescent="0.3">
      <c r="A1285" s="5">
        <v>340</v>
      </c>
      <c r="B1285" s="5" t="s">
        <v>225</v>
      </c>
      <c r="C1285" s="5" t="s">
        <v>43</v>
      </c>
      <c r="D1285" s="13" t="s">
        <v>11</v>
      </c>
      <c r="E1285" s="5" t="s">
        <v>9</v>
      </c>
      <c r="F1285" s="6">
        <v>45838</v>
      </c>
      <c r="G1285" s="16">
        <v>2025</v>
      </c>
      <c r="H1285" s="6" t="s">
        <v>763</v>
      </c>
      <c r="I1285" s="6" t="s">
        <v>865</v>
      </c>
      <c r="J1285" s="5">
        <v>95</v>
      </c>
      <c r="K1285" s="5">
        <v>100</v>
      </c>
      <c r="L1285" s="15">
        <v>1</v>
      </c>
      <c r="M1285" s="15">
        <v>1</v>
      </c>
      <c r="N1285" s="5" t="s">
        <v>347</v>
      </c>
      <c r="O1285" s="5" t="s">
        <v>347</v>
      </c>
      <c r="P1285" s="5">
        <v>0</v>
      </c>
      <c r="Q1285" s="5">
        <v>0</v>
      </c>
      <c r="R1285" s="5" t="str">
        <f>A1285&amp;"-"&amp;YEAR(F1285)&amp;"-"&amp;IF(LEN(MONTH(F1285))=1,"0"&amp;MONTH(F1285),MONTH(F1285))&amp;"-"&amp;IF(LEN(DAY(F1285))=1,"0"&amp;DAY(F1285),DAY(F1285))</f>
        <v>340-2025-06-30</v>
      </c>
    </row>
    <row r="1286" spans="1:18" x14ac:dyDescent="0.3">
      <c r="A1286" s="5">
        <v>347</v>
      </c>
      <c r="B1286" s="5" t="s">
        <v>230</v>
      </c>
      <c r="C1286" s="5" t="s">
        <v>231</v>
      </c>
      <c r="D1286" s="13" t="s">
        <v>11</v>
      </c>
      <c r="E1286" s="5" t="s">
        <v>14</v>
      </c>
      <c r="F1286" s="6">
        <v>45838</v>
      </c>
      <c r="G1286" s="16">
        <v>2025</v>
      </c>
      <c r="H1286" s="6" t="s">
        <v>763</v>
      </c>
      <c r="I1286" s="6" t="s">
        <v>865</v>
      </c>
      <c r="J1286" s="5">
        <v>5</v>
      </c>
      <c r="K1286" s="5">
        <v>2</v>
      </c>
      <c r="L1286" s="15">
        <v>1</v>
      </c>
      <c r="M1286" s="15">
        <v>1</v>
      </c>
      <c r="N1286" s="5" t="s">
        <v>490</v>
      </c>
      <c r="O1286" s="5" t="s">
        <v>490</v>
      </c>
      <c r="P1286" s="5">
        <v>0</v>
      </c>
      <c r="Q1286" s="5">
        <v>0</v>
      </c>
      <c r="R1286" s="5" t="str">
        <f>A1286&amp;"-"&amp;YEAR(F1286)&amp;"-"&amp;IF(LEN(MONTH(F1286))=1,"0"&amp;MONTH(F1286),MONTH(F1286))&amp;"-"&amp;IF(LEN(DAY(F1286))=1,"0"&amp;DAY(F1286),DAY(F1286))</f>
        <v>347-2025-06-30</v>
      </c>
    </row>
    <row r="1287" spans="1:18" x14ac:dyDescent="0.3">
      <c r="A1287" s="5">
        <v>348</v>
      </c>
      <c r="B1287" s="5" t="s">
        <v>232</v>
      </c>
      <c r="C1287" s="5" t="s">
        <v>231</v>
      </c>
      <c r="D1287" s="13" t="s">
        <v>11</v>
      </c>
      <c r="E1287" s="5" t="s">
        <v>9</v>
      </c>
      <c r="F1287" s="6">
        <v>45838</v>
      </c>
      <c r="G1287" s="16">
        <v>2025</v>
      </c>
      <c r="H1287" s="6" t="s">
        <v>763</v>
      </c>
      <c r="I1287" s="6" t="s">
        <v>865</v>
      </c>
      <c r="J1287" s="5">
        <v>99</v>
      </c>
      <c r="K1287" s="5">
        <v>100</v>
      </c>
      <c r="L1287" s="15">
        <v>1.0101010101010102</v>
      </c>
      <c r="M1287" s="15">
        <v>1.0101010101010102</v>
      </c>
      <c r="N1287" s="5" t="s">
        <v>347</v>
      </c>
      <c r="O1287" s="5" t="s">
        <v>347</v>
      </c>
      <c r="P1287" s="5">
        <v>0</v>
      </c>
      <c r="Q1287" s="5">
        <v>0</v>
      </c>
      <c r="R1287" s="5" t="str">
        <f>A1287&amp;"-"&amp;YEAR(F1287)&amp;"-"&amp;IF(LEN(MONTH(F1287))=1,"0"&amp;MONTH(F1287),MONTH(F1287))&amp;"-"&amp;IF(LEN(DAY(F1287))=1,"0"&amp;DAY(F1287),DAY(F1287))</f>
        <v>348-2025-06-30</v>
      </c>
    </row>
    <row r="1288" spans="1:18" x14ac:dyDescent="0.3">
      <c r="A1288" s="5">
        <v>351</v>
      </c>
      <c r="B1288" s="5" t="s">
        <v>235</v>
      </c>
      <c r="C1288" s="5" t="s">
        <v>231</v>
      </c>
      <c r="D1288" s="13" t="s">
        <v>11</v>
      </c>
      <c r="E1288" s="5" t="s">
        <v>14</v>
      </c>
      <c r="F1288" s="6">
        <v>45838</v>
      </c>
      <c r="G1288" s="16">
        <v>2025</v>
      </c>
      <c r="H1288" s="6" t="s">
        <v>763</v>
      </c>
      <c r="I1288" s="6" t="s">
        <v>865</v>
      </c>
      <c r="J1288" s="5">
        <v>5</v>
      </c>
      <c r="K1288" s="5">
        <v>0.56000000000000005</v>
      </c>
      <c r="L1288" s="8">
        <v>1</v>
      </c>
      <c r="M1288" s="15">
        <v>1</v>
      </c>
      <c r="N1288" s="5" t="s">
        <v>490</v>
      </c>
      <c r="O1288" s="5" t="s">
        <v>478</v>
      </c>
      <c r="P1288" s="5">
        <v>0</v>
      </c>
      <c r="Q1288" s="5">
        <v>1</v>
      </c>
      <c r="R1288" s="5" t="str">
        <f>A1288&amp;"-"&amp;YEAR(F1288)&amp;"-"&amp;IF(LEN(MONTH(F1288))=1,"0"&amp;MONTH(F1288),MONTH(F1288))&amp;"-"&amp;IF(LEN(DAY(F1288))=1,"0"&amp;DAY(F1288),DAY(F1288))</f>
        <v>351-2025-06-30</v>
      </c>
    </row>
    <row r="1289" spans="1:18" x14ac:dyDescent="0.3">
      <c r="A1289" s="5">
        <v>352</v>
      </c>
      <c r="B1289" s="5" t="s">
        <v>412</v>
      </c>
      <c r="C1289" s="5" t="s">
        <v>231</v>
      </c>
      <c r="D1289" s="13" t="s">
        <v>11</v>
      </c>
      <c r="E1289" s="5" t="s">
        <v>14</v>
      </c>
      <c r="F1289" s="6">
        <v>45838</v>
      </c>
      <c r="G1289" s="16">
        <v>2025</v>
      </c>
      <c r="H1289" s="6" t="s">
        <v>763</v>
      </c>
      <c r="I1289" s="6" t="s">
        <v>865</v>
      </c>
      <c r="J1289" s="5">
        <v>0</v>
      </c>
      <c r="K1289" s="5">
        <v>0.01</v>
      </c>
      <c r="L1289" s="15">
        <v>0.96</v>
      </c>
      <c r="M1289" s="15">
        <v>0.99990000000000001</v>
      </c>
      <c r="N1289" s="5" t="s">
        <v>347</v>
      </c>
      <c r="O1289" s="5" t="s">
        <v>347</v>
      </c>
      <c r="P1289" s="5">
        <v>0</v>
      </c>
      <c r="Q1289" s="5">
        <v>2</v>
      </c>
      <c r="R1289" s="5" t="str">
        <f>A1289&amp;"-"&amp;YEAR(F1289)&amp;"-"&amp;IF(LEN(MONTH(F1289))=1,"0"&amp;MONTH(F1289),MONTH(F1289))&amp;"-"&amp;IF(LEN(DAY(F1289))=1,"0"&amp;DAY(F1289),DAY(F1289))</f>
        <v>352-2025-06-30</v>
      </c>
    </row>
    <row r="1290" spans="1:18" x14ac:dyDescent="0.3">
      <c r="A1290" s="5">
        <v>368</v>
      </c>
      <c r="B1290" s="5" t="s">
        <v>255</v>
      </c>
      <c r="C1290" s="5" t="s">
        <v>256</v>
      </c>
      <c r="D1290" s="13" t="s">
        <v>11</v>
      </c>
      <c r="E1290" s="5" t="s">
        <v>9</v>
      </c>
      <c r="F1290" s="6">
        <v>45838</v>
      </c>
      <c r="G1290" s="16">
        <v>2025</v>
      </c>
      <c r="H1290" s="6" t="s">
        <v>763</v>
      </c>
      <c r="I1290" s="6" t="s">
        <v>865</v>
      </c>
      <c r="J1290" s="5">
        <v>93</v>
      </c>
      <c r="K1290" s="5">
        <v>95</v>
      </c>
      <c r="L1290" s="15">
        <v>1.021505376344086</v>
      </c>
      <c r="M1290" s="15">
        <v>1.021505376344086</v>
      </c>
      <c r="N1290" s="5" t="s">
        <v>347</v>
      </c>
      <c r="O1290" s="5" t="s">
        <v>347</v>
      </c>
      <c r="P1290" s="5">
        <v>0</v>
      </c>
      <c r="Q1290" s="5">
        <v>0</v>
      </c>
      <c r="R1290" s="5" t="str">
        <f>A1290&amp;"-"&amp;YEAR(F1290)&amp;"-"&amp;IF(LEN(MONTH(F1290))=1,"0"&amp;MONTH(F1290),MONTH(F1290))&amp;"-"&amp;IF(LEN(DAY(F1290))=1,"0"&amp;DAY(F1290),DAY(F1290))</f>
        <v>368-2025-06-30</v>
      </c>
    </row>
    <row r="1291" spans="1:18" x14ac:dyDescent="0.3">
      <c r="A1291" s="5">
        <v>372</v>
      </c>
      <c r="B1291" s="5" t="s">
        <v>260</v>
      </c>
      <c r="C1291" s="5" t="s">
        <v>256</v>
      </c>
      <c r="D1291" s="13" t="s">
        <v>11</v>
      </c>
      <c r="E1291" s="5" t="s">
        <v>9</v>
      </c>
      <c r="F1291" s="6">
        <v>45838</v>
      </c>
      <c r="G1291" s="16">
        <v>2025</v>
      </c>
      <c r="H1291" s="6" t="s">
        <v>763</v>
      </c>
      <c r="I1291" s="6" t="s">
        <v>865</v>
      </c>
      <c r="J1291" s="5">
        <v>90</v>
      </c>
      <c r="K1291" s="5">
        <v>94</v>
      </c>
      <c r="L1291" s="15">
        <v>1.0444444444444445</v>
      </c>
      <c r="M1291" s="15">
        <v>1.0444444444444445</v>
      </c>
      <c r="N1291" s="5" t="s">
        <v>347</v>
      </c>
      <c r="O1291" s="5" t="s">
        <v>347</v>
      </c>
      <c r="P1291" s="5">
        <v>0</v>
      </c>
      <c r="Q1291" s="5">
        <v>0</v>
      </c>
      <c r="R1291" s="5" t="str">
        <f>A1291&amp;"-"&amp;YEAR(F1291)&amp;"-"&amp;IF(LEN(MONTH(F1291))=1,"0"&amp;MONTH(F1291),MONTH(F1291))&amp;"-"&amp;IF(LEN(DAY(F1291))=1,"0"&amp;DAY(F1291),DAY(F1291))</f>
        <v>372-2025-06-30</v>
      </c>
    </row>
    <row r="1292" spans="1:18" x14ac:dyDescent="0.3">
      <c r="A1292" s="5">
        <v>390</v>
      </c>
      <c r="B1292" s="5" t="s">
        <v>279</v>
      </c>
      <c r="C1292" s="5" t="s">
        <v>131</v>
      </c>
      <c r="D1292" s="13" t="s">
        <v>11</v>
      </c>
      <c r="E1292" s="5" t="s">
        <v>9</v>
      </c>
      <c r="F1292" s="6">
        <v>45838</v>
      </c>
      <c r="G1292" s="16">
        <v>2025</v>
      </c>
      <c r="H1292" s="6" t="s">
        <v>763</v>
      </c>
      <c r="I1292" s="6" t="s">
        <v>865</v>
      </c>
      <c r="J1292" s="5">
        <v>100</v>
      </c>
      <c r="K1292" s="5">
        <v>0</v>
      </c>
      <c r="L1292" s="15">
        <v>0</v>
      </c>
      <c r="M1292" s="15">
        <v>0</v>
      </c>
      <c r="N1292" s="5" t="s">
        <v>347</v>
      </c>
      <c r="O1292" s="5" t="s">
        <v>347</v>
      </c>
      <c r="P1292" s="5">
        <v>0</v>
      </c>
      <c r="Q1292" s="5">
        <v>0</v>
      </c>
      <c r="R1292" s="5" t="str">
        <f>A1292&amp;"-"&amp;YEAR(F1292)&amp;"-"&amp;IF(LEN(MONTH(F1292))=1,"0"&amp;MONTH(F1292),MONTH(F1292))&amp;"-"&amp;IF(LEN(DAY(F1292))=1,"0"&amp;DAY(F1292),DAY(F1292))</f>
        <v>390-2025-06-30</v>
      </c>
    </row>
    <row r="1293" spans="1:18" x14ac:dyDescent="0.3">
      <c r="A1293" s="5">
        <v>394</v>
      </c>
      <c r="B1293" s="5" t="s">
        <v>284</v>
      </c>
      <c r="C1293" s="5" t="s">
        <v>285</v>
      </c>
      <c r="D1293" s="13" t="s">
        <v>11</v>
      </c>
      <c r="E1293" s="5" t="s">
        <v>9</v>
      </c>
      <c r="F1293" s="6">
        <v>45838</v>
      </c>
      <c r="G1293" s="16">
        <v>2025</v>
      </c>
      <c r="H1293" s="6" t="s">
        <v>763</v>
      </c>
      <c r="I1293" s="6" t="s">
        <v>865</v>
      </c>
      <c r="J1293" s="5">
        <v>550</v>
      </c>
      <c r="K1293" s="10">
        <v>794</v>
      </c>
      <c r="L1293" s="15">
        <v>1.3</v>
      </c>
      <c r="M1293" s="15">
        <v>1.4436363636363636</v>
      </c>
      <c r="N1293" s="5" t="s">
        <v>490</v>
      </c>
      <c r="O1293" s="5" t="s">
        <v>490</v>
      </c>
      <c r="P1293" s="5">
        <v>0</v>
      </c>
      <c r="Q1293" s="5">
        <v>0</v>
      </c>
      <c r="R1293" s="5" t="str">
        <f>A1293&amp;"-"&amp;YEAR(F1293)&amp;"-"&amp;IF(LEN(MONTH(F1293))=1,"0"&amp;MONTH(F1293),MONTH(F1293))&amp;"-"&amp;IF(LEN(DAY(F1293))=1,"0"&amp;DAY(F1293),DAY(F1293))</f>
        <v>394-2025-06-30</v>
      </c>
    </row>
    <row r="1294" spans="1:18" x14ac:dyDescent="0.3">
      <c r="A1294" s="5">
        <v>395</v>
      </c>
      <c r="B1294" s="5" t="s">
        <v>505</v>
      </c>
      <c r="C1294" s="5" t="s">
        <v>285</v>
      </c>
      <c r="D1294" s="13" t="s">
        <v>11</v>
      </c>
      <c r="E1294" s="5" t="s">
        <v>9</v>
      </c>
      <c r="F1294" s="6">
        <v>45838</v>
      </c>
      <c r="G1294" s="16">
        <v>2025</v>
      </c>
      <c r="H1294" s="6" t="s">
        <v>763</v>
      </c>
      <c r="I1294" s="6" t="s">
        <v>865</v>
      </c>
      <c r="J1294" s="5">
        <v>90</v>
      </c>
      <c r="K1294" s="5">
        <v>191</v>
      </c>
      <c r="L1294" s="15">
        <v>1.3</v>
      </c>
      <c r="M1294" s="15">
        <v>2.1222222222222222</v>
      </c>
      <c r="N1294" s="5" t="s">
        <v>490</v>
      </c>
      <c r="O1294" s="5" t="s">
        <v>490</v>
      </c>
      <c r="P1294" s="5">
        <v>0</v>
      </c>
      <c r="Q1294" s="5">
        <v>0</v>
      </c>
      <c r="R1294" s="5" t="str">
        <f>A1294&amp;"-"&amp;YEAR(F1294)&amp;"-"&amp;IF(LEN(MONTH(F1294))=1,"0"&amp;MONTH(F1294),MONTH(F1294))&amp;"-"&amp;IF(LEN(DAY(F1294))=1,"0"&amp;DAY(F1294),DAY(F1294))</f>
        <v>395-2025-06-30</v>
      </c>
    </row>
    <row r="1295" spans="1:18" x14ac:dyDescent="0.3">
      <c r="A1295" s="5">
        <v>453</v>
      </c>
      <c r="B1295" s="5" t="s">
        <v>517</v>
      </c>
      <c r="C1295" s="5" t="s">
        <v>506</v>
      </c>
      <c r="D1295" s="13" t="s">
        <v>11</v>
      </c>
      <c r="E1295" s="5" t="s">
        <v>9</v>
      </c>
      <c r="F1295" s="6">
        <v>45838</v>
      </c>
      <c r="G1295" s="16">
        <v>2025</v>
      </c>
      <c r="H1295" s="6" t="s">
        <v>763</v>
      </c>
      <c r="I1295" s="6" t="s">
        <v>865</v>
      </c>
      <c r="J1295" s="5">
        <v>75</v>
      </c>
      <c r="K1295" s="5">
        <v>62</v>
      </c>
      <c r="L1295" s="15">
        <v>0.82666666666666666</v>
      </c>
      <c r="M1295" s="15">
        <v>0.82666666666666666</v>
      </c>
      <c r="N1295" s="5" t="s">
        <v>347</v>
      </c>
      <c r="O1295" s="5" t="s">
        <v>347</v>
      </c>
      <c r="P1295" s="5">
        <v>0</v>
      </c>
      <c r="Q1295" s="5">
        <v>0</v>
      </c>
      <c r="R1295" s="5" t="str">
        <f>A1295&amp;"-"&amp;YEAR(F1295)&amp;"-"&amp;IF(LEN(MONTH(F1295))=1,"0"&amp;MONTH(F1295),MONTH(F1295))&amp;"-"&amp;IF(LEN(DAY(F1295))=1,"0"&amp;DAY(F1295),DAY(F1295))</f>
        <v>453-2025-06-30</v>
      </c>
    </row>
    <row r="1296" spans="1:18" x14ac:dyDescent="0.3">
      <c r="A1296" s="5">
        <v>455</v>
      </c>
      <c r="B1296" s="5" t="s">
        <v>519</v>
      </c>
      <c r="C1296" s="5" t="s">
        <v>506</v>
      </c>
      <c r="D1296" s="13" t="s">
        <v>11</v>
      </c>
      <c r="E1296" s="5" t="s">
        <v>9</v>
      </c>
      <c r="F1296" s="6">
        <v>45838</v>
      </c>
      <c r="G1296" s="16">
        <v>2025</v>
      </c>
      <c r="H1296" s="6" t="s">
        <v>763</v>
      </c>
      <c r="I1296" s="6" t="s">
        <v>865</v>
      </c>
      <c r="J1296" s="5">
        <v>100</v>
      </c>
      <c r="K1296" s="5">
        <v>100</v>
      </c>
      <c r="L1296" s="15">
        <v>1</v>
      </c>
      <c r="M1296" s="15">
        <v>1</v>
      </c>
      <c r="N1296" s="5" t="s">
        <v>347</v>
      </c>
      <c r="O1296" s="5" t="s">
        <v>347</v>
      </c>
      <c r="P1296" s="5">
        <v>0</v>
      </c>
      <c r="Q1296" s="5">
        <v>0</v>
      </c>
      <c r="R1296" s="5" t="str">
        <f>A1296&amp;"-"&amp;YEAR(F1296)&amp;"-"&amp;IF(LEN(MONTH(F1296))=1,"0"&amp;MONTH(F1296),MONTH(F1296))&amp;"-"&amp;IF(LEN(DAY(F1296))=1,"0"&amp;DAY(F1296),DAY(F1296))</f>
        <v>455-2025-06-30</v>
      </c>
    </row>
    <row r="1297" spans="1:18" x14ac:dyDescent="0.3">
      <c r="A1297" s="5">
        <v>456</v>
      </c>
      <c r="B1297" s="5" t="s">
        <v>520</v>
      </c>
      <c r="C1297" s="5" t="s">
        <v>320</v>
      </c>
      <c r="D1297" s="13" t="s">
        <v>11</v>
      </c>
      <c r="E1297" s="5" t="s">
        <v>9</v>
      </c>
      <c r="F1297" s="6">
        <v>45838</v>
      </c>
      <c r="G1297" s="16">
        <v>2025</v>
      </c>
      <c r="H1297" s="6" t="s">
        <v>763</v>
      </c>
      <c r="I1297" s="6" t="s">
        <v>865</v>
      </c>
      <c r="J1297" s="5">
        <v>100</v>
      </c>
      <c r="K1297" s="5">
        <v>105.19</v>
      </c>
      <c r="L1297" s="15">
        <v>1.0519000000000001</v>
      </c>
      <c r="M1297" s="15">
        <v>1.0519000000000001</v>
      </c>
      <c r="N1297" s="5" t="s">
        <v>347</v>
      </c>
      <c r="O1297" s="5" t="s">
        <v>347</v>
      </c>
      <c r="P1297" s="5">
        <v>0</v>
      </c>
      <c r="Q1297" s="5">
        <v>0</v>
      </c>
      <c r="R1297" s="5" t="str">
        <f>A1297&amp;"-"&amp;YEAR(F1297)&amp;"-"&amp;IF(LEN(MONTH(F1297))=1,"0"&amp;MONTH(F1297),MONTH(F1297))&amp;"-"&amp;IF(LEN(DAY(F1297))=1,"0"&amp;DAY(F1297),DAY(F1297))</f>
        <v>456-2025-06-30</v>
      </c>
    </row>
    <row r="1298" spans="1:18" x14ac:dyDescent="0.3">
      <c r="A1298" s="5">
        <v>457</v>
      </c>
      <c r="B1298" s="5" t="s">
        <v>521</v>
      </c>
      <c r="C1298" s="5" t="s">
        <v>320</v>
      </c>
      <c r="D1298" s="13" t="s">
        <v>11</v>
      </c>
      <c r="E1298" s="5" t="s">
        <v>9</v>
      </c>
      <c r="F1298" s="6">
        <v>45838</v>
      </c>
      <c r="G1298" s="16">
        <v>2025</v>
      </c>
      <c r="H1298" s="6" t="s">
        <v>763</v>
      </c>
      <c r="I1298" s="6" t="s">
        <v>865</v>
      </c>
      <c r="J1298" s="5">
        <v>100</v>
      </c>
      <c r="K1298" s="5">
        <v>141.66999999999999</v>
      </c>
      <c r="L1298" s="15">
        <v>1.3</v>
      </c>
      <c r="M1298" s="15">
        <v>1.4166999999999998</v>
      </c>
      <c r="N1298" s="5" t="s">
        <v>347</v>
      </c>
      <c r="O1298" s="5" t="s">
        <v>347</v>
      </c>
      <c r="P1298" s="5">
        <v>0</v>
      </c>
      <c r="Q1298" s="5">
        <v>0</v>
      </c>
      <c r="R1298" s="5" t="str">
        <f>A1298&amp;"-"&amp;YEAR(F1298)&amp;"-"&amp;IF(LEN(MONTH(F1298))=1,"0"&amp;MONTH(F1298),MONTH(F1298))&amp;"-"&amp;IF(LEN(DAY(F1298))=1,"0"&amp;DAY(F1298),DAY(F1298))</f>
        <v>457-2025-06-30</v>
      </c>
    </row>
    <row r="1299" spans="1:18" x14ac:dyDescent="0.3">
      <c r="A1299" s="5">
        <v>510</v>
      </c>
      <c r="B1299" s="5" t="s">
        <v>893</v>
      </c>
      <c r="C1299" s="5" t="s">
        <v>182</v>
      </c>
      <c r="D1299" s="13" t="s">
        <v>11</v>
      </c>
      <c r="E1299" s="5" t="s">
        <v>9</v>
      </c>
      <c r="F1299" s="6">
        <v>45838</v>
      </c>
      <c r="G1299" s="16">
        <v>2025</v>
      </c>
      <c r="H1299" s="6" t="s">
        <v>763</v>
      </c>
      <c r="I1299" s="6" t="s">
        <v>865</v>
      </c>
      <c r="J1299" s="5"/>
      <c r="K1299" s="5">
        <v>0</v>
      </c>
      <c r="L1299" s="15" t="s">
        <v>417</v>
      </c>
      <c r="M1299" s="15" t="s">
        <v>417</v>
      </c>
      <c r="N1299" s="5" t="s">
        <v>477</v>
      </c>
      <c r="O1299" s="5" t="s">
        <v>347</v>
      </c>
      <c r="P1299" s="5">
        <v>0</v>
      </c>
      <c r="Q1299" s="5">
        <v>0</v>
      </c>
      <c r="R1299" s="5" t="str">
        <f>A1299&amp;"-"&amp;YEAR(F1299)&amp;"-"&amp;IF(LEN(MONTH(F1299))=1,"0"&amp;MONTH(F1299),MONTH(F1299))&amp;"-"&amp;IF(LEN(DAY(F1299))=1,"0"&amp;DAY(F1299),DAY(F1299))</f>
        <v>510-2025-06-30</v>
      </c>
    </row>
    <row r="1300" spans="1:18" x14ac:dyDescent="0.3">
      <c r="A1300" s="5">
        <v>511</v>
      </c>
      <c r="B1300" s="5" t="s">
        <v>894</v>
      </c>
      <c r="C1300" s="5" t="s">
        <v>182</v>
      </c>
      <c r="D1300" s="13" t="s">
        <v>11</v>
      </c>
      <c r="E1300" s="5" t="s">
        <v>9</v>
      </c>
      <c r="F1300" s="6">
        <v>45838</v>
      </c>
      <c r="G1300" s="16">
        <v>2025</v>
      </c>
      <c r="H1300" s="6" t="s">
        <v>763</v>
      </c>
      <c r="I1300" s="6" t="s">
        <v>865</v>
      </c>
      <c r="J1300" s="5"/>
      <c r="K1300" s="5">
        <v>86.36</v>
      </c>
      <c r="L1300" s="15" t="s">
        <v>417</v>
      </c>
      <c r="M1300" s="15" t="s">
        <v>417</v>
      </c>
      <c r="N1300" s="5" t="s">
        <v>477</v>
      </c>
      <c r="O1300" s="5" t="s">
        <v>347</v>
      </c>
      <c r="P1300" s="5">
        <v>0</v>
      </c>
      <c r="Q1300" s="5">
        <v>0</v>
      </c>
      <c r="R1300" s="5" t="str">
        <f>A1300&amp;"-"&amp;YEAR(F1300)&amp;"-"&amp;IF(LEN(MONTH(F1300))=1,"0"&amp;MONTH(F1300),MONTH(F1300))&amp;"-"&amp;IF(LEN(DAY(F1300))=1,"0"&amp;DAY(F1300),DAY(F1300))</f>
        <v>511-2025-06-30</v>
      </c>
    </row>
    <row r="1301" spans="1:18" x14ac:dyDescent="0.3">
      <c r="A1301" s="5">
        <v>513</v>
      </c>
      <c r="B1301" s="5" t="s">
        <v>895</v>
      </c>
      <c r="C1301" s="5" t="s">
        <v>182</v>
      </c>
      <c r="D1301" s="13" t="s">
        <v>11</v>
      </c>
      <c r="E1301" s="5" t="s">
        <v>9</v>
      </c>
      <c r="F1301" s="6">
        <v>45838</v>
      </c>
      <c r="G1301" s="16">
        <v>2025</v>
      </c>
      <c r="H1301" s="6" t="s">
        <v>763</v>
      </c>
      <c r="I1301" s="6" t="s">
        <v>865</v>
      </c>
      <c r="J1301" s="5"/>
      <c r="K1301" s="5">
        <v>100</v>
      </c>
      <c r="L1301" s="15" t="s">
        <v>417</v>
      </c>
      <c r="M1301" s="15" t="s">
        <v>417</v>
      </c>
      <c r="N1301" s="5" t="s">
        <v>477</v>
      </c>
      <c r="O1301" s="5" t="s">
        <v>347</v>
      </c>
      <c r="P1301" s="5">
        <v>0</v>
      </c>
      <c r="Q1301" s="5">
        <v>0</v>
      </c>
      <c r="R1301" s="5" t="str">
        <f>A1301&amp;"-"&amp;YEAR(F1301)&amp;"-"&amp;IF(LEN(MONTH(F1301))=1,"0"&amp;MONTH(F1301),MONTH(F1301))&amp;"-"&amp;IF(LEN(DAY(F1301))=1,"0"&amp;DAY(F1301),DAY(F1301))</f>
        <v>513-2025-06-30</v>
      </c>
    </row>
    <row r="1302" spans="1:18" x14ac:dyDescent="0.3">
      <c r="A1302" s="5">
        <v>288</v>
      </c>
      <c r="B1302" s="5" t="s">
        <v>173</v>
      </c>
      <c r="C1302" s="5" t="s">
        <v>162</v>
      </c>
      <c r="D1302" s="13" t="s">
        <v>25</v>
      </c>
      <c r="E1302" s="5" t="s">
        <v>9</v>
      </c>
      <c r="F1302" s="6">
        <v>45838</v>
      </c>
      <c r="G1302" s="16">
        <v>2025</v>
      </c>
      <c r="H1302" s="6" t="s">
        <v>763</v>
      </c>
      <c r="I1302" s="6" t="s">
        <v>865</v>
      </c>
      <c r="J1302" s="5">
        <v>17</v>
      </c>
      <c r="K1302" s="5">
        <v>17</v>
      </c>
      <c r="L1302" s="15">
        <v>1</v>
      </c>
      <c r="M1302" s="15">
        <v>1</v>
      </c>
      <c r="N1302" s="5" t="s">
        <v>490</v>
      </c>
      <c r="O1302" s="5" t="s">
        <v>490</v>
      </c>
      <c r="P1302" s="5">
        <v>0</v>
      </c>
      <c r="Q1302" s="5">
        <v>0</v>
      </c>
      <c r="R1302" s="5" t="str">
        <f>A1302&amp;"-"&amp;YEAR(F1302)&amp;"-"&amp;IF(LEN(MONTH(F1302))=1,"0"&amp;MONTH(F1302),MONTH(F1302))&amp;"-"&amp;IF(LEN(DAY(F1302))=1,"0"&amp;DAY(F1302),DAY(F1302))</f>
        <v>288-2025-06-30</v>
      </c>
    </row>
    <row r="1303" spans="1:18" x14ac:dyDescent="0.3">
      <c r="A1303" s="5">
        <v>528</v>
      </c>
      <c r="B1303" s="5" t="s">
        <v>896</v>
      </c>
      <c r="C1303" s="5" t="s">
        <v>131</v>
      </c>
      <c r="D1303" s="13" t="s">
        <v>25</v>
      </c>
      <c r="E1303" s="5" t="s">
        <v>9</v>
      </c>
      <c r="F1303" s="6">
        <v>45838</v>
      </c>
      <c r="G1303" s="16">
        <v>2025</v>
      </c>
      <c r="H1303" s="6" t="s">
        <v>763</v>
      </c>
      <c r="I1303" s="6" t="s">
        <v>865</v>
      </c>
      <c r="J1303" s="5">
        <v>1158</v>
      </c>
      <c r="K1303" s="5">
        <v>2014</v>
      </c>
      <c r="L1303" s="15">
        <v>1.3</v>
      </c>
      <c r="M1303" s="15">
        <v>1.7392055267702937</v>
      </c>
      <c r="N1303" s="5" t="s">
        <v>490</v>
      </c>
      <c r="O1303" s="5" t="s">
        <v>490</v>
      </c>
      <c r="P1303" s="5">
        <v>0</v>
      </c>
      <c r="Q1303" s="5">
        <v>0</v>
      </c>
      <c r="R1303" s="5" t="str">
        <f>A1303&amp;"-"&amp;YEAR(F1303)&amp;"-"&amp;IF(LEN(MONTH(F1303))=1,"0"&amp;MONTH(F1303),MONTH(F1303))&amp;"-"&amp;IF(LEN(DAY(F1303))=1,"0"&amp;DAY(F1303),DAY(F1303))</f>
        <v>528-2025-06-30</v>
      </c>
    </row>
    <row r="1304" spans="1:18" x14ac:dyDescent="0.3">
      <c r="A1304" s="5">
        <v>121</v>
      </c>
      <c r="B1304" s="5" t="s">
        <v>46</v>
      </c>
      <c r="C1304" s="5" t="s">
        <v>13</v>
      </c>
      <c r="D1304" s="13" t="s">
        <v>18</v>
      </c>
      <c r="E1304" s="5" t="s">
        <v>14</v>
      </c>
      <c r="F1304" s="6">
        <v>45869</v>
      </c>
      <c r="G1304" s="16">
        <v>2025</v>
      </c>
      <c r="H1304" s="6" t="s">
        <v>869</v>
      </c>
      <c r="I1304" s="6" t="s">
        <v>841</v>
      </c>
      <c r="J1304" s="9">
        <v>77148281</v>
      </c>
      <c r="K1304" s="9">
        <v>86591186</v>
      </c>
      <c r="L1304" s="15">
        <v>0.89094842747620984</v>
      </c>
      <c r="M1304" s="15">
        <v>0.89094842747620984</v>
      </c>
      <c r="N1304" s="5" t="s">
        <v>474</v>
      </c>
      <c r="O1304" s="5" t="s">
        <v>474</v>
      </c>
      <c r="P1304" s="5">
        <v>0</v>
      </c>
      <c r="Q1304" s="5">
        <v>0</v>
      </c>
      <c r="R1304" s="5" t="str">
        <f>A1304&amp;"-"&amp;YEAR(F1304)&amp;"-"&amp;IF(LEN(MONTH(F1304))=1,"0"&amp;MONTH(F1304),MONTH(F1304))&amp;"-"&amp;IF(LEN(DAY(F1304))=1,"0"&amp;DAY(F1304),DAY(F1304))</f>
        <v>121-2025-07-31</v>
      </c>
    </row>
    <row r="1305" spans="1:18" x14ac:dyDescent="0.3">
      <c r="A1305" s="5">
        <v>125</v>
      </c>
      <c r="B1305" s="5" t="s">
        <v>49</v>
      </c>
      <c r="C1305" s="5" t="s">
        <v>24</v>
      </c>
      <c r="D1305" s="13" t="s">
        <v>18</v>
      </c>
      <c r="E1305" s="5" t="s">
        <v>14</v>
      </c>
      <c r="F1305" s="6">
        <v>45869</v>
      </c>
      <c r="G1305" s="16">
        <v>2025</v>
      </c>
      <c r="H1305" s="6" t="s">
        <v>869</v>
      </c>
      <c r="I1305" s="6" t="s">
        <v>841</v>
      </c>
      <c r="J1305" s="5">
        <v>4.7</v>
      </c>
      <c r="K1305" s="10">
        <v>0.17335330121109513</v>
      </c>
      <c r="L1305" s="8">
        <v>1</v>
      </c>
      <c r="M1305" s="15">
        <v>1</v>
      </c>
      <c r="N1305" s="5" t="s">
        <v>478</v>
      </c>
      <c r="O1305" s="5" t="s">
        <v>478</v>
      </c>
      <c r="P1305" s="5">
        <v>1</v>
      </c>
      <c r="Q1305" s="5">
        <v>2</v>
      </c>
      <c r="R1305" s="5" t="str">
        <f>A1305&amp;"-"&amp;YEAR(F1305)&amp;"-"&amp;IF(LEN(MONTH(F1305))=1,"0"&amp;MONTH(F1305),MONTH(F1305))&amp;"-"&amp;IF(LEN(DAY(F1305))=1,"0"&amp;DAY(F1305),DAY(F1305))</f>
        <v>125-2025-07-31</v>
      </c>
    </row>
    <row r="1306" spans="1:18" x14ac:dyDescent="0.3">
      <c r="A1306" s="5">
        <v>128</v>
      </c>
      <c r="B1306" s="5" t="s">
        <v>52</v>
      </c>
      <c r="C1306" s="5" t="s">
        <v>24</v>
      </c>
      <c r="D1306" s="13" t="s">
        <v>18</v>
      </c>
      <c r="E1306" s="5" t="s">
        <v>14</v>
      </c>
      <c r="F1306" s="6">
        <v>45869</v>
      </c>
      <c r="G1306" s="16">
        <v>2025</v>
      </c>
      <c r="H1306" s="6" t="s">
        <v>869</v>
      </c>
      <c r="I1306" s="6" t="s">
        <v>841</v>
      </c>
      <c r="J1306" s="5">
        <v>1</v>
      </c>
      <c r="K1306" s="5">
        <v>0.94</v>
      </c>
      <c r="L1306" s="15">
        <v>1</v>
      </c>
      <c r="M1306" s="15">
        <v>1</v>
      </c>
      <c r="N1306" s="5" t="s">
        <v>490</v>
      </c>
      <c r="O1306" s="5" t="s">
        <v>478</v>
      </c>
      <c r="P1306" s="5">
        <v>0</v>
      </c>
      <c r="Q1306" s="5">
        <v>2</v>
      </c>
      <c r="R1306" s="5" t="str">
        <f>A1306&amp;"-"&amp;YEAR(F1306)&amp;"-"&amp;IF(LEN(MONTH(F1306))=1,"0"&amp;MONTH(F1306),MONTH(F1306))&amp;"-"&amp;IF(LEN(DAY(F1306))=1,"0"&amp;DAY(F1306),DAY(F1306))</f>
        <v>128-2025-07-31</v>
      </c>
    </row>
    <row r="1307" spans="1:18" x14ac:dyDescent="0.3">
      <c r="A1307" s="5">
        <v>485</v>
      </c>
      <c r="B1307" s="5" t="s">
        <v>744</v>
      </c>
      <c r="C1307" s="5" t="s">
        <v>45</v>
      </c>
      <c r="D1307" s="13" t="s">
        <v>18</v>
      </c>
      <c r="E1307" s="5" t="s">
        <v>9</v>
      </c>
      <c r="F1307" s="6">
        <v>46022</v>
      </c>
      <c r="G1307" s="5">
        <f t="shared" ref="G1307" si="178">YEAR(F1307)</f>
        <v>2025</v>
      </c>
      <c r="H1307" s="5" t="str">
        <f t="shared" ref="H1307" si="179">PROPER(TEXT(F1307,"mmmm"))</f>
        <v>Diciembre</v>
      </c>
      <c r="I1307" s="6" t="str">
        <f t="shared" ref="I1307" si="180">IF(OR(H1307="Enero",H1307="Febrero",H1307="Marzo",H1307="Abril",H1307="Mayo",H1307="Junio"),G1307&amp;"-1",IF(OR(H1307="Julio",H1307="Agosto",H1307="Septiembre",H1307="Octubre",H1307="Noviembre",H1307="Diciembre"),G1307&amp;"-2"))</f>
        <v>2025-2</v>
      </c>
      <c r="J1307" s="5">
        <v>80</v>
      </c>
      <c r="K1307" s="5">
        <v>80.14</v>
      </c>
      <c r="L1307" s="15">
        <f t="shared" ref="L1307" si="181">IFERROR(IF((K1307/J1307)&gt;1.3,1.3,K1307/J1307),"")</f>
        <v>1.0017499999999999</v>
      </c>
      <c r="M1307" s="15">
        <f t="shared" ref="M1307" si="182">IFERROR(K1307/J1307,"")</f>
        <v>1.0017499999999999</v>
      </c>
      <c r="N1307" s="5" t="s">
        <v>347</v>
      </c>
      <c r="O1307" s="5" t="s">
        <v>347</v>
      </c>
      <c r="P1307" s="5">
        <v>0</v>
      </c>
      <c r="Q1307" s="5">
        <v>0</v>
      </c>
      <c r="R1307" s="5" t="str">
        <f>A1307&amp;"-"&amp;YEAR(F1307)&amp;"-"&amp;IF(LEN(MONTH(F1307))=1,"0"&amp;MONTH(F1307),MONTH(F1307))&amp;"-"&amp;IF(LEN(DAY(F1307))=1,"0"&amp;DAY(F1307),DAY(F1307))</f>
        <v>485-2025-12-31</v>
      </c>
    </row>
    <row r="1308" spans="1:18" x14ac:dyDescent="0.3">
      <c r="A1308" s="5">
        <v>488</v>
      </c>
      <c r="B1308" s="5" t="s">
        <v>747</v>
      </c>
      <c r="C1308" s="5" t="s">
        <v>45</v>
      </c>
      <c r="D1308" s="13" t="s">
        <v>18</v>
      </c>
      <c r="E1308" s="5" t="s">
        <v>9</v>
      </c>
      <c r="F1308" s="6">
        <v>46022</v>
      </c>
      <c r="G1308" s="5">
        <f t="shared" ref="G1308" si="183">YEAR(F1308)</f>
        <v>2025</v>
      </c>
      <c r="H1308" s="5" t="str">
        <f t="shared" ref="H1308" si="184">PROPER(TEXT(F1308,"mmmm"))</f>
        <v>Diciembre</v>
      </c>
      <c r="I1308" s="6" t="str">
        <f t="shared" ref="I1308" si="185">IF(OR(H1308="Enero",H1308="Febrero",H1308="Marzo",H1308="Abril",H1308="Mayo",H1308="Junio"),G1308&amp;"-1",IF(OR(H1308="Julio",H1308="Agosto",H1308="Septiembre",H1308="Octubre",H1308="Noviembre",H1308="Diciembre"),G1308&amp;"-2"))</f>
        <v>2025-2</v>
      </c>
      <c r="J1308" s="5">
        <v>85</v>
      </c>
      <c r="K1308" s="5">
        <v>77.2</v>
      </c>
      <c r="L1308" s="15">
        <f t="shared" ref="L1308" si="186">IFERROR(IF((K1308/J1308)&gt;1.3,1.3,K1308/J1308),"")</f>
        <v>0.90823529411764714</v>
      </c>
      <c r="M1308" s="15">
        <f t="shared" ref="M1308" si="187">IFERROR(K1308/J1308,"")</f>
        <v>0.90823529411764714</v>
      </c>
      <c r="N1308" s="5" t="s">
        <v>347</v>
      </c>
      <c r="O1308" s="5" t="s">
        <v>347</v>
      </c>
      <c r="P1308" s="5">
        <v>0</v>
      </c>
      <c r="Q1308" s="5">
        <v>0</v>
      </c>
      <c r="R1308" s="5" t="str">
        <f>A1308&amp;"-"&amp;YEAR(F1308)&amp;"-"&amp;IF(LEN(MONTH(F1308))=1,"0"&amp;MONTH(F1308),MONTH(F1308))&amp;"-"&amp;IF(LEN(DAY(F1308))=1,"0"&amp;DAY(F1308),DAY(F1308))</f>
        <v>488-2025-12-31</v>
      </c>
    </row>
    <row r="1309" spans="1:18" x14ac:dyDescent="0.3">
      <c r="A1309" s="5">
        <v>122</v>
      </c>
      <c r="B1309" s="5" t="s">
        <v>47</v>
      </c>
      <c r="C1309" s="5" t="s">
        <v>45</v>
      </c>
      <c r="D1309" s="13" t="s">
        <v>18</v>
      </c>
      <c r="E1309" s="5" t="s">
        <v>9</v>
      </c>
      <c r="F1309" s="6">
        <v>45900</v>
      </c>
      <c r="G1309" s="16">
        <v>2025</v>
      </c>
      <c r="H1309" s="6" t="s">
        <v>870</v>
      </c>
      <c r="I1309" s="6" t="s">
        <v>841</v>
      </c>
      <c r="J1309" s="5">
        <v>90</v>
      </c>
      <c r="K1309" s="5">
        <v>75.930000000000007</v>
      </c>
      <c r="L1309" s="15">
        <v>0.84366666666666679</v>
      </c>
      <c r="M1309" s="15">
        <v>0.84366666666666679</v>
      </c>
      <c r="N1309" s="5" t="s">
        <v>347</v>
      </c>
      <c r="O1309" s="5" t="s">
        <v>347</v>
      </c>
      <c r="P1309" s="5">
        <v>0</v>
      </c>
      <c r="Q1309" s="5">
        <v>0</v>
      </c>
      <c r="R1309" s="5" t="str">
        <f>A1309&amp;"-"&amp;YEAR(F1309)&amp;"-"&amp;IF(LEN(MONTH(F1309))=1,"0"&amp;MONTH(F1309),MONTH(F1309))&amp;"-"&amp;IF(LEN(DAY(F1309))=1,"0"&amp;DAY(F1309),DAY(F1309))</f>
        <v>122-2025-08-31</v>
      </c>
    </row>
    <row r="1310" spans="1:18" x14ac:dyDescent="0.3">
      <c r="A1310" s="5">
        <v>436</v>
      </c>
      <c r="B1310" s="5" t="s">
        <v>69</v>
      </c>
      <c r="C1310" s="5" t="s">
        <v>45</v>
      </c>
      <c r="D1310" s="13" t="s">
        <v>18</v>
      </c>
      <c r="E1310" s="5" t="s">
        <v>14</v>
      </c>
      <c r="F1310" s="6">
        <v>45900</v>
      </c>
      <c r="G1310" s="16">
        <v>2025</v>
      </c>
      <c r="H1310" s="6" t="s">
        <v>870</v>
      </c>
      <c r="I1310" s="6" t="s">
        <v>841</v>
      </c>
      <c r="J1310" s="5">
        <v>14</v>
      </c>
      <c r="K1310" s="5">
        <v>9.9</v>
      </c>
      <c r="L1310" s="15">
        <v>1.3</v>
      </c>
      <c r="M1310" s="15">
        <v>1.4141414141414141</v>
      </c>
      <c r="N1310" s="5" t="s">
        <v>479</v>
      </c>
      <c r="O1310" s="5" t="s">
        <v>479</v>
      </c>
      <c r="P1310" s="5">
        <v>0</v>
      </c>
      <c r="Q1310" s="5">
        <v>1</v>
      </c>
      <c r="R1310" s="5" t="str">
        <f>A1310&amp;"-"&amp;YEAR(F1310)&amp;"-"&amp;IF(LEN(MONTH(F1310))=1,"0"&amp;MONTH(F1310),MONTH(F1310))&amp;"-"&amp;IF(LEN(DAY(F1310))=1,"0"&amp;DAY(F1310),DAY(F1310))</f>
        <v>436-2025-08-31</v>
      </c>
    </row>
    <row r="1311" spans="1:18" x14ac:dyDescent="0.3">
      <c r="A1311" s="5">
        <v>240</v>
      </c>
      <c r="B1311" s="5" t="s">
        <v>118</v>
      </c>
      <c r="C1311" s="5" t="s">
        <v>117</v>
      </c>
      <c r="D1311" s="5" t="s">
        <v>11</v>
      </c>
      <c r="E1311" s="5" t="s">
        <v>9</v>
      </c>
      <c r="F1311" s="6">
        <v>45838</v>
      </c>
      <c r="G1311" s="5">
        <v>2025</v>
      </c>
      <c r="H1311" s="5" t="s">
        <v>763</v>
      </c>
      <c r="I1311" s="6" t="s">
        <v>865</v>
      </c>
      <c r="J1311" s="5">
        <v>100</v>
      </c>
      <c r="K1311" s="5">
        <v>100</v>
      </c>
      <c r="L1311" s="15">
        <v>1</v>
      </c>
      <c r="M1311" s="15">
        <v>1</v>
      </c>
      <c r="N1311" s="5" t="s">
        <v>347</v>
      </c>
      <c r="O1311" s="5" t="s">
        <v>347</v>
      </c>
      <c r="P1311" s="5">
        <v>0</v>
      </c>
      <c r="Q1311" s="5">
        <v>0</v>
      </c>
      <c r="R1311" s="5" t="str">
        <f>A1311&amp;"-"&amp;YEAR(F1311)&amp;"-"&amp;IF(LEN(MONTH(F1311))=1,"0"&amp;MONTH(F1311),MONTH(F1311))&amp;"-"&amp;IF(LEN(DAY(F1311))=1,"0"&amp;DAY(F1311),DAY(F1311))</f>
        <v>240-2025-06-30</v>
      </c>
    </row>
    <row r="1312" spans="1:18" x14ac:dyDescent="0.3">
      <c r="A1312" s="5">
        <v>254</v>
      </c>
      <c r="B1312" s="5" t="s">
        <v>415</v>
      </c>
      <c r="C1312" s="5" t="s">
        <v>131</v>
      </c>
      <c r="D1312" s="5" t="s">
        <v>11</v>
      </c>
      <c r="E1312" s="5" t="s">
        <v>9</v>
      </c>
      <c r="F1312" s="6">
        <v>45838</v>
      </c>
      <c r="G1312" s="5">
        <v>2025</v>
      </c>
      <c r="H1312" s="5" t="s">
        <v>763</v>
      </c>
      <c r="I1312" s="6" t="s">
        <v>865</v>
      </c>
      <c r="J1312" s="5">
        <v>84</v>
      </c>
      <c r="K1312" s="5">
        <v>84</v>
      </c>
      <c r="L1312" s="15">
        <v>1</v>
      </c>
      <c r="M1312" s="15">
        <v>1</v>
      </c>
      <c r="N1312" s="5" t="s">
        <v>490</v>
      </c>
      <c r="O1312" s="5" t="s">
        <v>490</v>
      </c>
      <c r="P1312" s="5">
        <v>0</v>
      </c>
      <c r="Q1312" s="5">
        <v>0</v>
      </c>
      <c r="R1312" s="5" t="str">
        <f>A1312&amp;"-"&amp;YEAR(F1312)&amp;"-"&amp;IF(LEN(MONTH(F1312))=1,"0"&amp;MONTH(F1312),MONTH(F1312))&amp;"-"&amp;IF(LEN(DAY(F1312))=1,"0"&amp;DAY(F1312),DAY(F1312))</f>
        <v>254-2025-06-30</v>
      </c>
    </row>
    <row r="1313" spans="1:18" x14ac:dyDescent="0.3">
      <c r="A1313" s="5">
        <v>373</v>
      </c>
      <c r="B1313" s="5" t="s">
        <v>261</v>
      </c>
      <c r="C1313" s="5" t="s">
        <v>131</v>
      </c>
      <c r="D1313" s="5" t="s">
        <v>11</v>
      </c>
      <c r="E1313" s="5" t="s">
        <v>9</v>
      </c>
      <c r="F1313" s="6">
        <v>45838</v>
      </c>
      <c r="G1313" s="5">
        <v>2025</v>
      </c>
      <c r="H1313" s="5" t="s">
        <v>763</v>
      </c>
      <c r="I1313" s="6" t="s">
        <v>865</v>
      </c>
      <c r="J1313" s="5">
        <v>60</v>
      </c>
      <c r="K1313" s="5">
        <v>61</v>
      </c>
      <c r="L1313" s="15">
        <v>1</v>
      </c>
      <c r="M1313" s="15">
        <v>1</v>
      </c>
      <c r="N1313" s="5" t="s">
        <v>347</v>
      </c>
      <c r="O1313" s="5" t="s">
        <v>347</v>
      </c>
      <c r="P1313" s="5">
        <v>0</v>
      </c>
      <c r="Q1313" s="5">
        <v>0</v>
      </c>
      <c r="R1313" s="5" t="str">
        <f>A1313&amp;"-"&amp;YEAR(F1313)&amp;"-"&amp;IF(LEN(MONTH(F1313))=1,"0"&amp;MONTH(F1313),MONTH(F1313))&amp;"-"&amp;IF(LEN(DAY(F1313))=1,"0"&amp;DAY(F1313),DAY(F1313))</f>
        <v>373-2025-06-30</v>
      </c>
    </row>
    <row r="1314" spans="1:18" x14ac:dyDescent="0.3">
      <c r="A1314" s="5">
        <v>433</v>
      </c>
      <c r="B1314" s="5" t="s">
        <v>416</v>
      </c>
      <c r="C1314" s="5" t="s">
        <v>90</v>
      </c>
      <c r="D1314" s="5" t="s">
        <v>8</v>
      </c>
      <c r="E1314" s="5" t="s">
        <v>14</v>
      </c>
      <c r="F1314" s="6">
        <v>45838</v>
      </c>
      <c r="G1314" s="5">
        <v>2025</v>
      </c>
      <c r="H1314" s="5" t="s">
        <v>763</v>
      </c>
      <c r="I1314" s="6" t="s">
        <v>865</v>
      </c>
      <c r="J1314" s="5">
        <v>0.05</v>
      </c>
      <c r="K1314" s="10">
        <v>0.02</v>
      </c>
      <c r="L1314" s="15">
        <v>1</v>
      </c>
      <c r="M1314" s="15">
        <v>1</v>
      </c>
      <c r="N1314" s="5" t="s">
        <v>478</v>
      </c>
      <c r="O1314" s="5" t="s">
        <v>478</v>
      </c>
      <c r="P1314" s="5">
        <v>2</v>
      </c>
      <c r="Q1314" s="5">
        <v>2</v>
      </c>
      <c r="R1314" s="5" t="str">
        <f>A1314&amp;"-"&amp;YEAR(F1314)&amp;"-"&amp;IF(LEN(MONTH(F1314))=1,"0"&amp;MONTH(F1314),MONTH(F1314))&amp;"-"&amp;IF(LEN(DAY(F1314))=1,"0"&amp;DAY(F1314),DAY(F1314))</f>
        <v>433-2025-06-30</v>
      </c>
    </row>
    <row r="1315" spans="1:18" x14ac:dyDescent="0.3">
      <c r="A1315" s="5">
        <v>429</v>
      </c>
      <c r="B1315" s="5" t="s">
        <v>323</v>
      </c>
      <c r="C1315" s="5" t="s">
        <v>90</v>
      </c>
      <c r="D1315" s="5" t="s">
        <v>8</v>
      </c>
      <c r="E1315" s="5" t="s">
        <v>14</v>
      </c>
      <c r="F1315" s="6">
        <v>45838</v>
      </c>
      <c r="G1315" s="5">
        <v>2025</v>
      </c>
      <c r="H1315" s="5" t="s">
        <v>763</v>
      </c>
      <c r="I1315" s="6" t="s">
        <v>865</v>
      </c>
      <c r="J1315" s="5">
        <v>0.76</v>
      </c>
      <c r="K1315" s="10">
        <v>0.59</v>
      </c>
      <c r="L1315" s="15">
        <v>1</v>
      </c>
      <c r="M1315" s="15">
        <v>1</v>
      </c>
      <c r="N1315" s="5" t="s">
        <v>478</v>
      </c>
      <c r="O1315" s="5" t="s">
        <v>478</v>
      </c>
      <c r="P1315" s="5">
        <v>2</v>
      </c>
      <c r="Q1315" s="5">
        <v>2</v>
      </c>
      <c r="R1315" s="5" t="str">
        <f>A1315&amp;"-"&amp;YEAR(F1315)&amp;"-"&amp;IF(LEN(MONTH(F1315))=1,"0"&amp;MONTH(F1315),MONTH(F1315))&amp;"-"&amp;IF(LEN(DAY(F1315))=1,"0"&amp;DAY(F1315),DAY(F1315))</f>
        <v>429-2025-06-30</v>
      </c>
    </row>
    <row r="1316" spans="1:18" x14ac:dyDescent="0.3">
      <c r="A1316" s="5">
        <v>428</v>
      </c>
      <c r="B1316" s="5" t="s">
        <v>322</v>
      </c>
      <c r="C1316" s="5" t="s">
        <v>90</v>
      </c>
      <c r="D1316" s="5" t="s">
        <v>8</v>
      </c>
      <c r="E1316" s="5" t="s">
        <v>14</v>
      </c>
      <c r="F1316" s="6">
        <v>45838</v>
      </c>
      <c r="G1316" s="5">
        <v>2025</v>
      </c>
      <c r="H1316" s="5" t="s">
        <v>763</v>
      </c>
      <c r="I1316" s="6" t="s">
        <v>865</v>
      </c>
      <c r="J1316" s="5">
        <v>20</v>
      </c>
      <c r="K1316" s="10">
        <v>15.12</v>
      </c>
      <c r="L1316" s="15">
        <v>1</v>
      </c>
      <c r="M1316" s="15">
        <v>1</v>
      </c>
      <c r="N1316" s="5" t="s">
        <v>362</v>
      </c>
      <c r="O1316" s="5" t="s">
        <v>362</v>
      </c>
      <c r="P1316" s="5">
        <v>0</v>
      </c>
      <c r="Q1316" s="5">
        <v>1</v>
      </c>
      <c r="R1316" s="5" t="str">
        <f>A1316&amp;"-"&amp;YEAR(F1316)&amp;"-"&amp;IF(LEN(MONTH(F1316))=1,"0"&amp;MONTH(F1316),MONTH(F1316))&amp;"-"&amp;IF(LEN(DAY(F1316))=1,"0"&amp;DAY(F1316),DAY(F1316))</f>
        <v>428-2025-06-30</v>
      </c>
    </row>
    <row r="1317" spans="1:18" x14ac:dyDescent="0.3">
      <c r="A1317" s="5">
        <v>427</v>
      </c>
      <c r="B1317" s="5" t="s">
        <v>321</v>
      </c>
      <c r="C1317" s="5" t="s">
        <v>90</v>
      </c>
      <c r="D1317" s="5" t="s">
        <v>8</v>
      </c>
      <c r="E1317" s="5" t="s">
        <v>14</v>
      </c>
      <c r="F1317" s="6">
        <v>45838</v>
      </c>
      <c r="G1317" s="5">
        <v>2025</v>
      </c>
      <c r="H1317" s="5" t="s">
        <v>763</v>
      </c>
      <c r="I1317" s="6" t="s">
        <v>865</v>
      </c>
      <c r="J1317" s="5">
        <v>0.2</v>
      </c>
      <c r="K1317" s="10">
        <v>0.14000000000000001</v>
      </c>
      <c r="L1317" s="15">
        <v>1</v>
      </c>
      <c r="M1317" s="15">
        <v>1</v>
      </c>
      <c r="N1317" s="5" t="s">
        <v>478</v>
      </c>
      <c r="O1317" s="5" t="s">
        <v>478</v>
      </c>
      <c r="P1317" s="5">
        <v>2</v>
      </c>
      <c r="Q1317" s="5">
        <v>2</v>
      </c>
      <c r="R1317" s="5" t="str">
        <f>A1317&amp;"-"&amp;YEAR(F1317)&amp;"-"&amp;IF(LEN(MONTH(F1317))=1,"0"&amp;MONTH(F1317),MONTH(F1317))&amp;"-"&amp;IF(LEN(DAY(F1317))=1,"0"&amp;DAY(F1317),DAY(F1317))</f>
        <v>427-2025-06-30</v>
      </c>
    </row>
    <row r="1318" spans="1:18" x14ac:dyDescent="0.3">
      <c r="A1318" s="26" t="s">
        <v>611</v>
      </c>
      <c r="B1318" s="23" t="s">
        <v>571</v>
      </c>
      <c r="C1318" s="5" t="s">
        <v>237</v>
      </c>
      <c r="D1318" s="5" t="s">
        <v>11</v>
      </c>
      <c r="E1318" s="5" t="s">
        <v>9</v>
      </c>
      <c r="F1318" s="6">
        <v>45838</v>
      </c>
      <c r="G1318" s="16">
        <v>2025</v>
      </c>
      <c r="H1318" s="6" t="s">
        <v>763</v>
      </c>
      <c r="I1318" s="6" t="s">
        <v>865</v>
      </c>
      <c r="J1318" s="5">
        <v>51</v>
      </c>
      <c r="K1318" s="5">
        <v>61</v>
      </c>
      <c r="L1318" s="15">
        <v>1</v>
      </c>
      <c r="M1318" s="15">
        <v>1</v>
      </c>
      <c r="N1318" s="5" t="s">
        <v>347</v>
      </c>
      <c r="O1318" s="5" t="s">
        <v>347</v>
      </c>
      <c r="P1318" s="5">
        <v>0</v>
      </c>
      <c r="Q1318" s="5">
        <v>0</v>
      </c>
      <c r="R1318" s="5" t="str">
        <f>A1318&amp;"-"&amp;YEAR(F1318)&amp;"-"&amp;IF(LEN(MONTH(F1318))=1,"0"&amp;MONTH(F1318),MONTH(F1318))&amp;"-"&amp;IF(LEN(DAY(F1318))=1,"0"&amp;DAY(F1318),DAY(F1318))</f>
        <v>415.3-2025-06-30</v>
      </c>
    </row>
    <row r="1319" spans="1:18" x14ac:dyDescent="0.3">
      <c r="A1319" s="26" t="s">
        <v>660</v>
      </c>
      <c r="B1319" s="23" t="s">
        <v>583</v>
      </c>
      <c r="C1319" s="5" t="s">
        <v>209</v>
      </c>
      <c r="D1319" s="5" t="s">
        <v>11</v>
      </c>
      <c r="E1319" s="5" t="s">
        <v>9</v>
      </c>
      <c r="F1319" s="6">
        <v>45838</v>
      </c>
      <c r="G1319" s="16">
        <v>2025</v>
      </c>
      <c r="H1319" s="6" t="s">
        <v>763</v>
      </c>
      <c r="I1319" s="6" t="s">
        <v>865</v>
      </c>
      <c r="J1319" s="5">
        <v>53</v>
      </c>
      <c r="K1319" s="5">
        <v>56</v>
      </c>
      <c r="L1319" s="15">
        <v>1</v>
      </c>
      <c r="M1319" s="15">
        <v>1</v>
      </c>
      <c r="N1319" s="5" t="s">
        <v>347</v>
      </c>
      <c r="O1319" s="5" t="s">
        <v>347</v>
      </c>
      <c r="P1319" s="5">
        <v>0</v>
      </c>
      <c r="Q1319" s="5">
        <v>0</v>
      </c>
      <c r="R1319" s="5" t="str">
        <f>A1319&amp;"-"&amp;YEAR(F1319)&amp;"-"&amp;IF(LEN(MONTH(F1319))=1,"0"&amp;MONTH(F1319),MONTH(F1319))&amp;"-"&amp;IF(LEN(DAY(F1319))=1,"0"&amp;DAY(F1319),DAY(F1319))</f>
        <v>418.1-2025-06-30</v>
      </c>
    </row>
    <row r="1320" spans="1:18" x14ac:dyDescent="0.3">
      <c r="A1320" s="26" t="s">
        <v>661</v>
      </c>
      <c r="B1320" s="23" t="s">
        <v>584</v>
      </c>
      <c r="C1320" s="5" t="s">
        <v>59</v>
      </c>
      <c r="D1320" s="5" t="s">
        <v>11</v>
      </c>
      <c r="E1320" s="5" t="s">
        <v>9</v>
      </c>
      <c r="F1320" s="6">
        <v>45838</v>
      </c>
      <c r="G1320" s="16">
        <v>2025</v>
      </c>
      <c r="H1320" s="6" t="s">
        <v>763</v>
      </c>
      <c r="I1320" s="6" t="s">
        <v>865</v>
      </c>
      <c r="J1320" s="5">
        <v>32</v>
      </c>
      <c r="K1320" s="5">
        <v>32</v>
      </c>
      <c r="L1320" s="15">
        <v>1</v>
      </c>
      <c r="M1320" s="15">
        <v>1</v>
      </c>
      <c r="N1320" s="5" t="s">
        <v>347</v>
      </c>
      <c r="O1320" s="5" t="s">
        <v>347</v>
      </c>
      <c r="P1320" s="5">
        <v>0</v>
      </c>
      <c r="Q1320" s="5">
        <v>0</v>
      </c>
      <c r="R1320" s="5" t="str">
        <f>A1320&amp;"-"&amp;YEAR(F1320)&amp;"-"&amp;IF(LEN(MONTH(F1320))=1,"0"&amp;MONTH(F1320),MONTH(F1320))&amp;"-"&amp;IF(LEN(DAY(F1320))=1,"0"&amp;DAY(F1320),DAY(F1320))</f>
        <v>418.2-2025-06-30</v>
      </c>
    </row>
    <row r="1321" spans="1:18" x14ac:dyDescent="0.3">
      <c r="A1321" s="26" t="s">
        <v>620</v>
      </c>
      <c r="B1321" s="23" t="s">
        <v>713</v>
      </c>
      <c r="C1321" s="5" t="s">
        <v>124</v>
      </c>
      <c r="D1321" s="5" t="s">
        <v>11</v>
      </c>
      <c r="E1321" s="5" t="s">
        <v>9</v>
      </c>
      <c r="F1321" s="6">
        <v>45838</v>
      </c>
      <c r="G1321" s="16">
        <v>2025</v>
      </c>
      <c r="H1321" s="6" t="s">
        <v>763</v>
      </c>
      <c r="I1321" s="6" t="s">
        <v>865</v>
      </c>
      <c r="J1321" s="5">
        <v>98</v>
      </c>
      <c r="K1321" s="5">
        <v>86</v>
      </c>
      <c r="L1321" s="15">
        <v>0.87755102040816324</v>
      </c>
      <c r="M1321" s="15">
        <v>0.87755102040816324</v>
      </c>
      <c r="N1321" s="5" t="s">
        <v>347</v>
      </c>
      <c r="O1321" s="5" t="s">
        <v>347</v>
      </c>
      <c r="P1321" s="5">
        <v>0</v>
      </c>
      <c r="Q1321" s="5">
        <v>0</v>
      </c>
      <c r="R1321" s="5" t="str">
        <f>A1321&amp;"-"&amp;YEAR(F1321)&amp;"-"&amp;IF(LEN(MONTH(F1321))=1,"0"&amp;MONTH(F1321),MONTH(F1321))&amp;"-"&amp;IF(LEN(DAY(F1321))=1,"0"&amp;DAY(F1321),DAY(F1321))</f>
        <v>415.12-2025-06-30</v>
      </c>
    </row>
    <row r="1322" spans="1:18" x14ac:dyDescent="0.3">
      <c r="A1322" s="5">
        <v>215</v>
      </c>
      <c r="B1322" s="5" t="s">
        <v>94</v>
      </c>
      <c r="C1322" s="5" t="s">
        <v>90</v>
      </c>
      <c r="D1322" s="5" t="s">
        <v>8</v>
      </c>
      <c r="E1322" s="5" t="s">
        <v>9</v>
      </c>
      <c r="F1322" s="6">
        <v>45838</v>
      </c>
      <c r="G1322" s="5">
        <v>2025</v>
      </c>
      <c r="H1322" s="5" t="s">
        <v>763</v>
      </c>
      <c r="I1322" s="6" t="s">
        <v>865</v>
      </c>
      <c r="J1322" s="5">
        <v>1</v>
      </c>
      <c r="K1322" s="5">
        <v>-114.55</v>
      </c>
      <c r="L1322" s="15">
        <v>0</v>
      </c>
      <c r="M1322" s="15">
        <v>0</v>
      </c>
      <c r="N1322" s="5" t="s">
        <v>347</v>
      </c>
      <c r="O1322" s="5" t="s">
        <v>347</v>
      </c>
      <c r="P1322" s="5">
        <v>2</v>
      </c>
      <c r="Q1322" s="5">
        <v>2</v>
      </c>
      <c r="R1322" s="5" t="str">
        <f>A1322&amp;"-"&amp;YEAR(F1322)&amp;"-"&amp;IF(LEN(MONTH(F1322))=1,"0"&amp;MONTH(F1322),MONTH(F1322))&amp;"-"&amp;IF(LEN(DAY(F1322))=1,"0"&amp;DAY(F1322),DAY(F1322))</f>
        <v>215-2025-06-30</v>
      </c>
    </row>
    <row r="1323" spans="1:18" x14ac:dyDescent="0.3">
      <c r="A1323" s="5">
        <v>219</v>
      </c>
      <c r="B1323" s="5" t="s">
        <v>98</v>
      </c>
      <c r="C1323" s="5" t="s">
        <v>90</v>
      </c>
      <c r="D1323" s="5" t="s">
        <v>8</v>
      </c>
      <c r="E1323" s="5" t="s">
        <v>9</v>
      </c>
      <c r="F1323" s="6">
        <v>45838</v>
      </c>
      <c r="G1323" s="5">
        <v>2025</v>
      </c>
      <c r="H1323" s="5" t="s">
        <v>763</v>
      </c>
      <c r="I1323" s="6" t="s">
        <v>865</v>
      </c>
      <c r="J1323" s="5">
        <v>1</v>
      </c>
      <c r="K1323" s="5">
        <v>18.43</v>
      </c>
      <c r="L1323" s="15">
        <v>1</v>
      </c>
      <c r="M1323" s="15">
        <v>1</v>
      </c>
      <c r="N1323" s="5" t="s">
        <v>347</v>
      </c>
      <c r="O1323" s="5" t="s">
        <v>347</v>
      </c>
      <c r="P1323" s="5">
        <v>0</v>
      </c>
      <c r="Q1323" s="5">
        <v>0</v>
      </c>
      <c r="R1323" s="5" t="str">
        <f>A1323&amp;"-"&amp;YEAR(F1323)&amp;"-"&amp;IF(LEN(MONTH(F1323))=1,"0"&amp;MONTH(F1323),MONTH(F1323))&amp;"-"&amp;IF(LEN(DAY(F1323))=1,"0"&amp;DAY(F1323),DAY(F1323))</f>
        <v>219-2025-06-30</v>
      </c>
    </row>
    <row r="1324" spans="1:18" x14ac:dyDescent="0.3">
      <c r="A1324" s="5">
        <v>220</v>
      </c>
      <c r="B1324" s="5" t="s">
        <v>99</v>
      </c>
      <c r="C1324" s="5" t="s">
        <v>90</v>
      </c>
      <c r="D1324" s="5" t="s">
        <v>8</v>
      </c>
      <c r="E1324" s="5" t="s">
        <v>9</v>
      </c>
      <c r="F1324" s="6">
        <v>45838</v>
      </c>
      <c r="G1324" s="5">
        <v>2025</v>
      </c>
      <c r="H1324" s="5" t="s">
        <v>763</v>
      </c>
      <c r="I1324" s="6" t="s">
        <v>865</v>
      </c>
      <c r="J1324" s="5">
        <v>1</v>
      </c>
      <c r="K1324" s="5">
        <v>33.979999999999997</v>
      </c>
      <c r="L1324" s="15">
        <v>1</v>
      </c>
      <c r="M1324" s="15">
        <v>1</v>
      </c>
      <c r="N1324" s="5" t="s">
        <v>347</v>
      </c>
      <c r="O1324" s="5" t="s">
        <v>347</v>
      </c>
      <c r="P1324" s="5">
        <v>0</v>
      </c>
      <c r="Q1324" s="5">
        <v>0</v>
      </c>
      <c r="R1324" s="5" t="str">
        <f>A1324&amp;"-"&amp;YEAR(F1324)&amp;"-"&amp;IF(LEN(MONTH(F1324))=1,"0"&amp;MONTH(F1324),MONTH(F1324))&amp;"-"&amp;IF(LEN(DAY(F1324))=1,"0"&amp;DAY(F1324),DAY(F1324))</f>
        <v>220-2025-06-30</v>
      </c>
    </row>
    <row r="1325" spans="1:18" x14ac:dyDescent="0.3">
      <c r="A1325" s="5">
        <v>230</v>
      </c>
      <c r="B1325" s="5" t="s">
        <v>107</v>
      </c>
      <c r="C1325" s="5" t="s">
        <v>90</v>
      </c>
      <c r="D1325" s="5" t="s">
        <v>8</v>
      </c>
      <c r="E1325" s="5" t="s">
        <v>9</v>
      </c>
      <c r="F1325" s="6">
        <v>45838</v>
      </c>
      <c r="G1325" s="5">
        <v>2025</v>
      </c>
      <c r="H1325" s="5" t="s">
        <v>763</v>
      </c>
      <c r="I1325" s="6" t="s">
        <v>865</v>
      </c>
      <c r="J1325" s="5">
        <v>90</v>
      </c>
      <c r="K1325" s="5">
        <v>100</v>
      </c>
      <c r="L1325" s="15">
        <v>1</v>
      </c>
      <c r="M1325" s="15">
        <v>1.1111111111111112</v>
      </c>
      <c r="N1325" s="5" t="s">
        <v>347</v>
      </c>
      <c r="O1325" s="5" t="s">
        <v>347</v>
      </c>
      <c r="P1325" s="5">
        <v>0</v>
      </c>
      <c r="Q1325" s="5">
        <v>0</v>
      </c>
      <c r="R1325" s="5" t="str">
        <f>A1325&amp;"-"&amp;YEAR(F1325)&amp;"-"&amp;IF(LEN(MONTH(F1325))=1,"0"&amp;MONTH(F1325),MONTH(F1325))&amp;"-"&amp;IF(LEN(DAY(F1325))=1,"0"&amp;DAY(F1325),DAY(F1325))</f>
        <v>230-2025-06-30</v>
      </c>
    </row>
    <row r="1326" spans="1:18" x14ac:dyDescent="0.3">
      <c r="A1326" s="5">
        <v>15</v>
      </c>
      <c r="B1326" s="23" t="s">
        <v>548</v>
      </c>
      <c r="C1326" s="5" t="s">
        <v>345</v>
      </c>
      <c r="D1326" s="5" t="s">
        <v>11</v>
      </c>
      <c r="E1326" s="5" t="s">
        <v>9</v>
      </c>
      <c r="F1326" s="6">
        <v>45838</v>
      </c>
      <c r="G1326" s="5">
        <v>2025</v>
      </c>
      <c r="H1326" s="5" t="s">
        <v>763</v>
      </c>
      <c r="I1326" s="6" t="s">
        <v>865</v>
      </c>
      <c r="J1326" s="61">
        <v>46</v>
      </c>
      <c r="K1326" s="61">
        <v>44</v>
      </c>
      <c r="L1326" s="62">
        <v>0.95652173913043481</v>
      </c>
      <c r="M1326" s="59">
        <v>0.95652173913043481</v>
      </c>
      <c r="N1326" s="5" t="s">
        <v>347</v>
      </c>
      <c r="O1326" s="5" t="s">
        <v>347</v>
      </c>
      <c r="P1326" s="5">
        <v>0</v>
      </c>
      <c r="Q1326" s="5">
        <v>0</v>
      </c>
      <c r="R1326" s="5" t="str">
        <f>A1326&amp;"-"&amp;YEAR(F1326)&amp;"-"&amp;IF(LEN(MONTH(F1326))=1,"0"&amp;MONTH(F1326),MONTH(F1326))&amp;"-"&amp;IF(LEN(DAY(F1326))=1,"0"&amp;DAY(F1326),DAY(F1326))</f>
        <v>15-2025-06-30</v>
      </c>
    </row>
    <row r="1327" spans="1:18" x14ac:dyDescent="0.3">
      <c r="A1327" s="5">
        <v>16</v>
      </c>
      <c r="B1327" s="23" t="s">
        <v>549</v>
      </c>
      <c r="C1327" s="5" t="s">
        <v>345</v>
      </c>
      <c r="D1327" s="5" t="s">
        <v>11</v>
      </c>
      <c r="E1327" s="5" t="s">
        <v>9</v>
      </c>
      <c r="F1327" s="6">
        <v>45838</v>
      </c>
      <c r="G1327" s="5">
        <v>2025</v>
      </c>
      <c r="H1327" s="5" t="s">
        <v>763</v>
      </c>
      <c r="I1327" s="6" t="s">
        <v>865</v>
      </c>
      <c r="J1327" s="61">
        <v>51</v>
      </c>
      <c r="K1327" s="61">
        <v>47</v>
      </c>
      <c r="L1327" s="62">
        <v>0.92156862745098034</v>
      </c>
      <c r="M1327" s="59">
        <v>0.92156862745098034</v>
      </c>
      <c r="N1327" s="5" t="s">
        <v>347</v>
      </c>
      <c r="O1327" s="5" t="s">
        <v>347</v>
      </c>
      <c r="P1327" s="5">
        <v>0</v>
      </c>
      <c r="Q1327" s="5">
        <v>0</v>
      </c>
      <c r="R1327" s="5" t="str">
        <f>A1327&amp;"-"&amp;YEAR(F1327)&amp;"-"&amp;IF(LEN(MONTH(F1327))=1,"0"&amp;MONTH(F1327),MONTH(F1327))&amp;"-"&amp;IF(LEN(DAY(F1327))=1,"0"&amp;DAY(F1327),DAY(F1327))</f>
        <v>16-2025-06-30</v>
      </c>
    </row>
    <row r="1328" spans="1:18" x14ac:dyDescent="0.3">
      <c r="A1328" s="5">
        <v>17</v>
      </c>
      <c r="B1328" s="23" t="s">
        <v>550</v>
      </c>
      <c r="C1328" s="5" t="s">
        <v>345</v>
      </c>
      <c r="D1328" s="5" t="s">
        <v>11</v>
      </c>
      <c r="E1328" s="5" t="s">
        <v>9</v>
      </c>
      <c r="F1328" s="6">
        <v>45838</v>
      </c>
      <c r="G1328" s="5">
        <v>2025</v>
      </c>
      <c r="H1328" s="5" t="s">
        <v>763</v>
      </c>
      <c r="I1328" s="6" t="s">
        <v>865</v>
      </c>
      <c r="J1328" s="61">
        <v>50</v>
      </c>
      <c r="K1328" s="61">
        <v>51</v>
      </c>
      <c r="L1328" s="62">
        <v>1</v>
      </c>
      <c r="M1328" s="59">
        <v>1</v>
      </c>
      <c r="N1328" s="5" t="s">
        <v>347</v>
      </c>
      <c r="O1328" s="5" t="s">
        <v>347</v>
      </c>
      <c r="P1328" s="5">
        <v>0</v>
      </c>
      <c r="Q1328" s="5">
        <v>0</v>
      </c>
      <c r="R1328" s="5" t="str">
        <f>A1328&amp;"-"&amp;YEAR(F1328)&amp;"-"&amp;IF(LEN(MONTH(F1328))=1,"0"&amp;MONTH(F1328),MONTH(F1328))&amp;"-"&amp;IF(LEN(DAY(F1328))=1,"0"&amp;DAY(F1328),DAY(F1328))</f>
        <v>17-2025-06-30</v>
      </c>
    </row>
    <row r="1329" spans="1:18" x14ac:dyDescent="0.3">
      <c r="A1329" s="5">
        <v>18</v>
      </c>
      <c r="B1329" s="23" t="s">
        <v>551</v>
      </c>
      <c r="C1329" s="5" t="s">
        <v>345</v>
      </c>
      <c r="D1329" s="5" t="s">
        <v>11</v>
      </c>
      <c r="E1329" s="5" t="s">
        <v>9</v>
      </c>
      <c r="F1329" s="6">
        <v>45838</v>
      </c>
      <c r="G1329" s="5">
        <v>2025</v>
      </c>
      <c r="H1329" s="5" t="s">
        <v>763</v>
      </c>
      <c r="I1329" s="6" t="s">
        <v>865</v>
      </c>
      <c r="J1329" s="61">
        <v>46</v>
      </c>
      <c r="K1329" s="61">
        <v>44</v>
      </c>
      <c r="L1329" s="62">
        <v>0.95652173913043481</v>
      </c>
      <c r="M1329" s="59">
        <v>0.95652173913043481</v>
      </c>
      <c r="N1329" s="5" t="s">
        <v>347</v>
      </c>
      <c r="O1329" s="5" t="s">
        <v>347</v>
      </c>
      <c r="P1329" s="5">
        <v>0</v>
      </c>
      <c r="Q1329" s="5">
        <v>0</v>
      </c>
      <c r="R1329" s="5" t="str">
        <f>A1329&amp;"-"&amp;YEAR(F1329)&amp;"-"&amp;IF(LEN(MONTH(F1329))=1,"0"&amp;MONTH(F1329),MONTH(F1329))&amp;"-"&amp;IF(LEN(DAY(F1329))=1,"0"&amp;DAY(F1329),DAY(F1329))</f>
        <v>18-2025-06-30</v>
      </c>
    </row>
    <row r="1330" spans="1:18" x14ac:dyDescent="0.3">
      <c r="A1330" s="5">
        <v>19</v>
      </c>
      <c r="B1330" s="23" t="s">
        <v>552</v>
      </c>
      <c r="C1330" s="5" t="s">
        <v>345</v>
      </c>
      <c r="D1330" s="5" t="s">
        <v>11</v>
      </c>
      <c r="E1330" s="5" t="s">
        <v>9</v>
      </c>
      <c r="F1330" s="6">
        <v>45838</v>
      </c>
      <c r="G1330" s="5">
        <v>2025</v>
      </c>
      <c r="H1330" s="5" t="s">
        <v>763</v>
      </c>
      <c r="I1330" s="6" t="s">
        <v>865</v>
      </c>
      <c r="J1330" s="61">
        <v>49</v>
      </c>
      <c r="K1330" s="61">
        <v>63</v>
      </c>
      <c r="L1330" s="62">
        <v>1</v>
      </c>
      <c r="M1330" s="59">
        <v>1</v>
      </c>
      <c r="N1330" s="5" t="s">
        <v>347</v>
      </c>
      <c r="O1330" s="5" t="s">
        <v>347</v>
      </c>
      <c r="P1330" s="5">
        <v>0</v>
      </c>
      <c r="Q1330" s="5">
        <v>0</v>
      </c>
      <c r="R1330" s="5" t="str">
        <f>A1330&amp;"-"&amp;YEAR(F1330)&amp;"-"&amp;IF(LEN(MONTH(F1330))=1,"0"&amp;MONTH(F1330),MONTH(F1330))&amp;"-"&amp;IF(LEN(DAY(F1330))=1,"0"&amp;DAY(F1330),DAY(F1330))</f>
        <v>19-2025-06-30</v>
      </c>
    </row>
    <row r="1331" spans="1:18" x14ac:dyDescent="0.3">
      <c r="A1331" s="5">
        <v>20</v>
      </c>
      <c r="B1331" s="23" t="s">
        <v>553</v>
      </c>
      <c r="C1331" s="5" t="s">
        <v>345</v>
      </c>
      <c r="D1331" s="5" t="s">
        <v>11</v>
      </c>
      <c r="E1331" s="5" t="s">
        <v>9</v>
      </c>
      <c r="F1331" s="6">
        <v>45838</v>
      </c>
      <c r="G1331" s="5">
        <v>2025</v>
      </c>
      <c r="H1331" s="5" t="s">
        <v>763</v>
      </c>
      <c r="I1331" s="6" t="s">
        <v>865</v>
      </c>
      <c r="J1331" s="61">
        <v>60</v>
      </c>
      <c r="K1331" s="61">
        <v>68</v>
      </c>
      <c r="L1331" s="62">
        <v>1</v>
      </c>
      <c r="M1331" s="59">
        <v>1</v>
      </c>
      <c r="N1331" s="5" t="s">
        <v>347</v>
      </c>
      <c r="O1331" s="5" t="s">
        <v>347</v>
      </c>
      <c r="P1331" s="5">
        <v>0</v>
      </c>
      <c r="Q1331" s="5">
        <v>0</v>
      </c>
      <c r="R1331" s="5" t="str">
        <f>A1331&amp;"-"&amp;YEAR(F1331)&amp;"-"&amp;IF(LEN(MONTH(F1331))=1,"0"&amp;MONTH(F1331),MONTH(F1331))&amp;"-"&amp;IF(LEN(DAY(F1331))=1,"0"&amp;DAY(F1331),DAY(F1331))</f>
        <v>20-2025-06-30</v>
      </c>
    </row>
    <row r="1332" spans="1:18" x14ac:dyDescent="0.3">
      <c r="A1332" s="5">
        <v>21</v>
      </c>
      <c r="B1332" s="23" t="s">
        <v>554</v>
      </c>
      <c r="C1332" s="5" t="s">
        <v>345</v>
      </c>
      <c r="D1332" s="5" t="s">
        <v>11</v>
      </c>
      <c r="E1332" s="5" t="s">
        <v>9</v>
      </c>
      <c r="F1332" s="6">
        <v>45838</v>
      </c>
      <c r="G1332" s="5">
        <v>2025</v>
      </c>
      <c r="H1332" s="5" t="s">
        <v>763</v>
      </c>
      <c r="I1332" s="6" t="s">
        <v>865</v>
      </c>
      <c r="J1332" s="61">
        <v>55</v>
      </c>
      <c r="K1332" s="61">
        <v>74</v>
      </c>
      <c r="L1332" s="62">
        <v>1</v>
      </c>
      <c r="M1332" s="59">
        <v>1</v>
      </c>
      <c r="N1332" s="5" t="s">
        <v>347</v>
      </c>
      <c r="O1332" s="5" t="s">
        <v>347</v>
      </c>
      <c r="P1332" s="5">
        <v>0</v>
      </c>
      <c r="Q1332" s="5">
        <v>0</v>
      </c>
      <c r="R1332" s="5" t="str">
        <f>A1332&amp;"-"&amp;YEAR(F1332)&amp;"-"&amp;IF(LEN(MONTH(F1332))=1,"0"&amp;MONTH(F1332),MONTH(F1332))&amp;"-"&amp;IF(LEN(DAY(F1332))=1,"0"&amp;DAY(F1332),DAY(F1332))</f>
        <v>21-2025-06-30</v>
      </c>
    </row>
    <row r="1333" spans="1:18" x14ac:dyDescent="0.3">
      <c r="A1333" s="5">
        <v>22</v>
      </c>
      <c r="B1333" s="23" t="s">
        <v>555</v>
      </c>
      <c r="C1333" s="5" t="s">
        <v>345</v>
      </c>
      <c r="D1333" s="5" t="s">
        <v>11</v>
      </c>
      <c r="E1333" s="5" t="s">
        <v>9</v>
      </c>
      <c r="F1333" s="6">
        <v>45838</v>
      </c>
      <c r="G1333" s="5">
        <v>2025</v>
      </c>
      <c r="H1333" s="5" t="s">
        <v>763</v>
      </c>
      <c r="I1333" s="6" t="s">
        <v>865</v>
      </c>
      <c r="J1333" s="61">
        <v>54</v>
      </c>
      <c r="K1333" s="61">
        <v>50</v>
      </c>
      <c r="L1333" s="62">
        <v>0.92592592592592593</v>
      </c>
      <c r="M1333" s="59">
        <v>0.92592592592592593</v>
      </c>
      <c r="N1333" s="5" t="s">
        <v>347</v>
      </c>
      <c r="O1333" s="5" t="s">
        <v>347</v>
      </c>
      <c r="P1333" s="5">
        <v>0</v>
      </c>
      <c r="Q1333" s="5">
        <v>0</v>
      </c>
      <c r="R1333" s="5" t="str">
        <f>A1333&amp;"-"&amp;YEAR(F1333)&amp;"-"&amp;IF(LEN(MONTH(F1333))=1,"0"&amp;MONTH(F1333),MONTH(F1333))&amp;"-"&amp;IF(LEN(DAY(F1333))=1,"0"&amp;DAY(F1333),DAY(F1333))</f>
        <v>22-2025-06-30</v>
      </c>
    </row>
    <row r="1334" spans="1:18" x14ac:dyDescent="0.3">
      <c r="A1334" s="5">
        <v>23</v>
      </c>
      <c r="B1334" s="23" t="s">
        <v>556</v>
      </c>
      <c r="C1334" s="5" t="s">
        <v>345</v>
      </c>
      <c r="D1334" s="5" t="s">
        <v>11</v>
      </c>
      <c r="E1334" s="5" t="s">
        <v>9</v>
      </c>
      <c r="F1334" s="6">
        <v>45838</v>
      </c>
      <c r="G1334" s="5">
        <v>2025</v>
      </c>
      <c r="H1334" s="5" t="s">
        <v>763</v>
      </c>
      <c r="I1334" s="6" t="s">
        <v>865</v>
      </c>
      <c r="J1334" s="61">
        <v>54</v>
      </c>
      <c r="K1334" s="61">
        <v>52</v>
      </c>
      <c r="L1334" s="62">
        <v>0.96296296296296291</v>
      </c>
      <c r="M1334" s="59">
        <v>0.96296296296296291</v>
      </c>
      <c r="N1334" s="5" t="s">
        <v>347</v>
      </c>
      <c r="O1334" s="5" t="s">
        <v>347</v>
      </c>
      <c r="P1334" s="5">
        <v>0</v>
      </c>
      <c r="Q1334" s="5">
        <v>0</v>
      </c>
      <c r="R1334" s="5" t="str">
        <f>A1334&amp;"-"&amp;YEAR(F1334)&amp;"-"&amp;IF(LEN(MONTH(F1334))=1,"0"&amp;MONTH(F1334),MONTH(F1334))&amp;"-"&amp;IF(LEN(DAY(F1334))=1,"0"&amp;DAY(F1334),DAY(F1334))</f>
        <v>23-2025-06-30</v>
      </c>
    </row>
    <row r="1335" spans="1:18" x14ac:dyDescent="0.3">
      <c r="A1335" s="5">
        <v>24</v>
      </c>
      <c r="B1335" s="23" t="s">
        <v>557</v>
      </c>
      <c r="C1335" s="5" t="s">
        <v>345</v>
      </c>
      <c r="D1335" s="5" t="s">
        <v>11</v>
      </c>
      <c r="E1335" s="5" t="s">
        <v>9</v>
      </c>
      <c r="F1335" s="6">
        <v>45838</v>
      </c>
      <c r="G1335" s="5">
        <v>2025</v>
      </c>
      <c r="H1335" s="5" t="s">
        <v>763</v>
      </c>
      <c r="I1335" s="6" t="s">
        <v>865</v>
      </c>
      <c r="J1335" s="61">
        <v>54</v>
      </c>
      <c r="K1335" s="61">
        <v>58</v>
      </c>
      <c r="L1335" s="62">
        <v>1</v>
      </c>
      <c r="M1335" s="59">
        <v>1</v>
      </c>
      <c r="N1335" s="5" t="s">
        <v>347</v>
      </c>
      <c r="O1335" s="5" t="s">
        <v>347</v>
      </c>
      <c r="P1335" s="5">
        <v>0</v>
      </c>
      <c r="Q1335" s="5">
        <v>0</v>
      </c>
      <c r="R1335" s="5" t="str">
        <f>A1335&amp;"-"&amp;YEAR(F1335)&amp;"-"&amp;IF(LEN(MONTH(F1335))=1,"0"&amp;MONTH(F1335),MONTH(F1335))&amp;"-"&amp;IF(LEN(DAY(F1335))=1,"0"&amp;DAY(F1335),DAY(F1335))</f>
        <v>24-2025-06-30</v>
      </c>
    </row>
    <row r="1336" spans="1:18" x14ac:dyDescent="0.3">
      <c r="A1336" s="5">
        <v>25</v>
      </c>
      <c r="B1336" s="23" t="s">
        <v>558</v>
      </c>
      <c r="C1336" s="5" t="s">
        <v>345</v>
      </c>
      <c r="D1336" s="5" t="s">
        <v>11</v>
      </c>
      <c r="E1336" s="5" t="s">
        <v>9</v>
      </c>
      <c r="F1336" s="6">
        <v>45838</v>
      </c>
      <c r="G1336" s="5">
        <v>2025</v>
      </c>
      <c r="H1336" s="5" t="s">
        <v>763</v>
      </c>
      <c r="I1336" s="6" t="s">
        <v>865</v>
      </c>
      <c r="J1336" s="61">
        <v>50</v>
      </c>
      <c r="K1336" s="61">
        <v>54</v>
      </c>
      <c r="L1336" s="62">
        <v>1</v>
      </c>
      <c r="M1336" s="59">
        <v>1</v>
      </c>
      <c r="N1336" s="5" t="s">
        <v>347</v>
      </c>
      <c r="O1336" s="5" t="s">
        <v>347</v>
      </c>
      <c r="P1336" s="5">
        <v>0</v>
      </c>
      <c r="Q1336" s="5">
        <v>0</v>
      </c>
      <c r="R1336" s="5" t="str">
        <f>A1336&amp;"-"&amp;YEAR(F1336)&amp;"-"&amp;IF(LEN(MONTH(F1336))=1,"0"&amp;MONTH(F1336),MONTH(F1336))&amp;"-"&amp;IF(LEN(DAY(F1336))=1,"0"&amp;DAY(F1336),DAY(F1336))</f>
        <v>25-2025-06-30</v>
      </c>
    </row>
    <row r="1337" spans="1:18" x14ac:dyDescent="0.3">
      <c r="A1337" s="5">
        <v>26</v>
      </c>
      <c r="B1337" s="23" t="s">
        <v>559</v>
      </c>
      <c r="C1337" s="5" t="s">
        <v>345</v>
      </c>
      <c r="D1337" s="5" t="s">
        <v>11</v>
      </c>
      <c r="E1337" s="5" t="s">
        <v>9</v>
      </c>
      <c r="F1337" s="6">
        <v>45838</v>
      </c>
      <c r="G1337" s="5">
        <v>2025</v>
      </c>
      <c r="H1337" s="5" t="s">
        <v>763</v>
      </c>
      <c r="I1337" s="6" t="s">
        <v>865</v>
      </c>
      <c r="J1337" s="61">
        <v>49.5</v>
      </c>
      <c r="K1337" s="61">
        <v>53.92</v>
      </c>
      <c r="L1337" s="62">
        <v>1</v>
      </c>
      <c r="M1337" s="59">
        <v>1</v>
      </c>
      <c r="N1337" s="5" t="s">
        <v>347</v>
      </c>
      <c r="O1337" s="5" t="s">
        <v>347</v>
      </c>
      <c r="P1337" s="5">
        <v>0</v>
      </c>
      <c r="Q1337" s="5">
        <v>0</v>
      </c>
      <c r="R1337" s="5" t="str">
        <f>A1337&amp;"-"&amp;YEAR(F1337)&amp;"-"&amp;IF(LEN(MONTH(F1337))=1,"0"&amp;MONTH(F1337),MONTH(F1337))&amp;"-"&amp;IF(LEN(DAY(F1337))=1,"0"&amp;DAY(F1337),DAY(F1337))</f>
        <v>26-2025-06-30</v>
      </c>
    </row>
    <row r="1338" spans="1:18" x14ac:dyDescent="0.3">
      <c r="A1338" s="5">
        <v>27</v>
      </c>
      <c r="B1338" s="23" t="s">
        <v>560</v>
      </c>
      <c r="C1338" s="5" t="s">
        <v>345</v>
      </c>
      <c r="D1338" s="5" t="s">
        <v>11</v>
      </c>
      <c r="E1338" s="5" t="s">
        <v>9</v>
      </c>
      <c r="F1338" s="6">
        <v>45838</v>
      </c>
      <c r="G1338" s="5">
        <v>2025</v>
      </c>
      <c r="H1338" s="5" t="s">
        <v>763</v>
      </c>
      <c r="I1338" s="6" t="s">
        <v>865</v>
      </c>
      <c r="J1338" s="61">
        <v>86.64</v>
      </c>
      <c r="K1338" s="61">
        <v>68.3</v>
      </c>
      <c r="L1338" s="62">
        <v>0.78831948291782084</v>
      </c>
      <c r="M1338" s="59">
        <v>0.78831948291782084</v>
      </c>
      <c r="N1338" s="5" t="s">
        <v>347</v>
      </c>
      <c r="O1338" s="5" t="s">
        <v>347</v>
      </c>
      <c r="P1338" s="5">
        <v>0</v>
      </c>
      <c r="Q1338" s="5">
        <v>0</v>
      </c>
      <c r="R1338" s="5" t="str">
        <f>A1338&amp;"-"&amp;YEAR(F1338)&amp;"-"&amp;IF(LEN(MONTH(F1338))=1,"0"&amp;MONTH(F1338),MONTH(F1338))&amp;"-"&amp;IF(LEN(DAY(F1338))=1,"0"&amp;DAY(F1338),DAY(F1338))</f>
        <v>27-2025-06-30</v>
      </c>
    </row>
    <row r="1339" spans="1:18" x14ac:dyDescent="0.3">
      <c r="A1339" s="5">
        <v>28</v>
      </c>
      <c r="B1339" s="23" t="s">
        <v>561</v>
      </c>
      <c r="C1339" s="5" t="s">
        <v>345</v>
      </c>
      <c r="D1339" s="5" t="s">
        <v>11</v>
      </c>
      <c r="E1339" s="5" t="s">
        <v>9</v>
      </c>
      <c r="F1339" s="6">
        <v>45838</v>
      </c>
      <c r="G1339" s="5">
        <v>2025</v>
      </c>
      <c r="H1339" s="5" t="s">
        <v>763</v>
      </c>
      <c r="I1339" s="6" t="s">
        <v>865</v>
      </c>
      <c r="J1339" s="61">
        <v>83</v>
      </c>
      <c r="K1339" s="61">
        <v>69</v>
      </c>
      <c r="L1339" s="62">
        <v>0.83132530120481929</v>
      </c>
      <c r="M1339" s="59">
        <v>0.83132530120481929</v>
      </c>
      <c r="N1339" s="5" t="s">
        <v>347</v>
      </c>
      <c r="O1339" s="5" t="s">
        <v>347</v>
      </c>
      <c r="P1339" s="5">
        <v>0</v>
      </c>
      <c r="Q1339" s="5">
        <v>0</v>
      </c>
      <c r="R1339" s="5" t="str">
        <f>A1339&amp;"-"&amp;YEAR(F1339)&amp;"-"&amp;IF(LEN(MONTH(F1339))=1,"0"&amp;MONTH(F1339),MONTH(F1339))&amp;"-"&amp;IF(LEN(DAY(F1339))=1,"0"&amp;DAY(F1339),DAY(F1339))</f>
        <v>28-2025-06-30</v>
      </c>
    </row>
    <row r="1340" spans="1:18" x14ac:dyDescent="0.3">
      <c r="A1340" s="5">
        <v>29</v>
      </c>
      <c r="B1340" s="23" t="s">
        <v>562</v>
      </c>
      <c r="C1340" s="5" t="s">
        <v>345</v>
      </c>
      <c r="D1340" s="5" t="s">
        <v>11</v>
      </c>
      <c r="E1340" s="5" t="s">
        <v>9</v>
      </c>
      <c r="F1340" s="6">
        <v>45838</v>
      </c>
      <c r="G1340" s="5">
        <v>2025</v>
      </c>
      <c r="H1340" s="5" t="s">
        <v>763</v>
      </c>
      <c r="I1340" s="6" t="s">
        <v>865</v>
      </c>
      <c r="J1340" s="61">
        <v>73</v>
      </c>
      <c r="K1340" s="61">
        <v>64</v>
      </c>
      <c r="L1340" s="62">
        <v>0.87671232876712324</v>
      </c>
      <c r="M1340" s="59">
        <v>0.87671232876712324</v>
      </c>
      <c r="N1340" s="5" t="s">
        <v>347</v>
      </c>
      <c r="O1340" s="5" t="s">
        <v>347</v>
      </c>
      <c r="P1340" s="5">
        <v>0</v>
      </c>
      <c r="Q1340" s="5">
        <v>0</v>
      </c>
      <c r="R1340" s="5" t="str">
        <f>A1340&amp;"-"&amp;YEAR(F1340)&amp;"-"&amp;IF(LEN(MONTH(F1340))=1,"0"&amp;MONTH(F1340),MONTH(F1340))&amp;"-"&amp;IF(LEN(DAY(F1340))=1,"0"&amp;DAY(F1340),DAY(F1340))</f>
        <v>29-2025-06-30</v>
      </c>
    </row>
    <row r="1341" spans="1:18" x14ac:dyDescent="0.3">
      <c r="A1341" s="5">
        <v>30</v>
      </c>
      <c r="B1341" s="23" t="s">
        <v>563</v>
      </c>
      <c r="C1341" s="5" t="s">
        <v>345</v>
      </c>
      <c r="D1341" s="5" t="s">
        <v>11</v>
      </c>
      <c r="E1341" s="5" t="s">
        <v>9</v>
      </c>
      <c r="F1341" s="6">
        <v>45838</v>
      </c>
      <c r="G1341" s="5">
        <v>2025</v>
      </c>
      <c r="H1341" s="5" t="s">
        <v>763</v>
      </c>
      <c r="I1341" s="6" t="s">
        <v>865</v>
      </c>
      <c r="J1341" s="61">
        <v>55</v>
      </c>
      <c r="K1341" s="61">
        <v>64</v>
      </c>
      <c r="L1341" s="62">
        <v>1</v>
      </c>
      <c r="M1341" s="59">
        <v>1</v>
      </c>
      <c r="N1341" s="5" t="s">
        <v>347</v>
      </c>
      <c r="O1341" s="5" t="s">
        <v>347</v>
      </c>
      <c r="P1341" s="5">
        <v>0</v>
      </c>
      <c r="Q1341" s="5">
        <v>0</v>
      </c>
      <c r="R1341" s="5" t="str">
        <f>A1341&amp;"-"&amp;YEAR(F1341)&amp;"-"&amp;IF(LEN(MONTH(F1341))=1,"0"&amp;MONTH(F1341),MONTH(F1341))&amp;"-"&amp;IF(LEN(DAY(F1341))=1,"0"&amp;DAY(F1341),DAY(F1341))</f>
        <v>30-2025-06-30</v>
      </c>
    </row>
    <row r="1342" spans="1:18" x14ac:dyDescent="0.3">
      <c r="A1342" s="5">
        <v>31</v>
      </c>
      <c r="B1342" s="23" t="s">
        <v>564</v>
      </c>
      <c r="C1342" s="5"/>
      <c r="D1342" s="5" t="s">
        <v>11</v>
      </c>
      <c r="E1342" s="5" t="s">
        <v>9</v>
      </c>
      <c r="F1342" s="6">
        <v>45838</v>
      </c>
      <c r="G1342" s="5">
        <v>2025</v>
      </c>
      <c r="H1342" s="5" t="s">
        <v>763</v>
      </c>
      <c r="I1342" s="6" t="s">
        <v>865</v>
      </c>
      <c r="J1342" s="61">
        <v>46</v>
      </c>
      <c r="K1342" s="61">
        <v>51</v>
      </c>
      <c r="L1342" s="62">
        <v>1</v>
      </c>
      <c r="M1342" s="59">
        <v>1</v>
      </c>
      <c r="N1342" s="5" t="s">
        <v>347</v>
      </c>
      <c r="O1342" s="5" t="s">
        <v>347</v>
      </c>
      <c r="P1342" s="5">
        <v>0</v>
      </c>
      <c r="Q1342" s="5">
        <v>0</v>
      </c>
      <c r="R1342" s="5" t="str">
        <f>A1342&amp;"-"&amp;YEAR(F1342)&amp;"-"&amp;IF(LEN(MONTH(F1342))=1,"0"&amp;MONTH(F1342),MONTH(F1342))&amp;"-"&amp;IF(LEN(DAY(F1342))=1,"0"&amp;DAY(F1342),DAY(F1342))</f>
        <v>31-2025-06-30</v>
      </c>
    </row>
    <row r="1343" spans="1:18" x14ac:dyDescent="0.3">
      <c r="A1343" s="5">
        <v>32</v>
      </c>
      <c r="B1343" s="23" t="s">
        <v>565</v>
      </c>
      <c r="C1343" s="5" t="s">
        <v>897</v>
      </c>
      <c r="D1343" s="5" t="s">
        <v>11</v>
      </c>
      <c r="E1343" s="5" t="s">
        <v>9</v>
      </c>
      <c r="F1343" s="6">
        <v>45838</v>
      </c>
      <c r="G1343" s="5">
        <v>2025</v>
      </c>
      <c r="H1343" s="5" t="s">
        <v>763</v>
      </c>
      <c r="I1343" s="6" t="s">
        <v>865</v>
      </c>
      <c r="J1343" s="61">
        <v>31</v>
      </c>
      <c r="K1343" s="61">
        <v>31</v>
      </c>
      <c r="L1343" s="62">
        <v>1</v>
      </c>
      <c r="M1343" s="59">
        <v>1</v>
      </c>
      <c r="N1343" s="5" t="s">
        <v>347</v>
      </c>
      <c r="O1343" s="5" t="s">
        <v>347</v>
      </c>
      <c r="P1343" s="5">
        <v>0</v>
      </c>
      <c r="Q1343" s="5">
        <v>0</v>
      </c>
      <c r="R1343" s="5" t="str">
        <f>A1343&amp;"-"&amp;YEAR(F1343)&amp;"-"&amp;IF(LEN(MONTH(F1343))=1,"0"&amp;MONTH(F1343),MONTH(F1343))&amp;"-"&amp;IF(LEN(DAY(F1343))=1,"0"&amp;DAY(F1343),DAY(F1343))</f>
        <v>32-2025-06-30</v>
      </c>
    </row>
    <row r="1344" spans="1:18" x14ac:dyDescent="0.3">
      <c r="A1344" s="5">
        <v>33</v>
      </c>
      <c r="B1344" s="23" t="s">
        <v>566</v>
      </c>
      <c r="C1344" s="5"/>
      <c r="D1344" s="5" t="s">
        <v>11</v>
      </c>
      <c r="E1344" s="5" t="s">
        <v>9</v>
      </c>
      <c r="F1344" s="6">
        <v>45838</v>
      </c>
      <c r="G1344" s="5">
        <v>2025</v>
      </c>
      <c r="H1344" s="5" t="s">
        <v>763</v>
      </c>
      <c r="I1344" s="6" t="s">
        <v>865</v>
      </c>
      <c r="J1344" s="61">
        <v>69</v>
      </c>
      <c r="K1344" s="61">
        <v>47</v>
      </c>
      <c r="L1344" s="62">
        <v>0.6811594202898551</v>
      </c>
      <c r="M1344" s="59">
        <v>0.6811594202898551</v>
      </c>
      <c r="N1344" s="5" t="s">
        <v>347</v>
      </c>
      <c r="O1344" s="5" t="s">
        <v>347</v>
      </c>
      <c r="P1344" s="5">
        <v>0</v>
      </c>
      <c r="Q1344" s="5">
        <v>0</v>
      </c>
      <c r="R1344" s="5" t="str">
        <f>A1344&amp;"-"&amp;YEAR(F1344)&amp;"-"&amp;IF(LEN(MONTH(F1344))=1,"0"&amp;MONTH(F1344),MONTH(F1344))&amp;"-"&amp;IF(LEN(DAY(F1344))=1,"0"&amp;DAY(F1344),DAY(F1344))</f>
        <v>33-2025-06-30</v>
      </c>
    </row>
    <row r="1345" spans="1:18" x14ac:dyDescent="0.3">
      <c r="A1345" s="5">
        <v>34</v>
      </c>
      <c r="B1345" s="23" t="s">
        <v>567</v>
      </c>
      <c r="C1345" s="5" t="s">
        <v>145</v>
      </c>
      <c r="D1345" s="5" t="s">
        <v>11</v>
      </c>
      <c r="E1345" s="5" t="s">
        <v>9</v>
      </c>
      <c r="F1345" s="6">
        <v>45838</v>
      </c>
      <c r="G1345" s="5">
        <v>2025</v>
      </c>
      <c r="H1345" s="5" t="s">
        <v>763</v>
      </c>
      <c r="I1345" s="6" t="s">
        <v>865</v>
      </c>
      <c r="J1345" s="61">
        <v>24</v>
      </c>
      <c r="K1345" s="61">
        <v>55</v>
      </c>
      <c r="L1345" s="62">
        <v>1</v>
      </c>
      <c r="M1345" s="59">
        <v>1</v>
      </c>
      <c r="N1345" s="5" t="s">
        <v>347</v>
      </c>
      <c r="O1345" s="5" t="s">
        <v>347</v>
      </c>
      <c r="P1345" s="5">
        <v>0</v>
      </c>
      <c r="Q1345" s="5">
        <v>0</v>
      </c>
      <c r="R1345" s="5" t="str">
        <f>A1345&amp;"-"&amp;YEAR(F1345)&amp;"-"&amp;IF(LEN(MONTH(F1345))=1,"0"&amp;MONTH(F1345),MONTH(F1345))&amp;"-"&amp;IF(LEN(DAY(F1345))=1,"0"&amp;DAY(F1345),DAY(F1345))</f>
        <v>34-2025-06-30</v>
      </c>
    </row>
    <row r="1346" spans="1:18" x14ac:dyDescent="0.3">
      <c r="A1346" s="5" t="s">
        <v>609</v>
      </c>
      <c r="B1346" s="23" t="s">
        <v>568</v>
      </c>
      <c r="C1346" s="5" t="s">
        <v>249</v>
      </c>
      <c r="D1346" s="5" t="s">
        <v>11</v>
      </c>
      <c r="E1346" s="5" t="s">
        <v>9</v>
      </c>
      <c r="F1346" s="6">
        <v>45838</v>
      </c>
      <c r="G1346" s="5">
        <v>2025</v>
      </c>
      <c r="H1346" s="5" t="s">
        <v>763</v>
      </c>
      <c r="I1346" s="6" t="s">
        <v>865</v>
      </c>
      <c r="J1346" s="61">
        <v>63</v>
      </c>
      <c r="K1346" s="61">
        <v>62</v>
      </c>
      <c r="L1346" s="62">
        <v>0.98412698412698407</v>
      </c>
      <c r="M1346" s="59">
        <v>0.98412698412698407</v>
      </c>
      <c r="N1346" s="5" t="s">
        <v>347</v>
      </c>
      <c r="O1346" s="5" t="s">
        <v>347</v>
      </c>
      <c r="P1346" s="5">
        <v>0</v>
      </c>
      <c r="Q1346" s="5">
        <v>0</v>
      </c>
      <c r="R1346" s="5" t="str">
        <f>A1346&amp;"-"&amp;YEAR(F1346)&amp;"-"&amp;IF(LEN(MONTH(F1346))=1,"0"&amp;MONTH(F1346),MONTH(F1346))&amp;"-"&amp;IF(LEN(DAY(F1346))=1,"0"&amp;DAY(F1346),DAY(F1346))</f>
        <v>415.1-2025-06-30</v>
      </c>
    </row>
    <row r="1347" spans="1:18" x14ac:dyDescent="0.3">
      <c r="A1347" s="5" t="s">
        <v>610</v>
      </c>
      <c r="B1347" s="23" t="s">
        <v>569</v>
      </c>
      <c r="C1347" s="5" t="s">
        <v>74</v>
      </c>
      <c r="D1347" s="5" t="s">
        <v>11</v>
      </c>
      <c r="E1347" s="5" t="s">
        <v>9</v>
      </c>
      <c r="F1347" s="6">
        <v>45838</v>
      </c>
      <c r="G1347" s="5">
        <v>2025</v>
      </c>
      <c r="H1347" s="5" t="s">
        <v>763</v>
      </c>
      <c r="I1347" s="6" t="s">
        <v>865</v>
      </c>
      <c r="J1347" s="61">
        <v>87</v>
      </c>
      <c r="K1347" s="61">
        <v>77</v>
      </c>
      <c r="L1347" s="62">
        <v>0.88505747126436785</v>
      </c>
      <c r="M1347" s="59">
        <v>0.88505747126436785</v>
      </c>
      <c r="N1347" s="5" t="s">
        <v>347</v>
      </c>
      <c r="O1347" s="5" t="s">
        <v>347</v>
      </c>
      <c r="P1347" s="5">
        <v>0</v>
      </c>
      <c r="Q1347" s="5">
        <v>0</v>
      </c>
      <c r="R1347" s="5" t="str">
        <f>A1347&amp;"-"&amp;YEAR(F1347)&amp;"-"&amp;IF(LEN(MONTH(F1347))=1,"0"&amp;MONTH(F1347),MONTH(F1347))&amp;"-"&amp;IF(LEN(DAY(F1347))=1,"0"&amp;DAY(F1347),DAY(F1347))</f>
        <v>415.2-2025-06-30</v>
      </c>
    </row>
    <row r="1348" spans="1:18" x14ac:dyDescent="0.3">
      <c r="A1348" s="5" t="s">
        <v>618</v>
      </c>
      <c r="B1348" s="23" t="s">
        <v>570</v>
      </c>
      <c r="C1348" s="5" t="s">
        <v>343</v>
      </c>
      <c r="D1348" s="5" t="s">
        <v>11</v>
      </c>
      <c r="E1348" s="5" t="s">
        <v>9</v>
      </c>
      <c r="F1348" s="6">
        <v>45838</v>
      </c>
      <c r="G1348" s="5">
        <v>2025</v>
      </c>
      <c r="H1348" s="5" t="s">
        <v>763</v>
      </c>
      <c r="I1348" s="6" t="s">
        <v>865</v>
      </c>
      <c r="J1348" s="61">
        <v>64</v>
      </c>
      <c r="K1348" s="61">
        <v>62</v>
      </c>
      <c r="L1348" s="62">
        <v>0.96875</v>
      </c>
      <c r="M1348" s="59">
        <v>0.96875</v>
      </c>
      <c r="N1348" s="5" t="s">
        <v>347</v>
      </c>
      <c r="O1348" s="5" t="s">
        <v>347</v>
      </c>
      <c r="P1348" s="5">
        <v>0</v>
      </c>
      <c r="Q1348" s="5">
        <v>0</v>
      </c>
      <c r="R1348" s="5" t="str">
        <f>A1348&amp;"-"&amp;YEAR(F1348)&amp;"-"&amp;IF(LEN(MONTH(F1348))=1,"0"&amp;MONTH(F1348),MONTH(F1348))&amp;"-"&amp;IF(LEN(DAY(F1348))=1,"0"&amp;DAY(F1348),DAY(F1348))</f>
        <v>415.10-2025-06-30</v>
      </c>
    </row>
    <row r="1349" spans="1:18" x14ac:dyDescent="0.3">
      <c r="A1349" s="5" t="s">
        <v>612</v>
      </c>
      <c r="B1349" s="23" t="s">
        <v>898</v>
      </c>
      <c r="C1349" s="5" t="s">
        <v>126</v>
      </c>
      <c r="D1349" s="5" t="s">
        <v>11</v>
      </c>
      <c r="E1349" s="5" t="s">
        <v>9</v>
      </c>
      <c r="F1349" s="6">
        <v>45838</v>
      </c>
      <c r="G1349" s="5">
        <v>2025</v>
      </c>
      <c r="H1349" s="5" t="s">
        <v>763</v>
      </c>
      <c r="I1349" s="6" t="s">
        <v>865</v>
      </c>
      <c r="J1349" s="61">
        <v>67</v>
      </c>
      <c r="K1349" s="61">
        <v>67</v>
      </c>
      <c r="L1349" s="62">
        <v>1</v>
      </c>
      <c r="M1349" s="59">
        <v>1</v>
      </c>
      <c r="N1349" s="5" t="s">
        <v>347</v>
      </c>
      <c r="O1349" s="5" t="s">
        <v>347</v>
      </c>
      <c r="P1349" s="5">
        <v>0</v>
      </c>
      <c r="Q1349" s="5">
        <v>0</v>
      </c>
      <c r="R1349" s="5" t="str">
        <f>A1349&amp;"-"&amp;YEAR(F1349)&amp;"-"&amp;IF(LEN(MONTH(F1349))=1,"0"&amp;MONTH(F1349),MONTH(F1349))&amp;"-"&amp;IF(LEN(DAY(F1349))=1,"0"&amp;DAY(F1349),DAY(F1349))</f>
        <v>415.4-2025-06-30</v>
      </c>
    </row>
    <row r="1350" spans="1:18" x14ac:dyDescent="0.3">
      <c r="A1350" s="5" t="s">
        <v>613</v>
      </c>
      <c r="B1350" s="23" t="s">
        <v>690</v>
      </c>
      <c r="C1350" s="5" t="s">
        <v>344</v>
      </c>
      <c r="D1350" s="5" t="s">
        <v>11</v>
      </c>
      <c r="E1350" s="5" t="s">
        <v>9</v>
      </c>
      <c r="F1350" s="6">
        <v>45838</v>
      </c>
      <c r="G1350" s="5">
        <v>2025</v>
      </c>
      <c r="H1350" s="5" t="s">
        <v>763</v>
      </c>
      <c r="I1350" s="6" t="s">
        <v>865</v>
      </c>
      <c r="J1350" s="61">
        <v>73</v>
      </c>
      <c r="K1350" s="61">
        <v>62</v>
      </c>
      <c r="L1350" s="62">
        <v>0.84931506849315064</v>
      </c>
      <c r="M1350" s="59">
        <v>0.84931506849315064</v>
      </c>
      <c r="N1350" s="5" t="s">
        <v>347</v>
      </c>
      <c r="O1350" s="5" t="s">
        <v>347</v>
      </c>
      <c r="P1350" s="5">
        <v>0</v>
      </c>
      <c r="Q1350" s="5">
        <v>0</v>
      </c>
      <c r="R1350" s="5" t="str">
        <f>A1350&amp;"-"&amp;YEAR(F1350)&amp;"-"&amp;IF(LEN(MONTH(F1350))=1,"0"&amp;MONTH(F1350),MONTH(F1350))&amp;"-"&amp;IF(LEN(DAY(F1350))=1,"0"&amp;DAY(F1350),DAY(F1350))</f>
        <v>415.5-2025-06-30</v>
      </c>
    </row>
    <row r="1351" spans="1:18" x14ac:dyDescent="0.3">
      <c r="A1351" s="5" t="s">
        <v>614</v>
      </c>
      <c r="B1351" s="23" t="s">
        <v>574</v>
      </c>
      <c r="C1351" s="5" t="s">
        <v>248</v>
      </c>
      <c r="D1351" s="5" t="s">
        <v>11</v>
      </c>
      <c r="E1351" s="5" t="s">
        <v>9</v>
      </c>
      <c r="F1351" s="6">
        <v>45838</v>
      </c>
      <c r="G1351" s="5">
        <v>2025</v>
      </c>
      <c r="H1351" s="5" t="s">
        <v>763</v>
      </c>
      <c r="I1351" s="6" t="s">
        <v>865</v>
      </c>
      <c r="J1351" s="61">
        <v>83</v>
      </c>
      <c r="K1351" s="61">
        <v>70</v>
      </c>
      <c r="L1351" s="62">
        <v>0.84337349397590367</v>
      </c>
      <c r="M1351" s="59">
        <v>0.84337349397590367</v>
      </c>
      <c r="N1351" s="5" t="s">
        <v>347</v>
      </c>
      <c r="O1351" s="5" t="s">
        <v>347</v>
      </c>
      <c r="P1351" s="5">
        <v>0</v>
      </c>
      <c r="Q1351" s="5">
        <v>0</v>
      </c>
      <c r="R1351" s="5" t="str">
        <f>A1351&amp;"-"&amp;YEAR(F1351)&amp;"-"&amp;IF(LEN(MONTH(F1351))=1,"0"&amp;MONTH(F1351),MONTH(F1351))&amp;"-"&amp;IF(LEN(DAY(F1351))=1,"0"&amp;DAY(F1351),DAY(F1351))</f>
        <v>415.6-2025-06-30</v>
      </c>
    </row>
    <row r="1352" spans="1:18" x14ac:dyDescent="0.3">
      <c r="A1352" s="5" t="s">
        <v>615</v>
      </c>
      <c r="B1352" s="23" t="s">
        <v>708</v>
      </c>
      <c r="C1352" s="5" t="s">
        <v>343</v>
      </c>
      <c r="D1352" s="5" t="s">
        <v>11</v>
      </c>
      <c r="E1352" s="5" t="s">
        <v>9</v>
      </c>
      <c r="F1352" s="6">
        <v>45838</v>
      </c>
      <c r="G1352" s="5">
        <v>2025</v>
      </c>
      <c r="H1352" s="5" t="s">
        <v>763</v>
      </c>
      <c r="I1352" s="6" t="s">
        <v>865</v>
      </c>
      <c r="J1352" s="61">
        <v>64</v>
      </c>
      <c r="K1352" s="61">
        <v>66</v>
      </c>
      <c r="L1352" s="100">
        <v>1</v>
      </c>
      <c r="M1352" s="59">
        <v>1</v>
      </c>
      <c r="N1352" s="5" t="s">
        <v>347</v>
      </c>
      <c r="O1352" s="5" t="s">
        <v>347</v>
      </c>
      <c r="P1352" s="5">
        <v>0</v>
      </c>
      <c r="Q1352" s="5">
        <v>0</v>
      </c>
      <c r="R1352" s="5" t="str">
        <f>A1352&amp;"-"&amp;YEAR(F1352)&amp;"-"&amp;IF(LEN(MONTH(F1352))=1,"0"&amp;MONTH(F1352),MONTH(F1352))&amp;"-"&amp;IF(LEN(DAY(F1352))=1,"0"&amp;DAY(F1352),DAY(F1352))</f>
        <v>415.7-2025-06-30</v>
      </c>
    </row>
    <row r="1353" spans="1:18" x14ac:dyDescent="0.3">
      <c r="A1353" s="5" t="s">
        <v>617</v>
      </c>
      <c r="B1353" s="23" t="s">
        <v>710</v>
      </c>
      <c r="C1353" s="5" t="s">
        <v>343</v>
      </c>
      <c r="D1353" s="5" t="s">
        <v>11</v>
      </c>
      <c r="E1353" s="5" t="s">
        <v>9</v>
      </c>
      <c r="F1353" s="6">
        <v>45838</v>
      </c>
      <c r="G1353" s="5">
        <v>2025</v>
      </c>
      <c r="H1353" s="5" t="s">
        <v>763</v>
      </c>
      <c r="I1353" s="6" t="s">
        <v>865</v>
      </c>
      <c r="J1353" s="61">
        <v>67</v>
      </c>
      <c r="K1353" s="61">
        <v>65</v>
      </c>
      <c r="L1353" s="100">
        <v>0.97014925373134331</v>
      </c>
      <c r="M1353" s="59">
        <v>0.97014925373134331</v>
      </c>
      <c r="N1353" s="5" t="s">
        <v>347</v>
      </c>
      <c r="O1353" s="5" t="s">
        <v>347</v>
      </c>
      <c r="P1353" s="5">
        <v>0</v>
      </c>
      <c r="Q1353" s="5">
        <v>0</v>
      </c>
      <c r="R1353" s="5" t="str">
        <f>A1353&amp;"-"&amp;YEAR(F1353)&amp;"-"&amp;IF(LEN(MONTH(F1353))=1,"0"&amp;MONTH(F1353),MONTH(F1353))&amp;"-"&amp;IF(LEN(DAY(F1353))=1,"0"&amp;DAY(F1353),DAY(F1353))</f>
        <v>415.9-2025-06-30</v>
      </c>
    </row>
    <row r="1354" spans="1:18" x14ac:dyDescent="0.3">
      <c r="A1354" s="5" t="s">
        <v>719</v>
      </c>
      <c r="B1354" s="23" t="s">
        <v>711</v>
      </c>
      <c r="C1354" s="5" t="s">
        <v>343</v>
      </c>
      <c r="D1354" s="5" t="s">
        <v>11</v>
      </c>
      <c r="E1354" s="5" t="s">
        <v>9</v>
      </c>
      <c r="F1354" s="6">
        <v>45838</v>
      </c>
      <c r="G1354" s="5">
        <v>2025</v>
      </c>
      <c r="H1354" s="5" t="s">
        <v>763</v>
      </c>
      <c r="I1354" s="6" t="s">
        <v>865</v>
      </c>
      <c r="J1354" s="61">
        <v>71</v>
      </c>
      <c r="K1354" s="61">
        <v>73</v>
      </c>
      <c r="L1354" s="100">
        <v>1</v>
      </c>
      <c r="M1354" s="59">
        <v>1</v>
      </c>
      <c r="N1354" s="5" t="s">
        <v>347</v>
      </c>
      <c r="O1354" s="5" t="s">
        <v>347</v>
      </c>
      <c r="P1354" s="5">
        <v>0</v>
      </c>
      <c r="Q1354" s="5">
        <v>0</v>
      </c>
      <c r="R1354" s="5" t="str">
        <f>A1354&amp;"-"&amp;YEAR(F1354)&amp;"-"&amp;IF(LEN(MONTH(F1354))=1,"0"&amp;MONTH(F1354),MONTH(F1354))&amp;"-"&amp;IF(LEN(DAY(F1354))=1,"0"&amp;DAY(F1354),DAY(F1354))</f>
        <v>415.14-2025-06-30</v>
      </c>
    </row>
    <row r="1355" spans="1:18" x14ac:dyDescent="0.3">
      <c r="A1355" s="5" t="s">
        <v>619</v>
      </c>
      <c r="B1355" s="23" t="s">
        <v>712</v>
      </c>
      <c r="C1355" s="5" t="s">
        <v>249</v>
      </c>
      <c r="D1355" s="5" t="s">
        <v>11</v>
      </c>
      <c r="E1355" s="5" t="s">
        <v>9</v>
      </c>
      <c r="F1355" s="6">
        <v>45838</v>
      </c>
      <c r="G1355" s="5">
        <v>2025</v>
      </c>
      <c r="H1355" s="5" t="s">
        <v>763</v>
      </c>
      <c r="I1355" s="6" t="s">
        <v>865</v>
      </c>
      <c r="J1355" s="61">
        <v>62</v>
      </c>
      <c r="K1355" s="61">
        <v>56</v>
      </c>
      <c r="L1355" s="100">
        <v>0.90322580645161288</v>
      </c>
      <c r="M1355" s="59">
        <v>0.90322580645161288</v>
      </c>
      <c r="N1355" s="5" t="s">
        <v>347</v>
      </c>
      <c r="O1355" s="5" t="s">
        <v>347</v>
      </c>
      <c r="P1355" s="5">
        <v>0</v>
      </c>
      <c r="Q1355" s="5">
        <v>0</v>
      </c>
      <c r="R1355" s="5" t="str">
        <f>A1355&amp;"-"&amp;YEAR(F1355)&amp;"-"&amp;IF(LEN(MONTH(F1355))=1,"0"&amp;MONTH(F1355),MONTH(F1355))&amp;"-"&amp;IF(LEN(DAY(F1355))=1,"0"&amp;DAY(F1355),DAY(F1355))</f>
        <v>415.11-2025-06-30</v>
      </c>
    </row>
    <row r="1356" spans="1:18" x14ac:dyDescent="0.3">
      <c r="A1356" s="5" t="s">
        <v>621</v>
      </c>
      <c r="B1356" s="23" t="s">
        <v>714</v>
      </c>
      <c r="C1356" s="5" t="s">
        <v>74</v>
      </c>
      <c r="D1356" s="5" t="s">
        <v>11</v>
      </c>
      <c r="E1356" s="5" t="s">
        <v>9</v>
      </c>
      <c r="F1356" s="6">
        <v>45838</v>
      </c>
      <c r="G1356" s="5">
        <v>2025</v>
      </c>
      <c r="H1356" s="5" t="s">
        <v>763</v>
      </c>
      <c r="I1356" s="6" t="s">
        <v>865</v>
      </c>
      <c r="J1356" s="61">
        <v>81</v>
      </c>
      <c r="K1356" s="61">
        <v>81</v>
      </c>
      <c r="L1356" s="100">
        <v>1</v>
      </c>
      <c r="M1356" s="59">
        <v>1</v>
      </c>
      <c r="N1356" s="5" t="s">
        <v>347</v>
      </c>
      <c r="O1356" s="5" t="s">
        <v>347</v>
      </c>
      <c r="P1356" s="5">
        <v>0</v>
      </c>
      <c r="Q1356" s="5">
        <v>0</v>
      </c>
      <c r="R1356" s="5" t="str">
        <f>A1356&amp;"-"&amp;YEAR(F1356)&amp;"-"&amp;IF(LEN(MONTH(F1356))=1,"0"&amp;MONTH(F1356),MONTH(F1356))&amp;"-"&amp;IF(LEN(DAY(F1356))=1,"0"&amp;DAY(F1356),DAY(F1356))</f>
        <v>415.13-2025-06-30</v>
      </c>
    </row>
    <row r="1357" spans="1:18" x14ac:dyDescent="0.3">
      <c r="A1357" s="5">
        <v>44</v>
      </c>
      <c r="B1357" s="23" t="s">
        <v>577</v>
      </c>
      <c r="C1357" s="5" t="s">
        <v>231</v>
      </c>
      <c r="D1357" s="5" t="s">
        <v>11</v>
      </c>
      <c r="E1357" s="5" t="s">
        <v>9</v>
      </c>
      <c r="F1357" s="6">
        <v>45838</v>
      </c>
      <c r="G1357" s="5">
        <v>2025</v>
      </c>
      <c r="H1357" s="5" t="s">
        <v>763</v>
      </c>
      <c r="I1357" s="6" t="s">
        <v>865</v>
      </c>
      <c r="L1357" s="100" t="s">
        <v>417</v>
      </c>
      <c r="M1357" s="59" t="s">
        <v>417</v>
      </c>
      <c r="N1357" s="5" t="s">
        <v>347</v>
      </c>
      <c r="O1357" s="5" t="s">
        <v>347</v>
      </c>
      <c r="P1357" s="5">
        <v>0</v>
      </c>
      <c r="Q1357" s="5">
        <v>0</v>
      </c>
      <c r="R1357" s="5" t="str">
        <f>A1357&amp;"-"&amp;YEAR(F1357)&amp;"-"&amp;IF(LEN(MONTH(F1357))=1,"0"&amp;MONTH(F1357),MONTH(F1357))&amp;"-"&amp;IF(LEN(DAY(F1357))=1,"0"&amp;DAY(F1357),DAY(F1357))</f>
        <v>44-2025-06-30</v>
      </c>
    </row>
    <row r="1358" spans="1:18" x14ac:dyDescent="0.3">
      <c r="A1358" s="5">
        <v>45</v>
      </c>
      <c r="B1358" s="23" t="s">
        <v>578</v>
      </c>
      <c r="C1358" s="5" t="s">
        <v>43</v>
      </c>
      <c r="D1358" s="5" t="s">
        <v>11</v>
      </c>
      <c r="E1358" s="5" t="s">
        <v>9</v>
      </c>
      <c r="F1358" s="6">
        <v>45838</v>
      </c>
      <c r="G1358" s="5">
        <v>2025</v>
      </c>
      <c r="H1358" s="5" t="s">
        <v>763</v>
      </c>
      <c r="I1358" s="6" t="s">
        <v>865</v>
      </c>
      <c r="L1358" s="100" t="s">
        <v>417</v>
      </c>
      <c r="M1358" s="59" t="s">
        <v>417</v>
      </c>
      <c r="N1358" s="5" t="s">
        <v>347</v>
      </c>
      <c r="O1358" s="5" t="s">
        <v>347</v>
      </c>
      <c r="P1358" s="5">
        <v>0</v>
      </c>
      <c r="Q1358" s="5">
        <v>0</v>
      </c>
      <c r="R1358" s="5" t="str">
        <f>A1358&amp;"-"&amp;YEAR(F1358)&amp;"-"&amp;IF(LEN(MONTH(F1358))=1,"0"&amp;MONTH(F1358),MONTH(F1358))&amp;"-"&amp;IF(LEN(DAY(F1358))=1,"0"&amp;DAY(F1358),DAY(F1358))</f>
        <v>45-2025-06-30</v>
      </c>
    </row>
    <row r="1359" spans="1:18" x14ac:dyDescent="0.3">
      <c r="A1359" s="5">
        <v>46</v>
      </c>
      <c r="B1359" s="23" t="s">
        <v>579</v>
      </c>
      <c r="C1359" s="5" t="s">
        <v>84</v>
      </c>
      <c r="D1359" s="5" t="s">
        <v>11</v>
      </c>
      <c r="E1359" s="5" t="s">
        <v>9</v>
      </c>
      <c r="F1359" s="6">
        <v>45838</v>
      </c>
      <c r="G1359" s="5">
        <v>2025</v>
      </c>
      <c r="H1359" s="5" t="s">
        <v>763</v>
      </c>
      <c r="I1359" s="6" t="s">
        <v>865</v>
      </c>
      <c r="L1359" s="100" t="s">
        <v>417</v>
      </c>
      <c r="M1359" s="59" t="s">
        <v>417</v>
      </c>
      <c r="N1359" s="5" t="s">
        <v>347</v>
      </c>
      <c r="O1359" s="5" t="s">
        <v>347</v>
      </c>
      <c r="P1359" s="5">
        <v>0</v>
      </c>
      <c r="Q1359" s="5">
        <v>0</v>
      </c>
      <c r="R1359" s="5" t="str">
        <f>A1359&amp;"-"&amp;YEAR(F1359)&amp;"-"&amp;IF(LEN(MONTH(F1359))=1,"0"&amp;MONTH(F1359),MONTH(F1359))&amp;"-"&amp;IF(LEN(DAY(F1359))=1,"0"&amp;DAY(F1359),DAY(F1359))</f>
        <v>46-2025-06-30</v>
      </c>
    </row>
    <row r="1360" spans="1:18" x14ac:dyDescent="0.3">
      <c r="A1360" s="5">
        <v>47</v>
      </c>
      <c r="B1360" s="23" t="s">
        <v>580</v>
      </c>
      <c r="C1360" s="5"/>
      <c r="D1360" s="5" t="s">
        <v>11</v>
      </c>
      <c r="E1360" s="5" t="s">
        <v>9</v>
      </c>
      <c r="F1360" s="6">
        <v>45838</v>
      </c>
      <c r="G1360" s="5">
        <v>2025</v>
      </c>
      <c r="H1360" s="5" t="s">
        <v>763</v>
      </c>
      <c r="I1360" s="6" t="s">
        <v>865</v>
      </c>
      <c r="L1360" s="100" t="s">
        <v>417</v>
      </c>
      <c r="M1360" s="59" t="s">
        <v>417</v>
      </c>
      <c r="N1360" s="5" t="s">
        <v>347</v>
      </c>
      <c r="O1360" s="5" t="s">
        <v>347</v>
      </c>
      <c r="P1360" s="5">
        <v>0</v>
      </c>
      <c r="Q1360" s="5">
        <v>0</v>
      </c>
      <c r="R1360" s="5" t="str">
        <f>A1360&amp;"-"&amp;YEAR(F1360)&amp;"-"&amp;IF(LEN(MONTH(F1360))=1,"0"&amp;MONTH(F1360),MONTH(F1360))&amp;"-"&amp;IF(LEN(DAY(F1360))=1,"0"&amp;DAY(F1360),DAY(F1360))</f>
        <v>47-2025-06-30</v>
      </c>
    </row>
    <row r="1361" spans="1:18" x14ac:dyDescent="0.3">
      <c r="A1361" s="5">
        <v>48</v>
      </c>
      <c r="B1361" s="23" t="s">
        <v>581</v>
      </c>
      <c r="C1361" s="5" t="s">
        <v>185</v>
      </c>
      <c r="D1361" s="5" t="s">
        <v>11</v>
      </c>
      <c r="E1361" s="5" t="s">
        <v>9</v>
      </c>
      <c r="F1361" s="6">
        <v>45838</v>
      </c>
      <c r="G1361" s="5">
        <v>2025</v>
      </c>
      <c r="H1361" s="5" t="s">
        <v>763</v>
      </c>
      <c r="I1361" s="6" t="s">
        <v>865</v>
      </c>
      <c r="L1361" s="100" t="s">
        <v>417</v>
      </c>
      <c r="M1361" s="59" t="s">
        <v>417</v>
      </c>
      <c r="N1361" s="5" t="s">
        <v>347</v>
      </c>
      <c r="O1361" s="5" t="s">
        <v>347</v>
      </c>
      <c r="P1361" s="5">
        <v>0</v>
      </c>
      <c r="Q1361" s="5">
        <v>0</v>
      </c>
      <c r="R1361" s="5" t="str">
        <f>A1361&amp;"-"&amp;YEAR(F1361)&amp;"-"&amp;IF(LEN(MONTH(F1361))=1,"0"&amp;MONTH(F1361),MONTH(F1361))&amp;"-"&amp;IF(LEN(DAY(F1361))=1,"0"&amp;DAY(F1361),DAY(F1361))</f>
        <v>48-2025-06-30</v>
      </c>
    </row>
    <row r="1362" spans="1:18" x14ac:dyDescent="0.3">
      <c r="A1362" s="5">
        <v>49</v>
      </c>
      <c r="B1362" s="23" t="s">
        <v>582</v>
      </c>
      <c r="C1362" s="5" t="s">
        <v>7</v>
      </c>
      <c r="D1362" s="5" t="s">
        <v>11</v>
      </c>
      <c r="E1362" s="5" t="s">
        <v>9</v>
      </c>
      <c r="F1362" s="6">
        <v>45838</v>
      </c>
      <c r="G1362" s="5">
        <v>2025</v>
      </c>
      <c r="H1362" s="5" t="s">
        <v>763</v>
      </c>
      <c r="I1362" s="6" t="s">
        <v>865</v>
      </c>
      <c r="L1362" s="100" t="s">
        <v>417</v>
      </c>
      <c r="M1362" s="59" t="s">
        <v>417</v>
      </c>
      <c r="N1362" s="5" t="s">
        <v>347</v>
      </c>
      <c r="O1362" s="5" t="s">
        <v>347</v>
      </c>
      <c r="P1362" s="5">
        <v>0</v>
      </c>
      <c r="Q1362" s="5">
        <v>0</v>
      </c>
      <c r="R1362" s="5" t="str">
        <f>A1362&amp;"-"&amp;YEAR(F1362)&amp;"-"&amp;IF(LEN(MONTH(F1362))=1,"0"&amp;MONTH(F1362),MONTH(F1362))&amp;"-"&amp;IF(LEN(DAY(F1362))=1,"0"&amp;DAY(F1362),DAY(F1362))</f>
        <v>49-2025-06-30</v>
      </c>
    </row>
    <row r="1363" spans="1:18" x14ac:dyDescent="0.3">
      <c r="A1363" s="26" t="s">
        <v>662</v>
      </c>
      <c r="B1363" s="23" t="s">
        <v>585</v>
      </c>
      <c r="C1363" s="5" t="s">
        <v>53</v>
      </c>
      <c r="D1363" s="5" t="s">
        <v>11</v>
      </c>
      <c r="E1363" s="5" t="s">
        <v>9</v>
      </c>
      <c r="F1363" s="6">
        <v>45838</v>
      </c>
      <c r="G1363" s="5">
        <v>2025</v>
      </c>
      <c r="H1363" s="5" t="s">
        <v>763</v>
      </c>
      <c r="I1363" s="6" t="s">
        <v>865</v>
      </c>
      <c r="J1363">
        <v>75</v>
      </c>
      <c r="K1363">
        <v>75</v>
      </c>
      <c r="L1363" s="100">
        <v>1</v>
      </c>
      <c r="M1363" s="59">
        <v>1</v>
      </c>
      <c r="N1363" s="5" t="s">
        <v>347</v>
      </c>
      <c r="O1363" s="5" t="s">
        <v>347</v>
      </c>
      <c r="P1363" s="5">
        <v>0</v>
      </c>
      <c r="Q1363" s="5">
        <v>0</v>
      </c>
      <c r="R1363" s="5" t="str">
        <f>A1363&amp;"-"&amp;YEAR(F1363)&amp;"-"&amp;IF(LEN(MONTH(F1363))=1,"0"&amp;MONTH(F1363),MONTH(F1363))&amp;"-"&amp;IF(LEN(DAY(F1363))=1,"0"&amp;DAY(F1363),DAY(F1363))</f>
        <v>418.3-2025-06-30</v>
      </c>
    </row>
    <row r="1364" spans="1:18" x14ac:dyDescent="0.3">
      <c r="A1364" s="26" t="s">
        <v>663</v>
      </c>
      <c r="B1364" s="23" t="s">
        <v>586</v>
      </c>
      <c r="C1364" s="5" t="s">
        <v>67</v>
      </c>
      <c r="D1364" s="5" t="s">
        <v>11</v>
      </c>
      <c r="E1364" s="5" t="s">
        <v>9</v>
      </c>
      <c r="F1364" s="6">
        <v>45838</v>
      </c>
      <c r="G1364" s="5">
        <v>2025</v>
      </c>
      <c r="H1364" s="5" t="s">
        <v>763</v>
      </c>
      <c r="I1364" s="6" t="s">
        <v>865</v>
      </c>
      <c r="J1364">
        <v>57</v>
      </c>
      <c r="K1364">
        <v>66</v>
      </c>
      <c r="L1364" s="100">
        <v>1</v>
      </c>
      <c r="M1364" s="59">
        <v>1</v>
      </c>
      <c r="N1364" s="5" t="s">
        <v>347</v>
      </c>
      <c r="O1364" s="5" t="s">
        <v>347</v>
      </c>
      <c r="P1364" s="5">
        <v>0</v>
      </c>
      <c r="Q1364" s="5">
        <v>0</v>
      </c>
      <c r="R1364" s="5" t="str">
        <f>A1364&amp;"-"&amp;YEAR(F1364)&amp;"-"&amp;IF(LEN(MONTH(F1364))=1,"0"&amp;MONTH(F1364),MONTH(F1364))&amp;"-"&amp;IF(LEN(DAY(F1364))=1,"0"&amp;DAY(F1364),DAY(F1364))</f>
        <v>418.4-2025-06-30</v>
      </c>
    </row>
    <row r="1365" spans="1:18" x14ac:dyDescent="0.3">
      <c r="A1365" s="26" t="s">
        <v>665</v>
      </c>
      <c r="B1365" s="23" t="s">
        <v>588</v>
      </c>
      <c r="C1365" s="5" t="s">
        <v>129</v>
      </c>
      <c r="D1365" s="5" t="s">
        <v>11</v>
      </c>
      <c r="E1365" s="5" t="s">
        <v>9</v>
      </c>
      <c r="F1365" s="6">
        <v>45838</v>
      </c>
      <c r="G1365" s="5">
        <v>2025</v>
      </c>
      <c r="H1365" s="5" t="s">
        <v>763</v>
      </c>
      <c r="I1365" s="6" t="s">
        <v>865</v>
      </c>
      <c r="J1365">
        <v>78</v>
      </c>
      <c r="K1365">
        <v>78</v>
      </c>
      <c r="L1365" s="100">
        <v>1</v>
      </c>
      <c r="M1365" s="59">
        <v>1</v>
      </c>
      <c r="N1365" s="5" t="s">
        <v>347</v>
      </c>
      <c r="O1365" s="5" t="s">
        <v>347</v>
      </c>
      <c r="P1365" s="5">
        <v>0</v>
      </c>
      <c r="Q1365" s="5">
        <v>0</v>
      </c>
      <c r="R1365" s="5" t="str">
        <f>A1365&amp;"-"&amp;YEAR(F1365)&amp;"-"&amp;IF(LEN(MONTH(F1365))=1,"0"&amp;MONTH(F1365),MONTH(F1365))&amp;"-"&amp;IF(LEN(DAY(F1365))=1,"0"&amp;DAY(F1365),DAY(F1365))</f>
        <v>418.6-2025-06-30</v>
      </c>
    </row>
    <row r="1366" spans="1:18" x14ac:dyDescent="0.3">
      <c r="A1366" s="26" t="s">
        <v>666</v>
      </c>
      <c r="B1366" s="23" t="s">
        <v>589</v>
      </c>
      <c r="C1366" s="5" t="s">
        <v>345</v>
      </c>
      <c r="D1366" s="5" t="s">
        <v>11</v>
      </c>
      <c r="E1366" s="5" t="s">
        <v>9</v>
      </c>
      <c r="F1366" s="6">
        <v>45838</v>
      </c>
      <c r="G1366" s="5">
        <v>2025</v>
      </c>
      <c r="H1366" s="5" t="s">
        <v>763</v>
      </c>
      <c r="I1366" s="6" t="s">
        <v>865</v>
      </c>
      <c r="J1366">
        <v>72</v>
      </c>
      <c r="K1366">
        <v>71</v>
      </c>
      <c r="L1366" s="100">
        <v>0.98611111111111116</v>
      </c>
      <c r="M1366" s="59">
        <v>0.98611111111111116</v>
      </c>
      <c r="N1366" s="5" t="s">
        <v>347</v>
      </c>
      <c r="O1366" s="5" t="s">
        <v>347</v>
      </c>
      <c r="P1366" s="5">
        <v>0</v>
      </c>
      <c r="Q1366" s="5">
        <v>0</v>
      </c>
      <c r="R1366" s="5" t="str">
        <f>A1366&amp;"-"&amp;YEAR(F1366)&amp;"-"&amp;IF(LEN(MONTH(F1366))=1,"0"&amp;MONTH(F1366),MONTH(F1366))&amp;"-"&amp;IF(LEN(DAY(F1366))=1,"0"&amp;DAY(F1366),DAY(F1366))</f>
        <v>418.7-2025-06-30</v>
      </c>
    </row>
    <row r="1367" spans="1:18" x14ac:dyDescent="0.3">
      <c r="A1367" s="26" t="s">
        <v>667</v>
      </c>
      <c r="B1367" s="23" t="s">
        <v>590</v>
      </c>
      <c r="C1367" s="5" t="s">
        <v>345</v>
      </c>
      <c r="D1367" s="5" t="s">
        <v>11</v>
      </c>
      <c r="E1367" s="5" t="s">
        <v>9</v>
      </c>
      <c r="F1367" s="6">
        <v>45838</v>
      </c>
      <c r="G1367" s="5">
        <v>2025</v>
      </c>
      <c r="H1367" s="5" t="s">
        <v>763</v>
      </c>
      <c r="I1367" s="6" t="s">
        <v>865</v>
      </c>
      <c r="J1367">
        <v>73</v>
      </c>
      <c r="K1367">
        <v>70</v>
      </c>
      <c r="L1367" s="100">
        <v>0.95890410958904104</v>
      </c>
      <c r="M1367" s="59">
        <v>0.95890410958904104</v>
      </c>
      <c r="N1367" s="5" t="s">
        <v>347</v>
      </c>
      <c r="O1367" s="5" t="s">
        <v>347</v>
      </c>
      <c r="P1367" s="5">
        <v>0</v>
      </c>
      <c r="Q1367" s="5">
        <v>0</v>
      </c>
      <c r="R1367" s="5" t="str">
        <f>A1367&amp;"-"&amp;YEAR(F1367)&amp;"-"&amp;IF(LEN(MONTH(F1367))=1,"0"&amp;MONTH(F1367),MONTH(F1367))&amp;"-"&amp;IF(LEN(DAY(F1367))=1,"0"&amp;DAY(F1367),DAY(F1367))</f>
        <v>418.8-2025-06-30</v>
      </c>
    </row>
    <row r="1368" spans="1:18" x14ac:dyDescent="0.3">
      <c r="A1368" s="26" t="s">
        <v>668</v>
      </c>
      <c r="B1368" s="23" t="s">
        <v>591</v>
      </c>
      <c r="C1368" s="5" t="s">
        <v>345</v>
      </c>
      <c r="D1368" s="5" t="s">
        <v>11</v>
      </c>
      <c r="E1368" s="5" t="s">
        <v>9</v>
      </c>
      <c r="F1368" s="6">
        <v>45838</v>
      </c>
      <c r="G1368" s="5">
        <v>2025</v>
      </c>
      <c r="H1368" s="5" t="s">
        <v>763</v>
      </c>
      <c r="I1368" s="6" t="s">
        <v>865</v>
      </c>
      <c r="J1368">
        <v>76</v>
      </c>
      <c r="K1368">
        <v>86</v>
      </c>
      <c r="L1368" s="100">
        <v>1</v>
      </c>
      <c r="M1368" s="59">
        <v>1</v>
      </c>
      <c r="N1368" s="5" t="s">
        <v>347</v>
      </c>
      <c r="O1368" s="5" t="s">
        <v>347</v>
      </c>
      <c r="P1368" s="5">
        <v>0</v>
      </c>
      <c r="Q1368" s="5">
        <v>0</v>
      </c>
      <c r="R1368" s="5" t="str">
        <f>A1368&amp;"-"&amp;YEAR(F1368)&amp;"-"&amp;IF(LEN(MONTH(F1368))=1,"0"&amp;MONTH(F1368),MONTH(F1368))&amp;"-"&amp;IF(LEN(DAY(F1368))=1,"0"&amp;DAY(F1368),DAY(F1368))</f>
        <v>418.9-2025-06-30</v>
      </c>
    </row>
    <row r="1369" spans="1:18" x14ac:dyDescent="0.3">
      <c r="A1369" s="5">
        <v>59</v>
      </c>
      <c r="B1369" s="23" t="s">
        <v>592</v>
      </c>
      <c r="C1369" s="5" t="s">
        <v>345</v>
      </c>
      <c r="D1369" s="5" t="s">
        <v>11</v>
      </c>
      <c r="E1369" s="5" t="s">
        <v>9</v>
      </c>
      <c r="F1369" s="6">
        <v>45838</v>
      </c>
      <c r="G1369" s="5">
        <v>2025</v>
      </c>
      <c r="H1369" s="5" t="s">
        <v>763</v>
      </c>
      <c r="I1369" s="6" t="s">
        <v>865</v>
      </c>
      <c r="L1369" s="100" t="s">
        <v>417</v>
      </c>
      <c r="M1369" s="59" t="s">
        <v>417</v>
      </c>
      <c r="N1369" s="5" t="s">
        <v>347</v>
      </c>
      <c r="O1369" s="5" t="s">
        <v>347</v>
      </c>
      <c r="P1369" s="5">
        <v>0</v>
      </c>
      <c r="Q1369" s="5">
        <v>0</v>
      </c>
      <c r="R1369" s="5" t="str">
        <f>A1369&amp;"-"&amp;YEAR(F1369)&amp;"-"&amp;IF(LEN(MONTH(F1369))=1,"0"&amp;MONTH(F1369),MONTH(F1369))&amp;"-"&amp;IF(LEN(DAY(F1369))=1,"0"&amp;DAY(F1369),DAY(F1369))</f>
        <v>59-2025-06-30</v>
      </c>
    </row>
    <row r="1370" spans="1:18" x14ac:dyDescent="0.3">
      <c r="A1370" s="5">
        <v>60</v>
      </c>
      <c r="B1370" s="23" t="s">
        <v>593</v>
      </c>
      <c r="C1370" s="5" t="s">
        <v>345</v>
      </c>
      <c r="D1370" s="5" t="s">
        <v>11</v>
      </c>
      <c r="E1370" s="5" t="s">
        <v>9</v>
      </c>
      <c r="F1370" s="6">
        <v>45838</v>
      </c>
      <c r="G1370" s="5">
        <v>2025</v>
      </c>
      <c r="H1370" s="5" t="s">
        <v>763</v>
      </c>
      <c r="I1370" s="6" t="s">
        <v>865</v>
      </c>
      <c r="L1370" s="100" t="s">
        <v>417</v>
      </c>
      <c r="M1370" s="59" t="s">
        <v>417</v>
      </c>
      <c r="N1370" s="5" t="s">
        <v>347</v>
      </c>
      <c r="O1370" s="5" t="s">
        <v>347</v>
      </c>
      <c r="P1370" s="5">
        <v>0</v>
      </c>
      <c r="Q1370" s="5">
        <v>0</v>
      </c>
      <c r="R1370" s="5" t="str">
        <f>A1370&amp;"-"&amp;YEAR(F1370)&amp;"-"&amp;IF(LEN(MONTH(F1370))=1,"0"&amp;MONTH(F1370),MONTH(F1370))&amp;"-"&amp;IF(LEN(DAY(F1370))=1,"0"&amp;DAY(F1370),DAY(F1370))</f>
        <v>60-2025-06-30</v>
      </c>
    </row>
    <row r="1371" spans="1:18" x14ac:dyDescent="0.3">
      <c r="A1371" s="5">
        <v>61</v>
      </c>
      <c r="B1371" s="23" t="s">
        <v>594</v>
      </c>
      <c r="C1371" s="5" t="s">
        <v>345</v>
      </c>
      <c r="D1371" s="5" t="s">
        <v>11</v>
      </c>
      <c r="E1371" s="5" t="s">
        <v>9</v>
      </c>
      <c r="F1371" s="6">
        <v>45838</v>
      </c>
      <c r="G1371" s="5">
        <v>2025</v>
      </c>
      <c r="H1371" s="5" t="s">
        <v>763</v>
      </c>
      <c r="I1371" s="6" t="s">
        <v>865</v>
      </c>
      <c r="L1371" s="100" t="s">
        <v>417</v>
      </c>
      <c r="M1371" s="59" t="s">
        <v>417</v>
      </c>
      <c r="N1371" s="5" t="s">
        <v>347</v>
      </c>
      <c r="O1371" s="5" t="s">
        <v>347</v>
      </c>
      <c r="P1371" s="5">
        <v>0</v>
      </c>
      <c r="Q1371" s="5">
        <v>0</v>
      </c>
      <c r="R1371" s="5" t="str">
        <f>A1371&amp;"-"&amp;YEAR(F1371)&amp;"-"&amp;IF(LEN(MONTH(F1371))=1,"0"&amp;MONTH(F1371),MONTH(F1371))&amp;"-"&amp;IF(LEN(DAY(F1371))=1,"0"&amp;DAY(F1371),DAY(F1371))</f>
        <v>61-2025-06-30</v>
      </c>
    </row>
    <row r="1372" spans="1:18" x14ac:dyDescent="0.3">
      <c r="A1372" s="5">
        <v>62</v>
      </c>
      <c r="B1372" s="23" t="s">
        <v>595</v>
      </c>
      <c r="C1372" s="5" t="s">
        <v>345</v>
      </c>
      <c r="D1372" s="5" t="s">
        <v>11</v>
      </c>
      <c r="E1372" s="5" t="s">
        <v>9</v>
      </c>
      <c r="F1372" s="6">
        <v>45838</v>
      </c>
      <c r="G1372" s="5">
        <v>2025</v>
      </c>
      <c r="H1372" s="5" t="s">
        <v>763</v>
      </c>
      <c r="I1372" s="6" t="s">
        <v>865</v>
      </c>
      <c r="L1372" s="100" t="s">
        <v>417</v>
      </c>
      <c r="M1372" s="59" t="s">
        <v>417</v>
      </c>
      <c r="N1372" s="5" t="s">
        <v>347</v>
      </c>
      <c r="O1372" s="5" t="s">
        <v>347</v>
      </c>
      <c r="P1372" s="5">
        <v>0</v>
      </c>
      <c r="Q1372" s="5">
        <v>0</v>
      </c>
      <c r="R1372" s="5" t="str">
        <f>A1372&amp;"-"&amp;YEAR(F1372)&amp;"-"&amp;IF(LEN(MONTH(F1372))=1,"0"&amp;MONTH(F1372),MONTH(F1372))&amp;"-"&amp;IF(LEN(DAY(F1372))=1,"0"&amp;DAY(F1372),DAY(F1372))</f>
        <v>62-2025-06-30</v>
      </c>
    </row>
    <row r="1373" spans="1:18" x14ac:dyDescent="0.3">
      <c r="A1373" s="5">
        <v>63</v>
      </c>
      <c r="B1373" s="23" t="s">
        <v>596</v>
      </c>
      <c r="C1373" s="5" t="s">
        <v>345</v>
      </c>
      <c r="D1373" s="5" t="s">
        <v>11</v>
      </c>
      <c r="E1373" s="5" t="s">
        <v>9</v>
      </c>
      <c r="F1373" s="6">
        <v>45838</v>
      </c>
      <c r="G1373" s="5">
        <v>2025</v>
      </c>
      <c r="H1373" s="5" t="s">
        <v>763</v>
      </c>
      <c r="I1373" s="6" t="s">
        <v>865</v>
      </c>
      <c r="L1373" s="100" t="s">
        <v>417</v>
      </c>
      <c r="M1373" s="59" t="s">
        <v>417</v>
      </c>
      <c r="N1373" s="5" t="s">
        <v>347</v>
      </c>
      <c r="O1373" s="5" t="s">
        <v>347</v>
      </c>
      <c r="P1373" s="5">
        <v>0</v>
      </c>
      <c r="Q1373" s="5">
        <v>0</v>
      </c>
      <c r="R1373" s="5" t="str">
        <f>A1373&amp;"-"&amp;YEAR(F1373)&amp;"-"&amp;IF(LEN(MONTH(F1373))=1,"0"&amp;MONTH(F1373),MONTH(F1373))&amp;"-"&amp;IF(LEN(DAY(F1373))=1,"0"&amp;DAY(F1373),DAY(F1373))</f>
        <v>63-2025-06-30</v>
      </c>
    </row>
    <row r="1374" spans="1:18" x14ac:dyDescent="0.3">
      <c r="A1374" s="5">
        <v>64</v>
      </c>
      <c r="B1374" s="23" t="s">
        <v>597</v>
      </c>
      <c r="C1374" s="5" t="s">
        <v>345</v>
      </c>
      <c r="D1374" s="5" t="s">
        <v>11</v>
      </c>
      <c r="E1374" s="5" t="s">
        <v>9</v>
      </c>
      <c r="F1374" s="6">
        <v>45838</v>
      </c>
      <c r="G1374" s="5">
        <v>2025</v>
      </c>
      <c r="H1374" s="5" t="s">
        <v>763</v>
      </c>
      <c r="I1374" s="6" t="s">
        <v>865</v>
      </c>
      <c r="L1374" s="100" t="s">
        <v>417</v>
      </c>
      <c r="M1374" s="59" t="s">
        <v>417</v>
      </c>
      <c r="N1374" s="5" t="s">
        <v>347</v>
      </c>
      <c r="O1374" s="5" t="s">
        <v>347</v>
      </c>
      <c r="P1374" s="5">
        <v>0</v>
      </c>
      <c r="Q1374" s="5">
        <v>0</v>
      </c>
      <c r="R1374" s="5" t="str">
        <f>A1374&amp;"-"&amp;YEAR(F1374)&amp;"-"&amp;IF(LEN(MONTH(F1374))=1,"0"&amp;MONTH(F1374),MONTH(F1374))&amp;"-"&amp;IF(LEN(DAY(F1374))=1,"0"&amp;DAY(F1374),DAY(F1374))</f>
        <v>64-2025-06-30</v>
      </c>
    </row>
    <row r="1375" spans="1:18" x14ac:dyDescent="0.3">
      <c r="A1375" s="5">
        <v>65</v>
      </c>
      <c r="B1375" s="23" t="s">
        <v>598</v>
      </c>
      <c r="C1375" s="5" t="s">
        <v>345</v>
      </c>
      <c r="D1375" s="5" t="s">
        <v>11</v>
      </c>
      <c r="E1375" s="5" t="s">
        <v>9</v>
      </c>
      <c r="F1375" s="6">
        <v>45838</v>
      </c>
      <c r="G1375" s="5">
        <v>2025</v>
      </c>
      <c r="H1375" s="5" t="s">
        <v>763</v>
      </c>
      <c r="I1375" s="6" t="s">
        <v>865</v>
      </c>
      <c r="L1375" s="100" t="s">
        <v>417</v>
      </c>
      <c r="M1375" s="59" t="s">
        <v>417</v>
      </c>
      <c r="N1375" s="5" t="s">
        <v>347</v>
      </c>
      <c r="O1375" s="5" t="s">
        <v>347</v>
      </c>
      <c r="P1375" s="5">
        <v>0</v>
      </c>
      <c r="Q1375" s="5">
        <v>0</v>
      </c>
      <c r="R1375" s="5" t="str">
        <f>A1375&amp;"-"&amp;YEAR(F1375)&amp;"-"&amp;IF(LEN(MONTH(F1375))=1,"0"&amp;MONTH(F1375),MONTH(F1375))&amp;"-"&amp;IF(LEN(DAY(F1375))=1,"0"&amp;DAY(F1375),DAY(F1375))</f>
        <v>65-2025-06-30</v>
      </c>
    </row>
    <row r="1376" spans="1:18" x14ac:dyDescent="0.3">
      <c r="A1376" s="5">
        <v>66</v>
      </c>
      <c r="B1376" s="23" t="s">
        <v>599</v>
      </c>
      <c r="C1376" s="5" t="s">
        <v>345</v>
      </c>
      <c r="D1376" s="5" t="s">
        <v>11</v>
      </c>
      <c r="E1376" s="5" t="s">
        <v>9</v>
      </c>
      <c r="F1376" s="6">
        <v>45838</v>
      </c>
      <c r="G1376" s="5">
        <v>2025</v>
      </c>
      <c r="H1376" s="5" t="s">
        <v>763</v>
      </c>
      <c r="I1376" s="6" t="s">
        <v>865</v>
      </c>
      <c r="L1376" s="100" t="s">
        <v>417</v>
      </c>
      <c r="M1376" s="59" t="s">
        <v>417</v>
      </c>
      <c r="N1376" s="5" t="s">
        <v>347</v>
      </c>
      <c r="O1376" s="5" t="s">
        <v>347</v>
      </c>
      <c r="P1376" s="5">
        <v>0</v>
      </c>
      <c r="Q1376" s="5">
        <v>0</v>
      </c>
      <c r="R1376" s="5" t="str">
        <f>A1376&amp;"-"&amp;YEAR(F1376)&amp;"-"&amp;IF(LEN(MONTH(F1376))=1,"0"&amp;MONTH(F1376),MONTH(F1376))&amp;"-"&amp;IF(LEN(DAY(F1376))=1,"0"&amp;DAY(F1376),DAY(F1376))</f>
        <v>66-2025-06-30</v>
      </c>
    </row>
    <row r="1377" spans="1:18" x14ac:dyDescent="0.3">
      <c r="A1377" s="5">
        <v>67</v>
      </c>
      <c r="B1377" s="23" t="s">
        <v>600</v>
      </c>
      <c r="C1377" s="5" t="s">
        <v>267</v>
      </c>
      <c r="D1377" s="5" t="s">
        <v>11</v>
      </c>
      <c r="E1377" s="5" t="s">
        <v>9</v>
      </c>
      <c r="F1377" s="6">
        <v>45838</v>
      </c>
      <c r="G1377" s="5">
        <v>2025</v>
      </c>
      <c r="H1377" s="5" t="s">
        <v>763</v>
      </c>
      <c r="I1377" s="6" t="s">
        <v>865</v>
      </c>
      <c r="L1377" s="100" t="s">
        <v>417</v>
      </c>
      <c r="M1377" s="59" t="s">
        <v>417</v>
      </c>
      <c r="N1377" s="5" t="s">
        <v>347</v>
      </c>
      <c r="O1377" s="5" t="s">
        <v>347</v>
      </c>
      <c r="P1377" s="5">
        <v>0</v>
      </c>
      <c r="Q1377" s="5">
        <v>0</v>
      </c>
      <c r="R1377" s="5" t="str">
        <f>A1377&amp;"-"&amp;YEAR(F1377)&amp;"-"&amp;IF(LEN(MONTH(F1377))=1,"0"&amp;MONTH(F1377),MONTH(F1377))&amp;"-"&amp;IF(LEN(DAY(F1377))=1,"0"&amp;DAY(F1377),DAY(F1377))</f>
        <v>67-2025-06-30</v>
      </c>
    </row>
    <row r="1378" spans="1:18" x14ac:dyDescent="0.3">
      <c r="A1378" s="5">
        <v>75</v>
      </c>
      <c r="B1378" s="23" t="s">
        <v>604</v>
      </c>
      <c r="C1378" s="5" t="s">
        <v>274</v>
      </c>
      <c r="D1378" s="5" t="s">
        <v>11</v>
      </c>
      <c r="E1378" s="5" t="s">
        <v>9</v>
      </c>
      <c r="F1378" s="6">
        <v>45838</v>
      </c>
      <c r="G1378" s="5">
        <v>2025</v>
      </c>
      <c r="H1378" s="5" t="s">
        <v>763</v>
      </c>
      <c r="I1378" s="6" t="s">
        <v>865</v>
      </c>
      <c r="L1378" s="100" t="s">
        <v>417</v>
      </c>
      <c r="M1378" s="59" t="s">
        <v>417</v>
      </c>
      <c r="N1378" s="5" t="s">
        <v>347</v>
      </c>
      <c r="O1378" s="5" t="s">
        <v>347</v>
      </c>
      <c r="P1378" s="5">
        <v>0</v>
      </c>
      <c r="Q1378" s="5">
        <v>0</v>
      </c>
      <c r="R1378" s="5" t="str">
        <f>A1378&amp;"-"&amp;YEAR(F1378)&amp;"-"&amp;IF(LEN(MONTH(F1378))=1,"0"&amp;MONTH(F1378),MONTH(F1378))&amp;"-"&amp;IF(LEN(DAY(F1378))=1,"0"&amp;DAY(F1378),DAY(F1378))</f>
        <v>75-2025-06-30</v>
      </c>
    </row>
    <row r="1379" spans="1:18" x14ac:dyDescent="0.3">
      <c r="A1379" s="5">
        <v>76</v>
      </c>
      <c r="B1379" s="23" t="s">
        <v>605</v>
      </c>
      <c r="C1379" s="5" t="s">
        <v>74</v>
      </c>
      <c r="D1379" s="5" t="s">
        <v>11</v>
      </c>
      <c r="E1379" s="5" t="s">
        <v>9</v>
      </c>
      <c r="F1379" s="6">
        <v>45838</v>
      </c>
      <c r="G1379" s="5">
        <v>2025</v>
      </c>
      <c r="H1379" s="5" t="s">
        <v>763</v>
      </c>
      <c r="I1379" s="6" t="s">
        <v>865</v>
      </c>
      <c r="L1379" s="100" t="s">
        <v>417</v>
      </c>
      <c r="M1379" s="59" t="s">
        <v>417</v>
      </c>
      <c r="N1379" s="5" t="s">
        <v>347</v>
      </c>
      <c r="O1379" s="5" t="s">
        <v>347</v>
      </c>
      <c r="P1379" s="5">
        <v>0</v>
      </c>
      <c r="Q1379" s="5">
        <v>0</v>
      </c>
      <c r="R1379" s="5" t="str">
        <f>A1379&amp;"-"&amp;YEAR(F1379)&amp;"-"&amp;IF(LEN(MONTH(F1379))=1,"0"&amp;MONTH(F1379),MONTH(F1379))&amp;"-"&amp;IF(LEN(DAY(F1379))=1,"0"&amp;DAY(F1379),DAY(F1379))</f>
        <v>76-2025-06-30</v>
      </c>
    </row>
    <row r="1380" spans="1:18" x14ac:dyDescent="0.3">
      <c r="A1380" s="5" t="s">
        <v>407</v>
      </c>
      <c r="B1380" s="23" t="s">
        <v>388</v>
      </c>
      <c r="C1380" s="5" t="s">
        <v>410</v>
      </c>
      <c r="D1380" s="5" t="s">
        <v>8</v>
      </c>
      <c r="E1380" s="5" t="s">
        <v>9</v>
      </c>
      <c r="F1380" s="6">
        <v>45838</v>
      </c>
      <c r="G1380" s="5">
        <v>2025</v>
      </c>
      <c r="H1380" s="5" t="s">
        <v>763</v>
      </c>
      <c r="I1380" s="6" t="s">
        <v>865</v>
      </c>
      <c r="J1380" s="61">
        <v>69</v>
      </c>
      <c r="K1380" s="61">
        <v>47</v>
      </c>
      <c r="L1380" s="100">
        <v>0.6811594202898551</v>
      </c>
      <c r="M1380" s="59">
        <v>0.6811594202898551</v>
      </c>
      <c r="N1380" s="5" t="s">
        <v>347</v>
      </c>
      <c r="O1380" s="5" t="s">
        <v>347</v>
      </c>
      <c r="P1380" s="5">
        <v>0</v>
      </c>
      <c r="Q1380" s="5">
        <v>0</v>
      </c>
      <c r="R1380" s="5" t="str">
        <f>A1380&amp;"-"&amp;YEAR(F1380)&amp;"-"&amp;IF(LEN(MONTH(F1380))=1,"0"&amp;MONTH(F1380),MONTH(F1380))&amp;"-"&amp;IF(LEN(DAY(F1380))=1,"0"&amp;DAY(F1380),DAY(F1380))</f>
        <v>Med 15-2025-06-30</v>
      </c>
    </row>
    <row r="1381" spans="1:18" x14ac:dyDescent="0.3">
      <c r="A1381" s="26" t="s">
        <v>647</v>
      </c>
      <c r="B1381" s="23" t="s">
        <v>899</v>
      </c>
      <c r="C1381" s="5" t="s">
        <v>267</v>
      </c>
      <c r="D1381" s="5" t="s">
        <v>11</v>
      </c>
      <c r="E1381" s="5" t="s">
        <v>9</v>
      </c>
      <c r="F1381" s="6">
        <v>45838</v>
      </c>
      <c r="G1381" s="5">
        <v>2025</v>
      </c>
      <c r="H1381" s="5" t="s">
        <v>763</v>
      </c>
      <c r="I1381" s="6" t="s">
        <v>865</v>
      </c>
      <c r="J1381" s="61">
        <v>62</v>
      </c>
      <c r="K1381" s="61">
        <v>73</v>
      </c>
      <c r="L1381" s="100">
        <v>1</v>
      </c>
      <c r="M1381" s="59">
        <v>1</v>
      </c>
      <c r="N1381" s="5" t="s">
        <v>347</v>
      </c>
      <c r="O1381" s="5" t="s">
        <v>347</v>
      </c>
      <c r="P1381" s="5">
        <v>0</v>
      </c>
      <c r="Q1381" s="5">
        <v>0</v>
      </c>
      <c r="R1381" s="5" t="str">
        <f>A1381&amp;"-"&amp;YEAR(F1381)&amp;"-"&amp;IF(LEN(MONTH(F1381))=1,"0"&amp;MONTH(F1381),MONTH(F1381))&amp;"-"&amp;IF(LEN(DAY(F1381))=1,"0"&amp;DAY(F1381),DAY(F1381))</f>
        <v>416.1-2025-06-30</v>
      </c>
    </row>
    <row r="1382" spans="1:18" x14ac:dyDescent="0.3">
      <c r="A1382" s="26" t="s">
        <v>648</v>
      </c>
      <c r="B1382" s="23" t="s">
        <v>900</v>
      </c>
      <c r="C1382" s="5" t="s">
        <v>315</v>
      </c>
      <c r="D1382" s="5" t="s">
        <v>11</v>
      </c>
      <c r="E1382" s="5" t="s">
        <v>9</v>
      </c>
      <c r="F1382" s="6">
        <v>45838</v>
      </c>
      <c r="G1382" s="5">
        <v>2025</v>
      </c>
      <c r="H1382" s="5" t="s">
        <v>763</v>
      </c>
      <c r="I1382" s="6" t="s">
        <v>865</v>
      </c>
      <c r="J1382" s="61">
        <v>99</v>
      </c>
      <c r="K1382" s="61">
        <v>66</v>
      </c>
      <c r="L1382" s="100">
        <v>0.66666666666666663</v>
      </c>
      <c r="M1382" s="59">
        <v>0.66666666666666663</v>
      </c>
      <c r="N1382" s="5" t="s">
        <v>347</v>
      </c>
      <c r="O1382" s="5" t="s">
        <v>347</v>
      </c>
      <c r="P1382" s="5">
        <v>0</v>
      </c>
      <c r="Q1382" s="5">
        <v>0</v>
      </c>
      <c r="R1382" s="5" t="str">
        <f>A1382&amp;"-"&amp;YEAR(F1382)&amp;"-"&amp;IF(LEN(MONTH(F1382))=1,"0"&amp;MONTH(F1382),MONTH(F1382))&amp;"-"&amp;IF(LEN(DAY(F1382))=1,"0"&amp;DAY(F1382),DAY(F1382))</f>
        <v>416.2-2025-06-30</v>
      </c>
    </row>
    <row r="1383" spans="1:18" x14ac:dyDescent="0.3">
      <c r="A1383" s="26" t="s">
        <v>649</v>
      </c>
      <c r="B1383" s="23" t="s">
        <v>901</v>
      </c>
      <c r="C1383" s="5" t="s">
        <v>274</v>
      </c>
      <c r="D1383" s="5" t="s">
        <v>11</v>
      </c>
      <c r="E1383" s="5" t="s">
        <v>9</v>
      </c>
      <c r="F1383" s="6">
        <v>45838</v>
      </c>
      <c r="G1383" s="5">
        <v>2025</v>
      </c>
      <c r="H1383" s="5" t="s">
        <v>763</v>
      </c>
      <c r="I1383" s="6" t="s">
        <v>865</v>
      </c>
      <c r="J1383" s="61">
        <v>40</v>
      </c>
      <c r="K1383" s="61">
        <v>40</v>
      </c>
      <c r="L1383" s="100">
        <v>1</v>
      </c>
      <c r="M1383" s="59">
        <v>1</v>
      </c>
      <c r="N1383" s="5" t="s">
        <v>347</v>
      </c>
      <c r="O1383" s="5" t="s">
        <v>347</v>
      </c>
      <c r="P1383" s="5">
        <v>0</v>
      </c>
      <c r="Q1383" s="5">
        <v>0</v>
      </c>
      <c r="R1383" s="5" t="str">
        <f>A1383&amp;"-"&amp;YEAR(F1383)&amp;"-"&amp;IF(LEN(MONTH(F1383))=1,"0"&amp;MONTH(F1383),MONTH(F1383))&amp;"-"&amp;IF(LEN(DAY(F1383))=1,"0"&amp;DAY(F1383),DAY(F1383))</f>
        <v>416.3-2025-06-30</v>
      </c>
    </row>
    <row r="1384" spans="1:18" x14ac:dyDescent="0.3">
      <c r="A1384" s="26" t="s">
        <v>650</v>
      </c>
      <c r="B1384" s="23" t="s">
        <v>902</v>
      </c>
      <c r="C1384" s="5" t="s">
        <v>274</v>
      </c>
      <c r="D1384" s="5" t="s">
        <v>11</v>
      </c>
      <c r="E1384" s="5" t="s">
        <v>9</v>
      </c>
      <c r="F1384" s="6">
        <v>45838</v>
      </c>
      <c r="G1384" s="5">
        <v>2025</v>
      </c>
      <c r="H1384" s="5" t="s">
        <v>763</v>
      </c>
      <c r="I1384" s="6" t="s">
        <v>865</v>
      </c>
      <c r="J1384" s="61">
        <v>58</v>
      </c>
      <c r="K1384" s="61">
        <v>100</v>
      </c>
      <c r="L1384" s="100">
        <v>1</v>
      </c>
      <c r="M1384" s="59">
        <v>1</v>
      </c>
      <c r="N1384" s="5" t="s">
        <v>347</v>
      </c>
      <c r="O1384" s="5" t="s">
        <v>347</v>
      </c>
      <c r="P1384" s="5">
        <v>0</v>
      </c>
      <c r="Q1384" s="5">
        <v>0</v>
      </c>
      <c r="R1384" s="5" t="str">
        <f>A1384&amp;"-"&amp;YEAR(F1384)&amp;"-"&amp;IF(LEN(MONTH(F1384))=1,"0"&amp;MONTH(F1384),MONTH(F1384))&amp;"-"&amp;IF(LEN(DAY(F1384))=1,"0"&amp;DAY(F1384),DAY(F1384))</f>
        <v>416.4-2025-06-30</v>
      </c>
    </row>
    <row r="1385" spans="1:18" x14ac:dyDescent="0.3">
      <c r="A1385" s="26" t="s">
        <v>651</v>
      </c>
      <c r="B1385" s="23" t="s">
        <v>903</v>
      </c>
      <c r="C1385" s="5" t="s">
        <v>315</v>
      </c>
      <c r="D1385" s="5" t="s">
        <v>11</v>
      </c>
      <c r="E1385" s="5" t="s">
        <v>9</v>
      </c>
      <c r="F1385" s="6">
        <v>45838</v>
      </c>
      <c r="G1385" s="5">
        <v>2025</v>
      </c>
      <c r="H1385" s="5" t="s">
        <v>763</v>
      </c>
      <c r="I1385" s="6" t="s">
        <v>865</v>
      </c>
      <c r="J1385" s="61">
        <v>53</v>
      </c>
      <c r="K1385" s="61">
        <v>51</v>
      </c>
      <c r="L1385" s="100">
        <v>0.96226415094339623</v>
      </c>
      <c r="M1385" s="59">
        <v>0.96226415094339623</v>
      </c>
      <c r="N1385" s="5" t="s">
        <v>347</v>
      </c>
      <c r="O1385" s="5" t="s">
        <v>347</v>
      </c>
      <c r="P1385" s="5">
        <v>0</v>
      </c>
      <c r="Q1385" s="5">
        <v>0</v>
      </c>
      <c r="R1385" s="5" t="str">
        <f>A1385&amp;"-"&amp;YEAR(F1385)&amp;"-"&amp;IF(LEN(MONTH(F1385))=1,"0"&amp;MONTH(F1385),MONTH(F1385))&amp;"-"&amp;IF(LEN(DAY(F1385))=1,"0"&amp;DAY(F1385),DAY(F1385))</f>
        <v>416.5-2025-06-30</v>
      </c>
    </row>
    <row r="1386" spans="1:18" x14ac:dyDescent="0.3">
      <c r="A1386" s="26" t="s">
        <v>652</v>
      </c>
      <c r="B1386" s="23" t="s">
        <v>904</v>
      </c>
      <c r="C1386" s="5" t="s">
        <v>315</v>
      </c>
      <c r="D1386" s="5" t="s">
        <v>11</v>
      </c>
      <c r="E1386" s="5" t="s">
        <v>9</v>
      </c>
      <c r="F1386" s="6">
        <v>45838</v>
      </c>
      <c r="G1386" s="5">
        <v>2025</v>
      </c>
      <c r="H1386" s="5" t="s">
        <v>763</v>
      </c>
      <c r="I1386" s="6" t="s">
        <v>865</v>
      </c>
      <c r="J1386" s="61">
        <v>100</v>
      </c>
      <c r="K1386" s="61">
        <v>80</v>
      </c>
      <c r="L1386" s="100">
        <v>0.8</v>
      </c>
      <c r="M1386" s="59">
        <v>0.8</v>
      </c>
      <c r="N1386" s="5" t="s">
        <v>347</v>
      </c>
      <c r="O1386" s="5" t="s">
        <v>347</v>
      </c>
      <c r="P1386" s="5">
        <v>0</v>
      </c>
      <c r="Q1386" s="5">
        <v>0</v>
      </c>
      <c r="R1386" s="5" t="str">
        <f>A1386&amp;"-"&amp;YEAR(F1386)&amp;"-"&amp;IF(LEN(MONTH(F1386))=1,"0"&amp;MONTH(F1386),MONTH(F1386))&amp;"-"&amp;IF(LEN(DAY(F1386))=1,"0"&amp;DAY(F1386),DAY(F1386))</f>
        <v>416.6-2025-06-30</v>
      </c>
    </row>
    <row r="1387" spans="1:18" x14ac:dyDescent="0.3">
      <c r="A1387" s="26" t="s">
        <v>653</v>
      </c>
      <c r="B1387" s="23" t="s">
        <v>577</v>
      </c>
      <c r="C1387" s="5" t="s">
        <v>231</v>
      </c>
      <c r="D1387" s="5" t="s">
        <v>11</v>
      </c>
      <c r="E1387" s="5" t="s">
        <v>9</v>
      </c>
      <c r="F1387" s="6">
        <v>45838</v>
      </c>
      <c r="G1387" s="16">
        <v>2025</v>
      </c>
      <c r="H1387" s="6" t="s">
        <v>763</v>
      </c>
      <c r="I1387" s="6" t="s">
        <v>865</v>
      </c>
      <c r="J1387" s="5">
        <v>67</v>
      </c>
      <c r="K1387" s="5">
        <v>79</v>
      </c>
      <c r="L1387" s="15">
        <v>1</v>
      </c>
      <c r="M1387" s="15">
        <v>1</v>
      </c>
      <c r="N1387" s="5" t="s">
        <v>347</v>
      </c>
      <c r="O1387" s="5" t="s">
        <v>347</v>
      </c>
      <c r="P1387" s="5">
        <v>0</v>
      </c>
      <c r="Q1387" s="5">
        <v>0</v>
      </c>
      <c r="R1387" s="5" t="str">
        <f>A1387&amp;"-"&amp;YEAR(F1387)&amp;"-"&amp;IF(LEN(MONTH(F1387))=1,"0"&amp;MONTH(F1387),MONTH(F1387))&amp;"-"&amp;IF(LEN(DAY(F1387))=1,"0"&amp;DAY(F1387),DAY(F1387))</f>
        <v>417.1-2025-06-30</v>
      </c>
    </row>
    <row r="1388" spans="1:18" x14ac:dyDescent="0.3">
      <c r="A1388" s="26" t="s">
        <v>654</v>
      </c>
      <c r="B1388" s="23" t="s">
        <v>578</v>
      </c>
      <c r="C1388" s="5" t="s">
        <v>43</v>
      </c>
      <c r="D1388" s="5" t="s">
        <v>11</v>
      </c>
      <c r="E1388" s="5" t="s">
        <v>9</v>
      </c>
      <c r="F1388" s="6">
        <v>45838</v>
      </c>
      <c r="G1388" s="16">
        <v>2025</v>
      </c>
      <c r="H1388" s="6" t="s">
        <v>763</v>
      </c>
      <c r="I1388" s="6" t="s">
        <v>865</v>
      </c>
      <c r="J1388" s="5">
        <v>72</v>
      </c>
      <c r="K1388" s="5">
        <v>64</v>
      </c>
      <c r="L1388" s="15">
        <v>0.88888888888888884</v>
      </c>
      <c r="M1388" s="15">
        <v>0.88888888888888884</v>
      </c>
      <c r="N1388" s="5" t="s">
        <v>347</v>
      </c>
      <c r="O1388" s="5" t="s">
        <v>347</v>
      </c>
      <c r="P1388" s="5">
        <v>0</v>
      </c>
      <c r="Q1388" s="5">
        <v>0</v>
      </c>
      <c r="R1388" s="5" t="str">
        <f>A1388&amp;"-"&amp;YEAR(F1388)&amp;"-"&amp;IF(LEN(MONTH(F1388))=1,"0"&amp;MONTH(F1388),MONTH(F1388))&amp;"-"&amp;IF(LEN(DAY(F1388))=1,"0"&amp;DAY(F1388),DAY(F1388))</f>
        <v>417.2-2025-06-30</v>
      </c>
    </row>
    <row r="1389" spans="1:18" x14ac:dyDescent="0.3">
      <c r="A1389" s="26" t="s">
        <v>655</v>
      </c>
      <c r="B1389" s="23" t="s">
        <v>579</v>
      </c>
      <c r="C1389" s="5" t="s">
        <v>84</v>
      </c>
      <c r="D1389" s="5" t="s">
        <v>11</v>
      </c>
      <c r="E1389" s="5" t="s">
        <v>9</v>
      </c>
      <c r="F1389" s="6">
        <v>45838</v>
      </c>
      <c r="G1389" s="16">
        <v>2025</v>
      </c>
      <c r="H1389" s="6" t="s">
        <v>763</v>
      </c>
      <c r="I1389" s="6" t="s">
        <v>865</v>
      </c>
      <c r="J1389" s="11">
        <v>75</v>
      </c>
      <c r="K1389" s="5">
        <v>84</v>
      </c>
      <c r="L1389" s="15">
        <v>1</v>
      </c>
      <c r="M1389" s="15">
        <v>1</v>
      </c>
      <c r="N1389" s="5" t="s">
        <v>347</v>
      </c>
      <c r="O1389" s="5" t="s">
        <v>347</v>
      </c>
      <c r="P1389" s="5">
        <v>0</v>
      </c>
      <c r="Q1389" s="5">
        <v>0</v>
      </c>
      <c r="R1389" s="5" t="str">
        <f>A1389&amp;"-"&amp;YEAR(F1389)&amp;"-"&amp;IF(LEN(MONTH(F1389))=1,"0"&amp;MONTH(F1389),MONTH(F1389))&amp;"-"&amp;IF(LEN(DAY(F1389))=1,"0"&amp;DAY(F1389),DAY(F1389))</f>
        <v>417.3-2025-06-30</v>
      </c>
    </row>
    <row r="1390" spans="1:18" x14ac:dyDescent="0.3">
      <c r="A1390" s="26" t="s">
        <v>656</v>
      </c>
      <c r="B1390" s="23" t="s">
        <v>657</v>
      </c>
      <c r="C1390" s="5" t="s">
        <v>185</v>
      </c>
      <c r="D1390" s="5" t="s">
        <v>11</v>
      </c>
      <c r="E1390" s="5" t="s">
        <v>9</v>
      </c>
      <c r="F1390" s="6">
        <v>45838</v>
      </c>
      <c r="G1390" s="16">
        <v>2025</v>
      </c>
      <c r="H1390" s="6" t="s">
        <v>763</v>
      </c>
      <c r="I1390" s="6" t="s">
        <v>865</v>
      </c>
      <c r="J1390" s="5">
        <v>54</v>
      </c>
      <c r="K1390" s="5">
        <v>48</v>
      </c>
      <c r="L1390" s="15">
        <v>0.88888888888888884</v>
      </c>
      <c r="M1390" s="15">
        <v>0.88888888888888884</v>
      </c>
      <c r="N1390" s="5" t="s">
        <v>347</v>
      </c>
      <c r="O1390" s="5" t="s">
        <v>347</v>
      </c>
      <c r="P1390" s="5">
        <v>0</v>
      </c>
      <c r="Q1390" s="5">
        <v>0</v>
      </c>
      <c r="R1390" s="5" t="str">
        <f>A1390&amp;"-"&amp;YEAR(F1390)&amp;"-"&amp;IF(LEN(MONTH(F1390))=1,"0"&amp;MONTH(F1390),MONTH(F1390))&amp;"-"&amp;IF(LEN(DAY(F1390))=1,"0"&amp;DAY(F1390),DAY(F1390))</f>
        <v>417.4-2025-06-30</v>
      </c>
    </row>
    <row r="1391" spans="1:18" x14ac:dyDescent="0.3">
      <c r="A1391" s="26" t="s">
        <v>659</v>
      </c>
      <c r="B1391" s="23" t="s">
        <v>658</v>
      </c>
      <c r="C1391" s="5" t="s">
        <v>7</v>
      </c>
      <c r="D1391" s="5" t="s">
        <v>11</v>
      </c>
      <c r="E1391" s="5" t="s">
        <v>9</v>
      </c>
      <c r="F1391" s="6">
        <v>45838</v>
      </c>
      <c r="G1391" s="16">
        <v>2025</v>
      </c>
      <c r="H1391" s="6" t="s">
        <v>763</v>
      </c>
      <c r="I1391" s="6" t="s">
        <v>865</v>
      </c>
      <c r="J1391" s="5">
        <v>55</v>
      </c>
      <c r="K1391" s="5">
        <v>50</v>
      </c>
      <c r="L1391" s="15">
        <v>0.90909090909090906</v>
      </c>
      <c r="M1391" s="15">
        <v>0.90909090909090906</v>
      </c>
      <c r="N1391" s="5" t="s">
        <v>347</v>
      </c>
      <c r="O1391" s="5" t="s">
        <v>347</v>
      </c>
      <c r="P1391" s="5">
        <v>0</v>
      </c>
      <c r="Q1391" s="5">
        <v>0</v>
      </c>
      <c r="R1391" s="5" t="str">
        <f>A1391&amp;"-"&amp;YEAR(F1391)&amp;"-"&amp;IF(LEN(MONTH(F1391))=1,"0"&amp;MONTH(F1391),MONTH(F1391))&amp;"-"&amp;IF(LEN(DAY(F1391))=1,"0"&amp;DAY(F1391),DAY(F1391))</f>
        <v>417.5-2025-06-30</v>
      </c>
    </row>
    <row r="1392" spans="1:18" x14ac:dyDescent="0.3">
      <c r="A1392" s="26" t="s">
        <v>704</v>
      </c>
      <c r="B1392" s="23" t="s">
        <v>580</v>
      </c>
      <c r="C1392" s="5"/>
      <c r="D1392" s="5" t="s">
        <v>11</v>
      </c>
      <c r="E1392" s="5" t="s">
        <v>9</v>
      </c>
      <c r="F1392" s="6">
        <v>45838</v>
      </c>
      <c r="G1392" s="16">
        <v>2025</v>
      </c>
      <c r="H1392" s="6" t="s">
        <v>763</v>
      </c>
      <c r="I1392" s="6" t="s">
        <v>865</v>
      </c>
      <c r="J1392" s="5">
        <v>55</v>
      </c>
      <c r="K1392" s="5">
        <v>60</v>
      </c>
      <c r="L1392" s="15">
        <v>1</v>
      </c>
      <c r="M1392" s="15">
        <v>1</v>
      </c>
      <c r="N1392" s="5" t="s">
        <v>347</v>
      </c>
      <c r="O1392" s="5" t="s">
        <v>347</v>
      </c>
      <c r="P1392" s="5">
        <v>0</v>
      </c>
      <c r="Q1392" s="5">
        <v>0</v>
      </c>
      <c r="R1392" s="5" t="str">
        <f>A1392&amp;"-"&amp;YEAR(F1392)&amp;"-"&amp;IF(LEN(MONTH(F1392))=1,"0"&amp;MONTH(F1392),MONTH(F1392))&amp;"-"&amp;IF(LEN(DAY(F1392))=1,"0"&amp;DAY(F1392),DAY(F1392))</f>
        <v>417.6-2025-06-30</v>
      </c>
    </row>
    <row r="1393" spans="1:18" x14ac:dyDescent="0.3">
      <c r="A1393" s="5">
        <v>420</v>
      </c>
      <c r="B1393" s="23" t="s">
        <v>905</v>
      </c>
      <c r="C1393" s="5" t="s">
        <v>131</v>
      </c>
      <c r="D1393" s="5" t="s">
        <v>11</v>
      </c>
      <c r="E1393" s="5" t="s">
        <v>9</v>
      </c>
      <c r="F1393" s="6">
        <v>45838</v>
      </c>
      <c r="G1393" s="16">
        <v>2025</v>
      </c>
      <c r="H1393" s="6" t="s">
        <v>763</v>
      </c>
      <c r="I1393" s="6" t="s">
        <v>865</v>
      </c>
      <c r="J1393">
        <v>46</v>
      </c>
      <c r="K1393">
        <v>51</v>
      </c>
      <c r="L1393" s="15">
        <v>1</v>
      </c>
      <c r="M1393" s="15">
        <v>1</v>
      </c>
      <c r="N1393" s="5" t="s">
        <v>347</v>
      </c>
      <c r="O1393" s="5" t="s">
        <v>347</v>
      </c>
      <c r="P1393" s="5">
        <v>0</v>
      </c>
      <c r="Q1393" s="5">
        <v>0</v>
      </c>
      <c r="R1393" s="5" t="str">
        <f>A1393&amp;"-"&amp;YEAR(F1393)&amp;"-"&amp;IF(LEN(MONTH(F1393))=1,"0"&amp;MONTH(F1393),MONTH(F1393))&amp;"-"&amp;IF(LEN(DAY(F1393))=1,"0"&amp;DAY(F1393),DAY(F1393))</f>
        <v>420-2025-06-30</v>
      </c>
    </row>
    <row r="1394" spans="1:18" x14ac:dyDescent="0.3">
      <c r="A1394" s="5" t="s">
        <v>683</v>
      </c>
      <c r="B1394" s="23" t="s">
        <v>601</v>
      </c>
      <c r="C1394" s="23" t="s">
        <v>601</v>
      </c>
      <c r="D1394" s="5" t="s">
        <v>683</v>
      </c>
      <c r="E1394" s="23" t="s">
        <v>601</v>
      </c>
      <c r="F1394" s="6">
        <v>45838</v>
      </c>
      <c r="G1394" s="16">
        <v>2025</v>
      </c>
      <c r="H1394" s="6" t="s">
        <v>763</v>
      </c>
      <c r="I1394" s="6" t="s">
        <v>865</v>
      </c>
      <c r="J1394">
        <v>58</v>
      </c>
      <c r="K1394">
        <v>54</v>
      </c>
      <c r="L1394" s="15">
        <v>0.93103448275862066</v>
      </c>
      <c r="M1394" s="15">
        <v>0.93103448275862066</v>
      </c>
      <c r="N1394" s="5" t="s">
        <v>347</v>
      </c>
      <c r="O1394" s="5" t="s">
        <v>347</v>
      </c>
      <c r="P1394" s="5">
        <v>0</v>
      </c>
      <c r="Q1394" s="5">
        <v>0</v>
      </c>
      <c r="R1394" s="5" t="str">
        <f>A1394&amp;"-"&amp;YEAR(F1394)&amp;"-"&amp;IF(LEN(MONTH(F1394))=1,"0"&amp;MONTH(F1394),MONTH(F1394))&amp;"-"&amp;IF(LEN(DAY(F1394))=1,"0"&amp;DAY(F1394),DAY(F1394))</f>
        <v>420.1-2025-06-30</v>
      </c>
    </row>
    <row r="1395" spans="1:18" x14ac:dyDescent="0.3">
      <c r="A1395" s="26" t="s">
        <v>684</v>
      </c>
      <c r="B1395" s="23" t="s">
        <v>602</v>
      </c>
      <c r="C1395" s="5" t="s">
        <v>90</v>
      </c>
      <c r="D1395" s="5" t="s">
        <v>11</v>
      </c>
      <c r="E1395" s="5" t="s">
        <v>9</v>
      </c>
      <c r="F1395" s="6">
        <v>45838</v>
      </c>
      <c r="G1395" s="16">
        <v>2025</v>
      </c>
      <c r="H1395" s="6" t="s">
        <v>763</v>
      </c>
      <c r="I1395" s="6" t="s">
        <v>865</v>
      </c>
      <c r="J1395">
        <v>23</v>
      </c>
      <c r="K1395">
        <v>31</v>
      </c>
      <c r="L1395" s="15">
        <v>1</v>
      </c>
      <c r="M1395" s="15">
        <v>1</v>
      </c>
      <c r="N1395" s="5" t="s">
        <v>347</v>
      </c>
      <c r="O1395" s="5" t="s">
        <v>347</v>
      </c>
      <c r="P1395" s="5">
        <v>0</v>
      </c>
      <c r="Q1395" s="5">
        <v>0</v>
      </c>
      <c r="R1395" s="5" t="str">
        <f>A1395&amp;"-"&amp;YEAR(F1395)&amp;"-"&amp;IF(LEN(MONTH(F1395))=1,"0"&amp;MONTH(F1395),MONTH(F1395))&amp;"-"&amp;IF(LEN(DAY(F1395))=1,"0"&amp;DAY(F1395),DAY(F1395))</f>
        <v>420.2-2025-06-30</v>
      </c>
    </row>
    <row r="1396" spans="1:18" x14ac:dyDescent="0.3">
      <c r="A1396" s="5" t="s">
        <v>685</v>
      </c>
      <c r="B1396" s="23" t="s">
        <v>603</v>
      </c>
      <c r="C1396" s="5" t="s">
        <v>182</v>
      </c>
      <c r="D1396" s="5" t="s">
        <v>11</v>
      </c>
      <c r="E1396" s="5" t="s">
        <v>9</v>
      </c>
      <c r="F1396" s="6">
        <v>45838</v>
      </c>
      <c r="G1396" s="16">
        <v>2025</v>
      </c>
      <c r="H1396" s="6" t="s">
        <v>763</v>
      </c>
      <c r="I1396" s="6" t="s">
        <v>865</v>
      </c>
      <c r="J1396">
        <v>56</v>
      </c>
      <c r="K1396">
        <v>64</v>
      </c>
      <c r="L1396" s="15">
        <v>1</v>
      </c>
      <c r="M1396" s="15">
        <v>1</v>
      </c>
      <c r="N1396" s="5" t="s">
        <v>347</v>
      </c>
      <c r="O1396" s="5" t="s">
        <v>347</v>
      </c>
      <c r="P1396" s="5">
        <v>0</v>
      </c>
      <c r="Q1396" s="5">
        <v>0</v>
      </c>
      <c r="R1396" s="5" t="str">
        <f>A1396&amp;"-"&amp;YEAR(F1396)&amp;"-"&amp;IF(LEN(MONTH(F1396))=1,"0"&amp;MONTH(F1396),MONTH(F1396))&amp;"-"&amp;IF(LEN(DAY(F1396))=1,"0"&amp;DAY(F1396),DAY(F1396))</f>
        <v>420.3-2025-06-30</v>
      </c>
    </row>
    <row r="1397" spans="1:18" x14ac:dyDescent="0.3">
      <c r="A1397" s="5" t="s">
        <v>686</v>
      </c>
      <c r="B1397" s="23" t="s">
        <v>606</v>
      </c>
      <c r="C1397" s="5" t="s">
        <v>20</v>
      </c>
      <c r="D1397" s="5" t="s">
        <v>11</v>
      </c>
      <c r="E1397" s="5" t="s">
        <v>9</v>
      </c>
      <c r="F1397" s="6">
        <v>45838</v>
      </c>
      <c r="G1397" s="16">
        <v>2025</v>
      </c>
      <c r="H1397" s="6" t="s">
        <v>763</v>
      </c>
      <c r="I1397" s="6" t="s">
        <v>865</v>
      </c>
      <c r="J1397">
        <v>39</v>
      </c>
      <c r="K1397">
        <v>42</v>
      </c>
      <c r="L1397" s="15">
        <v>1</v>
      </c>
      <c r="M1397" s="15">
        <v>1</v>
      </c>
      <c r="N1397" s="5" t="s">
        <v>347</v>
      </c>
      <c r="O1397" s="5" t="s">
        <v>347</v>
      </c>
      <c r="P1397" s="5">
        <v>0</v>
      </c>
      <c r="Q1397" s="5">
        <v>0</v>
      </c>
      <c r="R1397" s="5" t="str">
        <f>A1397&amp;"-"&amp;YEAR(F1397)&amp;"-"&amp;IF(LEN(MONTH(F1397))=1,"0"&amp;MONTH(F1397),MONTH(F1397))&amp;"-"&amp;IF(LEN(DAY(F1397))=1,"0"&amp;DAY(F1397),DAY(F1397))</f>
        <v>420.4-2025-06-30</v>
      </c>
    </row>
    <row r="1398" spans="1:18" x14ac:dyDescent="0.3">
      <c r="A1398" s="5" t="s">
        <v>687</v>
      </c>
      <c r="B1398" s="23" t="s">
        <v>688</v>
      </c>
      <c r="C1398" s="5" t="s">
        <v>131</v>
      </c>
      <c r="D1398" s="5" t="s">
        <v>11</v>
      </c>
      <c r="E1398" s="5" t="s">
        <v>9</v>
      </c>
      <c r="F1398" s="6">
        <v>45838</v>
      </c>
      <c r="G1398" s="16">
        <v>2025</v>
      </c>
      <c r="H1398" s="6" t="s">
        <v>763</v>
      </c>
      <c r="I1398" s="6" t="s">
        <v>865</v>
      </c>
      <c r="J1398">
        <v>68.72</v>
      </c>
      <c r="K1398">
        <v>68.39</v>
      </c>
      <c r="L1398" s="15">
        <v>0.99519790454016299</v>
      </c>
      <c r="M1398" s="15">
        <v>0.99519790454016299</v>
      </c>
      <c r="N1398" s="5" t="s">
        <v>347</v>
      </c>
      <c r="O1398" s="5" t="s">
        <v>347</v>
      </c>
      <c r="P1398" s="5">
        <v>0</v>
      </c>
      <c r="Q1398" s="5">
        <v>0</v>
      </c>
      <c r="R1398" s="5" t="str">
        <f>A1398&amp;"-"&amp;YEAR(F1398)&amp;"-"&amp;IF(LEN(MONTH(F1398))=1,"0"&amp;MONTH(F1398),MONTH(F1398))&amp;"-"&amp;IF(LEN(DAY(F1398))=1,"0"&amp;DAY(F1398),DAY(F1398))</f>
        <v>420.5-2025-06-30</v>
      </c>
    </row>
    <row r="1399" spans="1:18" x14ac:dyDescent="0.3">
      <c r="A1399" s="26" t="s">
        <v>717</v>
      </c>
      <c r="B1399" s="23" t="s">
        <v>689</v>
      </c>
      <c r="C1399" s="5" t="s">
        <v>716</v>
      </c>
      <c r="D1399" s="5" t="s">
        <v>11</v>
      </c>
      <c r="E1399" s="5" t="s">
        <v>9</v>
      </c>
      <c r="F1399" s="6">
        <v>45838</v>
      </c>
      <c r="G1399" s="16">
        <v>2025</v>
      </c>
      <c r="H1399" s="6" t="s">
        <v>763</v>
      </c>
      <c r="I1399" s="6" t="s">
        <v>865</v>
      </c>
      <c r="J1399" s="5">
        <v>57</v>
      </c>
      <c r="K1399" s="5">
        <v>58</v>
      </c>
      <c r="L1399" s="15">
        <v>1</v>
      </c>
      <c r="M1399" s="15">
        <v>1</v>
      </c>
      <c r="N1399" s="5" t="s">
        <v>347</v>
      </c>
      <c r="O1399" s="5" t="s">
        <v>347</v>
      </c>
      <c r="P1399" s="5">
        <v>0</v>
      </c>
      <c r="Q1399" s="5">
        <v>0</v>
      </c>
      <c r="R1399" s="5" t="str">
        <f>A1399&amp;"-"&amp;YEAR(F1399)&amp;"-"&amp;IF(LEN(MONTH(F1399))=1,"0"&amp;MONTH(F1399),MONTH(F1399))&amp;"-"&amp;IF(LEN(DAY(F1399))=1,"0"&amp;DAY(F1399),DAY(F1399))</f>
        <v>420.6-2025-06-30</v>
      </c>
    </row>
    <row r="1400" spans="1:18" x14ac:dyDescent="0.3">
      <c r="A1400" s="5">
        <v>469</v>
      </c>
      <c r="B1400" s="5" t="s">
        <v>312</v>
      </c>
      <c r="C1400" s="5" t="s">
        <v>131</v>
      </c>
      <c r="D1400" s="5" t="s">
        <v>11</v>
      </c>
      <c r="E1400" s="5" t="s">
        <v>9</v>
      </c>
      <c r="F1400" s="6">
        <v>45838</v>
      </c>
      <c r="G1400" s="16">
        <v>2025</v>
      </c>
      <c r="H1400" s="6" t="s">
        <v>763</v>
      </c>
      <c r="I1400" s="6" t="s">
        <v>865</v>
      </c>
      <c r="J1400" s="5">
        <v>100</v>
      </c>
      <c r="K1400" s="5">
        <v>103.52</v>
      </c>
      <c r="L1400" s="15">
        <v>1</v>
      </c>
      <c r="M1400" s="15">
        <v>1</v>
      </c>
      <c r="N1400" s="5" t="s">
        <v>347</v>
      </c>
      <c r="O1400" s="5" t="s">
        <v>347</v>
      </c>
      <c r="P1400" s="5">
        <v>0</v>
      </c>
      <c r="Q1400" s="5">
        <v>0</v>
      </c>
      <c r="R1400" s="5" t="str">
        <f>A1400&amp;"-"&amp;YEAR(F1400)&amp;"-"&amp;IF(LEN(MONTH(F1400))=1,"0"&amp;MONTH(F1400),MONTH(F1400))&amp;"-"&amp;IF(LEN(DAY(F1400))=1,"0"&amp;DAY(F1400),DAY(F1400))</f>
        <v>469-2025-06-30</v>
      </c>
    </row>
    <row r="1401" spans="1:18" x14ac:dyDescent="0.3">
      <c r="A1401" s="26" t="s">
        <v>682</v>
      </c>
      <c r="B1401" s="23" t="s">
        <v>672</v>
      </c>
      <c r="C1401" s="5" t="s">
        <v>410</v>
      </c>
      <c r="D1401" s="5" t="s">
        <v>11</v>
      </c>
      <c r="E1401" s="5" t="s">
        <v>9</v>
      </c>
      <c r="F1401" s="6">
        <v>45838</v>
      </c>
      <c r="G1401" s="16">
        <v>2025</v>
      </c>
      <c r="H1401" s="6" t="s">
        <v>763</v>
      </c>
      <c r="I1401" s="6" t="s">
        <v>865</v>
      </c>
      <c r="J1401" s="5">
        <v>54</v>
      </c>
      <c r="K1401" s="5">
        <v>50</v>
      </c>
      <c r="L1401" s="15">
        <v>0.92592592592592593</v>
      </c>
      <c r="M1401" s="15">
        <v>0.92592592592592593</v>
      </c>
      <c r="N1401" s="5" t="s">
        <v>347</v>
      </c>
      <c r="O1401" s="5" t="s">
        <v>347</v>
      </c>
      <c r="P1401" s="5">
        <v>0</v>
      </c>
      <c r="Q1401" s="5">
        <v>0</v>
      </c>
      <c r="R1401" s="5" t="str">
        <f>A1401&amp;"-"&amp;YEAR(F1401)&amp;"-"&amp;IF(LEN(MONTH(F1401))=1,"0"&amp;MONTH(F1401),MONTH(F1401))&amp;"-"&amp;IF(LEN(DAY(F1401))=1,"0"&amp;DAY(F1401),DAY(F1401))</f>
        <v>469.10-2025-06-30</v>
      </c>
    </row>
    <row r="1402" spans="1:18" x14ac:dyDescent="0.3">
      <c r="A1402" s="26" t="s">
        <v>674</v>
      </c>
      <c r="B1402" s="23" t="s">
        <v>594</v>
      </c>
      <c r="C1402" s="5" t="s">
        <v>345</v>
      </c>
      <c r="D1402" s="5" t="s">
        <v>11</v>
      </c>
      <c r="E1402" s="5" t="s">
        <v>9</v>
      </c>
      <c r="F1402" s="6">
        <v>45838</v>
      </c>
      <c r="G1402" s="16">
        <v>2025</v>
      </c>
      <c r="H1402" s="6" t="s">
        <v>763</v>
      </c>
      <c r="I1402" s="6" t="s">
        <v>865</v>
      </c>
      <c r="J1402" s="5">
        <v>54</v>
      </c>
      <c r="K1402" s="5">
        <v>62</v>
      </c>
      <c r="L1402" s="15">
        <v>1</v>
      </c>
      <c r="M1402" s="15">
        <v>1</v>
      </c>
      <c r="N1402" s="5" t="s">
        <v>347</v>
      </c>
      <c r="O1402" s="5" t="s">
        <v>347</v>
      </c>
      <c r="P1402" s="5">
        <v>0</v>
      </c>
      <c r="Q1402" s="5">
        <v>0</v>
      </c>
      <c r="R1402" s="5" t="str">
        <f>A1402&amp;"-"&amp;YEAR(F1402)&amp;"-"&amp;IF(LEN(MONTH(F1402))=1,"0"&amp;MONTH(F1402),MONTH(F1402))&amp;"-"&amp;IF(LEN(DAY(F1402))=1,"0"&amp;DAY(F1402),DAY(F1402))</f>
        <v>469.2-2025-06-30</v>
      </c>
    </row>
    <row r="1403" spans="1:18" x14ac:dyDescent="0.3">
      <c r="A1403" s="26" t="s">
        <v>675</v>
      </c>
      <c r="B1403" s="23" t="s">
        <v>669</v>
      </c>
      <c r="C1403" s="5" t="s">
        <v>345</v>
      </c>
      <c r="D1403" s="5" t="s">
        <v>11</v>
      </c>
      <c r="E1403" s="5" t="s">
        <v>9</v>
      </c>
      <c r="F1403" s="6">
        <v>45838</v>
      </c>
      <c r="G1403" s="16">
        <v>2025</v>
      </c>
      <c r="H1403" s="6" t="s">
        <v>763</v>
      </c>
      <c r="I1403" s="6" t="s">
        <v>865</v>
      </c>
      <c r="J1403" s="5">
        <v>50</v>
      </c>
      <c r="K1403" s="5">
        <v>48</v>
      </c>
      <c r="L1403" s="15">
        <v>0.96</v>
      </c>
      <c r="M1403" s="15">
        <v>0.96</v>
      </c>
      <c r="N1403" s="5" t="s">
        <v>347</v>
      </c>
      <c r="O1403" s="5" t="s">
        <v>347</v>
      </c>
      <c r="P1403" s="5">
        <v>0</v>
      </c>
      <c r="Q1403" s="5">
        <v>0</v>
      </c>
      <c r="R1403" s="5" t="str">
        <f>A1403&amp;"-"&amp;YEAR(F1403)&amp;"-"&amp;IF(LEN(MONTH(F1403))=1,"0"&amp;MONTH(F1403),MONTH(F1403))&amp;"-"&amp;IF(LEN(DAY(F1403))=1,"0"&amp;DAY(F1403),DAY(F1403))</f>
        <v>469.3-2025-06-30</v>
      </c>
    </row>
    <row r="1404" spans="1:18" x14ac:dyDescent="0.3">
      <c r="A1404" s="26" t="s">
        <v>676</v>
      </c>
      <c r="B1404" s="23" t="s">
        <v>596</v>
      </c>
      <c r="C1404" s="5" t="s">
        <v>345</v>
      </c>
      <c r="D1404" s="5" t="s">
        <v>11</v>
      </c>
      <c r="E1404" s="5" t="s">
        <v>9</v>
      </c>
      <c r="F1404" s="6">
        <v>45838</v>
      </c>
      <c r="G1404" s="16">
        <v>2025</v>
      </c>
      <c r="H1404" s="6" t="s">
        <v>763</v>
      </c>
      <c r="I1404" s="6" t="s">
        <v>865</v>
      </c>
      <c r="J1404" s="5">
        <v>46</v>
      </c>
      <c r="K1404" s="5">
        <v>52</v>
      </c>
      <c r="L1404" s="15">
        <v>1</v>
      </c>
      <c r="M1404" s="15">
        <v>1</v>
      </c>
      <c r="N1404" s="5" t="s">
        <v>347</v>
      </c>
      <c r="O1404" s="5" t="s">
        <v>347</v>
      </c>
      <c r="P1404" s="5">
        <v>0</v>
      </c>
      <c r="Q1404" s="5">
        <v>0</v>
      </c>
      <c r="R1404" s="5" t="str">
        <f>A1404&amp;"-"&amp;YEAR(F1404)&amp;"-"&amp;IF(LEN(MONTH(F1404))=1,"0"&amp;MONTH(F1404),MONTH(F1404))&amp;"-"&amp;IF(LEN(DAY(F1404))=1,"0"&amp;DAY(F1404),DAY(F1404))</f>
        <v>469.4-2025-06-30</v>
      </c>
    </row>
    <row r="1405" spans="1:18" x14ac:dyDescent="0.3">
      <c r="A1405" s="26" t="s">
        <v>677</v>
      </c>
      <c r="B1405" s="23" t="s">
        <v>597</v>
      </c>
      <c r="C1405" s="5" t="s">
        <v>345</v>
      </c>
      <c r="D1405" s="5" t="s">
        <v>11</v>
      </c>
      <c r="E1405" s="5" t="s">
        <v>9</v>
      </c>
      <c r="F1405" s="6">
        <v>45838</v>
      </c>
      <c r="G1405" s="16">
        <v>2025</v>
      </c>
      <c r="H1405" s="6" t="s">
        <v>763</v>
      </c>
      <c r="I1405" s="6" t="s">
        <v>865</v>
      </c>
      <c r="J1405" s="5">
        <v>52</v>
      </c>
      <c r="K1405" s="5">
        <v>50</v>
      </c>
      <c r="L1405" s="15">
        <v>0.96153846153846156</v>
      </c>
      <c r="M1405" s="15">
        <v>0.96153846153846156</v>
      </c>
      <c r="N1405" s="5" t="s">
        <v>347</v>
      </c>
      <c r="O1405" s="5" t="s">
        <v>347</v>
      </c>
      <c r="P1405" s="5">
        <v>0</v>
      </c>
      <c r="Q1405" s="5">
        <v>0</v>
      </c>
      <c r="R1405" s="5" t="str">
        <f>A1405&amp;"-"&amp;YEAR(F1405)&amp;"-"&amp;IF(LEN(MONTH(F1405))=1,"0"&amp;MONTH(F1405),MONTH(F1405))&amp;"-"&amp;IF(LEN(DAY(F1405))=1,"0"&amp;DAY(F1405),DAY(F1405))</f>
        <v>469.5-2025-06-30</v>
      </c>
    </row>
    <row r="1406" spans="1:18" x14ac:dyDescent="0.3">
      <c r="A1406" s="26" t="s">
        <v>678</v>
      </c>
      <c r="B1406" s="23" t="s">
        <v>598</v>
      </c>
      <c r="C1406" s="5" t="s">
        <v>345</v>
      </c>
      <c r="D1406" s="5" t="s">
        <v>11</v>
      </c>
      <c r="E1406" s="5" t="s">
        <v>9</v>
      </c>
      <c r="F1406" s="6">
        <v>45838</v>
      </c>
      <c r="G1406" s="16">
        <v>2025</v>
      </c>
      <c r="H1406" s="6" t="s">
        <v>763</v>
      </c>
      <c r="I1406" s="6" t="s">
        <v>865</v>
      </c>
      <c r="J1406" s="5">
        <v>61</v>
      </c>
      <c r="K1406" s="5">
        <v>75</v>
      </c>
      <c r="L1406" s="15">
        <v>1</v>
      </c>
      <c r="M1406" s="15">
        <v>1</v>
      </c>
      <c r="N1406" s="5" t="s">
        <v>347</v>
      </c>
      <c r="O1406" s="5" t="s">
        <v>347</v>
      </c>
      <c r="P1406" s="5">
        <v>0</v>
      </c>
      <c r="Q1406" s="5">
        <v>0</v>
      </c>
      <c r="R1406" s="5" t="str">
        <f>A1406&amp;"-"&amp;YEAR(F1406)&amp;"-"&amp;IF(LEN(MONTH(F1406))=1,"0"&amp;MONTH(F1406),MONTH(F1406))&amp;"-"&amp;IF(LEN(DAY(F1406))=1,"0"&amp;DAY(F1406),DAY(F1406))</f>
        <v>469.6-2025-06-30</v>
      </c>
    </row>
    <row r="1407" spans="1:18" x14ac:dyDescent="0.3">
      <c r="A1407" s="26" t="s">
        <v>679</v>
      </c>
      <c r="B1407" s="23" t="s">
        <v>599</v>
      </c>
      <c r="C1407" s="5" t="s">
        <v>345</v>
      </c>
      <c r="D1407" s="5" t="s">
        <v>11</v>
      </c>
      <c r="E1407" s="5" t="s">
        <v>9</v>
      </c>
      <c r="F1407" s="6">
        <v>45838</v>
      </c>
      <c r="G1407" s="16">
        <v>2025</v>
      </c>
      <c r="H1407" s="6" t="s">
        <v>763</v>
      </c>
      <c r="I1407" s="6" t="s">
        <v>865</v>
      </c>
      <c r="J1407" s="5">
        <v>49</v>
      </c>
      <c r="K1407" s="5">
        <v>65</v>
      </c>
      <c r="L1407" s="15">
        <v>1</v>
      </c>
      <c r="M1407" s="15">
        <v>1</v>
      </c>
      <c r="N1407" s="5" t="s">
        <v>347</v>
      </c>
      <c r="O1407" s="5" t="s">
        <v>347</v>
      </c>
      <c r="P1407" s="5">
        <v>0</v>
      </c>
      <c r="Q1407" s="5">
        <v>0</v>
      </c>
      <c r="R1407" s="5" t="str">
        <f>A1407&amp;"-"&amp;YEAR(F1407)&amp;"-"&amp;IF(LEN(MONTH(F1407))=1,"0"&amp;MONTH(F1407),MONTH(F1407))&amp;"-"&amp;IF(LEN(DAY(F1407))=1,"0"&amp;DAY(F1407),DAY(F1407))</f>
        <v>469.7-2025-06-30</v>
      </c>
    </row>
    <row r="1408" spans="1:18" x14ac:dyDescent="0.3">
      <c r="A1408" s="26" t="s">
        <v>680</v>
      </c>
      <c r="B1408" s="23" t="s">
        <v>670</v>
      </c>
      <c r="C1408" s="5" t="s">
        <v>345</v>
      </c>
      <c r="D1408" s="5" t="s">
        <v>11</v>
      </c>
      <c r="E1408" s="5" t="s">
        <v>9</v>
      </c>
      <c r="F1408" s="6">
        <v>45838</v>
      </c>
      <c r="G1408" s="16">
        <v>2025</v>
      </c>
      <c r="H1408" s="6" t="s">
        <v>763</v>
      </c>
      <c r="I1408" s="6" t="s">
        <v>865</v>
      </c>
      <c r="J1408" s="5">
        <v>53</v>
      </c>
      <c r="K1408" s="5">
        <v>43</v>
      </c>
      <c r="L1408" s="15">
        <v>0.81132075471698117</v>
      </c>
      <c r="M1408" s="15">
        <v>0.81132075471698117</v>
      </c>
      <c r="N1408" s="5" t="s">
        <v>347</v>
      </c>
      <c r="O1408" s="5" t="s">
        <v>347</v>
      </c>
      <c r="P1408" s="5">
        <v>0</v>
      </c>
      <c r="Q1408" s="5">
        <v>0</v>
      </c>
      <c r="R1408" s="5" t="str">
        <f>A1408&amp;"-"&amp;YEAR(F1408)&amp;"-"&amp;IF(LEN(MONTH(F1408))=1,"0"&amp;MONTH(F1408),MONTH(F1408))&amp;"-"&amp;IF(LEN(DAY(F1408))=1,"0"&amp;DAY(F1408),DAY(F1408))</f>
        <v>469.8-2025-06-30</v>
      </c>
    </row>
    <row r="1409" spans="1:18" x14ac:dyDescent="0.3">
      <c r="A1409" s="26" t="s">
        <v>681</v>
      </c>
      <c r="B1409" s="23" t="s">
        <v>671</v>
      </c>
      <c r="C1409" s="5" t="s">
        <v>410</v>
      </c>
      <c r="D1409" s="5" t="s">
        <v>11</v>
      </c>
      <c r="E1409" s="5" t="s">
        <v>9</v>
      </c>
      <c r="F1409" s="6">
        <v>45838</v>
      </c>
      <c r="G1409" s="16">
        <v>2025</v>
      </c>
      <c r="H1409" s="6" t="s">
        <v>763</v>
      </c>
      <c r="I1409" s="6" t="s">
        <v>865</v>
      </c>
      <c r="J1409" s="5">
        <v>68</v>
      </c>
      <c r="K1409" s="5">
        <v>56</v>
      </c>
      <c r="L1409" s="15">
        <v>0.82352941176470584</v>
      </c>
      <c r="M1409" s="15">
        <v>0.82352941176470584</v>
      </c>
      <c r="N1409" s="5" t="s">
        <v>347</v>
      </c>
      <c r="O1409" s="5" t="s">
        <v>347</v>
      </c>
      <c r="P1409" s="5">
        <v>0</v>
      </c>
      <c r="Q1409" s="5">
        <v>0</v>
      </c>
      <c r="R1409" s="5" t="str">
        <f>A1409&amp;"-"&amp;YEAR(F1409)&amp;"-"&amp;IF(LEN(MONTH(F1409))=1,"0"&amp;MONTH(F1409),MONTH(F1409))&amp;"-"&amp;IF(LEN(DAY(F1409))=1,"0"&amp;DAY(F1409),DAY(F1409))</f>
        <v>469.9-2025-06-30</v>
      </c>
    </row>
    <row r="1410" spans="1:18" x14ac:dyDescent="0.3">
      <c r="A1410" s="5">
        <v>470</v>
      </c>
      <c r="B1410" s="5" t="s">
        <v>528</v>
      </c>
      <c r="C1410" s="5" t="s">
        <v>131</v>
      </c>
      <c r="D1410" s="5" t="s">
        <v>11</v>
      </c>
      <c r="E1410" s="5" t="s">
        <v>9</v>
      </c>
      <c r="F1410" s="6">
        <v>45838</v>
      </c>
      <c r="G1410" s="16">
        <v>2025</v>
      </c>
      <c r="H1410" s="6" t="s">
        <v>763</v>
      </c>
      <c r="I1410" s="6" t="s">
        <v>865</v>
      </c>
      <c r="J1410" s="5">
        <v>100</v>
      </c>
      <c r="K1410" s="5">
        <v>148.38</v>
      </c>
      <c r="L1410" s="15">
        <v>1</v>
      </c>
      <c r="M1410" s="15">
        <v>1</v>
      </c>
      <c r="N1410" s="5" t="s">
        <v>347</v>
      </c>
      <c r="O1410" s="5" t="s">
        <v>347</v>
      </c>
      <c r="P1410" s="5">
        <v>0</v>
      </c>
      <c r="Q1410" s="5">
        <v>0</v>
      </c>
      <c r="R1410" s="5" t="str">
        <f>A1410&amp;"-"&amp;YEAR(F1410)&amp;"-"&amp;IF(LEN(MONTH(F1410))=1,"0"&amp;MONTH(F1410),MONTH(F1410))&amp;"-"&amp;IF(LEN(DAY(F1410))=1,"0"&amp;DAY(F1410),DAY(F1410))</f>
        <v>470-2025-06-30</v>
      </c>
    </row>
    <row r="1411" spans="1:18" x14ac:dyDescent="0.3">
      <c r="A1411" s="26" t="s">
        <v>696</v>
      </c>
      <c r="B1411" s="23" t="s">
        <v>694</v>
      </c>
      <c r="C1411" s="5" t="s">
        <v>55</v>
      </c>
      <c r="D1411" s="5" t="s">
        <v>11</v>
      </c>
      <c r="E1411" s="5" t="s">
        <v>9</v>
      </c>
      <c r="F1411" s="6">
        <v>45838</v>
      </c>
      <c r="G1411" s="16">
        <v>2025</v>
      </c>
      <c r="H1411" s="6" t="s">
        <v>763</v>
      </c>
      <c r="I1411" s="6" t="s">
        <v>865</v>
      </c>
      <c r="J1411" s="5">
        <v>38</v>
      </c>
      <c r="K1411" s="5">
        <v>38</v>
      </c>
      <c r="L1411" s="15">
        <v>1</v>
      </c>
      <c r="M1411" s="15">
        <v>1</v>
      </c>
      <c r="N1411" s="5" t="s">
        <v>347</v>
      </c>
      <c r="O1411" s="5" t="s">
        <v>347</v>
      </c>
      <c r="P1411" s="5">
        <v>0</v>
      </c>
      <c r="Q1411" s="5">
        <v>0</v>
      </c>
      <c r="R1411" s="5" t="str">
        <f>A1411&amp;"-"&amp;YEAR(F1411)&amp;"-"&amp;IF(LEN(MONTH(F1411))=1,"0"&amp;MONTH(F1411),MONTH(F1411))&amp;"-"&amp;IF(LEN(DAY(F1411))=1,"0"&amp;DAY(F1411),DAY(F1411))</f>
        <v>470.1-2025-06-30</v>
      </c>
    </row>
    <row r="1412" spans="1:18" x14ac:dyDescent="0.3">
      <c r="A1412" s="26" t="s">
        <v>697</v>
      </c>
      <c r="B1412" s="23" t="s">
        <v>693</v>
      </c>
      <c r="C1412" s="5" t="s">
        <v>67</v>
      </c>
      <c r="D1412" s="5" t="s">
        <v>11</v>
      </c>
      <c r="E1412" s="5" t="s">
        <v>9</v>
      </c>
      <c r="F1412" s="6">
        <v>45838</v>
      </c>
      <c r="G1412" s="16">
        <v>2025</v>
      </c>
      <c r="H1412" s="6" t="s">
        <v>763</v>
      </c>
      <c r="I1412" s="6" t="s">
        <v>865</v>
      </c>
      <c r="J1412" s="5">
        <v>37</v>
      </c>
      <c r="K1412" s="5">
        <v>64</v>
      </c>
      <c r="L1412" s="15">
        <v>1</v>
      </c>
      <c r="M1412" s="15">
        <v>1</v>
      </c>
      <c r="N1412" s="5" t="s">
        <v>347</v>
      </c>
      <c r="O1412" s="5" t="s">
        <v>347</v>
      </c>
      <c r="P1412" s="5">
        <v>0</v>
      </c>
      <c r="Q1412" s="5">
        <v>0</v>
      </c>
      <c r="R1412" s="5" t="str">
        <f>A1412&amp;"-"&amp;YEAR(F1412)&amp;"-"&amp;IF(LEN(MONTH(F1412))=1,"0"&amp;MONTH(F1412),MONTH(F1412))&amp;"-"&amp;IF(LEN(DAY(F1412))=1,"0"&amp;DAY(F1412),DAY(F1412))</f>
        <v>470.2-2025-06-30</v>
      </c>
    </row>
    <row r="1413" spans="1:18" x14ac:dyDescent="0.3">
      <c r="A1413" s="26" t="s">
        <v>698</v>
      </c>
      <c r="B1413" s="23" t="s">
        <v>692</v>
      </c>
      <c r="C1413" s="5" t="s">
        <v>152</v>
      </c>
      <c r="D1413" s="5" t="s">
        <v>11</v>
      </c>
      <c r="E1413" s="5" t="s">
        <v>9</v>
      </c>
      <c r="F1413" s="6">
        <v>45838</v>
      </c>
      <c r="G1413" s="16">
        <v>2025</v>
      </c>
      <c r="H1413" s="6" t="s">
        <v>763</v>
      </c>
      <c r="I1413" s="6" t="s">
        <v>865</v>
      </c>
      <c r="J1413" s="5">
        <v>53</v>
      </c>
      <c r="K1413" s="5">
        <v>80</v>
      </c>
      <c r="L1413" s="15">
        <v>1</v>
      </c>
      <c r="M1413" s="15">
        <v>1</v>
      </c>
      <c r="N1413" s="5" t="s">
        <v>347</v>
      </c>
      <c r="O1413" s="5" t="s">
        <v>347</v>
      </c>
      <c r="P1413" s="5">
        <v>0</v>
      </c>
      <c r="Q1413" s="5">
        <v>0</v>
      </c>
      <c r="R1413" s="5" t="str">
        <f>A1413&amp;"-"&amp;YEAR(F1413)&amp;"-"&amp;IF(LEN(MONTH(F1413))=1,"0"&amp;MONTH(F1413),MONTH(F1413))&amp;"-"&amp;IF(LEN(DAY(F1413))=1,"0"&amp;DAY(F1413),DAY(F1413))</f>
        <v>470.3-2025-06-30</v>
      </c>
    </row>
    <row r="1414" spans="1:18" x14ac:dyDescent="0.3">
      <c r="A1414" s="26" t="s">
        <v>699</v>
      </c>
      <c r="B1414" s="23" t="s">
        <v>691</v>
      </c>
      <c r="C1414" s="5" t="s">
        <v>281</v>
      </c>
      <c r="D1414" s="5" t="s">
        <v>11</v>
      </c>
      <c r="E1414" s="5" t="s">
        <v>9</v>
      </c>
      <c r="F1414" s="6">
        <v>45838</v>
      </c>
      <c r="G1414" s="16">
        <v>2025</v>
      </c>
      <c r="H1414" s="6" t="s">
        <v>763</v>
      </c>
      <c r="I1414" s="6" t="s">
        <v>865</v>
      </c>
      <c r="J1414" s="5">
        <v>53</v>
      </c>
      <c r="K1414" s="5">
        <v>43</v>
      </c>
      <c r="L1414" s="15">
        <v>0.81132075471698117</v>
      </c>
      <c r="M1414" s="15">
        <v>0.81132075471698117</v>
      </c>
      <c r="N1414" s="5" t="s">
        <v>347</v>
      </c>
      <c r="O1414" s="5" t="s">
        <v>347</v>
      </c>
      <c r="P1414" s="5">
        <v>0</v>
      </c>
      <c r="Q1414" s="5">
        <v>0</v>
      </c>
      <c r="R1414" s="5" t="str">
        <f>A1414&amp;"-"&amp;YEAR(F1414)&amp;"-"&amp;IF(LEN(MONTH(F1414))=1,"0"&amp;MONTH(F1414),MONTH(F1414))&amp;"-"&amp;IF(LEN(DAY(F1414))=1,"0"&amp;DAY(F1414),DAY(F1414))</f>
        <v>470.4-2025-06-30</v>
      </c>
    </row>
    <row r="1415" spans="1:18" x14ac:dyDescent="0.3">
      <c r="A1415" s="26" t="s">
        <v>700</v>
      </c>
      <c r="B1415" s="23" t="s">
        <v>695</v>
      </c>
      <c r="C1415" s="5" t="s">
        <v>214</v>
      </c>
      <c r="D1415" s="5" t="s">
        <v>11</v>
      </c>
      <c r="E1415" s="5" t="s">
        <v>9</v>
      </c>
      <c r="F1415" s="6">
        <v>45838</v>
      </c>
      <c r="G1415" s="16">
        <v>2025</v>
      </c>
      <c r="H1415" s="6" t="s">
        <v>763</v>
      </c>
      <c r="I1415" s="6" t="s">
        <v>865</v>
      </c>
      <c r="J1415" s="5">
        <v>38</v>
      </c>
      <c r="K1415" s="5">
        <v>90</v>
      </c>
      <c r="L1415" s="15">
        <v>1</v>
      </c>
      <c r="M1415" s="15">
        <v>1</v>
      </c>
      <c r="N1415" s="5" t="s">
        <v>347</v>
      </c>
      <c r="O1415" s="5" t="s">
        <v>347</v>
      </c>
      <c r="P1415" s="5">
        <v>0</v>
      </c>
      <c r="Q1415" s="5">
        <v>0</v>
      </c>
      <c r="R1415" s="5" t="str">
        <f>A1415&amp;"-"&amp;YEAR(F1415)&amp;"-"&amp;IF(LEN(MONTH(F1415))=1,"0"&amp;MONTH(F1415),MONTH(F1415))&amp;"-"&amp;IF(LEN(DAY(F1415))=1,"0"&amp;DAY(F1415),DAY(F1415))</f>
        <v>470.5-2025-06-30</v>
      </c>
    </row>
    <row r="1416" spans="1:18" x14ac:dyDescent="0.3">
      <c r="A1416" s="5">
        <v>471</v>
      </c>
      <c r="B1416" s="5" t="s">
        <v>529</v>
      </c>
      <c r="C1416" s="5" t="s">
        <v>131</v>
      </c>
      <c r="D1416" s="5" t="s">
        <v>11</v>
      </c>
      <c r="E1416" s="5" t="s">
        <v>9</v>
      </c>
      <c r="F1416" s="6">
        <v>45838</v>
      </c>
      <c r="G1416" s="5">
        <v>2025</v>
      </c>
      <c r="H1416" s="5" t="s">
        <v>763</v>
      </c>
      <c r="I1416" s="6" t="s">
        <v>865</v>
      </c>
      <c r="J1416" s="5">
        <v>100</v>
      </c>
      <c r="K1416" s="5">
        <v>94</v>
      </c>
      <c r="L1416" s="15">
        <v>0.94</v>
      </c>
      <c r="M1416" s="15">
        <v>0.94</v>
      </c>
      <c r="N1416" s="5" t="s">
        <v>347</v>
      </c>
      <c r="O1416" s="5" t="s">
        <v>347</v>
      </c>
      <c r="P1416" s="5">
        <v>0</v>
      </c>
      <c r="Q1416" s="5">
        <v>0</v>
      </c>
      <c r="R1416" s="5" t="str">
        <f>A1416&amp;"-"&amp;YEAR(F1416)&amp;"-"&amp;IF(LEN(MONTH(F1416))=1,"0"&amp;MONTH(F1416),MONTH(F1416))&amp;"-"&amp;IF(LEN(DAY(F1416))=1,"0"&amp;DAY(F1416),DAY(F1416))</f>
        <v>471-2025-06-30</v>
      </c>
    </row>
    <row r="1417" spans="1:18" x14ac:dyDescent="0.3">
      <c r="A1417" s="101" t="s">
        <v>803</v>
      </c>
      <c r="B1417" s="23" t="s">
        <v>804</v>
      </c>
      <c r="C1417" s="5" t="s">
        <v>131</v>
      </c>
      <c r="D1417" s="5" t="s">
        <v>11</v>
      </c>
      <c r="E1417" s="5" t="s">
        <v>9</v>
      </c>
      <c r="F1417" s="6">
        <v>45838</v>
      </c>
      <c r="G1417" s="5">
        <v>2025</v>
      </c>
      <c r="H1417" s="5" t="s">
        <v>763</v>
      </c>
      <c r="I1417" s="6" t="s">
        <v>865</v>
      </c>
      <c r="J1417" s="5">
        <v>34</v>
      </c>
      <c r="K1417" s="5">
        <v>34</v>
      </c>
      <c r="L1417" s="15">
        <v>1</v>
      </c>
      <c r="M1417" s="15">
        <v>1</v>
      </c>
      <c r="N1417" s="5" t="s">
        <v>347</v>
      </c>
      <c r="O1417" s="5" t="s">
        <v>347</v>
      </c>
      <c r="P1417" s="5">
        <v>0</v>
      </c>
      <c r="Q1417" s="5">
        <v>0</v>
      </c>
      <c r="R1417" s="5" t="str">
        <f>A1417&amp;"-"&amp;YEAR(F1417)&amp;"-"&amp;IF(LEN(MONTH(F1417))=1,"0"&amp;MONTH(F1417),MONTH(F1417))&amp;"-"&amp;IF(LEN(DAY(F1417))=1,"0"&amp;DAY(F1417),DAY(F1417))</f>
        <v>471.1-2025-06-30</v>
      </c>
    </row>
    <row r="1418" spans="1:18" x14ac:dyDescent="0.3">
      <c r="A1418" s="101" t="s">
        <v>805</v>
      </c>
      <c r="B1418" s="23" t="s">
        <v>806</v>
      </c>
      <c r="C1418" s="5" t="s">
        <v>131</v>
      </c>
      <c r="D1418" s="5" t="s">
        <v>11</v>
      </c>
      <c r="E1418" s="5" t="s">
        <v>9</v>
      </c>
      <c r="F1418" s="6">
        <v>45838</v>
      </c>
      <c r="G1418" s="5">
        <v>2025</v>
      </c>
      <c r="H1418" s="5" t="s">
        <v>763</v>
      </c>
      <c r="I1418" s="6" t="s">
        <v>865</v>
      </c>
      <c r="J1418" s="5">
        <v>30</v>
      </c>
      <c r="K1418" s="5">
        <v>22</v>
      </c>
      <c r="L1418" s="15">
        <v>0.73333333333333328</v>
      </c>
      <c r="M1418" s="15">
        <v>0.73333333333333328</v>
      </c>
      <c r="N1418" s="5" t="s">
        <v>347</v>
      </c>
      <c r="O1418" s="5" t="s">
        <v>347</v>
      </c>
      <c r="P1418" s="5">
        <v>0</v>
      </c>
      <c r="Q1418" s="5">
        <v>0</v>
      </c>
      <c r="R1418" s="5" t="str">
        <f>A1418&amp;"-"&amp;YEAR(F1418)&amp;"-"&amp;IF(LEN(MONTH(F1418))=1,"0"&amp;MONTH(F1418),MONTH(F1418))&amp;"-"&amp;IF(LEN(DAY(F1418))=1,"0"&amp;DAY(F1418),DAY(F1418))</f>
        <v>471.2-2025-06-30</v>
      </c>
    </row>
    <row r="1419" spans="1:18" x14ac:dyDescent="0.3">
      <c r="A1419" s="101" t="s">
        <v>807</v>
      </c>
      <c r="B1419" s="23" t="s">
        <v>808</v>
      </c>
      <c r="C1419" s="5" t="s">
        <v>131</v>
      </c>
      <c r="D1419" s="5" t="s">
        <v>11</v>
      </c>
      <c r="E1419" s="5" t="s">
        <v>9</v>
      </c>
      <c r="F1419" s="6">
        <v>45838</v>
      </c>
      <c r="G1419" s="5">
        <v>2025</v>
      </c>
      <c r="H1419" s="5" t="s">
        <v>763</v>
      </c>
      <c r="I1419" s="6" t="s">
        <v>865</v>
      </c>
      <c r="J1419" s="5">
        <v>50.06</v>
      </c>
      <c r="K1419" s="5">
        <v>50</v>
      </c>
      <c r="L1419" s="15">
        <v>0.99880143827407109</v>
      </c>
      <c r="M1419" s="15">
        <v>0.99880143827407109</v>
      </c>
      <c r="N1419" s="5" t="s">
        <v>347</v>
      </c>
      <c r="O1419" s="5" t="s">
        <v>347</v>
      </c>
      <c r="P1419" s="5">
        <v>0</v>
      </c>
      <c r="Q1419" s="5">
        <v>0</v>
      </c>
      <c r="R1419" s="5" t="str">
        <f>A1419&amp;"-"&amp;YEAR(F1419)&amp;"-"&amp;IF(LEN(MONTH(F1419))=1,"0"&amp;MONTH(F1419),MONTH(F1419))&amp;"-"&amp;IF(LEN(DAY(F1419))=1,"0"&amp;DAY(F1419),DAY(F1419))</f>
        <v>471.3-2025-06-30</v>
      </c>
    </row>
    <row r="1420" spans="1:18" x14ac:dyDescent="0.3">
      <c r="A1420" s="101" t="s">
        <v>816</v>
      </c>
      <c r="B1420" s="23" t="s">
        <v>809</v>
      </c>
      <c r="C1420" s="5" t="s">
        <v>131</v>
      </c>
      <c r="D1420" s="5" t="s">
        <v>11</v>
      </c>
      <c r="E1420" s="5" t="s">
        <v>9</v>
      </c>
      <c r="F1420" s="6">
        <v>45838</v>
      </c>
      <c r="G1420" s="5">
        <v>2025</v>
      </c>
      <c r="H1420" s="5" t="s">
        <v>763</v>
      </c>
      <c r="I1420" s="6" t="s">
        <v>865</v>
      </c>
      <c r="J1420" s="5">
        <v>39</v>
      </c>
      <c r="K1420" s="5">
        <v>34</v>
      </c>
      <c r="L1420" s="15">
        <v>0.87179487179487181</v>
      </c>
      <c r="M1420" s="15">
        <v>0.87179487179487181</v>
      </c>
      <c r="N1420" s="5" t="s">
        <v>347</v>
      </c>
      <c r="O1420" s="5" t="s">
        <v>347</v>
      </c>
      <c r="P1420" s="5">
        <v>0</v>
      </c>
      <c r="Q1420" s="5">
        <v>0</v>
      </c>
      <c r="R1420" s="5" t="str">
        <f>A1420&amp;"-"&amp;YEAR(F1420)&amp;"-"&amp;IF(LEN(MONTH(F1420))=1,"0"&amp;MONTH(F1420),MONTH(F1420))&amp;"-"&amp;IF(LEN(DAY(F1420))=1,"0"&amp;DAY(F1420),DAY(F1420))</f>
        <v>471.7-2025-06-30</v>
      </c>
    </row>
    <row r="1421" spans="1:18" x14ac:dyDescent="0.3">
      <c r="A1421" s="101" t="s">
        <v>810</v>
      </c>
      <c r="B1421" s="23" t="s">
        <v>811</v>
      </c>
      <c r="C1421" s="5" t="s">
        <v>131</v>
      </c>
      <c r="D1421" s="5" t="s">
        <v>11</v>
      </c>
      <c r="E1421" s="5" t="s">
        <v>9</v>
      </c>
      <c r="F1421" s="6">
        <v>45838</v>
      </c>
      <c r="G1421" s="5">
        <v>2025</v>
      </c>
      <c r="H1421" s="5" t="s">
        <v>763</v>
      </c>
      <c r="I1421" s="6" t="s">
        <v>865</v>
      </c>
      <c r="J1421" s="5">
        <v>24</v>
      </c>
      <c r="K1421" s="5">
        <v>21</v>
      </c>
      <c r="L1421" s="15">
        <v>0.875</v>
      </c>
      <c r="M1421" s="15">
        <v>0.875</v>
      </c>
      <c r="N1421" s="5" t="s">
        <v>347</v>
      </c>
      <c r="O1421" s="5" t="s">
        <v>347</v>
      </c>
      <c r="P1421" s="5">
        <v>0</v>
      </c>
      <c r="Q1421" s="5">
        <v>0</v>
      </c>
      <c r="R1421" s="5" t="str">
        <f>A1421&amp;"-"&amp;YEAR(F1421)&amp;"-"&amp;IF(LEN(MONTH(F1421))=1,"0"&amp;MONTH(F1421),MONTH(F1421))&amp;"-"&amp;IF(LEN(DAY(F1421))=1,"0"&amp;DAY(F1421),DAY(F1421))</f>
        <v>471.4-2025-06-30</v>
      </c>
    </row>
    <row r="1422" spans="1:18" x14ac:dyDescent="0.3">
      <c r="A1422" s="101" t="s">
        <v>812</v>
      </c>
      <c r="B1422" s="23" t="s">
        <v>813</v>
      </c>
      <c r="C1422" s="5" t="s">
        <v>131</v>
      </c>
      <c r="D1422" s="5" t="s">
        <v>11</v>
      </c>
      <c r="E1422" s="5" t="s">
        <v>9</v>
      </c>
      <c r="F1422" s="6">
        <v>45838</v>
      </c>
      <c r="G1422" s="5">
        <v>2025</v>
      </c>
      <c r="H1422" s="5" t="s">
        <v>763</v>
      </c>
      <c r="I1422" s="6" t="s">
        <v>865</v>
      </c>
      <c r="J1422" s="5">
        <v>23</v>
      </c>
      <c r="K1422" s="5">
        <v>24</v>
      </c>
      <c r="L1422" s="15">
        <v>1</v>
      </c>
      <c r="M1422" s="15">
        <v>1</v>
      </c>
      <c r="N1422" s="5" t="s">
        <v>347</v>
      </c>
      <c r="O1422" s="5" t="s">
        <v>347</v>
      </c>
      <c r="P1422" s="5">
        <v>0</v>
      </c>
      <c r="Q1422" s="5">
        <v>0</v>
      </c>
      <c r="R1422" s="5" t="str">
        <f>A1422&amp;"-"&amp;YEAR(F1422)&amp;"-"&amp;IF(LEN(MONTH(F1422))=1,"0"&amp;MONTH(F1422),MONTH(F1422))&amp;"-"&amp;IF(LEN(DAY(F1422))=1,"0"&amp;DAY(F1422),DAY(F1422))</f>
        <v>471.5-2025-06-30</v>
      </c>
    </row>
    <row r="1423" spans="1:18" x14ac:dyDescent="0.3">
      <c r="A1423" s="101" t="s">
        <v>814</v>
      </c>
      <c r="B1423" s="23" t="s">
        <v>815</v>
      </c>
      <c r="C1423" s="5" t="s">
        <v>131</v>
      </c>
      <c r="D1423" s="5" t="s">
        <v>11</v>
      </c>
      <c r="E1423" s="5" t="s">
        <v>9</v>
      </c>
      <c r="F1423" s="6">
        <v>45838</v>
      </c>
      <c r="G1423" s="5">
        <v>2025</v>
      </c>
      <c r="H1423" s="5" t="s">
        <v>763</v>
      </c>
      <c r="I1423" s="6" t="s">
        <v>865</v>
      </c>
      <c r="J1423" s="5">
        <v>51</v>
      </c>
      <c r="K1423" s="5">
        <v>54</v>
      </c>
      <c r="L1423" s="15">
        <v>1</v>
      </c>
      <c r="M1423" s="15">
        <v>1</v>
      </c>
      <c r="N1423" s="5" t="s">
        <v>347</v>
      </c>
      <c r="O1423" s="5" t="s">
        <v>347</v>
      </c>
      <c r="P1423" s="5">
        <v>0</v>
      </c>
      <c r="Q1423" s="5">
        <v>0</v>
      </c>
      <c r="R1423" s="5" t="str">
        <f>A1423&amp;"-"&amp;YEAR(F1423)&amp;"-"&amp;IF(LEN(MONTH(F1423))=1,"0"&amp;MONTH(F1423),MONTH(F1423))&amp;"-"&amp;IF(LEN(DAY(F1423))=1,"0"&amp;DAY(F1423),DAY(F1423))</f>
        <v>471.6-2025-06-30</v>
      </c>
    </row>
    <row r="1424" spans="1:18" x14ac:dyDescent="0.3">
      <c r="A1424" s="5">
        <v>199</v>
      </c>
      <c r="B1424" s="5" t="s">
        <v>79</v>
      </c>
      <c r="C1424" s="5" t="s">
        <v>13</v>
      </c>
      <c r="D1424" s="5" t="s">
        <v>8</v>
      </c>
      <c r="E1424" s="5" t="s">
        <v>9</v>
      </c>
      <c r="F1424" s="6">
        <v>45838</v>
      </c>
      <c r="G1424" s="5">
        <v>2025</v>
      </c>
      <c r="H1424" s="5" t="s">
        <v>763</v>
      </c>
      <c r="I1424" s="6" t="s">
        <v>865</v>
      </c>
      <c r="J1424" s="5">
        <v>80</v>
      </c>
      <c r="K1424" s="5">
        <v>92.1</v>
      </c>
      <c r="L1424" s="15">
        <v>1.1512499999999999</v>
      </c>
      <c r="M1424" s="15">
        <v>1.1512499999999999</v>
      </c>
      <c r="N1424" s="5" t="s">
        <v>347</v>
      </c>
      <c r="O1424" s="5" t="s">
        <v>347</v>
      </c>
      <c r="P1424" s="5">
        <v>0</v>
      </c>
      <c r="Q1424" s="5">
        <v>0</v>
      </c>
      <c r="R1424" s="5" t="str">
        <f>A1424&amp;"-"&amp;YEAR(F1424)&amp;"-"&amp;IF(LEN(MONTH(F1424))=1,"0"&amp;MONTH(F1424),MONTH(F1424))&amp;"-"&amp;IF(LEN(DAY(F1424))=1,"0"&amp;DAY(F1424),DAY(F1424))</f>
        <v>199-2025-06-30</v>
      </c>
    </row>
    <row r="1425" spans="1:18" x14ac:dyDescent="0.3">
      <c r="A1425" s="5">
        <v>144</v>
      </c>
      <c r="B1425" s="5" t="s">
        <v>60</v>
      </c>
      <c r="C1425" s="5" t="s">
        <v>59</v>
      </c>
      <c r="D1425" s="5" t="s">
        <v>25</v>
      </c>
      <c r="E1425" s="5" t="s">
        <v>9</v>
      </c>
      <c r="F1425" s="6">
        <v>46022</v>
      </c>
      <c r="G1425" s="5">
        <f t="shared" ref="G1425" si="188">YEAR(F1425)</f>
        <v>2025</v>
      </c>
      <c r="H1425" s="5" t="str">
        <f t="shared" ref="H1425" si="189">PROPER(TEXT(F1425,"mmmm"))</f>
        <v>Diciembre</v>
      </c>
      <c r="I1425" s="6" t="str">
        <f t="shared" ref="I1425" si="190">IF(OR(H1425="Enero",H1425="Febrero",H1425="Marzo",H1425="Abril",H1425="Mayo",H1425="Junio"),G1425&amp;"-1",IF(OR(H1425="Julio",H1425="Agosto",H1425="Septiembre",H1425="Octubre",H1425="Noviembre",H1425="Diciembre"),G1425&amp;"-2"))</f>
        <v>2025-2</v>
      </c>
      <c r="J1425" s="5">
        <v>4</v>
      </c>
      <c r="K1425" s="5">
        <v>1.95</v>
      </c>
      <c r="L1425" s="15">
        <f t="shared" ref="L1425" si="191">IFERROR(IF((K1425/J1425)&gt;1.3,1.3,K1425/J1425),"")</f>
        <v>0.48749999999999999</v>
      </c>
      <c r="M1425" s="15">
        <f t="shared" ref="M1425" si="192">IFERROR(K1425/J1425,"")</f>
        <v>0.48749999999999999</v>
      </c>
      <c r="N1425" s="5" t="s">
        <v>490</v>
      </c>
      <c r="O1425" s="5" t="s">
        <v>478</v>
      </c>
      <c r="P1425" s="5">
        <v>2</v>
      </c>
      <c r="Q1425" s="5">
        <v>2</v>
      </c>
      <c r="R1425" s="5" t="str">
        <f>A1425&amp;"-"&amp;YEAR(F1425)&amp;"-"&amp;IF(LEN(MONTH(F1425))=1,"0"&amp;MONTH(F1425),MONTH(F1425))&amp;"-"&amp;IF(LEN(DAY(F1425))=1,"0"&amp;DAY(F1425),DAY(F1425))</f>
        <v>144-2025-12-31</v>
      </c>
    </row>
  </sheetData>
  <sortState xmlns:xlrd2="http://schemas.microsoft.com/office/spreadsheetml/2017/richdata2" ref="A2:Q1016">
    <sortCondition ref="F2:F1016"/>
    <sortCondition ref="A2:A1016"/>
  </sortState>
  <conditionalFormatting sqref="A22">
    <cfRule type="duplicateValues" dxfId="106" priority="186"/>
    <cfRule type="duplicateValues" dxfId="105" priority="187"/>
    <cfRule type="duplicateValues" dxfId="104" priority="188"/>
  </conditionalFormatting>
  <conditionalFormatting sqref="A23">
    <cfRule type="duplicateValues" dxfId="103" priority="190"/>
  </conditionalFormatting>
  <conditionalFormatting sqref="A605">
    <cfRule type="duplicateValues" dxfId="102" priority="161"/>
    <cfRule type="duplicateValues" dxfId="101" priority="162"/>
    <cfRule type="duplicateValues" dxfId="100" priority="163"/>
    <cfRule type="duplicateValues" dxfId="99" priority="164"/>
  </conditionalFormatting>
  <conditionalFormatting sqref="A910:A918">
    <cfRule type="duplicateValues" dxfId="98" priority="160"/>
  </conditionalFormatting>
  <conditionalFormatting sqref="A958">
    <cfRule type="duplicateValues" dxfId="97" priority="146"/>
    <cfRule type="duplicateValues" dxfId="96" priority="147"/>
  </conditionalFormatting>
  <conditionalFormatting sqref="A1003">
    <cfRule type="duplicateValues" dxfId="95" priority="140"/>
    <cfRule type="duplicateValues" dxfId="94" priority="142"/>
    <cfRule type="duplicateValues" dxfId="93" priority="143"/>
    <cfRule type="duplicateValues" dxfId="92" priority="144"/>
  </conditionalFormatting>
  <conditionalFormatting sqref="A1004">
    <cfRule type="duplicateValues" dxfId="91" priority="134"/>
    <cfRule type="duplicateValues" dxfId="90" priority="136"/>
    <cfRule type="duplicateValues" dxfId="89" priority="137"/>
    <cfRule type="duplicateValues" dxfId="88" priority="138"/>
  </conditionalFormatting>
  <conditionalFormatting sqref="A1005">
    <cfRule type="duplicateValues" dxfId="87" priority="128"/>
    <cfRule type="duplicateValues" dxfId="86" priority="130"/>
    <cfRule type="duplicateValues" dxfId="85" priority="131"/>
    <cfRule type="duplicateValues" dxfId="84" priority="132"/>
  </conditionalFormatting>
  <conditionalFormatting sqref="A1006">
    <cfRule type="duplicateValues" dxfId="83" priority="122"/>
    <cfRule type="duplicateValues" dxfId="82" priority="124"/>
    <cfRule type="duplicateValues" dxfId="81" priority="125"/>
    <cfRule type="duplicateValues" dxfId="80" priority="126"/>
  </conditionalFormatting>
  <conditionalFormatting sqref="A1007">
    <cfRule type="duplicateValues" dxfId="79" priority="116"/>
    <cfRule type="duplicateValues" dxfId="78" priority="118"/>
    <cfRule type="duplicateValues" dxfId="77" priority="119"/>
    <cfRule type="duplicateValues" dxfId="76" priority="120"/>
  </conditionalFormatting>
  <conditionalFormatting sqref="A1008">
    <cfRule type="duplicateValues" dxfId="75" priority="110"/>
    <cfRule type="duplicateValues" dxfId="74" priority="112"/>
    <cfRule type="duplicateValues" dxfId="73" priority="113"/>
    <cfRule type="duplicateValues" dxfId="72" priority="114"/>
  </conditionalFormatting>
  <conditionalFormatting sqref="A1009">
    <cfRule type="duplicateValues" dxfId="71" priority="98"/>
    <cfRule type="duplicateValues" dxfId="70" priority="100"/>
    <cfRule type="duplicateValues" dxfId="69" priority="101"/>
    <cfRule type="duplicateValues" dxfId="68" priority="102"/>
  </conditionalFormatting>
  <conditionalFormatting sqref="A1010">
    <cfRule type="duplicateValues" dxfId="67" priority="92"/>
    <cfRule type="duplicateValues" dxfId="66" priority="94"/>
    <cfRule type="duplicateValues" dxfId="65" priority="95"/>
    <cfRule type="duplicateValues" dxfId="64" priority="96"/>
  </conditionalFormatting>
  <conditionalFormatting sqref="A1011">
    <cfRule type="duplicateValues" dxfId="63" priority="80"/>
    <cfRule type="duplicateValues" dxfId="62" priority="82"/>
    <cfRule type="duplicateValues" dxfId="61" priority="83"/>
    <cfRule type="duplicateValues" dxfId="60" priority="84"/>
  </conditionalFormatting>
  <conditionalFormatting sqref="A1012">
    <cfRule type="duplicateValues" dxfId="59" priority="191"/>
    <cfRule type="duplicateValues" dxfId="58" priority="192"/>
    <cfRule type="duplicateValues" dxfId="57" priority="193"/>
    <cfRule type="duplicateValues" dxfId="56" priority="194"/>
  </conditionalFormatting>
  <conditionalFormatting sqref="A1013">
    <cfRule type="duplicateValues" dxfId="55" priority="56"/>
    <cfRule type="duplicateValues" dxfId="54" priority="58"/>
    <cfRule type="duplicateValues" dxfId="53" priority="59"/>
    <cfRule type="duplicateValues" dxfId="52" priority="60"/>
  </conditionalFormatting>
  <conditionalFormatting sqref="A1016">
    <cfRule type="duplicateValues" dxfId="51" priority="20"/>
    <cfRule type="duplicateValues" dxfId="50" priority="22"/>
    <cfRule type="duplicateValues" dxfId="49" priority="23"/>
    <cfRule type="duplicateValues" dxfId="48" priority="24"/>
  </conditionalFormatting>
  <conditionalFormatting sqref="A1077">
    <cfRule type="duplicateValues" dxfId="47" priority="12"/>
    <cfRule type="duplicateValues" dxfId="46" priority="13"/>
    <cfRule type="duplicateValues" dxfId="45" priority="14"/>
  </conditionalFormatting>
  <conditionalFormatting sqref="A1146">
    <cfRule type="duplicateValues" dxfId="44" priority="8"/>
    <cfRule type="duplicateValues" dxfId="43" priority="9"/>
    <cfRule type="duplicateValues" dxfId="42" priority="10"/>
    <cfRule type="duplicateValues" dxfId="41" priority="11"/>
  </conditionalFormatting>
  <conditionalFormatting sqref="A1173">
    <cfRule type="duplicateValues" dxfId="40" priority="3"/>
    <cfRule type="duplicateValues" dxfId="39" priority="4"/>
    <cfRule type="duplicateValues" dxfId="38" priority="5"/>
  </conditionalFormatting>
  <conditionalFormatting sqref="A1380">
    <cfRule type="duplicateValues" dxfId="37" priority="1"/>
    <cfRule type="duplicateValues" dxfId="36" priority="2"/>
  </conditionalFormatting>
  <conditionalFormatting sqref="B15">
    <cfRule type="duplicateValues" dxfId="35" priority="78"/>
    <cfRule type="duplicateValues" dxfId="34" priority="79"/>
  </conditionalFormatting>
  <conditionalFormatting sqref="B16">
    <cfRule type="duplicateValues" dxfId="33" priority="76"/>
    <cfRule type="duplicateValues" dxfId="32" priority="77"/>
  </conditionalFormatting>
  <conditionalFormatting sqref="B19">
    <cfRule type="duplicateValues" dxfId="31" priority="30"/>
    <cfRule type="duplicateValues" dxfId="30" priority="31"/>
  </conditionalFormatting>
  <conditionalFormatting sqref="B20">
    <cfRule type="duplicateValues" dxfId="29" priority="28"/>
    <cfRule type="duplicateValues" dxfId="28" priority="29"/>
  </conditionalFormatting>
  <conditionalFormatting sqref="B21">
    <cfRule type="duplicateValues" dxfId="27" priority="36"/>
    <cfRule type="duplicateValues" dxfId="26" priority="37"/>
  </conditionalFormatting>
  <conditionalFormatting sqref="B22">
    <cfRule type="duplicateValues" dxfId="25" priority="34"/>
    <cfRule type="duplicateValues" dxfId="24" priority="35"/>
  </conditionalFormatting>
  <conditionalFormatting sqref="B1003">
    <cfRule type="duplicateValues" dxfId="23" priority="141"/>
    <cfRule type="duplicateValues" dxfId="22" priority="145"/>
  </conditionalFormatting>
  <conditionalFormatting sqref="B1004">
    <cfRule type="duplicateValues" dxfId="21" priority="135"/>
    <cfRule type="duplicateValues" dxfId="20" priority="139"/>
  </conditionalFormatting>
  <conditionalFormatting sqref="B1005">
    <cfRule type="duplicateValues" dxfId="19" priority="129"/>
    <cfRule type="duplicateValues" dxfId="18" priority="133"/>
  </conditionalFormatting>
  <conditionalFormatting sqref="B1006">
    <cfRule type="duplicateValues" dxfId="17" priority="123"/>
    <cfRule type="duplicateValues" dxfId="16" priority="127"/>
  </conditionalFormatting>
  <conditionalFormatting sqref="B1007">
    <cfRule type="duplicateValues" dxfId="15" priority="117"/>
    <cfRule type="duplicateValues" dxfId="14" priority="121"/>
  </conditionalFormatting>
  <conditionalFormatting sqref="B1008">
    <cfRule type="duplicateValues" dxfId="13" priority="111"/>
    <cfRule type="duplicateValues" dxfId="12" priority="115"/>
  </conditionalFormatting>
  <conditionalFormatting sqref="B1009">
    <cfRule type="duplicateValues" dxfId="11" priority="99"/>
    <cfRule type="duplicateValues" dxfId="10" priority="103"/>
  </conditionalFormatting>
  <conditionalFormatting sqref="B1010">
    <cfRule type="duplicateValues" dxfId="9" priority="93"/>
    <cfRule type="duplicateValues" dxfId="8" priority="97"/>
  </conditionalFormatting>
  <conditionalFormatting sqref="B1011">
    <cfRule type="duplicateValues" dxfId="7" priority="81"/>
    <cfRule type="duplicateValues" dxfId="6" priority="85"/>
  </conditionalFormatting>
  <conditionalFormatting sqref="B1012">
    <cfRule type="duplicateValues" dxfId="5" priority="195"/>
    <cfRule type="duplicateValues" dxfId="4" priority="196"/>
  </conditionalFormatting>
  <conditionalFormatting sqref="B1016">
    <cfRule type="duplicateValues" dxfId="3" priority="21"/>
    <cfRule type="duplicateValues" dxfId="2" priority="25"/>
  </conditionalFormatting>
  <conditionalFormatting sqref="B1173">
    <cfRule type="duplicateValues" dxfId="1" priority="6"/>
    <cfRule type="duplicateValues" dxfId="0" priority="7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e1f33-0654-4877-a695-74ac1243131b" xsi:nil="true"/>
    <lcf76f155ced4ddcb4097134ff3c332f xmlns="787dcc16-ad9c-4aed-8595-d8b7149448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3553A73F55864994CAF6806DB2233B" ma:contentTypeVersion="15" ma:contentTypeDescription="Crear nuevo documento." ma:contentTypeScope="" ma:versionID="0772d54a1d010170e6fbd4301e22082d">
  <xsd:schema xmlns:xsd="http://www.w3.org/2001/XMLSchema" xmlns:xs="http://www.w3.org/2001/XMLSchema" xmlns:p="http://schemas.microsoft.com/office/2006/metadata/properties" xmlns:ns2="787dcc16-ad9c-4aed-8595-d8b714944830" xmlns:ns3="eb4e1f33-0654-4877-a695-74ac1243131b" targetNamespace="http://schemas.microsoft.com/office/2006/metadata/properties" ma:root="true" ma:fieldsID="d309db89fd7fb813f1d992ce290f04b6" ns2:_="" ns3:_="">
    <xsd:import namespace="787dcc16-ad9c-4aed-8595-d8b714944830"/>
    <xsd:import namespace="eb4e1f33-0654-4877-a695-74ac124313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dcc16-ad9c-4aed-8595-d8b7149448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55b28e8-f6d8-41f4-8dfa-69b184ca5c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e1f33-0654-4877-a695-74ac124313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a4390d4-2628-4064-8b8a-3c2a6eda6940}" ma:internalName="TaxCatchAll" ma:showField="CatchAllData" ma:web="eb4e1f33-0654-4877-a695-74ac124313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2341E7-1C26-47FA-8834-8CFE31E768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CBBBE0-1686-4AC4-9DEE-86E504F957B7}">
  <ds:schemaRefs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2e1e4522-69aa-4722-84bc-71e77db393d9"/>
    <ds:schemaRef ds:uri="db99feaa-0329-41d7-b368-b1960e46cf3e"/>
    <ds:schemaRef ds:uri="http://purl.org/dc/elements/1.1/"/>
    <ds:schemaRef ds:uri="eb4e1f33-0654-4877-a695-74ac1243131b"/>
    <ds:schemaRef ds:uri="787dcc16-ad9c-4aed-8595-d8b714944830"/>
  </ds:schemaRefs>
</ds:datastoreItem>
</file>

<file path=customXml/itemProps3.xml><?xml version="1.0" encoding="utf-8"?>
<ds:datastoreItem xmlns:ds="http://schemas.openxmlformats.org/officeDocument/2006/customXml" ds:itemID="{098DA3FA-DA4B-4F54-A476-F409504F6F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dcc16-ad9c-4aed-8595-d8b714944830"/>
    <ds:schemaRef ds:uri="eb4e1f33-0654-4877-a695-74ac124313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Consolidado Historico</vt:lpstr>
      <vt:lpstr>Consolidado Semestral</vt:lpstr>
      <vt:lpstr>Consolidado Cierres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Licec Ximena Silva Goyeneche</dc:creator>
  <cp:lastModifiedBy>Ximena Silva</cp:lastModifiedBy>
  <dcterms:created xsi:type="dcterms:W3CDTF">2023-08-01T19:57:41Z</dcterms:created>
  <dcterms:modified xsi:type="dcterms:W3CDTF">2026-03-13T01:02:30Z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0x0101004B3553A73F55864994CAF6806DB2233B</vt:lpwstr>
  </property>
  <property fmtid="{D5CDD505-2E9C-101B-9397-08002B2CF9AE}" pid="3" name="MediaServiceImageTags">
    <vt:lpwstr/>
  </property>
</Properties>
</file>