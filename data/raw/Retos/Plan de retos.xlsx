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Retos/"/>
    </mc:Choice>
  </mc:AlternateContent>
  <xr:revisionPtr revIDLastSave="140" documentId="8_{D4183C01-A731-46D5-A9D4-97CA5D131F96}" xr6:coauthVersionLast="47" xr6:coauthVersionMax="47" xr10:uidLastSave="{7E91D01F-EC37-429D-86B8-3109241F88D7}"/>
  <bookViews>
    <workbookView xWindow="-108" yWindow="-108" windowWidth="23256" windowHeight="12456" xr2:uid="{557E1470-D854-4955-8C66-3C30D44953A5}"/>
  </bookViews>
  <sheets>
    <sheet name="Linea" sheetId="1" r:id="rId1"/>
    <sheet name="Objetivo" sheetId="2" r:id="rId2"/>
    <sheet name="Planes" sheetId="3" r:id="rId3"/>
    <sheet name="Are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<sst xmlns="http://schemas.openxmlformats.org/spreadsheetml/2006/main" count="152" uniqueCount="25">
  <si>
    <t>Línea Estratégica</t>
  </si>
  <si>
    <t>Año</t>
  </si>
  <si>
    <t>Meta</t>
  </si>
  <si>
    <t>Ejecución</t>
  </si>
  <si>
    <t>Cumplimiento</t>
  </si>
  <si>
    <t>Calidad</t>
  </si>
  <si>
    <t>Sostenibilidad</t>
  </si>
  <si>
    <t>Transformación Organizacional</t>
  </si>
  <si>
    <t>Expansión</t>
  </si>
  <si>
    <t>Experiencia</t>
  </si>
  <si>
    <t>Educación para toda la vida</t>
  </si>
  <si>
    <t>Objetivo</t>
  </si>
  <si>
    <t>Asegurar la alta calidad a nivel institucional</t>
  </si>
  <si>
    <t>Fortalecer la oferta educativa y la innovación curricular</t>
  </si>
  <si>
    <t>Contribuir a la inclusión, la proyección social y el cuidado del medio ambiente</t>
  </si>
  <si>
    <t>Promover una cultura de optimización de recursos financieros como apalancador de la estrategia</t>
  </si>
  <si>
    <t>Crecer con compromiso social</t>
  </si>
  <si>
    <t>Incursionar en los niveles de educación media y de educación para el trabajo y el desarrollo humano</t>
  </si>
  <si>
    <t>Impulsar y potenciar la educación continua</t>
  </si>
  <si>
    <t>Garantizar una experiencia significativa y de valor agregado a la comunidad Poli</t>
  </si>
  <si>
    <t>Asegurar una arquitectura tecnológica centrada en la experiencia de la comunidad educativa</t>
  </si>
  <si>
    <t>Fortalecer la gestión por procesos y la toma de decisiones basada en el análisis de los datos</t>
  </si>
  <si>
    <t>Contar con un equipo humano feliz y apasionado, que trabaja de forma colaborativa para alcanzar las metas institucionales</t>
  </si>
  <si>
    <t>N°</t>
  </si>
  <si>
    <t>Desglose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</si>
</sst>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\ %;\-0\ %;0\ 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9" fontId="0" fillId="0" borderId="0" xfId="1" applyFont="1"/>
    <xf numFmtId="0" fontId="0" fillId="0" borderId="1" xfId="0" applyBorder="1"/>
    <xf numFmtId="0" fontId="3" fillId="0" borderId="1" xfId="0" applyFont="1" applyBorder="1"/>
    <xf numFmtId="9" fontId="0" fillId="0" borderId="1" xfId="0" applyNumberFormat="1" applyBorder="1"/>
    <xf numFmtId="9" fontId="3" fillId="0" borderId="1" xfId="0" applyNumberFormat="1" applyFont="1" applyBorder="1" applyAlignment="1">
      <alignment horizontal="right"/>
    </xf>
    <xf numFmtId="9" fontId="0" fillId="0" borderId="1" xfId="1" applyFont="1" applyBorder="1"/>
    <xf numFmtId="164" fontId="0" fillId="0" borderId="1" xfId="0" applyNumberFormat="1" applyBorder="1"/>
    <xf numFmtId="0" fontId="3" fillId="0" borderId="2" xfId="0" applyFont="1" applyBorder="1"/>
    <xf numFmtId="9" fontId="0" fillId="0" borderId="3" xfId="1" applyFont="1" applyBorder="1"/>
    <xf numFmtId="0" fontId="2" fillId="2" borderId="4" xfId="0" applyFont="1" applyFill="1" applyBorder="1"/>
    <xf numFmtId="0" fontId="4" fillId="2" borderId="5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0" borderId="7" xfId="0" applyFont="1" applyBorder="1"/>
    <xf numFmtId="0" fontId="3" fillId="0" borderId="8" xfId="0" applyFont="1" applyBorder="1"/>
    <xf numFmtId="9" fontId="0" fillId="0" borderId="8" xfId="0" applyNumberFormat="1" applyBorder="1"/>
    <xf numFmtId="9" fontId="3" fillId="0" borderId="8" xfId="0" applyNumberFormat="1" applyFont="1" applyBorder="1" applyAlignment="1">
      <alignment horizontal="right"/>
    </xf>
    <xf numFmtId="9" fontId="0" fillId="0" borderId="9" xfId="1" applyFont="1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9" fontId="0" fillId="0" borderId="8" xfId="1" applyFont="1" applyBorder="1"/>
  </cellXfs>
  <cellStyles count="2">
    <cellStyle name="Normal" xfId="0" builtinId="0"/>
    <cellStyle name="Porcentaje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E921CB6C-616D-4EDC-B435-F10736C137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56B507-94F7-45AC-A862-EDB1AC90037F}" name="Tabla3" displayName="Tabla3" ref="A1:E25" totalsRowShown="0" headerRowDxfId="18" headerRowBorderDxfId="17" tableBorderDxfId="16" totalsRowBorderDxfId="15">
  <autoFilter ref="A1:E25" xr:uid="{0D56B507-94F7-45AC-A862-EDB1AC90037F}"/>
  <tableColumns count="5">
    <tableColumn id="1" xr3:uid="{8B271B2D-A4E0-422B-BE09-F1E0B81A44F3}" name="Línea Estratégica" dataDxfId="14"/>
    <tableColumn id="2" xr3:uid="{C2649D08-0C0E-4C27-A4AD-536F3275B631}" name="Año" dataDxfId="13"/>
    <tableColumn id="3" xr3:uid="{D949FAD6-480B-4FDA-9AE8-31D46A8ED7B5}" name="Meta" dataDxfId="12"/>
    <tableColumn id="4" xr3:uid="{7663C50E-80CF-4F20-9587-4EAA4F1B329E}" name="Ejecución" dataDxfId="11" dataCellStyle="Porcentaje"/>
    <tableColumn id="5" xr3:uid="{FA88A2D1-6122-4340-9A57-12F7D7AD2114}" name="Cumplimiento" dataDxfId="10" dataCellStyle="Porcentaje">
      <calculatedColumnFormula>IF(D2/C2&gt;1,1,D2/C2)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90347-0855-4383-9569-33279D7F9297}" name="Tabla2" displayName="Tabla2" ref="A1:F45" totalsRowShown="0" headerRowDxfId="9" headerRowBorderDxfId="8" tableBorderDxfId="7" totalsRowBorderDxfId="6">
  <autoFilter ref="A1:F45" xr:uid="{06F90347-0855-4383-9569-33279D7F9297}"/>
  <tableColumns count="6">
    <tableColumn id="1" xr3:uid="{22977429-7756-49B9-8F1C-59D1D94ADD97}" name="Línea Estratégica" dataDxfId="5"/>
    <tableColumn id="2" xr3:uid="{C0147790-F88D-4586-A14D-912D57FA7C78}" name="Objetivo" dataDxfId="4"/>
    <tableColumn id="3" xr3:uid="{0361A927-7B9F-4D80-95CD-00AA32B4B4E9}" name="Año" dataDxfId="3"/>
    <tableColumn id="4" xr3:uid="{6EC61543-8E4A-4D24-A5D7-28C80DC56C56}" name="Meta" dataDxfId="2"/>
    <tableColumn id="5" xr3:uid="{D180F852-CE12-4DC1-8BBC-10FFE646B4E1}" name="Ejecución" dataDxfId="1"/>
    <tableColumn id="6" xr3:uid="{E7063ED5-D130-42FD-A7A0-2D1D9802D166}" name="Cumplimiento" dataDxfId="0" dataCellStyle="Porcentaje">
      <calculatedColumnFormula>IF(E2/D2&gt;1,1,Tabla2[[#This Row],[Ejecución]]/Tabla2[[#This Row],[Meta]])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1E2EEB-A153-4351-825D-DD31E3D95F4E}" name="Tabla1" displayName="Tabla1" ref="A1:C25" totalsRowShown="0">
  <tableColumns count="3">
    <tableColumn id="1" xr3:uid="{FAF0C870-F1EF-4DAF-A0CA-013947A2527F}" name="Año"/>
    <tableColumn id="3" xr3:uid="{F4222E18-D2D2-4FB1-90CC-28583FE1F728}" name="Desglose"/>
    <tableColumn id="2" xr3:uid="{F8D852DD-2136-45BD-93C2-DE2432F9011B}" name="N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859B46-A924-485F-BA67-2AB7CF75A0BD}" name="Tabla4" displayName="Tabla4" ref="A1:B6" totalsRowShown="0">
  <autoFilter ref="A1:B6" xr:uid="{36859B46-A924-485F-BA67-2AB7CF75A0BD}"/>
  <tableColumns count="2">
    <tableColumn id="1" xr3:uid="{97246F26-F740-47DC-A136-932AD3FF683D}" name="Año"/>
    <tableColumn id="2" xr3:uid="{D14DD27A-5F2E-4A19-BD94-2116649FC976}" name="N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B49E-A1AC-4D8D-9BB2-1117821941A9}">
  <dimension ref="A1:G25"/>
  <sheetViews>
    <sheetView tabSelected="1" workbookViewId="0">
      <selection activeCell="A20" sqref="A20"/>
    </sheetView>
  </sheetViews>
  <sheetFormatPr baseColWidth="10" defaultColWidth="11.44140625" defaultRowHeight="14.4" x14ac:dyDescent="0.3"/>
  <cols>
    <col min="1" max="1" width="26.33203125" bestFit="1" customWidth="1"/>
    <col min="2" max="2" width="7.6640625" customWidth="1"/>
    <col min="5" max="5" width="14.88671875" customWidth="1"/>
  </cols>
  <sheetData>
    <row r="1" spans="1:7" x14ac:dyDescent="0.3">
      <c r="A1" s="10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7" x14ac:dyDescent="0.3">
      <c r="A2" s="20" t="s">
        <v>5</v>
      </c>
      <c r="B2" s="2">
        <v>2025</v>
      </c>
      <c r="C2" s="4">
        <v>1</v>
      </c>
      <c r="D2" s="6">
        <v>0.99876373626373605</v>
      </c>
      <c r="E2" s="9">
        <f t="shared" ref="E2:E25" si="0">IF(D2/C2&gt;1,1,D2/C2)</f>
        <v>0.99876373626373605</v>
      </c>
      <c r="F2" s="1"/>
      <c r="G2" s="1"/>
    </row>
    <row r="3" spans="1:7" x14ac:dyDescent="0.3">
      <c r="A3" s="20" t="s">
        <v>6</v>
      </c>
      <c r="B3" s="2">
        <v>2025</v>
      </c>
      <c r="C3" s="4">
        <v>1</v>
      </c>
      <c r="D3" s="7">
        <v>0.99164021164021199</v>
      </c>
      <c r="E3" s="9">
        <f t="shared" si="0"/>
        <v>0.99164021164021199</v>
      </c>
      <c r="F3" s="1"/>
      <c r="G3" s="1"/>
    </row>
    <row r="4" spans="1:7" x14ac:dyDescent="0.3">
      <c r="A4" s="20" t="s">
        <v>7</v>
      </c>
      <c r="B4" s="2">
        <v>2025</v>
      </c>
      <c r="C4" s="4">
        <v>1</v>
      </c>
      <c r="D4" s="6">
        <v>0.99815656565656596</v>
      </c>
      <c r="E4" s="9">
        <f t="shared" si="0"/>
        <v>0.99815656565656596</v>
      </c>
      <c r="F4" s="1"/>
      <c r="G4" s="1"/>
    </row>
    <row r="5" spans="1:7" x14ac:dyDescent="0.3">
      <c r="A5" s="20" t="s">
        <v>8</v>
      </c>
      <c r="B5" s="2">
        <v>2025</v>
      </c>
      <c r="C5" s="4">
        <v>1</v>
      </c>
      <c r="D5" s="6">
        <v>0.99853658536585399</v>
      </c>
      <c r="E5" s="9">
        <f t="shared" si="0"/>
        <v>0.99853658536585399</v>
      </c>
      <c r="F5" s="1"/>
      <c r="G5" s="1"/>
    </row>
    <row r="6" spans="1:7" x14ac:dyDescent="0.3">
      <c r="A6" s="20" t="s">
        <v>9</v>
      </c>
      <c r="B6" s="2">
        <v>2025</v>
      </c>
      <c r="C6" s="4">
        <v>1</v>
      </c>
      <c r="D6" s="6">
        <v>0.99092013888888897</v>
      </c>
      <c r="E6" s="9">
        <f t="shared" si="0"/>
        <v>0.99092013888888897</v>
      </c>
      <c r="F6" s="1"/>
      <c r="G6" s="1"/>
    </row>
    <row r="7" spans="1:7" x14ac:dyDescent="0.3">
      <c r="A7" s="20" t="s">
        <v>10</v>
      </c>
      <c r="B7" s="2">
        <v>2025</v>
      </c>
      <c r="C7" s="4">
        <v>1</v>
      </c>
      <c r="D7" s="6">
        <v>0.97727272727272696</v>
      </c>
      <c r="E7" s="9">
        <f t="shared" si="0"/>
        <v>0.97727272727272696</v>
      </c>
      <c r="F7" s="1"/>
      <c r="G7" s="1"/>
    </row>
    <row r="8" spans="1:7" x14ac:dyDescent="0.3">
      <c r="A8" s="20" t="s">
        <v>5</v>
      </c>
      <c r="B8" s="2">
        <v>2024</v>
      </c>
      <c r="C8" s="4">
        <v>1</v>
      </c>
      <c r="D8" s="6">
        <v>0.98771471471471495</v>
      </c>
      <c r="E8" s="9">
        <f t="shared" si="0"/>
        <v>0.98771471471471495</v>
      </c>
    </row>
    <row r="9" spans="1:7" x14ac:dyDescent="0.3">
      <c r="A9" s="20" t="s">
        <v>6</v>
      </c>
      <c r="B9" s="2">
        <v>2024</v>
      </c>
      <c r="C9" s="4">
        <v>1</v>
      </c>
      <c r="D9" s="7">
        <v>0.96605329457364397</v>
      </c>
      <c r="E9" s="9">
        <f t="shared" si="0"/>
        <v>0.96605329457364397</v>
      </c>
    </row>
    <row r="10" spans="1:7" x14ac:dyDescent="0.3">
      <c r="A10" s="20" t="s">
        <v>7</v>
      </c>
      <c r="B10" s="2">
        <v>2024</v>
      </c>
      <c r="C10" s="4">
        <v>1</v>
      </c>
      <c r="D10" s="6">
        <v>0.985607344632768</v>
      </c>
      <c r="E10" s="9">
        <f t="shared" si="0"/>
        <v>0.985607344632768</v>
      </c>
    </row>
    <row r="11" spans="1:7" x14ac:dyDescent="0.3">
      <c r="A11" s="20" t="s">
        <v>8</v>
      </c>
      <c r="B11" s="2">
        <v>2024</v>
      </c>
      <c r="C11" s="4">
        <v>1</v>
      </c>
      <c r="D11" s="6">
        <v>0.97506976744186002</v>
      </c>
      <c r="E11" s="9">
        <f t="shared" si="0"/>
        <v>0.97506976744186002</v>
      </c>
    </row>
    <row r="12" spans="1:7" x14ac:dyDescent="0.3">
      <c r="A12" s="20" t="s">
        <v>9</v>
      </c>
      <c r="B12" s="2">
        <v>2024</v>
      </c>
      <c r="C12" s="4">
        <v>1</v>
      </c>
      <c r="D12" s="6">
        <v>0.98925490196078403</v>
      </c>
      <c r="E12" s="9">
        <f t="shared" si="0"/>
        <v>0.98925490196078403</v>
      </c>
    </row>
    <row r="13" spans="1:7" x14ac:dyDescent="0.3">
      <c r="A13" s="20" t="s">
        <v>10</v>
      </c>
      <c r="B13" s="2">
        <v>2024</v>
      </c>
      <c r="C13" s="4">
        <v>1</v>
      </c>
      <c r="D13" s="6">
        <v>1</v>
      </c>
      <c r="E13" s="9">
        <f t="shared" si="0"/>
        <v>1</v>
      </c>
    </row>
    <row r="14" spans="1:7" x14ac:dyDescent="0.3">
      <c r="A14" s="20" t="s">
        <v>5</v>
      </c>
      <c r="B14" s="2">
        <v>2023</v>
      </c>
      <c r="C14" s="4">
        <v>1</v>
      </c>
      <c r="D14" s="6">
        <v>0.97313400900900904</v>
      </c>
      <c r="E14" s="9">
        <f t="shared" si="0"/>
        <v>0.97313400900900904</v>
      </c>
    </row>
    <row r="15" spans="1:7" x14ac:dyDescent="0.3">
      <c r="A15" s="20" t="s">
        <v>6</v>
      </c>
      <c r="B15" s="2">
        <v>2023</v>
      </c>
      <c r="C15" s="4">
        <v>1</v>
      </c>
      <c r="D15" s="7">
        <v>0.98857142857142899</v>
      </c>
      <c r="E15" s="9">
        <f t="shared" si="0"/>
        <v>0.98857142857142899</v>
      </c>
    </row>
    <row r="16" spans="1:7" x14ac:dyDescent="0.3">
      <c r="A16" s="20" t="s">
        <v>7</v>
      </c>
      <c r="B16" s="2">
        <v>2023</v>
      </c>
      <c r="C16" s="4">
        <v>1</v>
      </c>
      <c r="D16" s="6">
        <v>0.95625170068027199</v>
      </c>
      <c r="E16" s="9">
        <f t="shared" si="0"/>
        <v>0.95625170068027199</v>
      </c>
    </row>
    <row r="17" spans="1:5" x14ac:dyDescent="0.3">
      <c r="A17" s="20" t="s">
        <v>8</v>
      </c>
      <c r="B17" s="2">
        <v>2023</v>
      </c>
      <c r="C17" s="4">
        <v>1</v>
      </c>
      <c r="D17" s="6">
        <v>0.98229126984127002</v>
      </c>
      <c r="E17" s="9">
        <f t="shared" si="0"/>
        <v>0.98229126984127002</v>
      </c>
    </row>
    <row r="18" spans="1:5" x14ac:dyDescent="0.3">
      <c r="A18" s="20" t="s">
        <v>9</v>
      </c>
      <c r="B18" s="2">
        <v>2023</v>
      </c>
      <c r="C18" s="4">
        <v>1</v>
      </c>
      <c r="D18" s="6">
        <v>0.96579037800687295</v>
      </c>
      <c r="E18" s="9">
        <f t="shared" si="0"/>
        <v>0.96579037800687295</v>
      </c>
    </row>
    <row r="19" spans="1:5" x14ac:dyDescent="0.3">
      <c r="A19" s="19" t="s">
        <v>10</v>
      </c>
      <c r="B19" s="21">
        <v>2023</v>
      </c>
      <c r="C19" s="16">
        <v>1</v>
      </c>
      <c r="D19" s="22">
        <v>0.97948275862069001</v>
      </c>
      <c r="E19" s="9">
        <f t="shared" si="0"/>
        <v>0.97948275862069001</v>
      </c>
    </row>
    <row r="20" spans="1:5" x14ac:dyDescent="0.3">
      <c r="A20" s="20" t="s">
        <v>5</v>
      </c>
      <c r="B20" s="2">
        <v>2026</v>
      </c>
      <c r="C20" s="4">
        <v>0.28000000000000003</v>
      </c>
      <c r="D20" s="6">
        <v>0.32</v>
      </c>
      <c r="E20" s="9">
        <f t="shared" si="0"/>
        <v>1</v>
      </c>
    </row>
    <row r="21" spans="1:5" x14ac:dyDescent="0.3">
      <c r="A21" s="20" t="s">
        <v>6</v>
      </c>
      <c r="B21" s="2">
        <v>2026</v>
      </c>
      <c r="C21" s="4">
        <v>0.32</v>
      </c>
      <c r="D21" s="6">
        <v>0.33</v>
      </c>
      <c r="E21" s="9">
        <f t="shared" si="0"/>
        <v>1</v>
      </c>
    </row>
    <row r="22" spans="1:5" x14ac:dyDescent="0.3">
      <c r="A22" s="20" t="s">
        <v>7</v>
      </c>
      <c r="B22" s="2">
        <v>2026</v>
      </c>
      <c r="C22" s="4">
        <v>0.30399999999999999</v>
      </c>
      <c r="D22" s="6">
        <v>0.28920000000000001</v>
      </c>
      <c r="E22" s="9">
        <f t="shared" si="0"/>
        <v>0.95131578947368423</v>
      </c>
    </row>
    <row r="23" spans="1:5" x14ac:dyDescent="0.3">
      <c r="A23" s="20" t="s">
        <v>8</v>
      </c>
      <c r="B23" s="2">
        <v>2026</v>
      </c>
      <c r="C23" s="4">
        <v>0.31</v>
      </c>
      <c r="D23" s="6">
        <v>0.33</v>
      </c>
      <c r="E23" s="9">
        <f t="shared" si="0"/>
        <v>1</v>
      </c>
    </row>
    <row r="24" spans="1:5" x14ac:dyDescent="0.3">
      <c r="A24" s="20" t="s">
        <v>9</v>
      </c>
      <c r="B24" s="2">
        <v>2026</v>
      </c>
      <c r="C24" s="4">
        <v>0.32</v>
      </c>
      <c r="D24" s="6">
        <v>0.33</v>
      </c>
      <c r="E24" s="9">
        <f t="shared" si="0"/>
        <v>1</v>
      </c>
    </row>
    <row r="25" spans="1:5" x14ac:dyDescent="0.3">
      <c r="A25" s="19" t="s">
        <v>10</v>
      </c>
      <c r="B25" s="2">
        <v>2026</v>
      </c>
      <c r="C25" s="16">
        <v>0.31125000000000003</v>
      </c>
      <c r="D25" s="22">
        <v>0.2472</v>
      </c>
      <c r="E25" s="9">
        <f t="shared" si="0"/>
        <v>0.79421686746987941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B1A2-0D04-49F9-B895-08B6833A3BE4}">
  <dimension ref="A1:F45"/>
  <sheetViews>
    <sheetView topLeftCell="A34" workbookViewId="0">
      <selection activeCell="F1" sqref="F1"/>
    </sheetView>
  </sheetViews>
  <sheetFormatPr baseColWidth="10" defaultColWidth="11.44140625" defaultRowHeight="14.4" x14ac:dyDescent="0.3"/>
  <cols>
    <col min="1" max="1" width="46.88671875" customWidth="1"/>
    <col min="2" max="2" width="33" customWidth="1"/>
    <col min="3" max="3" width="6.33203125" customWidth="1"/>
    <col min="4" max="4" width="7" customWidth="1"/>
    <col min="5" max="5" width="11" customWidth="1"/>
    <col min="6" max="6" width="14.88671875" customWidth="1"/>
  </cols>
  <sheetData>
    <row r="1" spans="1:6" x14ac:dyDescent="0.3">
      <c r="A1" s="10" t="s">
        <v>0</v>
      </c>
      <c r="B1" s="11" t="s">
        <v>11</v>
      </c>
      <c r="C1" s="11" t="s">
        <v>1</v>
      </c>
      <c r="D1" s="12" t="s">
        <v>2</v>
      </c>
      <c r="E1" s="12" t="s">
        <v>3</v>
      </c>
      <c r="F1" s="13" t="s">
        <v>4</v>
      </c>
    </row>
    <row r="2" spans="1:6" x14ac:dyDescent="0.3">
      <c r="A2" s="8" t="s">
        <v>5</v>
      </c>
      <c r="B2" s="3" t="s">
        <v>12</v>
      </c>
      <c r="C2" s="3">
        <v>2025</v>
      </c>
      <c r="D2" s="4">
        <v>1</v>
      </c>
      <c r="E2" s="5">
        <v>1</v>
      </c>
      <c r="F2" s="9">
        <f>IF(E2/D2&gt;1,1,Tabla2[[#This Row],[Ejecución]]/Tabla2[[#This Row],[Meta]])</f>
        <v>1</v>
      </c>
    </row>
    <row r="3" spans="1:6" x14ac:dyDescent="0.3">
      <c r="A3" s="8" t="s">
        <v>5</v>
      </c>
      <c r="B3" s="3" t="s">
        <v>13</v>
      </c>
      <c r="C3" s="3">
        <v>2025</v>
      </c>
      <c r="D3" s="4">
        <v>1</v>
      </c>
      <c r="E3" s="5">
        <v>1</v>
      </c>
      <c r="F3" s="9">
        <f>IF(E3/D3&gt;1,1,Tabla2[[#This Row],[Ejecución]]/Tabla2[[#This Row],[Meta]])</f>
        <v>1</v>
      </c>
    </row>
    <row r="4" spans="1:6" x14ac:dyDescent="0.3">
      <c r="A4" s="8" t="s">
        <v>6</v>
      </c>
      <c r="B4" s="3" t="s">
        <v>14</v>
      </c>
      <c r="C4" s="3">
        <v>2025</v>
      </c>
      <c r="D4" s="4">
        <v>1</v>
      </c>
      <c r="E4" s="5">
        <v>0.96</v>
      </c>
      <c r="F4" s="9">
        <f>IF(E4/D4&gt;1,1,Tabla2[[#This Row],[Ejecución]]/Tabla2[[#This Row],[Meta]])</f>
        <v>0.96</v>
      </c>
    </row>
    <row r="5" spans="1:6" x14ac:dyDescent="0.3">
      <c r="A5" s="8" t="s">
        <v>6</v>
      </c>
      <c r="B5" s="3" t="s">
        <v>15</v>
      </c>
      <c r="C5" s="3">
        <v>2025</v>
      </c>
      <c r="D5" s="4">
        <v>1</v>
      </c>
      <c r="E5" s="5">
        <v>1</v>
      </c>
      <c r="F5" s="9">
        <f>IF(E5/D5&gt;1,1,Tabla2[[#This Row],[Ejecución]]/Tabla2[[#This Row],[Meta]])</f>
        <v>1</v>
      </c>
    </row>
    <row r="6" spans="1:6" x14ac:dyDescent="0.3">
      <c r="A6" s="8" t="s">
        <v>8</v>
      </c>
      <c r="B6" s="3" t="s">
        <v>16</v>
      </c>
      <c r="C6" s="3">
        <v>2025</v>
      </c>
      <c r="D6" s="4">
        <v>1</v>
      </c>
      <c r="E6" s="5">
        <v>1</v>
      </c>
      <c r="F6" s="9">
        <f>IF(E6/D6&gt;1,1,Tabla2[[#This Row],[Ejecución]]/Tabla2[[#This Row],[Meta]])</f>
        <v>1</v>
      </c>
    </row>
    <row r="7" spans="1:6" x14ac:dyDescent="0.3">
      <c r="A7" s="8" t="s">
        <v>10</v>
      </c>
      <c r="B7" s="3" t="s">
        <v>17</v>
      </c>
      <c r="C7" s="3">
        <v>2025</v>
      </c>
      <c r="D7" s="4">
        <v>1</v>
      </c>
      <c r="E7" s="5">
        <v>1</v>
      </c>
      <c r="F7" s="9">
        <f>IF(E7/D7&gt;1,1,Tabla2[[#This Row],[Ejecución]]/Tabla2[[#This Row],[Meta]])</f>
        <v>1</v>
      </c>
    </row>
    <row r="8" spans="1:6" x14ac:dyDescent="0.3">
      <c r="A8" s="8" t="s">
        <v>10</v>
      </c>
      <c r="B8" s="3" t="s">
        <v>18</v>
      </c>
      <c r="C8" s="3">
        <v>2025</v>
      </c>
      <c r="D8" s="4">
        <v>1</v>
      </c>
      <c r="E8" s="5">
        <v>0.98</v>
      </c>
      <c r="F8" s="9">
        <f>IF(E8/D8&gt;1,1,Tabla2[[#This Row],[Ejecución]]/Tabla2[[#This Row],[Meta]])</f>
        <v>0.98</v>
      </c>
    </row>
    <row r="9" spans="1:6" x14ac:dyDescent="0.3">
      <c r="A9" s="8" t="s">
        <v>9</v>
      </c>
      <c r="B9" s="3" t="s">
        <v>19</v>
      </c>
      <c r="C9" s="3">
        <v>2025</v>
      </c>
      <c r="D9" s="4">
        <v>1</v>
      </c>
      <c r="E9" s="5">
        <v>0.99</v>
      </c>
      <c r="F9" s="9">
        <f>IF(E9/D9&gt;1,1,Tabla2[[#This Row],[Ejecución]]/Tabla2[[#This Row],[Meta]])</f>
        <v>0.99</v>
      </c>
    </row>
    <row r="10" spans="1:6" x14ac:dyDescent="0.3">
      <c r="A10" s="8" t="s">
        <v>7</v>
      </c>
      <c r="B10" s="3" t="s">
        <v>20</v>
      </c>
      <c r="C10" s="3">
        <v>2025</v>
      </c>
      <c r="D10" s="4">
        <v>1</v>
      </c>
      <c r="E10" s="5">
        <v>1</v>
      </c>
      <c r="F10" s="9">
        <f>IF(E10/D10&gt;1,1,Tabla2[[#This Row],[Ejecución]]/Tabla2[[#This Row],[Meta]])</f>
        <v>1</v>
      </c>
    </row>
    <row r="11" spans="1:6" x14ac:dyDescent="0.3">
      <c r="A11" s="8" t="s">
        <v>7</v>
      </c>
      <c r="B11" s="3" t="s">
        <v>21</v>
      </c>
      <c r="C11" s="3">
        <v>2025</v>
      </c>
      <c r="D11" s="4">
        <v>1</v>
      </c>
      <c r="E11" s="5">
        <v>1</v>
      </c>
      <c r="F11" s="9">
        <f>IF(E11/D11&gt;1,1,Tabla2[[#This Row],[Ejecución]]/Tabla2[[#This Row],[Meta]])</f>
        <v>1</v>
      </c>
    </row>
    <row r="12" spans="1:6" x14ac:dyDescent="0.3">
      <c r="A12" s="8" t="s">
        <v>7</v>
      </c>
      <c r="B12" s="3" t="s">
        <v>22</v>
      </c>
      <c r="C12" s="3">
        <v>2025</v>
      </c>
      <c r="D12" s="4">
        <v>1</v>
      </c>
      <c r="E12" s="5">
        <v>1</v>
      </c>
      <c r="F12" s="9">
        <f>IF(E12/D12&gt;1,1,Tabla2[[#This Row],[Ejecución]]/Tabla2[[#This Row],[Meta]])</f>
        <v>1</v>
      </c>
    </row>
    <row r="13" spans="1:6" x14ac:dyDescent="0.3">
      <c r="A13" s="8" t="s">
        <v>5</v>
      </c>
      <c r="B13" s="3" t="s">
        <v>12</v>
      </c>
      <c r="C13" s="3">
        <v>2024</v>
      </c>
      <c r="D13" s="4">
        <v>1</v>
      </c>
      <c r="E13" s="5">
        <v>1</v>
      </c>
      <c r="F13" s="9">
        <f>IF(E13/D13&gt;1,1,Tabla2[[#This Row],[Ejecución]]/Tabla2[[#This Row],[Meta]])</f>
        <v>1</v>
      </c>
    </row>
    <row r="14" spans="1:6" x14ac:dyDescent="0.3">
      <c r="A14" s="8" t="s">
        <v>5</v>
      </c>
      <c r="B14" s="3" t="s">
        <v>13</v>
      </c>
      <c r="C14" s="3">
        <v>2024</v>
      </c>
      <c r="D14" s="4">
        <v>1</v>
      </c>
      <c r="E14" s="5">
        <v>0.97</v>
      </c>
      <c r="F14" s="9">
        <f>IF(E14/D14&gt;1,1,Tabla2[[#This Row],[Ejecución]]/Tabla2[[#This Row],[Meta]])</f>
        <v>0.97</v>
      </c>
    </row>
    <row r="15" spans="1:6" x14ac:dyDescent="0.3">
      <c r="A15" s="8" t="s">
        <v>6</v>
      </c>
      <c r="B15" s="3" t="s">
        <v>14</v>
      </c>
      <c r="C15" s="3">
        <v>2024</v>
      </c>
      <c r="D15" s="4">
        <v>1</v>
      </c>
      <c r="E15" s="5">
        <v>0.93</v>
      </c>
      <c r="F15" s="9">
        <f>IF(E15/D15&gt;1,1,Tabla2[[#This Row],[Ejecución]]/Tabla2[[#This Row],[Meta]])</f>
        <v>0.93</v>
      </c>
    </row>
    <row r="16" spans="1:6" x14ac:dyDescent="0.3">
      <c r="A16" s="8" t="s">
        <v>6</v>
      </c>
      <c r="B16" s="3" t="s">
        <v>15</v>
      </c>
      <c r="C16" s="3">
        <v>2024</v>
      </c>
      <c r="D16" s="4">
        <v>1</v>
      </c>
      <c r="E16" s="5">
        <v>0.98</v>
      </c>
      <c r="F16" s="9">
        <f>IF(E16/D16&gt;1,1,Tabla2[[#This Row],[Ejecución]]/Tabla2[[#This Row],[Meta]])</f>
        <v>0.98</v>
      </c>
    </row>
    <row r="17" spans="1:6" x14ac:dyDescent="0.3">
      <c r="A17" s="8" t="s">
        <v>8</v>
      </c>
      <c r="B17" s="3" t="s">
        <v>16</v>
      </c>
      <c r="C17" s="3">
        <v>2024</v>
      </c>
      <c r="D17" s="4">
        <v>1</v>
      </c>
      <c r="E17" s="5">
        <v>0.98</v>
      </c>
      <c r="F17" s="9">
        <f>IF(E17/D17&gt;1,1,Tabla2[[#This Row],[Ejecución]]/Tabla2[[#This Row],[Meta]])</f>
        <v>0.98</v>
      </c>
    </row>
    <row r="18" spans="1:6" x14ac:dyDescent="0.3">
      <c r="A18" s="8" t="s">
        <v>10</v>
      </c>
      <c r="B18" s="3" t="s">
        <v>17</v>
      </c>
      <c r="C18" s="3">
        <v>2024</v>
      </c>
      <c r="D18" s="4">
        <v>1</v>
      </c>
      <c r="E18" s="5">
        <v>1</v>
      </c>
      <c r="F18" s="9">
        <f>IF(E18/D18&gt;1,1,Tabla2[[#This Row],[Ejecución]]/Tabla2[[#This Row],[Meta]])</f>
        <v>1</v>
      </c>
    </row>
    <row r="19" spans="1:6" x14ac:dyDescent="0.3">
      <c r="A19" s="8" t="s">
        <v>10</v>
      </c>
      <c r="B19" s="3" t="s">
        <v>18</v>
      </c>
      <c r="C19" s="3">
        <v>2024</v>
      </c>
      <c r="D19" s="4">
        <v>1</v>
      </c>
      <c r="E19" s="5">
        <v>1</v>
      </c>
      <c r="F19" s="9">
        <f>IF(E19/D19&gt;1,1,Tabla2[[#This Row],[Ejecución]]/Tabla2[[#This Row],[Meta]])</f>
        <v>1</v>
      </c>
    </row>
    <row r="20" spans="1:6" x14ac:dyDescent="0.3">
      <c r="A20" s="8" t="s">
        <v>9</v>
      </c>
      <c r="B20" s="3" t="s">
        <v>19</v>
      </c>
      <c r="C20" s="3">
        <v>2024</v>
      </c>
      <c r="D20" s="4">
        <v>1</v>
      </c>
      <c r="E20" s="5">
        <v>0.99</v>
      </c>
      <c r="F20" s="9">
        <f>IF(E20/D20&gt;1,1,Tabla2[[#This Row],[Ejecución]]/Tabla2[[#This Row],[Meta]])</f>
        <v>0.99</v>
      </c>
    </row>
    <row r="21" spans="1:6" x14ac:dyDescent="0.3">
      <c r="A21" s="8" t="s">
        <v>7</v>
      </c>
      <c r="B21" s="3" t="s">
        <v>20</v>
      </c>
      <c r="C21" s="3">
        <v>2024</v>
      </c>
      <c r="D21" s="4">
        <v>1</v>
      </c>
      <c r="E21" s="5">
        <v>0.99</v>
      </c>
      <c r="F21" s="9">
        <f>IF(E21/D21&gt;1,1,Tabla2[[#This Row],[Ejecución]]/Tabla2[[#This Row],[Meta]])</f>
        <v>0.99</v>
      </c>
    </row>
    <row r="22" spans="1:6" x14ac:dyDescent="0.3">
      <c r="A22" s="8" t="s">
        <v>7</v>
      </c>
      <c r="B22" s="3" t="s">
        <v>21</v>
      </c>
      <c r="C22" s="3">
        <v>2024</v>
      </c>
      <c r="D22" s="4">
        <v>1</v>
      </c>
      <c r="E22" s="5">
        <v>0.98</v>
      </c>
      <c r="F22" s="9">
        <f>IF(E22/D22&gt;1,1,Tabla2[[#This Row],[Ejecución]]/Tabla2[[#This Row],[Meta]])</f>
        <v>0.98</v>
      </c>
    </row>
    <row r="23" spans="1:6" x14ac:dyDescent="0.3">
      <c r="A23" s="8" t="s">
        <v>7</v>
      </c>
      <c r="B23" s="3" t="s">
        <v>22</v>
      </c>
      <c r="C23" s="3">
        <v>2024</v>
      </c>
      <c r="D23" s="4">
        <v>1</v>
      </c>
      <c r="E23" s="5">
        <v>0.99</v>
      </c>
      <c r="F23" s="9">
        <f>IF(E23/D23&gt;1,1,Tabla2[[#This Row],[Ejecución]]/Tabla2[[#This Row],[Meta]])</f>
        <v>0.99</v>
      </c>
    </row>
    <row r="24" spans="1:6" x14ac:dyDescent="0.3">
      <c r="A24" s="8" t="s">
        <v>5</v>
      </c>
      <c r="B24" s="3" t="s">
        <v>12</v>
      </c>
      <c r="C24" s="3">
        <v>2023</v>
      </c>
      <c r="D24" s="4">
        <v>1</v>
      </c>
      <c r="E24" s="5">
        <v>0.96</v>
      </c>
      <c r="F24" s="9">
        <f>IF(E24/D24&gt;1,1,Tabla2[[#This Row],[Ejecución]]/Tabla2[[#This Row],[Meta]])</f>
        <v>0.96</v>
      </c>
    </row>
    <row r="25" spans="1:6" x14ac:dyDescent="0.3">
      <c r="A25" s="8" t="s">
        <v>5</v>
      </c>
      <c r="B25" s="3" t="s">
        <v>13</v>
      </c>
      <c r="C25" s="3">
        <v>2023</v>
      </c>
      <c r="D25" s="4">
        <v>1</v>
      </c>
      <c r="E25" s="5">
        <v>0.98</v>
      </c>
      <c r="F25" s="9">
        <f>IF(E25/D25&gt;1,1,Tabla2[[#This Row],[Ejecución]]/Tabla2[[#This Row],[Meta]])</f>
        <v>0.98</v>
      </c>
    </row>
    <row r="26" spans="1:6" x14ac:dyDescent="0.3">
      <c r="A26" s="8" t="s">
        <v>6</v>
      </c>
      <c r="B26" s="3" t="s">
        <v>14</v>
      </c>
      <c r="C26" s="3">
        <v>2023</v>
      </c>
      <c r="D26" s="4">
        <v>1</v>
      </c>
      <c r="E26" s="5">
        <v>1</v>
      </c>
      <c r="F26" s="9">
        <f>IF(E26/D26&gt;1,1,Tabla2[[#This Row],[Ejecución]]/Tabla2[[#This Row],[Meta]])</f>
        <v>1</v>
      </c>
    </row>
    <row r="27" spans="1:6" x14ac:dyDescent="0.3">
      <c r="A27" s="8" t="s">
        <v>6</v>
      </c>
      <c r="B27" s="3" t="s">
        <v>15</v>
      </c>
      <c r="C27" s="3">
        <v>2023</v>
      </c>
      <c r="D27" s="4">
        <v>1</v>
      </c>
      <c r="E27" s="5">
        <v>0.98</v>
      </c>
      <c r="F27" s="9">
        <f>IF(E27/D27&gt;1,1,Tabla2[[#This Row],[Ejecución]]/Tabla2[[#This Row],[Meta]])</f>
        <v>0.98</v>
      </c>
    </row>
    <row r="28" spans="1:6" x14ac:dyDescent="0.3">
      <c r="A28" s="8" t="s">
        <v>8</v>
      </c>
      <c r="B28" s="3" t="s">
        <v>16</v>
      </c>
      <c r="C28" s="3">
        <v>2023</v>
      </c>
      <c r="D28" s="4">
        <v>1</v>
      </c>
      <c r="E28" s="5">
        <v>0.98</v>
      </c>
      <c r="F28" s="9">
        <f>IF(E28/D28&gt;1,1,Tabla2[[#This Row],[Ejecución]]/Tabla2[[#This Row],[Meta]])</f>
        <v>0.98</v>
      </c>
    </row>
    <row r="29" spans="1:6" x14ac:dyDescent="0.3">
      <c r="A29" s="8" t="s">
        <v>10</v>
      </c>
      <c r="B29" s="3" t="s">
        <v>17</v>
      </c>
      <c r="C29" s="3">
        <v>2023</v>
      </c>
      <c r="D29" s="4">
        <v>1</v>
      </c>
      <c r="E29" s="5">
        <v>0.99</v>
      </c>
      <c r="F29" s="9">
        <f>IF(E29/D29&gt;1,1,Tabla2[[#This Row],[Ejecución]]/Tabla2[[#This Row],[Meta]])</f>
        <v>0.99</v>
      </c>
    </row>
    <row r="30" spans="1:6" x14ac:dyDescent="0.3">
      <c r="A30" s="8" t="s">
        <v>10</v>
      </c>
      <c r="B30" s="3" t="s">
        <v>18</v>
      </c>
      <c r="C30" s="3">
        <v>2023</v>
      </c>
      <c r="D30" s="4">
        <v>1</v>
      </c>
      <c r="E30" s="5">
        <v>0.97</v>
      </c>
      <c r="F30" s="9">
        <f>IF(E30/D30&gt;1,1,Tabla2[[#This Row],[Ejecución]]/Tabla2[[#This Row],[Meta]])</f>
        <v>0.97</v>
      </c>
    </row>
    <row r="31" spans="1:6" x14ac:dyDescent="0.3">
      <c r="A31" s="8" t="s">
        <v>9</v>
      </c>
      <c r="B31" s="3" t="s">
        <v>19</v>
      </c>
      <c r="C31" s="3">
        <v>2023</v>
      </c>
      <c r="D31" s="4">
        <v>1</v>
      </c>
      <c r="E31" s="5">
        <v>0.97</v>
      </c>
      <c r="F31" s="9">
        <f>IF(E31/D31&gt;1,1,Tabla2[[#This Row],[Ejecución]]/Tabla2[[#This Row],[Meta]])</f>
        <v>0.97</v>
      </c>
    </row>
    <row r="32" spans="1:6" x14ac:dyDescent="0.3">
      <c r="A32" s="8" t="s">
        <v>7</v>
      </c>
      <c r="B32" s="3" t="s">
        <v>20</v>
      </c>
      <c r="C32" s="3">
        <v>2023</v>
      </c>
      <c r="D32" s="4">
        <v>1</v>
      </c>
      <c r="E32" s="5">
        <v>0.94</v>
      </c>
      <c r="F32" s="9">
        <f>IF(E32/D32&gt;1,1,Tabla2[[#This Row],[Ejecución]]/Tabla2[[#This Row],[Meta]])</f>
        <v>0.94</v>
      </c>
    </row>
    <row r="33" spans="1:6" x14ac:dyDescent="0.3">
      <c r="A33" s="8" t="s">
        <v>7</v>
      </c>
      <c r="B33" s="3" t="s">
        <v>21</v>
      </c>
      <c r="C33" s="3">
        <v>2023</v>
      </c>
      <c r="D33" s="4">
        <v>1</v>
      </c>
      <c r="E33" s="5">
        <v>0.97</v>
      </c>
      <c r="F33" s="9">
        <f>IF(E33/D33&gt;1,1,Tabla2[[#This Row],[Ejecución]]/Tabla2[[#This Row],[Meta]])</f>
        <v>0.97</v>
      </c>
    </row>
    <row r="34" spans="1:6" x14ac:dyDescent="0.3">
      <c r="A34" s="14" t="s">
        <v>7</v>
      </c>
      <c r="B34" s="15" t="s">
        <v>22</v>
      </c>
      <c r="C34" s="15">
        <v>2023</v>
      </c>
      <c r="D34" s="16">
        <v>1</v>
      </c>
      <c r="E34" s="17">
        <v>0.93</v>
      </c>
      <c r="F34" s="18">
        <f>IF(E34/D34&gt;1,1,Tabla2[[#This Row],[Ejecución]]/Tabla2[[#This Row],[Meta]])</f>
        <v>0.93</v>
      </c>
    </row>
    <row r="35" spans="1:6" x14ac:dyDescent="0.3">
      <c r="A35" s="8" t="s">
        <v>5</v>
      </c>
      <c r="B35" s="3" t="s">
        <v>12</v>
      </c>
      <c r="C35" s="3">
        <v>2026</v>
      </c>
      <c r="D35" s="4">
        <v>0.25</v>
      </c>
      <c r="E35" s="5">
        <v>0.33</v>
      </c>
      <c r="F35" s="9">
        <f>IF(E35/D35&gt;1,1,Tabla2[[#This Row],[Ejecución]]/Tabla2[[#This Row],[Meta]])</f>
        <v>1</v>
      </c>
    </row>
    <row r="36" spans="1:6" x14ac:dyDescent="0.3">
      <c r="A36" s="8" t="s">
        <v>5</v>
      </c>
      <c r="B36" s="3" t="s">
        <v>13</v>
      </c>
      <c r="C36" s="3">
        <v>2026</v>
      </c>
      <c r="D36" s="4">
        <v>0.3</v>
      </c>
      <c r="E36" s="5">
        <v>0.312</v>
      </c>
      <c r="F36" s="9">
        <f>IF(E36/D36&gt;1,1,Tabla2[[#This Row],[Ejecución]]/Tabla2[[#This Row],[Meta]])</f>
        <v>1</v>
      </c>
    </row>
    <row r="37" spans="1:6" x14ac:dyDescent="0.3">
      <c r="A37" s="8" t="s">
        <v>6</v>
      </c>
      <c r="B37" s="3" t="s">
        <v>14</v>
      </c>
      <c r="C37" s="3">
        <v>2026</v>
      </c>
      <c r="D37" s="4">
        <v>0.29599999999999999</v>
      </c>
      <c r="E37" s="5">
        <v>0.3</v>
      </c>
      <c r="F37" s="9">
        <f>IF(E37/D37&gt;1,1,Tabla2[[#This Row],[Ejecución]]/Tabla2[[#This Row],[Meta]])</f>
        <v>1</v>
      </c>
    </row>
    <row r="38" spans="1:6" x14ac:dyDescent="0.3">
      <c r="A38" s="8" t="s">
        <v>6</v>
      </c>
      <c r="B38" s="3" t="s">
        <v>15</v>
      </c>
      <c r="C38" s="3">
        <v>2026</v>
      </c>
      <c r="D38" s="4">
        <v>0.33</v>
      </c>
      <c r="E38" s="5">
        <v>0.35</v>
      </c>
      <c r="F38" s="9">
        <f>IF(E38/D38&gt;1,1,Tabla2[[#This Row],[Ejecución]]/Tabla2[[#This Row],[Meta]])</f>
        <v>1</v>
      </c>
    </row>
    <row r="39" spans="1:6" x14ac:dyDescent="0.3">
      <c r="A39" s="8" t="s">
        <v>8</v>
      </c>
      <c r="B39" s="3" t="s">
        <v>16</v>
      </c>
      <c r="C39" s="3">
        <v>2026</v>
      </c>
      <c r="D39" s="4">
        <v>0.31</v>
      </c>
      <c r="E39" s="5">
        <v>0.33</v>
      </c>
      <c r="F39" s="9">
        <f>IF(E39/D39&gt;1,1,Tabla2[[#This Row],[Ejecución]]/Tabla2[[#This Row],[Meta]])</f>
        <v>1</v>
      </c>
    </row>
    <row r="40" spans="1:6" x14ac:dyDescent="0.3">
      <c r="A40" s="8" t="s">
        <v>10</v>
      </c>
      <c r="B40" s="3" t="s">
        <v>17</v>
      </c>
      <c r="C40" s="3">
        <v>2026</v>
      </c>
      <c r="D40" s="4">
        <v>0.252</v>
      </c>
      <c r="E40" s="5">
        <v>0.25</v>
      </c>
      <c r="F40" s="9">
        <f>IF(E40/D40&gt;1,1,Tabla2[[#This Row],[Ejecución]]/Tabla2[[#This Row],[Meta]])</f>
        <v>0.99206349206349209</v>
      </c>
    </row>
    <row r="41" spans="1:6" x14ac:dyDescent="0.3">
      <c r="A41" s="8" t="s">
        <v>10</v>
      </c>
      <c r="B41" s="3" t="s">
        <v>18</v>
      </c>
      <c r="C41" s="3">
        <v>2026</v>
      </c>
      <c r="D41" s="4">
        <v>0.315</v>
      </c>
      <c r="E41" s="5">
        <v>0.25</v>
      </c>
      <c r="F41" s="9">
        <f>IF(E41/D41&gt;1,1,Tabla2[[#This Row],[Ejecución]]/Tabla2[[#This Row],[Meta]])</f>
        <v>0.79365079365079361</v>
      </c>
    </row>
    <row r="42" spans="1:6" x14ac:dyDescent="0.3">
      <c r="A42" s="8" t="s">
        <v>9</v>
      </c>
      <c r="B42" s="3" t="s">
        <v>19</v>
      </c>
      <c r="C42" s="3">
        <v>2026</v>
      </c>
      <c r="D42" s="4">
        <v>0.32</v>
      </c>
      <c r="E42" s="5">
        <v>0.33</v>
      </c>
      <c r="F42" s="9">
        <f>IF(E42/D42&gt;1,1,Tabla2[[#This Row],[Ejecución]]/Tabla2[[#This Row],[Meta]])</f>
        <v>1</v>
      </c>
    </row>
    <row r="43" spans="1:6" x14ac:dyDescent="0.3">
      <c r="A43" s="8" t="s">
        <v>7</v>
      </c>
      <c r="B43" s="3" t="s">
        <v>20</v>
      </c>
      <c r="C43" s="3">
        <v>2026</v>
      </c>
      <c r="D43" s="4">
        <v>0.26200000000000001</v>
      </c>
      <c r="E43" s="5">
        <v>0.216</v>
      </c>
      <c r="F43" s="9">
        <f>IF(E43/D43&gt;1,1,Tabla2[[#This Row],[Ejecución]]/Tabla2[[#This Row],[Meta]])</f>
        <v>0.82442748091603046</v>
      </c>
    </row>
    <row r="44" spans="1:6" x14ac:dyDescent="0.3">
      <c r="A44" s="8" t="s">
        <v>7</v>
      </c>
      <c r="B44" s="3" t="s">
        <v>21</v>
      </c>
      <c r="C44" s="3">
        <v>2026</v>
      </c>
      <c r="D44" s="4">
        <v>0.35</v>
      </c>
      <c r="E44" s="5">
        <v>0.38</v>
      </c>
      <c r="F44" s="9">
        <f>IF(E44/D44&gt;1,1,Tabla2[[#This Row],[Ejecución]]/Tabla2[[#This Row],[Meta]])</f>
        <v>1</v>
      </c>
    </row>
    <row r="45" spans="1:6" x14ac:dyDescent="0.3">
      <c r="A45" s="14" t="s">
        <v>7</v>
      </c>
      <c r="B45" s="15" t="s">
        <v>22</v>
      </c>
      <c r="C45" s="3">
        <v>2026</v>
      </c>
      <c r="D45" s="16">
        <v>0.28000000000000003</v>
      </c>
      <c r="E45" s="17">
        <v>0.218</v>
      </c>
      <c r="F45" s="18">
        <f>IF(E45/D45&gt;1,1,Tabla2[[#This Row],[Ejecución]]/Tabla2[[#This Row],[Meta]])</f>
        <v>0.77857142857142847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45B9-0154-498C-A9D0-E79BCBDD5F55}">
  <dimension ref="A1:C25"/>
  <sheetViews>
    <sheetView workbookViewId="0">
      <selection activeCell="C2" sqref="C2"/>
    </sheetView>
  </sheetViews>
  <sheetFormatPr baseColWidth="10" defaultColWidth="11.44140625" defaultRowHeight="14.4" x14ac:dyDescent="0.3"/>
  <sheetData>
    <row r="1" spans="1:3" x14ac:dyDescent="0.3">
      <c r="A1" t="s">
        <v>1</v>
      </c>
      <c r="B1" t="s">
        <v>24</v>
      </c>
      <c r="C1" t="s">
        <v>23</v>
      </c>
    </row>
    <row r="2" spans="1:3" x14ac:dyDescent="0.3">
      <c r="A2">
        <v>2023</v>
      </c>
      <c r="B2" t="s">
        <v>5</v>
      </c>
      <c r="C2">
        <v>105</v>
      </c>
    </row>
    <row r="3" spans="1:3" x14ac:dyDescent="0.3">
      <c r="A3">
        <v>2023</v>
      </c>
      <c r="B3" t="s">
        <v>6</v>
      </c>
      <c r="C3">
        <v>32</v>
      </c>
    </row>
    <row r="4" spans="1:3" x14ac:dyDescent="0.3">
      <c r="A4">
        <v>2023</v>
      </c>
      <c r="B4" t="s">
        <v>8</v>
      </c>
      <c r="C4">
        <v>34</v>
      </c>
    </row>
    <row r="5" spans="1:3" x14ac:dyDescent="0.3">
      <c r="A5">
        <v>2023</v>
      </c>
      <c r="B5" t="s">
        <v>10</v>
      </c>
      <c r="C5">
        <v>22</v>
      </c>
    </row>
    <row r="6" spans="1:3" x14ac:dyDescent="0.3">
      <c r="A6">
        <v>2023</v>
      </c>
      <c r="B6" t="s">
        <v>9</v>
      </c>
      <c r="C6">
        <v>70</v>
      </c>
    </row>
    <row r="7" spans="1:3" x14ac:dyDescent="0.3">
      <c r="A7">
        <v>2023</v>
      </c>
      <c r="B7" t="s">
        <v>7</v>
      </c>
      <c r="C7">
        <v>37</v>
      </c>
    </row>
    <row r="8" spans="1:3" x14ac:dyDescent="0.3">
      <c r="A8">
        <v>2024</v>
      </c>
      <c r="B8" t="s">
        <v>5</v>
      </c>
      <c r="C8">
        <v>103</v>
      </c>
    </row>
    <row r="9" spans="1:3" x14ac:dyDescent="0.3">
      <c r="A9">
        <v>2024</v>
      </c>
      <c r="B9" t="s">
        <v>6</v>
      </c>
      <c r="C9">
        <v>42</v>
      </c>
    </row>
    <row r="10" spans="1:3" x14ac:dyDescent="0.3">
      <c r="A10">
        <v>2024</v>
      </c>
      <c r="B10" t="s">
        <v>8</v>
      </c>
      <c r="C10">
        <v>40</v>
      </c>
    </row>
    <row r="11" spans="1:3" x14ac:dyDescent="0.3">
      <c r="A11">
        <v>2024</v>
      </c>
      <c r="B11" t="s">
        <v>10</v>
      </c>
      <c r="C11">
        <v>18</v>
      </c>
    </row>
    <row r="12" spans="1:3" x14ac:dyDescent="0.3">
      <c r="A12">
        <v>2024</v>
      </c>
      <c r="B12" t="s">
        <v>9</v>
      </c>
      <c r="C12">
        <v>108</v>
      </c>
    </row>
    <row r="13" spans="1:3" x14ac:dyDescent="0.3">
      <c r="A13">
        <v>2024</v>
      </c>
      <c r="B13" t="s">
        <v>7</v>
      </c>
      <c r="C13">
        <v>63</v>
      </c>
    </row>
    <row r="14" spans="1:3" x14ac:dyDescent="0.3">
      <c r="A14">
        <v>2025</v>
      </c>
      <c r="B14" t="s">
        <v>5</v>
      </c>
      <c r="C14">
        <v>63</v>
      </c>
    </row>
    <row r="15" spans="1:3" x14ac:dyDescent="0.3">
      <c r="A15">
        <v>2025</v>
      </c>
      <c r="B15" t="s">
        <v>6</v>
      </c>
      <c r="C15">
        <v>49</v>
      </c>
    </row>
    <row r="16" spans="1:3" x14ac:dyDescent="0.3">
      <c r="A16">
        <v>2025</v>
      </c>
      <c r="B16" t="s">
        <v>8</v>
      </c>
      <c r="C16">
        <v>25</v>
      </c>
    </row>
    <row r="17" spans="1:3" x14ac:dyDescent="0.3">
      <c r="A17">
        <v>2025</v>
      </c>
      <c r="B17" t="s">
        <v>10</v>
      </c>
      <c r="C17">
        <v>16</v>
      </c>
    </row>
    <row r="18" spans="1:3" x14ac:dyDescent="0.3">
      <c r="A18">
        <v>2025</v>
      </c>
      <c r="B18" t="s">
        <v>9</v>
      </c>
      <c r="C18">
        <v>76</v>
      </c>
    </row>
    <row r="19" spans="1:3" x14ac:dyDescent="0.3">
      <c r="A19">
        <v>2025</v>
      </c>
      <c r="B19" t="s">
        <v>7</v>
      </c>
      <c r="C19">
        <v>56</v>
      </c>
    </row>
    <row r="20" spans="1:3" x14ac:dyDescent="0.3">
      <c r="A20">
        <v>2026</v>
      </c>
      <c r="B20" t="s">
        <v>5</v>
      </c>
      <c r="C20">
        <v>81</v>
      </c>
    </row>
    <row r="21" spans="1:3" x14ac:dyDescent="0.3">
      <c r="A21">
        <v>2026</v>
      </c>
      <c r="B21" t="s">
        <v>6</v>
      </c>
      <c r="C21">
        <v>29</v>
      </c>
    </row>
    <row r="22" spans="1:3" x14ac:dyDescent="0.3">
      <c r="A22">
        <v>2026</v>
      </c>
      <c r="B22" t="s">
        <v>8</v>
      </c>
      <c r="C22">
        <v>33</v>
      </c>
    </row>
    <row r="23" spans="1:3" x14ac:dyDescent="0.3">
      <c r="A23">
        <v>2026</v>
      </c>
      <c r="B23" t="s">
        <v>10</v>
      </c>
      <c r="C23">
        <v>13</v>
      </c>
    </row>
    <row r="24" spans="1:3" x14ac:dyDescent="0.3">
      <c r="A24">
        <v>2026</v>
      </c>
      <c r="B24" t="s">
        <v>9</v>
      </c>
      <c r="C24">
        <v>69</v>
      </c>
    </row>
    <row r="25" spans="1:3" x14ac:dyDescent="0.3">
      <c r="A25">
        <v>2026</v>
      </c>
      <c r="B25" t="s">
        <v>7</v>
      </c>
      <c r="C25">
        <v>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2421-346E-4A38-9990-7BD73E815025}">
  <dimension ref="A1:B6"/>
  <sheetViews>
    <sheetView workbookViewId="0">
      <selection activeCell="D22" sqref="D22"/>
    </sheetView>
  </sheetViews>
  <sheetFormatPr baseColWidth="10" defaultRowHeight="14.4" x14ac:dyDescent="0.3"/>
  <sheetData>
    <row r="1" spans="1:2" x14ac:dyDescent="0.3">
      <c r="A1" t="s">
        <v>1</v>
      </c>
      <c r="B1" t="s">
        <v>23</v>
      </c>
    </row>
    <row r="2" spans="1:2" x14ac:dyDescent="0.3">
      <c r="A2">
        <v>2022</v>
      </c>
      <c r="B2">
        <v>33</v>
      </c>
    </row>
    <row r="3" spans="1:2" x14ac:dyDescent="0.3">
      <c r="A3">
        <v>2023</v>
      </c>
      <c r="B3">
        <v>55</v>
      </c>
    </row>
    <row r="4" spans="1:2" x14ac:dyDescent="0.3">
      <c r="A4">
        <v>2024</v>
      </c>
      <c r="B4">
        <v>83</v>
      </c>
    </row>
    <row r="5" spans="1:2" x14ac:dyDescent="0.3">
      <c r="A5">
        <v>2025</v>
      </c>
      <c r="B5">
        <v>84</v>
      </c>
    </row>
    <row r="6" spans="1:2" x14ac:dyDescent="0.3">
      <c r="A6">
        <v>2026</v>
      </c>
      <c r="B6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Linea</vt:lpstr>
      <vt:lpstr>Objetivo</vt:lpstr>
      <vt:lpstr>Planes</vt:lpstr>
      <vt:lpstr>Areas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Licec Ximena Silva Goyeneche</dc:creator>
  <cp:keywords/>
  <dc:description/>
  <cp:lastModifiedBy>Ximena Silva</cp:lastModifiedBy>
  <cp:revision/>
  <dcterms:created xsi:type="dcterms:W3CDTF">2026-03-14T22:48:01Z</dcterms:created>
  <dcterms:modified xsi:type="dcterms:W3CDTF">2026-06-27T02:06:29Z</dcterms:modified>
  <cp:category/>
  <cp:contentStatus/>
</cp:coreProperties>
</file>