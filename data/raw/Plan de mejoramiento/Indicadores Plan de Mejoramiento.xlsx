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f15395a9ed9a48f/Proyectos_DS/Sistema_Indicadores_Poli/data/raw/Plan de mejoramiento/"/>
    </mc:Choice>
  </mc:AlternateContent>
  <xr:revisionPtr revIDLastSave="0" documentId="8_{EDBE0DD7-5DF9-4C9A-8F8F-6CDFE6F49D25}" xr6:coauthVersionLast="47" xr6:coauthVersionMax="47" xr10:uidLastSave="{00000000-0000-0000-0000-000000000000}"/>
  <bookViews>
    <workbookView xWindow="-108" yWindow="-108" windowWidth="23256" windowHeight="12456" xr2:uid="{DD3A294A-1D13-4C18-8C58-F237245A6723}"/>
  </bookViews>
  <sheets>
    <sheet name="Indicadores Plan de Mejor" sheetId="1" r:id="rId1"/>
  </sheets>
  <definedNames>
    <definedName name="_xlnm._FilterDatabase" localSheetId="0" hidden="1">'Indicadores Plan de Mejor'!$A$2:$XFA$2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60" i="1" l="1"/>
  <c r="P60" i="1"/>
  <c r="P56" i="1"/>
  <c r="S49" i="1"/>
  <c r="P49" i="1"/>
  <c r="S48" i="1"/>
  <c r="P48" i="1"/>
  <c r="S31" i="1"/>
  <c r="P31" i="1"/>
  <c r="S30" i="1"/>
  <c r="P30" i="1"/>
  <c r="S26" i="1"/>
  <c r="P26" i="1"/>
  <c r="P25" i="1"/>
  <c r="S13" i="1"/>
  <c r="P11" i="1"/>
  <c r="S10" i="1"/>
  <c r="P10" i="1"/>
  <c r="P8" i="1"/>
  <c r="P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tc={4BC1B9A5-27B6-4248-B1C1-C79208ED2EFC}</author>
    <author>tc={029006E9-4008-49E2-BAEE-4CC12F0054C4}</author>
    <author>tc={031792D7-5035-4B7B-AACF-D78C6E0A7AC9}</author>
    <author>tc={B12753C2-722D-4114-B28C-A6F443B4ECEC}</author>
    <author>tc={C429ABAD-BC17-4B64-8E00-919DD7CD89E9}</author>
    <author>tc={EF5E0CBC-6175-4664-A6AF-3994CA9A1DF3}</author>
  </authors>
  <commentList>
    <comment ref="N8" authorId="0" shapeId="0" xr:uid="{4BC1B9A5-27B6-4248-B1C1-C79208ED2EFC}">
      <text>
        <t>[Comentario encadenado]
Tu versión de Excel te permite leer este comentario encadenado; sin embargo, las ediciones que se apliquen se quitarán si el archivo se abre en una versión más reciente de Excel. Más información: https://go.microsoft.com/fwlink/?linkid=870924
Comentario:
    Focus Group
Estudiantes: 15
Profesores: 15
Graduados: 15
Empresarios: 15
Administrativos: 15
Proveedores: 15
Encuestas
Estudiantes: 1.500
Profesores: 300
Colaboradores: 300
Graduados: 150</t>
      </text>
    </comment>
    <comment ref="Q13" authorId="1" shapeId="0" xr:uid="{029006E9-4008-49E2-BAEE-4CC12F0054C4}">
      <text>
        <t>[Comentario encadenado]
Tu versión de Excel te permite leer este comentario encadenado; sin embargo, las ediciones que se apliquen se quitarán si el archivo se abre en una versión más reciente de Excel. Más información: https://go.microsoft.com/fwlink/?linkid=870924
Comentario:
    Colaboradores: 63%
Estudiantes: 18%
Graduados:22%</t>
      </text>
    </comment>
    <comment ref="O48" authorId="2" shapeId="0" xr:uid="{031792D7-5035-4B7B-AACF-D78C6E0A7AC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Nivel de satisfacción Estudiante Presencial: 100%
Nivel de satisfacción Estudiante Virtual: 100%
Nivel de satisfacción Profesor: 100%
Nivel de satisfacción Administrativo: 100%
Nivel de satisfacción Externo: 100%
Resultado General: 100% </t>
      </text>
    </comment>
    <comment ref="R48" authorId="3" shapeId="0" xr:uid="{B12753C2-722D-4114-B28C-A6F443B4ECE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Nivel de satisfacción Estudiante Presencial: 100%
Nivel de satisfacción Estudiante Virtual: 100%
Nivel de satisfacción Profesor: 100%
Nivel de satisfacción Administrativo: 100%
Nivel de satisfacción Externo: 100% </t>
      </text>
    </comment>
    <comment ref="O49" authorId="4" shapeId="0" xr:uid="{C429ABAD-BC17-4B64-8E00-919DD7CD89E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Nivel de satisfacción Estudiante presencial: 100%
Nivel de satisfacción Estudiante Virtual: 99%
Nivel de satisfacción Profesor: 94%
Nivel de satisfacción Administrativo: 100%
Nivel de satisfacción Graduado: 100%
Resultado General: 99% </t>
      </text>
    </comment>
    <comment ref="R49" authorId="5" shapeId="0" xr:uid="{EF5E0CBC-6175-4664-A6AF-3994CA9A1DF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Nivel de satisfacción Estudiante presencial: 98,1%
Nivel de satisfacción Estudiante Virtual: 95,4%
Nivel de satisfacción Profesor: 100%
Nivel de satisfacción Administrativo: 100%
Nivel de satisfacción Graduado: 100%
Resultado General: 97.9% </t>
      </text>
    </comment>
  </commentList>
</comments>
</file>

<file path=xl/sharedStrings.xml><?xml version="1.0" encoding="utf-8"?>
<sst xmlns="http://schemas.openxmlformats.org/spreadsheetml/2006/main" count="740" uniqueCount="296">
  <si>
    <t>Metas Preliminares</t>
  </si>
  <si>
    <t>FACTOR</t>
  </si>
  <si>
    <t>CARACTERÍSTICA</t>
  </si>
  <si>
    <t xml:space="preserve">ACCIÓN DE MEJORA </t>
  </si>
  <si>
    <t>INDICADOR DE RESULTADO O IMPACTO</t>
  </si>
  <si>
    <t>ID Kawak</t>
  </si>
  <si>
    <t>Indicador o Metrica</t>
  </si>
  <si>
    <t>Observación Desempeño</t>
  </si>
  <si>
    <t>Estado</t>
  </si>
  <si>
    <t>Estado de aprobación</t>
  </si>
  <si>
    <t>Formula</t>
  </si>
  <si>
    <t>Fuente</t>
  </si>
  <si>
    <t>Responsable de la gestión</t>
  </si>
  <si>
    <t>PERIODICIDAD DE MEDICIÓN</t>
  </si>
  <si>
    <t>Meta
2025</t>
  </si>
  <si>
    <t>Ejecución 2025</t>
  </si>
  <si>
    <t>% Cump
2025</t>
  </si>
  <si>
    <t>Meta
2026</t>
  </si>
  <si>
    <t>Ejecución 2026</t>
  </si>
  <si>
    <t>% Cump
2026</t>
  </si>
  <si>
    <t>Factor 1. Identidad institucional</t>
  </si>
  <si>
    <t>Característica 1. Coherencia y pertinencia de la misión</t>
  </si>
  <si>
    <t xml:space="preserve">Fortalecer las estrategias y mecanismos de sensibilización y socialización de los elementos identitarios y misionales,  con los estamentos de la comunidad institucional </t>
  </si>
  <si>
    <t>Índice de Favorabilidad sobre la Misión Institucional.</t>
  </si>
  <si>
    <t>Indicador</t>
  </si>
  <si>
    <t>Medición no se realiza en 2026 por lanzamiento del PDI</t>
  </si>
  <si>
    <t>Autoevaluación</t>
  </si>
  <si>
    <t>Aprobado</t>
  </si>
  <si>
    <t>Gerente de Planeación y Gestión / Aseguramiento de la calidad</t>
  </si>
  <si>
    <t>Gerente de Planeación y Gestión/ Gerente de talento humano y comunicaciones</t>
  </si>
  <si>
    <t>Bienal</t>
  </si>
  <si>
    <t>N/A</t>
  </si>
  <si>
    <t>Característica 2. Orientaciones y estrategias del proyecto educativo institucional o lo que haga sus veces</t>
  </si>
  <si>
    <t>Fortalecer las estrategias y mecanismos de sensibilización y socialización del PEI  con los estamentos de la comunidad institucional</t>
  </si>
  <si>
    <t>Índice de Favorabilidad sobre el PEI  Institucional</t>
  </si>
  <si>
    <t>Validar con  Gerencia de planeación y Aseguramiento de la calidad</t>
  </si>
  <si>
    <t>Vicerrectora académica</t>
  </si>
  <si>
    <t>Característica 3. Formación integral y construcción de identidad</t>
  </si>
  <si>
    <t>Fortalecer las estrategias de sensibilización de cara a incrementar la participación de estudiantes en actividades de formación integral curriculares y extracurriculares</t>
  </si>
  <si>
    <t>Participación de estudiantes en Actividades de Formación Integral curricular</t>
  </si>
  <si>
    <t>Validar con Vicerrectoría academica y del estudiante</t>
  </si>
  <si>
    <t>Pendiente</t>
  </si>
  <si>
    <t>Investigación</t>
  </si>
  <si>
    <t>Semestral</t>
  </si>
  <si>
    <t>Participación de estudiantes en Actividades de Formación Integral  extracurricular</t>
  </si>
  <si>
    <t>Centro de Psicologia</t>
  </si>
  <si>
    <t>Director de bienestar y huella Grancolombiana</t>
  </si>
  <si>
    <t>Factor 2. Gobierno institucional y transparencia</t>
  </si>
  <si>
    <t>Característica 4. Buen gobierno y máximo órgano de gobierno</t>
  </si>
  <si>
    <r>
      <t>Fortalecer la</t>
    </r>
    <r>
      <rPr>
        <b/>
        <sz val="12"/>
        <color theme="1"/>
        <rFont val="Calibri Light"/>
        <family val="2"/>
      </rPr>
      <t xml:space="preserve"> comunicación de los representantes a sus representados. Participación en la jornada de rendición de cuentas</t>
    </r>
    <r>
      <rPr>
        <sz val="12"/>
        <color theme="1"/>
        <rFont val="Calibri Light"/>
        <family val="2"/>
      </rPr>
      <t xml:space="preserve"> y demás canales institucionales
Actualizar reglamento de órganos de participación y fortalecer los mecanismos que permitan visibilizar la gestión de los diferentes grupos de interés.</t>
    </r>
  </si>
  <si>
    <t>Nùmero de visibilizaciones del Informe de Sostenibilidad</t>
  </si>
  <si>
    <t>Metrica</t>
  </si>
  <si>
    <t>Reemplazar</t>
  </si>
  <si>
    <t>Yumpu</t>
  </si>
  <si>
    <t>Gerente de Planeación y Gestión</t>
  </si>
  <si>
    <t>Anual</t>
  </si>
  <si>
    <t>Línea Base</t>
  </si>
  <si>
    <t>Característica 5. Relación con grupos de interés</t>
  </si>
  <si>
    <r>
      <rPr>
        <b/>
        <sz val="12"/>
        <color theme="1"/>
        <rFont val="Calibri Light"/>
        <family val="2"/>
      </rPr>
      <t xml:space="preserve">Promover la participación de los diferentes actores del sistema de aseguramiento de la calidad </t>
    </r>
    <r>
      <rPr>
        <sz val="12"/>
        <color theme="1"/>
        <rFont val="Calibri Light"/>
        <family val="2"/>
      </rPr>
      <t>y el sector externo, que se consideren pertinentes para la construcción del nuevo PDI.</t>
    </r>
  </si>
  <si>
    <t>Participación de Grupos de Interés en la construcción del nuevo plan de desarrollo (PDI)</t>
  </si>
  <si>
    <t>Creado</t>
  </si>
  <si>
    <t>Número de participantes por estamento</t>
  </si>
  <si>
    <t>Planeación Estratégica</t>
  </si>
  <si>
    <t>Número de estrategias o espacios de relacionamiento con el sector externo
Alianzas
Convenios</t>
  </si>
  <si>
    <t>pendiente</t>
  </si>
  <si>
    <t>Característica 6. Rendición de cuentas</t>
  </si>
  <si>
    <t>Mantener espacios de socialización y despliegue de la política de Rendición de Cuentas institucional a toda la comunidad Poli.</t>
  </si>
  <si>
    <t>Participación de la comunidad en la Rendición de Cuentas</t>
  </si>
  <si>
    <t>Crear</t>
  </si>
  <si>
    <t>% de aumento de participación en jornada de rendición de cuentas Virtual- Presencial- Offline</t>
  </si>
  <si>
    <t>Nivel de Satisfacción de la Comunidad con la Rendición de Cuentas</t>
  </si>
  <si>
    <t>Promedio de satisfacción de rendición de cuentas</t>
  </si>
  <si>
    <t>Conocimiento de la comunidad del informe de sostenibilidad</t>
  </si>
  <si>
    <t>Nivel de conocimiento de los grupos de interes  del informe de sostenibilidad</t>
  </si>
  <si>
    <t>Estudios Internos</t>
  </si>
  <si>
    <t>Linea Base</t>
  </si>
  <si>
    <t>Factor 3. Desarrollo, gestión y sostenibilidad institucional</t>
  </si>
  <si>
    <t>Característica 8. Procesos de comunicación</t>
  </si>
  <si>
    <r>
      <t>Fortalecer  el uso de los canales y medios de interlocución</t>
    </r>
    <r>
      <rPr>
        <sz val="12"/>
        <color rgb="FF000000"/>
        <rFont val="Calibri Light"/>
        <family val="2"/>
      </rPr>
      <t xml:space="preserve"> para aumentar la participación de los distintos estamentos.</t>
    </r>
  </si>
  <si>
    <t>Impacto de campañas de Mailing
(Colaboradores, Graduados, Estudiantes)</t>
  </si>
  <si>
    <t>Agregar</t>
  </si>
  <si>
    <t>Dirección de comunicaciones</t>
  </si>
  <si>
    <t>Gerente de talento humano y comunicaciones</t>
  </si>
  <si>
    <t>Apertura de enlaces en mensajes de texto
(Colaboradores, Graduados, Estudiantes)</t>
  </si>
  <si>
    <t>Colaboradores: 2% 
Estudiantes: 3% 
Graduados: 2%</t>
  </si>
  <si>
    <t>Total Leads por canales de captación</t>
  </si>
  <si>
    <t>Gerencia de mercadeo</t>
  </si>
  <si>
    <t>Característica 10. Recursos de apoyo académico</t>
  </si>
  <si>
    <t>Dimensionamiento y análisis de los recursos actuales del CREA. Ampliar el portafolio de servicios y/o  productos internos y externos</t>
  </si>
  <si>
    <t>Utilización de los estudiantes del CREA</t>
  </si>
  <si>
    <t>Gerente de educación virtual</t>
  </si>
  <si>
    <t>Fortalecer el proceso de comunicación institucional desde la perspectiva de la gestión y la unidad de las áreas.</t>
  </si>
  <si>
    <t>Satisfacción del proceso de comunicaciones</t>
  </si>
  <si>
    <t>Mantener</t>
  </si>
  <si>
    <t>Experiencia</t>
  </si>
  <si>
    <t>Característica 12. Recursos y gestión financiera</t>
  </si>
  <si>
    <r>
      <t>Continuar con el</t>
    </r>
    <r>
      <rPr>
        <b/>
        <sz val="12"/>
        <color rgb="FF000000"/>
        <rFont val="Calibri Light"/>
        <family val="2"/>
      </rPr>
      <t xml:space="preserve"> manejo eficiente de los recursos,</t>
    </r>
    <r>
      <rPr>
        <sz val="12"/>
        <color rgb="FF000000"/>
        <rFont val="Calibri Light"/>
        <family val="2"/>
      </rPr>
      <t xml:space="preserve"> garantizando la solvencia,  sostenibilidad financiera de la institución, y la asignación de recursos suficientes para el desarrollo de la misión y los planes de mejoramiento </t>
    </r>
  </si>
  <si>
    <t>Crecimiento de Ingresos de portafolio de Extensión</t>
  </si>
  <si>
    <t>Inversion al plan de mejoramiento</t>
  </si>
  <si>
    <t>Ajustar para que se mida la proporción sobre los ingresos</t>
  </si>
  <si>
    <t>Infraestructura Fisica
Infra estructura Tecnologica
Contenidos Virtuales
Biblioteca CMA
Fortalecimiento Docencia
Inversiones Misionales
Inversiones en bienestar</t>
  </si>
  <si>
    <t>Factor 4. Mejoramiento continuo y autorregulación</t>
  </si>
  <si>
    <t>Característica 13. Cultura de la autoevaluación</t>
  </si>
  <si>
    <t>Continuar robusteciendo los insumos para la toma de decisiones y la mejora continua a partir de las evaluaciones tanto internas como externas, como parte del Sistema integrado de Gestión.</t>
  </si>
  <si>
    <t>Cumplimiento plan de mejoramiento institucional</t>
  </si>
  <si>
    <t>(N° de oportunidades de mejora cerradas derivadas de los ejercicios de autoevaluación/ N° de oportunidades de mejora defininas en el periodo)</t>
  </si>
  <si>
    <t>Gerencia de Planeación y Gestión institucional</t>
  </si>
  <si>
    <t>Director de sistema integrado</t>
  </si>
  <si>
    <t>Característica 14. Procesos de autorregulación</t>
  </si>
  <si>
    <t xml:space="preserve">Continuar fortaleciendo los procesos de auditoría en el marco del modelo de control interno institucional, para monitorear el cumplimiento de políticas, procesos y procedimientos institucionales </t>
  </si>
  <si>
    <t>Cobertura de procesos auditados POLISIGS</t>
  </si>
  <si>
    <t>N° de procesos auditados</t>
  </si>
  <si>
    <t>Director de auditoria</t>
  </si>
  <si>
    <t>100% de procesos implementados en el Sistema de gestión integrado</t>
  </si>
  <si>
    <t>Característica 15. Sistema interno de aseguramiento de la calidad</t>
  </si>
  <si>
    <t>Continuar con los ejercicios de apropiación del Sistema Interno de Aseguramiento de la Calidad, manteniendo y mejorando los resultados alcanzados hasta la actualidad.</t>
  </si>
  <si>
    <t>Índice de Apropiación del Sistema Interno de Aseguramiento de la Calidad (SIAC)</t>
  </si>
  <si>
    <t>(Número de personas que conocen  el SIAC / Total de encuestados) * 100</t>
  </si>
  <si>
    <t>Director de aseguramiento de la calidad/ Estudios Internos</t>
  </si>
  <si>
    <t>Vicerrectoría Académica</t>
  </si>
  <si>
    <t>Porcentaje de Programas Acreditables Acreditados</t>
  </si>
  <si>
    <t>(Nº de programas acreditados / Total de programas ofertados) * 100</t>
  </si>
  <si>
    <t>Director de aseguramiento de la calidad</t>
  </si>
  <si>
    <t>Nùmero participantes en  Procesos formación permanente desarrollados desde el SIAC</t>
  </si>
  <si>
    <t>Se ajusta nombre del indicador de acuerdo a recomendación</t>
  </si>
  <si>
    <t>(Nº de miembros del SIAC que participaron / Total de miembros del SIAC) * 100</t>
  </si>
  <si>
    <t>Característica 16. Evaluación de directivas, profesores y personal administrativo</t>
  </si>
  <si>
    <t>Continuar con la implementación de la evaluación 360 para administrativos y su articulación con los planes de desarrollo individual.</t>
  </si>
  <si>
    <t>Resultado global administrativos en evaluación 360°</t>
  </si>
  <si>
    <t>Cambio de indicador</t>
  </si>
  <si>
    <t>Resultados evaluación 360°</t>
  </si>
  <si>
    <t xml:space="preserve">Mantener la articulación de los resultados de la evaluación profesoral con los planes de cualificación. </t>
  </si>
  <si>
    <t>Resultados de evaluación de desempeño docente 360°</t>
  </si>
  <si>
    <t>((Puntaje actual - Puntaje anterior) / Puntaje anterior) * 100</t>
  </si>
  <si>
    <t>Dirección de docencia</t>
  </si>
  <si>
    <t>Factor 5. Estructura y procesos académicos</t>
  </si>
  <si>
    <t>Característica 17. Componentes formativos</t>
  </si>
  <si>
    <t>Aplicar instrumentos orientados al  mantenimiento de la gestión, evaluación e innovación curricular.</t>
  </si>
  <si>
    <t>Por definir- Pendiente Implementación de instrumentos
Modelo de gestión, evaluación e innovación curricular</t>
  </si>
  <si>
    <t>Sesion para identificar medición con Maria Isabel y Maria del Socorro</t>
  </si>
  <si>
    <t>Gestión de unidades académicas</t>
  </si>
  <si>
    <t>Fortalecer el sistema de Saber  Pro y su uso como mecanismo de mejoramiento de la calidad académica.</t>
  </si>
  <si>
    <t>Valor agregado en la pruebas Saber Pro Institucional- Modelo PSM</t>
  </si>
  <si>
    <t>Propuesta de reemplazar con metrica, pero esta no mide resultado o impacto 
Se propone utilizar fuentes oficiales del Icfes</t>
  </si>
  <si>
    <t>(Resultado Saber Pro- Resultado Saber 11)</t>
  </si>
  <si>
    <t xml:space="preserve">Modelo </t>
  </si>
  <si>
    <t>Decano FIDI</t>
  </si>
  <si>
    <t>Característica 19. Componente de interacción y relevancia social</t>
  </si>
  <si>
    <t>Continuar con la evaluación periódica del estudio de factibilidad y pertinencia de los programas académicos, para responder a los cambios del contexto y las demandas propias local, regional y global.</t>
  </si>
  <si>
    <t>Número de programas con estudio de factibilidad y pertinencia</t>
  </si>
  <si>
    <t>Dirección de Aseguramiento de la Calidad</t>
  </si>
  <si>
    <t>Director de Aseguramiento de la Calidad</t>
  </si>
  <si>
    <t>Característica 20. Procesos de creación, modificación y ampliación de programas académicos</t>
  </si>
  <si>
    <t>Realizar seguimiento y evaluación del portafolio  académico.</t>
  </si>
  <si>
    <t>Número de programas nuevos con registro calificado aprobado</t>
  </si>
  <si>
    <t>N" programas con renovación de registro calificado</t>
  </si>
  <si>
    <t>Factor 6. Aportes de la investigación, la innovación, el desarrollo tecnológico y la creación</t>
  </si>
  <si>
    <t>Característica 21. Formación para la investigación, creación e innovación</t>
  </si>
  <si>
    <t xml:space="preserve">Continuar fortaleciendo la investigación, innovación y creación, acorde con la naturaleza de la institución </t>
  </si>
  <si>
    <t>Estudiantes vinculados en actividades de investigación</t>
  </si>
  <si>
    <t>Se valida con investigación y esta información se reporta completa en ADA y Boletin</t>
  </si>
  <si>
    <t>(N° estudiantes vinculados a investigación / N° total estudiantes matriculados)*100</t>
  </si>
  <si>
    <t>Dirección de investigación, innovación y creación</t>
  </si>
  <si>
    <t>Característica 22. Investigación, desarrollo tecnológico, innovación y creación</t>
  </si>
  <si>
    <t>% de grupos de investigación  clasificados en A1, A y B</t>
  </si>
  <si>
    <t xml:space="preserve">Número de proyectos de investigación de Innovación y Creación con impacto social </t>
  </si>
  <si>
    <t>El proceso propone proyectos con impacto pero no solo con impacto social
Propuesta: Número de proyectos de investigación, Innovación y Creación con impacto</t>
  </si>
  <si>
    <t>Bianual</t>
  </si>
  <si>
    <t>Número de productos de Nuevo conocimiento, desarrollo tecnológico, innovación y creación que impacten en la enseñanza y el aprendizaje por grupo de investigación</t>
  </si>
  <si>
    <t>El proceso informa que la institución no tiene programas que enfoquen sus proyectos al impacto ambiental
Propuesta: Número de proyectos de investigación, Innovación y Creación con impacto</t>
  </si>
  <si>
    <t>Dos productos por grupo de investigación
34</t>
  </si>
  <si>
    <t>Cuatro productos por grupo de investigación 
68</t>
  </si>
  <si>
    <t>Seis productos por grupo de investigación
102</t>
  </si>
  <si>
    <t>Ocho productos por grupo de investigación
136</t>
  </si>
  <si>
    <t>% de profesores TC clasificados como investigadores en Minciencias</t>
  </si>
  <si>
    <t>Factor 7. Impacto social</t>
  </si>
  <si>
    <t>Característica 24. Impacto cultural y artístico</t>
  </si>
  <si>
    <t>Actualizar, implementar y socializar la nueva política de extensión y proyección social</t>
  </si>
  <si>
    <t>Tasa de Participación en actividades de Extensión</t>
  </si>
  <si>
    <t>Validar con vicerrectoria academica y del estudiante</t>
  </si>
  <si>
    <t>(N° de estudiantes participantes en actividades de Extensión y proyección social/ Total de estudiantes)*100 Bogotá - Virtual</t>
  </si>
  <si>
    <t xml:space="preserve">Actualizar, implementar y socializar la nueva política de extensión y proyección social, </t>
  </si>
  <si>
    <t>Participación de la comunidad en actividades de cultura y deporte</t>
  </si>
  <si>
    <t>Validar  Indicadores porque se debe medir el impacto a otros grupos de interes</t>
  </si>
  <si>
    <t>N° de estudiantes participantes en actividades de cultura y deporte</t>
  </si>
  <si>
    <t xml:space="preserve">Participación ingresos por extensión (Consultorias, alquiler de espacios, prestación de servicios, centros de investigación entre otros) / total ingresos </t>
  </si>
  <si>
    <t>Validar con financiera para crearlo</t>
  </si>
  <si>
    <t>Factor 8. Visibilidad nacional e internacional</t>
  </si>
  <si>
    <t>Característica 25. Inserción de la institución en contextos académicos nacionales e internacionales</t>
  </si>
  <si>
    <t>Mejorar el  proceso de visibilidad nacional e internacional integrando un sistema de información que permita la  recolección, sistematización, seguimiento y generación de reportes.</t>
  </si>
  <si>
    <t>Convenios, alianzas activas con actividades en los últimos 5 años</t>
  </si>
  <si>
    <t>Director de sistema de aseguramiento de la calidad</t>
  </si>
  <si>
    <t xml:space="preserve">Continuar fortaleciendo los planes y programas articulados al proceso de la ORII.  </t>
  </si>
  <si>
    <t xml:space="preserve">Actividades de Cooperación en Internacionalización </t>
  </si>
  <si>
    <t>N° de actividades de cooperación e  internacionalización en Bogotá y virtual</t>
  </si>
  <si>
    <t>Dirección ORII</t>
  </si>
  <si>
    <t>Característica 26. Relaciones externas de profesores y estudiantes</t>
  </si>
  <si>
    <t>Participación de estudiantes externos invitados a actividades de cooperación nacional  e internacional</t>
  </si>
  <si>
    <t>N° Estudiantes estudiantes externos invitados a actividades de cooperación Nacional e internacional de Bogotá y virtual</t>
  </si>
  <si>
    <t>Participación de estudiantes POLI en actividades de cooperación e internacionalización</t>
  </si>
  <si>
    <t>No. de estudiantes POLI de Bogotá y virtual en actividades de cooperación e internacionalización</t>
  </si>
  <si>
    <t>Participación de profesores POLI en actividades de cooperación e internacionalización</t>
  </si>
  <si>
    <t>No. de profesores POLI de Bogotá y virtual en actividades de cooperación e internacionalización</t>
  </si>
  <si>
    <t>Participación de profesores externos invitados a actividades de cooperación e internacionalización</t>
  </si>
  <si>
    <t>No. de profesores externos invitados a actividades de cooperación e internacionalización en Bogotá y virtual</t>
  </si>
  <si>
    <t>Factor 9. Bienestar institucional</t>
  </si>
  <si>
    <t>Característica 27. Estructura y funcionamiento del bienestar institucional</t>
  </si>
  <si>
    <t>Actualizar, socializar e implementar el modelo de Bienestar Institucional.</t>
  </si>
  <si>
    <t>Tasa de participación en actividades de bienestar (Cultura, Deporte y Salud) Separado/ Consolidado
Estudiantes,  colaboradores y profesores</t>
  </si>
  <si>
    <t>(Número de participantes en actividades de bienestar / Número total de miembros de la comunidad)*100</t>
  </si>
  <si>
    <t>Dirección de bienestar y huella grancolombiana</t>
  </si>
  <si>
    <t>Indice de impacto Psicosocial de las actividades de bienestar</t>
  </si>
  <si>
    <t>Resultados instrumentos de satisfacción</t>
  </si>
  <si>
    <t xml:space="preserve">Definir estrategias de impacto institucional en la región, y en la comunidad virtual </t>
  </si>
  <si>
    <r>
      <t xml:space="preserve">Satisfacción de la comunidad virtual con las actividades de bienestar realizadas (Instrumento de experiencia)
</t>
    </r>
    <r>
      <rPr>
        <b/>
        <sz val="12"/>
        <color rgb="FF002060"/>
        <rFont val="Inter"/>
        <family val="2"/>
      </rPr>
      <t>Nivel de Satisfacción Servicios Prestados -Servicio de Salud</t>
    </r>
  </si>
  <si>
    <t>Desglosar por modalidad</t>
  </si>
  <si>
    <t>Nivel de satisfacción</t>
  </si>
  <si>
    <t>CX</t>
  </si>
  <si>
    <t>Medico</t>
  </si>
  <si>
    <r>
      <t xml:space="preserve">Satisfacción de la comunidad virtual con las actividades de bienestar realizadas (Instrumento de experiencia)
</t>
    </r>
    <r>
      <rPr>
        <b/>
        <sz val="12"/>
        <color rgb="FF002060"/>
        <rFont val="Inter"/>
        <family val="2"/>
      </rPr>
      <t>Nivel de Satisfacción Servicios Prestados -Cultura y deportes</t>
    </r>
  </si>
  <si>
    <t>Jefe de cultura y deporte</t>
  </si>
  <si>
    <t>Cobertura de actividades de bienestar institucional por modalidad virtual y regiones</t>
  </si>
  <si>
    <t>(N.º de actividades realizadas para modalidad virtual o regiones / N.º total de actividades de bienestar) × 100</t>
  </si>
  <si>
    <t>Factor 10. Comunidad de profesores</t>
  </si>
  <si>
    <t>Característica 28. Derechos y deberes de los profesores</t>
  </si>
  <si>
    <t>Adelantar espacios de sensibilización y apropiación del reglamento profesoral.</t>
  </si>
  <si>
    <t>Cobertura de socialización del reglamento docente a profesores nuevos</t>
  </si>
  <si>
    <t>(N° de profesores nuevos que participan en la socialización del reglamento/ Total de profesores nuevos del periodo)*100</t>
  </si>
  <si>
    <t>Característica 29. Planta profesoral</t>
  </si>
  <si>
    <t>Continuar con la implementación del proyecto de fortalecimiento de planta profesoral.</t>
  </si>
  <si>
    <t>Relación docente/estudiante
(Bogotá- Virtual) - Contrato indefinido y fijo anualizado</t>
  </si>
  <si>
    <t>(Número total de estudiantes / Número total de docentes con contrato indefinido y fijo superior a 11 meses (Bogotá y virtual))*100</t>
  </si>
  <si>
    <t>Participación de profesores TC y MT/ Total de profesores (Personas)</t>
  </si>
  <si>
    <t>Gestión docente informa que son metricas no indicadores</t>
  </si>
  <si>
    <t>(N° de profesores tiempo completo año actual/ N° de profesores tiempo completo año anterior)*100</t>
  </si>
  <si>
    <t>Definir % de crecimiento</t>
  </si>
  <si>
    <t>Proporción de profesores con nivel de formación (Maestria y Doctorado)</t>
  </si>
  <si>
    <t>(N° de profesores con maestria y doctorado / N° total de profesores)*100</t>
  </si>
  <si>
    <t>Característica 30. Trayectoria profesoral</t>
  </si>
  <si>
    <t>Implementación de estrategias de categorización de acuerdo a la reglamentación interna y al presupuesto.</t>
  </si>
  <si>
    <t>N° de cupos aprobados para el escalafon docente</t>
  </si>
  <si>
    <t>Sugerencia mantener como indicador del proceso , como tiene dependencia financiera no tener en cuenta para plan de mejoramiento</t>
  </si>
  <si>
    <t>(N° de profesores con escalafon docente/N° de cupos aprobados para el escalafon docente)*100</t>
  </si>
  <si>
    <t>Característica 31. Desarrollo profesoral</t>
  </si>
  <si>
    <t>Continuar fortaleciendo el Plan de Desarrollo Docente, alineado con la evaluación 360</t>
  </si>
  <si>
    <t>% Profesores que participan en programas de formación</t>
  </si>
  <si>
    <t>(% Profesores que participaron en programas de formación/ Total de profesores tiempo completo y medio tiempo)*100</t>
  </si>
  <si>
    <t>Dirección de formación</t>
  </si>
  <si>
    <t>Característica 32. Interacción académica de los profesores</t>
  </si>
  <si>
    <t>Continuar fortaleciendo el nivel de inglés en los profesores</t>
  </si>
  <si>
    <t>Porcentaje de Docentes con clasificación de ingles en C1, C2, B1 o B2</t>
  </si>
  <si>
    <t>N.º de docentes que participan en programas de fomento al multilingüismo/ Total de profesores tiempo completo y medio tiempo</t>
  </si>
  <si>
    <t>Factor 11. Comunidad de estudiantes</t>
  </si>
  <si>
    <t>Característica 33. Derechos y deberes de los estudiantes</t>
  </si>
  <si>
    <t>Implementar las campañas de comunicación para dar a conocer el reglamento estudiantil de forma permanente  y pertinente según el ciclo de vida del estudiante con la institución, por hitos definidos.</t>
  </si>
  <si>
    <t>N° de estudiantes impactados por las campañas de comunicación de reglamento estudiantil</t>
  </si>
  <si>
    <t>Característica 34. Admisión y permanencia de estudiantes</t>
  </si>
  <si>
    <t xml:space="preserve">Implementación del modelo de experiencia en el proceso de admisión y matricula de estudiantes nuevos </t>
  </si>
  <si>
    <t xml:space="preserve">Medición de la experiencia del proceso de inscripción, admisión y matriculas </t>
  </si>
  <si>
    <t>Resultado instrumento de satisfacción</t>
  </si>
  <si>
    <t>Dirección de experiencia</t>
  </si>
  <si>
    <t>Gerencia de matriculas</t>
  </si>
  <si>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</si>
  <si>
    <t>% Permanencia intersemestral</t>
  </si>
  <si>
    <t>(Número de estudiantes rematriculados + egresados/Número de estudiantes matriculados en el periodo anterior)*100</t>
  </si>
  <si>
    <t>Gerencia de servicio y permanencia</t>
  </si>
  <si>
    <t>ANUAL</t>
  </si>
  <si>
    <t>Tasa de deserción anual en SPADIES
Tasa de deserción acumulada cohorte</t>
  </si>
  <si>
    <t>Tasa de graduación  - Interno
Modalidad y nivel</t>
  </si>
  <si>
    <t>% Permanencia intersemestral Ingresantes</t>
  </si>
  <si>
    <t>(Número de estudiantes que desertan en el primer año / Número total de estudiantes matriculados en primer año) * 100</t>
  </si>
  <si>
    <t>Característica 35. Estímulos y apoyos para estudiantes</t>
  </si>
  <si>
    <t>(Avanzar en la estructuración de un sistema que permita actualizar los descuentos de forma masiva y flexible.) Consolidar las diferentes estrategias, estímulos y apoyos institucionales  para el estudiante</t>
  </si>
  <si>
    <t>Porcentaje de Estudiantes beneficiados por Becas y apoyos financieros</t>
  </si>
  <si>
    <t>(Número de estudiantes con becas y apoyos financieros / Total de estudiantes ) × 100</t>
  </si>
  <si>
    <t>Servicio</t>
  </si>
  <si>
    <t>Validar</t>
  </si>
  <si>
    <t>Factor 12. Comunidad de egresados</t>
  </si>
  <si>
    <t>Característica 36. Seguimiento a egresados</t>
  </si>
  <si>
    <t>Actualizar el modelo e Implementar la plataforma de seguimiento a graduados
Documentar, implementar, analizar y socializar los resultados del modelo de seguimiento al graduado
Fomentar la oferta académica institucional.</t>
  </si>
  <si>
    <t>Tasa de Participación de graduados en instrumentos de Seguimiento
M0-M1-M5</t>
  </si>
  <si>
    <t>Porcentaje de participación de graduados en los instrumentos
de seguimiento
M0-M1_M5</t>
  </si>
  <si>
    <t>Dirección de graduados</t>
  </si>
  <si>
    <t>M0:  90% tasa de respuesta
M1: 9% tasa de respuesta
M5: 3,5% tasa de respuesta</t>
  </si>
  <si>
    <t>Característica 37. Egresados y programas académicos</t>
  </si>
  <si>
    <t>Fortalecimiento del modelo de seguimiento, a  través de REA  y análisis de la información de los instrumentos</t>
  </si>
  <si>
    <t>Tasa de empleabilidad de recièn graduados de pregrado</t>
  </si>
  <si>
    <t>% de cotización del graduado</t>
  </si>
  <si>
    <t>Fortalecimiento del modelo de seguimiento, a  través de REA  y análisis de la información de los instrumentos
Estructurar estrategias desde las facultades que evidencien la participación de los graduados y empresas en los diferentes espacios institucionales</t>
  </si>
  <si>
    <t>% de Participación de graduados en actividades de empleabilidad y relacionamiento
Eje (Empleabilidad, relacionamiento, seguimiento al graduado.)
Actividad (Emprendimiento, formación etc.</t>
  </si>
  <si>
    <t>Propuesta de limitar la linea base de los ultimos 5 años</t>
  </si>
  <si>
    <t>Número de egresados que participan en actividades institucionales</t>
  </si>
  <si>
    <t>Característica 38. Relación de los egresados con la institución</t>
  </si>
  <si>
    <t>Articulación  de las estrategias actuales y prospectivas en un plan Estratégico de Comunicaciones para la socialización del portafolio de servicios y beneficios de los Graduados</t>
  </si>
  <si>
    <t>Nivel de Satisfacción del graduado con la institución (Experiencia)</t>
  </si>
  <si>
    <t>Resultadode satisfacción de graduados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</si>
</sst>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24" x14ac:knownFonts="1">
    <font>
      <sz val="11"/>
      <color theme="1"/>
      <name val="Aptos Narrow"/>
      <family val="2"/>
      <scheme val="minor"/>
    </font>
    <font>
      <sz val="11"/>
      <color theme="1"/>
      <name val="Aptos Narrow"/>
      <family val="2"/>
      <scheme val="minor"/>
    </font>
    <font>
      <sz val="11"/>
      <color rgb="FF000000"/>
      <name val="Aptos Narrow"/>
      <family val="2"/>
      <scheme val="minor"/>
    </font>
    <font>
      <sz val="12"/>
      <color theme="1"/>
      <name val="Aptos Narrow"/>
      <family val="2"/>
      <scheme val="minor"/>
    </font>
    <font>
      <b/>
      <sz val="14"/>
      <color theme="0"/>
      <name val="Aptos Narrow"/>
      <family val="2"/>
      <scheme val="minor"/>
    </font>
    <font>
      <b/>
      <sz val="12"/>
      <color rgb="FFFFFFFF"/>
      <name val="Aptos Narrow"/>
      <family val="2"/>
      <scheme val="minor"/>
    </font>
    <font>
      <b/>
      <sz val="12"/>
      <color rgb="FF002060"/>
      <name val="Aptos Narrow"/>
      <family val="2"/>
      <scheme val="minor"/>
    </font>
    <font>
      <b/>
      <sz val="14"/>
      <color rgb="FFFFFFFF"/>
      <name val="Aptos Narrow"/>
      <family val="2"/>
      <scheme val="minor"/>
    </font>
    <font>
      <sz val="12"/>
      <color rgb="FF000000"/>
      <name val="Aptos Narrow"/>
      <family val="2"/>
      <scheme val="minor"/>
    </font>
    <font>
      <sz val="12"/>
      <color rgb="FFFF0000"/>
      <name val="Aptos Narrow"/>
      <family val="2"/>
      <scheme val="minor"/>
    </font>
    <font>
      <b/>
      <sz val="12"/>
      <color rgb="FF002060"/>
      <name val="Inter"/>
      <family val="2"/>
    </font>
    <font>
      <sz val="12"/>
      <color rgb="FF002060"/>
      <name val="Inter"/>
      <family val="2"/>
    </font>
    <font>
      <sz val="12"/>
      <color rgb="FF002060"/>
      <name val="Aptos Narrow"/>
      <family val="2"/>
      <scheme val="minor"/>
    </font>
    <font>
      <sz val="12"/>
      <color theme="1"/>
      <name val="Calibri Light"/>
      <family val="2"/>
    </font>
    <font>
      <b/>
      <sz val="12"/>
      <color theme="1"/>
      <name val="Calibri Light"/>
      <family val="2"/>
    </font>
    <font>
      <b/>
      <sz val="12"/>
      <color rgb="FFFF0000"/>
      <name val="Calibri Light"/>
      <family val="2"/>
    </font>
    <font>
      <sz val="12"/>
      <color rgb="FFFF0000"/>
      <name val="Calibri Light"/>
      <family val="2"/>
    </font>
    <font>
      <b/>
      <sz val="12"/>
      <color rgb="FF000000"/>
      <name val="Calibri Light"/>
      <family val="2"/>
    </font>
    <font>
      <sz val="12"/>
      <color rgb="FF000000"/>
      <name val="Calibri Light"/>
      <family val="2"/>
    </font>
    <font>
      <b/>
      <sz val="12"/>
      <color rgb="FF000000"/>
      <name val="Aptos Narrow"/>
      <family val="2"/>
      <scheme val="minor"/>
    </font>
    <font>
      <b/>
      <sz val="12"/>
      <color rgb="FF00B0F0"/>
      <name val="Calibri Light"/>
      <family val="2"/>
    </font>
    <font>
      <sz val="11"/>
      <color rgb="FF002060"/>
      <name val="Inter"/>
      <family val="2"/>
    </font>
    <font>
      <b/>
      <sz val="10"/>
      <color rgb="FF002060"/>
      <name val="Inter"/>
      <family val="2"/>
    </font>
    <font>
      <sz val="9"/>
      <color indexed="81"/>
      <name val="Tahoma"/>
      <family val="2"/>
    </font>
  </fonts>
  <fills count="20">
    <fill>
      <patternFill patternType="none"/>
    </fill>
    <fill>
      <patternFill patternType="gray125"/>
    </fill>
    <fill>
      <patternFill patternType="solid">
        <fgColor rgb="FF0070C0"/>
        <bgColor indexed="64"/>
      </patternFill>
    </fill>
    <fill>
      <patternFill patternType="solid">
        <fgColor rgb="FF0B3040"/>
        <bgColor rgb="FF000000"/>
      </patternFill>
    </fill>
    <fill>
      <patternFill patternType="solid">
        <fgColor rgb="FF00B0F0"/>
        <bgColor rgb="FF000000"/>
      </patternFill>
    </fill>
    <fill>
      <patternFill patternType="solid">
        <fgColor rgb="FF0070C0"/>
        <bgColor rgb="FF000000"/>
      </patternFill>
    </fill>
    <fill>
      <patternFill patternType="solid">
        <fgColor theme="8" tint="-0.249977111117893"/>
        <bgColor rgb="FF000000"/>
      </patternFill>
    </fill>
    <fill>
      <patternFill patternType="solid">
        <fgColor theme="7" tint="0.39997558519241921"/>
        <bgColor rgb="FF000000"/>
      </patternFill>
    </fill>
    <fill>
      <patternFill patternType="solid">
        <fgColor theme="7" tint="0.39997558519241921"/>
        <bgColor indexed="64"/>
      </patternFill>
    </fill>
    <fill>
      <patternFill patternType="solid">
        <fgColor theme="3" tint="0.249977111117893"/>
        <bgColor rgb="FF000000"/>
      </patternFill>
    </fill>
    <fill>
      <patternFill patternType="solid">
        <fgColor theme="3"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4DCF8"/>
        <bgColor rgb="FF000000"/>
      </patternFill>
    </fill>
    <fill>
      <patternFill patternType="solid">
        <fgColor theme="0"/>
        <bgColor rgb="FF000000"/>
      </patternFill>
    </fill>
    <fill>
      <patternFill patternType="solid">
        <fgColor rgb="FFFFC000"/>
        <bgColor indexed="64"/>
      </patternFill>
    </fill>
    <fill>
      <patternFill patternType="solid">
        <fgColor rgb="FFFFE1F7"/>
        <bgColor indexed="64"/>
      </patternFill>
    </fill>
    <fill>
      <patternFill patternType="solid">
        <fgColor rgb="FFFFFFFF"/>
        <bgColor rgb="FF000000"/>
      </patternFill>
    </fill>
    <fill>
      <patternFill patternType="solid">
        <fgColor theme="8" tint="0.79998168889431442"/>
        <bgColor indexed="64"/>
      </patternFill>
    </fill>
  </fills>
  <borders count="8">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0009A"/>
      </left>
      <right style="thin">
        <color rgb="FFD0009A"/>
      </right>
      <top style="thin">
        <color rgb="FFD0009A"/>
      </top>
      <bottom style="thin">
        <color rgb="FFD0009A"/>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cellStyleXfs>
  <cellXfs count="146">
    <xf numFmtId="0" fontId="0" fillId="0" borderId="0" xfId="0"/>
    <xf numFmtId="0" fontId="2" fillId="0" borderId="0" xfId="0" applyFont="1" applyAlignment="1">
      <alignment wrapText="1"/>
    </xf>
    <xf numFmtId="0" fontId="4" fillId="2" borderId="1"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0" fillId="0" borderId="0" xfId="0" applyAlignment="1">
      <alignment wrapText="1"/>
    </xf>
    <xf numFmtId="0" fontId="5" fillId="3" borderId="3" xfId="0" applyFont="1" applyFill="1" applyBorder="1" applyAlignment="1">
      <alignment horizontal="justify" vertical="distributed" wrapText="1"/>
    </xf>
    <xf numFmtId="0" fontId="5" fillId="3" borderId="3" xfId="0" applyFont="1" applyFill="1" applyBorder="1" applyAlignment="1">
      <alignment horizontal="justify" vertical="center" wrapText="1"/>
    </xf>
    <xf numFmtId="0" fontId="6" fillId="4" borderId="3" xfId="0" applyFont="1" applyFill="1" applyBorder="1" applyAlignment="1">
      <alignment horizontal="justify" vertical="center" wrapText="1"/>
    </xf>
    <xf numFmtId="0" fontId="5" fillId="5" borderId="3" xfId="0" applyFont="1" applyFill="1" applyBorder="1" applyAlignment="1">
      <alignment horizontal="justify" vertical="center" wrapText="1"/>
    </xf>
    <xf numFmtId="0" fontId="5" fillId="6" borderId="3" xfId="0" applyFont="1" applyFill="1" applyBorder="1" applyAlignment="1">
      <alignment horizontal="justify" vertical="center" wrapText="1"/>
    </xf>
    <xf numFmtId="0" fontId="5" fillId="5" borderId="3"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4" fillId="8" borderId="3" xfId="3" applyFont="1" applyFill="1" applyBorder="1" applyAlignment="1">
      <alignment horizontal="center" vertical="center" wrapText="1"/>
    </xf>
    <xf numFmtId="0" fontId="7" fillId="9" borderId="3" xfId="0" applyFont="1" applyFill="1" applyBorder="1" applyAlignment="1">
      <alignment horizontal="center" vertical="center" wrapText="1"/>
    </xf>
    <xf numFmtId="0" fontId="4" fillId="10" borderId="3" xfId="3" applyFont="1" applyFill="1" applyBorder="1" applyAlignment="1">
      <alignment horizontal="center" vertical="center" wrapText="1"/>
    </xf>
    <xf numFmtId="0" fontId="7" fillId="5" borderId="3" xfId="0" applyFont="1" applyFill="1" applyBorder="1" applyAlignment="1">
      <alignment horizontal="center" vertical="center" wrapText="1"/>
    </xf>
    <xf numFmtId="0" fontId="8" fillId="0" borderId="3" xfId="0" applyFont="1" applyBorder="1" applyAlignment="1">
      <alignment horizontal="justify" vertical="center" wrapText="1"/>
    </xf>
    <xf numFmtId="0" fontId="9" fillId="0" borderId="3" xfId="0" applyFont="1" applyBorder="1" applyAlignment="1">
      <alignment horizontal="justify" vertical="center" wrapText="1"/>
    </xf>
    <xf numFmtId="0" fontId="10" fillId="11" borderId="3"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3" xfId="0" applyFont="1" applyBorder="1" applyAlignment="1">
      <alignment horizontal="justify" vertical="center" wrapText="1"/>
    </xf>
    <xf numFmtId="0" fontId="12" fillId="0" borderId="3" xfId="0" applyFont="1" applyBorder="1" applyAlignment="1">
      <alignment horizontal="center" vertical="center" wrapText="1"/>
    </xf>
    <xf numFmtId="9" fontId="11" fillId="0" borderId="3" xfId="0" applyNumberFormat="1" applyFont="1" applyBorder="1" applyAlignment="1">
      <alignment horizontal="justify" vertical="center" wrapText="1"/>
    </xf>
    <xf numFmtId="9" fontId="11" fillId="12" borderId="3" xfId="0" applyNumberFormat="1" applyFont="1" applyFill="1" applyBorder="1" applyAlignment="1">
      <alignment horizontal="justify" vertical="center" wrapText="1"/>
    </xf>
    <xf numFmtId="0" fontId="11" fillId="12" borderId="3" xfId="0" applyFont="1" applyFill="1" applyBorder="1" applyAlignment="1">
      <alignment horizontal="justify" vertical="center" wrapText="1"/>
    </xf>
    <xf numFmtId="9" fontId="10" fillId="0" borderId="3" xfId="0" applyNumberFormat="1" applyFont="1" applyBorder="1" applyAlignment="1">
      <alignment horizontal="justify" vertical="center" wrapText="1"/>
    </xf>
    <xf numFmtId="0" fontId="8" fillId="0" borderId="4" xfId="0" applyFont="1" applyBorder="1" applyAlignment="1">
      <alignment horizontal="justify" vertical="center" wrapText="1"/>
    </xf>
    <xf numFmtId="0" fontId="10" fillId="11" borderId="4"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applyAlignment="1">
      <alignment horizontal="justify" vertical="center" wrapText="1"/>
    </xf>
    <xf numFmtId="0" fontId="9" fillId="0" borderId="4" xfId="0" applyFont="1" applyBorder="1" applyAlignment="1">
      <alignment horizontal="justify" vertical="center" wrapText="1"/>
    </xf>
    <xf numFmtId="0" fontId="11" fillId="12" borderId="4" xfId="0" applyFont="1" applyFill="1" applyBorder="1" applyAlignment="1">
      <alignment horizontal="justify" vertical="center" wrapText="1"/>
    </xf>
    <xf numFmtId="0" fontId="3" fillId="0" borderId="3" xfId="3" applyBorder="1" applyAlignment="1">
      <alignment vertical="center" wrapText="1"/>
    </xf>
    <xf numFmtId="0" fontId="13" fillId="0" borderId="3" xfId="0" applyFont="1" applyBorder="1" applyAlignment="1">
      <alignment vertical="center" wrapText="1"/>
    </xf>
    <xf numFmtId="0" fontId="15" fillId="0" borderId="3" xfId="0" applyFont="1" applyBorder="1" applyAlignment="1">
      <alignment vertical="center" wrapText="1"/>
    </xf>
    <xf numFmtId="0" fontId="16" fillId="0" borderId="3" xfId="0" applyFont="1" applyBorder="1" applyAlignment="1">
      <alignment vertical="center" wrapText="1"/>
    </xf>
    <xf numFmtId="0" fontId="10" fillId="11" borderId="3" xfId="3" applyFont="1" applyFill="1" applyBorder="1" applyAlignment="1">
      <alignment horizontal="center" vertical="center" wrapText="1"/>
    </xf>
    <xf numFmtId="0" fontId="11" fillId="11" borderId="3" xfId="3" applyFont="1" applyFill="1" applyBorder="1" applyAlignment="1">
      <alignment horizontal="center" vertical="center" wrapText="1"/>
    </xf>
    <xf numFmtId="0" fontId="11" fillId="11" borderId="4" xfId="3" applyFont="1" applyFill="1" applyBorder="1" applyAlignment="1">
      <alignment horizontal="center" vertical="center" wrapText="1"/>
    </xf>
    <xf numFmtId="0" fontId="10" fillId="11" borderId="4" xfId="3" applyFont="1" applyFill="1" applyBorder="1" applyAlignment="1">
      <alignment horizontal="center" vertical="center" wrapText="1"/>
    </xf>
    <xf numFmtId="0" fontId="11" fillId="0" borderId="3" xfId="3" applyFont="1" applyBorder="1" applyAlignment="1">
      <alignment horizontal="center" vertical="center" wrapText="1"/>
    </xf>
    <xf numFmtId="0" fontId="11" fillId="0" borderId="3" xfId="3" applyFont="1" applyBorder="1" applyAlignment="1">
      <alignment horizontal="justify" vertical="center" wrapText="1"/>
    </xf>
    <xf numFmtId="0" fontId="11" fillId="11" borderId="3" xfId="3" applyFont="1" applyFill="1" applyBorder="1" applyAlignment="1">
      <alignment vertical="center" wrapText="1"/>
    </xf>
    <xf numFmtId="0" fontId="11" fillId="0" borderId="3" xfId="3" applyFont="1" applyBorder="1" applyAlignment="1">
      <alignment vertical="center" wrapText="1"/>
    </xf>
    <xf numFmtId="0" fontId="11" fillId="12" borderId="3" xfId="3" applyFont="1" applyFill="1" applyBorder="1" applyAlignment="1">
      <alignment vertical="center" wrapText="1"/>
    </xf>
    <xf numFmtId="0" fontId="11" fillId="12" borderId="3" xfId="3" applyFont="1" applyFill="1" applyBorder="1" applyAlignment="1">
      <alignment horizontal="justify" vertical="center" wrapText="1"/>
    </xf>
    <xf numFmtId="2" fontId="11" fillId="0" borderId="3" xfId="3" applyNumberFormat="1" applyFont="1" applyBorder="1" applyAlignment="1">
      <alignment horizontal="justify" vertical="center" wrapText="1"/>
    </xf>
    <xf numFmtId="10" fontId="11" fillId="12" borderId="3" xfId="3" applyNumberFormat="1" applyFont="1" applyFill="1" applyBorder="1" applyAlignment="1">
      <alignment horizontal="justify" vertical="center" wrapText="1"/>
    </xf>
    <xf numFmtId="0" fontId="10" fillId="13" borderId="3" xfId="3" applyFont="1" applyFill="1" applyBorder="1" applyAlignment="1">
      <alignment horizontal="justify" vertical="center" wrapText="1"/>
    </xf>
    <xf numFmtId="0" fontId="13" fillId="0" borderId="3" xfId="0" applyFont="1" applyBorder="1" applyAlignment="1">
      <alignment horizontal="center" vertical="center" wrapText="1"/>
    </xf>
    <xf numFmtId="164" fontId="11" fillId="0" borderId="3" xfId="1" applyNumberFormat="1" applyFont="1" applyBorder="1" applyAlignment="1">
      <alignment horizontal="center" vertical="center" wrapText="1"/>
    </xf>
    <xf numFmtId="9" fontId="11" fillId="12" borderId="3" xfId="2" applyFont="1" applyFill="1" applyBorder="1" applyAlignment="1">
      <alignment horizontal="center" vertical="center" wrapText="1"/>
    </xf>
    <xf numFmtId="164" fontId="11" fillId="0" borderId="3" xfId="1" applyNumberFormat="1" applyFont="1" applyBorder="1" applyAlignment="1">
      <alignment horizontal="justify" vertical="center" wrapText="1"/>
    </xf>
    <xf numFmtId="9" fontId="11" fillId="0" borderId="3" xfId="2" applyFont="1" applyBorder="1" applyAlignment="1">
      <alignment horizontal="center" vertical="center" wrapText="1"/>
    </xf>
    <xf numFmtId="165" fontId="11" fillId="0" borderId="3" xfId="2" applyNumberFormat="1" applyFont="1" applyBorder="1" applyAlignment="1">
      <alignment horizontal="center" vertical="center" wrapText="1"/>
    </xf>
    <xf numFmtId="165" fontId="11" fillId="12" borderId="3" xfId="2" applyNumberFormat="1" applyFont="1" applyFill="1" applyBorder="1" applyAlignment="1">
      <alignment horizontal="center" vertical="center" wrapText="1"/>
    </xf>
    <xf numFmtId="9" fontId="11" fillId="0" borderId="3" xfId="3" applyNumberFormat="1" applyFont="1" applyBorder="1" applyAlignment="1">
      <alignment horizontal="justify" vertical="center" wrapText="1"/>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17" fillId="0" borderId="4" xfId="0" applyFont="1" applyBorder="1" applyAlignment="1">
      <alignment vertical="center" wrapText="1"/>
    </xf>
    <xf numFmtId="0" fontId="15" fillId="0" borderId="5" xfId="0" applyFont="1" applyBorder="1" applyAlignment="1">
      <alignment vertical="center" wrapText="1"/>
    </xf>
    <xf numFmtId="0" fontId="11" fillId="11" borderId="5" xfId="0" applyFont="1" applyFill="1" applyBorder="1" applyAlignment="1">
      <alignment horizontal="left" vertical="center" wrapText="1"/>
    </xf>
    <xf numFmtId="0" fontId="11" fillId="11" borderId="3" xfId="0" applyFont="1" applyFill="1" applyBorder="1" applyAlignment="1">
      <alignment horizontal="left" vertical="center" wrapText="1"/>
    </xf>
    <xf numFmtId="0" fontId="11" fillId="11" borderId="5" xfId="0" applyFont="1" applyFill="1" applyBorder="1" applyAlignment="1">
      <alignment horizontal="center" vertical="center" wrapText="1"/>
    </xf>
    <xf numFmtId="0" fontId="11" fillId="0" borderId="4" xfId="0" applyFont="1" applyBorder="1" applyAlignment="1">
      <alignment vertical="center" wrapText="1"/>
    </xf>
    <xf numFmtId="0" fontId="11" fillId="0" borderId="4" xfId="0" applyFont="1" applyBorder="1" applyAlignment="1">
      <alignment horizontal="justify" vertical="center" wrapText="1"/>
    </xf>
    <xf numFmtId="9" fontId="11" fillId="0" borderId="3" xfId="0" applyNumberFormat="1" applyFont="1" applyBorder="1" applyAlignment="1">
      <alignment vertical="center" wrapText="1"/>
    </xf>
    <xf numFmtId="10" fontId="11" fillId="0" borderId="3" xfId="0" applyNumberFormat="1" applyFont="1" applyBorder="1" applyAlignment="1">
      <alignment vertical="center" wrapText="1"/>
    </xf>
    <xf numFmtId="0" fontId="11" fillId="0" borderId="3" xfId="0" applyFont="1" applyBorder="1" applyAlignment="1">
      <alignment vertical="center" wrapText="1"/>
    </xf>
    <xf numFmtId="0" fontId="11" fillId="0" borderId="3" xfId="0" applyFont="1" applyBorder="1" applyAlignment="1">
      <alignment horizontal="justify" vertical="center" wrapText="1"/>
    </xf>
    <xf numFmtId="0" fontId="11" fillId="0" borderId="5" xfId="0" applyFont="1" applyBorder="1" applyAlignment="1">
      <alignment vertical="center" wrapText="1"/>
    </xf>
    <xf numFmtId="0" fontId="11" fillId="0" borderId="5" xfId="0" applyFont="1" applyBorder="1" applyAlignment="1">
      <alignment horizontal="justify" vertical="center" wrapText="1"/>
    </xf>
    <xf numFmtId="0" fontId="11" fillId="0" borderId="5" xfId="0" applyFont="1" applyBorder="1" applyAlignment="1">
      <alignment horizontal="justify" vertical="center" wrapText="1"/>
    </xf>
    <xf numFmtId="0" fontId="11" fillId="12" borderId="5" xfId="0" applyFont="1" applyFill="1" applyBorder="1" applyAlignment="1">
      <alignment horizontal="justify" vertical="center" wrapText="1"/>
    </xf>
    <xf numFmtId="0" fontId="8" fillId="0" borderId="3" xfId="0" applyFont="1" applyBorder="1" applyAlignment="1">
      <alignment horizontal="center" vertical="center" wrapText="1"/>
    </xf>
    <xf numFmtId="0" fontId="9" fillId="0" borderId="6" xfId="0" applyFont="1" applyBorder="1" applyAlignment="1">
      <alignment horizontal="center" vertical="center" wrapText="1"/>
    </xf>
    <xf numFmtId="0" fontId="11" fillId="11" borderId="6" xfId="0" applyFont="1" applyFill="1" applyBorder="1" applyAlignment="1">
      <alignment horizontal="left" vertical="center" wrapText="1"/>
    </xf>
    <xf numFmtId="0" fontId="11" fillId="11" borderId="6" xfId="0" applyFont="1" applyFill="1" applyBorder="1" applyAlignment="1">
      <alignment horizontal="center" vertical="center" wrapText="1"/>
    </xf>
    <xf numFmtId="0" fontId="19" fillId="0" borderId="3" xfId="0" applyFont="1" applyBorder="1" applyAlignment="1">
      <alignment horizontal="center" vertical="center" wrapText="1"/>
    </xf>
    <xf numFmtId="0" fontId="9" fillId="0" borderId="3" xfId="0" applyFont="1" applyBorder="1" applyAlignment="1">
      <alignment horizontal="center" vertical="center" wrapText="1"/>
    </xf>
    <xf numFmtId="0" fontId="11" fillId="12" borderId="3" xfId="0" applyFont="1" applyFill="1" applyBorder="1" applyAlignment="1">
      <alignment vertical="center" wrapText="1"/>
    </xf>
    <xf numFmtId="0" fontId="10" fillId="11" borderId="3"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8" fillId="0" borderId="3" xfId="0" applyFont="1" applyBorder="1" applyAlignment="1">
      <alignment vertical="center" wrapText="1"/>
    </xf>
    <xf numFmtId="0" fontId="18" fillId="0" borderId="3" xfId="0" applyFont="1" applyBorder="1" applyAlignment="1">
      <alignment vertical="center" wrapText="1"/>
    </xf>
    <xf numFmtId="0" fontId="20" fillId="0" borderId="3" xfId="0" applyFont="1" applyBorder="1" applyAlignment="1">
      <alignment vertical="center" wrapText="1"/>
    </xf>
    <xf numFmtId="0" fontId="10" fillId="11" borderId="6"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10" fillId="0" borderId="3" xfId="0" applyFont="1" applyBorder="1" applyAlignment="1">
      <alignment horizontal="justify" vertical="center" wrapText="1"/>
    </xf>
    <xf numFmtId="0" fontId="10" fillId="15" borderId="3" xfId="0" applyFont="1" applyFill="1" applyBorder="1" applyAlignment="1">
      <alignment horizontal="center" vertical="center" wrapText="1"/>
    </xf>
    <xf numFmtId="9" fontId="11" fillId="0" borderId="3" xfId="2" applyFont="1" applyBorder="1" applyAlignment="1">
      <alignment horizontal="justify" vertical="center" wrapText="1"/>
    </xf>
    <xf numFmtId="9" fontId="11" fillId="12" borderId="3" xfId="2" applyFont="1" applyFill="1" applyBorder="1" applyAlignment="1">
      <alignment horizontal="justify" vertical="center" wrapText="1"/>
    </xf>
    <xf numFmtId="0" fontId="11" fillId="15" borderId="3" xfId="0" applyFont="1" applyFill="1" applyBorder="1" applyAlignment="1">
      <alignment horizontal="center" vertical="center" wrapText="1"/>
    </xf>
    <xf numFmtId="0" fontId="11" fillId="15" borderId="6" xfId="0" applyFont="1" applyFill="1" applyBorder="1" applyAlignment="1">
      <alignment horizontal="center" vertical="center" wrapText="1"/>
    </xf>
    <xf numFmtId="9" fontId="11" fillId="0" borderId="3" xfId="0" applyNumberFormat="1" applyFont="1" applyBorder="1" applyAlignment="1">
      <alignment horizontal="center" vertical="center" wrapText="1"/>
    </xf>
    <xf numFmtId="10" fontId="11" fillId="0" borderId="3" xfId="0" applyNumberFormat="1" applyFont="1" applyBorder="1" applyAlignment="1">
      <alignment horizontal="center" vertical="center" wrapText="1"/>
    </xf>
    <xf numFmtId="10" fontId="11" fillId="12" borderId="3" xfId="0" applyNumberFormat="1" applyFont="1" applyFill="1" applyBorder="1" applyAlignment="1">
      <alignment horizontal="center" vertical="center" wrapText="1"/>
    </xf>
    <xf numFmtId="0" fontId="18" fillId="0" borderId="4" xfId="0" applyFont="1" applyBorder="1" applyAlignment="1">
      <alignment vertical="center" wrapText="1"/>
    </xf>
    <xf numFmtId="0" fontId="16" fillId="0" borderId="4" xfId="0" applyFont="1" applyBorder="1" applyAlignment="1">
      <alignment vertical="center" wrapText="1"/>
    </xf>
    <xf numFmtId="0" fontId="10" fillId="11" borderId="5" xfId="0" applyFont="1" applyFill="1" applyBorder="1" applyAlignment="1">
      <alignment horizontal="center" vertical="center" wrapText="1"/>
    </xf>
    <xf numFmtId="0" fontId="11" fillId="12" borderId="4" xfId="0" applyFont="1" applyFill="1" applyBorder="1" applyAlignment="1">
      <alignment vertical="center" wrapText="1"/>
    </xf>
    <xf numFmtId="0" fontId="11" fillId="16" borderId="3" xfId="0" applyFont="1" applyFill="1" applyBorder="1" applyAlignment="1">
      <alignment horizontal="justify" vertical="center" wrapText="1"/>
    </xf>
    <xf numFmtId="0" fontId="18" fillId="0" borderId="3" xfId="0" applyFont="1" applyBorder="1" applyAlignment="1">
      <alignment horizontal="center" vertical="center" wrapText="1"/>
    </xf>
    <xf numFmtId="0" fontId="21" fillId="0" borderId="3" xfId="0" applyFont="1" applyBorder="1"/>
    <xf numFmtId="0" fontId="13" fillId="0" borderId="3" xfId="3" applyFont="1" applyBorder="1" applyAlignment="1">
      <alignment vertical="center" wrapText="1"/>
    </xf>
    <xf numFmtId="0" fontId="16" fillId="0" borderId="3" xfId="3" applyFont="1" applyBorder="1" applyAlignment="1">
      <alignment vertical="center" wrapText="1"/>
    </xf>
    <xf numFmtId="9" fontId="11" fillId="0" borderId="3" xfId="3" applyNumberFormat="1" applyFont="1" applyBorder="1" applyAlignment="1">
      <alignment vertical="center" wrapText="1"/>
    </xf>
    <xf numFmtId="9" fontId="11" fillId="12" borderId="3" xfId="3" applyNumberFormat="1" applyFont="1" applyFill="1" applyBorder="1" applyAlignment="1">
      <alignment horizontal="justify" vertical="center" wrapText="1"/>
    </xf>
    <xf numFmtId="0" fontId="10" fillId="11" borderId="3" xfId="3" applyFont="1" applyFill="1" applyBorder="1" applyAlignment="1">
      <alignment vertical="center" wrapText="1"/>
    </xf>
    <xf numFmtId="0" fontId="10" fillId="11" borderId="6" xfId="3" applyFont="1" applyFill="1" applyBorder="1" applyAlignment="1">
      <alignment horizontal="center" vertical="center" wrapText="1"/>
    </xf>
    <xf numFmtId="0" fontId="11" fillId="11" borderId="6" xfId="3" applyFont="1" applyFill="1" applyBorder="1" applyAlignment="1">
      <alignment vertical="center" wrapText="1"/>
    </xf>
    <xf numFmtId="0" fontId="11" fillId="11" borderId="6" xfId="3" applyFont="1" applyFill="1" applyBorder="1" applyAlignment="1">
      <alignment horizontal="center" vertical="center" wrapText="1"/>
    </xf>
    <xf numFmtId="0" fontId="11" fillId="12" borderId="0" xfId="3" applyFont="1" applyFill="1" applyAlignment="1">
      <alignment vertical="center" wrapText="1"/>
    </xf>
    <xf numFmtId="0" fontId="22" fillId="17" borderId="7" xfId="0" applyFont="1" applyFill="1" applyBorder="1" applyAlignment="1">
      <alignment horizontal="center" vertical="center" wrapText="1"/>
    </xf>
    <xf numFmtId="0" fontId="22" fillId="12" borderId="7" xfId="0" applyFont="1" applyFill="1" applyBorder="1" applyAlignment="1">
      <alignment horizontal="center" vertical="center" wrapText="1"/>
    </xf>
    <xf numFmtId="10" fontId="11" fillId="0" borderId="3" xfId="3" applyNumberFormat="1" applyFont="1" applyBorder="1" applyAlignment="1">
      <alignment vertical="center" wrapText="1"/>
    </xf>
    <xf numFmtId="165" fontId="11" fillId="0" borderId="3" xfId="3" applyNumberFormat="1" applyFont="1" applyBorder="1" applyAlignment="1">
      <alignment vertical="center" wrapText="1"/>
    </xf>
    <xf numFmtId="165" fontId="11" fillId="12" borderId="3" xfId="3" applyNumberFormat="1" applyFont="1" applyFill="1" applyBorder="1" applyAlignment="1">
      <alignment vertical="center" wrapText="1"/>
    </xf>
    <xf numFmtId="0" fontId="17" fillId="0" borderId="3" xfId="0" applyFont="1" applyBorder="1" applyAlignment="1">
      <alignment vertical="center" wrapText="1"/>
    </xf>
    <xf numFmtId="0" fontId="10" fillId="0" borderId="3" xfId="0" applyFont="1" applyBorder="1" applyAlignment="1">
      <alignment vertical="center" wrapText="1"/>
    </xf>
    <xf numFmtId="0" fontId="10" fillId="11" borderId="3" xfId="0" applyFont="1" applyFill="1" applyBorder="1" applyAlignment="1">
      <alignment vertical="center" wrapText="1"/>
    </xf>
    <xf numFmtId="0" fontId="11" fillId="11" borderId="3" xfId="0" applyFont="1" applyFill="1" applyBorder="1" applyAlignment="1">
      <alignment vertical="center" wrapText="1"/>
    </xf>
    <xf numFmtId="0" fontId="18" fillId="0" borderId="4" xfId="0" applyFont="1" applyBorder="1" applyAlignment="1">
      <alignment horizontal="center" vertical="center" wrapText="1"/>
    </xf>
    <xf numFmtId="0" fontId="15" fillId="0" borderId="4" xfId="0" applyFont="1" applyBorder="1" applyAlignment="1">
      <alignment vertical="center" wrapText="1"/>
    </xf>
    <xf numFmtId="0" fontId="17" fillId="0" borderId="3" xfId="0" applyFont="1" applyBorder="1" applyAlignment="1">
      <alignment horizontal="center" vertical="center" wrapText="1"/>
    </xf>
    <xf numFmtId="9" fontId="11" fillId="0" borderId="4" xfId="0" applyNumberFormat="1" applyFont="1" applyBorder="1" applyAlignment="1">
      <alignment vertical="center" wrapText="1"/>
    </xf>
    <xf numFmtId="9" fontId="11" fillId="12" borderId="4" xfId="0" applyNumberFormat="1" applyFont="1" applyFill="1" applyBorder="1" applyAlignment="1">
      <alignment vertical="center" wrapText="1"/>
    </xf>
    <xf numFmtId="9" fontId="11" fillId="0" borderId="4" xfId="0" applyNumberFormat="1" applyFont="1" applyBorder="1" applyAlignment="1">
      <alignment horizontal="justify" vertical="center" wrapText="1"/>
    </xf>
    <xf numFmtId="9" fontId="11" fillId="12" borderId="4" xfId="0" applyNumberFormat="1" applyFont="1" applyFill="1" applyBorder="1" applyAlignment="1">
      <alignment horizontal="justify" vertical="center" wrapText="1"/>
    </xf>
    <xf numFmtId="10" fontId="11" fillId="0" borderId="4" xfId="0" applyNumberFormat="1" applyFont="1" applyBorder="1" applyAlignment="1">
      <alignment horizontal="justify" vertical="center" wrapText="1"/>
    </xf>
    <xf numFmtId="0" fontId="18" fillId="0" borderId="3" xfId="0" applyFont="1" applyBorder="1" applyAlignment="1">
      <alignment horizontal="left" vertical="center" wrapText="1"/>
    </xf>
    <xf numFmtId="0" fontId="18" fillId="18" borderId="3" xfId="0" applyFont="1" applyFill="1" applyBorder="1" applyAlignment="1">
      <alignment vertical="center" wrapText="1"/>
    </xf>
    <xf numFmtId="0" fontId="16" fillId="18" borderId="3" xfId="0" applyFont="1" applyFill="1" applyBorder="1" applyAlignment="1">
      <alignment vertical="center" wrapText="1"/>
    </xf>
    <xf numFmtId="0" fontId="18" fillId="18" borderId="4" xfId="0" applyFont="1" applyFill="1" applyBorder="1" applyAlignment="1">
      <alignment vertical="center" wrapText="1"/>
    </xf>
    <xf numFmtId="0" fontId="16" fillId="18" borderId="4" xfId="0" applyFont="1" applyFill="1" applyBorder="1" applyAlignment="1">
      <alignment vertical="center" wrapText="1"/>
    </xf>
    <xf numFmtId="0" fontId="11" fillId="19" borderId="3" xfId="0" applyFont="1" applyFill="1" applyBorder="1" applyAlignment="1">
      <alignment vertical="center" wrapText="1"/>
    </xf>
    <xf numFmtId="0" fontId="11" fillId="19" borderId="3" xfId="0" applyFont="1" applyFill="1" applyBorder="1" applyAlignment="1">
      <alignment horizontal="justify" vertical="center" wrapText="1"/>
    </xf>
    <xf numFmtId="9" fontId="11" fillId="12" borderId="3" xfId="0" applyNumberFormat="1" applyFont="1" applyFill="1" applyBorder="1" applyAlignment="1">
      <alignment vertical="center" wrapText="1"/>
    </xf>
    <xf numFmtId="9" fontId="11" fillId="12" borderId="3" xfId="2" applyFont="1" applyFill="1" applyBorder="1" applyAlignment="1">
      <alignment vertical="center" wrapText="1"/>
    </xf>
    <xf numFmtId="0" fontId="11" fillId="11" borderId="6" xfId="0" applyFont="1" applyFill="1" applyBorder="1" applyAlignment="1">
      <alignment vertical="center" wrapText="1"/>
    </xf>
    <xf numFmtId="0" fontId="18" fillId="0" borderId="3" xfId="0" applyFont="1" applyBorder="1" applyAlignment="1">
      <alignment vertical="top" wrapText="1"/>
    </xf>
    <xf numFmtId="0" fontId="16" fillId="0" borderId="3" xfId="0" applyFont="1" applyBorder="1" applyAlignment="1">
      <alignment vertical="top" wrapText="1"/>
    </xf>
    <xf numFmtId="0" fontId="18" fillId="0" borderId="4" xfId="0" applyFont="1" applyBorder="1" applyAlignment="1">
      <alignment vertical="top" wrapText="1"/>
    </xf>
    <xf numFmtId="0" fontId="11" fillId="0" borderId="4" xfId="0" applyFont="1" applyBorder="1" applyAlignment="1">
      <alignment wrapText="1"/>
    </xf>
  </cellXfs>
  <cellStyles count="4">
    <cellStyle name="Millares" xfId="1" builtinId="3"/>
    <cellStyle name="Normal" xfId="0" builtinId="0"/>
    <cellStyle name="Normal 2" xfId="3" xr:uid="{25B6E218-0CB2-4950-91E4-5EBB9F6F6EAD}"/>
    <cellStyle name="Porcentaje" xfId="2" builtinId="5"/>
  </cellStyles>
  <dxfs count="0"/>
  <tableStyles count="1" defaultTableStyle="TableStyleMedium2" defaultPivotStyle="PivotStyleLight16">
    <tableStyle name="Invisible" pivot="0" table="0" count="0" xr9:uid="{F1E29AB2-5AEC-458C-A764-CB27E0A7E8A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cec Ximena Silva Goyeneche" id="{41F01098-9674-497B-897D-AE27DFF4DD0D}" userId="S::lxisilva@poligran.edu.co::8288b16f-baeb-48ea-b2e7-c5e2177103dc"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8" dT="2026-09-08T19:52:01.45" personId="{41F01098-9674-497B-897D-AE27DFF4DD0D}" id="{4BC1B9A5-27B6-4248-B1C1-C79208ED2EFC}">
    <text>Focus Group
Estudiantes: 15
Profesores: 15
Graduados: 15
Empresarios: 15
Administrativos: 15
Proveedores: 15
Encuestas
Estudiantes: 1.500
Profesores: 300
Colaboradores: 300
Graduados: 150</text>
  </threadedComment>
  <threadedComment ref="Q13" dT="2026-09-08T20:19:19.94" personId="{41F01098-9674-497B-897D-AE27DFF4DD0D}" id="{029006E9-4008-49E2-BAEE-4CC12F0054C4}">
    <text>Colaboradores: 63%
Estudiantes: 18%
Graduados:22%</text>
  </threadedComment>
  <threadedComment ref="O48" dT="2026-09-08T20:34:23.85" personId="{41F01098-9674-497B-897D-AE27DFF4DD0D}" id="{031792D7-5035-4B7B-AACF-D78C6E0A7AC9}">
    <text xml:space="preserve">
Nivel de satisfacción Estudiante Presencial: 100%
Nivel de satisfacción Estudiante Virtual: 100%
Nivel de satisfacción Profesor: 100%
Nivel de satisfacción Administrativo: 100%
Nivel de satisfacción Externo: 100%
Resultado General: 100% </text>
  </threadedComment>
  <threadedComment ref="R48" dT="2026-09-08T20:34:02.79" personId="{41F01098-9674-497B-897D-AE27DFF4DD0D}" id="{B12753C2-722D-4114-B28C-A6F443B4ECEC}">
    <text xml:space="preserve">Nivel de satisfacción Estudiante Presencial: 100%
Nivel de satisfacción Estudiante Virtual: 100%
Nivel de satisfacción Profesor: 100%
Nivel de satisfacción Administrativo: 100%
Nivel de satisfacción Externo: 100% </text>
  </threadedComment>
  <threadedComment ref="O49" dT="2026-09-08T20:45:53.62" personId="{41F01098-9674-497B-897D-AE27DFF4DD0D}" id="{C429ABAD-BC17-4B64-8E00-919DD7CD89E9}">
    <text xml:space="preserve">Nivel de satisfacción Estudiante presencial: 100%
Nivel de satisfacción Estudiante Virtual: 99%
Nivel de satisfacción Profesor: 94%
Nivel de satisfacción Administrativo: 100%
Nivel de satisfacción Graduado: 100%
Resultado General: 99% </text>
  </threadedComment>
  <threadedComment ref="R49" dT="2026-09-08T20:47:16.92" personId="{41F01098-9674-497B-897D-AE27DFF4DD0D}" id="{EF5E0CBC-6175-4664-A6AF-3994CA9A1DF3}">
    <text xml:space="preserve">Nivel de satisfacción Estudiante presencial: 98,1%
Nivel de satisfacción Estudiante Virtual: 95,4%
Nivel de satisfacción Profesor: 100%
Nivel de satisfacción Administrativo: 100%
Nivel de satisfacción Graduado: 100%
Resultado General: 97.9%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CFDA2-DB7B-4B41-9A64-5658BBBE0A38}">
  <sheetPr>
    <tabColor theme="8" tint="-0.249977111117893"/>
  </sheetPr>
  <dimension ref="A1:W68"/>
  <sheetViews>
    <sheetView tabSelected="1" topLeftCell="A2" zoomScale="73" zoomScaleNormal="98" workbookViewId="0">
      <selection activeCell="A2" sqref="A2"/>
    </sheetView>
  </sheetViews>
  <sheetFormatPr baseColWidth="10" defaultColWidth="11.5546875" defaultRowHeight="14.4" x14ac:dyDescent="0.3"/>
  <cols>
    <col min="1" max="1" width="39.5546875" style="4" customWidth="1"/>
    <col min="2" max="2" width="30.88671875" style="4" customWidth="1"/>
    <col min="3" max="3" width="58.6640625" style="4" customWidth="1"/>
    <col min="4" max="9" width="34.5546875" style="4" customWidth="1"/>
    <col min="10" max="10" width="23.6640625" style="4" customWidth="1"/>
    <col min="11" max="11" width="26.44140625" style="4" customWidth="1"/>
    <col min="12" max="12" width="22.33203125" style="4" customWidth="1"/>
    <col min="13" max="13" width="27.21875" style="4" customWidth="1"/>
    <col min="14" max="14" width="13.77734375" style="4" customWidth="1"/>
    <col min="15" max="16" width="11.5546875" style="4" customWidth="1"/>
    <col min="17" max="23" width="16.5546875" style="4" customWidth="1"/>
    <col min="24" max="16384" width="11.5546875" style="4"/>
  </cols>
  <sheetData>
    <row r="1" spans="1:23" ht="46.2" customHeight="1" x14ac:dyDescent="0.3">
      <c r="A1" s="1"/>
      <c r="B1" s="1"/>
      <c r="C1" s="1"/>
      <c r="D1" s="1"/>
      <c r="E1" s="1"/>
      <c r="F1" s="1"/>
      <c r="G1" s="1"/>
      <c r="H1" s="1"/>
      <c r="I1" s="1"/>
      <c r="J1" s="1"/>
      <c r="K1" s="1"/>
      <c r="L1" s="1"/>
      <c r="M1" s="1"/>
      <c r="N1" s="2" t="s">
        <v>0</v>
      </c>
      <c r="O1" s="3"/>
      <c r="P1" s="3"/>
      <c r="Q1" s="3"/>
      <c r="R1" s="3"/>
      <c r="S1" s="3"/>
      <c r="T1" s="3"/>
      <c r="U1" s="3"/>
      <c r="V1" s="3"/>
      <c r="W1" s="3"/>
    </row>
    <row r="2" spans="1:23" ht="36" x14ac:dyDescent="0.3">
      <c r="A2" s="5" t="s">
        <v>1</v>
      </c>
      <c r="B2" s="6" t="s">
        <v>2</v>
      </c>
      <c r="C2" s="7" t="s">
        <v>3</v>
      </c>
      <c r="D2" s="8" t="s">
        <v>4</v>
      </c>
      <c r="E2" s="8" t="s">
        <v>5</v>
      </c>
      <c r="F2" s="8" t="s">
        <v>6</v>
      </c>
      <c r="G2" s="9" t="s">
        <v>7</v>
      </c>
      <c r="H2" s="8" t="s">
        <v>8</v>
      </c>
      <c r="I2" s="8" t="s">
        <v>9</v>
      </c>
      <c r="J2" s="8" t="s">
        <v>10</v>
      </c>
      <c r="K2" s="8" t="s">
        <v>11</v>
      </c>
      <c r="L2" s="10" t="s">
        <v>12</v>
      </c>
      <c r="M2" s="10" t="s">
        <v>13</v>
      </c>
      <c r="N2" s="11" t="s">
        <v>14</v>
      </c>
      <c r="O2" s="12" t="s">
        <v>15</v>
      </c>
      <c r="P2" s="12" t="s">
        <v>16</v>
      </c>
      <c r="Q2" s="13" t="s">
        <v>17</v>
      </c>
      <c r="R2" s="14" t="s">
        <v>18</v>
      </c>
      <c r="S2" s="14" t="s">
        <v>19</v>
      </c>
      <c r="T2" s="15">
        <v>2027</v>
      </c>
      <c r="U2" s="15">
        <v>2028</v>
      </c>
      <c r="V2" s="15">
        <v>2029</v>
      </c>
      <c r="W2" s="15">
        <v>2030</v>
      </c>
    </row>
    <row r="3" spans="1:23" ht="78" x14ac:dyDescent="0.3">
      <c r="A3" s="16" t="s">
        <v>20</v>
      </c>
      <c r="B3" s="16" t="s">
        <v>21</v>
      </c>
      <c r="C3" s="16" t="s">
        <v>22</v>
      </c>
      <c r="D3" s="18" t="s">
        <v>23</v>
      </c>
      <c r="E3" s="19"/>
      <c r="F3" s="19" t="s">
        <v>24</v>
      </c>
      <c r="G3" s="19" t="s">
        <v>25</v>
      </c>
      <c r="H3" s="19" t="s">
        <v>26</v>
      </c>
      <c r="I3" s="19" t="s">
        <v>27</v>
      </c>
      <c r="J3" s="20"/>
      <c r="K3" s="21" t="s">
        <v>28</v>
      </c>
      <c r="L3" s="21" t="s">
        <v>29</v>
      </c>
      <c r="M3" s="22" t="s">
        <v>30</v>
      </c>
      <c r="N3" s="23">
        <v>0.95</v>
      </c>
      <c r="O3" s="23">
        <v>0.98</v>
      </c>
      <c r="P3" s="24">
        <f>O3/N3</f>
        <v>1.0315789473684212</v>
      </c>
      <c r="Q3" s="23" t="s">
        <v>31</v>
      </c>
      <c r="R3" s="23" t="s">
        <v>31</v>
      </c>
      <c r="S3" s="24" t="s">
        <v>31</v>
      </c>
      <c r="T3" s="23">
        <v>0.95</v>
      </c>
      <c r="U3" s="21" t="s">
        <v>31</v>
      </c>
      <c r="V3" s="23">
        <v>0.95</v>
      </c>
      <c r="W3" s="21" t="s">
        <v>31</v>
      </c>
    </row>
    <row r="4" spans="1:23" ht="62.4" x14ac:dyDescent="0.3">
      <c r="A4" s="16" t="s">
        <v>20</v>
      </c>
      <c r="B4" s="16" t="s">
        <v>32</v>
      </c>
      <c r="C4" s="16" t="s">
        <v>33</v>
      </c>
      <c r="D4" s="18" t="s">
        <v>34</v>
      </c>
      <c r="E4" s="19"/>
      <c r="F4" s="19" t="s">
        <v>24</v>
      </c>
      <c r="G4" s="19" t="s">
        <v>35</v>
      </c>
      <c r="H4" s="19" t="s">
        <v>26</v>
      </c>
      <c r="I4" s="19" t="s">
        <v>27</v>
      </c>
      <c r="J4" s="20"/>
      <c r="K4" s="21" t="s">
        <v>28</v>
      </c>
      <c r="L4" s="21" t="s">
        <v>36</v>
      </c>
      <c r="M4" s="17"/>
      <c r="N4" s="21" t="s">
        <v>31</v>
      </c>
      <c r="O4" s="21" t="s">
        <v>31</v>
      </c>
      <c r="P4" s="25" t="s">
        <v>31</v>
      </c>
      <c r="Q4" s="26">
        <v>0.93</v>
      </c>
      <c r="R4" s="23"/>
      <c r="S4" s="24"/>
      <c r="T4" s="21" t="s">
        <v>31</v>
      </c>
      <c r="U4" s="23">
        <v>0.94</v>
      </c>
      <c r="V4" s="21" t="s">
        <v>31</v>
      </c>
      <c r="W4" s="23">
        <v>0.95</v>
      </c>
    </row>
    <row r="5" spans="1:23" ht="46.8" x14ac:dyDescent="0.3">
      <c r="A5" s="16" t="s">
        <v>20</v>
      </c>
      <c r="B5" s="27" t="s">
        <v>37</v>
      </c>
      <c r="C5" s="27" t="s">
        <v>38</v>
      </c>
      <c r="D5" s="28" t="s">
        <v>39</v>
      </c>
      <c r="E5" s="19"/>
      <c r="F5" s="19" t="s">
        <v>24</v>
      </c>
      <c r="G5" s="29" t="s">
        <v>40</v>
      </c>
      <c r="H5" s="29" t="s">
        <v>41</v>
      </c>
      <c r="I5" s="19" t="s">
        <v>27</v>
      </c>
      <c r="J5" s="30"/>
      <c r="K5" s="30" t="s">
        <v>42</v>
      </c>
      <c r="L5" s="31" t="s">
        <v>36</v>
      </c>
      <c r="M5" s="32" t="s">
        <v>43</v>
      </c>
      <c r="N5" s="31"/>
      <c r="O5" s="31"/>
      <c r="P5" s="33"/>
      <c r="Q5" s="31"/>
      <c r="R5" s="31"/>
      <c r="S5" s="33"/>
      <c r="T5" s="31"/>
      <c r="U5" s="31"/>
      <c r="V5" s="31"/>
      <c r="W5" s="31"/>
    </row>
    <row r="6" spans="1:23" ht="69" customHeight="1" x14ac:dyDescent="0.3">
      <c r="A6" s="16" t="s">
        <v>20</v>
      </c>
      <c r="B6" s="27" t="s">
        <v>37</v>
      </c>
      <c r="C6" s="27" t="s">
        <v>38</v>
      </c>
      <c r="D6" s="28" t="s">
        <v>44</v>
      </c>
      <c r="E6" s="19"/>
      <c r="F6" s="19" t="s">
        <v>24</v>
      </c>
      <c r="G6" s="29" t="s">
        <v>40</v>
      </c>
      <c r="H6" s="29" t="s">
        <v>41</v>
      </c>
      <c r="I6" s="19" t="s">
        <v>27</v>
      </c>
      <c r="J6" s="30"/>
      <c r="K6" s="30" t="s">
        <v>45</v>
      </c>
      <c r="L6" s="31" t="s">
        <v>46</v>
      </c>
      <c r="M6" s="32" t="s">
        <v>43</v>
      </c>
      <c r="N6" s="31"/>
      <c r="O6" s="31"/>
      <c r="P6" s="33"/>
      <c r="Q6" s="31"/>
      <c r="R6" s="31"/>
      <c r="S6" s="33"/>
      <c r="T6" s="31"/>
      <c r="U6" s="31"/>
      <c r="V6" s="31"/>
      <c r="W6" s="31"/>
    </row>
    <row r="7" spans="1:23" ht="109.2" x14ac:dyDescent="0.3">
      <c r="A7" s="34" t="s">
        <v>47</v>
      </c>
      <c r="B7" s="34" t="s">
        <v>48</v>
      </c>
      <c r="C7" s="35" t="s">
        <v>49</v>
      </c>
      <c r="D7" s="38" t="s">
        <v>50</v>
      </c>
      <c r="E7" s="39"/>
      <c r="F7" s="40" t="s">
        <v>51</v>
      </c>
      <c r="G7" s="41" t="s">
        <v>52</v>
      </c>
      <c r="H7" s="29" t="s">
        <v>41</v>
      </c>
      <c r="I7" s="29" t="s">
        <v>27</v>
      </c>
      <c r="J7" s="38" t="s">
        <v>50</v>
      </c>
      <c r="K7" s="42" t="s">
        <v>53</v>
      </c>
      <c r="L7" s="43" t="s">
        <v>54</v>
      </c>
      <c r="M7" s="37" t="s">
        <v>55</v>
      </c>
      <c r="N7" s="44" t="s">
        <v>56</v>
      </c>
      <c r="O7" s="45"/>
      <c r="P7" s="46"/>
      <c r="Q7" s="43"/>
      <c r="R7" s="43"/>
      <c r="S7" s="47"/>
      <c r="T7" s="43"/>
      <c r="U7" s="43"/>
      <c r="V7" s="43"/>
      <c r="W7" s="43"/>
    </row>
    <row r="8" spans="1:23" ht="62.4" x14ac:dyDescent="0.3">
      <c r="A8" s="34" t="s">
        <v>47</v>
      </c>
      <c r="B8" s="34" t="s">
        <v>57</v>
      </c>
      <c r="C8" s="35" t="s">
        <v>58</v>
      </c>
      <c r="D8" s="38" t="s">
        <v>59</v>
      </c>
      <c r="E8" s="39">
        <v>527</v>
      </c>
      <c r="F8" s="40" t="s">
        <v>24</v>
      </c>
      <c r="G8" s="41"/>
      <c r="H8" s="29" t="s">
        <v>60</v>
      </c>
      <c r="I8" s="29" t="s">
        <v>27</v>
      </c>
      <c r="J8" s="42" t="s">
        <v>61</v>
      </c>
      <c r="K8" s="42" t="s">
        <v>62</v>
      </c>
      <c r="L8" s="43" t="s">
        <v>54</v>
      </c>
      <c r="M8" s="37"/>
      <c r="N8" s="43">
        <v>3690</v>
      </c>
      <c r="O8" s="48">
        <v>7304</v>
      </c>
      <c r="P8" s="49">
        <f>O8/N8</f>
        <v>1.9794037940379403</v>
      </c>
      <c r="Q8" s="43"/>
      <c r="R8" s="43"/>
      <c r="S8" s="47"/>
      <c r="T8" s="43"/>
      <c r="U8" s="43"/>
      <c r="V8" s="43"/>
      <c r="W8" s="43"/>
    </row>
    <row r="9" spans="1:23" ht="93.6" x14ac:dyDescent="0.3">
      <c r="A9" s="34" t="s">
        <v>47</v>
      </c>
      <c r="B9" s="34" t="s">
        <v>57</v>
      </c>
      <c r="C9" s="35" t="s">
        <v>58</v>
      </c>
      <c r="D9" s="38" t="s">
        <v>63</v>
      </c>
      <c r="E9" s="39"/>
      <c r="F9" s="40" t="s">
        <v>24</v>
      </c>
      <c r="G9" s="41"/>
      <c r="H9" s="29" t="s">
        <v>41</v>
      </c>
      <c r="I9" s="29" t="s">
        <v>27</v>
      </c>
      <c r="J9" s="42"/>
      <c r="K9" s="42"/>
      <c r="L9" s="43"/>
      <c r="M9" s="37"/>
      <c r="N9" s="50" t="s">
        <v>64</v>
      </c>
      <c r="O9" s="43"/>
      <c r="P9" s="47"/>
      <c r="Q9" s="43"/>
      <c r="R9" s="43"/>
      <c r="S9" s="47"/>
      <c r="T9" s="43"/>
      <c r="U9" s="43"/>
      <c r="V9" s="43"/>
      <c r="W9" s="43"/>
    </row>
    <row r="10" spans="1:23" ht="78" x14ac:dyDescent="0.3">
      <c r="A10" s="34" t="s">
        <v>47</v>
      </c>
      <c r="B10" s="51" t="s">
        <v>65</v>
      </c>
      <c r="C10" s="35" t="s">
        <v>66</v>
      </c>
      <c r="D10" s="38" t="s">
        <v>67</v>
      </c>
      <c r="E10" s="39">
        <v>528</v>
      </c>
      <c r="F10" s="40" t="s">
        <v>24</v>
      </c>
      <c r="G10" s="41" t="s">
        <v>68</v>
      </c>
      <c r="H10" s="38" t="s">
        <v>60</v>
      </c>
      <c r="I10" s="29" t="s">
        <v>27</v>
      </c>
      <c r="J10" s="42" t="s">
        <v>69</v>
      </c>
      <c r="K10" s="42"/>
      <c r="L10" s="43" t="s">
        <v>54</v>
      </c>
      <c r="M10" s="37" t="s">
        <v>55</v>
      </c>
      <c r="N10" s="52">
        <v>1158</v>
      </c>
      <c r="O10" s="52">
        <v>2014</v>
      </c>
      <c r="P10" s="53">
        <f>O10/N10</f>
        <v>1.7392055267702937</v>
      </c>
      <c r="Q10" s="54">
        <v>1200</v>
      </c>
      <c r="R10" s="54">
        <v>1273</v>
      </c>
      <c r="S10" s="53">
        <f>R10/Q10</f>
        <v>1.0608333333333333</v>
      </c>
      <c r="T10" s="43"/>
      <c r="U10" s="43"/>
      <c r="V10" s="43"/>
      <c r="W10" s="43"/>
    </row>
    <row r="11" spans="1:23" ht="46.8" x14ac:dyDescent="0.3">
      <c r="A11" s="34" t="s">
        <v>47</v>
      </c>
      <c r="B11" s="51" t="s">
        <v>65</v>
      </c>
      <c r="C11" s="35" t="s">
        <v>66</v>
      </c>
      <c r="D11" s="38" t="s">
        <v>70</v>
      </c>
      <c r="E11" s="39"/>
      <c r="F11" s="40" t="s">
        <v>24</v>
      </c>
      <c r="G11" s="41" t="s">
        <v>68</v>
      </c>
      <c r="H11" s="38" t="s">
        <v>41</v>
      </c>
      <c r="I11" s="29" t="s">
        <v>27</v>
      </c>
      <c r="J11" s="42" t="s">
        <v>71</v>
      </c>
      <c r="K11" s="42"/>
      <c r="L11" s="43" t="s">
        <v>54</v>
      </c>
      <c r="M11" s="37" t="s">
        <v>55</v>
      </c>
      <c r="N11" s="55">
        <v>0.85</v>
      </c>
      <c r="O11" s="56">
        <v>0.995</v>
      </c>
      <c r="P11" s="57">
        <f>O11/N11</f>
        <v>1.1705882352941177</v>
      </c>
      <c r="Q11" s="58">
        <v>0.9</v>
      </c>
      <c r="R11" s="43"/>
      <c r="S11" s="47"/>
      <c r="T11" s="58">
        <v>0.9</v>
      </c>
      <c r="U11" s="58">
        <v>0.95</v>
      </c>
      <c r="V11" s="58">
        <v>0.95</v>
      </c>
      <c r="W11" s="58">
        <v>0.95</v>
      </c>
    </row>
    <row r="12" spans="1:23" ht="78" x14ac:dyDescent="0.3">
      <c r="A12" s="34" t="s">
        <v>47</v>
      </c>
      <c r="B12" s="51" t="s">
        <v>65</v>
      </c>
      <c r="C12" s="35" t="s">
        <v>66</v>
      </c>
      <c r="D12" s="38" t="s">
        <v>72</v>
      </c>
      <c r="E12" s="39"/>
      <c r="F12" s="40" t="s">
        <v>24</v>
      </c>
      <c r="G12" s="41" t="s">
        <v>68</v>
      </c>
      <c r="H12" s="29" t="s">
        <v>41</v>
      </c>
      <c r="I12" s="29" t="s">
        <v>27</v>
      </c>
      <c r="J12" s="42" t="s">
        <v>73</v>
      </c>
      <c r="K12" s="42" t="s">
        <v>74</v>
      </c>
      <c r="L12" s="43" t="s">
        <v>54</v>
      </c>
      <c r="M12" s="37" t="s">
        <v>55</v>
      </c>
      <c r="N12" s="43" t="s">
        <v>75</v>
      </c>
      <c r="O12" s="43"/>
      <c r="P12" s="47"/>
      <c r="Q12" s="43"/>
      <c r="R12" s="43"/>
      <c r="S12" s="47"/>
      <c r="T12" s="43"/>
      <c r="U12" s="43"/>
      <c r="V12" s="43"/>
      <c r="W12" s="43"/>
    </row>
    <row r="13" spans="1:23" ht="62.4" x14ac:dyDescent="0.3">
      <c r="A13" s="59" t="s">
        <v>76</v>
      </c>
      <c r="B13" s="60" t="s">
        <v>77</v>
      </c>
      <c r="C13" s="61" t="s">
        <v>78</v>
      </c>
      <c r="D13" s="63" t="s">
        <v>79</v>
      </c>
      <c r="E13" s="64">
        <v>456</v>
      </c>
      <c r="F13" s="40" t="s">
        <v>24</v>
      </c>
      <c r="G13" s="63" t="s">
        <v>80</v>
      </c>
      <c r="H13" s="65" t="s">
        <v>60</v>
      </c>
      <c r="I13" s="29" t="s">
        <v>27</v>
      </c>
      <c r="J13" s="66"/>
      <c r="K13" s="66" t="s">
        <v>81</v>
      </c>
      <c r="L13" s="67" t="s">
        <v>82</v>
      </c>
      <c r="M13" s="62" t="s">
        <v>43</v>
      </c>
      <c r="N13" s="68">
        <v>1</v>
      </c>
      <c r="O13" s="69">
        <v>1.1152</v>
      </c>
      <c r="P13" s="25"/>
      <c r="Q13" s="68">
        <v>1</v>
      </c>
      <c r="R13" s="23">
        <v>1.22</v>
      </c>
      <c r="S13" s="24">
        <f>R13/Q13</f>
        <v>1.22</v>
      </c>
      <c r="T13" s="70"/>
      <c r="U13" s="70"/>
      <c r="V13" s="71"/>
      <c r="W13" s="71"/>
    </row>
    <row r="14" spans="1:23" ht="93.6" x14ac:dyDescent="0.3">
      <c r="A14" s="59" t="s">
        <v>76</v>
      </c>
      <c r="B14" s="60" t="s">
        <v>77</v>
      </c>
      <c r="C14" s="61" t="s">
        <v>78</v>
      </c>
      <c r="D14" s="64" t="s">
        <v>83</v>
      </c>
      <c r="E14" s="64">
        <v>457</v>
      </c>
      <c r="F14" s="40" t="s">
        <v>24</v>
      </c>
      <c r="G14" s="63" t="s">
        <v>80</v>
      </c>
      <c r="H14" s="65" t="s">
        <v>60</v>
      </c>
      <c r="I14" s="29" t="s">
        <v>27</v>
      </c>
      <c r="J14" s="72"/>
      <c r="K14" s="66" t="s">
        <v>81</v>
      </c>
      <c r="L14" s="73"/>
      <c r="M14" s="62" t="s">
        <v>43</v>
      </c>
      <c r="N14" s="70"/>
      <c r="O14" s="70"/>
      <c r="P14" s="25"/>
      <c r="Q14" s="70" t="s">
        <v>84</v>
      </c>
      <c r="R14" s="21"/>
      <c r="S14" s="25"/>
      <c r="T14" s="70"/>
      <c r="U14" s="70"/>
      <c r="V14" s="71"/>
      <c r="W14" s="71"/>
    </row>
    <row r="15" spans="1:23" ht="46.8" x14ac:dyDescent="0.3">
      <c r="A15" s="59" t="s">
        <v>76</v>
      </c>
      <c r="B15" s="60" t="s">
        <v>77</v>
      </c>
      <c r="C15" s="61" t="s">
        <v>78</v>
      </c>
      <c r="D15" s="64" t="s">
        <v>85</v>
      </c>
      <c r="E15" s="64">
        <v>524</v>
      </c>
      <c r="F15" s="40" t="s">
        <v>24</v>
      </c>
      <c r="G15" s="63" t="s">
        <v>80</v>
      </c>
      <c r="H15" s="65" t="s">
        <v>60</v>
      </c>
      <c r="I15" s="29" t="s">
        <v>27</v>
      </c>
      <c r="J15" s="72"/>
      <c r="K15" s="74" t="s">
        <v>86</v>
      </c>
      <c r="L15" s="74" t="s">
        <v>86</v>
      </c>
      <c r="M15" s="62" t="s">
        <v>43</v>
      </c>
      <c r="N15" s="74"/>
      <c r="O15" s="74"/>
      <c r="P15" s="75"/>
      <c r="Q15" s="74"/>
      <c r="R15" s="74"/>
      <c r="S15" s="75"/>
      <c r="T15" s="74"/>
      <c r="U15" s="74"/>
      <c r="V15" s="74"/>
      <c r="W15" s="74"/>
    </row>
    <row r="16" spans="1:23" ht="46.8" x14ac:dyDescent="0.3">
      <c r="A16" s="59" t="s">
        <v>76</v>
      </c>
      <c r="B16" s="76" t="s">
        <v>87</v>
      </c>
      <c r="C16" s="76" t="s">
        <v>88</v>
      </c>
      <c r="D16" s="78" t="s">
        <v>89</v>
      </c>
      <c r="E16" s="64">
        <v>626</v>
      </c>
      <c r="F16" s="40" t="s">
        <v>24</v>
      </c>
      <c r="G16" s="78" t="s">
        <v>68</v>
      </c>
      <c r="H16" s="79" t="s">
        <v>60</v>
      </c>
      <c r="I16" s="29" t="s">
        <v>27</v>
      </c>
      <c r="J16" s="20"/>
      <c r="K16" s="20"/>
      <c r="L16" s="21" t="s">
        <v>90</v>
      </c>
      <c r="M16" s="77" t="s">
        <v>43</v>
      </c>
      <c r="N16" s="21"/>
      <c r="O16" s="21"/>
      <c r="P16" s="25"/>
      <c r="Q16" s="21"/>
      <c r="R16" s="21"/>
      <c r="S16" s="25"/>
      <c r="T16" s="21"/>
      <c r="U16" s="21"/>
      <c r="V16" s="21"/>
      <c r="W16" s="21"/>
    </row>
    <row r="17" spans="1:23" ht="31.2" x14ac:dyDescent="0.3">
      <c r="A17" s="59" t="s">
        <v>76</v>
      </c>
      <c r="B17" s="76" t="s">
        <v>87</v>
      </c>
      <c r="C17" s="80" t="s">
        <v>91</v>
      </c>
      <c r="D17" s="64" t="s">
        <v>92</v>
      </c>
      <c r="E17" s="64">
        <v>109</v>
      </c>
      <c r="F17" s="40" t="s">
        <v>24</v>
      </c>
      <c r="G17" s="64" t="s">
        <v>93</v>
      </c>
      <c r="H17" s="19" t="s">
        <v>60</v>
      </c>
      <c r="I17" s="29" t="s">
        <v>27</v>
      </c>
      <c r="J17" s="70"/>
      <c r="K17" s="20" t="s">
        <v>94</v>
      </c>
      <c r="L17" s="21"/>
      <c r="M17" s="81"/>
      <c r="N17" s="70"/>
      <c r="O17" s="70"/>
      <c r="P17" s="82"/>
      <c r="Q17" s="21"/>
      <c r="R17" s="21"/>
      <c r="S17" s="25"/>
      <c r="T17" s="21"/>
      <c r="U17" s="21"/>
      <c r="V17" s="21"/>
      <c r="W17" s="21"/>
    </row>
    <row r="18" spans="1:23" ht="62.4" x14ac:dyDescent="0.3">
      <c r="A18" s="59" t="s">
        <v>76</v>
      </c>
      <c r="B18" s="76" t="s">
        <v>95</v>
      </c>
      <c r="C18" s="76" t="s">
        <v>96</v>
      </c>
      <c r="D18" s="83" t="s">
        <v>97</v>
      </c>
      <c r="E18" s="64"/>
      <c r="F18" s="40" t="s">
        <v>24</v>
      </c>
      <c r="G18" s="78"/>
      <c r="H18" s="79" t="s">
        <v>41</v>
      </c>
      <c r="I18" s="29" t="s">
        <v>41</v>
      </c>
      <c r="J18" s="20"/>
      <c r="K18" s="20"/>
      <c r="L18" s="21"/>
      <c r="M18" s="81" t="s">
        <v>55</v>
      </c>
      <c r="N18" s="21"/>
      <c r="O18" s="21"/>
      <c r="P18" s="25"/>
      <c r="Q18" s="21"/>
      <c r="R18" s="21"/>
      <c r="S18" s="25"/>
      <c r="T18" s="21"/>
      <c r="U18" s="21"/>
      <c r="V18" s="21"/>
      <c r="W18" s="21"/>
    </row>
    <row r="19" spans="1:23" ht="187.2" x14ac:dyDescent="0.3">
      <c r="A19" s="59" t="s">
        <v>76</v>
      </c>
      <c r="B19" s="59" t="s">
        <v>95</v>
      </c>
      <c r="C19" s="59" t="s">
        <v>96</v>
      </c>
      <c r="D19" s="84" t="s">
        <v>98</v>
      </c>
      <c r="E19" s="64"/>
      <c r="F19" s="40" t="s">
        <v>24</v>
      </c>
      <c r="G19" s="63" t="s">
        <v>99</v>
      </c>
      <c r="H19" s="79" t="s">
        <v>41</v>
      </c>
      <c r="I19" s="29" t="s">
        <v>41</v>
      </c>
      <c r="J19" s="30" t="s">
        <v>100</v>
      </c>
      <c r="K19" s="30"/>
      <c r="L19" s="31"/>
      <c r="M19" s="81" t="s">
        <v>55</v>
      </c>
      <c r="N19" s="31"/>
      <c r="O19" s="31"/>
      <c r="P19" s="33"/>
      <c r="Q19" s="31"/>
      <c r="R19" s="31"/>
      <c r="S19" s="33"/>
      <c r="T19" s="31"/>
      <c r="U19" s="31"/>
      <c r="V19" s="31"/>
      <c r="W19" s="31"/>
    </row>
    <row r="20" spans="1:23" ht="140.4" x14ac:dyDescent="0.3">
      <c r="A20" s="85" t="s">
        <v>101</v>
      </c>
      <c r="B20" s="85" t="s">
        <v>102</v>
      </c>
      <c r="C20" s="86" t="s">
        <v>103</v>
      </c>
      <c r="D20" s="19" t="s">
        <v>104</v>
      </c>
      <c r="E20" s="19"/>
      <c r="F20" s="40" t="s">
        <v>24</v>
      </c>
      <c r="G20" s="79" t="s">
        <v>68</v>
      </c>
      <c r="H20" s="79" t="s">
        <v>41</v>
      </c>
      <c r="I20" s="79" t="s">
        <v>27</v>
      </c>
      <c r="J20" s="70" t="s">
        <v>105</v>
      </c>
      <c r="K20" s="21" t="s">
        <v>106</v>
      </c>
      <c r="L20" s="21" t="s">
        <v>107</v>
      </c>
      <c r="M20" s="37"/>
      <c r="N20" s="70"/>
      <c r="O20" s="70"/>
      <c r="P20" s="82"/>
      <c r="Q20" s="21"/>
      <c r="R20" s="21"/>
      <c r="S20" s="25"/>
      <c r="T20" s="21"/>
      <c r="U20" s="21"/>
      <c r="V20" s="21"/>
      <c r="W20" s="21"/>
    </row>
    <row r="21" spans="1:23" ht="109.2" x14ac:dyDescent="0.3">
      <c r="A21" s="85" t="s">
        <v>101</v>
      </c>
      <c r="B21" s="85" t="s">
        <v>108</v>
      </c>
      <c r="C21" s="86" t="s">
        <v>109</v>
      </c>
      <c r="D21" s="18" t="s">
        <v>110</v>
      </c>
      <c r="E21" s="19"/>
      <c r="F21" s="40" t="s">
        <v>24</v>
      </c>
      <c r="G21" s="79" t="s">
        <v>68</v>
      </c>
      <c r="H21" s="79" t="s">
        <v>41</v>
      </c>
      <c r="I21" s="79" t="s">
        <v>27</v>
      </c>
      <c r="J21" s="70" t="s">
        <v>111</v>
      </c>
      <c r="K21" s="21" t="s">
        <v>112</v>
      </c>
      <c r="L21" s="21" t="s">
        <v>106</v>
      </c>
      <c r="M21" s="37"/>
      <c r="N21" s="20" t="s">
        <v>113</v>
      </c>
      <c r="O21" s="70"/>
      <c r="P21" s="82"/>
      <c r="Q21" s="23">
        <v>1</v>
      </c>
      <c r="R21" s="23"/>
      <c r="S21" s="24"/>
      <c r="T21" s="23">
        <v>1</v>
      </c>
      <c r="U21" s="23">
        <v>1</v>
      </c>
      <c r="V21" s="23">
        <v>1</v>
      </c>
      <c r="W21" s="23">
        <v>1</v>
      </c>
    </row>
    <row r="22" spans="1:23" ht="78" x14ac:dyDescent="0.3">
      <c r="A22" s="85" t="s">
        <v>101</v>
      </c>
      <c r="B22" s="85" t="s">
        <v>114</v>
      </c>
      <c r="C22" s="87" t="s">
        <v>115</v>
      </c>
      <c r="D22" s="18" t="s">
        <v>116</v>
      </c>
      <c r="E22" s="18"/>
      <c r="F22" s="40" t="s">
        <v>24</v>
      </c>
      <c r="G22" s="88" t="s">
        <v>68</v>
      </c>
      <c r="H22" s="88" t="s">
        <v>41</v>
      </c>
      <c r="I22" s="79" t="s">
        <v>27</v>
      </c>
      <c r="J22" s="89" t="s">
        <v>117</v>
      </c>
      <c r="K22" s="20" t="s">
        <v>118</v>
      </c>
      <c r="L22" s="21" t="s">
        <v>119</v>
      </c>
      <c r="M22" s="37"/>
      <c r="N22" s="21"/>
      <c r="O22" s="21"/>
      <c r="P22" s="25"/>
      <c r="Q22" s="90" t="s">
        <v>75</v>
      </c>
      <c r="R22" s="21"/>
      <c r="S22" s="25"/>
      <c r="T22" s="21"/>
      <c r="U22" s="21"/>
      <c r="V22" s="21"/>
      <c r="W22" s="21"/>
    </row>
    <row r="23" spans="1:23" ht="62.4" x14ac:dyDescent="0.3">
      <c r="A23" s="85" t="s">
        <v>101</v>
      </c>
      <c r="B23" s="85" t="s">
        <v>114</v>
      </c>
      <c r="C23" s="86" t="s">
        <v>115</v>
      </c>
      <c r="D23" s="91" t="s">
        <v>120</v>
      </c>
      <c r="E23" s="91">
        <v>339</v>
      </c>
      <c r="F23" s="40" t="s">
        <v>24</v>
      </c>
      <c r="G23" s="91" t="s">
        <v>93</v>
      </c>
      <c r="H23" s="91" t="s">
        <v>60</v>
      </c>
      <c r="I23" s="79" t="s">
        <v>27</v>
      </c>
      <c r="J23" s="20" t="s">
        <v>121</v>
      </c>
      <c r="K23" s="20" t="s">
        <v>122</v>
      </c>
      <c r="L23" s="21" t="s">
        <v>119</v>
      </c>
      <c r="M23" s="37" t="s">
        <v>43</v>
      </c>
      <c r="N23" s="23">
        <v>0.33</v>
      </c>
      <c r="O23" s="21"/>
      <c r="P23" s="25"/>
      <c r="Q23" s="92">
        <v>0.44</v>
      </c>
      <c r="R23" s="92"/>
      <c r="S23" s="93"/>
      <c r="T23" s="92">
        <v>0.45</v>
      </c>
      <c r="U23" s="92">
        <v>0.5</v>
      </c>
      <c r="V23" s="92">
        <v>0.53</v>
      </c>
      <c r="W23" s="92">
        <v>0.55000000000000004</v>
      </c>
    </row>
    <row r="24" spans="1:23" ht="78" x14ac:dyDescent="0.3">
      <c r="A24" s="85" t="s">
        <v>101</v>
      </c>
      <c r="B24" s="85" t="s">
        <v>114</v>
      </c>
      <c r="C24" s="87" t="s">
        <v>115</v>
      </c>
      <c r="D24" s="91" t="s">
        <v>123</v>
      </c>
      <c r="E24" s="94" t="s">
        <v>51</v>
      </c>
      <c r="F24" s="94" t="s">
        <v>51</v>
      </c>
      <c r="G24" s="95" t="s">
        <v>124</v>
      </c>
      <c r="H24" s="79" t="s">
        <v>41</v>
      </c>
      <c r="I24" s="79" t="s">
        <v>27</v>
      </c>
      <c r="J24" s="89" t="s">
        <v>125</v>
      </c>
      <c r="K24" s="20" t="s">
        <v>122</v>
      </c>
      <c r="L24" s="21" t="s">
        <v>119</v>
      </c>
      <c r="M24" s="37" t="s">
        <v>55</v>
      </c>
      <c r="N24" s="21"/>
      <c r="O24" s="21"/>
      <c r="P24" s="25"/>
      <c r="Q24" s="21"/>
      <c r="R24" s="21"/>
      <c r="S24" s="25"/>
      <c r="T24" s="21"/>
      <c r="U24" s="21"/>
      <c r="V24" s="21"/>
      <c r="W24" s="21"/>
    </row>
    <row r="25" spans="1:23" ht="46.8" x14ac:dyDescent="0.3">
      <c r="A25" s="85" t="s">
        <v>101</v>
      </c>
      <c r="B25" s="86" t="s">
        <v>126</v>
      </c>
      <c r="C25" s="86" t="s">
        <v>127</v>
      </c>
      <c r="D25" s="91" t="s">
        <v>128</v>
      </c>
      <c r="E25" s="94">
        <v>334</v>
      </c>
      <c r="F25" s="95" t="s">
        <v>24</v>
      </c>
      <c r="G25" s="95" t="s">
        <v>129</v>
      </c>
      <c r="H25" s="79" t="s">
        <v>68</v>
      </c>
      <c r="I25" s="79" t="s">
        <v>27</v>
      </c>
      <c r="J25" s="20" t="s">
        <v>130</v>
      </c>
      <c r="K25" s="20"/>
      <c r="L25" s="21"/>
      <c r="M25" s="37" t="s">
        <v>55</v>
      </c>
      <c r="N25" s="96">
        <v>0.89</v>
      </c>
      <c r="O25" s="97">
        <v>0.90100000000000002</v>
      </c>
      <c r="P25" s="98">
        <f>O25/N25</f>
        <v>1.0123595505617977</v>
      </c>
      <c r="Q25" s="23">
        <v>0.9</v>
      </c>
      <c r="R25" s="21"/>
      <c r="S25" s="25"/>
      <c r="T25" s="21"/>
      <c r="U25" s="21"/>
      <c r="V25" s="21"/>
      <c r="W25" s="21"/>
    </row>
    <row r="26" spans="1:23" ht="62.4" x14ac:dyDescent="0.3">
      <c r="A26" s="85" t="s">
        <v>101</v>
      </c>
      <c r="B26" s="86" t="s">
        <v>126</v>
      </c>
      <c r="C26" s="86" t="s">
        <v>131</v>
      </c>
      <c r="D26" s="94" t="s">
        <v>132</v>
      </c>
      <c r="E26" s="94">
        <v>283</v>
      </c>
      <c r="F26" s="95" t="s">
        <v>24</v>
      </c>
      <c r="G26" s="95" t="s">
        <v>129</v>
      </c>
      <c r="H26" s="94" t="s">
        <v>60</v>
      </c>
      <c r="I26" s="79" t="s">
        <v>27</v>
      </c>
      <c r="J26" s="20" t="s">
        <v>133</v>
      </c>
      <c r="K26" s="20" t="s">
        <v>134</v>
      </c>
      <c r="L26" s="21" t="s">
        <v>119</v>
      </c>
      <c r="M26" s="37"/>
      <c r="N26" s="21">
        <v>4.5999999999999996</v>
      </c>
      <c r="O26" s="21">
        <v>4.67</v>
      </c>
      <c r="P26" s="98">
        <f>O26/N26</f>
        <v>1.0152173913043478</v>
      </c>
      <c r="Q26" s="21">
        <v>4.66</v>
      </c>
      <c r="R26" s="21">
        <v>4.63</v>
      </c>
      <c r="S26" s="98">
        <f>R26/Q26</f>
        <v>0.99356223175965663</v>
      </c>
      <c r="T26" s="21"/>
      <c r="U26" s="21"/>
      <c r="V26" s="21"/>
      <c r="W26" s="21"/>
    </row>
    <row r="27" spans="1:23" ht="109.2" x14ac:dyDescent="0.3">
      <c r="A27" s="60" t="s">
        <v>135</v>
      </c>
      <c r="B27" s="60" t="s">
        <v>136</v>
      </c>
      <c r="C27" s="99" t="s">
        <v>137</v>
      </c>
      <c r="D27" s="28" t="s">
        <v>138</v>
      </c>
      <c r="E27" s="19"/>
      <c r="F27" s="65" t="s">
        <v>41</v>
      </c>
      <c r="G27" s="101" t="s">
        <v>139</v>
      </c>
      <c r="H27" s="79" t="s">
        <v>41</v>
      </c>
      <c r="I27" s="29" t="s">
        <v>41</v>
      </c>
      <c r="J27" s="66"/>
      <c r="K27" s="31"/>
      <c r="L27" s="31" t="s">
        <v>140</v>
      </c>
      <c r="M27" s="100"/>
      <c r="N27" s="66"/>
      <c r="O27" s="66"/>
      <c r="P27" s="102"/>
      <c r="Q27" s="31"/>
      <c r="R27" s="31"/>
      <c r="S27" s="33"/>
      <c r="T27" s="31"/>
      <c r="U27" s="31"/>
      <c r="V27" s="31"/>
      <c r="W27" s="31"/>
    </row>
    <row r="28" spans="1:23" ht="93.6" x14ac:dyDescent="0.3">
      <c r="A28" s="85" t="s">
        <v>135</v>
      </c>
      <c r="B28" s="85" t="s">
        <v>136</v>
      </c>
      <c r="C28" s="86" t="s">
        <v>141</v>
      </c>
      <c r="D28" s="18" t="s">
        <v>142</v>
      </c>
      <c r="E28" s="19"/>
      <c r="F28" s="65" t="s">
        <v>41</v>
      </c>
      <c r="G28" s="88" t="s">
        <v>143</v>
      </c>
      <c r="H28" s="79" t="s">
        <v>41</v>
      </c>
      <c r="I28" s="29" t="s">
        <v>41</v>
      </c>
      <c r="J28" s="20" t="s">
        <v>144</v>
      </c>
      <c r="K28" s="21" t="s">
        <v>145</v>
      </c>
      <c r="L28" s="21" t="s">
        <v>146</v>
      </c>
      <c r="M28" s="37" t="s">
        <v>55</v>
      </c>
      <c r="N28" s="70"/>
      <c r="O28" s="70"/>
      <c r="P28" s="82"/>
      <c r="Q28" s="21"/>
      <c r="R28" s="21"/>
      <c r="S28" s="25"/>
      <c r="T28" s="21"/>
      <c r="U28" s="21"/>
      <c r="V28" s="21"/>
      <c r="W28" s="21"/>
    </row>
    <row r="29" spans="1:23" ht="78" x14ac:dyDescent="0.3">
      <c r="A29" s="85" t="s">
        <v>135</v>
      </c>
      <c r="B29" s="85" t="s">
        <v>147</v>
      </c>
      <c r="C29" s="86" t="s">
        <v>148</v>
      </c>
      <c r="D29" s="18" t="s">
        <v>149</v>
      </c>
      <c r="E29" s="19"/>
      <c r="F29" s="65" t="s">
        <v>41</v>
      </c>
      <c r="G29" s="79" t="s">
        <v>68</v>
      </c>
      <c r="H29" s="79" t="s">
        <v>41</v>
      </c>
      <c r="I29" s="29" t="s">
        <v>41</v>
      </c>
      <c r="J29" s="20" t="s">
        <v>149</v>
      </c>
      <c r="K29" s="20" t="s">
        <v>150</v>
      </c>
      <c r="L29" s="21" t="s">
        <v>151</v>
      </c>
      <c r="M29" s="37"/>
      <c r="N29" s="21"/>
      <c r="O29" s="21"/>
      <c r="P29" s="25"/>
      <c r="Q29" s="21">
        <v>23</v>
      </c>
      <c r="R29" s="21"/>
      <c r="S29" s="25"/>
      <c r="T29" s="21">
        <v>28</v>
      </c>
      <c r="U29" s="21">
        <v>22</v>
      </c>
      <c r="V29" s="103"/>
      <c r="W29" s="103"/>
    </row>
    <row r="30" spans="1:23" ht="62.4" x14ac:dyDescent="0.3">
      <c r="A30" s="85" t="s">
        <v>135</v>
      </c>
      <c r="B30" s="104" t="s">
        <v>152</v>
      </c>
      <c r="C30" s="86" t="s">
        <v>153</v>
      </c>
      <c r="D30" s="18" t="s">
        <v>154</v>
      </c>
      <c r="E30" s="19">
        <v>325</v>
      </c>
      <c r="F30" s="19" t="s">
        <v>24</v>
      </c>
      <c r="G30" s="18" t="s">
        <v>93</v>
      </c>
      <c r="H30" s="19" t="s">
        <v>60</v>
      </c>
      <c r="I30" s="29" t="s">
        <v>27</v>
      </c>
      <c r="J30" s="20"/>
      <c r="K30" s="20" t="s">
        <v>150</v>
      </c>
      <c r="L30" s="21" t="s">
        <v>151</v>
      </c>
      <c r="M30" s="37"/>
      <c r="N30" s="21">
        <v>12</v>
      </c>
      <c r="O30" s="21">
        <v>12</v>
      </c>
      <c r="P30" s="93">
        <f>O30/N30</f>
        <v>1</v>
      </c>
      <c r="Q30" s="21">
        <v>7</v>
      </c>
      <c r="R30" s="21"/>
      <c r="S30" s="93">
        <f>R30/Q30</f>
        <v>0</v>
      </c>
      <c r="T30" s="21">
        <v>11</v>
      </c>
      <c r="U30" s="21">
        <v>7</v>
      </c>
      <c r="V30" s="21">
        <v>7</v>
      </c>
      <c r="W30" s="21">
        <v>7</v>
      </c>
    </row>
    <row r="31" spans="1:23" ht="62.4" x14ac:dyDescent="0.3">
      <c r="A31" s="85" t="s">
        <v>135</v>
      </c>
      <c r="B31" s="104" t="s">
        <v>152</v>
      </c>
      <c r="C31" s="86" t="s">
        <v>153</v>
      </c>
      <c r="D31" s="18" t="s">
        <v>155</v>
      </c>
      <c r="E31" s="19">
        <v>323</v>
      </c>
      <c r="F31" s="19" t="s">
        <v>24</v>
      </c>
      <c r="G31" s="18" t="s">
        <v>93</v>
      </c>
      <c r="H31" s="19" t="s">
        <v>60</v>
      </c>
      <c r="I31" s="29" t="s">
        <v>27</v>
      </c>
      <c r="J31" s="20"/>
      <c r="K31" s="20" t="s">
        <v>150</v>
      </c>
      <c r="L31" s="21" t="s">
        <v>151</v>
      </c>
      <c r="M31" s="37"/>
      <c r="N31" s="105">
        <v>7</v>
      </c>
      <c r="O31" s="105">
        <v>7</v>
      </c>
      <c r="P31" s="93">
        <f>O31/N31</f>
        <v>1</v>
      </c>
      <c r="Q31" s="105">
        <v>14</v>
      </c>
      <c r="R31" s="105">
        <v>2</v>
      </c>
      <c r="S31" s="93">
        <f>R31/Q31</f>
        <v>0.14285714285714285</v>
      </c>
      <c r="T31" s="105">
        <v>5</v>
      </c>
      <c r="U31" s="105">
        <v>29</v>
      </c>
      <c r="V31" s="105">
        <v>20</v>
      </c>
      <c r="W31" s="105">
        <v>8</v>
      </c>
    </row>
    <row r="32" spans="1:23" ht="78" x14ac:dyDescent="0.3">
      <c r="A32" s="35" t="s">
        <v>156</v>
      </c>
      <c r="B32" s="51" t="s">
        <v>157</v>
      </c>
      <c r="C32" s="106" t="s">
        <v>158</v>
      </c>
      <c r="D32" s="38" t="s">
        <v>159</v>
      </c>
      <c r="E32" s="39">
        <v>148</v>
      </c>
      <c r="F32" s="19" t="s">
        <v>24</v>
      </c>
      <c r="G32" s="38" t="s">
        <v>160</v>
      </c>
      <c r="H32" s="39" t="s">
        <v>60</v>
      </c>
      <c r="I32" s="39" t="s">
        <v>27</v>
      </c>
      <c r="J32" s="45" t="s">
        <v>161</v>
      </c>
      <c r="K32" s="43" t="s">
        <v>162</v>
      </c>
      <c r="L32" s="43" t="s">
        <v>162</v>
      </c>
      <c r="M32" s="107" t="s">
        <v>43</v>
      </c>
      <c r="N32" s="108">
        <v>0.05</v>
      </c>
      <c r="O32" s="45"/>
      <c r="P32" s="46"/>
      <c r="Q32" s="58">
        <v>0.08</v>
      </c>
      <c r="R32" s="58"/>
      <c r="S32" s="109"/>
      <c r="T32" s="58">
        <v>0.1</v>
      </c>
      <c r="U32" s="58">
        <v>0.12</v>
      </c>
      <c r="V32" s="58">
        <v>0.13</v>
      </c>
      <c r="W32" s="58">
        <v>0.14000000000000001</v>
      </c>
    </row>
    <row r="33" spans="1:23" ht="62.4" x14ac:dyDescent="0.3">
      <c r="A33" s="35" t="s">
        <v>156</v>
      </c>
      <c r="B33" s="51" t="s">
        <v>163</v>
      </c>
      <c r="C33" s="106" t="s">
        <v>158</v>
      </c>
      <c r="D33" s="110" t="s">
        <v>164</v>
      </c>
      <c r="E33" s="44"/>
      <c r="F33" s="19" t="s">
        <v>24</v>
      </c>
      <c r="G33" s="111" t="s">
        <v>68</v>
      </c>
      <c r="H33" s="79" t="s">
        <v>41</v>
      </c>
      <c r="I33" s="39" t="s">
        <v>27</v>
      </c>
      <c r="J33" s="45"/>
      <c r="K33" s="43" t="s">
        <v>162</v>
      </c>
      <c r="L33" s="43" t="s">
        <v>162</v>
      </c>
      <c r="M33" s="107"/>
      <c r="N33" s="58">
        <v>0.57999999999999996</v>
      </c>
      <c r="O33" s="45"/>
      <c r="P33" s="46"/>
      <c r="Q33" s="58">
        <v>0.57999999999999996</v>
      </c>
      <c r="R33" s="43"/>
      <c r="S33" s="47"/>
      <c r="T33" s="58">
        <v>0.57999999999999996</v>
      </c>
      <c r="U33" s="58">
        <v>0.76</v>
      </c>
      <c r="V33" s="58">
        <v>0.76</v>
      </c>
      <c r="W33" s="58">
        <v>1</v>
      </c>
    </row>
    <row r="34" spans="1:23" ht="124.8" x14ac:dyDescent="0.3">
      <c r="A34" s="35" t="s">
        <v>156</v>
      </c>
      <c r="B34" s="51" t="s">
        <v>163</v>
      </c>
      <c r="C34" s="106" t="s">
        <v>158</v>
      </c>
      <c r="D34" s="38" t="s">
        <v>165</v>
      </c>
      <c r="E34" s="39"/>
      <c r="F34" s="112" t="s">
        <v>24</v>
      </c>
      <c r="G34" s="113" t="s">
        <v>166</v>
      </c>
      <c r="H34" s="79" t="s">
        <v>41</v>
      </c>
      <c r="I34" s="39" t="s">
        <v>27</v>
      </c>
      <c r="J34" s="42"/>
      <c r="K34" s="43" t="s">
        <v>162</v>
      </c>
      <c r="L34" s="43" t="s">
        <v>162</v>
      </c>
      <c r="M34" s="107" t="s">
        <v>167</v>
      </c>
      <c r="N34" s="45"/>
      <c r="O34" s="45"/>
      <c r="P34" s="46"/>
      <c r="Q34" s="43">
        <v>116</v>
      </c>
      <c r="R34" s="43"/>
      <c r="S34" s="47"/>
      <c r="T34" s="43">
        <v>110</v>
      </c>
      <c r="U34" s="43">
        <v>110</v>
      </c>
      <c r="V34" s="43">
        <v>115</v>
      </c>
      <c r="W34" s="43">
        <v>120</v>
      </c>
    </row>
    <row r="35" spans="1:23" ht="140.4" x14ac:dyDescent="0.3">
      <c r="A35" s="35" t="s">
        <v>156</v>
      </c>
      <c r="B35" s="51" t="s">
        <v>163</v>
      </c>
      <c r="C35" s="106" t="s">
        <v>158</v>
      </c>
      <c r="D35" s="38" t="s">
        <v>168</v>
      </c>
      <c r="E35" s="39"/>
      <c r="F35" s="112" t="s">
        <v>24</v>
      </c>
      <c r="G35" s="113" t="s">
        <v>169</v>
      </c>
      <c r="H35" s="79" t="s">
        <v>41</v>
      </c>
      <c r="I35" s="39"/>
      <c r="J35" s="42"/>
      <c r="K35" s="43" t="s">
        <v>162</v>
      </c>
      <c r="L35" s="43" t="s">
        <v>162</v>
      </c>
      <c r="M35" s="107"/>
      <c r="N35" s="45"/>
      <c r="O35" s="45"/>
      <c r="P35" s="114"/>
      <c r="Q35" s="115" t="s">
        <v>170</v>
      </c>
      <c r="R35" s="115"/>
      <c r="S35" s="116"/>
      <c r="T35" s="115" t="s">
        <v>171</v>
      </c>
      <c r="U35" s="115" t="s">
        <v>172</v>
      </c>
      <c r="V35" s="115" t="s">
        <v>173</v>
      </c>
      <c r="W35" s="115" t="s">
        <v>173</v>
      </c>
    </row>
    <row r="36" spans="1:23" ht="62.4" x14ac:dyDescent="0.3">
      <c r="A36" s="35" t="s">
        <v>156</v>
      </c>
      <c r="B36" s="51" t="s">
        <v>163</v>
      </c>
      <c r="C36" s="106" t="s">
        <v>158</v>
      </c>
      <c r="D36" s="44" t="s">
        <v>174</v>
      </c>
      <c r="E36" s="44"/>
      <c r="F36" s="112" t="s">
        <v>24</v>
      </c>
      <c r="G36" s="111" t="s">
        <v>68</v>
      </c>
      <c r="H36" s="79" t="s">
        <v>41</v>
      </c>
      <c r="I36" s="39" t="s">
        <v>27</v>
      </c>
      <c r="J36" s="45"/>
      <c r="K36" s="43" t="s">
        <v>162</v>
      </c>
      <c r="L36" s="43" t="s">
        <v>162</v>
      </c>
      <c r="M36" s="107" t="s">
        <v>167</v>
      </c>
      <c r="N36" s="117"/>
      <c r="O36" s="118">
        <v>0.44</v>
      </c>
      <c r="P36" s="119"/>
      <c r="Q36" s="58">
        <v>0.44</v>
      </c>
      <c r="R36" s="43"/>
      <c r="S36" s="47"/>
      <c r="T36" s="58">
        <v>0.44</v>
      </c>
      <c r="U36" s="58">
        <v>0.65</v>
      </c>
      <c r="V36" s="58">
        <v>0.65</v>
      </c>
      <c r="W36" s="58">
        <v>0.8</v>
      </c>
    </row>
    <row r="37" spans="1:23" ht="124.8" x14ac:dyDescent="0.3">
      <c r="A37" s="86" t="s">
        <v>175</v>
      </c>
      <c r="B37" s="104" t="s">
        <v>176</v>
      </c>
      <c r="C37" s="120" t="s">
        <v>177</v>
      </c>
      <c r="D37" s="18" t="s">
        <v>178</v>
      </c>
      <c r="E37" s="19"/>
      <c r="F37" s="79" t="s">
        <v>41</v>
      </c>
      <c r="G37" s="88" t="s">
        <v>179</v>
      </c>
      <c r="H37" s="79" t="s">
        <v>41</v>
      </c>
      <c r="I37" s="29" t="s">
        <v>27</v>
      </c>
      <c r="J37" s="121" t="s">
        <v>180</v>
      </c>
      <c r="K37" s="21"/>
      <c r="L37" s="21"/>
      <c r="M37" s="37"/>
      <c r="N37" s="70"/>
      <c r="O37" s="70"/>
      <c r="P37" s="82"/>
      <c r="Q37" s="21"/>
      <c r="R37" s="21"/>
      <c r="S37" s="25"/>
      <c r="T37" s="21"/>
      <c r="U37" s="21"/>
      <c r="V37" s="21"/>
      <c r="W37" s="21"/>
    </row>
    <row r="38" spans="1:23" ht="62.4" x14ac:dyDescent="0.3">
      <c r="A38" s="86" t="s">
        <v>175</v>
      </c>
      <c r="B38" s="104" t="s">
        <v>176</v>
      </c>
      <c r="C38" s="86" t="s">
        <v>181</v>
      </c>
      <c r="D38" s="19" t="s">
        <v>182</v>
      </c>
      <c r="E38" s="19"/>
      <c r="F38" s="79" t="s">
        <v>24</v>
      </c>
      <c r="G38" s="88" t="s">
        <v>183</v>
      </c>
      <c r="H38" s="79" t="s">
        <v>41</v>
      </c>
      <c r="I38" s="29" t="s">
        <v>27</v>
      </c>
      <c r="J38" s="70" t="s">
        <v>184</v>
      </c>
      <c r="K38" s="21"/>
      <c r="L38" s="21"/>
      <c r="M38" s="37"/>
      <c r="N38" s="70"/>
      <c r="O38" s="70"/>
      <c r="P38" s="82"/>
      <c r="Q38" s="21"/>
      <c r="R38" s="21"/>
      <c r="S38" s="25"/>
      <c r="T38" s="21"/>
      <c r="U38" s="21"/>
      <c r="V38" s="21"/>
      <c r="W38" s="21"/>
    </row>
    <row r="39" spans="1:23" ht="93.6" x14ac:dyDescent="0.3">
      <c r="A39" s="86" t="s">
        <v>175</v>
      </c>
      <c r="B39" s="104" t="s">
        <v>176</v>
      </c>
      <c r="C39" s="86" t="s">
        <v>181</v>
      </c>
      <c r="D39" s="122" t="s">
        <v>185</v>
      </c>
      <c r="E39" s="123"/>
      <c r="F39" s="79" t="s">
        <v>24</v>
      </c>
      <c r="G39" s="79" t="s">
        <v>186</v>
      </c>
      <c r="H39" s="79" t="s">
        <v>41</v>
      </c>
      <c r="I39" s="29" t="s">
        <v>27</v>
      </c>
      <c r="J39" s="20"/>
      <c r="K39" s="20"/>
      <c r="L39" s="21"/>
      <c r="M39" s="37" t="s">
        <v>55</v>
      </c>
      <c r="N39" s="21"/>
      <c r="O39" s="21"/>
      <c r="P39" s="25"/>
      <c r="Q39" s="21"/>
      <c r="R39" s="21"/>
      <c r="S39" s="25"/>
      <c r="T39" s="21"/>
      <c r="U39" s="21"/>
      <c r="V39" s="21"/>
      <c r="W39" s="21"/>
    </row>
    <row r="40" spans="1:23" ht="46.95" customHeight="1" x14ac:dyDescent="0.3">
      <c r="A40" s="99" t="s">
        <v>187</v>
      </c>
      <c r="B40" s="124" t="s">
        <v>188</v>
      </c>
      <c r="C40" s="99" t="s">
        <v>189</v>
      </c>
      <c r="D40" s="29" t="s">
        <v>190</v>
      </c>
      <c r="E40" s="19">
        <v>318</v>
      </c>
      <c r="F40" s="29" t="s">
        <v>24</v>
      </c>
      <c r="G40" s="29" t="s">
        <v>68</v>
      </c>
      <c r="H40" s="19" t="s">
        <v>26</v>
      </c>
      <c r="I40" s="29" t="s">
        <v>27</v>
      </c>
      <c r="J40" s="66"/>
      <c r="K40" s="31"/>
      <c r="L40" s="31" t="s">
        <v>191</v>
      </c>
      <c r="M40" s="100" t="s">
        <v>55</v>
      </c>
      <c r="N40" s="66"/>
      <c r="O40" s="66"/>
      <c r="P40" s="102"/>
      <c r="Q40" s="31"/>
      <c r="R40" s="31"/>
      <c r="S40" s="33"/>
      <c r="T40" s="31"/>
      <c r="U40" s="31"/>
      <c r="V40" s="31"/>
      <c r="W40" s="31"/>
    </row>
    <row r="41" spans="1:23" ht="62.4" x14ac:dyDescent="0.3">
      <c r="A41" s="99" t="s">
        <v>187</v>
      </c>
      <c r="B41" s="126" t="s">
        <v>188</v>
      </c>
      <c r="C41" s="120" t="s">
        <v>192</v>
      </c>
      <c r="D41" s="18" t="s">
        <v>193</v>
      </c>
      <c r="E41" s="19"/>
      <c r="F41" s="29" t="s">
        <v>24</v>
      </c>
      <c r="G41" s="18"/>
      <c r="H41" s="18" t="s">
        <v>60</v>
      </c>
      <c r="I41" s="29" t="s">
        <v>27</v>
      </c>
      <c r="J41" s="70" t="s">
        <v>194</v>
      </c>
      <c r="K41" s="21" t="s">
        <v>195</v>
      </c>
      <c r="L41" s="21" t="s">
        <v>195</v>
      </c>
      <c r="M41" s="36"/>
      <c r="N41" s="70"/>
      <c r="O41" s="70"/>
      <c r="P41" s="82"/>
      <c r="Q41" s="21"/>
      <c r="R41" s="21"/>
      <c r="S41" s="25"/>
      <c r="T41" s="21"/>
      <c r="U41" s="21"/>
      <c r="V41" s="21"/>
      <c r="W41" s="21"/>
    </row>
    <row r="42" spans="1:23" ht="124.8" x14ac:dyDescent="0.3">
      <c r="A42" s="99" t="s">
        <v>187</v>
      </c>
      <c r="B42" s="104" t="s">
        <v>196</v>
      </c>
      <c r="C42" s="86" t="s">
        <v>192</v>
      </c>
      <c r="D42" s="18" t="s">
        <v>197</v>
      </c>
      <c r="E42" s="19"/>
      <c r="F42" s="29" t="s">
        <v>24</v>
      </c>
      <c r="G42" s="18"/>
      <c r="H42" s="18" t="s">
        <v>60</v>
      </c>
      <c r="I42" s="29" t="s">
        <v>27</v>
      </c>
      <c r="J42" s="70" t="s">
        <v>198</v>
      </c>
      <c r="K42" s="21" t="s">
        <v>195</v>
      </c>
      <c r="L42" s="21" t="s">
        <v>195</v>
      </c>
      <c r="M42" s="37"/>
      <c r="N42" s="70"/>
      <c r="O42" s="70"/>
      <c r="P42" s="82"/>
      <c r="Q42" s="21"/>
      <c r="R42" s="21"/>
      <c r="S42" s="25"/>
      <c r="T42" s="21"/>
      <c r="U42" s="21"/>
      <c r="V42" s="21"/>
      <c r="W42" s="21"/>
    </row>
    <row r="43" spans="1:23" ht="93.6" x14ac:dyDescent="0.3">
      <c r="A43" s="99" t="s">
        <v>187</v>
      </c>
      <c r="B43" s="104" t="s">
        <v>196</v>
      </c>
      <c r="C43" s="86" t="s">
        <v>192</v>
      </c>
      <c r="D43" s="18" t="s">
        <v>199</v>
      </c>
      <c r="E43" s="19"/>
      <c r="F43" s="29" t="s">
        <v>24</v>
      </c>
      <c r="G43" s="18"/>
      <c r="H43" s="18" t="s">
        <v>60</v>
      </c>
      <c r="I43" s="29" t="s">
        <v>27</v>
      </c>
      <c r="J43" s="20" t="s">
        <v>200</v>
      </c>
      <c r="K43" s="21" t="s">
        <v>195</v>
      </c>
      <c r="L43" s="21" t="s">
        <v>195</v>
      </c>
      <c r="M43" s="37" t="s">
        <v>43</v>
      </c>
      <c r="N43" s="70"/>
      <c r="O43" s="70"/>
      <c r="P43" s="82"/>
      <c r="Q43" s="21"/>
      <c r="R43" s="21"/>
      <c r="S43" s="25"/>
      <c r="T43" s="21"/>
      <c r="U43" s="21"/>
      <c r="V43" s="21"/>
      <c r="W43" s="21"/>
    </row>
    <row r="44" spans="1:23" ht="93.6" x14ac:dyDescent="0.3">
      <c r="A44" s="99" t="s">
        <v>187</v>
      </c>
      <c r="B44" s="104" t="s">
        <v>196</v>
      </c>
      <c r="C44" s="86" t="s">
        <v>192</v>
      </c>
      <c r="D44" s="18" t="s">
        <v>201</v>
      </c>
      <c r="E44" s="19"/>
      <c r="F44" s="29" t="s">
        <v>24</v>
      </c>
      <c r="G44" s="18"/>
      <c r="H44" s="18" t="s">
        <v>60</v>
      </c>
      <c r="I44" s="29" t="s">
        <v>27</v>
      </c>
      <c r="J44" s="20" t="s">
        <v>202</v>
      </c>
      <c r="K44" s="21" t="s">
        <v>195</v>
      </c>
      <c r="L44" s="21" t="s">
        <v>195</v>
      </c>
      <c r="M44" s="37" t="s">
        <v>43</v>
      </c>
      <c r="N44" s="70"/>
      <c r="O44" s="70"/>
      <c r="P44" s="82"/>
      <c r="Q44" s="21"/>
      <c r="R44" s="21"/>
      <c r="S44" s="25"/>
      <c r="T44" s="21"/>
      <c r="U44" s="21"/>
      <c r="V44" s="21"/>
      <c r="W44" s="21"/>
    </row>
    <row r="45" spans="1:23" ht="93.6" x14ac:dyDescent="0.3">
      <c r="A45" s="99" t="s">
        <v>187</v>
      </c>
      <c r="B45" s="104" t="s">
        <v>196</v>
      </c>
      <c r="C45" s="86" t="s">
        <v>192</v>
      </c>
      <c r="D45" s="18" t="s">
        <v>203</v>
      </c>
      <c r="E45" s="19"/>
      <c r="F45" s="29" t="s">
        <v>24</v>
      </c>
      <c r="G45" s="18"/>
      <c r="H45" s="18" t="s">
        <v>60</v>
      </c>
      <c r="I45" s="29" t="s">
        <v>27</v>
      </c>
      <c r="J45" s="20" t="s">
        <v>204</v>
      </c>
      <c r="K45" s="21" t="s">
        <v>195</v>
      </c>
      <c r="L45" s="21" t="s">
        <v>195</v>
      </c>
      <c r="M45" s="37" t="s">
        <v>43</v>
      </c>
      <c r="N45" s="70"/>
      <c r="O45" s="70"/>
      <c r="P45" s="82"/>
      <c r="Q45" s="21"/>
      <c r="R45" s="21"/>
      <c r="S45" s="25"/>
      <c r="T45" s="21"/>
      <c r="U45" s="21"/>
      <c r="V45" s="21"/>
      <c r="W45" s="21"/>
    </row>
    <row r="46" spans="1:23" ht="88.8" customHeight="1" x14ac:dyDescent="0.3">
      <c r="A46" s="99" t="s">
        <v>205</v>
      </c>
      <c r="B46" s="124" t="s">
        <v>206</v>
      </c>
      <c r="C46" s="99" t="s">
        <v>207</v>
      </c>
      <c r="D46" s="28" t="s">
        <v>208</v>
      </c>
      <c r="E46" s="19"/>
      <c r="F46" s="65" t="s">
        <v>24</v>
      </c>
      <c r="G46" s="101" t="s">
        <v>68</v>
      </c>
      <c r="H46" s="79" t="s">
        <v>41</v>
      </c>
      <c r="I46" s="65" t="s">
        <v>27</v>
      </c>
      <c r="J46" s="66" t="s">
        <v>209</v>
      </c>
      <c r="K46" s="31"/>
      <c r="L46" s="31" t="s">
        <v>210</v>
      </c>
      <c r="M46" s="100"/>
      <c r="N46" s="66"/>
      <c r="O46" s="66"/>
      <c r="P46" s="102"/>
      <c r="Q46" s="31"/>
      <c r="R46" s="31"/>
      <c r="S46" s="33"/>
      <c r="T46" s="31"/>
      <c r="U46" s="31"/>
      <c r="V46" s="31"/>
      <c r="W46" s="31"/>
    </row>
    <row r="47" spans="1:23" ht="130.80000000000001" customHeight="1" x14ac:dyDescent="0.3">
      <c r="A47" s="86" t="s">
        <v>205</v>
      </c>
      <c r="B47" s="104" t="s">
        <v>206</v>
      </c>
      <c r="C47" s="86" t="s">
        <v>207</v>
      </c>
      <c r="D47" s="19" t="s">
        <v>211</v>
      </c>
      <c r="E47" s="19">
        <v>597</v>
      </c>
      <c r="F47" s="79" t="s">
        <v>24</v>
      </c>
      <c r="G47" s="88" t="s">
        <v>68</v>
      </c>
      <c r="H47" s="79" t="s">
        <v>41</v>
      </c>
      <c r="I47" s="65" t="s">
        <v>27</v>
      </c>
      <c r="J47" s="70" t="s">
        <v>212</v>
      </c>
      <c r="K47" s="21"/>
      <c r="L47" s="21" t="s">
        <v>210</v>
      </c>
      <c r="M47" s="37"/>
      <c r="N47" s="70"/>
      <c r="O47" s="70"/>
      <c r="P47" s="82"/>
      <c r="Q47" s="21" t="s">
        <v>75</v>
      </c>
      <c r="R47" s="21"/>
      <c r="S47" s="25"/>
      <c r="T47" s="21"/>
      <c r="U47" s="21"/>
      <c r="V47" s="21"/>
      <c r="W47" s="21"/>
    </row>
    <row r="48" spans="1:23" ht="132.6" customHeight="1" x14ac:dyDescent="0.3">
      <c r="A48" s="99" t="s">
        <v>205</v>
      </c>
      <c r="B48" s="124" t="s">
        <v>206</v>
      </c>
      <c r="C48" s="99" t="s">
        <v>213</v>
      </c>
      <c r="D48" s="19" t="s">
        <v>214</v>
      </c>
      <c r="E48" s="19">
        <v>500</v>
      </c>
      <c r="F48" s="79" t="s">
        <v>24</v>
      </c>
      <c r="G48" s="88" t="s">
        <v>215</v>
      </c>
      <c r="H48" s="19" t="s">
        <v>26</v>
      </c>
      <c r="I48" s="65" t="s">
        <v>27</v>
      </c>
      <c r="J48" s="66" t="s">
        <v>216</v>
      </c>
      <c r="K48" s="31" t="s">
        <v>217</v>
      </c>
      <c r="L48" s="31" t="s">
        <v>218</v>
      </c>
      <c r="M48" s="100"/>
      <c r="N48" s="127">
        <v>0.8</v>
      </c>
      <c r="O48" s="127">
        <v>1</v>
      </c>
      <c r="P48" s="128">
        <f>O48/N48</f>
        <v>1.25</v>
      </c>
      <c r="Q48" s="129">
        <v>0.85</v>
      </c>
      <c r="R48" s="129">
        <v>1</v>
      </c>
      <c r="S48" s="130">
        <f>R48/Q48</f>
        <v>1.1764705882352942</v>
      </c>
      <c r="T48" s="31"/>
      <c r="U48" s="31"/>
      <c r="V48" s="31"/>
      <c r="W48" s="31"/>
    </row>
    <row r="49" spans="1:23" ht="132.6" customHeight="1" x14ac:dyDescent="0.3">
      <c r="A49" s="99" t="s">
        <v>205</v>
      </c>
      <c r="B49" s="124" t="s">
        <v>206</v>
      </c>
      <c r="C49" s="99" t="s">
        <v>213</v>
      </c>
      <c r="D49" s="19" t="s">
        <v>219</v>
      </c>
      <c r="E49" s="19"/>
      <c r="F49" s="79" t="s">
        <v>24</v>
      </c>
      <c r="G49" s="88" t="s">
        <v>215</v>
      </c>
      <c r="H49" s="19" t="s">
        <v>26</v>
      </c>
      <c r="I49" s="65" t="s">
        <v>27</v>
      </c>
      <c r="J49" s="66" t="s">
        <v>216</v>
      </c>
      <c r="K49" s="31" t="s">
        <v>217</v>
      </c>
      <c r="L49" s="31" t="s">
        <v>220</v>
      </c>
      <c r="M49" s="100"/>
      <c r="N49" s="127">
        <v>0.8</v>
      </c>
      <c r="O49" s="127">
        <v>0.99</v>
      </c>
      <c r="P49" s="128">
        <f>O49/N49</f>
        <v>1.2374999999999998</v>
      </c>
      <c r="Q49" s="129">
        <v>0.85</v>
      </c>
      <c r="R49" s="131">
        <v>0.97899999999999998</v>
      </c>
      <c r="S49" s="130">
        <f>R49/Q49</f>
        <v>1.151764705882353</v>
      </c>
      <c r="T49" s="31"/>
      <c r="U49" s="31"/>
      <c r="V49" s="31"/>
      <c r="W49" s="31"/>
    </row>
    <row r="50" spans="1:23" ht="93.6" x14ac:dyDescent="0.3">
      <c r="A50" s="86" t="s">
        <v>205</v>
      </c>
      <c r="B50" s="104" t="s">
        <v>206</v>
      </c>
      <c r="C50" s="86" t="s">
        <v>213</v>
      </c>
      <c r="D50" s="18" t="s">
        <v>221</v>
      </c>
      <c r="E50" s="19"/>
      <c r="F50" s="79" t="s">
        <v>24</v>
      </c>
      <c r="G50" s="88" t="s">
        <v>68</v>
      </c>
      <c r="H50" s="79" t="s">
        <v>41</v>
      </c>
      <c r="I50" s="65" t="s">
        <v>27</v>
      </c>
      <c r="J50" s="121" t="s">
        <v>222</v>
      </c>
      <c r="K50" s="21"/>
      <c r="L50" s="21" t="s">
        <v>210</v>
      </c>
      <c r="M50" s="37"/>
      <c r="N50" s="70"/>
      <c r="O50" s="70"/>
      <c r="P50" s="82"/>
      <c r="Q50" s="21"/>
      <c r="R50" s="21"/>
      <c r="S50" s="25"/>
      <c r="T50" s="21"/>
      <c r="U50" s="21"/>
      <c r="V50" s="21"/>
      <c r="W50" s="21"/>
    </row>
    <row r="51" spans="1:23" ht="109.2" x14ac:dyDescent="0.3">
      <c r="A51" s="86" t="s">
        <v>223</v>
      </c>
      <c r="B51" s="132" t="s">
        <v>224</v>
      </c>
      <c r="C51" s="133" t="s">
        <v>225</v>
      </c>
      <c r="D51" s="19" t="s">
        <v>226</v>
      </c>
      <c r="E51" s="19">
        <v>576</v>
      </c>
      <c r="F51" s="65" t="s">
        <v>24</v>
      </c>
      <c r="G51" s="79" t="s">
        <v>68</v>
      </c>
      <c r="H51" s="79" t="s">
        <v>60</v>
      </c>
      <c r="I51" s="79" t="s">
        <v>27</v>
      </c>
      <c r="J51" s="70" t="s">
        <v>227</v>
      </c>
      <c r="K51" s="21" t="s">
        <v>134</v>
      </c>
      <c r="L51" s="21" t="s">
        <v>134</v>
      </c>
      <c r="M51" s="134"/>
      <c r="N51" s="70" t="s">
        <v>56</v>
      </c>
      <c r="O51" s="70"/>
      <c r="P51" s="82"/>
      <c r="Q51" s="23">
        <v>1</v>
      </c>
      <c r="R51" s="23"/>
      <c r="S51" s="24"/>
      <c r="T51" s="23">
        <v>1</v>
      </c>
      <c r="U51" s="23">
        <v>1</v>
      </c>
      <c r="V51" s="23">
        <v>1</v>
      </c>
      <c r="W51" s="23">
        <v>1</v>
      </c>
    </row>
    <row r="52" spans="1:23" ht="78" customHeight="1" x14ac:dyDescent="0.3">
      <c r="A52" s="99" t="s">
        <v>223</v>
      </c>
      <c r="B52" s="99" t="s">
        <v>228</v>
      </c>
      <c r="C52" s="135" t="s">
        <v>229</v>
      </c>
      <c r="D52" s="28" t="s">
        <v>230</v>
      </c>
      <c r="E52" s="19">
        <v>573</v>
      </c>
      <c r="F52" s="65" t="s">
        <v>24</v>
      </c>
      <c r="G52" s="101" t="s">
        <v>68</v>
      </c>
      <c r="H52" s="79" t="s">
        <v>60</v>
      </c>
      <c r="I52" s="79" t="s">
        <v>27</v>
      </c>
      <c r="J52" s="66" t="s">
        <v>231</v>
      </c>
      <c r="K52" s="31" t="s">
        <v>134</v>
      </c>
      <c r="L52" s="31" t="s">
        <v>134</v>
      </c>
      <c r="M52" s="136"/>
      <c r="N52" s="66"/>
      <c r="O52" s="66"/>
      <c r="P52" s="102"/>
      <c r="Q52" s="31">
        <v>112</v>
      </c>
      <c r="R52" s="31"/>
      <c r="S52" s="33"/>
      <c r="T52" s="31">
        <v>99</v>
      </c>
      <c r="U52" s="31">
        <v>88</v>
      </c>
      <c r="V52" s="31">
        <v>75</v>
      </c>
      <c r="W52" s="31">
        <v>75</v>
      </c>
    </row>
    <row r="53" spans="1:23" ht="93.6" x14ac:dyDescent="0.3">
      <c r="A53" s="86" t="s">
        <v>223</v>
      </c>
      <c r="B53" s="86" t="s">
        <v>228</v>
      </c>
      <c r="C53" s="133" t="s">
        <v>229</v>
      </c>
      <c r="D53" s="91" t="s">
        <v>232</v>
      </c>
      <c r="E53" s="94"/>
      <c r="F53" s="95" t="s">
        <v>51</v>
      </c>
      <c r="G53" s="95" t="s">
        <v>41</v>
      </c>
      <c r="H53" s="79" t="s">
        <v>233</v>
      </c>
      <c r="I53" s="79" t="s">
        <v>27</v>
      </c>
      <c r="J53" s="137" t="s">
        <v>234</v>
      </c>
      <c r="K53" s="138" t="s">
        <v>134</v>
      </c>
      <c r="L53" s="138" t="s">
        <v>134</v>
      </c>
      <c r="M53" s="134"/>
      <c r="N53" s="137" t="s">
        <v>235</v>
      </c>
      <c r="O53" s="137"/>
      <c r="P53" s="82"/>
      <c r="Q53" s="138"/>
      <c r="R53" s="138"/>
      <c r="S53" s="25"/>
      <c r="T53" s="138"/>
      <c r="U53" s="138"/>
      <c r="V53" s="138"/>
      <c r="W53" s="138"/>
    </row>
    <row r="54" spans="1:23" ht="62.4" x14ac:dyDescent="0.3">
      <c r="A54" s="86" t="s">
        <v>223</v>
      </c>
      <c r="B54" s="86" t="s">
        <v>228</v>
      </c>
      <c r="C54" s="133" t="s">
        <v>229</v>
      </c>
      <c r="D54" s="94" t="s">
        <v>236</v>
      </c>
      <c r="E54" s="94"/>
      <c r="F54" s="95" t="s">
        <v>51</v>
      </c>
      <c r="G54" s="95" t="s">
        <v>68</v>
      </c>
      <c r="H54" s="79" t="s">
        <v>233</v>
      </c>
      <c r="I54" s="79" t="s">
        <v>27</v>
      </c>
      <c r="J54" s="137" t="s">
        <v>237</v>
      </c>
      <c r="K54" s="138" t="s">
        <v>134</v>
      </c>
      <c r="L54" s="138" t="s">
        <v>134</v>
      </c>
      <c r="M54" s="134"/>
      <c r="N54" s="68">
        <v>0.8</v>
      </c>
      <c r="O54" s="68"/>
      <c r="P54" s="139"/>
      <c r="Q54" s="68">
        <v>0.8</v>
      </c>
      <c r="R54" s="68"/>
      <c r="S54" s="139"/>
      <c r="T54" s="68">
        <v>0.8</v>
      </c>
      <c r="U54" s="68">
        <v>0.8</v>
      </c>
      <c r="V54" s="68">
        <v>0.8</v>
      </c>
      <c r="W54" s="68">
        <v>0.8</v>
      </c>
    </row>
    <row r="55" spans="1:23" ht="93.6" x14ac:dyDescent="0.3">
      <c r="A55" s="86" t="s">
        <v>223</v>
      </c>
      <c r="B55" s="104" t="s">
        <v>238</v>
      </c>
      <c r="C55" s="86" t="s">
        <v>239</v>
      </c>
      <c r="D55" s="19" t="s">
        <v>240</v>
      </c>
      <c r="E55" s="19"/>
      <c r="F55" s="79" t="s">
        <v>41</v>
      </c>
      <c r="G55" s="79" t="s">
        <v>241</v>
      </c>
      <c r="H55" s="79" t="s">
        <v>41</v>
      </c>
      <c r="I55" s="79" t="s">
        <v>27</v>
      </c>
      <c r="J55" s="70" t="s">
        <v>242</v>
      </c>
      <c r="K55" s="21"/>
      <c r="L55" s="21" t="s">
        <v>134</v>
      </c>
      <c r="M55" s="37"/>
      <c r="N55" s="68">
        <v>1</v>
      </c>
      <c r="O55" s="68"/>
      <c r="P55" s="139"/>
      <c r="Q55" s="68">
        <v>1</v>
      </c>
      <c r="R55" s="68"/>
      <c r="S55" s="139"/>
      <c r="T55" s="68">
        <v>1</v>
      </c>
      <c r="U55" s="68">
        <v>1</v>
      </c>
      <c r="V55" s="68">
        <v>1</v>
      </c>
      <c r="W55" s="68">
        <v>1</v>
      </c>
    </row>
    <row r="56" spans="1:23" ht="109.2" x14ac:dyDescent="0.3">
      <c r="A56" s="86" t="s">
        <v>223</v>
      </c>
      <c r="B56" s="104" t="s">
        <v>243</v>
      </c>
      <c r="C56" s="86" t="s">
        <v>244</v>
      </c>
      <c r="D56" s="19" t="s">
        <v>245</v>
      </c>
      <c r="E56" s="19">
        <v>460</v>
      </c>
      <c r="F56" s="79" t="s">
        <v>24</v>
      </c>
      <c r="G56" s="79" t="s">
        <v>93</v>
      </c>
      <c r="H56" s="79" t="s">
        <v>60</v>
      </c>
      <c r="I56" s="79" t="s">
        <v>27</v>
      </c>
      <c r="J56" s="20" t="s">
        <v>246</v>
      </c>
      <c r="K56" s="21" t="s">
        <v>247</v>
      </c>
      <c r="L56" s="21" t="s">
        <v>247</v>
      </c>
      <c r="M56" s="37"/>
      <c r="N56" s="68">
        <v>0.8</v>
      </c>
      <c r="O56" s="69">
        <v>0.84179999999999999</v>
      </c>
      <c r="P56" s="140">
        <f>O56/N56</f>
        <v>1.0522499999999999</v>
      </c>
      <c r="Q56" s="23">
        <v>0.82</v>
      </c>
      <c r="R56" s="21"/>
      <c r="S56" s="25"/>
      <c r="T56" s="23">
        <v>0.83</v>
      </c>
      <c r="U56" s="23">
        <v>0.83</v>
      </c>
      <c r="V56" s="23">
        <v>0.84</v>
      </c>
      <c r="W56" s="23">
        <v>0.84</v>
      </c>
    </row>
    <row r="57" spans="1:23" ht="124.8" x14ac:dyDescent="0.3">
      <c r="A57" s="86" t="s">
        <v>223</v>
      </c>
      <c r="B57" s="104" t="s">
        <v>248</v>
      </c>
      <c r="C57" s="86" t="s">
        <v>249</v>
      </c>
      <c r="D57" s="79" t="s">
        <v>250</v>
      </c>
      <c r="E57" s="19"/>
      <c r="F57" s="79" t="s">
        <v>41</v>
      </c>
      <c r="G57" s="79" t="s">
        <v>68</v>
      </c>
      <c r="H57" s="79" t="s">
        <v>41</v>
      </c>
      <c r="I57" s="79" t="s">
        <v>27</v>
      </c>
      <c r="J57" s="20" t="s">
        <v>251</v>
      </c>
      <c r="K57" s="21"/>
      <c r="L57" s="21"/>
      <c r="M57" s="37" t="s">
        <v>55</v>
      </c>
      <c r="N57" s="70"/>
      <c r="O57" s="70"/>
      <c r="P57" s="82"/>
      <c r="Q57" s="21"/>
      <c r="R57" s="21"/>
      <c r="S57" s="25"/>
      <c r="T57" s="21"/>
      <c r="U57" s="21"/>
      <c r="V57" s="21"/>
      <c r="W57" s="21"/>
    </row>
    <row r="58" spans="1:23" ht="93.6" x14ac:dyDescent="0.3">
      <c r="A58" s="86" t="s">
        <v>252</v>
      </c>
      <c r="B58" s="104" t="s">
        <v>253</v>
      </c>
      <c r="C58" s="86" t="s">
        <v>254</v>
      </c>
      <c r="D58" s="123" t="s">
        <v>255</v>
      </c>
      <c r="E58" s="123"/>
      <c r="F58" s="141" t="s">
        <v>24</v>
      </c>
      <c r="G58" s="141" t="s">
        <v>68</v>
      </c>
      <c r="H58" s="79" t="s">
        <v>41</v>
      </c>
      <c r="I58" s="79" t="s">
        <v>27</v>
      </c>
      <c r="J58" s="70" t="s">
        <v>255</v>
      </c>
      <c r="K58" s="21"/>
      <c r="L58" s="21"/>
      <c r="M58" s="37"/>
      <c r="N58" s="70"/>
      <c r="O58" s="70"/>
      <c r="P58" s="82"/>
      <c r="Q58" s="21"/>
      <c r="R58" s="21"/>
      <c r="S58" s="25"/>
      <c r="T58" s="21"/>
      <c r="U58" s="21"/>
      <c r="V58" s="21"/>
      <c r="W58" s="21"/>
    </row>
    <row r="59" spans="1:23" ht="46.8" x14ac:dyDescent="0.3">
      <c r="A59" s="86" t="s">
        <v>252</v>
      </c>
      <c r="B59" s="86" t="s">
        <v>256</v>
      </c>
      <c r="C59" s="86" t="s">
        <v>257</v>
      </c>
      <c r="D59" s="19" t="s">
        <v>258</v>
      </c>
      <c r="E59" s="19">
        <v>553</v>
      </c>
      <c r="F59" s="141" t="s">
        <v>24</v>
      </c>
      <c r="G59" s="88" t="s">
        <v>68</v>
      </c>
      <c r="H59" s="79" t="s">
        <v>41</v>
      </c>
      <c r="I59" s="79" t="s">
        <v>27</v>
      </c>
      <c r="J59" s="70" t="s">
        <v>259</v>
      </c>
      <c r="K59" s="21" t="s">
        <v>260</v>
      </c>
      <c r="L59" s="21" t="s">
        <v>261</v>
      </c>
      <c r="M59" s="37"/>
      <c r="N59" s="70"/>
      <c r="O59" s="70"/>
      <c r="P59" s="82"/>
      <c r="Q59" s="23">
        <v>0.85</v>
      </c>
      <c r="R59" s="21"/>
      <c r="S59" s="25"/>
      <c r="T59" s="21"/>
      <c r="U59" s="21"/>
      <c r="V59" s="21"/>
      <c r="W59" s="21"/>
    </row>
    <row r="60" spans="1:23" ht="124.8" x14ac:dyDescent="0.3">
      <c r="A60" s="86" t="s">
        <v>252</v>
      </c>
      <c r="B60" s="86" t="s">
        <v>256</v>
      </c>
      <c r="C60" s="142" t="s">
        <v>262</v>
      </c>
      <c r="D60" s="19" t="s">
        <v>263</v>
      </c>
      <c r="E60" s="19"/>
      <c r="F60" s="141" t="s">
        <v>24</v>
      </c>
      <c r="G60" s="88" t="s">
        <v>68</v>
      </c>
      <c r="H60" s="19" t="s">
        <v>60</v>
      </c>
      <c r="I60" s="79" t="s">
        <v>27</v>
      </c>
      <c r="J60" s="70" t="s">
        <v>264</v>
      </c>
      <c r="K60" s="21" t="s">
        <v>265</v>
      </c>
      <c r="L60" s="21" t="s">
        <v>265</v>
      </c>
      <c r="M60" s="143" t="s">
        <v>266</v>
      </c>
      <c r="N60" s="70">
        <v>86.1</v>
      </c>
      <c r="O60" s="70">
        <v>86.2</v>
      </c>
      <c r="P60" s="140">
        <f>O60/N60</f>
        <v>1.0011614401858304</v>
      </c>
      <c r="Q60" s="21">
        <v>86.6</v>
      </c>
      <c r="R60" s="21"/>
      <c r="S60" s="140">
        <f>R60/Q60</f>
        <v>0</v>
      </c>
      <c r="T60" s="21"/>
      <c r="U60" s="21"/>
      <c r="V60" s="21"/>
      <c r="W60" s="21"/>
    </row>
    <row r="61" spans="1:23" ht="124.8" x14ac:dyDescent="0.3">
      <c r="A61" s="86" t="s">
        <v>252</v>
      </c>
      <c r="B61" s="86" t="s">
        <v>256</v>
      </c>
      <c r="C61" s="142" t="s">
        <v>262</v>
      </c>
      <c r="D61" s="18" t="s">
        <v>267</v>
      </c>
      <c r="E61" s="19"/>
      <c r="F61" s="79" t="s">
        <v>41</v>
      </c>
      <c r="G61" s="88" t="s">
        <v>68</v>
      </c>
      <c r="H61" s="19" t="s">
        <v>60</v>
      </c>
      <c r="I61" s="79" t="s">
        <v>27</v>
      </c>
      <c r="J61" s="70" t="s">
        <v>264</v>
      </c>
      <c r="K61" s="21" t="s">
        <v>265</v>
      </c>
      <c r="L61" s="21" t="s">
        <v>265</v>
      </c>
      <c r="M61" s="143" t="s">
        <v>266</v>
      </c>
      <c r="N61" s="70"/>
      <c r="O61" s="70"/>
      <c r="P61" s="82"/>
      <c r="Q61" s="21"/>
      <c r="R61" s="21"/>
      <c r="S61" s="25"/>
      <c r="T61" s="21"/>
      <c r="U61" s="21"/>
      <c r="V61" s="21"/>
      <c r="W61" s="21"/>
    </row>
    <row r="62" spans="1:23" ht="124.95" customHeight="1" x14ac:dyDescent="0.3">
      <c r="A62" s="99" t="s">
        <v>252</v>
      </c>
      <c r="B62" s="99" t="s">
        <v>256</v>
      </c>
      <c r="C62" s="144" t="s">
        <v>262</v>
      </c>
      <c r="D62" s="28" t="s">
        <v>268</v>
      </c>
      <c r="E62" s="19"/>
      <c r="F62" s="141" t="s">
        <v>51</v>
      </c>
      <c r="G62" s="29" t="s">
        <v>68</v>
      </c>
      <c r="H62" s="29" t="s">
        <v>41</v>
      </c>
      <c r="I62" s="79" t="s">
        <v>27</v>
      </c>
      <c r="J62" s="66"/>
      <c r="K62" s="31" t="s">
        <v>265</v>
      </c>
      <c r="L62" s="31" t="s">
        <v>265</v>
      </c>
      <c r="M62" s="143" t="s">
        <v>266</v>
      </c>
      <c r="N62" s="66"/>
      <c r="O62" s="66"/>
      <c r="P62" s="102"/>
      <c r="Q62" s="31"/>
      <c r="R62" s="31"/>
      <c r="S62" s="33"/>
      <c r="T62" s="31"/>
      <c r="U62" s="31"/>
      <c r="V62" s="31"/>
      <c r="W62" s="31"/>
    </row>
    <row r="63" spans="1:23" ht="109.2" x14ac:dyDescent="0.3">
      <c r="A63" s="86" t="s">
        <v>252</v>
      </c>
      <c r="B63" s="86" t="s">
        <v>256</v>
      </c>
      <c r="C63" s="142" t="s">
        <v>262</v>
      </c>
      <c r="D63" s="19" t="s">
        <v>269</v>
      </c>
      <c r="E63" s="19"/>
      <c r="F63" s="19" t="s">
        <v>24</v>
      </c>
      <c r="G63" s="19" t="s">
        <v>93</v>
      </c>
      <c r="H63" s="19" t="s">
        <v>60</v>
      </c>
      <c r="I63" s="79" t="s">
        <v>27</v>
      </c>
      <c r="J63" s="70" t="s">
        <v>270</v>
      </c>
      <c r="K63" s="21" t="s">
        <v>265</v>
      </c>
      <c r="L63" s="21" t="s">
        <v>265</v>
      </c>
      <c r="M63" s="143"/>
      <c r="N63" s="70"/>
      <c r="O63" s="70"/>
      <c r="P63" s="82"/>
      <c r="Q63" s="21"/>
      <c r="R63" s="21"/>
      <c r="S63" s="25"/>
      <c r="T63" s="21"/>
      <c r="U63" s="21"/>
      <c r="V63" s="21"/>
      <c r="W63" s="21"/>
    </row>
    <row r="64" spans="1:23" ht="93.6" x14ac:dyDescent="0.3">
      <c r="A64" s="86" t="s">
        <v>252</v>
      </c>
      <c r="B64" s="104" t="s">
        <v>271</v>
      </c>
      <c r="C64" s="133" t="s">
        <v>272</v>
      </c>
      <c r="D64" s="18" t="s">
        <v>273</v>
      </c>
      <c r="E64" s="19"/>
      <c r="F64" s="29" t="s">
        <v>41</v>
      </c>
      <c r="G64" s="29" t="s">
        <v>68</v>
      </c>
      <c r="H64" s="79" t="s">
        <v>41</v>
      </c>
      <c r="I64" s="79" t="s">
        <v>27</v>
      </c>
      <c r="J64" s="70" t="s">
        <v>274</v>
      </c>
      <c r="K64" s="21"/>
      <c r="L64" s="21" t="s">
        <v>275</v>
      </c>
      <c r="M64" s="134" t="s">
        <v>276</v>
      </c>
      <c r="N64" s="70"/>
      <c r="O64" s="70"/>
      <c r="P64" s="82"/>
      <c r="Q64" s="21"/>
      <c r="R64" s="21"/>
      <c r="S64" s="25"/>
      <c r="T64" s="21"/>
      <c r="U64" s="21"/>
      <c r="V64" s="21"/>
      <c r="W64" s="21"/>
    </row>
    <row r="65" spans="1:23" ht="140.4" x14ac:dyDescent="0.3">
      <c r="A65" s="99" t="s">
        <v>277</v>
      </c>
      <c r="B65" s="124" t="s">
        <v>278</v>
      </c>
      <c r="C65" s="99" t="s">
        <v>279</v>
      </c>
      <c r="D65" s="28" t="s">
        <v>280</v>
      </c>
      <c r="E65" s="19">
        <v>546</v>
      </c>
      <c r="F65" s="141" t="s">
        <v>24</v>
      </c>
      <c r="G65" s="29" t="s">
        <v>93</v>
      </c>
      <c r="H65" s="29" t="s">
        <v>60</v>
      </c>
      <c r="I65" s="29" t="s">
        <v>27</v>
      </c>
      <c r="J65" s="30" t="s">
        <v>281</v>
      </c>
      <c r="K65" s="31" t="s">
        <v>282</v>
      </c>
      <c r="L65" s="31" t="s">
        <v>282</v>
      </c>
      <c r="M65" s="100"/>
      <c r="N65" s="145" t="s">
        <v>283</v>
      </c>
      <c r="O65" s="66"/>
      <c r="P65" s="102"/>
      <c r="Q65" s="31"/>
      <c r="R65" s="31"/>
      <c r="S65" s="33"/>
      <c r="T65" s="31"/>
      <c r="U65" s="31"/>
      <c r="V65" s="31"/>
      <c r="W65" s="31"/>
    </row>
    <row r="66" spans="1:23" ht="70.95" customHeight="1" x14ac:dyDescent="0.3">
      <c r="A66" s="99" t="s">
        <v>277</v>
      </c>
      <c r="B66" s="124" t="s">
        <v>284</v>
      </c>
      <c r="C66" s="99" t="s">
        <v>285</v>
      </c>
      <c r="D66" s="29" t="s">
        <v>286</v>
      </c>
      <c r="E66" s="19">
        <v>542</v>
      </c>
      <c r="F66" s="141" t="s">
        <v>24</v>
      </c>
      <c r="G66" s="29"/>
      <c r="H66" s="29" t="s">
        <v>68</v>
      </c>
      <c r="I66" s="29" t="s">
        <v>27</v>
      </c>
      <c r="J66" s="30" t="s">
        <v>287</v>
      </c>
      <c r="K66" s="31"/>
      <c r="L66" s="31"/>
      <c r="M66" s="125" t="s">
        <v>55</v>
      </c>
      <c r="N66" s="66"/>
      <c r="O66" s="66"/>
      <c r="P66" s="102"/>
      <c r="Q66" s="31"/>
      <c r="R66" s="31"/>
      <c r="S66" s="33"/>
      <c r="T66" s="31"/>
      <c r="U66" s="31"/>
      <c r="V66" s="31"/>
      <c r="W66" s="31"/>
    </row>
    <row r="67" spans="1:23" ht="171.6" x14ac:dyDescent="0.3">
      <c r="A67" s="99" t="s">
        <v>277</v>
      </c>
      <c r="B67" s="124" t="s">
        <v>284</v>
      </c>
      <c r="C67" s="99" t="s">
        <v>288</v>
      </c>
      <c r="D67" s="29" t="s">
        <v>289</v>
      </c>
      <c r="E67" s="19">
        <v>541</v>
      </c>
      <c r="F67" s="141" t="s">
        <v>24</v>
      </c>
      <c r="G67" s="65" t="s">
        <v>290</v>
      </c>
      <c r="H67" s="79" t="s">
        <v>60</v>
      </c>
      <c r="I67" s="29" t="s">
        <v>27</v>
      </c>
      <c r="J67" s="66" t="s">
        <v>291</v>
      </c>
      <c r="K67" s="31" t="s">
        <v>282</v>
      </c>
      <c r="L67" s="31" t="s">
        <v>282</v>
      </c>
      <c r="M67" s="100"/>
      <c r="N67" s="66"/>
      <c r="O67" s="66"/>
      <c r="P67" s="102"/>
      <c r="Q67" s="31"/>
      <c r="R67" s="31"/>
      <c r="S67" s="33"/>
      <c r="T67" s="31"/>
      <c r="U67" s="31"/>
      <c r="V67" s="31"/>
      <c r="W67" s="31"/>
    </row>
    <row r="68" spans="1:23" ht="46.8" x14ac:dyDescent="0.3">
      <c r="A68" s="86" t="s">
        <v>277</v>
      </c>
      <c r="B68" s="104" t="s">
        <v>292</v>
      </c>
      <c r="C68" s="86" t="s">
        <v>293</v>
      </c>
      <c r="D68" s="19" t="s">
        <v>294</v>
      </c>
      <c r="E68" s="19">
        <v>547</v>
      </c>
      <c r="F68" s="141" t="s">
        <v>24</v>
      </c>
      <c r="G68" s="79"/>
      <c r="H68" s="79" t="s">
        <v>60</v>
      </c>
      <c r="I68" s="29" t="s">
        <v>27</v>
      </c>
      <c r="J68" s="70" t="s">
        <v>295</v>
      </c>
      <c r="K68" s="21" t="s">
        <v>282</v>
      </c>
      <c r="L68" s="21" t="s">
        <v>282</v>
      </c>
      <c r="M68" s="37" t="s">
        <v>55</v>
      </c>
      <c r="N68" s="70"/>
      <c r="O68" s="70"/>
      <c r="P68" s="82"/>
      <c r="Q68" s="21"/>
      <c r="R68" s="21"/>
      <c r="S68" s="25"/>
      <c r="T68" s="21"/>
      <c r="U68" s="21"/>
      <c r="V68" s="21"/>
      <c r="W68" s="21"/>
    </row>
  </sheetData>
  <autoFilter ref="A2:XFA2" xr:uid="{625CFDA2-DB7B-4B41-9A64-5658BBBE0A38}"/>
  <mergeCells count="4">
    <mergeCell ref="N1:W1"/>
    <mergeCell ref="L13:L14"/>
    <mergeCell ref="V13:V14"/>
    <mergeCell ref="W13:W14"/>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 Plan de Mejor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Licec Ximena Silva Goyeneche</cp:lastModifiedBy>
  <dcterms:created xsi:type="dcterms:W3CDTF">2026-09-11T05:02:10Z</dcterms:created>
  <dcterms:modified xsi:type="dcterms:W3CDTF">2026-09-11T05:04:13Z</dcterms:modified>
</cp:coreProperties>
</file>